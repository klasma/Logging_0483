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46049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46049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46049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46049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46049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46049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58684-2025</t>
        </is>
      </c>
      <c r="B18" s="1" t="n">
        <v>45986.56953703704</v>
      </c>
      <c r="C18" s="1" t="n">
        <v>46049</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188-2025</t>
        </is>
      </c>
      <c r="B19" s="1" t="n">
        <v>45649</v>
      </c>
      <c r="C19" s="1" t="n">
        <v>46049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46049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46049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46049</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46049</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46049</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70501-2021</t>
        </is>
      </c>
      <c r="B25" s="1" t="n">
        <v>44536</v>
      </c>
      <c r="C25" s="1" t="n">
        <v>46049</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46049</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1150-2025</t>
        </is>
      </c>
      <c r="B27" s="1" t="n">
        <v>45666</v>
      </c>
      <c r="C27" s="1" t="n">
        <v>46049</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46049</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24718-2025</t>
        </is>
      </c>
      <c r="B29" s="1" t="n">
        <v>45799</v>
      </c>
      <c r="C29" s="1" t="n">
        <v>46049</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46049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46049</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46049</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46049</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8917-2024</t>
        </is>
      </c>
      <c r="B38" s="1" t="n">
        <v>45357.37618055556</v>
      </c>
      <c r="C38" s="1" t="n">
        <v>46049</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16458-2022</t>
        </is>
      </c>
      <c r="B39" s="1" t="n">
        <v>44671</v>
      </c>
      <c r="C39" s="1" t="n">
        <v>46049</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42055-2025</t>
        </is>
      </c>
      <c r="B40" s="1" t="n">
        <v>45903</v>
      </c>
      <c r="C40" s="1" t="n">
        <v>46049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23568-2023</t>
        </is>
      </c>
      <c r="B41" s="1" t="n">
        <v>45077</v>
      </c>
      <c r="C41" s="1" t="n">
        <v>46049</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46049</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41980-2025</t>
        </is>
      </c>
      <c r="B43" s="1" t="n">
        <v>45903</v>
      </c>
      <c r="C43" s="1" t="n">
        <v>46049</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57519-2021</t>
        </is>
      </c>
      <c r="B44" s="1" t="n">
        <v>44483</v>
      </c>
      <c r="C44" s="1" t="n">
        <v>46049</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46049</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48199-2025</t>
        </is>
      </c>
      <c r="B46" s="1" t="n">
        <v>45933.47856481482</v>
      </c>
      <c r="C46" s="1" t="n">
        <v>46049</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44632-2023</t>
        </is>
      </c>
      <c r="B47" s="1" t="n">
        <v>45184</v>
      </c>
      <c r="C47" s="1" t="n">
        <v>46049</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46049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46049</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55700-2025</t>
        </is>
      </c>
      <c r="B50" s="1" t="n">
        <v>45972.45605324074</v>
      </c>
      <c r="C50" s="1" t="n">
        <v>46049</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45530-2023</t>
        </is>
      </c>
      <c r="B51" s="1" t="n">
        <v>45188</v>
      </c>
      <c r="C51" s="1" t="n">
        <v>46049</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46049</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1260-2026</t>
        </is>
      </c>
      <c r="B53" s="1" t="n">
        <v>46031.45652777778</v>
      </c>
      <c r="C53" s="1" t="n">
        <v>46049</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7305-2024</t>
        </is>
      </c>
      <c r="B54" s="1" t="n">
        <v>45344</v>
      </c>
      <c r="C54" s="1" t="n">
        <v>46049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62957-2025</t>
        </is>
      </c>
      <c r="B55" s="1" t="n">
        <v>46009</v>
      </c>
      <c r="C55" s="1" t="n">
        <v>46049</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53990-2023</t>
        </is>
      </c>
      <c r="B56" s="1" t="n">
        <v>45231</v>
      </c>
      <c r="C56" s="1" t="n">
        <v>46049</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46049</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11890-2023</t>
        </is>
      </c>
      <c r="B58" s="1" t="n">
        <v>44995</v>
      </c>
      <c r="C58" s="1" t="n">
        <v>46049</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6076-2022</t>
        </is>
      </c>
      <c r="B59" s="1" t="n">
        <v>44599</v>
      </c>
      <c r="C59" s="1" t="n">
        <v>46049</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46049</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12238-2023</t>
        </is>
      </c>
      <c r="B61" s="1" t="n">
        <v>44995</v>
      </c>
      <c r="C61" s="1" t="n">
        <v>46049</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46049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46049</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46049</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46049</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46049</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17668-2021</t>
        </is>
      </c>
      <c r="B67" s="1" t="n">
        <v>44299</v>
      </c>
      <c r="C67" s="1" t="n">
        <v>46049</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46049</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46049</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46049</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48166-2022</t>
        </is>
      </c>
      <c r="B71" s="1" t="n">
        <v>44853</v>
      </c>
      <c r="C71" s="1" t="n">
        <v>46049</v>
      </c>
      <c r="D71" t="inlineStr">
        <is>
          <t>SÖDERMANLANDS LÄN</t>
        </is>
      </c>
      <c r="E71" t="inlineStr">
        <is>
          <t>KATRINEHOLM</t>
        </is>
      </c>
      <c r="F71" t="inlineStr">
        <is>
          <t>Övriga statliga verk och myndigheter</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46049</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73929-2021</t>
        </is>
      </c>
      <c r="B73" s="1" t="n">
        <v>44553</v>
      </c>
      <c r="C73" s="1" t="n">
        <v>46049</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46049</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46049</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22087-2021</t>
        </is>
      </c>
      <c r="B76" s="1" t="n">
        <v>44323</v>
      </c>
      <c r="C76" s="1" t="n">
        <v>46049</v>
      </c>
      <c r="D76" t="inlineStr">
        <is>
          <t>SÖDERMANLANDS LÄN</t>
        </is>
      </c>
      <c r="E76" t="inlineStr">
        <is>
          <t>KATRINEHOLM</t>
        </is>
      </c>
      <c r="G76" t="n">
        <v>0.8</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46049</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4533-2021</t>
        </is>
      </c>
      <c r="B78" s="1" t="n">
        <v>44223</v>
      </c>
      <c r="C78" s="1" t="n">
        <v>46049</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17430-2021</t>
        </is>
      </c>
      <c r="B79" s="1" t="n">
        <v>44299.40710648148</v>
      </c>
      <c r="C79" s="1" t="n">
        <v>46049</v>
      </c>
      <c r="D79" t="inlineStr">
        <is>
          <t>SÖDERMANLANDS LÄN</t>
        </is>
      </c>
      <c r="E79" t="inlineStr">
        <is>
          <t>KATRINEHOLM</t>
        </is>
      </c>
      <c r="G79" t="n">
        <v>1.2</v>
      </c>
      <c r="H79" t="n">
        <v>0</v>
      </c>
      <c r="I79" t="n">
        <v>0</v>
      </c>
      <c r="J79" t="n">
        <v>0</v>
      </c>
      <c r="K79" t="n">
        <v>0</v>
      </c>
      <c r="L79" t="n">
        <v>0</v>
      </c>
      <c r="M79" t="n">
        <v>0</v>
      </c>
      <c r="N79" t="n">
        <v>0</v>
      </c>
      <c r="O79" t="n">
        <v>0</v>
      </c>
      <c r="P79" t="n">
        <v>0</v>
      </c>
      <c r="Q79" t="n">
        <v>0</v>
      </c>
      <c r="R79" s="2" t="inlineStr"/>
    </row>
    <row r="80" ht="15" customHeight="1">
      <c r="A80" t="inlineStr">
        <is>
          <t>A 41141-2021</t>
        </is>
      </c>
      <c r="B80" s="1" t="n">
        <v>44423</v>
      </c>
      <c r="C80" s="1" t="n">
        <v>46049</v>
      </c>
      <c r="D80" t="inlineStr">
        <is>
          <t>SÖDERMANLANDS LÄN</t>
        </is>
      </c>
      <c r="E80" t="inlineStr">
        <is>
          <t>KATRINEHOLM</t>
        </is>
      </c>
      <c r="G80" t="n">
        <v>1.8</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46049</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65188-2021</t>
        </is>
      </c>
      <c r="B82" s="1" t="n">
        <v>44512</v>
      </c>
      <c r="C82" s="1" t="n">
        <v>46049</v>
      </c>
      <c r="D82" t="inlineStr">
        <is>
          <t>SÖDERMANLANDS LÄN</t>
        </is>
      </c>
      <c r="E82" t="inlineStr">
        <is>
          <t>KATRINEHOLM</t>
        </is>
      </c>
      <c r="G82" t="n">
        <v>0.6</v>
      </c>
      <c r="H82" t="n">
        <v>0</v>
      </c>
      <c r="I82" t="n">
        <v>0</v>
      </c>
      <c r="J82" t="n">
        <v>0</v>
      </c>
      <c r="K82" t="n">
        <v>0</v>
      </c>
      <c r="L82" t="n">
        <v>0</v>
      </c>
      <c r="M82" t="n">
        <v>0</v>
      </c>
      <c r="N82" t="n">
        <v>0</v>
      </c>
      <c r="O82" t="n">
        <v>0</v>
      </c>
      <c r="P82" t="n">
        <v>0</v>
      </c>
      <c r="Q82" t="n">
        <v>0</v>
      </c>
      <c r="R82" s="2" t="inlineStr"/>
    </row>
    <row r="83" ht="15" customHeight="1">
      <c r="A83" t="inlineStr">
        <is>
          <t>A 12063-2021</t>
        </is>
      </c>
      <c r="B83" s="1" t="n">
        <v>44266</v>
      </c>
      <c r="C83" s="1" t="n">
        <v>46049</v>
      </c>
      <c r="D83" t="inlineStr">
        <is>
          <t>SÖDERMANLANDS LÄN</t>
        </is>
      </c>
      <c r="E83" t="inlineStr">
        <is>
          <t>KATRINEHOLM</t>
        </is>
      </c>
      <c r="G83" t="n">
        <v>1.7</v>
      </c>
      <c r="H83" t="n">
        <v>0</v>
      </c>
      <c r="I83" t="n">
        <v>0</v>
      </c>
      <c r="J83" t="n">
        <v>0</v>
      </c>
      <c r="K83" t="n">
        <v>0</v>
      </c>
      <c r="L83" t="n">
        <v>0</v>
      </c>
      <c r="M83" t="n">
        <v>0</v>
      </c>
      <c r="N83" t="n">
        <v>0</v>
      </c>
      <c r="O83" t="n">
        <v>0</v>
      </c>
      <c r="P83" t="n">
        <v>0</v>
      </c>
      <c r="Q83" t="n">
        <v>0</v>
      </c>
      <c r="R83" s="2" t="inlineStr"/>
    </row>
    <row r="84" ht="15" customHeight="1">
      <c r="A84" t="inlineStr">
        <is>
          <t>A 12070-2021</t>
        </is>
      </c>
      <c r="B84" s="1" t="n">
        <v>44266</v>
      </c>
      <c r="C84" s="1" t="n">
        <v>46049</v>
      </c>
      <c r="D84" t="inlineStr">
        <is>
          <t>SÖDERMANLANDS LÄN</t>
        </is>
      </c>
      <c r="E84" t="inlineStr">
        <is>
          <t>KATRINEHOLM</t>
        </is>
      </c>
      <c r="G84" t="n">
        <v>2.4</v>
      </c>
      <c r="H84" t="n">
        <v>0</v>
      </c>
      <c r="I84" t="n">
        <v>0</v>
      </c>
      <c r="J84" t="n">
        <v>0</v>
      </c>
      <c r="K84" t="n">
        <v>0</v>
      </c>
      <c r="L84" t="n">
        <v>0</v>
      </c>
      <c r="M84" t="n">
        <v>0</v>
      </c>
      <c r="N84" t="n">
        <v>0</v>
      </c>
      <c r="O84" t="n">
        <v>0</v>
      </c>
      <c r="P84" t="n">
        <v>0</v>
      </c>
      <c r="Q84" t="n">
        <v>0</v>
      </c>
      <c r="R84" s="2" t="inlineStr"/>
    </row>
    <row r="85" ht="15" customHeight="1">
      <c r="A85" t="inlineStr">
        <is>
          <t>A 50625-2022</t>
        </is>
      </c>
      <c r="B85" s="1" t="n">
        <v>44866.87912037037</v>
      </c>
      <c r="C85" s="1" t="n">
        <v>46049</v>
      </c>
      <c r="D85" t="inlineStr">
        <is>
          <t>SÖDERMANLANDS LÄN</t>
        </is>
      </c>
      <c r="E85" t="inlineStr">
        <is>
          <t>KATRINEHOLM</t>
        </is>
      </c>
      <c r="F85" t="inlineStr">
        <is>
          <t>Kyrkan</t>
        </is>
      </c>
      <c r="G85" t="n">
        <v>25</v>
      </c>
      <c r="H85" t="n">
        <v>0</v>
      </c>
      <c r="I85" t="n">
        <v>0</v>
      </c>
      <c r="J85" t="n">
        <v>0</v>
      </c>
      <c r="K85" t="n">
        <v>0</v>
      </c>
      <c r="L85" t="n">
        <v>0</v>
      </c>
      <c r="M85" t="n">
        <v>0</v>
      </c>
      <c r="N85" t="n">
        <v>0</v>
      </c>
      <c r="O85" t="n">
        <v>0</v>
      </c>
      <c r="P85" t="n">
        <v>0</v>
      </c>
      <c r="Q85" t="n">
        <v>0</v>
      </c>
      <c r="R85" s="2" t="inlineStr"/>
    </row>
    <row r="86" ht="15" customHeight="1">
      <c r="A86" t="inlineStr">
        <is>
          <t>A 53473-2021</t>
        </is>
      </c>
      <c r="B86" s="1" t="n">
        <v>44468</v>
      </c>
      <c r="C86" s="1" t="n">
        <v>46049</v>
      </c>
      <c r="D86" t="inlineStr">
        <is>
          <t>SÖDERMANLANDS LÄN</t>
        </is>
      </c>
      <c r="E86" t="inlineStr">
        <is>
          <t>KATRINEHOLM</t>
        </is>
      </c>
      <c r="G86" t="n">
        <v>10.8</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46049</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55898-2021</t>
        </is>
      </c>
      <c r="B88" s="1" t="n">
        <v>44476</v>
      </c>
      <c r="C88" s="1" t="n">
        <v>46049</v>
      </c>
      <c r="D88" t="inlineStr">
        <is>
          <t>SÖDERMANLANDS LÄN</t>
        </is>
      </c>
      <c r="E88" t="inlineStr">
        <is>
          <t>KATRINEHOLM</t>
        </is>
      </c>
      <c r="G88" t="n">
        <v>2.8</v>
      </c>
      <c r="H88" t="n">
        <v>0</v>
      </c>
      <c r="I88" t="n">
        <v>0</v>
      </c>
      <c r="J88" t="n">
        <v>0</v>
      </c>
      <c r="K88" t="n">
        <v>0</v>
      </c>
      <c r="L88" t="n">
        <v>0</v>
      </c>
      <c r="M88" t="n">
        <v>0</v>
      </c>
      <c r="N88" t="n">
        <v>0</v>
      </c>
      <c r="O88" t="n">
        <v>0</v>
      </c>
      <c r="P88" t="n">
        <v>0</v>
      </c>
      <c r="Q88" t="n">
        <v>0</v>
      </c>
      <c r="R88" s="2" t="inlineStr"/>
    </row>
    <row r="89" ht="15" customHeight="1">
      <c r="A89" t="inlineStr">
        <is>
          <t>A 6145-2022</t>
        </is>
      </c>
      <c r="B89" s="1" t="n">
        <v>44599</v>
      </c>
      <c r="C89" s="1" t="n">
        <v>46049</v>
      </c>
      <c r="D89" t="inlineStr">
        <is>
          <t>SÖDERMANLANDS LÄN</t>
        </is>
      </c>
      <c r="E89" t="inlineStr">
        <is>
          <t>KATRINEHOLM</t>
        </is>
      </c>
      <c r="G89" t="n">
        <v>2.3</v>
      </c>
      <c r="H89" t="n">
        <v>0</v>
      </c>
      <c r="I89" t="n">
        <v>0</v>
      </c>
      <c r="J89" t="n">
        <v>0</v>
      </c>
      <c r="K89" t="n">
        <v>0</v>
      </c>
      <c r="L89" t="n">
        <v>0</v>
      </c>
      <c r="M89" t="n">
        <v>0</v>
      </c>
      <c r="N89" t="n">
        <v>0</v>
      </c>
      <c r="O89" t="n">
        <v>0</v>
      </c>
      <c r="P89" t="n">
        <v>0</v>
      </c>
      <c r="Q89" t="n">
        <v>0</v>
      </c>
      <c r="R89" s="2" t="inlineStr"/>
    </row>
    <row r="90" ht="15" customHeight="1">
      <c r="A90" t="inlineStr">
        <is>
          <t>A 11024-2022</t>
        </is>
      </c>
      <c r="B90" s="1" t="n">
        <v>44628</v>
      </c>
      <c r="C90" s="1" t="n">
        <v>46049</v>
      </c>
      <c r="D90" t="inlineStr">
        <is>
          <t>SÖDERMANLANDS LÄN</t>
        </is>
      </c>
      <c r="E90" t="inlineStr">
        <is>
          <t>KATRINEHOLM</t>
        </is>
      </c>
      <c r="G90" t="n">
        <v>0.4</v>
      </c>
      <c r="H90" t="n">
        <v>0</v>
      </c>
      <c r="I90" t="n">
        <v>0</v>
      </c>
      <c r="J90" t="n">
        <v>0</v>
      </c>
      <c r="K90" t="n">
        <v>0</v>
      </c>
      <c r="L90" t="n">
        <v>0</v>
      </c>
      <c r="M90" t="n">
        <v>0</v>
      </c>
      <c r="N90" t="n">
        <v>0</v>
      </c>
      <c r="O90" t="n">
        <v>0</v>
      </c>
      <c r="P90" t="n">
        <v>0</v>
      </c>
      <c r="Q90" t="n">
        <v>0</v>
      </c>
      <c r="R90" s="2" t="inlineStr"/>
    </row>
    <row r="91" ht="15" customHeight="1">
      <c r="A91" t="inlineStr">
        <is>
          <t>A 40818-2022</t>
        </is>
      </c>
      <c r="B91" s="1" t="n">
        <v>44824</v>
      </c>
      <c r="C91" s="1" t="n">
        <v>46049</v>
      </c>
      <c r="D91" t="inlineStr">
        <is>
          <t>SÖDERMANLANDS LÄN</t>
        </is>
      </c>
      <c r="E91" t="inlineStr">
        <is>
          <t>KATRINEHOLM</t>
        </is>
      </c>
      <c r="G91" t="n">
        <v>0.2</v>
      </c>
      <c r="H91" t="n">
        <v>0</v>
      </c>
      <c r="I91" t="n">
        <v>0</v>
      </c>
      <c r="J91" t="n">
        <v>0</v>
      </c>
      <c r="K91" t="n">
        <v>0</v>
      </c>
      <c r="L91" t="n">
        <v>0</v>
      </c>
      <c r="M91" t="n">
        <v>0</v>
      </c>
      <c r="N91" t="n">
        <v>0</v>
      </c>
      <c r="O91" t="n">
        <v>0</v>
      </c>
      <c r="P91" t="n">
        <v>0</v>
      </c>
      <c r="Q91" t="n">
        <v>0</v>
      </c>
      <c r="R91" s="2" t="inlineStr"/>
    </row>
    <row r="92" ht="15" customHeight="1">
      <c r="A92" t="inlineStr">
        <is>
          <t>A 53846-2021</t>
        </is>
      </c>
      <c r="B92" s="1" t="n">
        <v>44467</v>
      </c>
      <c r="C92" s="1" t="n">
        <v>46049</v>
      </c>
      <c r="D92" t="inlineStr">
        <is>
          <t>SÖDERMANLANDS LÄN</t>
        </is>
      </c>
      <c r="E92" t="inlineStr">
        <is>
          <t>KATRINEHOLM</t>
        </is>
      </c>
      <c r="G92" t="n">
        <v>1.9</v>
      </c>
      <c r="H92" t="n">
        <v>0</v>
      </c>
      <c r="I92" t="n">
        <v>0</v>
      </c>
      <c r="J92" t="n">
        <v>0</v>
      </c>
      <c r="K92" t="n">
        <v>0</v>
      </c>
      <c r="L92" t="n">
        <v>0</v>
      </c>
      <c r="M92" t="n">
        <v>0</v>
      </c>
      <c r="N92" t="n">
        <v>0</v>
      </c>
      <c r="O92" t="n">
        <v>0</v>
      </c>
      <c r="P92" t="n">
        <v>0</v>
      </c>
      <c r="Q92" t="n">
        <v>0</v>
      </c>
      <c r="R92" s="2" t="inlineStr"/>
    </row>
    <row r="93" ht="15" customHeight="1">
      <c r="A93" t="inlineStr">
        <is>
          <t>A 6695-2022</t>
        </is>
      </c>
      <c r="B93" s="1" t="n">
        <v>44602</v>
      </c>
      <c r="C93" s="1" t="n">
        <v>46049</v>
      </c>
      <c r="D93" t="inlineStr">
        <is>
          <t>SÖDERMANLANDS LÄN</t>
        </is>
      </c>
      <c r="E93" t="inlineStr">
        <is>
          <t>KATRINEHOLM</t>
        </is>
      </c>
      <c r="G93" t="n">
        <v>3.4</v>
      </c>
      <c r="H93" t="n">
        <v>0</v>
      </c>
      <c r="I93" t="n">
        <v>0</v>
      </c>
      <c r="J93" t="n">
        <v>0</v>
      </c>
      <c r="K93" t="n">
        <v>0</v>
      </c>
      <c r="L93" t="n">
        <v>0</v>
      </c>
      <c r="M93" t="n">
        <v>0</v>
      </c>
      <c r="N93" t="n">
        <v>0</v>
      </c>
      <c r="O93" t="n">
        <v>0</v>
      </c>
      <c r="P93" t="n">
        <v>0</v>
      </c>
      <c r="Q93" t="n">
        <v>0</v>
      </c>
      <c r="R93" s="2" t="inlineStr"/>
    </row>
    <row r="94" ht="15" customHeight="1">
      <c r="A94" t="inlineStr">
        <is>
          <t>A 38019-2022</t>
        </is>
      </c>
      <c r="B94" s="1" t="n">
        <v>44811.61142361111</v>
      </c>
      <c r="C94" s="1" t="n">
        <v>46049</v>
      </c>
      <c r="D94" t="inlineStr">
        <is>
          <t>SÖDERMANLANDS LÄN</t>
        </is>
      </c>
      <c r="E94" t="inlineStr">
        <is>
          <t>KATRINEHOLM</t>
        </is>
      </c>
      <c r="G94" t="n">
        <v>5.8</v>
      </c>
      <c r="H94" t="n">
        <v>0</v>
      </c>
      <c r="I94" t="n">
        <v>0</v>
      </c>
      <c r="J94" t="n">
        <v>0</v>
      </c>
      <c r="K94" t="n">
        <v>0</v>
      </c>
      <c r="L94" t="n">
        <v>0</v>
      </c>
      <c r="M94" t="n">
        <v>0</v>
      </c>
      <c r="N94" t="n">
        <v>0</v>
      </c>
      <c r="O94" t="n">
        <v>0</v>
      </c>
      <c r="P94" t="n">
        <v>0</v>
      </c>
      <c r="Q94" t="n">
        <v>0</v>
      </c>
      <c r="R94" s="2" t="inlineStr"/>
    </row>
    <row r="95" ht="15" customHeight="1">
      <c r="A95" t="inlineStr">
        <is>
          <t>A 23028-2022</t>
        </is>
      </c>
      <c r="B95" s="1" t="n">
        <v>44719</v>
      </c>
      <c r="C95" s="1" t="n">
        <v>46049</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70422-2021</t>
        </is>
      </c>
      <c r="B96" s="1" t="n">
        <v>44536</v>
      </c>
      <c r="C96" s="1" t="n">
        <v>46049</v>
      </c>
      <c r="D96" t="inlineStr">
        <is>
          <t>SÖDERMANLANDS LÄN</t>
        </is>
      </c>
      <c r="E96" t="inlineStr">
        <is>
          <t>KATRINEHOLM</t>
        </is>
      </c>
      <c r="G96" t="n">
        <v>3.5</v>
      </c>
      <c r="H96" t="n">
        <v>0</v>
      </c>
      <c r="I96" t="n">
        <v>0</v>
      </c>
      <c r="J96" t="n">
        <v>0</v>
      </c>
      <c r="K96" t="n">
        <v>0</v>
      </c>
      <c r="L96" t="n">
        <v>0</v>
      </c>
      <c r="M96" t="n">
        <v>0</v>
      </c>
      <c r="N96" t="n">
        <v>0</v>
      </c>
      <c r="O96" t="n">
        <v>0</v>
      </c>
      <c r="P96" t="n">
        <v>0</v>
      </c>
      <c r="Q96" t="n">
        <v>0</v>
      </c>
      <c r="R96" s="2" t="inlineStr"/>
    </row>
    <row r="97" ht="15" customHeight="1">
      <c r="A97" t="inlineStr">
        <is>
          <t>A 36605-2021</t>
        </is>
      </c>
      <c r="B97" s="1" t="n">
        <v>44391</v>
      </c>
      <c r="C97" s="1" t="n">
        <v>46049</v>
      </c>
      <c r="D97" t="inlineStr">
        <is>
          <t>SÖDERMANLANDS LÄN</t>
        </is>
      </c>
      <c r="E97" t="inlineStr">
        <is>
          <t>KATRINEHOLM</t>
        </is>
      </c>
      <c r="G97" t="n">
        <v>1.1</v>
      </c>
      <c r="H97" t="n">
        <v>0</v>
      </c>
      <c r="I97" t="n">
        <v>0</v>
      </c>
      <c r="J97" t="n">
        <v>0</v>
      </c>
      <c r="K97" t="n">
        <v>0</v>
      </c>
      <c r="L97" t="n">
        <v>0</v>
      </c>
      <c r="M97" t="n">
        <v>0</v>
      </c>
      <c r="N97" t="n">
        <v>0</v>
      </c>
      <c r="O97" t="n">
        <v>0</v>
      </c>
      <c r="P97" t="n">
        <v>0</v>
      </c>
      <c r="Q97" t="n">
        <v>0</v>
      </c>
      <c r="R97" s="2" t="inlineStr"/>
    </row>
    <row r="98" ht="15" customHeight="1">
      <c r="A98" t="inlineStr">
        <is>
          <t>A 39862-2021</t>
        </is>
      </c>
      <c r="B98" s="1" t="n">
        <v>44417</v>
      </c>
      <c r="C98" s="1" t="n">
        <v>46049</v>
      </c>
      <c r="D98" t="inlineStr">
        <is>
          <t>SÖDERMANLANDS LÄN</t>
        </is>
      </c>
      <c r="E98" t="inlineStr">
        <is>
          <t>KATRINEHOLM</t>
        </is>
      </c>
      <c r="G98" t="n">
        <v>8.699999999999999</v>
      </c>
      <c r="H98" t="n">
        <v>0</v>
      </c>
      <c r="I98" t="n">
        <v>0</v>
      </c>
      <c r="J98" t="n">
        <v>0</v>
      </c>
      <c r="K98" t="n">
        <v>0</v>
      </c>
      <c r="L98" t="n">
        <v>0</v>
      </c>
      <c r="M98" t="n">
        <v>0</v>
      </c>
      <c r="N98" t="n">
        <v>0</v>
      </c>
      <c r="O98" t="n">
        <v>0</v>
      </c>
      <c r="P98" t="n">
        <v>0</v>
      </c>
      <c r="Q98" t="n">
        <v>0</v>
      </c>
      <c r="R98" s="2" t="inlineStr"/>
    </row>
    <row r="99" ht="15" customHeight="1">
      <c r="A99" t="inlineStr">
        <is>
          <t>A 61174-2021</t>
        </is>
      </c>
      <c r="B99" s="1" t="n">
        <v>44466</v>
      </c>
      <c r="C99" s="1" t="n">
        <v>46049</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46049</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56337-2021</t>
        </is>
      </c>
      <c r="B101" s="1" t="n">
        <v>44480</v>
      </c>
      <c r="C101" s="1" t="n">
        <v>46049</v>
      </c>
      <c r="D101" t="inlineStr">
        <is>
          <t>SÖDERMANLANDS LÄN</t>
        </is>
      </c>
      <c r="E101" t="inlineStr">
        <is>
          <t>KATRINEHOLM</t>
        </is>
      </c>
      <c r="F101" t="inlineStr">
        <is>
          <t>Holmen skog AB</t>
        </is>
      </c>
      <c r="G101" t="n">
        <v>0.6</v>
      </c>
      <c r="H101" t="n">
        <v>0</v>
      </c>
      <c r="I101" t="n">
        <v>0</v>
      </c>
      <c r="J101" t="n">
        <v>0</v>
      </c>
      <c r="K101" t="n">
        <v>0</v>
      </c>
      <c r="L101" t="n">
        <v>0</v>
      </c>
      <c r="M101" t="n">
        <v>0</v>
      </c>
      <c r="N101" t="n">
        <v>0</v>
      </c>
      <c r="O101" t="n">
        <v>0</v>
      </c>
      <c r="P101" t="n">
        <v>0</v>
      </c>
      <c r="Q101" t="n">
        <v>0</v>
      </c>
      <c r="R101" s="2" t="inlineStr"/>
    </row>
    <row r="102" ht="15" customHeight="1">
      <c r="A102" t="inlineStr">
        <is>
          <t>A 23239-2022</t>
        </is>
      </c>
      <c r="B102" s="1" t="n">
        <v>44719</v>
      </c>
      <c r="C102" s="1" t="n">
        <v>46049</v>
      </c>
      <c r="D102" t="inlineStr">
        <is>
          <t>SÖDERMANLANDS LÄN</t>
        </is>
      </c>
      <c r="E102" t="inlineStr">
        <is>
          <t>KATRINEHOLM</t>
        </is>
      </c>
      <c r="G102" t="n">
        <v>7.4</v>
      </c>
      <c r="H102" t="n">
        <v>0</v>
      </c>
      <c r="I102" t="n">
        <v>0</v>
      </c>
      <c r="J102" t="n">
        <v>0</v>
      </c>
      <c r="K102" t="n">
        <v>0</v>
      </c>
      <c r="L102" t="n">
        <v>0</v>
      </c>
      <c r="M102" t="n">
        <v>0</v>
      </c>
      <c r="N102" t="n">
        <v>0</v>
      </c>
      <c r="O102" t="n">
        <v>0</v>
      </c>
      <c r="P102" t="n">
        <v>0</v>
      </c>
      <c r="Q102" t="n">
        <v>0</v>
      </c>
      <c r="R102" s="2" t="inlineStr"/>
    </row>
    <row r="103" ht="15" customHeight="1">
      <c r="A103" t="inlineStr">
        <is>
          <t>A 31846-2021</t>
        </is>
      </c>
      <c r="B103" s="1" t="n">
        <v>44370</v>
      </c>
      <c r="C103" s="1" t="n">
        <v>46049</v>
      </c>
      <c r="D103" t="inlineStr">
        <is>
          <t>SÖDERMANLANDS LÄN</t>
        </is>
      </c>
      <c r="E103" t="inlineStr">
        <is>
          <t>KATRINEHOLM</t>
        </is>
      </c>
      <c r="G103" t="n">
        <v>4.9</v>
      </c>
      <c r="H103" t="n">
        <v>0</v>
      </c>
      <c r="I103" t="n">
        <v>0</v>
      </c>
      <c r="J103" t="n">
        <v>0</v>
      </c>
      <c r="K103" t="n">
        <v>0</v>
      </c>
      <c r="L103" t="n">
        <v>0</v>
      </c>
      <c r="M103" t="n">
        <v>0</v>
      </c>
      <c r="N103" t="n">
        <v>0</v>
      </c>
      <c r="O103" t="n">
        <v>0</v>
      </c>
      <c r="P103" t="n">
        <v>0</v>
      </c>
      <c r="Q103" t="n">
        <v>0</v>
      </c>
      <c r="R103" s="2" t="inlineStr"/>
    </row>
    <row r="104" ht="15" customHeight="1">
      <c r="A104" t="inlineStr">
        <is>
          <t>A 3572-2022</t>
        </is>
      </c>
      <c r="B104" s="1" t="n">
        <v>44585</v>
      </c>
      <c r="C104" s="1" t="n">
        <v>46049</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29264-2021</t>
        </is>
      </c>
      <c r="B105" s="1" t="n">
        <v>44361.34458333333</v>
      </c>
      <c r="C105" s="1" t="n">
        <v>46049</v>
      </c>
      <c r="D105" t="inlineStr">
        <is>
          <t>SÖDERMANLANDS LÄN</t>
        </is>
      </c>
      <c r="E105" t="inlineStr">
        <is>
          <t>KATRINEHOLM</t>
        </is>
      </c>
      <c r="G105" t="n">
        <v>5.3</v>
      </c>
      <c r="H105" t="n">
        <v>0</v>
      </c>
      <c r="I105" t="n">
        <v>0</v>
      </c>
      <c r="J105" t="n">
        <v>0</v>
      </c>
      <c r="K105" t="n">
        <v>0</v>
      </c>
      <c r="L105" t="n">
        <v>0</v>
      </c>
      <c r="M105" t="n">
        <v>0</v>
      </c>
      <c r="N105" t="n">
        <v>0</v>
      </c>
      <c r="O105" t="n">
        <v>0</v>
      </c>
      <c r="P105" t="n">
        <v>0</v>
      </c>
      <c r="Q105" t="n">
        <v>0</v>
      </c>
      <c r="R105" s="2" t="inlineStr"/>
    </row>
    <row r="106" ht="15" customHeight="1">
      <c r="A106" t="inlineStr">
        <is>
          <t>A 24207-2022</t>
        </is>
      </c>
      <c r="B106" s="1" t="n">
        <v>44725</v>
      </c>
      <c r="C106" s="1" t="n">
        <v>46049</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34070-2022</t>
        </is>
      </c>
      <c r="B107" s="1" t="n">
        <v>44791.42287037037</v>
      </c>
      <c r="C107" s="1" t="n">
        <v>46049</v>
      </c>
      <c r="D107" t="inlineStr">
        <is>
          <t>SÖDERMANLANDS LÄN</t>
        </is>
      </c>
      <c r="E107" t="inlineStr">
        <is>
          <t>KATRINEHOLM</t>
        </is>
      </c>
      <c r="G107" t="n">
        <v>1.8</v>
      </c>
      <c r="H107" t="n">
        <v>0</v>
      </c>
      <c r="I107" t="n">
        <v>0</v>
      </c>
      <c r="J107" t="n">
        <v>0</v>
      </c>
      <c r="K107" t="n">
        <v>0</v>
      </c>
      <c r="L107" t="n">
        <v>0</v>
      </c>
      <c r="M107" t="n">
        <v>0</v>
      </c>
      <c r="N107" t="n">
        <v>0</v>
      </c>
      <c r="O107" t="n">
        <v>0</v>
      </c>
      <c r="P107" t="n">
        <v>0</v>
      </c>
      <c r="Q107" t="n">
        <v>0</v>
      </c>
      <c r="R107" s="2" t="inlineStr"/>
    </row>
    <row r="108" ht="15" customHeight="1">
      <c r="A108" t="inlineStr">
        <is>
          <t>A 9576-2021</t>
        </is>
      </c>
      <c r="B108" s="1" t="n">
        <v>44251</v>
      </c>
      <c r="C108" s="1" t="n">
        <v>46049</v>
      </c>
      <c r="D108" t="inlineStr">
        <is>
          <t>SÖDERMANLANDS LÄN</t>
        </is>
      </c>
      <c r="E108" t="inlineStr">
        <is>
          <t>KATRINEHOLM</t>
        </is>
      </c>
      <c r="G108" t="n">
        <v>1.5</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46049</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46049</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46049</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9786-2022</t>
        </is>
      </c>
      <c r="B112" s="1" t="n">
        <v>44619</v>
      </c>
      <c r="C112" s="1" t="n">
        <v>46049</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41876-2021</t>
        </is>
      </c>
      <c r="B113" s="1" t="n">
        <v>44426</v>
      </c>
      <c r="C113" s="1" t="n">
        <v>46049</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2884-2022</t>
        </is>
      </c>
      <c r="B114" s="1" t="n">
        <v>44581</v>
      </c>
      <c r="C114" s="1" t="n">
        <v>46049</v>
      </c>
      <c r="D114" t="inlineStr">
        <is>
          <t>SÖDERMANLANDS LÄN</t>
        </is>
      </c>
      <c r="E114" t="inlineStr">
        <is>
          <t>KATRINEHOLM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46049</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46049</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2636-2022</t>
        </is>
      </c>
      <c r="B117" s="1" t="n">
        <v>44580.49780092593</v>
      </c>
      <c r="C117" s="1" t="n">
        <v>46049</v>
      </c>
      <c r="D117" t="inlineStr">
        <is>
          <t>SÖDERMANLANDS LÄN</t>
        </is>
      </c>
      <c r="E117" t="inlineStr">
        <is>
          <t>KATRINEHOLM</t>
        </is>
      </c>
      <c r="F117" t="inlineStr">
        <is>
          <t>Övriga Aktiebolag</t>
        </is>
      </c>
      <c r="G117" t="n">
        <v>2.5</v>
      </c>
      <c r="H117" t="n">
        <v>0</v>
      </c>
      <c r="I117" t="n">
        <v>0</v>
      </c>
      <c r="J117" t="n">
        <v>0</v>
      </c>
      <c r="K117" t="n">
        <v>0</v>
      </c>
      <c r="L117" t="n">
        <v>0</v>
      </c>
      <c r="M117" t="n">
        <v>0</v>
      </c>
      <c r="N117" t="n">
        <v>0</v>
      </c>
      <c r="O117" t="n">
        <v>0</v>
      </c>
      <c r="P117" t="n">
        <v>0</v>
      </c>
      <c r="Q117" t="n">
        <v>0</v>
      </c>
      <c r="R117" s="2" t="inlineStr"/>
    </row>
    <row r="118" ht="15" customHeight="1">
      <c r="A118" t="inlineStr">
        <is>
          <t>A 10093-2021</t>
        </is>
      </c>
      <c r="B118" s="1" t="n">
        <v>44256</v>
      </c>
      <c r="C118" s="1" t="n">
        <v>46049</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46049</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46049</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46049</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46049</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46049</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46049</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46049</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46049</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46049</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46049</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46049</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46049</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46049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46049</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46049</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46049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46049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46049</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46049</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46049</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46049</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46049</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46049</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46049</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46049</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46049</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46049</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46049</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46049</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46049</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59212-2021</t>
        </is>
      </c>
      <c r="B149" s="1" t="n">
        <v>44490.60873842592</v>
      </c>
      <c r="C149" s="1" t="n">
        <v>46049</v>
      </c>
      <c r="D149" t="inlineStr">
        <is>
          <t>SÖDERMANLANDS LÄN</t>
        </is>
      </c>
      <c r="E149" t="inlineStr">
        <is>
          <t>KATRINEHOLM</t>
        </is>
      </c>
      <c r="G149" t="n">
        <v>2.6</v>
      </c>
      <c r="H149" t="n">
        <v>0</v>
      </c>
      <c r="I149" t="n">
        <v>0</v>
      </c>
      <c r="J149" t="n">
        <v>0</v>
      </c>
      <c r="K149" t="n">
        <v>0</v>
      </c>
      <c r="L149" t="n">
        <v>0</v>
      </c>
      <c r="M149" t="n">
        <v>0</v>
      </c>
      <c r="N149" t="n">
        <v>0</v>
      </c>
      <c r="O149" t="n">
        <v>0</v>
      </c>
      <c r="P149" t="n">
        <v>0</v>
      </c>
      <c r="Q149" t="n">
        <v>0</v>
      </c>
      <c r="R149" s="2" t="inlineStr"/>
    </row>
    <row r="150" ht="15" customHeight="1">
      <c r="A150" t="inlineStr">
        <is>
          <t>A 7550-2022</t>
        </is>
      </c>
      <c r="B150" s="1" t="n">
        <v>44607</v>
      </c>
      <c r="C150" s="1" t="n">
        <v>46049</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51602-2022</t>
        </is>
      </c>
      <c r="B151" s="1" t="n">
        <v>44871.69347222222</v>
      </c>
      <c r="C151" s="1" t="n">
        <v>46049</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11070-2021</t>
        </is>
      </c>
      <c r="B152" s="1" t="n">
        <v>44260</v>
      </c>
      <c r="C152" s="1" t="n">
        <v>46049</v>
      </c>
      <c r="D152" t="inlineStr">
        <is>
          <t>SÖDERMANLANDS LÄN</t>
        </is>
      </c>
      <c r="E152" t="inlineStr">
        <is>
          <t>KATRINEHOLM</t>
        </is>
      </c>
      <c r="F152" t="inlineStr">
        <is>
          <t>Allmännings- och besparingsskogar</t>
        </is>
      </c>
      <c r="G152" t="n">
        <v>2.9</v>
      </c>
      <c r="H152" t="n">
        <v>0</v>
      </c>
      <c r="I152" t="n">
        <v>0</v>
      </c>
      <c r="J152" t="n">
        <v>0</v>
      </c>
      <c r="K152" t="n">
        <v>0</v>
      </c>
      <c r="L152" t="n">
        <v>0</v>
      </c>
      <c r="M152" t="n">
        <v>0</v>
      </c>
      <c r="N152" t="n">
        <v>0</v>
      </c>
      <c r="O152" t="n">
        <v>0</v>
      </c>
      <c r="P152" t="n">
        <v>0</v>
      </c>
      <c r="Q152" t="n">
        <v>0</v>
      </c>
      <c r="R152" s="2" t="inlineStr"/>
    </row>
    <row r="153" ht="15" customHeight="1">
      <c r="A153" t="inlineStr">
        <is>
          <t>A 25893-2022</t>
        </is>
      </c>
      <c r="B153" s="1" t="n">
        <v>44733.77543981482</v>
      </c>
      <c r="C153" s="1" t="n">
        <v>46049</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24199-2022</t>
        </is>
      </c>
      <c r="B154" s="1" t="n">
        <v>44725</v>
      </c>
      <c r="C154" s="1" t="n">
        <v>46049</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38835-2021</t>
        </is>
      </c>
      <c r="B155" s="1" t="n">
        <v>44411</v>
      </c>
      <c r="C155" s="1" t="n">
        <v>46049</v>
      </c>
      <c r="D155" t="inlineStr">
        <is>
          <t>SÖDERMANLANDS LÄN</t>
        </is>
      </c>
      <c r="E155" t="inlineStr">
        <is>
          <t>KATRINEHOLM</t>
        </is>
      </c>
      <c r="G155" t="n">
        <v>10.2</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46049</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46049</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44795.44392361111</v>
      </c>
      <c r="C158" s="1" t="n">
        <v>46049</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46049</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46049</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46049</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46049</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45231.40846064815</v>
      </c>
      <c r="C163" s="1" t="n">
        <v>46049</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46049</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46049</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46049</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46049</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44872.57288194444</v>
      </c>
      <c r="C168" s="1" t="n">
        <v>46049</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46049</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46049</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46049</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2877-2022</t>
        </is>
      </c>
      <c r="B172" s="1" t="n">
        <v>44581</v>
      </c>
      <c r="C172" s="1" t="n">
        <v>46049</v>
      </c>
      <c r="D172" t="inlineStr">
        <is>
          <t>SÖDERMANLANDS LÄN</t>
        </is>
      </c>
      <c r="E172" t="inlineStr">
        <is>
          <t>KATRINEHOLM</t>
        </is>
      </c>
      <c r="G172" t="n">
        <v>10.3</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46049</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33753-2022</t>
        </is>
      </c>
      <c r="B174" s="1" t="n">
        <v>44789</v>
      </c>
      <c r="C174" s="1" t="n">
        <v>46049</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53791-2021</t>
        </is>
      </c>
      <c r="B175" s="1" t="n">
        <v>44467</v>
      </c>
      <c r="C175" s="1" t="n">
        <v>46049</v>
      </c>
      <c r="D175" t="inlineStr">
        <is>
          <t>SÖDERMANLANDS LÄN</t>
        </is>
      </c>
      <c r="E175" t="inlineStr">
        <is>
          <t>KATRINEHOLM</t>
        </is>
      </c>
      <c r="G175" t="n">
        <v>2.7</v>
      </c>
      <c r="H175" t="n">
        <v>0</v>
      </c>
      <c r="I175" t="n">
        <v>0</v>
      </c>
      <c r="J175" t="n">
        <v>0</v>
      </c>
      <c r="K175" t="n">
        <v>0</v>
      </c>
      <c r="L175" t="n">
        <v>0</v>
      </c>
      <c r="M175" t="n">
        <v>0</v>
      </c>
      <c r="N175" t="n">
        <v>0</v>
      </c>
      <c r="O175" t="n">
        <v>0</v>
      </c>
      <c r="P175" t="n">
        <v>0</v>
      </c>
      <c r="Q175" t="n">
        <v>0</v>
      </c>
      <c r="R175" s="2" t="inlineStr"/>
    </row>
    <row r="176" ht="15" customHeight="1">
      <c r="A176" t="inlineStr">
        <is>
          <t>A 4767-2021</t>
        </is>
      </c>
      <c r="B176" s="1" t="n">
        <v>44225</v>
      </c>
      <c r="C176" s="1" t="n">
        <v>46049</v>
      </c>
      <c r="D176" t="inlineStr">
        <is>
          <t>SÖDERMANLANDS LÄN</t>
        </is>
      </c>
      <c r="E176" t="inlineStr">
        <is>
          <t>KATRINEHOLM</t>
        </is>
      </c>
      <c r="G176" t="n">
        <v>3.8</v>
      </c>
      <c r="H176" t="n">
        <v>0</v>
      </c>
      <c r="I176" t="n">
        <v>0</v>
      </c>
      <c r="J176" t="n">
        <v>0</v>
      </c>
      <c r="K176" t="n">
        <v>0</v>
      </c>
      <c r="L176" t="n">
        <v>0</v>
      </c>
      <c r="M176" t="n">
        <v>0</v>
      </c>
      <c r="N176" t="n">
        <v>0</v>
      </c>
      <c r="O176" t="n">
        <v>0</v>
      </c>
      <c r="P176" t="n">
        <v>0</v>
      </c>
      <c r="Q176" t="n">
        <v>0</v>
      </c>
      <c r="R176" s="2" t="inlineStr"/>
    </row>
    <row r="177" ht="15" customHeight="1">
      <c r="A177" t="inlineStr">
        <is>
          <t>A 38607-2021</t>
        </is>
      </c>
      <c r="B177" s="1" t="n">
        <v>44409.41428240741</v>
      </c>
      <c r="C177" s="1" t="n">
        <v>46049</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38606-2021</t>
        </is>
      </c>
      <c r="B178" s="1" t="n">
        <v>44409.40363425926</v>
      </c>
      <c r="C178" s="1" t="n">
        <v>46049</v>
      </c>
      <c r="D178" t="inlineStr">
        <is>
          <t>SÖDERMANLANDS LÄN</t>
        </is>
      </c>
      <c r="E178" t="inlineStr">
        <is>
          <t>KATRINEHOLM</t>
        </is>
      </c>
      <c r="G178" t="n">
        <v>2.2</v>
      </c>
      <c r="H178" t="n">
        <v>0</v>
      </c>
      <c r="I178" t="n">
        <v>0</v>
      </c>
      <c r="J178" t="n">
        <v>0</v>
      </c>
      <c r="K178" t="n">
        <v>0</v>
      </c>
      <c r="L178" t="n">
        <v>0</v>
      </c>
      <c r="M178" t="n">
        <v>0</v>
      </c>
      <c r="N178" t="n">
        <v>0</v>
      </c>
      <c r="O178" t="n">
        <v>0</v>
      </c>
      <c r="P178" t="n">
        <v>0</v>
      </c>
      <c r="Q178" t="n">
        <v>0</v>
      </c>
      <c r="R178" s="2" t="inlineStr"/>
    </row>
    <row r="179" ht="15" customHeight="1">
      <c r="A179" t="inlineStr">
        <is>
          <t>A 7240-2021</t>
        </is>
      </c>
      <c r="B179" s="1" t="n">
        <v>44238</v>
      </c>
      <c r="C179" s="1" t="n">
        <v>46049</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46049</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54698-2021</t>
        </is>
      </c>
      <c r="B181" s="1" t="n">
        <v>44473</v>
      </c>
      <c r="C181" s="1" t="n">
        <v>46049</v>
      </c>
      <c r="D181" t="inlineStr">
        <is>
          <t>SÖDERMANLANDS LÄN</t>
        </is>
      </c>
      <c r="E181" t="inlineStr">
        <is>
          <t>KATRINEHOLM</t>
        </is>
      </c>
      <c r="F181" t="inlineStr">
        <is>
          <t>Holmen skog AB</t>
        </is>
      </c>
      <c r="G181" t="n">
        <v>1.7</v>
      </c>
      <c r="H181" t="n">
        <v>0</v>
      </c>
      <c r="I181" t="n">
        <v>0</v>
      </c>
      <c r="J181" t="n">
        <v>0</v>
      </c>
      <c r="K181" t="n">
        <v>0</v>
      </c>
      <c r="L181" t="n">
        <v>0</v>
      </c>
      <c r="M181" t="n">
        <v>0</v>
      </c>
      <c r="N181" t="n">
        <v>0</v>
      </c>
      <c r="O181" t="n">
        <v>0</v>
      </c>
      <c r="P181" t="n">
        <v>0</v>
      </c>
      <c r="Q181" t="n">
        <v>0</v>
      </c>
      <c r="R181" s="2" t="inlineStr"/>
    </row>
    <row r="182" ht="15" customHeight="1">
      <c r="A182" t="inlineStr">
        <is>
          <t>A 12658-2022</t>
        </is>
      </c>
      <c r="B182" s="1" t="n">
        <v>44641</v>
      </c>
      <c r="C182" s="1" t="n">
        <v>46049</v>
      </c>
      <c r="D182" t="inlineStr">
        <is>
          <t>SÖDERMANLANDS LÄN</t>
        </is>
      </c>
      <c r="E182" t="inlineStr">
        <is>
          <t>KATRINEHOLM</t>
        </is>
      </c>
      <c r="G182" t="n">
        <v>1.4</v>
      </c>
      <c r="H182" t="n">
        <v>0</v>
      </c>
      <c r="I182" t="n">
        <v>0</v>
      </c>
      <c r="J182" t="n">
        <v>0</v>
      </c>
      <c r="K182" t="n">
        <v>0</v>
      </c>
      <c r="L182" t="n">
        <v>0</v>
      </c>
      <c r="M182" t="n">
        <v>0</v>
      </c>
      <c r="N182" t="n">
        <v>0</v>
      </c>
      <c r="O182" t="n">
        <v>0</v>
      </c>
      <c r="P182" t="n">
        <v>0</v>
      </c>
      <c r="Q182" t="n">
        <v>0</v>
      </c>
      <c r="R182" s="2" t="inlineStr"/>
    </row>
    <row r="183" ht="15" customHeight="1">
      <c r="A183" t="inlineStr">
        <is>
          <t>A 46412-2022</t>
        </is>
      </c>
      <c r="B183" s="1" t="n">
        <v>44848.42216435185</v>
      </c>
      <c r="C183" s="1" t="n">
        <v>46049</v>
      </c>
      <c r="D183" t="inlineStr">
        <is>
          <t>SÖDERMANLANDS LÄN</t>
        </is>
      </c>
      <c r="E183" t="inlineStr">
        <is>
          <t>KATRINEHOLM</t>
        </is>
      </c>
      <c r="G183" t="n">
        <v>0.8</v>
      </c>
      <c r="H183" t="n">
        <v>0</v>
      </c>
      <c r="I183" t="n">
        <v>0</v>
      </c>
      <c r="J183" t="n">
        <v>0</v>
      </c>
      <c r="K183" t="n">
        <v>0</v>
      </c>
      <c r="L183" t="n">
        <v>0</v>
      </c>
      <c r="M183" t="n">
        <v>0</v>
      </c>
      <c r="N183" t="n">
        <v>0</v>
      </c>
      <c r="O183" t="n">
        <v>0</v>
      </c>
      <c r="P183" t="n">
        <v>0</v>
      </c>
      <c r="Q183" t="n">
        <v>0</v>
      </c>
      <c r="R183" s="2" t="inlineStr"/>
    </row>
    <row r="184" ht="15" customHeight="1">
      <c r="A184" t="inlineStr">
        <is>
          <t>A 56572-2021</t>
        </is>
      </c>
      <c r="B184" s="1" t="n">
        <v>44480</v>
      </c>
      <c r="C184" s="1" t="n">
        <v>46049</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46049</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46049</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51885-2022</t>
        </is>
      </c>
      <c r="B187" s="1" t="n">
        <v>44872.60384259259</v>
      </c>
      <c r="C187" s="1" t="n">
        <v>46049</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42735-2022</t>
        </is>
      </c>
      <c r="B188" s="1" t="n">
        <v>44832</v>
      </c>
      <c r="C188" s="1" t="n">
        <v>46049</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45038-2022</t>
        </is>
      </c>
      <c r="B189" s="1" t="n">
        <v>44840</v>
      </c>
      <c r="C189" s="1" t="n">
        <v>46049</v>
      </c>
      <c r="D189" t="inlineStr">
        <is>
          <t>SÖDERMANLANDS LÄN</t>
        </is>
      </c>
      <c r="E189" t="inlineStr">
        <is>
          <t>KATRINEHOLM</t>
        </is>
      </c>
      <c r="G189" t="n">
        <v>3.6</v>
      </c>
      <c r="H189" t="n">
        <v>0</v>
      </c>
      <c r="I189" t="n">
        <v>0</v>
      </c>
      <c r="J189" t="n">
        <v>0</v>
      </c>
      <c r="K189" t="n">
        <v>0</v>
      </c>
      <c r="L189" t="n">
        <v>0</v>
      </c>
      <c r="M189" t="n">
        <v>0</v>
      </c>
      <c r="N189" t="n">
        <v>0</v>
      </c>
      <c r="O189" t="n">
        <v>0</v>
      </c>
      <c r="P189" t="n">
        <v>0</v>
      </c>
      <c r="Q189" t="n">
        <v>0</v>
      </c>
      <c r="R189" s="2" t="inlineStr"/>
    </row>
    <row r="190" ht="15" customHeight="1">
      <c r="A190" t="inlineStr">
        <is>
          <t>A 67351-2021</t>
        </is>
      </c>
      <c r="B190" s="1" t="n">
        <v>44523</v>
      </c>
      <c r="C190" s="1" t="n">
        <v>46049</v>
      </c>
      <c r="D190" t="inlineStr">
        <is>
          <t>SÖDERMANLANDS LÄN</t>
        </is>
      </c>
      <c r="E190" t="inlineStr">
        <is>
          <t>KATRINEHOLM</t>
        </is>
      </c>
      <c r="G190" t="n">
        <v>5.4</v>
      </c>
      <c r="H190" t="n">
        <v>0</v>
      </c>
      <c r="I190" t="n">
        <v>0</v>
      </c>
      <c r="J190" t="n">
        <v>0</v>
      </c>
      <c r="K190" t="n">
        <v>0</v>
      </c>
      <c r="L190" t="n">
        <v>0</v>
      </c>
      <c r="M190" t="n">
        <v>0</v>
      </c>
      <c r="N190" t="n">
        <v>0</v>
      </c>
      <c r="O190" t="n">
        <v>0</v>
      </c>
      <c r="P190" t="n">
        <v>0</v>
      </c>
      <c r="Q190" t="n">
        <v>0</v>
      </c>
      <c r="R190" s="2" t="inlineStr"/>
    </row>
    <row r="191" ht="15" customHeight="1">
      <c r="A191" t="inlineStr">
        <is>
          <t>A 32733-2021</t>
        </is>
      </c>
      <c r="B191" s="1" t="n">
        <v>44375</v>
      </c>
      <c r="C191" s="1" t="n">
        <v>46049</v>
      </c>
      <c r="D191" t="inlineStr">
        <is>
          <t>SÖDERMANLANDS LÄN</t>
        </is>
      </c>
      <c r="E191" t="inlineStr">
        <is>
          <t>KATRINEHOLM</t>
        </is>
      </c>
      <c r="G191" t="n">
        <v>9</v>
      </c>
      <c r="H191" t="n">
        <v>0</v>
      </c>
      <c r="I191" t="n">
        <v>0</v>
      </c>
      <c r="J191" t="n">
        <v>0</v>
      </c>
      <c r="K191" t="n">
        <v>0</v>
      </c>
      <c r="L191" t="n">
        <v>0</v>
      </c>
      <c r="M191" t="n">
        <v>0</v>
      </c>
      <c r="N191" t="n">
        <v>0</v>
      </c>
      <c r="O191" t="n">
        <v>0</v>
      </c>
      <c r="P191" t="n">
        <v>0</v>
      </c>
      <c r="Q191" t="n">
        <v>0</v>
      </c>
      <c r="R191" s="2" t="inlineStr"/>
      <c r="U191">
        <f>HYPERLINK("https://klasma.github.io/Logging_0483/knärot/A 32733-2021 karta knärot.png", "A 32733-2021")</f>
        <v/>
      </c>
      <c r="V191">
        <f>HYPERLINK("https://klasma.github.io/Logging_0483/klagomål/A 32733-2021 FSC-klagomål.docx", "A 32733-2021")</f>
        <v/>
      </c>
      <c r="W191">
        <f>HYPERLINK("https://klasma.github.io/Logging_0483/klagomålsmail/A 32733-2021 FSC-klagomål mail.docx", "A 32733-2021")</f>
        <v/>
      </c>
      <c r="X191">
        <f>HYPERLINK("https://klasma.github.io/Logging_0483/tillsyn/A 32733-2021 tillsynsbegäran.docx", "A 32733-2021")</f>
        <v/>
      </c>
      <c r="Y191">
        <f>HYPERLINK("https://klasma.github.io/Logging_0483/tillsynsmail/A 32733-2021 tillsynsbegäran mail.docx", "A 32733-2021")</f>
        <v/>
      </c>
    </row>
    <row r="192" ht="15" customHeight="1">
      <c r="A192" t="inlineStr">
        <is>
          <t>A 24098-2022</t>
        </is>
      </c>
      <c r="B192" s="1" t="n">
        <v>44725</v>
      </c>
      <c r="C192" s="1" t="n">
        <v>46049</v>
      </c>
      <c r="D192" t="inlineStr">
        <is>
          <t>SÖDERMANLANDS LÄN</t>
        </is>
      </c>
      <c r="E192" t="inlineStr">
        <is>
          <t>KATRINEHOLM</t>
        </is>
      </c>
      <c r="G192" t="n">
        <v>1.9</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46049</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12760-2021</t>
        </is>
      </c>
      <c r="B194" s="1" t="n">
        <v>44270</v>
      </c>
      <c r="C194" s="1" t="n">
        <v>46049</v>
      </c>
      <c r="D194" t="inlineStr">
        <is>
          <t>SÖDERMANLANDS LÄN</t>
        </is>
      </c>
      <c r="E194" t="inlineStr">
        <is>
          <t>KATRINEHOLM</t>
        </is>
      </c>
      <c r="F194" t="inlineStr">
        <is>
          <t>Kyrkan</t>
        </is>
      </c>
      <c r="G194" t="n">
        <v>1.2</v>
      </c>
      <c r="H194" t="n">
        <v>0</v>
      </c>
      <c r="I194" t="n">
        <v>0</v>
      </c>
      <c r="J194" t="n">
        <v>0</v>
      </c>
      <c r="K194" t="n">
        <v>0</v>
      </c>
      <c r="L194" t="n">
        <v>0</v>
      </c>
      <c r="M194" t="n">
        <v>0</v>
      </c>
      <c r="N194" t="n">
        <v>0</v>
      </c>
      <c r="O194" t="n">
        <v>0</v>
      </c>
      <c r="P194" t="n">
        <v>0</v>
      </c>
      <c r="Q194" t="n">
        <v>0</v>
      </c>
      <c r="R194" s="2" t="inlineStr"/>
    </row>
    <row r="195" ht="15" customHeight="1">
      <c r="A195" t="inlineStr">
        <is>
          <t>A 65162-2021</t>
        </is>
      </c>
      <c r="B195" s="1" t="n">
        <v>44512</v>
      </c>
      <c r="C195" s="1" t="n">
        <v>46049</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30567-2022</t>
        </is>
      </c>
      <c r="B196" s="1" t="n">
        <v>44762</v>
      </c>
      <c r="C196" s="1" t="n">
        <v>46049</v>
      </c>
      <c r="D196" t="inlineStr">
        <is>
          <t>SÖDERMANLANDS LÄN</t>
        </is>
      </c>
      <c r="E196" t="inlineStr">
        <is>
          <t>KATRINEHOLM</t>
        </is>
      </c>
      <c r="F196" t="inlineStr">
        <is>
          <t>Övriga Aktiebolag</t>
        </is>
      </c>
      <c r="G196" t="n">
        <v>0.5</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46049</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46049</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45147-2021</t>
        </is>
      </c>
      <c r="B199" s="1" t="n">
        <v>44439</v>
      </c>
      <c r="C199" s="1" t="n">
        <v>46049</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46049</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7705-2021</t>
        </is>
      </c>
      <c r="B201" s="1" t="n">
        <v>44242</v>
      </c>
      <c r="C201" s="1" t="n">
        <v>46049</v>
      </c>
      <c r="D201" t="inlineStr">
        <is>
          <t>SÖDERMANLANDS LÄN</t>
        </is>
      </c>
      <c r="E201" t="inlineStr">
        <is>
          <t>KATRINEHOLM</t>
        </is>
      </c>
      <c r="F201" t="inlineStr">
        <is>
          <t>Allmännings- och besparingsskogar</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46049</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46049</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46049</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46049</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35188-2022</t>
        </is>
      </c>
      <c r="B206" s="1" t="n">
        <v>44797</v>
      </c>
      <c r="C206" s="1" t="n">
        <v>46049</v>
      </c>
      <c r="D206" t="inlineStr">
        <is>
          <t>SÖDERMANLANDS LÄN</t>
        </is>
      </c>
      <c r="E206" t="inlineStr">
        <is>
          <t>KATRINEHOLM</t>
        </is>
      </c>
      <c r="G206" t="n">
        <v>3</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46049</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46049</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46049</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58473-2021</t>
        </is>
      </c>
      <c r="B210" s="1" t="n">
        <v>44488</v>
      </c>
      <c r="C210" s="1" t="n">
        <v>46049</v>
      </c>
      <c r="D210" t="inlineStr">
        <is>
          <t>SÖDERMANLANDS LÄN</t>
        </is>
      </c>
      <c r="E210" t="inlineStr">
        <is>
          <t>KATRINEHOLM</t>
        </is>
      </c>
      <c r="G210" t="n">
        <v>0.5</v>
      </c>
      <c r="H210" t="n">
        <v>0</v>
      </c>
      <c r="I210" t="n">
        <v>0</v>
      </c>
      <c r="J210" t="n">
        <v>0</v>
      </c>
      <c r="K210" t="n">
        <v>0</v>
      </c>
      <c r="L210" t="n">
        <v>0</v>
      </c>
      <c r="M210" t="n">
        <v>0</v>
      </c>
      <c r="N210" t="n">
        <v>0</v>
      </c>
      <c r="O210" t="n">
        <v>0</v>
      </c>
      <c r="P210" t="n">
        <v>0</v>
      </c>
      <c r="Q210" t="n">
        <v>0</v>
      </c>
      <c r="R210" s="2" t="inlineStr"/>
    </row>
    <row r="211" ht="15" customHeight="1">
      <c r="A211" t="inlineStr">
        <is>
          <t>A 17246-2024</t>
        </is>
      </c>
      <c r="B211" s="1" t="n">
        <v>45414</v>
      </c>
      <c r="C211" s="1" t="n">
        <v>46049</v>
      </c>
      <c r="D211" t="inlineStr">
        <is>
          <t>SÖDERMANLANDS LÄN</t>
        </is>
      </c>
      <c r="E211" t="inlineStr">
        <is>
          <t>KATRINEHOLM</t>
        </is>
      </c>
      <c r="F211" t="inlineStr">
        <is>
          <t>Allmännings- och besparingsskogar</t>
        </is>
      </c>
      <c r="G211" t="n">
        <v>13.7</v>
      </c>
      <c r="H211" t="n">
        <v>0</v>
      </c>
      <c r="I211" t="n">
        <v>0</v>
      </c>
      <c r="J211" t="n">
        <v>0</v>
      </c>
      <c r="K211" t="n">
        <v>0</v>
      </c>
      <c r="L211" t="n">
        <v>0</v>
      </c>
      <c r="M211" t="n">
        <v>0</v>
      </c>
      <c r="N211" t="n">
        <v>0</v>
      </c>
      <c r="O211" t="n">
        <v>0</v>
      </c>
      <c r="P211" t="n">
        <v>0</v>
      </c>
      <c r="Q211" t="n">
        <v>0</v>
      </c>
      <c r="R211" s="2" t="inlineStr"/>
    </row>
    <row r="212" ht="15" customHeight="1">
      <c r="A212" t="inlineStr">
        <is>
          <t>A 9693-2024</t>
        </is>
      </c>
      <c r="B212" s="1" t="n">
        <v>45362</v>
      </c>
      <c r="C212" s="1" t="n">
        <v>46049</v>
      </c>
      <c r="D212" t="inlineStr">
        <is>
          <t>SÖDERMANLANDS LÄN</t>
        </is>
      </c>
      <c r="E212" t="inlineStr">
        <is>
          <t>KATRINEHOLM</t>
        </is>
      </c>
      <c r="G212" t="n">
        <v>5.9</v>
      </c>
      <c r="H212" t="n">
        <v>0</v>
      </c>
      <c r="I212" t="n">
        <v>0</v>
      </c>
      <c r="J212" t="n">
        <v>0</v>
      </c>
      <c r="K212" t="n">
        <v>0</v>
      </c>
      <c r="L212" t="n">
        <v>0</v>
      </c>
      <c r="M212" t="n">
        <v>0</v>
      </c>
      <c r="N212" t="n">
        <v>0</v>
      </c>
      <c r="O212" t="n">
        <v>0</v>
      </c>
      <c r="P212" t="n">
        <v>0</v>
      </c>
      <c r="Q212" t="n">
        <v>0</v>
      </c>
      <c r="R212" s="2" t="inlineStr"/>
    </row>
    <row r="213" ht="15" customHeight="1">
      <c r="A213" t="inlineStr">
        <is>
          <t>A 43964-2022</t>
        </is>
      </c>
      <c r="B213" s="1" t="n">
        <v>44837</v>
      </c>
      <c r="C213" s="1" t="n">
        <v>46049</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20460-2025</t>
        </is>
      </c>
      <c r="B214" s="1" t="n">
        <v>45775.52854166667</v>
      </c>
      <c r="C214" s="1" t="n">
        <v>46049</v>
      </c>
      <c r="D214" t="inlineStr">
        <is>
          <t>SÖDERMANLANDS LÄN</t>
        </is>
      </c>
      <c r="E214" t="inlineStr">
        <is>
          <t>KATRINEHOLM</t>
        </is>
      </c>
      <c r="G214" t="n">
        <v>0.6</v>
      </c>
      <c r="H214" t="n">
        <v>0</v>
      </c>
      <c r="I214" t="n">
        <v>0</v>
      </c>
      <c r="J214" t="n">
        <v>0</v>
      </c>
      <c r="K214" t="n">
        <v>0</v>
      </c>
      <c r="L214" t="n">
        <v>0</v>
      </c>
      <c r="M214" t="n">
        <v>0</v>
      </c>
      <c r="N214" t="n">
        <v>0</v>
      </c>
      <c r="O214" t="n">
        <v>0</v>
      </c>
      <c r="P214" t="n">
        <v>0</v>
      </c>
      <c r="Q214" t="n">
        <v>0</v>
      </c>
      <c r="R214" s="2" t="inlineStr"/>
    </row>
    <row r="215" ht="15" customHeight="1">
      <c r="A215" t="inlineStr">
        <is>
          <t>A 42015-2022</t>
        </is>
      </c>
      <c r="B215" s="1" t="n">
        <v>44830.4649074074</v>
      </c>
      <c r="C215" s="1" t="n">
        <v>46049</v>
      </c>
      <c r="D215" t="inlineStr">
        <is>
          <t>SÖDERMANLANDS LÄN</t>
        </is>
      </c>
      <c r="E215" t="inlineStr">
        <is>
          <t>KATRINEHOLM</t>
        </is>
      </c>
      <c r="G215" t="n">
        <v>3.8</v>
      </c>
      <c r="H215" t="n">
        <v>0</v>
      </c>
      <c r="I215" t="n">
        <v>0</v>
      </c>
      <c r="J215" t="n">
        <v>0</v>
      </c>
      <c r="K215" t="n">
        <v>0</v>
      </c>
      <c r="L215" t="n">
        <v>0</v>
      </c>
      <c r="M215" t="n">
        <v>0</v>
      </c>
      <c r="N215" t="n">
        <v>0</v>
      </c>
      <c r="O215" t="n">
        <v>0</v>
      </c>
      <c r="P215" t="n">
        <v>0</v>
      </c>
      <c r="Q215" t="n">
        <v>0</v>
      </c>
      <c r="R215" s="2" t="inlineStr"/>
    </row>
    <row r="216" ht="15" customHeight="1">
      <c r="A216" t="inlineStr">
        <is>
          <t>A 42020-2022</t>
        </is>
      </c>
      <c r="B216" s="1" t="n">
        <v>44830.46849537037</v>
      </c>
      <c r="C216" s="1" t="n">
        <v>46049</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55846-2022</t>
        </is>
      </c>
      <c r="B217" s="1" t="n">
        <v>44888</v>
      </c>
      <c r="C217" s="1" t="n">
        <v>46049</v>
      </c>
      <c r="D217" t="inlineStr">
        <is>
          <t>SÖDERMANLANDS LÄN</t>
        </is>
      </c>
      <c r="E217" t="inlineStr">
        <is>
          <t>KATRINEHOLM</t>
        </is>
      </c>
      <c r="G217" t="n">
        <v>6.5</v>
      </c>
      <c r="H217" t="n">
        <v>0</v>
      </c>
      <c r="I217" t="n">
        <v>0</v>
      </c>
      <c r="J217" t="n">
        <v>0</v>
      </c>
      <c r="K217" t="n">
        <v>0</v>
      </c>
      <c r="L217" t="n">
        <v>0</v>
      </c>
      <c r="M217" t="n">
        <v>0</v>
      </c>
      <c r="N217" t="n">
        <v>0</v>
      </c>
      <c r="O217" t="n">
        <v>0</v>
      </c>
      <c r="P217" t="n">
        <v>0</v>
      </c>
      <c r="Q217" t="n">
        <v>0</v>
      </c>
      <c r="R217" s="2" t="inlineStr"/>
    </row>
    <row r="218" ht="15" customHeight="1">
      <c r="A218" t="inlineStr">
        <is>
          <t>A 53722-2023</t>
        </is>
      </c>
      <c r="B218" s="1" t="n">
        <v>45230</v>
      </c>
      <c r="C218" s="1" t="n">
        <v>46049</v>
      </c>
      <c r="D218" t="inlineStr">
        <is>
          <t>SÖDERMANLANDS LÄN</t>
        </is>
      </c>
      <c r="E218" t="inlineStr">
        <is>
          <t>KATRINEHOLM</t>
        </is>
      </c>
      <c r="F218" t="inlineStr">
        <is>
          <t>Allmännings- och besparingsskogar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48520-2023</t>
        </is>
      </c>
      <c r="B219" s="1" t="n">
        <v>45208</v>
      </c>
      <c r="C219" s="1" t="n">
        <v>46049</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56661-2021</t>
        </is>
      </c>
      <c r="B220" s="1" t="n">
        <v>44481.24327546296</v>
      </c>
      <c r="C220" s="1" t="n">
        <v>46049</v>
      </c>
      <c r="D220" t="inlineStr">
        <is>
          <t>SÖDERMANLANDS LÄN</t>
        </is>
      </c>
      <c r="E220" t="inlineStr">
        <is>
          <t>KATRINEHOLM</t>
        </is>
      </c>
      <c r="G220" t="n">
        <v>5.8</v>
      </c>
      <c r="H220" t="n">
        <v>0</v>
      </c>
      <c r="I220" t="n">
        <v>0</v>
      </c>
      <c r="J220" t="n">
        <v>0</v>
      </c>
      <c r="K220" t="n">
        <v>0</v>
      </c>
      <c r="L220" t="n">
        <v>0</v>
      </c>
      <c r="M220" t="n">
        <v>0</v>
      </c>
      <c r="N220" t="n">
        <v>0</v>
      </c>
      <c r="O220" t="n">
        <v>0</v>
      </c>
      <c r="P220" t="n">
        <v>0</v>
      </c>
      <c r="Q220" t="n">
        <v>0</v>
      </c>
      <c r="R220" s="2" t="inlineStr"/>
    </row>
    <row r="221" ht="15" customHeight="1">
      <c r="A221" t="inlineStr">
        <is>
          <t>A 55863-2022</t>
        </is>
      </c>
      <c r="B221" s="1" t="n">
        <v>44888</v>
      </c>
      <c r="C221" s="1" t="n">
        <v>46049</v>
      </c>
      <c r="D221" t="inlineStr">
        <is>
          <t>SÖDERMANLANDS LÄN</t>
        </is>
      </c>
      <c r="E221" t="inlineStr">
        <is>
          <t>KATRINEHOLM</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55865-2022</t>
        </is>
      </c>
      <c r="B222" s="1" t="n">
        <v>44888</v>
      </c>
      <c r="C222" s="1" t="n">
        <v>46049</v>
      </c>
      <c r="D222" t="inlineStr">
        <is>
          <t>SÖDERMANLANDS LÄN</t>
        </is>
      </c>
      <c r="E222" t="inlineStr">
        <is>
          <t>KATRINEHOLM</t>
        </is>
      </c>
      <c r="G222" t="n">
        <v>9.1</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46049</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46049</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55795-2023</t>
        </is>
      </c>
      <c r="B225" s="1" t="n">
        <v>45239.54861111111</v>
      </c>
      <c r="C225" s="1" t="n">
        <v>46049</v>
      </c>
      <c r="D225" t="inlineStr">
        <is>
          <t>SÖDERMANLANDS LÄN</t>
        </is>
      </c>
      <c r="E225" t="inlineStr">
        <is>
          <t>KATRINEHOLM</t>
        </is>
      </c>
      <c r="G225" t="n">
        <v>7</v>
      </c>
      <c r="H225" t="n">
        <v>0</v>
      </c>
      <c r="I225" t="n">
        <v>0</v>
      </c>
      <c r="J225" t="n">
        <v>0</v>
      </c>
      <c r="K225" t="n">
        <v>0</v>
      </c>
      <c r="L225" t="n">
        <v>0</v>
      </c>
      <c r="M225" t="n">
        <v>0</v>
      </c>
      <c r="N225" t="n">
        <v>0</v>
      </c>
      <c r="O225" t="n">
        <v>0</v>
      </c>
      <c r="P225" t="n">
        <v>0</v>
      </c>
      <c r="Q225" t="n">
        <v>0</v>
      </c>
      <c r="R225" s="2" t="inlineStr"/>
    </row>
    <row r="226" ht="15" customHeight="1">
      <c r="A226" t="inlineStr">
        <is>
          <t>A 29502-2023</t>
        </is>
      </c>
      <c r="B226" s="1" t="n">
        <v>45106</v>
      </c>
      <c r="C226" s="1" t="n">
        <v>46049</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24284-2024</t>
        </is>
      </c>
      <c r="B227" s="1" t="n">
        <v>45457</v>
      </c>
      <c r="C227" s="1" t="n">
        <v>46049</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42111-2022</t>
        </is>
      </c>
      <c r="B228" s="1" t="n">
        <v>44830</v>
      </c>
      <c r="C228" s="1" t="n">
        <v>46049</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33712-2022</t>
        </is>
      </c>
      <c r="B229" s="1" t="n">
        <v>44789</v>
      </c>
      <c r="C229" s="1" t="n">
        <v>46049</v>
      </c>
      <c r="D229" t="inlineStr">
        <is>
          <t>SÖDERMANLANDS LÄN</t>
        </is>
      </c>
      <c r="E229" t="inlineStr">
        <is>
          <t>KATRINEHOLM</t>
        </is>
      </c>
      <c r="G229" t="n">
        <v>4.3</v>
      </c>
      <c r="H229" t="n">
        <v>0</v>
      </c>
      <c r="I229" t="n">
        <v>0</v>
      </c>
      <c r="J229" t="n">
        <v>0</v>
      </c>
      <c r="K229" t="n">
        <v>0</v>
      </c>
      <c r="L229" t="n">
        <v>0</v>
      </c>
      <c r="M229" t="n">
        <v>0</v>
      </c>
      <c r="N229" t="n">
        <v>0</v>
      </c>
      <c r="O229" t="n">
        <v>0</v>
      </c>
      <c r="P229" t="n">
        <v>0</v>
      </c>
      <c r="Q229" t="n">
        <v>0</v>
      </c>
      <c r="R229" s="2" t="inlineStr"/>
    </row>
    <row r="230" ht="15" customHeight="1">
      <c r="A230" t="inlineStr">
        <is>
          <t>A 55034-2021</t>
        </is>
      </c>
      <c r="B230" s="1" t="n">
        <v>44474</v>
      </c>
      <c r="C230" s="1" t="n">
        <v>46049</v>
      </c>
      <c r="D230" t="inlineStr">
        <is>
          <t>SÖDERMANLANDS LÄN</t>
        </is>
      </c>
      <c r="E230" t="inlineStr">
        <is>
          <t>KATRINEHOLM</t>
        </is>
      </c>
      <c r="G230" t="n">
        <v>5</v>
      </c>
      <c r="H230" t="n">
        <v>0</v>
      </c>
      <c r="I230" t="n">
        <v>0</v>
      </c>
      <c r="J230" t="n">
        <v>0</v>
      </c>
      <c r="K230" t="n">
        <v>0</v>
      </c>
      <c r="L230" t="n">
        <v>0</v>
      </c>
      <c r="M230" t="n">
        <v>0</v>
      </c>
      <c r="N230" t="n">
        <v>0</v>
      </c>
      <c r="O230" t="n">
        <v>0</v>
      </c>
      <c r="P230" t="n">
        <v>0</v>
      </c>
      <c r="Q230" t="n">
        <v>0</v>
      </c>
      <c r="R230" s="2" t="inlineStr"/>
    </row>
    <row r="231" ht="15" customHeight="1">
      <c r="A231" t="inlineStr">
        <is>
          <t>A 33717-2022</t>
        </is>
      </c>
      <c r="B231" s="1" t="n">
        <v>44789</v>
      </c>
      <c r="C231" s="1" t="n">
        <v>46049</v>
      </c>
      <c r="D231" t="inlineStr">
        <is>
          <t>SÖDERMANLANDS LÄN</t>
        </is>
      </c>
      <c r="E231" t="inlineStr">
        <is>
          <t>KATRINEHOLM</t>
        </is>
      </c>
      <c r="G231" t="n">
        <v>4.4</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46049</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46049</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36767-2022</t>
        </is>
      </c>
      <c r="B234" s="1" t="n">
        <v>44805</v>
      </c>
      <c r="C234" s="1" t="n">
        <v>46049</v>
      </c>
      <c r="D234" t="inlineStr">
        <is>
          <t>SÖDERMANLANDS LÄN</t>
        </is>
      </c>
      <c r="E234" t="inlineStr">
        <is>
          <t>KATRINEHOLM</t>
        </is>
      </c>
      <c r="G234" t="n">
        <v>1.1</v>
      </c>
      <c r="H234" t="n">
        <v>0</v>
      </c>
      <c r="I234" t="n">
        <v>0</v>
      </c>
      <c r="J234" t="n">
        <v>0</v>
      </c>
      <c r="K234" t="n">
        <v>0</v>
      </c>
      <c r="L234" t="n">
        <v>0</v>
      </c>
      <c r="M234" t="n">
        <v>0</v>
      </c>
      <c r="N234" t="n">
        <v>0</v>
      </c>
      <c r="O234" t="n">
        <v>0</v>
      </c>
      <c r="P234" t="n">
        <v>0</v>
      </c>
      <c r="Q234" t="n">
        <v>0</v>
      </c>
      <c r="R234" s="2" t="inlineStr"/>
    </row>
    <row r="235" ht="15" customHeight="1">
      <c r="A235" t="inlineStr">
        <is>
          <t>A 33752-2023</t>
        </is>
      </c>
      <c r="B235" s="1" t="n">
        <v>45120</v>
      </c>
      <c r="C235" s="1" t="n">
        <v>46049</v>
      </c>
      <c r="D235" t="inlineStr">
        <is>
          <t>SÖDERMANLANDS LÄN</t>
        </is>
      </c>
      <c r="E235" t="inlineStr">
        <is>
          <t>KATRINEHOLM</t>
        </is>
      </c>
      <c r="G235" t="n">
        <v>1</v>
      </c>
      <c r="H235" t="n">
        <v>0</v>
      </c>
      <c r="I235" t="n">
        <v>0</v>
      </c>
      <c r="J235" t="n">
        <v>0</v>
      </c>
      <c r="K235" t="n">
        <v>0</v>
      </c>
      <c r="L235" t="n">
        <v>0</v>
      </c>
      <c r="M235" t="n">
        <v>0</v>
      </c>
      <c r="N235" t="n">
        <v>0</v>
      </c>
      <c r="O235" t="n">
        <v>0</v>
      </c>
      <c r="P235" t="n">
        <v>0</v>
      </c>
      <c r="Q235" t="n">
        <v>0</v>
      </c>
      <c r="R235" s="2" t="inlineStr"/>
    </row>
    <row r="236" ht="15" customHeight="1">
      <c r="A236" t="inlineStr">
        <is>
          <t>A 24179-2024</t>
        </is>
      </c>
      <c r="B236" s="1" t="n">
        <v>45456.83059027778</v>
      </c>
      <c r="C236" s="1" t="n">
        <v>46049</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45376-2022</t>
        </is>
      </c>
      <c r="B237" s="1" t="n">
        <v>44844</v>
      </c>
      <c r="C237" s="1" t="n">
        <v>46049</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51264-2021</t>
        </is>
      </c>
      <c r="B238" s="1" t="n">
        <v>44461</v>
      </c>
      <c r="C238" s="1" t="n">
        <v>46049</v>
      </c>
      <c r="D238" t="inlineStr">
        <is>
          <t>SÖDERMANLANDS LÄN</t>
        </is>
      </c>
      <c r="E238" t="inlineStr">
        <is>
          <t>KATRINEHOLM</t>
        </is>
      </c>
      <c r="G238" t="n">
        <v>3.1</v>
      </c>
      <c r="H238" t="n">
        <v>0</v>
      </c>
      <c r="I238" t="n">
        <v>0</v>
      </c>
      <c r="J238" t="n">
        <v>0</v>
      </c>
      <c r="K238" t="n">
        <v>0</v>
      </c>
      <c r="L238" t="n">
        <v>0</v>
      </c>
      <c r="M238" t="n">
        <v>0</v>
      </c>
      <c r="N238" t="n">
        <v>0</v>
      </c>
      <c r="O238" t="n">
        <v>0</v>
      </c>
      <c r="P238" t="n">
        <v>0</v>
      </c>
      <c r="Q238" t="n">
        <v>0</v>
      </c>
      <c r="R238" s="2" t="inlineStr"/>
    </row>
    <row r="239" ht="15" customHeight="1">
      <c r="A239" t="inlineStr">
        <is>
          <t>A 51128-2021</t>
        </is>
      </c>
      <c r="B239" s="1" t="n">
        <v>44460</v>
      </c>
      <c r="C239" s="1" t="n">
        <v>46049</v>
      </c>
      <c r="D239" t="inlineStr">
        <is>
          <t>SÖDERMANLANDS LÄN</t>
        </is>
      </c>
      <c r="E239" t="inlineStr">
        <is>
          <t>KATRINEHOLM</t>
        </is>
      </c>
      <c r="G239" t="n">
        <v>7.8</v>
      </c>
      <c r="H239" t="n">
        <v>0</v>
      </c>
      <c r="I239" t="n">
        <v>0</v>
      </c>
      <c r="J239" t="n">
        <v>0</v>
      </c>
      <c r="K239" t="n">
        <v>0</v>
      </c>
      <c r="L239" t="n">
        <v>0</v>
      </c>
      <c r="M239" t="n">
        <v>0</v>
      </c>
      <c r="N239" t="n">
        <v>0</v>
      </c>
      <c r="O239" t="n">
        <v>0</v>
      </c>
      <c r="P239" t="n">
        <v>0</v>
      </c>
      <c r="Q239" t="n">
        <v>0</v>
      </c>
      <c r="R239" s="2" t="inlineStr"/>
    </row>
    <row r="240" ht="15" customHeight="1">
      <c r="A240" t="inlineStr">
        <is>
          <t>A 3980-2024</t>
        </is>
      </c>
      <c r="B240" s="1" t="n">
        <v>45322</v>
      </c>
      <c r="C240" s="1" t="n">
        <v>46049</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64713-2023</t>
        </is>
      </c>
      <c r="B241" s="1" t="n">
        <v>45281</v>
      </c>
      <c r="C241" s="1" t="n">
        <v>46049</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64605-2023</t>
        </is>
      </c>
      <c r="B242" s="1" t="n">
        <v>45281</v>
      </c>
      <c r="C242" s="1" t="n">
        <v>46049</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60677-2021</t>
        </is>
      </c>
      <c r="B243" s="1" t="n">
        <v>44495</v>
      </c>
      <c r="C243" s="1" t="n">
        <v>46049</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43088-2022</t>
        </is>
      </c>
      <c r="B244" s="1" t="n">
        <v>44833</v>
      </c>
      <c r="C244" s="1" t="n">
        <v>46049</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28582-2024</t>
        </is>
      </c>
      <c r="B245" s="1" t="n">
        <v>45478.40751157407</v>
      </c>
      <c r="C245" s="1" t="n">
        <v>46049</v>
      </c>
      <c r="D245" t="inlineStr">
        <is>
          <t>SÖDERMANLANDS LÄN</t>
        </is>
      </c>
      <c r="E245" t="inlineStr">
        <is>
          <t>KATRINEHOLM</t>
        </is>
      </c>
      <c r="F245" t="inlineStr">
        <is>
          <t>Övriga Aktiebolag</t>
        </is>
      </c>
      <c r="G245" t="n">
        <v>4</v>
      </c>
      <c r="H245" t="n">
        <v>0</v>
      </c>
      <c r="I245" t="n">
        <v>0</v>
      </c>
      <c r="J245" t="n">
        <v>0</v>
      </c>
      <c r="K245" t="n">
        <v>0</v>
      </c>
      <c r="L245" t="n">
        <v>0</v>
      </c>
      <c r="M245" t="n">
        <v>0</v>
      </c>
      <c r="N245" t="n">
        <v>0</v>
      </c>
      <c r="O245" t="n">
        <v>0</v>
      </c>
      <c r="P245" t="n">
        <v>0</v>
      </c>
      <c r="Q245" t="n">
        <v>0</v>
      </c>
      <c r="R245" s="2" t="inlineStr"/>
    </row>
    <row r="246" ht="15" customHeight="1">
      <c r="A246" t="inlineStr">
        <is>
          <t>A 26081-2024</t>
        </is>
      </c>
      <c r="B246" s="1" t="n">
        <v>45462</v>
      </c>
      <c r="C246" s="1" t="n">
        <v>46049</v>
      </c>
      <c r="D246" t="inlineStr">
        <is>
          <t>SÖDERMANLANDS LÄN</t>
        </is>
      </c>
      <c r="E246" t="inlineStr">
        <is>
          <t>KATRINEHOLM</t>
        </is>
      </c>
      <c r="G246" t="n">
        <v>4.1</v>
      </c>
      <c r="H246" t="n">
        <v>0</v>
      </c>
      <c r="I246" t="n">
        <v>0</v>
      </c>
      <c r="J246" t="n">
        <v>0</v>
      </c>
      <c r="K246" t="n">
        <v>0</v>
      </c>
      <c r="L246" t="n">
        <v>0</v>
      </c>
      <c r="M246" t="n">
        <v>0</v>
      </c>
      <c r="N246" t="n">
        <v>0</v>
      </c>
      <c r="O246" t="n">
        <v>0</v>
      </c>
      <c r="P246" t="n">
        <v>0</v>
      </c>
      <c r="Q246" t="n">
        <v>0</v>
      </c>
      <c r="R246" s="2" t="inlineStr"/>
    </row>
    <row r="247" ht="15" customHeight="1">
      <c r="A247" t="inlineStr">
        <is>
          <t>A 38308-2021</t>
        </is>
      </c>
      <c r="B247" s="1" t="n">
        <v>44406</v>
      </c>
      <c r="C247" s="1" t="n">
        <v>46049</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55172-2022</t>
        </is>
      </c>
      <c r="B248" s="1" t="n">
        <v>44886</v>
      </c>
      <c r="C248" s="1" t="n">
        <v>46049</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67337-2021</t>
        </is>
      </c>
      <c r="B249" s="1" t="n">
        <v>44523</v>
      </c>
      <c r="C249" s="1" t="n">
        <v>46049</v>
      </c>
      <c r="D249" t="inlineStr">
        <is>
          <t>SÖDERMANLANDS LÄN</t>
        </is>
      </c>
      <c r="E249" t="inlineStr">
        <is>
          <t>KATRINEHOLM</t>
        </is>
      </c>
      <c r="G249" t="n">
        <v>5.2</v>
      </c>
      <c r="H249" t="n">
        <v>0</v>
      </c>
      <c r="I249" t="n">
        <v>0</v>
      </c>
      <c r="J249" t="n">
        <v>0</v>
      </c>
      <c r="K249" t="n">
        <v>0</v>
      </c>
      <c r="L249" t="n">
        <v>0</v>
      </c>
      <c r="M249" t="n">
        <v>0</v>
      </c>
      <c r="N249" t="n">
        <v>0</v>
      </c>
      <c r="O249" t="n">
        <v>0</v>
      </c>
      <c r="P249" t="n">
        <v>0</v>
      </c>
      <c r="Q249" t="n">
        <v>0</v>
      </c>
      <c r="R249" s="2" t="inlineStr"/>
    </row>
    <row r="250" ht="15" customHeight="1">
      <c r="A250" t="inlineStr">
        <is>
          <t>A 30242-2023</t>
        </is>
      </c>
      <c r="B250" s="1" t="n">
        <v>45099</v>
      </c>
      <c r="C250" s="1" t="n">
        <v>46049</v>
      </c>
      <c r="D250" t="inlineStr">
        <is>
          <t>SÖDERMANLANDS LÄN</t>
        </is>
      </c>
      <c r="E250" t="inlineStr">
        <is>
          <t>KATRINEHOLM</t>
        </is>
      </c>
      <c r="G250" t="n">
        <v>3</v>
      </c>
      <c r="H250" t="n">
        <v>0</v>
      </c>
      <c r="I250" t="n">
        <v>0</v>
      </c>
      <c r="J250" t="n">
        <v>0</v>
      </c>
      <c r="K250" t="n">
        <v>0</v>
      </c>
      <c r="L250" t="n">
        <v>0</v>
      </c>
      <c r="M250" t="n">
        <v>0</v>
      </c>
      <c r="N250" t="n">
        <v>0</v>
      </c>
      <c r="O250" t="n">
        <v>0</v>
      </c>
      <c r="P250" t="n">
        <v>0</v>
      </c>
      <c r="Q250" t="n">
        <v>0</v>
      </c>
      <c r="R250" s="2" t="inlineStr"/>
    </row>
    <row r="251" ht="15" customHeight="1">
      <c r="A251" t="inlineStr">
        <is>
          <t>A 33538-2022</t>
        </is>
      </c>
      <c r="B251" s="1" t="n">
        <v>44789</v>
      </c>
      <c r="C251" s="1" t="n">
        <v>46049</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43837-2022</t>
        </is>
      </c>
      <c r="B252" s="1" t="n">
        <v>44838</v>
      </c>
      <c r="C252" s="1" t="n">
        <v>46049</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46049</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57510-2021</t>
        </is>
      </c>
      <c r="B254" s="1" t="n">
        <v>44483</v>
      </c>
      <c r="C254" s="1" t="n">
        <v>46049</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50032-2022</t>
        </is>
      </c>
      <c r="B255" s="1" t="n">
        <v>44860</v>
      </c>
      <c r="C255" s="1" t="n">
        <v>46049</v>
      </c>
      <c r="D255" t="inlineStr">
        <is>
          <t>SÖDERMANLANDS LÄN</t>
        </is>
      </c>
      <c r="E255" t="inlineStr">
        <is>
          <t>KATRINEHOLM</t>
        </is>
      </c>
      <c r="G255" t="n">
        <v>7.5</v>
      </c>
      <c r="H255" t="n">
        <v>0</v>
      </c>
      <c r="I255" t="n">
        <v>0</v>
      </c>
      <c r="J255" t="n">
        <v>0</v>
      </c>
      <c r="K255" t="n">
        <v>0</v>
      </c>
      <c r="L255" t="n">
        <v>0</v>
      </c>
      <c r="M255" t="n">
        <v>0</v>
      </c>
      <c r="N255" t="n">
        <v>0</v>
      </c>
      <c r="O255" t="n">
        <v>0</v>
      </c>
      <c r="P255" t="n">
        <v>0</v>
      </c>
      <c r="Q255" t="n">
        <v>0</v>
      </c>
      <c r="R255" s="2" t="inlineStr"/>
    </row>
    <row r="256" ht="15" customHeight="1">
      <c r="A256" t="inlineStr">
        <is>
          <t>A 26713-2024</t>
        </is>
      </c>
      <c r="B256" s="1" t="n">
        <v>45470</v>
      </c>
      <c r="C256" s="1" t="n">
        <v>46049</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69117-2021</t>
        </is>
      </c>
      <c r="B257" s="1" t="n">
        <v>44530.82445601852</v>
      </c>
      <c r="C257" s="1" t="n">
        <v>46049</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40159-2023</t>
        </is>
      </c>
      <c r="B258" s="1" t="n">
        <v>45169</v>
      </c>
      <c r="C258" s="1" t="n">
        <v>46049</v>
      </c>
      <c r="D258" t="inlineStr">
        <is>
          <t>SÖDERMANLANDS LÄN</t>
        </is>
      </c>
      <c r="E258" t="inlineStr">
        <is>
          <t>KATRINEHOLM</t>
        </is>
      </c>
      <c r="F258" t="inlineStr">
        <is>
          <t>Övriga Aktiebolag</t>
        </is>
      </c>
      <c r="G258" t="n">
        <v>1.1</v>
      </c>
      <c r="H258" t="n">
        <v>0</v>
      </c>
      <c r="I258" t="n">
        <v>0</v>
      </c>
      <c r="J258" t="n">
        <v>0</v>
      </c>
      <c r="K258" t="n">
        <v>0</v>
      </c>
      <c r="L258" t="n">
        <v>0</v>
      </c>
      <c r="M258" t="n">
        <v>0</v>
      </c>
      <c r="N258" t="n">
        <v>0</v>
      </c>
      <c r="O258" t="n">
        <v>0</v>
      </c>
      <c r="P258" t="n">
        <v>0</v>
      </c>
      <c r="Q258" t="n">
        <v>0</v>
      </c>
      <c r="R258" s="2" t="inlineStr"/>
    </row>
    <row r="259" ht="15" customHeight="1">
      <c r="A259" t="inlineStr">
        <is>
          <t>A 28675-2024</t>
        </is>
      </c>
      <c r="B259" s="1" t="n">
        <v>45478</v>
      </c>
      <c r="C259" s="1" t="n">
        <v>46049</v>
      </c>
      <c r="D259" t="inlineStr">
        <is>
          <t>SÖDERMANLANDS LÄN</t>
        </is>
      </c>
      <c r="E259" t="inlineStr">
        <is>
          <t>KATRINEHOLM</t>
        </is>
      </c>
      <c r="F259" t="inlineStr">
        <is>
          <t>Övriga Aktiebolag</t>
        </is>
      </c>
      <c r="G259" t="n">
        <v>3.5</v>
      </c>
      <c r="H259" t="n">
        <v>0</v>
      </c>
      <c r="I259" t="n">
        <v>0</v>
      </c>
      <c r="J259" t="n">
        <v>0</v>
      </c>
      <c r="K259" t="n">
        <v>0</v>
      </c>
      <c r="L259" t="n">
        <v>0</v>
      </c>
      <c r="M259" t="n">
        <v>0</v>
      </c>
      <c r="N259" t="n">
        <v>0</v>
      </c>
      <c r="O259" t="n">
        <v>0</v>
      </c>
      <c r="P259" t="n">
        <v>0</v>
      </c>
      <c r="Q259" t="n">
        <v>0</v>
      </c>
      <c r="R259" s="2" t="inlineStr"/>
    </row>
    <row r="260" ht="15" customHeight="1">
      <c r="A260" t="inlineStr">
        <is>
          <t>A 28995-2024</t>
        </is>
      </c>
      <c r="B260" s="1" t="n">
        <v>45481.49899305555</v>
      </c>
      <c r="C260" s="1" t="n">
        <v>46049</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55732-2023</t>
        </is>
      </c>
      <c r="B261" s="1" t="n">
        <v>45239</v>
      </c>
      <c r="C261" s="1" t="n">
        <v>46049</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27875-2024</t>
        </is>
      </c>
      <c r="B262" s="1" t="n">
        <v>45475</v>
      </c>
      <c r="C262" s="1" t="n">
        <v>46049</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44989-2022</t>
        </is>
      </c>
      <c r="B263" s="1" t="n">
        <v>44840</v>
      </c>
      <c r="C263" s="1" t="n">
        <v>46049</v>
      </c>
      <c r="D263" t="inlineStr">
        <is>
          <t>SÖDERMANLANDS LÄN</t>
        </is>
      </c>
      <c r="E263" t="inlineStr">
        <is>
          <t>KATRINEHOLM</t>
        </is>
      </c>
      <c r="G263" t="n">
        <v>6</v>
      </c>
      <c r="H263" t="n">
        <v>0</v>
      </c>
      <c r="I263" t="n">
        <v>0</v>
      </c>
      <c r="J263" t="n">
        <v>0</v>
      </c>
      <c r="K263" t="n">
        <v>0</v>
      </c>
      <c r="L263" t="n">
        <v>0</v>
      </c>
      <c r="M263" t="n">
        <v>0</v>
      </c>
      <c r="N263" t="n">
        <v>0</v>
      </c>
      <c r="O263" t="n">
        <v>0</v>
      </c>
      <c r="P263" t="n">
        <v>0</v>
      </c>
      <c r="Q263" t="n">
        <v>0</v>
      </c>
      <c r="R263" s="2" t="inlineStr"/>
    </row>
    <row r="264" ht="15" customHeight="1">
      <c r="A264" t="inlineStr">
        <is>
          <t>A 28992-2024</t>
        </is>
      </c>
      <c r="B264" s="1" t="n">
        <v>45481.49289351852</v>
      </c>
      <c r="C264" s="1" t="n">
        <v>46049</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27376-2024</t>
        </is>
      </c>
      <c r="B265" s="1" t="n">
        <v>45473.88313657408</v>
      </c>
      <c r="C265" s="1" t="n">
        <v>46049</v>
      </c>
      <c r="D265" t="inlineStr">
        <is>
          <t>SÖDERMANLANDS LÄN</t>
        </is>
      </c>
      <c r="E265" t="inlineStr">
        <is>
          <t>KATRINEHOLM</t>
        </is>
      </c>
      <c r="F265" t="inlineStr">
        <is>
          <t>Kommuner</t>
        </is>
      </c>
      <c r="G265" t="n">
        <v>2.8</v>
      </c>
      <c r="H265" t="n">
        <v>0</v>
      </c>
      <c r="I265" t="n">
        <v>0</v>
      </c>
      <c r="J265" t="n">
        <v>0</v>
      </c>
      <c r="K265" t="n">
        <v>0</v>
      </c>
      <c r="L265" t="n">
        <v>0</v>
      </c>
      <c r="M265" t="n">
        <v>0</v>
      </c>
      <c r="N265" t="n">
        <v>0</v>
      </c>
      <c r="O265" t="n">
        <v>0</v>
      </c>
      <c r="P265" t="n">
        <v>0</v>
      </c>
      <c r="Q265" t="n">
        <v>0</v>
      </c>
      <c r="R265" s="2" t="inlineStr"/>
    </row>
    <row r="266" ht="15" customHeight="1">
      <c r="A266" t="inlineStr">
        <is>
          <t>A 48259-2022</t>
        </is>
      </c>
      <c r="B266" s="1" t="n">
        <v>44858</v>
      </c>
      <c r="C266" s="1" t="n">
        <v>46049</v>
      </c>
      <c r="D266" t="inlineStr">
        <is>
          <t>SÖDERMANLANDS LÄN</t>
        </is>
      </c>
      <c r="E266" t="inlineStr">
        <is>
          <t>KATRINEHOLM</t>
        </is>
      </c>
      <c r="G266" t="n">
        <v>3.5</v>
      </c>
      <c r="H266" t="n">
        <v>0</v>
      </c>
      <c r="I266" t="n">
        <v>0</v>
      </c>
      <c r="J266" t="n">
        <v>0</v>
      </c>
      <c r="K266" t="n">
        <v>0</v>
      </c>
      <c r="L266" t="n">
        <v>0</v>
      </c>
      <c r="M266" t="n">
        <v>0</v>
      </c>
      <c r="N266" t="n">
        <v>0</v>
      </c>
      <c r="O266" t="n">
        <v>0</v>
      </c>
      <c r="P266" t="n">
        <v>0</v>
      </c>
      <c r="Q266" t="n">
        <v>0</v>
      </c>
      <c r="R266" s="2" t="inlineStr"/>
    </row>
    <row r="267" ht="15" customHeight="1">
      <c r="A267" t="inlineStr">
        <is>
          <t>A 7322-2023</t>
        </is>
      </c>
      <c r="B267" s="1" t="n">
        <v>44970</v>
      </c>
      <c r="C267" s="1" t="n">
        <v>46049</v>
      </c>
      <c r="D267" t="inlineStr">
        <is>
          <t>SÖDERMANLANDS LÄN</t>
        </is>
      </c>
      <c r="E267" t="inlineStr">
        <is>
          <t>KATRINEHOLM</t>
        </is>
      </c>
      <c r="G267" t="n">
        <v>2.1</v>
      </c>
      <c r="H267" t="n">
        <v>0</v>
      </c>
      <c r="I267" t="n">
        <v>0</v>
      </c>
      <c r="J267" t="n">
        <v>0</v>
      </c>
      <c r="K267" t="n">
        <v>0</v>
      </c>
      <c r="L267" t="n">
        <v>0</v>
      </c>
      <c r="M267" t="n">
        <v>0</v>
      </c>
      <c r="N267" t="n">
        <v>0</v>
      </c>
      <c r="O267" t="n">
        <v>0</v>
      </c>
      <c r="P267" t="n">
        <v>0</v>
      </c>
      <c r="Q267" t="n">
        <v>0</v>
      </c>
      <c r="R267" s="2" t="inlineStr"/>
    </row>
    <row r="268" ht="15" customHeight="1">
      <c r="A268" t="inlineStr">
        <is>
          <t>A 2093-2025</t>
        </is>
      </c>
      <c r="B268" s="1" t="n">
        <v>45672</v>
      </c>
      <c r="C268" s="1" t="n">
        <v>46049</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27886-2024</t>
        </is>
      </c>
      <c r="B269" s="1" t="n">
        <v>45475</v>
      </c>
      <c r="C269" s="1" t="n">
        <v>46049</v>
      </c>
      <c r="D269" t="inlineStr">
        <is>
          <t>SÖDERMANLANDS LÄN</t>
        </is>
      </c>
      <c r="E269" t="inlineStr">
        <is>
          <t>KATRINEHOLM</t>
        </is>
      </c>
      <c r="G269" t="n">
        <v>10.3</v>
      </c>
      <c r="H269" t="n">
        <v>0</v>
      </c>
      <c r="I269" t="n">
        <v>0</v>
      </c>
      <c r="J269" t="n">
        <v>0</v>
      </c>
      <c r="K269" t="n">
        <v>0</v>
      </c>
      <c r="L269" t="n">
        <v>0</v>
      </c>
      <c r="M269" t="n">
        <v>0</v>
      </c>
      <c r="N269" t="n">
        <v>0</v>
      </c>
      <c r="O269" t="n">
        <v>0</v>
      </c>
      <c r="P269" t="n">
        <v>0</v>
      </c>
      <c r="Q269" t="n">
        <v>0</v>
      </c>
      <c r="R269" s="2" t="inlineStr"/>
    </row>
    <row r="270" ht="15" customHeight="1">
      <c r="A270" t="inlineStr">
        <is>
          <t>A 25786-2025</t>
        </is>
      </c>
      <c r="B270" s="1" t="n">
        <v>45804.37456018518</v>
      </c>
      <c r="C270" s="1" t="n">
        <v>46049</v>
      </c>
      <c r="D270" t="inlineStr">
        <is>
          <t>SÖDERMANLANDS LÄN</t>
        </is>
      </c>
      <c r="E270" t="inlineStr">
        <is>
          <t>KATRINEHOLM</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20949-2021</t>
        </is>
      </c>
      <c r="B271" s="1" t="n">
        <v>44319</v>
      </c>
      <c r="C271" s="1" t="n">
        <v>46049</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26154-2025</t>
        </is>
      </c>
      <c r="B272" s="1" t="n">
        <v>45805.43341435185</v>
      </c>
      <c r="C272" s="1" t="n">
        <v>46049</v>
      </c>
      <c r="D272" t="inlineStr">
        <is>
          <t>SÖDERMANLANDS LÄN</t>
        </is>
      </c>
      <c r="E272" t="inlineStr">
        <is>
          <t>KATRINEHOLM</t>
        </is>
      </c>
      <c r="G272" t="n">
        <v>4.5</v>
      </c>
      <c r="H272" t="n">
        <v>0</v>
      </c>
      <c r="I272" t="n">
        <v>0</v>
      </c>
      <c r="J272" t="n">
        <v>0</v>
      </c>
      <c r="K272" t="n">
        <v>0</v>
      </c>
      <c r="L272" t="n">
        <v>0</v>
      </c>
      <c r="M272" t="n">
        <v>0</v>
      </c>
      <c r="N272" t="n">
        <v>0</v>
      </c>
      <c r="O272" t="n">
        <v>0</v>
      </c>
      <c r="P272" t="n">
        <v>0</v>
      </c>
      <c r="Q272" t="n">
        <v>0</v>
      </c>
      <c r="R272" s="2" t="inlineStr"/>
    </row>
    <row r="273" ht="15" customHeight="1">
      <c r="A273" t="inlineStr">
        <is>
          <t>A 26156-2025</t>
        </is>
      </c>
      <c r="B273" s="1" t="n">
        <v>45805.43864583333</v>
      </c>
      <c r="C273" s="1" t="n">
        <v>46049</v>
      </c>
      <c r="D273" t="inlineStr">
        <is>
          <t>SÖDERMANLANDS LÄN</t>
        </is>
      </c>
      <c r="E273" t="inlineStr">
        <is>
          <t>KATRINEHOLM</t>
        </is>
      </c>
      <c r="G273" t="n">
        <v>4.1</v>
      </c>
      <c r="H273" t="n">
        <v>0</v>
      </c>
      <c r="I273" t="n">
        <v>0</v>
      </c>
      <c r="J273" t="n">
        <v>0</v>
      </c>
      <c r="K273" t="n">
        <v>0</v>
      </c>
      <c r="L273" t="n">
        <v>0</v>
      </c>
      <c r="M273" t="n">
        <v>0</v>
      </c>
      <c r="N273" t="n">
        <v>0</v>
      </c>
      <c r="O273" t="n">
        <v>0</v>
      </c>
      <c r="P273" t="n">
        <v>0</v>
      </c>
      <c r="Q273" t="n">
        <v>0</v>
      </c>
      <c r="R273" s="2" t="inlineStr"/>
    </row>
    <row r="274" ht="15" customHeight="1">
      <c r="A274" t="inlineStr">
        <is>
          <t>A 25363-2023</t>
        </is>
      </c>
      <c r="B274" s="1" t="n">
        <v>45088.83840277778</v>
      </c>
      <c r="C274" s="1" t="n">
        <v>46049</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6722-2022</t>
        </is>
      </c>
      <c r="B275" s="1" t="n">
        <v>44602</v>
      </c>
      <c r="C275" s="1" t="n">
        <v>46049</v>
      </c>
      <c r="D275" t="inlineStr">
        <is>
          <t>SÖDERMANLANDS LÄN</t>
        </is>
      </c>
      <c r="E275" t="inlineStr">
        <is>
          <t>KATRINEHOLM</t>
        </is>
      </c>
      <c r="G275" t="n">
        <v>1.6</v>
      </c>
      <c r="H275" t="n">
        <v>0</v>
      </c>
      <c r="I275" t="n">
        <v>0</v>
      </c>
      <c r="J275" t="n">
        <v>0</v>
      </c>
      <c r="K275" t="n">
        <v>0</v>
      </c>
      <c r="L275" t="n">
        <v>0</v>
      </c>
      <c r="M275" t="n">
        <v>0</v>
      </c>
      <c r="N275" t="n">
        <v>0</v>
      </c>
      <c r="O275" t="n">
        <v>0</v>
      </c>
      <c r="P275" t="n">
        <v>0</v>
      </c>
      <c r="Q275" t="n">
        <v>0</v>
      </c>
      <c r="R275" s="2" t="inlineStr"/>
    </row>
    <row r="276" ht="15" customHeight="1">
      <c r="A276" t="inlineStr">
        <is>
          <t>A 35228-2025</t>
        </is>
      </c>
      <c r="B276" s="1" t="n">
        <v>45853</v>
      </c>
      <c r="C276" s="1" t="n">
        <v>46049</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6763-2022</t>
        </is>
      </c>
      <c r="B277" s="1" t="n">
        <v>44602</v>
      </c>
      <c r="C277" s="1" t="n">
        <v>46049</v>
      </c>
      <c r="D277" t="inlineStr">
        <is>
          <t>SÖDERMANLANDS LÄN</t>
        </is>
      </c>
      <c r="E277" t="inlineStr">
        <is>
          <t>KATRINEHOLM</t>
        </is>
      </c>
      <c r="G277" t="n">
        <v>6.7</v>
      </c>
      <c r="H277" t="n">
        <v>0</v>
      </c>
      <c r="I277" t="n">
        <v>0</v>
      </c>
      <c r="J277" t="n">
        <v>0</v>
      </c>
      <c r="K277" t="n">
        <v>0</v>
      </c>
      <c r="L277" t="n">
        <v>0</v>
      </c>
      <c r="M277" t="n">
        <v>0</v>
      </c>
      <c r="N277" t="n">
        <v>0</v>
      </c>
      <c r="O277" t="n">
        <v>0</v>
      </c>
      <c r="P277" t="n">
        <v>0</v>
      </c>
      <c r="Q277" t="n">
        <v>0</v>
      </c>
      <c r="R277" s="2" t="inlineStr"/>
    </row>
    <row r="278" ht="15" customHeight="1">
      <c r="A278" t="inlineStr">
        <is>
          <t>A 5790-2022</t>
        </is>
      </c>
      <c r="B278" s="1" t="n">
        <v>44596.55368055555</v>
      </c>
      <c r="C278" s="1" t="n">
        <v>46049</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14313-2024</t>
        </is>
      </c>
      <c r="B279" s="1" t="n">
        <v>45393</v>
      </c>
      <c r="C279" s="1" t="n">
        <v>46049</v>
      </c>
      <c r="D279" t="inlineStr">
        <is>
          <t>SÖDERMANLANDS LÄN</t>
        </is>
      </c>
      <c r="E279" t="inlineStr">
        <is>
          <t>KATRINEHOLM</t>
        </is>
      </c>
      <c r="G279" t="n">
        <v>3.1</v>
      </c>
      <c r="H279" t="n">
        <v>0</v>
      </c>
      <c r="I279" t="n">
        <v>0</v>
      </c>
      <c r="J279" t="n">
        <v>0</v>
      </c>
      <c r="K279" t="n">
        <v>0</v>
      </c>
      <c r="L279" t="n">
        <v>0</v>
      </c>
      <c r="M279" t="n">
        <v>0</v>
      </c>
      <c r="N279" t="n">
        <v>0</v>
      </c>
      <c r="O279" t="n">
        <v>0</v>
      </c>
      <c r="P279" t="n">
        <v>0</v>
      </c>
      <c r="Q279" t="n">
        <v>0</v>
      </c>
      <c r="R279" s="2" t="inlineStr"/>
    </row>
    <row r="280" ht="15" customHeight="1">
      <c r="A280" t="inlineStr">
        <is>
          <t>A 29397-2024</t>
        </is>
      </c>
      <c r="B280" s="1" t="n">
        <v>45483</v>
      </c>
      <c r="C280" s="1" t="n">
        <v>46049</v>
      </c>
      <c r="D280" t="inlineStr">
        <is>
          <t>SÖDERMANLANDS LÄN</t>
        </is>
      </c>
      <c r="E280" t="inlineStr">
        <is>
          <t>KATRINEHOLM</t>
        </is>
      </c>
      <c r="G280" t="n">
        <v>3.4</v>
      </c>
      <c r="H280" t="n">
        <v>0</v>
      </c>
      <c r="I280" t="n">
        <v>0</v>
      </c>
      <c r="J280" t="n">
        <v>0</v>
      </c>
      <c r="K280" t="n">
        <v>0</v>
      </c>
      <c r="L280" t="n">
        <v>0</v>
      </c>
      <c r="M280" t="n">
        <v>0</v>
      </c>
      <c r="N280" t="n">
        <v>0</v>
      </c>
      <c r="O280" t="n">
        <v>0</v>
      </c>
      <c r="P280" t="n">
        <v>0</v>
      </c>
      <c r="Q280" t="n">
        <v>0</v>
      </c>
      <c r="R280" s="2" t="inlineStr"/>
    </row>
    <row r="281" ht="15" customHeight="1">
      <c r="A281" t="inlineStr">
        <is>
          <t>A 33278-2024</t>
        </is>
      </c>
      <c r="B281" s="1" t="n">
        <v>45518</v>
      </c>
      <c r="C281" s="1" t="n">
        <v>46049</v>
      </c>
      <c r="D281" t="inlineStr">
        <is>
          <t>SÖDERMANLANDS LÄN</t>
        </is>
      </c>
      <c r="E281" t="inlineStr">
        <is>
          <t>KATRINEHOLM</t>
        </is>
      </c>
      <c r="G281" t="n">
        <v>2.1</v>
      </c>
      <c r="H281" t="n">
        <v>0</v>
      </c>
      <c r="I281" t="n">
        <v>0</v>
      </c>
      <c r="J281" t="n">
        <v>0</v>
      </c>
      <c r="K281" t="n">
        <v>0</v>
      </c>
      <c r="L281" t="n">
        <v>0</v>
      </c>
      <c r="M281" t="n">
        <v>0</v>
      </c>
      <c r="N281" t="n">
        <v>0</v>
      </c>
      <c r="O281" t="n">
        <v>0</v>
      </c>
      <c r="P281" t="n">
        <v>0</v>
      </c>
      <c r="Q281" t="n">
        <v>0</v>
      </c>
      <c r="R281" s="2" t="inlineStr"/>
    </row>
    <row r="282" ht="15" customHeight="1">
      <c r="A282" t="inlineStr">
        <is>
          <t>A 9714-2024</t>
        </is>
      </c>
      <c r="B282" s="1" t="n">
        <v>45362</v>
      </c>
      <c r="C282" s="1" t="n">
        <v>46049</v>
      </c>
      <c r="D282" t="inlineStr">
        <is>
          <t>SÖDERMANLANDS LÄN</t>
        </is>
      </c>
      <c r="E282" t="inlineStr">
        <is>
          <t>KATRINEHOLM</t>
        </is>
      </c>
      <c r="G282" t="n">
        <v>4</v>
      </c>
      <c r="H282" t="n">
        <v>0</v>
      </c>
      <c r="I282" t="n">
        <v>0</v>
      </c>
      <c r="J282" t="n">
        <v>0</v>
      </c>
      <c r="K282" t="n">
        <v>0</v>
      </c>
      <c r="L282" t="n">
        <v>0</v>
      </c>
      <c r="M282" t="n">
        <v>0</v>
      </c>
      <c r="N282" t="n">
        <v>0</v>
      </c>
      <c r="O282" t="n">
        <v>0</v>
      </c>
      <c r="P282" t="n">
        <v>0</v>
      </c>
      <c r="Q282" t="n">
        <v>0</v>
      </c>
      <c r="R282" s="2" t="inlineStr"/>
    </row>
    <row r="283" ht="15" customHeight="1">
      <c r="A283" t="inlineStr">
        <is>
          <t>A 24619-2024</t>
        </is>
      </c>
      <c r="B283" s="1" t="n">
        <v>45460</v>
      </c>
      <c r="C283" s="1" t="n">
        <v>46049</v>
      </c>
      <c r="D283" t="inlineStr">
        <is>
          <t>SÖDERMANLANDS LÄN</t>
        </is>
      </c>
      <c r="E283" t="inlineStr">
        <is>
          <t>KATRINEHOLM</t>
        </is>
      </c>
      <c r="G283" t="n">
        <v>4.7</v>
      </c>
      <c r="H283" t="n">
        <v>0</v>
      </c>
      <c r="I283" t="n">
        <v>0</v>
      </c>
      <c r="J283" t="n">
        <v>0</v>
      </c>
      <c r="K283" t="n">
        <v>0</v>
      </c>
      <c r="L283" t="n">
        <v>0</v>
      </c>
      <c r="M283" t="n">
        <v>0</v>
      </c>
      <c r="N283" t="n">
        <v>0</v>
      </c>
      <c r="O283" t="n">
        <v>0</v>
      </c>
      <c r="P283" t="n">
        <v>0</v>
      </c>
      <c r="Q283" t="n">
        <v>0</v>
      </c>
      <c r="R283" s="2" t="inlineStr"/>
    </row>
    <row r="284" ht="15" customHeight="1">
      <c r="A284" t="inlineStr">
        <is>
          <t>A 9699-2024</t>
        </is>
      </c>
      <c r="B284" s="1" t="n">
        <v>45362</v>
      </c>
      <c r="C284" s="1" t="n">
        <v>46049</v>
      </c>
      <c r="D284" t="inlineStr">
        <is>
          <t>SÖDERMANLANDS LÄN</t>
        </is>
      </c>
      <c r="E284" t="inlineStr">
        <is>
          <t>KATRINEHOLM</t>
        </is>
      </c>
      <c r="G284" t="n">
        <v>7.7</v>
      </c>
      <c r="H284" t="n">
        <v>0</v>
      </c>
      <c r="I284" t="n">
        <v>0</v>
      </c>
      <c r="J284" t="n">
        <v>0</v>
      </c>
      <c r="K284" t="n">
        <v>0</v>
      </c>
      <c r="L284" t="n">
        <v>0</v>
      </c>
      <c r="M284" t="n">
        <v>0</v>
      </c>
      <c r="N284" t="n">
        <v>0</v>
      </c>
      <c r="O284" t="n">
        <v>0</v>
      </c>
      <c r="P284" t="n">
        <v>0</v>
      </c>
      <c r="Q284" t="n">
        <v>0</v>
      </c>
      <c r="R284" s="2" t="inlineStr"/>
    </row>
    <row r="285" ht="15" customHeight="1">
      <c r="A285" t="inlineStr">
        <is>
          <t>A 59474-2021</t>
        </is>
      </c>
      <c r="B285" s="1" t="n">
        <v>44491</v>
      </c>
      <c r="C285" s="1" t="n">
        <v>46049</v>
      </c>
      <c r="D285" t="inlineStr">
        <is>
          <t>SÖDERMANLANDS LÄN</t>
        </is>
      </c>
      <c r="E285" t="inlineStr">
        <is>
          <t>KATRINEHOLM</t>
        </is>
      </c>
      <c r="G285" t="n">
        <v>2.7</v>
      </c>
      <c r="H285" t="n">
        <v>0</v>
      </c>
      <c r="I285" t="n">
        <v>0</v>
      </c>
      <c r="J285" t="n">
        <v>0</v>
      </c>
      <c r="K285" t="n">
        <v>0</v>
      </c>
      <c r="L285" t="n">
        <v>0</v>
      </c>
      <c r="M285" t="n">
        <v>0</v>
      </c>
      <c r="N285" t="n">
        <v>0</v>
      </c>
      <c r="O285" t="n">
        <v>0</v>
      </c>
      <c r="P285" t="n">
        <v>0</v>
      </c>
      <c r="Q285" t="n">
        <v>0</v>
      </c>
      <c r="R285" s="2" t="inlineStr"/>
    </row>
    <row r="286" ht="15" customHeight="1">
      <c r="A286" t="inlineStr">
        <is>
          <t>A 14239-2024</t>
        </is>
      </c>
      <c r="B286" s="1" t="n">
        <v>45393</v>
      </c>
      <c r="C286" s="1" t="n">
        <v>46049</v>
      </c>
      <c r="D286" t="inlineStr">
        <is>
          <t>SÖDERMANLANDS LÄN</t>
        </is>
      </c>
      <c r="E286" t="inlineStr">
        <is>
          <t>KATRINEHOLM</t>
        </is>
      </c>
      <c r="G286" t="n">
        <v>2.7</v>
      </c>
      <c r="H286" t="n">
        <v>0</v>
      </c>
      <c r="I286" t="n">
        <v>0</v>
      </c>
      <c r="J286" t="n">
        <v>0</v>
      </c>
      <c r="K286" t="n">
        <v>0</v>
      </c>
      <c r="L286" t="n">
        <v>0</v>
      </c>
      <c r="M286" t="n">
        <v>0</v>
      </c>
      <c r="N286" t="n">
        <v>0</v>
      </c>
      <c r="O286" t="n">
        <v>0</v>
      </c>
      <c r="P286" t="n">
        <v>0</v>
      </c>
      <c r="Q286" t="n">
        <v>0</v>
      </c>
      <c r="R286" s="2" t="inlineStr"/>
    </row>
    <row r="287" ht="15" customHeight="1">
      <c r="A287" t="inlineStr">
        <is>
          <t>A 14248-2024</t>
        </is>
      </c>
      <c r="B287" s="1" t="n">
        <v>45393</v>
      </c>
      <c r="C287" s="1" t="n">
        <v>46049</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11635-2023</t>
        </is>
      </c>
      <c r="B288" s="1" t="n">
        <v>44994</v>
      </c>
      <c r="C288" s="1" t="n">
        <v>46049</v>
      </c>
      <c r="D288" t="inlineStr">
        <is>
          <t>SÖDERMANLANDS LÄN</t>
        </is>
      </c>
      <c r="E288" t="inlineStr">
        <is>
          <t>KATRINEHOLM</t>
        </is>
      </c>
      <c r="G288" t="n">
        <v>4.3</v>
      </c>
      <c r="H288" t="n">
        <v>0</v>
      </c>
      <c r="I288" t="n">
        <v>0</v>
      </c>
      <c r="J288" t="n">
        <v>0</v>
      </c>
      <c r="K288" t="n">
        <v>0</v>
      </c>
      <c r="L288" t="n">
        <v>0</v>
      </c>
      <c r="M288" t="n">
        <v>0</v>
      </c>
      <c r="N288" t="n">
        <v>0</v>
      </c>
      <c r="O288" t="n">
        <v>0</v>
      </c>
      <c r="P288" t="n">
        <v>0</v>
      </c>
      <c r="Q288" t="n">
        <v>0</v>
      </c>
      <c r="R288" s="2" t="inlineStr"/>
    </row>
    <row r="289" ht="15" customHeight="1">
      <c r="A289" t="inlineStr">
        <is>
          <t>A 10932-2023</t>
        </is>
      </c>
      <c r="B289" s="1" t="n">
        <v>44985</v>
      </c>
      <c r="C289" s="1" t="n">
        <v>46049</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46049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46049</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28427-2024</t>
        </is>
      </c>
      <c r="B292" s="1" t="n">
        <v>45477.64910879629</v>
      </c>
      <c r="C292" s="1" t="n">
        <v>46049</v>
      </c>
      <c r="D292" t="inlineStr">
        <is>
          <t>SÖDERMANLANDS LÄN</t>
        </is>
      </c>
      <c r="E292" t="inlineStr">
        <is>
          <t>KATRINEHOLM</t>
        </is>
      </c>
      <c r="G292" t="n">
        <v>5.9</v>
      </c>
      <c r="H292" t="n">
        <v>0</v>
      </c>
      <c r="I292" t="n">
        <v>0</v>
      </c>
      <c r="J292" t="n">
        <v>0</v>
      </c>
      <c r="K292" t="n">
        <v>0</v>
      </c>
      <c r="L292" t="n">
        <v>0</v>
      </c>
      <c r="M292" t="n">
        <v>0</v>
      </c>
      <c r="N292" t="n">
        <v>0</v>
      </c>
      <c r="O292" t="n">
        <v>0</v>
      </c>
      <c r="P292" t="n">
        <v>0</v>
      </c>
      <c r="Q292" t="n">
        <v>0</v>
      </c>
      <c r="R292" s="2" t="inlineStr"/>
    </row>
    <row r="293" ht="15" customHeight="1">
      <c r="A293" t="inlineStr">
        <is>
          <t>A 27534-2025</t>
        </is>
      </c>
      <c r="B293" s="1" t="n">
        <v>45813</v>
      </c>
      <c r="C293" s="1" t="n">
        <v>46049</v>
      </c>
      <c r="D293" t="inlineStr">
        <is>
          <t>SÖDERMANLANDS LÄN</t>
        </is>
      </c>
      <c r="E293" t="inlineStr">
        <is>
          <t>KATRINEHOLM</t>
        </is>
      </c>
      <c r="G293" t="n">
        <v>0.7</v>
      </c>
      <c r="H293" t="n">
        <v>0</v>
      </c>
      <c r="I293" t="n">
        <v>0</v>
      </c>
      <c r="J293" t="n">
        <v>0</v>
      </c>
      <c r="K293" t="n">
        <v>0</v>
      </c>
      <c r="L293" t="n">
        <v>0</v>
      </c>
      <c r="M293" t="n">
        <v>0</v>
      </c>
      <c r="N293" t="n">
        <v>0</v>
      </c>
      <c r="O293" t="n">
        <v>0</v>
      </c>
      <c r="P293" t="n">
        <v>0</v>
      </c>
      <c r="Q293" t="n">
        <v>0</v>
      </c>
      <c r="R293" s="2" t="inlineStr"/>
    </row>
    <row r="294" ht="15" customHeight="1">
      <c r="A294" t="inlineStr">
        <is>
          <t>A 27552-2025</t>
        </is>
      </c>
      <c r="B294" s="1" t="n">
        <v>45813</v>
      </c>
      <c r="C294" s="1" t="n">
        <v>46049</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38708-2025</t>
        </is>
      </c>
      <c r="B295" s="1" t="n">
        <v>45885</v>
      </c>
      <c r="C295" s="1" t="n">
        <v>46049</v>
      </c>
      <c r="D295" t="inlineStr">
        <is>
          <t>SÖDERMANLANDS LÄN</t>
        </is>
      </c>
      <c r="E295" t="inlineStr">
        <is>
          <t>KATRINEHOLM</t>
        </is>
      </c>
      <c r="G295" t="n">
        <v>1.9</v>
      </c>
      <c r="H295" t="n">
        <v>0</v>
      </c>
      <c r="I295" t="n">
        <v>0</v>
      </c>
      <c r="J295" t="n">
        <v>0</v>
      </c>
      <c r="K295" t="n">
        <v>0</v>
      </c>
      <c r="L295" t="n">
        <v>0</v>
      </c>
      <c r="M295" t="n">
        <v>0</v>
      </c>
      <c r="N295" t="n">
        <v>0</v>
      </c>
      <c r="O295" t="n">
        <v>0</v>
      </c>
      <c r="P295" t="n">
        <v>0</v>
      </c>
      <c r="Q295" t="n">
        <v>0</v>
      </c>
      <c r="R295" s="2" t="inlineStr"/>
    </row>
    <row r="296" ht="15" customHeight="1">
      <c r="A296" t="inlineStr">
        <is>
          <t>A 42896-2024</t>
        </is>
      </c>
      <c r="B296" s="1" t="n">
        <v>45566.82973379629</v>
      </c>
      <c r="C296" s="1" t="n">
        <v>46049</v>
      </c>
      <c r="D296" t="inlineStr">
        <is>
          <t>SÖDERMANLANDS LÄN</t>
        </is>
      </c>
      <c r="E296" t="inlineStr">
        <is>
          <t>KATRINEHOLM</t>
        </is>
      </c>
      <c r="G296" t="n">
        <v>4.3</v>
      </c>
      <c r="H296" t="n">
        <v>0</v>
      </c>
      <c r="I296" t="n">
        <v>0</v>
      </c>
      <c r="J296" t="n">
        <v>0</v>
      </c>
      <c r="K296" t="n">
        <v>0</v>
      </c>
      <c r="L296" t="n">
        <v>0</v>
      </c>
      <c r="M296" t="n">
        <v>0</v>
      </c>
      <c r="N296" t="n">
        <v>0</v>
      </c>
      <c r="O296" t="n">
        <v>0</v>
      </c>
      <c r="P296" t="n">
        <v>0</v>
      </c>
      <c r="Q296" t="n">
        <v>0</v>
      </c>
      <c r="R296" s="2" t="inlineStr"/>
    </row>
    <row r="297" ht="15" customHeight="1">
      <c r="A297" t="inlineStr">
        <is>
          <t>A 27636-2025</t>
        </is>
      </c>
      <c r="B297" s="1" t="n">
        <v>45813.57603009259</v>
      </c>
      <c r="C297" s="1" t="n">
        <v>46049</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7747-2024</t>
        </is>
      </c>
      <c r="B298" s="1" t="n">
        <v>45348</v>
      </c>
      <c r="C298" s="1" t="n">
        <v>46049</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7753-2024</t>
        </is>
      </c>
      <c r="B299" s="1" t="n">
        <v>45348</v>
      </c>
      <c r="C299" s="1" t="n">
        <v>46049</v>
      </c>
      <c r="D299" t="inlineStr">
        <is>
          <t>SÖDERMANLANDS LÄN</t>
        </is>
      </c>
      <c r="E299" t="inlineStr">
        <is>
          <t>KATRINEHOLM</t>
        </is>
      </c>
      <c r="G299" t="n">
        <v>13.4</v>
      </c>
      <c r="H299" t="n">
        <v>0</v>
      </c>
      <c r="I299" t="n">
        <v>0</v>
      </c>
      <c r="J299" t="n">
        <v>0</v>
      </c>
      <c r="K299" t="n">
        <v>0</v>
      </c>
      <c r="L299" t="n">
        <v>0</v>
      </c>
      <c r="M299" t="n">
        <v>0</v>
      </c>
      <c r="N299" t="n">
        <v>0</v>
      </c>
      <c r="O299" t="n">
        <v>0</v>
      </c>
      <c r="P299" t="n">
        <v>0</v>
      </c>
      <c r="Q299" t="n">
        <v>0</v>
      </c>
      <c r="R299" s="2" t="inlineStr"/>
    </row>
    <row r="300" ht="15" customHeight="1">
      <c r="A300" t="inlineStr">
        <is>
          <t>A 24600-2025</t>
        </is>
      </c>
      <c r="B300" s="1" t="n">
        <v>45798.56348379629</v>
      </c>
      <c r="C300" s="1" t="n">
        <v>46049</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5935-2023</t>
        </is>
      </c>
      <c r="B301" s="1" t="n">
        <v>44963</v>
      </c>
      <c r="C301" s="1" t="n">
        <v>46049</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10732-2022</t>
        </is>
      </c>
      <c r="B302" s="1" t="n">
        <v>44627.34033564815</v>
      </c>
      <c r="C302" s="1" t="n">
        <v>46049</v>
      </c>
      <c r="D302" t="inlineStr">
        <is>
          <t>SÖDERMANLANDS LÄN</t>
        </is>
      </c>
      <c r="E302" t="inlineStr">
        <is>
          <t>KATRINEHOLM</t>
        </is>
      </c>
      <c r="G302" t="n">
        <v>2.4</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46049</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39645-2025</t>
        </is>
      </c>
      <c r="B304" s="1" t="n">
        <v>45890</v>
      </c>
      <c r="C304" s="1" t="n">
        <v>46049</v>
      </c>
      <c r="D304" t="inlineStr">
        <is>
          <t>SÖDERMANLANDS LÄN</t>
        </is>
      </c>
      <c r="E304" t="inlineStr">
        <is>
          <t>KATRINEHOLM</t>
        </is>
      </c>
      <c r="G304" t="n">
        <v>0.2</v>
      </c>
      <c r="H304" t="n">
        <v>0</v>
      </c>
      <c r="I304" t="n">
        <v>0</v>
      </c>
      <c r="J304" t="n">
        <v>0</v>
      </c>
      <c r="K304" t="n">
        <v>0</v>
      </c>
      <c r="L304" t="n">
        <v>0</v>
      </c>
      <c r="M304" t="n">
        <v>0</v>
      </c>
      <c r="N304" t="n">
        <v>0</v>
      </c>
      <c r="O304" t="n">
        <v>0</v>
      </c>
      <c r="P304" t="n">
        <v>0</v>
      </c>
      <c r="Q304" t="n">
        <v>0</v>
      </c>
      <c r="R304" s="2" t="inlineStr"/>
    </row>
    <row r="305" ht="15" customHeight="1">
      <c r="A305" t="inlineStr">
        <is>
          <t>A 39663-2025</t>
        </is>
      </c>
      <c r="B305" s="1" t="n">
        <v>45890</v>
      </c>
      <c r="C305" s="1" t="n">
        <v>46049</v>
      </c>
      <c r="D305" t="inlineStr">
        <is>
          <t>SÖDERMANLANDS LÄN</t>
        </is>
      </c>
      <c r="E305" t="inlineStr">
        <is>
          <t>KATRINEHOLM</t>
        </is>
      </c>
      <c r="G305" t="n">
        <v>0.5</v>
      </c>
      <c r="H305" t="n">
        <v>0</v>
      </c>
      <c r="I305" t="n">
        <v>0</v>
      </c>
      <c r="J305" t="n">
        <v>0</v>
      </c>
      <c r="K305" t="n">
        <v>0</v>
      </c>
      <c r="L305" t="n">
        <v>0</v>
      </c>
      <c r="M305" t="n">
        <v>0</v>
      </c>
      <c r="N305" t="n">
        <v>0</v>
      </c>
      <c r="O305" t="n">
        <v>0</v>
      </c>
      <c r="P305" t="n">
        <v>0</v>
      </c>
      <c r="Q305" t="n">
        <v>0</v>
      </c>
      <c r="R305" s="2" t="inlineStr"/>
    </row>
    <row r="306" ht="15" customHeight="1">
      <c r="A306" t="inlineStr">
        <is>
          <t>A 39668-2025</t>
        </is>
      </c>
      <c r="B306" s="1" t="n">
        <v>45890</v>
      </c>
      <c r="C306" s="1" t="n">
        <v>46049</v>
      </c>
      <c r="D306" t="inlineStr">
        <is>
          <t>SÖDERMANLANDS LÄN</t>
        </is>
      </c>
      <c r="E306" t="inlineStr">
        <is>
          <t>KATRINEHOLM</t>
        </is>
      </c>
      <c r="G306" t="n">
        <v>2.9</v>
      </c>
      <c r="H306" t="n">
        <v>0</v>
      </c>
      <c r="I306" t="n">
        <v>0</v>
      </c>
      <c r="J306" t="n">
        <v>0</v>
      </c>
      <c r="K306" t="n">
        <v>0</v>
      </c>
      <c r="L306" t="n">
        <v>0</v>
      </c>
      <c r="M306" t="n">
        <v>0</v>
      </c>
      <c r="N306" t="n">
        <v>0</v>
      </c>
      <c r="O306" t="n">
        <v>0</v>
      </c>
      <c r="P306" t="n">
        <v>0</v>
      </c>
      <c r="Q306" t="n">
        <v>0</v>
      </c>
      <c r="R306" s="2" t="inlineStr"/>
    </row>
    <row r="307" ht="15" customHeight="1">
      <c r="A307" t="inlineStr">
        <is>
          <t>A 3939-2022</t>
        </is>
      </c>
      <c r="B307" s="1" t="n">
        <v>44587</v>
      </c>
      <c r="C307" s="1" t="n">
        <v>46049</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56074-2022</t>
        </is>
      </c>
      <c r="B308" s="1" t="n">
        <v>44889</v>
      </c>
      <c r="C308" s="1" t="n">
        <v>46049</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c r="T308">
        <f>HYPERLINK("https://klasma.github.io/Logging_0483/kartor/A 56074-2022 karta.png", "A 56074-2022")</f>
        <v/>
      </c>
      <c r="V308">
        <f>HYPERLINK("https://klasma.github.io/Logging_0483/klagomål/A 56074-2022 FSC-klagomål.docx", "A 56074-2022")</f>
        <v/>
      </c>
      <c r="W308">
        <f>HYPERLINK("https://klasma.github.io/Logging_0483/klagomålsmail/A 56074-2022 FSC-klagomål mail.docx", "A 56074-2022")</f>
        <v/>
      </c>
      <c r="X308">
        <f>HYPERLINK("https://klasma.github.io/Logging_0483/tillsyn/A 56074-2022 tillsynsbegäran.docx", "A 56074-2022")</f>
        <v/>
      </c>
      <c r="Y308">
        <f>HYPERLINK("https://klasma.github.io/Logging_0483/tillsynsmail/A 56074-2022 tillsynsbegäran mail.docx", "A 56074-2022")</f>
        <v/>
      </c>
    </row>
    <row r="309" ht="15" customHeight="1">
      <c r="A309" t="inlineStr">
        <is>
          <t>A 12633-2022</t>
        </is>
      </c>
      <c r="B309" s="1" t="n">
        <v>44638</v>
      </c>
      <c r="C309" s="1" t="n">
        <v>46049</v>
      </c>
      <c r="D309" t="inlineStr">
        <is>
          <t>SÖDERMANLANDS LÄN</t>
        </is>
      </c>
      <c r="E309" t="inlineStr">
        <is>
          <t>KATRINEHOLM</t>
        </is>
      </c>
      <c r="G309" t="n">
        <v>6.4</v>
      </c>
      <c r="H309" t="n">
        <v>0</v>
      </c>
      <c r="I309" t="n">
        <v>0</v>
      </c>
      <c r="J309" t="n">
        <v>0</v>
      </c>
      <c r="K309" t="n">
        <v>0</v>
      </c>
      <c r="L309" t="n">
        <v>0</v>
      </c>
      <c r="M309" t="n">
        <v>0</v>
      </c>
      <c r="N309" t="n">
        <v>0</v>
      </c>
      <c r="O309" t="n">
        <v>0</v>
      </c>
      <c r="P309" t="n">
        <v>0</v>
      </c>
      <c r="Q309" t="n">
        <v>0</v>
      </c>
      <c r="R309" s="2" t="inlineStr"/>
    </row>
    <row r="310" ht="15" customHeight="1">
      <c r="A310" t="inlineStr">
        <is>
          <t>A 61915-2021</t>
        </is>
      </c>
      <c r="B310" s="1" t="n">
        <v>44502.36780092592</v>
      </c>
      <c r="C310" s="1" t="n">
        <v>46049</v>
      </c>
      <c r="D310" t="inlineStr">
        <is>
          <t>SÖDERMANLANDS LÄN</t>
        </is>
      </c>
      <c r="E310" t="inlineStr">
        <is>
          <t>KATRINEHOLM</t>
        </is>
      </c>
      <c r="G310" t="n">
        <v>2.6</v>
      </c>
      <c r="H310" t="n">
        <v>0</v>
      </c>
      <c r="I310" t="n">
        <v>0</v>
      </c>
      <c r="J310" t="n">
        <v>0</v>
      </c>
      <c r="K310" t="n">
        <v>0</v>
      </c>
      <c r="L310" t="n">
        <v>0</v>
      </c>
      <c r="M310" t="n">
        <v>0</v>
      </c>
      <c r="N310" t="n">
        <v>0</v>
      </c>
      <c r="O310" t="n">
        <v>0</v>
      </c>
      <c r="P310" t="n">
        <v>0</v>
      </c>
      <c r="Q310" t="n">
        <v>0</v>
      </c>
      <c r="R310" s="2" t="inlineStr"/>
    </row>
    <row r="311" ht="15" customHeight="1">
      <c r="A311" t="inlineStr">
        <is>
          <t>A 39737-2025</t>
        </is>
      </c>
      <c r="B311" s="1" t="n">
        <v>45891</v>
      </c>
      <c r="C311" s="1" t="n">
        <v>46049</v>
      </c>
      <c r="D311" t="inlineStr">
        <is>
          <t>SÖDERMANLANDS LÄN</t>
        </is>
      </c>
      <c r="E311" t="inlineStr">
        <is>
          <t>KATRINEHOLM</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39847-2025</t>
        </is>
      </c>
      <c r="B312" s="1" t="n">
        <v>45891.58381944444</v>
      </c>
      <c r="C312" s="1" t="n">
        <v>46049</v>
      </c>
      <c r="D312" t="inlineStr">
        <is>
          <t>SÖDERMANLANDS LÄN</t>
        </is>
      </c>
      <c r="E312" t="inlineStr">
        <is>
          <t>KATRINEHOLM</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29189-2025</t>
        </is>
      </c>
      <c r="B313" s="1" t="n">
        <v>45822</v>
      </c>
      <c r="C313" s="1" t="n">
        <v>46049</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4656-2023</t>
        </is>
      </c>
      <c r="B314" s="1" t="n">
        <v>44957</v>
      </c>
      <c r="C314" s="1" t="n">
        <v>46049</v>
      </c>
      <c r="D314" t="inlineStr">
        <is>
          <t>SÖDERMANLANDS LÄN</t>
        </is>
      </c>
      <c r="E314" t="inlineStr">
        <is>
          <t>KATRINEHOLM</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59093-2024</t>
        </is>
      </c>
      <c r="B315" s="1" t="n">
        <v>45636</v>
      </c>
      <c r="C315" s="1" t="n">
        <v>46049</v>
      </c>
      <c r="D315" t="inlineStr">
        <is>
          <t>SÖDERMANLANDS LÄN</t>
        </is>
      </c>
      <c r="E315" t="inlineStr">
        <is>
          <t>KATRINEHOLM</t>
        </is>
      </c>
      <c r="G315" t="n">
        <v>2.8</v>
      </c>
      <c r="H315" t="n">
        <v>0</v>
      </c>
      <c r="I315" t="n">
        <v>0</v>
      </c>
      <c r="J315" t="n">
        <v>0</v>
      </c>
      <c r="K315" t="n">
        <v>0</v>
      </c>
      <c r="L315" t="n">
        <v>0</v>
      </c>
      <c r="M315" t="n">
        <v>0</v>
      </c>
      <c r="N315" t="n">
        <v>0</v>
      </c>
      <c r="O315" t="n">
        <v>0</v>
      </c>
      <c r="P315" t="n">
        <v>0</v>
      </c>
      <c r="Q315" t="n">
        <v>0</v>
      </c>
      <c r="R315" s="2" t="inlineStr"/>
    </row>
    <row r="316" ht="15" customHeight="1">
      <c r="A316" t="inlineStr">
        <is>
          <t>A 30050-2025</t>
        </is>
      </c>
      <c r="B316" s="1" t="n">
        <v>45826.59151620371</v>
      </c>
      <c r="C316" s="1" t="n">
        <v>46049</v>
      </c>
      <c r="D316" t="inlineStr">
        <is>
          <t>SÖDERMANLANDS LÄN</t>
        </is>
      </c>
      <c r="E316" t="inlineStr">
        <is>
          <t>KATRINEHOLM</t>
        </is>
      </c>
      <c r="G316" t="n">
        <v>7.9</v>
      </c>
      <c r="H316" t="n">
        <v>0</v>
      </c>
      <c r="I316" t="n">
        <v>0</v>
      </c>
      <c r="J316" t="n">
        <v>0</v>
      </c>
      <c r="K316" t="n">
        <v>0</v>
      </c>
      <c r="L316" t="n">
        <v>0</v>
      </c>
      <c r="M316" t="n">
        <v>0</v>
      </c>
      <c r="N316" t="n">
        <v>0</v>
      </c>
      <c r="O316" t="n">
        <v>0</v>
      </c>
      <c r="P316" t="n">
        <v>0</v>
      </c>
      <c r="Q316" t="n">
        <v>0</v>
      </c>
      <c r="R316" s="2" t="inlineStr"/>
    </row>
    <row r="317" ht="15" customHeight="1">
      <c r="A317" t="inlineStr">
        <is>
          <t>A 38872-2024</t>
        </is>
      </c>
      <c r="B317" s="1" t="n">
        <v>45547</v>
      </c>
      <c r="C317" s="1" t="n">
        <v>46049</v>
      </c>
      <c r="D317" t="inlineStr">
        <is>
          <t>SÖDERMANLANDS LÄN</t>
        </is>
      </c>
      <c r="E317" t="inlineStr">
        <is>
          <t>KATRINEHOLM</t>
        </is>
      </c>
      <c r="G317" t="n">
        <v>5.7</v>
      </c>
      <c r="H317" t="n">
        <v>0</v>
      </c>
      <c r="I317" t="n">
        <v>0</v>
      </c>
      <c r="J317" t="n">
        <v>0</v>
      </c>
      <c r="K317" t="n">
        <v>0</v>
      </c>
      <c r="L317" t="n">
        <v>0</v>
      </c>
      <c r="M317" t="n">
        <v>0</v>
      </c>
      <c r="N317" t="n">
        <v>0</v>
      </c>
      <c r="O317" t="n">
        <v>0</v>
      </c>
      <c r="P317" t="n">
        <v>0</v>
      </c>
      <c r="Q317" t="n">
        <v>0</v>
      </c>
      <c r="R317" s="2" t="inlineStr"/>
    </row>
    <row r="318" ht="15" customHeight="1">
      <c r="A318" t="inlineStr">
        <is>
          <t>A 30070-2025</t>
        </is>
      </c>
      <c r="B318" s="1" t="n">
        <v>45826.63324074074</v>
      </c>
      <c r="C318" s="1" t="n">
        <v>46049</v>
      </c>
      <c r="D318" t="inlineStr">
        <is>
          <t>SÖDERMANLANDS LÄN</t>
        </is>
      </c>
      <c r="E318" t="inlineStr">
        <is>
          <t>KATRINEHOLM</t>
        </is>
      </c>
      <c r="G318" t="n">
        <v>1.7</v>
      </c>
      <c r="H318" t="n">
        <v>0</v>
      </c>
      <c r="I318" t="n">
        <v>0</v>
      </c>
      <c r="J318" t="n">
        <v>0</v>
      </c>
      <c r="K318" t="n">
        <v>0</v>
      </c>
      <c r="L318" t="n">
        <v>0</v>
      </c>
      <c r="M318" t="n">
        <v>0</v>
      </c>
      <c r="N318" t="n">
        <v>0</v>
      </c>
      <c r="O318" t="n">
        <v>0</v>
      </c>
      <c r="P318" t="n">
        <v>0</v>
      </c>
      <c r="Q318" t="n">
        <v>0</v>
      </c>
      <c r="R318" s="2" t="inlineStr"/>
    </row>
    <row r="319" ht="15" customHeight="1">
      <c r="A319" t="inlineStr">
        <is>
          <t>A 41074-2025</t>
        </is>
      </c>
      <c r="B319" s="1" t="n">
        <v>45898</v>
      </c>
      <c r="C319" s="1" t="n">
        <v>46049</v>
      </c>
      <c r="D319" t="inlineStr">
        <is>
          <t>SÖDERMANLANDS LÄN</t>
        </is>
      </c>
      <c r="E319" t="inlineStr">
        <is>
          <t>KATRINEHOLM</t>
        </is>
      </c>
      <c r="F319" t="inlineStr">
        <is>
          <t>Allmännings- och besparingsskogar</t>
        </is>
      </c>
      <c r="G319" t="n">
        <v>4.8</v>
      </c>
      <c r="H319" t="n">
        <v>0</v>
      </c>
      <c r="I319" t="n">
        <v>0</v>
      </c>
      <c r="J319" t="n">
        <v>0</v>
      </c>
      <c r="K319" t="n">
        <v>0</v>
      </c>
      <c r="L319" t="n">
        <v>0</v>
      </c>
      <c r="M319" t="n">
        <v>0</v>
      </c>
      <c r="N319" t="n">
        <v>0</v>
      </c>
      <c r="O319" t="n">
        <v>0</v>
      </c>
      <c r="P319" t="n">
        <v>0</v>
      </c>
      <c r="Q319" t="n">
        <v>0</v>
      </c>
      <c r="R319" s="2" t="inlineStr"/>
    </row>
    <row r="320" ht="15" customHeight="1">
      <c r="A320" t="inlineStr">
        <is>
          <t>A 30287-2025</t>
        </is>
      </c>
      <c r="B320" s="1" t="n">
        <v>45827</v>
      </c>
      <c r="C320" s="1" t="n">
        <v>46049</v>
      </c>
      <c r="D320" t="inlineStr">
        <is>
          <t>SÖDERMANLANDS LÄN</t>
        </is>
      </c>
      <c r="E320" t="inlineStr">
        <is>
          <t>KATRINEHOLM</t>
        </is>
      </c>
      <c r="G320" t="n">
        <v>10.2</v>
      </c>
      <c r="H320" t="n">
        <v>0</v>
      </c>
      <c r="I320" t="n">
        <v>0</v>
      </c>
      <c r="J320" t="n">
        <v>0</v>
      </c>
      <c r="K320" t="n">
        <v>0</v>
      </c>
      <c r="L320" t="n">
        <v>0</v>
      </c>
      <c r="M320" t="n">
        <v>0</v>
      </c>
      <c r="N320" t="n">
        <v>0</v>
      </c>
      <c r="O320" t="n">
        <v>0</v>
      </c>
      <c r="P320" t="n">
        <v>0</v>
      </c>
      <c r="Q320" t="n">
        <v>0</v>
      </c>
      <c r="R320" s="2" t="inlineStr"/>
    </row>
    <row r="321" ht="15" customHeight="1">
      <c r="A321" t="inlineStr">
        <is>
          <t>A 30350-2025</t>
        </is>
      </c>
      <c r="B321" s="1" t="n">
        <v>45827.53319444445</v>
      </c>
      <c r="C321" s="1" t="n">
        <v>46049</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9932-2023</t>
        </is>
      </c>
      <c r="B322" s="1" t="n">
        <v>44985.46709490741</v>
      </c>
      <c r="C322" s="1" t="n">
        <v>46049</v>
      </c>
      <c r="D322" t="inlineStr">
        <is>
          <t>SÖDERMANLANDS LÄN</t>
        </is>
      </c>
      <c r="E322" t="inlineStr">
        <is>
          <t>KATRINEHOLM</t>
        </is>
      </c>
      <c r="G322" t="n">
        <v>0.3</v>
      </c>
      <c r="H322" t="n">
        <v>0</v>
      </c>
      <c r="I322" t="n">
        <v>0</v>
      </c>
      <c r="J322" t="n">
        <v>0</v>
      </c>
      <c r="K322" t="n">
        <v>0</v>
      </c>
      <c r="L322" t="n">
        <v>0</v>
      </c>
      <c r="M322" t="n">
        <v>0</v>
      </c>
      <c r="N322" t="n">
        <v>0</v>
      </c>
      <c r="O322" t="n">
        <v>0</v>
      </c>
      <c r="P322" t="n">
        <v>0</v>
      </c>
      <c r="Q322" t="n">
        <v>0</v>
      </c>
      <c r="R322" s="2" t="inlineStr"/>
    </row>
    <row r="323" ht="15" customHeight="1">
      <c r="A323" t="inlineStr">
        <is>
          <t>A 30352-2025</t>
        </is>
      </c>
      <c r="B323" s="1" t="n">
        <v>45827</v>
      </c>
      <c r="C323" s="1" t="n">
        <v>46049</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41498-2025</t>
        </is>
      </c>
      <c r="B324" s="1" t="n">
        <v>45901.49755787037</v>
      </c>
      <c r="C324" s="1" t="n">
        <v>46049</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46049</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30402-2025</t>
        </is>
      </c>
      <c r="B326" s="1" t="n">
        <v>45827</v>
      </c>
      <c r="C326" s="1" t="n">
        <v>46049</v>
      </c>
      <c r="D326" t="inlineStr">
        <is>
          <t>SÖDERMANLANDS LÄN</t>
        </is>
      </c>
      <c r="E326" t="inlineStr">
        <is>
          <t>KATRINEHOLM</t>
        </is>
      </c>
      <c r="G326" t="n">
        <v>7.1</v>
      </c>
      <c r="H326" t="n">
        <v>0</v>
      </c>
      <c r="I326" t="n">
        <v>0</v>
      </c>
      <c r="J326" t="n">
        <v>0</v>
      </c>
      <c r="K326" t="n">
        <v>0</v>
      </c>
      <c r="L326" t="n">
        <v>0</v>
      </c>
      <c r="M326" t="n">
        <v>0</v>
      </c>
      <c r="N326" t="n">
        <v>0</v>
      </c>
      <c r="O326" t="n">
        <v>0</v>
      </c>
      <c r="P326" t="n">
        <v>0</v>
      </c>
      <c r="Q326" t="n">
        <v>0</v>
      </c>
      <c r="R326" s="2" t="inlineStr"/>
    </row>
    <row r="327" ht="15" customHeight="1">
      <c r="A327" t="inlineStr">
        <is>
          <t>A 9192-2023</t>
        </is>
      </c>
      <c r="B327" s="1" t="n">
        <v>44980</v>
      </c>
      <c r="C327" s="1" t="n">
        <v>46049</v>
      </c>
      <c r="D327" t="inlineStr">
        <is>
          <t>SÖDERMANLANDS LÄN</t>
        </is>
      </c>
      <c r="E327" t="inlineStr">
        <is>
          <t>KATRINEHOLM</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15399-2022</t>
        </is>
      </c>
      <c r="B328" s="1" t="n">
        <v>44659</v>
      </c>
      <c r="C328" s="1" t="n">
        <v>46049</v>
      </c>
      <c r="D328" t="inlineStr">
        <is>
          <t>SÖDERMANLANDS LÄN</t>
        </is>
      </c>
      <c r="E328" t="inlineStr">
        <is>
          <t>KATRINEHOLM</t>
        </is>
      </c>
      <c r="G328" t="n">
        <v>5.6</v>
      </c>
      <c r="H328" t="n">
        <v>0</v>
      </c>
      <c r="I328" t="n">
        <v>0</v>
      </c>
      <c r="J328" t="n">
        <v>0</v>
      </c>
      <c r="K328" t="n">
        <v>0</v>
      </c>
      <c r="L328" t="n">
        <v>0</v>
      </c>
      <c r="M328" t="n">
        <v>0</v>
      </c>
      <c r="N328" t="n">
        <v>0</v>
      </c>
      <c r="O328" t="n">
        <v>0</v>
      </c>
      <c r="P328" t="n">
        <v>0</v>
      </c>
      <c r="Q328" t="n">
        <v>0</v>
      </c>
      <c r="R328" s="2" t="inlineStr"/>
    </row>
    <row r="329" ht="15" customHeight="1">
      <c r="A329" t="inlineStr">
        <is>
          <t>A 11872-2023</t>
        </is>
      </c>
      <c r="B329" s="1" t="n">
        <v>44995</v>
      </c>
      <c r="C329" s="1" t="n">
        <v>46049</v>
      </c>
      <c r="D329" t="inlineStr">
        <is>
          <t>SÖDERMANLANDS LÄN</t>
        </is>
      </c>
      <c r="E329" t="inlineStr">
        <is>
          <t>KATRINEHOLM</t>
        </is>
      </c>
      <c r="F329" t="inlineStr">
        <is>
          <t>Kommuner</t>
        </is>
      </c>
      <c r="G329" t="n">
        <v>0.9</v>
      </c>
      <c r="H329" t="n">
        <v>0</v>
      </c>
      <c r="I329" t="n">
        <v>0</v>
      </c>
      <c r="J329" t="n">
        <v>0</v>
      </c>
      <c r="K329" t="n">
        <v>0</v>
      </c>
      <c r="L329" t="n">
        <v>0</v>
      </c>
      <c r="M329" t="n">
        <v>0</v>
      </c>
      <c r="N329" t="n">
        <v>0</v>
      </c>
      <c r="O329" t="n">
        <v>0</v>
      </c>
      <c r="P329" t="n">
        <v>0</v>
      </c>
      <c r="Q329" t="n">
        <v>0</v>
      </c>
      <c r="R329" s="2" t="inlineStr"/>
    </row>
    <row r="330" ht="15" customHeight="1">
      <c r="A330" t="inlineStr">
        <is>
          <t>A 49092-2024</t>
        </is>
      </c>
      <c r="B330" s="1" t="n">
        <v>45594.63619212963</v>
      </c>
      <c r="C330" s="1" t="n">
        <v>46049</v>
      </c>
      <c r="D330" t="inlineStr">
        <is>
          <t>SÖDERMANLANDS LÄN</t>
        </is>
      </c>
      <c r="E330" t="inlineStr">
        <is>
          <t>KATRINEHOLM</t>
        </is>
      </c>
      <c r="F330" t="inlineStr">
        <is>
          <t>Övriga Aktiebolag</t>
        </is>
      </c>
      <c r="G330" t="n">
        <v>0.4</v>
      </c>
      <c r="H330" t="n">
        <v>0</v>
      </c>
      <c r="I330" t="n">
        <v>0</v>
      </c>
      <c r="J330" t="n">
        <v>0</v>
      </c>
      <c r="K330" t="n">
        <v>0</v>
      </c>
      <c r="L330" t="n">
        <v>0</v>
      </c>
      <c r="M330" t="n">
        <v>0</v>
      </c>
      <c r="N330" t="n">
        <v>0</v>
      </c>
      <c r="O330" t="n">
        <v>0</v>
      </c>
      <c r="P330" t="n">
        <v>0</v>
      </c>
      <c r="Q330" t="n">
        <v>0</v>
      </c>
      <c r="R330" s="2" t="inlineStr"/>
    </row>
    <row r="331" ht="15" customHeight="1">
      <c r="A331" t="inlineStr">
        <is>
          <t>A 49095-2024</t>
        </is>
      </c>
      <c r="B331" s="1" t="n">
        <v>45594.63828703704</v>
      </c>
      <c r="C331" s="1" t="n">
        <v>46049</v>
      </c>
      <c r="D331" t="inlineStr">
        <is>
          <t>SÖDERMANLANDS LÄN</t>
        </is>
      </c>
      <c r="E331" t="inlineStr">
        <is>
          <t>KATRINEHOLM</t>
        </is>
      </c>
      <c r="F331" t="inlineStr">
        <is>
          <t>Övriga Aktiebolag</t>
        </is>
      </c>
      <c r="G331" t="n">
        <v>0.4</v>
      </c>
      <c r="H331" t="n">
        <v>0</v>
      </c>
      <c r="I331" t="n">
        <v>0</v>
      </c>
      <c r="J331" t="n">
        <v>0</v>
      </c>
      <c r="K331" t="n">
        <v>0</v>
      </c>
      <c r="L331" t="n">
        <v>0</v>
      </c>
      <c r="M331" t="n">
        <v>0</v>
      </c>
      <c r="N331" t="n">
        <v>0</v>
      </c>
      <c r="O331" t="n">
        <v>0</v>
      </c>
      <c r="P331" t="n">
        <v>0</v>
      </c>
      <c r="Q331" t="n">
        <v>0</v>
      </c>
      <c r="R331" s="2" t="inlineStr"/>
    </row>
    <row r="332" ht="15" customHeight="1">
      <c r="A332" t="inlineStr">
        <is>
          <t>A 49341-2024</t>
        </is>
      </c>
      <c r="B332" s="1" t="n">
        <v>45595</v>
      </c>
      <c r="C332" s="1" t="n">
        <v>46049</v>
      </c>
      <c r="D332" t="inlineStr">
        <is>
          <t>SÖDERMANLANDS LÄN</t>
        </is>
      </c>
      <c r="E332" t="inlineStr">
        <is>
          <t>KATRINEHOLM</t>
        </is>
      </c>
      <c r="G332" t="n">
        <v>10</v>
      </c>
      <c r="H332" t="n">
        <v>0</v>
      </c>
      <c r="I332" t="n">
        <v>0</v>
      </c>
      <c r="J332" t="n">
        <v>0</v>
      </c>
      <c r="K332" t="n">
        <v>0</v>
      </c>
      <c r="L332" t="n">
        <v>0</v>
      </c>
      <c r="M332" t="n">
        <v>0</v>
      </c>
      <c r="N332" t="n">
        <v>0</v>
      </c>
      <c r="O332" t="n">
        <v>0</v>
      </c>
      <c r="P332" t="n">
        <v>0</v>
      </c>
      <c r="Q332" t="n">
        <v>0</v>
      </c>
      <c r="R332" s="2" t="inlineStr"/>
    </row>
    <row r="333" ht="15" customHeight="1">
      <c r="A333" t="inlineStr">
        <is>
          <t>A 7254-2021</t>
        </is>
      </c>
      <c r="B333" s="1" t="n">
        <v>44238</v>
      </c>
      <c r="C333" s="1" t="n">
        <v>46049</v>
      </c>
      <c r="D333" t="inlineStr">
        <is>
          <t>SÖDERMANLANDS LÄN</t>
        </is>
      </c>
      <c r="E333" t="inlineStr">
        <is>
          <t>KATRINEHOLM</t>
        </is>
      </c>
      <c r="G333" t="n">
        <v>3.6</v>
      </c>
      <c r="H333" t="n">
        <v>0</v>
      </c>
      <c r="I333" t="n">
        <v>0</v>
      </c>
      <c r="J333" t="n">
        <v>0</v>
      </c>
      <c r="K333" t="n">
        <v>0</v>
      </c>
      <c r="L333" t="n">
        <v>0</v>
      </c>
      <c r="M333" t="n">
        <v>0</v>
      </c>
      <c r="N333" t="n">
        <v>0</v>
      </c>
      <c r="O333" t="n">
        <v>0</v>
      </c>
      <c r="P333" t="n">
        <v>0</v>
      </c>
      <c r="Q333" t="n">
        <v>0</v>
      </c>
      <c r="R333" s="2" t="inlineStr"/>
    </row>
    <row r="334" ht="15" customHeight="1">
      <c r="A334" t="inlineStr">
        <is>
          <t>A 41633-2025</t>
        </is>
      </c>
      <c r="B334" s="1" t="n">
        <v>45901</v>
      </c>
      <c r="C334" s="1" t="n">
        <v>46049</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41632-2025</t>
        </is>
      </c>
      <c r="B335" s="1" t="n">
        <v>45901</v>
      </c>
      <c r="C335" s="1" t="n">
        <v>46049</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41648-2025</t>
        </is>
      </c>
      <c r="B336" s="1" t="n">
        <v>45902.32601851852</v>
      </c>
      <c r="C336" s="1" t="n">
        <v>46049</v>
      </c>
      <c r="D336" t="inlineStr">
        <is>
          <t>SÖDERMANLANDS LÄN</t>
        </is>
      </c>
      <c r="E336" t="inlineStr">
        <is>
          <t>KATRINEHOLM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41793-2025</t>
        </is>
      </c>
      <c r="B337" s="1" t="n">
        <v>45902</v>
      </c>
      <c r="C337" s="1" t="n">
        <v>46049</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36-2023</t>
        </is>
      </c>
      <c r="B338" s="1" t="n">
        <v>44928.36578703704</v>
      </c>
      <c r="C338" s="1" t="n">
        <v>46049</v>
      </c>
      <c r="D338" t="inlineStr">
        <is>
          <t>SÖDERMANLANDS LÄN</t>
        </is>
      </c>
      <c r="E338" t="inlineStr">
        <is>
          <t>KATRINEHOLM</t>
        </is>
      </c>
      <c r="G338" t="n">
        <v>3.7</v>
      </c>
      <c r="H338" t="n">
        <v>0</v>
      </c>
      <c r="I338" t="n">
        <v>0</v>
      </c>
      <c r="J338" t="n">
        <v>0</v>
      </c>
      <c r="K338" t="n">
        <v>0</v>
      </c>
      <c r="L338" t="n">
        <v>0</v>
      </c>
      <c r="M338" t="n">
        <v>0</v>
      </c>
      <c r="N338" t="n">
        <v>0</v>
      </c>
      <c r="O338" t="n">
        <v>0</v>
      </c>
      <c r="P338" t="n">
        <v>0</v>
      </c>
      <c r="Q338" t="n">
        <v>0</v>
      </c>
      <c r="R338" s="2" t="inlineStr"/>
    </row>
    <row r="339" ht="15" customHeight="1">
      <c r="A339" t="inlineStr">
        <is>
          <t>A 10341-2022</t>
        </is>
      </c>
      <c r="B339" s="1" t="n">
        <v>44623</v>
      </c>
      <c r="C339" s="1" t="n">
        <v>46049</v>
      </c>
      <c r="D339" t="inlineStr">
        <is>
          <t>SÖDERMANLANDS LÄN</t>
        </is>
      </c>
      <c r="E339" t="inlineStr">
        <is>
          <t>KATRINEHOLM</t>
        </is>
      </c>
      <c r="G339" t="n">
        <v>2.3</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46049</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12835-2024</t>
        </is>
      </c>
      <c r="B341" s="1" t="n">
        <v>45384</v>
      </c>
      <c r="C341" s="1" t="n">
        <v>46049</v>
      </c>
      <c r="D341" t="inlineStr">
        <is>
          <t>SÖDERMANLANDS LÄN</t>
        </is>
      </c>
      <c r="E341" t="inlineStr">
        <is>
          <t>KATRINEHOLM</t>
        </is>
      </c>
      <c r="F341" t="inlineStr">
        <is>
          <t>Allmännings- och besparingsskogar</t>
        </is>
      </c>
      <c r="G341" t="n">
        <v>0.5</v>
      </c>
      <c r="H341" t="n">
        <v>0</v>
      </c>
      <c r="I341" t="n">
        <v>0</v>
      </c>
      <c r="J341" t="n">
        <v>0</v>
      </c>
      <c r="K341" t="n">
        <v>0</v>
      </c>
      <c r="L341" t="n">
        <v>0</v>
      </c>
      <c r="M341" t="n">
        <v>0</v>
      </c>
      <c r="N341" t="n">
        <v>0</v>
      </c>
      <c r="O341" t="n">
        <v>0</v>
      </c>
      <c r="P341" t="n">
        <v>0</v>
      </c>
      <c r="Q341" t="n">
        <v>0</v>
      </c>
      <c r="R341" s="2" t="inlineStr"/>
    </row>
    <row r="342" ht="15" customHeight="1">
      <c r="A342" t="inlineStr">
        <is>
          <t>A 25716-2022</t>
        </is>
      </c>
      <c r="B342" s="1" t="n">
        <v>44733.39600694444</v>
      </c>
      <c r="C342" s="1" t="n">
        <v>46049</v>
      </c>
      <c r="D342" t="inlineStr">
        <is>
          <t>SÖDERMANLANDS LÄN</t>
        </is>
      </c>
      <c r="E342" t="inlineStr">
        <is>
          <t>KATRINEHOLM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6807-2023</t>
        </is>
      </c>
      <c r="B343" s="1" t="n">
        <v>44964</v>
      </c>
      <c r="C343" s="1" t="n">
        <v>46049</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9668-2023</t>
        </is>
      </c>
      <c r="B344" s="1" t="n">
        <v>44984.41238425926</v>
      </c>
      <c r="C344" s="1" t="n">
        <v>46049</v>
      </c>
      <c r="D344" t="inlineStr">
        <is>
          <t>SÖDERMANLANDS LÄN</t>
        </is>
      </c>
      <c r="E344" t="inlineStr">
        <is>
          <t>KATRINEHOLM</t>
        </is>
      </c>
      <c r="G344" t="n">
        <v>4.8</v>
      </c>
      <c r="H344" t="n">
        <v>0</v>
      </c>
      <c r="I344" t="n">
        <v>0</v>
      </c>
      <c r="J344" t="n">
        <v>0</v>
      </c>
      <c r="K344" t="n">
        <v>0</v>
      </c>
      <c r="L344" t="n">
        <v>0</v>
      </c>
      <c r="M344" t="n">
        <v>0</v>
      </c>
      <c r="N344" t="n">
        <v>0</v>
      </c>
      <c r="O344" t="n">
        <v>0</v>
      </c>
      <c r="P344" t="n">
        <v>0</v>
      </c>
      <c r="Q344" t="n">
        <v>0</v>
      </c>
      <c r="R344" s="2" t="inlineStr"/>
    </row>
    <row r="345" ht="15" customHeight="1">
      <c r="A345" t="inlineStr">
        <is>
          <t>A 31392-2025</t>
        </is>
      </c>
      <c r="B345" s="1" t="n">
        <v>45833</v>
      </c>
      <c r="C345" s="1" t="n">
        <v>46049</v>
      </c>
      <c r="D345" t="inlineStr">
        <is>
          <t>SÖDERMANLANDS LÄN</t>
        </is>
      </c>
      <c r="E345" t="inlineStr">
        <is>
          <t>KATRINEHOLM</t>
        </is>
      </c>
      <c r="G345" t="n">
        <v>5</v>
      </c>
      <c r="H345" t="n">
        <v>0</v>
      </c>
      <c r="I345" t="n">
        <v>0</v>
      </c>
      <c r="J345" t="n">
        <v>0</v>
      </c>
      <c r="K345" t="n">
        <v>0</v>
      </c>
      <c r="L345" t="n">
        <v>0</v>
      </c>
      <c r="M345" t="n">
        <v>0</v>
      </c>
      <c r="N345" t="n">
        <v>0</v>
      </c>
      <c r="O345" t="n">
        <v>0</v>
      </c>
      <c r="P345" t="n">
        <v>0</v>
      </c>
      <c r="Q345" t="n">
        <v>0</v>
      </c>
      <c r="R345" s="2" t="inlineStr"/>
    </row>
    <row r="346" ht="15" customHeight="1">
      <c r="A346" t="inlineStr">
        <is>
          <t>A 9044-2022</t>
        </is>
      </c>
      <c r="B346" s="1" t="n">
        <v>44602</v>
      </c>
      <c r="C346" s="1" t="n">
        <v>46049</v>
      </c>
      <c r="D346" t="inlineStr">
        <is>
          <t>SÖDERMANLANDS LÄN</t>
        </is>
      </c>
      <c r="E346" t="inlineStr">
        <is>
          <t>KATRINEHOLM</t>
        </is>
      </c>
      <c r="G346" t="n">
        <v>5.8</v>
      </c>
      <c r="H346" t="n">
        <v>0</v>
      </c>
      <c r="I346" t="n">
        <v>0</v>
      </c>
      <c r="J346" t="n">
        <v>0</v>
      </c>
      <c r="K346" t="n">
        <v>0</v>
      </c>
      <c r="L346" t="n">
        <v>0</v>
      </c>
      <c r="M346" t="n">
        <v>0</v>
      </c>
      <c r="N346" t="n">
        <v>0</v>
      </c>
      <c r="O346" t="n">
        <v>0</v>
      </c>
      <c r="P346" t="n">
        <v>0</v>
      </c>
      <c r="Q346" t="n">
        <v>0</v>
      </c>
      <c r="R346" s="2" t="inlineStr"/>
    </row>
    <row r="347" ht="15" customHeight="1">
      <c r="A347" t="inlineStr">
        <is>
          <t>A 31386-2025</t>
        </is>
      </c>
      <c r="B347" s="1" t="n">
        <v>45833.45259259259</v>
      </c>
      <c r="C347" s="1" t="n">
        <v>46049</v>
      </c>
      <c r="D347" t="inlineStr">
        <is>
          <t>SÖDERMANLANDS LÄN</t>
        </is>
      </c>
      <c r="E347" t="inlineStr">
        <is>
          <t>KATRINEHOLM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42686-2025</t>
        </is>
      </c>
      <c r="B348" s="1" t="n">
        <v>45908.35550925926</v>
      </c>
      <c r="C348" s="1" t="n">
        <v>46049</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42799-2025</t>
        </is>
      </c>
      <c r="B349" s="1" t="n">
        <v>45907</v>
      </c>
      <c r="C349" s="1" t="n">
        <v>46049</v>
      </c>
      <c r="D349" t="inlineStr">
        <is>
          <t>SÖDERMANLANDS LÄN</t>
        </is>
      </c>
      <c r="E349" t="inlineStr">
        <is>
          <t>KATRINEHOLM</t>
        </is>
      </c>
      <c r="G349" t="n">
        <v>3.9</v>
      </c>
      <c r="H349" t="n">
        <v>0</v>
      </c>
      <c r="I349" t="n">
        <v>0</v>
      </c>
      <c r="J349" t="n">
        <v>0</v>
      </c>
      <c r="K349" t="n">
        <v>0</v>
      </c>
      <c r="L349" t="n">
        <v>0</v>
      </c>
      <c r="M349" t="n">
        <v>0</v>
      </c>
      <c r="N349" t="n">
        <v>0</v>
      </c>
      <c r="O349" t="n">
        <v>0</v>
      </c>
      <c r="P349" t="n">
        <v>0</v>
      </c>
      <c r="Q349" t="n">
        <v>0</v>
      </c>
      <c r="R349" s="2" t="inlineStr"/>
    </row>
    <row r="350" ht="15" customHeight="1">
      <c r="A350" t="inlineStr">
        <is>
          <t>A 42474-2025</t>
        </is>
      </c>
      <c r="B350" s="1" t="n">
        <v>45905.46659722222</v>
      </c>
      <c r="C350" s="1" t="n">
        <v>46049</v>
      </c>
      <c r="D350" t="inlineStr">
        <is>
          <t>SÖDERMANLANDS LÄN</t>
        </is>
      </c>
      <c r="E350" t="inlineStr">
        <is>
          <t>KATRINEHOLM</t>
        </is>
      </c>
      <c r="G350" t="n">
        <v>4</v>
      </c>
      <c r="H350" t="n">
        <v>0</v>
      </c>
      <c r="I350" t="n">
        <v>0</v>
      </c>
      <c r="J350" t="n">
        <v>0</v>
      </c>
      <c r="K350" t="n">
        <v>0</v>
      </c>
      <c r="L350" t="n">
        <v>0</v>
      </c>
      <c r="M350" t="n">
        <v>0</v>
      </c>
      <c r="N350" t="n">
        <v>0</v>
      </c>
      <c r="O350" t="n">
        <v>0</v>
      </c>
      <c r="P350" t="n">
        <v>0</v>
      </c>
      <c r="Q350" t="n">
        <v>0</v>
      </c>
      <c r="R350" s="2" t="inlineStr"/>
    </row>
    <row r="351" ht="15" customHeight="1">
      <c r="A351" t="inlineStr">
        <is>
          <t>A 31990-2025</t>
        </is>
      </c>
      <c r="B351" s="1" t="n">
        <v>45835.36697916667</v>
      </c>
      <c r="C351" s="1" t="n">
        <v>46049</v>
      </c>
      <c r="D351" t="inlineStr">
        <is>
          <t>SÖDERMANLANDS LÄN</t>
        </is>
      </c>
      <c r="E351" t="inlineStr">
        <is>
          <t>KATRINEHOLM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48091-2024</t>
        </is>
      </c>
      <c r="B352" s="1" t="n">
        <v>45590</v>
      </c>
      <c r="C352" s="1" t="n">
        <v>46049</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24097-2022</t>
        </is>
      </c>
      <c r="B353" s="1" t="n">
        <v>44725.39371527778</v>
      </c>
      <c r="C353" s="1" t="n">
        <v>46049</v>
      </c>
      <c r="D353" t="inlineStr">
        <is>
          <t>SÖDERMANLANDS LÄN</t>
        </is>
      </c>
      <c r="E353" t="inlineStr">
        <is>
          <t>KATRINEHOLM</t>
        </is>
      </c>
      <c r="G353" t="n">
        <v>6.5</v>
      </c>
      <c r="H353" t="n">
        <v>0</v>
      </c>
      <c r="I353" t="n">
        <v>0</v>
      </c>
      <c r="J353" t="n">
        <v>0</v>
      </c>
      <c r="K353" t="n">
        <v>0</v>
      </c>
      <c r="L353" t="n">
        <v>0</v>
      </c>
      <c r="M353" t="n">
        <v>0</v>
      </c>
      <c r="N353" t="n">
        <v>0</v>
      </c>
      <c r="O353" t="n">
        <v>0</v>
      </c>
      <c r="P353" t="n">
        <v>0</v>
      </c>
      <c r="Q353" t="n">
        <v>0</v>
      </c>
      <c r="R353" s="2" t="inlineStr"/>
    </row>
    <row r="354" ht="15" customHeight="1">
      <c r="A354" t="inlineStr">
        <is>
          <t>A 46670-2021</t>
        </is>
      </c>
      <c r="B354" s="1" t="n">
        <v>44445</v>
      </c>
      <c r="C354" s="1" t="n">
        <v>46049</v>
      </c>
      <c r="D354" t="inlineStr">
        <is>
          <t>SÖDERMANLANDS LÄN</t>
        </is>
      </c>
      <c r="E354" t="inlineStr">
        <is>
          <t>KATRINEHOLM</t>
        </is>
      </c>
      <c r="G354" t="n">
        <v>4.4</v>
      </c>
      <c r="H354" t="n">
        <v>0</v>
      </c>
      <c r="I354" t="n">
        <v>0</v>
      </c>
      <c r="J354" t="n">
        <v>0</v>
      </c>
      <c r="K354" t="n">
        <v>0</v>
      </c>
      <c r="L354" t="n">
        <v>0</v>
      </c>
      <c r="M354" t="n">
        <v>0</v>
      </c>
      <c r="N354" t="n">
        <v>0</v>
      </c>
      <c r="O354" t="n">
        <v>0</v>
      </c>
      <c r="P354" t="n">
        <v>0</v>
      </c>
      <c r="Q354" t="n">
        <v>0</v>
      </c>
      <c r="R354" s="2" t="inlineStr"/>
    </row>
    <row r="355" ht="15" customHeight="1">
      <c r="A355" t="inlineStr">
        <is>
          <t>A 62954-2023</t>
        </is>
      </c>
      <c r="B355" s="1" t="n">
        <v>45272.55362268518</v>
      </c>
      <c r="C355" s="1" t="n">
        <v>46049</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58651-2023</t>
        </is>
      </c>
      <c r="B356" s="1" t="n">
        <v>45247</v>
      </c>
      <c r="C356" s="1" t="n">
        <v>46049</v>
      </c>
      <c r="D356" t="inlineStr">
        <is>
          <t>SÖDERMANLANDS LÄN</t>
        </is>
      </c>
      <c r="E356" t="inlineStr">
        <is>
          <t>KATRINEHOLM</t>
        </is>
      </c>
      <c r="G356" t="n">
        <v>2.7</v>
      </c>
      <c r="H356" t="n">
        <v>0</v>
      </c>
      <c r="I356" t="n">
        <v>0</v>
      </c>
      <c r="J356" t="n">
        <v>0</v>
      </c>
      <c r="K356" t="n">
        <v>0</v>
      </c>
      <c r="L356" t="n">
        <v>0</v>
      </c>
      <c r="M356" t="n">
        <v>0</v>
      </c>
      <c r="N356" t="n">
        <v>0</v>
      </c>
      <c r="O356" t="n">
        <v>0</v>
      </c>
      <c r="P356" t="n">
        <v>0</v>
      </c>
      <c r="Q356" t="n">
        <v>0</v>
      </c>
      <c r="R356" s="2" t="inlineStr"/>
    </row>
    <row r="357" ht="15" customHeight="1">
      <c r="A357" t="inlineStr">
        <is>
          <t>A 12238-2021</t>
        </is>
      </c>
      <c r="B357" s="1" t="n">
        <v>44266</v>
      </c>
      <c r="C357" s="1" t="n">
        <v>46049</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33090-2025</t>
        </is>
      </c>
      <c r="B358" s="1" t="n">
        <v>45840.46840277778</v>
      </c>
      <c r="C358" s="1" t="n">
        <v>46049</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33084-2025</t>
        </is>
      </c>
      <c r="B359" s="1" t="n">
        <v>45840.46559027778</v>
      </c>
      <c r="C359" s="1" t="n">
        <v>46049</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33577-2025</t>
        </is>
      </c>
      <c r="B360" s="1" t="n">
        <v>45841.59056712963</v>
      </c>
      <c r="C360" s="1" t="n">
        <v>46049</v>
      </c>
      <c r="D360" t="inlineStr">
        <is>
          <t>SÖDERMANLANDS LÄN</t>
        </is>
      </c>
      <c r="E360" t="inlineStr">
        <is>
          <t>KATRINEHOLM</t>
        </is>
      </c>
      <c r="F360" t="inlineStr">
        <is>
          <t>Holmen skog AB</t>
        </is>
      </c>
      <c r="G360" t="n">
        <v>0.3</v>
      </c>
      <c r="H360" t="n">
        <v>0</v>
      </c>
      <c r="I360" t="n">
        <v>0</v>
      </c>
      <c r="J360" t="n">
        <v>0</v>
      </c>
      <c r="K360" t="n">
        <v>0</v>
      </c>
      <c r="L360" t="n">
        <v>0</v>
      </c>
      <c r="M360" t="n">
        <v>0</v>
      </c>
      <c r="N360" t="n">
        <v>0</v>
      </c>
      <c r="O360" t="n">
        <v>0</v>
      </c>
      <c r="P360" t="n">
        <v>0</v>
      </c>
      <c r="Q360" t="n">
        <v>0</v>
      </c>
      <c r="R360" s="2" t="inlineStr"/>
    </row>
    <row r="361" ht="15" customHeight="1">
      <c r="A361" t="inlineStr">
        <is>
          <t>A 6446-2022</t>
        </is>
      </c>
      <c r="B361" s="1" t="n">
        <v>44600</v>
      </c>
      <c r="C361" s="1" t="n">
        <v>46049</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33812-2025</t>
        </is>
      </c>
      <c r="B362" s="1" t="n">
        <v>45842</v>
      </c>
      <c r="C362" s="1" t="n">
        <v>46049</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33815-2025</t>
        </is>
      </c>
      <c r="B363" s="1" t="n">
        <v>45842</v>
      </c>
      <c r="C363" s="1" t="n">
        <v>46049</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6762-2025</t>
        </is>
      </c>
      <c r="B364" s="1" t="n">
        <v>45700</v>
      </c>
      <c r="C364" s="1" t="n">
        <v>46049</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51923-2023</t>
        </is>
      </c>
      <c r="B365" s="1" t="n">
        <v>45223</v>
      </c>
      <c r="C365" s="1" t="n">
        <v>46049</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20213-2025</t>
        </is>
      </c>
      <c r="B366" s="1" t="n">
        <v>45772.63453703704</v>
      </c>
      <c r="C366" s="1" t="n">
        <v>46049</v>
      </c>
      <c r="D366" t="inlineStr">
        <is>
          <t>SÖDERMANLANDS LÄN</t>
        </is>
      </c>
      <c r="E366" t="inlineStr">
        <is>
          <t>KATRINEHOLM</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44071-2025</t>
        </is>
      </c>
      <c r="B367" s="1" t="n">
        <v>45915</v>
      </c>
      <c r="C367" s="1" t="n">
        <v>46049</v>
      </c>
      <c r="D367" t="inlineStr">
        <is>
          <t>SÖDERMANLANDS LÄN</t>
        </is>
      </c>
      <c r="E367" t="inlineStr">
        <is>
          <t>KATRINEHOLM</t>
        </is>
      </c>
      <c r="G367" t="n">
        <v>3.1</v>
      </c>
      <c r="H367" t="n">
        <v>0</v>
      </c>
      <c r="I367" t="n">
        <v>0</v>
      </c>
      <c r="J367" t="n">
        <v>0</v>
      </c>
      <c r="K367" t="n">
        <v>0</v>
      </c>
      <c r="L367" t="n">
        <v>0</v>
      </c>
      <c r="M367" t="n">
        <v>0</v>
      </c>
      <c r="N367" t="n">
        <v>0</v>
      </c>
      <c r="O367" t="n">
        <v>0</v>
      </c>
      <c r="P367" t="n">
        <v>0</v>
      </c>
      <c r="Q367" t="n">
        <v>0</v>
      </c>
      <c r="R367" s="2" t="inlineStr"/>
    </row>
    <row r="368" ht="15" customHeight="1">
      <c r="A368" t="inlineStr">
        <is>
          <t>A 43975-2025</t>
        </is>
      </c>
      <c r="B368" s="1" t="n">
        <v>45915.41148148148</v>
      </c>
      <c r="C368" s="1" t="n">
        <v>46049</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18386-2025</t>
        </is>
      </c>
      <c r="B369" s="1" t="n">
        <v>45762</v>
      </c>
      <c r="C369" s="1" t="n">
        <v>46049</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3125-2024</t>
        </is>
      </c>
      <c r="B370" s="1" t="n">
        <v>45316</v>
      </c>
      <c r="C370" s="1" t="n">
        <v>46049</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35183-2022</t>
        </is>
      </c>
      <c r="B371" s="1" t="n">
        <v>44797</v>
      </c>
      <c r="C371" s="1" t="n">
        <v>46049</v>
      </c>
      <c r="D371" t="inlineStr">
        <is>
          <t>SÖDERMANLANDS LÄN</t>
        </is>
      </c>
      <c r="E371" t="inlineStr">
        <is>
          <t>KATRINEHOLM</t>
        </is>
      </c>
      <c r="G371" t="n">
        <v>4.6</v>
      </c>
      <c r="H371" t="n">
        <v>0</v>
      </c>
      <c r="I371" t="n">
        <v>0</v>
      </c>
      <c r="J371" t="n">
        <v>0</v>
      </c>
      <c r="K371" t="n">
        <v>0</v>
      </c>
      <c r="L371" t="n">
        <v>0</v>
      </c>
      <c r="M371" t="n">
        <v>0</v>
      </c>
      <c r="N371" t="n">
        <v>0</v>
      </c>
      <c r="O371" t="n">
        <v>0</v>
      </c>
      <c r="P371" t="n">
        <v>0</v>
      </c>
      <c r="Q371" t="n">
        <v>0</v>
      </c>
      <c r="R371" s="2" t="inlineStr"/>
    </row>
    <row r="372" ht="15" customHeight="1">
      <c r="A372" t="inlineStr">
        <is>
          <t>A 42519-2024</t>
        </is>
      </c>
      <c r="B372" s="1" t="n">
        <v>45565</v>
      </c>
      <c r="C372" s="1" t="n">
        <v>46049</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20826-2022</t>
        </is>
      </c>
      <c r="B373" s="1" t="n">
        <v>44701.44754629629</v>
      </c>
      <c r="C373" s="1" t="n">
        <v>46049</v>
      </c>
      <c r="D373" t="inlineStr">
        <is>
          <t>SÖDERMANLANDS LÄN</t>
        </is>
      </c>
      <c r="E373" t="inlineStr">
        <is>
          <t>KATRINEHOLM</t>
        </is>
      </c>
      <c r="G373" t="n">
        <v>6.8</v>
      </c>
      <c r="H373" t="n">
        <v>0</v>
      </c>
      <c r="I373" t="n">
        <v>0</v>
      </c>
      <c r="J373" t="n">
        <v>0</v>
      </c>
      <c r="K373" t="n">
        <v>0</v>
      </c>
      <c r="L373" t="n">
        <v>0</v>
      </c>
      <c r="M373" t="n">
        <v>0</v>
      </c>
      <c r="N373" t="n">
        <v>0</v>
      </c>
      <c r="O373" t="n">
        <v>0</v>
      </c>
      <c r="P373" t="n">
        <v>0</v>
      </c>
      <c r="Q373" t="n">
        <v>0</v>
      </c>
      <c r="R373" s="2" t="inlineStr"/>
    </row>
    <row r="374" ht="15" customHeight="1">
      <c r="A374" t="inlineStr">
        <is>
          <t>A 20846-2022</t>
        </is>
      </c>
      <c r="B374" s="1" t="n">
        <v>44701.4744212963</v>
      </c>
      <c r="C374" s="1" t="n">
        <v>46049</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35156-2025</t>
        </is>
      </c>
      <c r="B375" s="1" t="n">
        <v>45852</v>
      </c>
      <c r="C375" s="1" t="n">
        <v>46049</v>
      </c>
      <c r="D375" t="inlineStr">
        <is>
          <t>SÖDERMANLANDS LÄN</t>
        </is>
      </c>
      <c r="E375" t="inlineStr">
        <is>
          <t>KATRINEHOLM</t>
        </is>
      </c>
      <c r="G375" t="n">
        <v>5.7</v>
      </c>
      <c r="H375" t="n">
        <v>0</v>
      </c>
      <c r="I375" t="n">
        <v>0</v>
      </c>
      <c r="J375" t="n">
        <v>0</v>
      </c>
      <c r="K375" t="n">
        <v>0</v>
      </c>
      <c r="L375" t="n">
        <v>0</v>
      </c>
      <c r="M375" t="n">
        <v>0</v>
      </c>
      <c r="N375" t="n">
        <v>0</v>
      </c>
      <c r="O375" t="n">
        <v>0</v>
      </c>
      <c r="P375" t="n">
        <v>0</v>
      </c>
      <c r="Q375" t="n">
        <v>0</v>
      </c>
      <c r="R375" s="2" t="inlineStr"/>
    </row>
    <row r="376" ht="15" customHeight="1">
      <c r="A376" t="inlineStr">
        <is>
          <t>A 35152-2025</t>
        </is>
      </c>
      <c r="B376" s="1" t="n">
        <v>45852</v>
      </c>
      <c r="C376" s="1" t="n">
        <v>46049</v>
      </c>
      <c r="D376" t="inlineStr">
        <is>
          <t>SÖDERMANLANDS LÄN</t>
        </is>
      </c>
      <c r="E376" t="inlineStr">
        <is>
          <t>KATRINEHOLM</t>
        </is>
      </c>
      <c r="G376" t="n">
        <v>4.6</v>
      </c>
      <c r="H376" t="n">
        <v>0</v>
      </c>
      <c r="I376" t="n">
        <v>0</v>
      </c>
      <c r="J376" t="n">
        <v>0</v>
      </c>
      <c r="K376" t="n">
        <v>0</v>
      </c>
      <c r="L376" t="n">
        <v>0</v>
      </c>
      <c r="M376" t="n">
        <v>0</v>
      </c>
      <c r="N376" t="n">
        <v>0</v>
      </c>
      <c r="O376" t="n">
        <v>0</v>
      </c>
      <c r="P376" t="n">
        <v>0</v>
      </c>
      <c r="Q376" t="n">
        <v>0</v>
      </c>
      <c r="R376" s="2" t="inlineStr"/>
    </row>
    <row r="377" ht="15" customHeight="1">
      <c r="A377" t="inlineStr">
        <is>
          <t>A 35165-2025</t>
        </is>
      </c>
      <c r="B377" s="1" t="n">
        <v>45852.72320601852</v>
      </c>
      <c r="C377" s="1" t="n">
        <v>46049</v>
      </c>
      <c r="D377" t="inlineStr">
        <is>
          <t>SÖDERMANLANDS LÄN</t>
        </is>
      </c>
      <c r="E377" t="inlineStr">
        <is>
          <t>KATRINEHOLM</t>
        </is>
      </c>
      <c r="F377" t="inlineStr">
        <is>
          <t>Övriga Aktiebolag</t>
        </is>
      </c>
      <c r="G377" t="n">
        <v>20.7</v>
      </c>
      <c r="H377" t="n">
        <v>0</v>
      </c>
      <c r="I377" t="n">
        <v>0</v>
      </c>
      <c r="J377" t="n">
        <v>0</v>
      </c>
      <c r="K377" t="n">
        <v>0</v>
      </c>
      <c r="L377" t="n">
        <v>0</v>
      </c>
      <c r="M377" t="n">
        <v>0</v>
      </c>
      <c r="N377" t="n">
        <v>0</v>
      </c>
      <c r="O377" t="n">
        <v>0</v>
      </c>
      <c r="P377" t="n">
        <v>0</v>
      </c>
      <c r="Q377" t="n">
        <v>0</v>
      </c>
      <c r="R377" s="2" t="inlineStr"/>
    </row>
    <row r="378" ht="15" customHeight="1">
      <c r="A378" t="inlineStr">
        <is>
          <t>A 35149-2025</t>
        </is>
      </c>
      <c r="B378" s="1" t="n">
        <v>45852</v>
      </c>
      <c r="C378" s="1" t="n">
        <v>46049</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35161-2025</t>
        </is>
      </c>
      <c r="B379" s="1" t="n">
        <v>45852.70716435185</v>
      </c>
      <c r="C379" s="1" t="n">
        <v>46049</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35084-2025</t>
        </is>
      </c>
      <c r="B380" s="1" t="n">
        <v>45852</v>
      </c>
      <c r="C380" s="1" t="n">
        <v>46049</v>
      </c>
      <c r="D380" t="inlineStr">
        <is>
          <t>SÖDERMANLANDS LÄN</t>
        </is>
      </c>
      <c r="E380" t="inlineStr">
        <is>
          <t>KATRINEHOLM</t>
        </is>
      </c>
      <c r="G380" t="n">
        <v>3.2</v>
      </c>
      <c r="H380" t="n">
        <v>0</v>
      </c>
      <c r="I380" t="n">
        <v>0</v>
      </c>
      <c r="J380" t="n">
        <v>0</v>
      </c>
      <c r="K380" t="n">
        <v>0</v>
      </c>
      <c r="L380" t="n">
        <v>0</v>
      </c>
      <c r="M380" t="n">
        <v>0</v>
      </c>
      <c r="N380" t="n">
        <v>0</v>
      </c>
      <c r="O380" t="n">
        <v>0</v>
      </c>
      <c r="P380" t="n">
        <v>0</v>
      </c>
      <c r="Q380" t="n">
        <v>0</v>
      </c>
      <c r="R380" s="2" t="inlineStr"/>
    </row>
    <row r="381" ht="15" customHeight="1">
      <c r="A381" t="inlineStr">
        <is>
          <t>A 35145-2025</t>
        </is>
      </c>
      <c r="B381" s="1" t="n">
        <v>45852</v>
      </c>
      <c r="C381" s="1" t="n">
        <v>46049</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34439-2025</t>
        </is>
      </c>
      <c r="B382" s="1" t="n">
        <v>45845</v>
      </c>
      <c r="C382" s="1" t="n">
        <v>46049</v>
      </c>
      <c r="D382" t="inlineStr">
        <is>
          <t>SÖDERMANLANDS LÄN</t>
        </is>
      </c>
      <c r="E382" t="inlineStr">
        <is>
          <t>KATRINEHOLM</t>
        </is>
      </c>
      <c r="G382" t="n">
        <v>1.4</v>
      </c>
      <c r="H382" t="n">
        <v>0</v>
      </c>
      <c r="I382" t="n">
        <v>0</v>
      </c>
      <c r="J382" t="n">
        <v>0</v>
      </c>
      <c r="K382" t="n">
        <v>0</v>
      </c>
      <c r="L382" t="n">
        <v>0</v>
      </c>
      <c r="M382" t="n">
        <v>0</v>
      </c>
      <c r="N382" t="n">
        <v>0</v>
      </c>
      <c r="O382" t="n">
        <v>0</v>
      </c>
      <c r="P382" t="n">
        <v>0</v>
      </c>
      <c r="Q382" t="n">
        <v>0</v>
      </c>
      <c r="R382" s="2" t="inlineStr"/>
    </row>
    <row r="383" ht="15" customHeight="1">
      <c r="A383" t="inlineStr">
        <is>
          <t>A 49078-2024</t>
        </is>
      </c>
      <c r="B383" s="1" t="n">
        <v>45594.62556712963</v>
      </c>
      <c r="C383" s="1" t="n">
        <v>46049</v>
      </c>
      <c r="D383" t="inlineStr">
        <is>
          <t>SÖDERMANLANDS LÄN</t>
        </is>
      </c>
      <c r="E383" t="inlineStr">
        <is>
          <t>KATRINEHOLM</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51440-2024</t>
        </is>
      </c>
      <c r="B384" s="1" t="n">
        <v>45604</v>
      </c>
      <c r="C384" s="1" t="n">
        <v>46049</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35157-2025</t>
        </is>
      </c>
      <c r="B385" s="1" t="n">
        <v>45852</v>
      </c>
      <c r="C385" s="1" t="n">
        <v>46049</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35158-2025</t>
        </is>
      </c>
      <c r="B386" s="1" t="n">
        <v>45852</v>
      </c>
      <c r="C386" s="1" t="n">
        <v>46049</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47879-2023</t>
        </is>
      </c>
      <c r="B387" s="1" t="n">
        <v>45204</v>
      </c>
      <c r="C387" s="1" t="n">
        <v>46049</v>
      </c>
      <c r="D387" t="inlineStr">
        <is>
          <t>SÖDERMANLANDS LÄN</t>
        </is>
      </c>
      <c r="E387" t="inlineStr">
        <is>
          <t>KATRINEHOLM</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12975-2022</t>
        </is>
      </c>
      <c r="B388" s="1" t="n">
        <v>44643</v>
      </c>
      <c r="C388" s="1" t="n">
        <v>46049</v>
      </c>
      <c r="D388" t="inlineStr">
        <is>
          <t>SÖDERMANLANDS LÄN</t>
        </is>
      </c>
      <c r="E388" t="inlineStr">
        <is>
          <t>KATRINEHOLM</t>
        </is>
      </c>
      <c r="G388" t="n">
        <v>2.4</v>
      </c>
      <c r="H388" t="n">
        <v>0</v>
      </c>
      <c r="I388" t="n">
        <v>0</v>
      </c>
      <c r="J388" t="n">
        <v>0</v>
      </c>
      <c r="K388" t="n">
        <v>0</v>
      </c>
      <c r="L388" t="n">
        <v>0</v>
      </c>
      <c r="M388" t="n">
        <v>0</v>
      </c>
      <c r="N388" t="n">
        <v>0</v>
      </c>
      <c r="O388" t="n">
        <v>0</v>
      </c>
      <c r="P388" t="n">
        <v>0</v>
      </c>
      <c r="Q388" t="n">
        <v>0</v>
      </c>
      <c r="R388" s="2" t="inlineStr"/>
    </row>
    <row r="389" ht="15" customHeight="1">
      <c r="A389" t="inlineStr">
        <is>
          <t>A 51260-2021</t>
        </is>
      </c>
      <c r="B389" s="1" t="n">
        <v>44461</v>
      </c>
      <c r="C389" s="1" t="n">
        <v>46049</v>
      </c>
      <c r="D389" t="inlineStr">
        <is>
          <t>SÖDERMANLANDS LÄN</t>
        </is>
      </c>
      <c r="E389" t="inlineStr">
        <is>
          <t>KATRINEHOLM</t>
        </is>
      </c>
      <c r="G389" t="n">
        <v>0.7</v>
      </c>
      <c r="H389" t="n">
        <v>0</v>
      </c>
      <c r="I389" t="n">
        <v>0</v>
      </c>
      <c r="J389" t="n">
        <v>0</v>
      </c>
      <c r="K389" t="n">
        <v>0</v>
      </c>
      <c r="L389" t="n">
        <v>0</v>
      </c>
      <c r="M389" t="n">
        <v>0</v>
      </c>
      <c r="N389" t="n">
        <v>0</v>
      </c>
      <c r="O389" t="n">
        <v>0</v>
      </c>
      <c r="P389" t="n">
        <v>0</v>
      </c>
      <c r="Q389" t="n">
        <v>0</v>
      </c>
      <c r="R389" s="2" t="inlineStr"/>
    </row>
    <row r="390" ht="15" customHeight="1">
      <c r="A390" t="inlineStr">
        <is>
          <t>A 53843-2023</t>
        </is>
      </c>
      <c r="B390" s="1" t="n">
        <v>45230</v>
      </c>
      <c r="C390" s="1" t="n">
        <v>46049</v>
      </c>
      <c r="D390" t="inlineStr">
        <is>
          <t>SÖDERMANLANDS LÄN</t>
        </is>
      </c>
      <c r="E390" t="inlineStr">
        <is>
          <t>KATRINEHOLM</t>
        </is>
      </c>
      <c r="G390" t="n">
        <v>14.2</v>
      </c>
      <c r="H390" t="n">
        <v>0</v>
      </c>
      <c r="I390" t="n">
        <v>0</v>
      </c>
      <c r="J390" t="n">
        <v>0</v>
      </c>
      <c r="K390" t="n">
        <v>0</v>
      </c>
      <c r="L390" t="n">
        <v>0</v>
      </c>
      <c r="M390" t="n">
        <v>0</v>
      </c>
      <c r="N390" t="n">
        <v>0</v>
      </c>
      <c r="O390" t="n">
        <v>0</v>
      </c>
      <c r="P390" t="n">
        <v>0</v>
      </c>
      <c r="Q390" t="n">
        <v>0</v>
      </c>
      <c r="R390" s="2" t="inlineStr"/>
    </row>
    <row r="391" ht="15" customHeight="1">
      <c r="A391" t="inlineStr">
        <is>
          <t>A 48763-2024</t>
        </is>
      </c>
      <c r="B391" s="1" t="n">
        <v>45593.60288194445</v>
      </c>
      <c r="C391" s="1" t="n">
        <v>46049</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34176-2025</t>
        </is>
      </c>
      <c r="B392" s="1" t="n">
        <v>45845</v>
      </c>
      <c r="C392" s="1" t="n">
        <v>46049</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14478-2023</t>
        </is>
      </c>
      <c r="B393" s="1" t="n">
        <v>45012.66421296296</v>
      </c>
      <c r="C393" s="1" t="n">
        <v>46049</v>
      </c>
      <c r="D393" t="inlineStr">
        <is>
          <t>SÖDERMANLANDS LÄN</t>
        </is>
      </c>
      <c r="E393" t="inlineStr">
        <is>
          <t>KATRINEHOLM</t>
        </is>
      </c>
      <c r="G393" t="n">
        <v>3.9</v>
      </c>
      <c r="H393" t="n">
        <v>0</v>
      </c>
      <c r="I393" t="n">
        <v>0</v>
      </c>
      <c r="J393" t="n">
        <v>0</v>
      </c>
      <c r="K393" t="n">
        <v>0</v>
      </c>
      <c r="L393" t="n">
        <v>0</v>
      </c>
      <c r="M393" t="n">
        <v>0</v>
      </c>
      <c r="N393" t="n">
        <v>0</v>
      </c>
      <c r="O393" t="n">
        <v>0</v>
      </c>
      <c r="P393" t="n">
        <v>0</v>
      </c>
      <c r="Q393" t="n">
        <v>0</v>
      </c>
      <c r="R393" s="2" t="inlineStr"/>
    </row>
    <row r="394" ht="15" customHeight="1">
      <c r="A394" t="inlineStr">
        <is>
          <t>A 20921-2023</t>
        </is>
      </c>
      <c r="B394" s="1" t="n">
        <v>45061</v>
      </c>
      <c r="C394" s="1" t="n">
        <v>46049</v>
      </c>
      <c r="D394" t="inlineStr">
        <is>
          <t>SÖDERMANLANDS LÄN</t>
        </is>
      </c>
      <c r="E394" t="inlineStr">
        <is>
          <t>KATRINEHOLM</t>
        </is>
      </c>
      <c r="G394" t="n">
        <v>8.9</v>
      </c>
      <c r="H394" t="n">
        <v>0</v>
      </c>
      <c r="I394" t="n">
        <v>0</v>
      </c>
      <c r="J394" t="n">
        <v>0</v>
      </c>
      <c r="K394" t="n">
        <v>0</v>
      </c>
      <c r="L394" t="n">
        <v>0</v>
      </c>
      <c r="M394" t="n">
        <v>0</v>
      </c>
      <c r="N394" t="n">
        <v>0</v>
      </c>
      <c r="O394" t="n">
        <v>0</v>
      </c>
      <c r="P394" t="n">
        <v>0</v>
      </c>
      <c r="Q394" t="n">
        <v>0</v>
      </c>
      <c r="R394" s="2" t="inlineStr"/>
    </row>
    <row r="395" ht="15" customHeight="1">
      <c r="A395" t="inlineStr">
        <is>
          <t>A 12930-2023</t>
        </is>
      </c>
      <c r="B395" s="1" t="n">
        <v>45001</v>
      </c>
      <c r="C395" s="1" t="n">
        <v>46049</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12938-2023</t>
        </is>
      </c>
      <c r="B396" s="1" t="n">
        <v>45001</v>
      </c>
      <c r="C396" s="1" t="n">
        <v>46049</v>
      </c>
      <c r="D396" t="inlineStr">
        <is>
          <t>SÖDERMANLANDS LÄN</t>
        </is>
      </c>
      <c r="E396" t="inlineStr">
        <is>
          <t>KATRINEHOLM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12559-2023</t>
        </is>
      </c>
      <c r="B397" s="1" t="n">
        <v>45000.36373842593</v>
      </c>
      <c r="C397" s="1" t="n">
        <v>46049</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7704-2023</t>
        </is>
      </c>
      <c r="B398" s="1" t="n">
        <v>44968</v>
      </c>
      <c r="C398" s="1" t="n">
        <v>46049</v>
      </c>
      <c r="D398" t="inlineStr">
        <is>
          <t>SÖDERMANLANDS LÄN</t>
        </is>
      </c>
      <c r="E398" t="inlineStr">
        <is>
          <t>KATRINEHOLM</t>
        </is>
      </c>
      <c r="G398" t="n">
        <v>7.3</v>
      </c>
      <c r="H398" t="n">
        <v>0</v>
      </c>
      <c r="I398" t="n">
        <v>0</v>
      </c>
      <c r="J398" t="n">
        <v>0</v>
      </c>
      <c r="K398" t="n">
        <v>0</v>
      </c>
      <c r="L398" t="n">
        <v>0</v>
      </c>
      <c r="M398" t="n">
        <v>0</v>
      </c>
      <c r="N398" t="n">
        <v>0</v>
      </c>
      <c r="O398" t="n">
        <v>0</v>
      </c>
      <c r="P398" t="n">
        <v>0</v>
      </c>
      <c r="Q398" t="n">
        <v>0</v>
      </c>
      <c r="R398" s="2" t="inlineStr"/>
    </row>
    <row r="399" ht="15" customHeight="1">
      <c r="A399" t="inlineStr">
        <is>
          <t>A 49122-2024</t>
        </is>
      </c>
      <c r="B399" s="1" t="n">
        <v>45594</v>
      </c>
      <c r="C399" s="1" t="n">
        <v>46049</v>
      </c>
      <c r="D399" t="inlineStr">
        <is>
          <t>SÖDERMANLANDS LÄN</t>
        </is>
      </c>
      <c r="E399" t="inlineStr">
        <is>
          <t>KATRINEHOLM</t>
        </is>
      </c>
      <c r="G399" t="n">
        <v>19.4</v>
      </c>
      <c r="H399" t="n">
        <v>0</v>
      </c>
      <c r="I399" t="n">
        <v>0</v>
      </c>
      <c r="J399" t="n">
        <v>0</v>
      </c>
      <c r="K399" t="n">
        <v>0</v>
      </c>
      <c r="L399" t="n">
        <v>0</v>
      </c>
      <c r="M399" t="n">
        <v>0</v>
      </c>
      <c r="N399" t="n">
        <v>0</v>
      </c>
      <c r="O399" t="n">
        <v>0</v>
      </c>
      <c r="P399" t="n">
        <v>0</v>
      </c>
      <c r="Q399" t="n">
        <v>0</v>
      </c>
      <c r="R399" s="2" t="inlineStr"/>
    </row>
    <row r="400" ht="15" customHeight="1">
      <c r="A400" t="inlineStr">
        <is>
          <t>A 46288-2025</t>
        </is>
      </c>
      <c r="B400" s="1" t="n">
        <v>45925.38545138889</v>
      </c>
      <c r="C400" s="1" t="n">
        <v>46049</v>
      </c>
      <c r="D400" t="inlineStr">
        <is>
          <t>SÖDERMANLANDS LÄN</t>
        </is>
      </c>
      <c r="E400" t="inlineStr">
        <is>
          <t>KATRINEHOLM</t>
        </is>
      </c>
      <c r="G400" t="n">
        <v>0.4</v>
      </c>
      <c r="H400" t="n">
        <v>0</v>
      </c>
      <c r="I400" t="n">
        <v>0</v>
      </c>
      <c r="J400" t="n">
        <v>0</v>
      </c>
      <c r="K400" t="n">
        <v>0</v>
      </c>
      <c r="L400" t="n">
        <v>0</v>
      </c>
      <c r="M400" t="n">
        <v>0</v>
      </c>
      <c r="N400" t="n">
        <v>0</v>
      </c>
      <c r="O400" t="n">
        <v>0</v>
      </c>
      <c r="P400" t="n">
        <v>0</v>
      </c>
      <c r="Q400" t="n">
        <v>0</v>
      </c>
      <c r="R400" s="2" t="inlineStr"/>
    </row>
    <row r="401" ht="15" customHeight="1">
      <c r="A401" t="inlineStr">
        <is>
          <t>A 12937-2023</t>
        </is>
      </c>
      <c r="B401" s="1" t="n">
        <v>45001</v>
      </c>
      <c r="C401" s="1" t="n">
        <v>46049</v>
      </c>
      <c r="D401" t="inlineStr">
        <is>
          <t>SÖDERMANLANDS LÄN</t>
        </is>
      </c>
      <c r="E401" t="inlineStr">
        <is>
          <t>KATRINEHOLM</t>
        </is>
      </c>
      <c r="G401" t="n">
        <v>0.9</v>
      </c>
      <c r="H401" t="n">
        <v>0</v>
      </c>
      <c r="I401" t="n">
        <v>0</v>
      </c>
      <c r="J401" t="n">
        <v>0</v>
      </c>
      <c r="K401" t="n">
        <v>0</v>
      </c>
      <c r="L401" t="n">
        <v>0</v>
      </c>
      <c r="M401" t="n">
        <v>0</v>
      </c>
      <c r="N401" t="n">
        <v>0</v>
      </c>
      <c r="O401" t="n">
        <v>0</v>
      </c>
      <c r="P401" t="n">
        <v>0</v>
      </c>
      <c r="Q401" t="n">
        <v>0</v>
      </c>
      <c r="R401" s="2" t="inlineStr"/>
    </row>
    <row r="402" ht="15" customHeight="1">
      <c r="A402" t="inlineStr">
        <is>
          <t>A 11127-2023</t>
        </is>
      </c>
      <c r="B402" s="1" t="n">
        <v>44987</v>
      </c>
      <c r="C402" s="1" t="n">
        <v>46049</v>
      </c>
      <c r="D402" t="inlineStr">
        <is>
          <t>SÖDERMANLANDS LÄN</t>
        </is>
      </c>
      <c r="E402" t="inlineStr">
        <is>
          <t>KATRINEHOLM</t>
        </is>
      </c>
      <c r="G402" t="n">
        <v>4.3</v>
      </c>
      <c r="H402" t="n">
        <v>0</v>
      </c>
      <c r="I402" t="n">
        <v>0</v>
      </c>
      <c r="J402" t="n">
        <v>0</v>
      </c>
      <c r="K402" t="n">
        <v>0</v>
      </c>
      <c r="L402" t="n">
        <v>0</v>
      </c>
      <c r="M402" t="n">
        <v>0</v>
      </c>
      <c r="N402" t="n">
        <v>0</v>
      </c>
      <c r="O402" t="n">
        <v>0</v>
      </c>
      <c r="P402" t="n">
        <v>0</v>
      </c>
      <c r="Q402" t="n">
        <v>0</v>
      </c>
      <c r="R402" s="2" t="inlineStr"/>
    </row>
    <row r="403" ht="15" customHeight="1">
      <c r="A403" t="inlineStr">
        <is>
          <t>A 54873-2025</t>
        </is>
      </c>
      <c r="B403" s="1" t="n">
        <v>45967.30731481482</v>
      </c>
      <c r="C403" s="1" t="n">
        <v>46049</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44024-2021</t>
        </is>
      </c>
      <c r="B404" s="1" t="n">
        <v>44434</v>
      </c>
      <c r="C404" s="1" t="n">
        <v>46049</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46524-2025</t>
        </is>
      </c>
      <c r="B405" s="1" t="n">
        <v>45926</v>
      </c>
      <c r="C405" s="1" t="n">
        <v>46049</v>
      </c>
      <c r="D405" t="inlineStr">
        <is>
          <t>SÖDERMANLANDS LÄN</t>
        </is>
      </c>
      <c r="E405" t="inlineStr">
        <is>
          <t>KATRINEHOLM</t>
        </is>
      </c>
      <c r="G405" t="n">
        <v>5.7</v>
      </c>
      <c r="H405" t="n">
        <v>0</v>
      </c>
      <c r="I405" t="n">
        <v>0</v>
      </c>
      <c r="J405" t="n">
        <v>0</v>
      </c>
      <c r="K405" t="n">
        <v>0</v>
      </c>
      <c r="L405" t="n">
        <v>0</v>
      </c>
      <c r="M405" t="n">
        <v>0</v>
      </c>
      <c r="N405" t="n">
        <v>0</v>
      </c>
      <c r="O405" t="n">
        <v>0</v>
      </c>
      <c r="P405" t="n">
        <v>0</v>
      </c>
      <c r="Q405" t="n">
        <v>0</v>
      </c>
      <c r="R405" s="2" t="inlineStr"/>
    </row>
    <row r="406" ht="15" customHeight="1">
      <c r="A406" t="inlineStr">
        <is>
          <t>A 27345-2023</t>
        </is>
      </c>
      <c r="B406" s="1" t="n">
        <v>45096</v>
      </c>
      <c r="C406" s="1" t="n">
        <v>46049</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1151-2025</t>
        </is>
      </c>
      <c r="B407" s="1" t="n">
        <v>45666</v>
      </c>
      <c r="C407" s="1" t="n">
        <v>46049</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6808-2023</t>
        </is>
      </c>
      <c r="B408" s="1" t="n">
        <v>44964</v>
      </c>
      <c r="C408" s="1" t="n">
        <v>46049</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61394-2024</t>
        </is>
      </c>
      <c r="B409" s="1" t="n">
        <v>45646.42061342593</v>
      </c>
      <c r="C409" s="1" t="n">
        <v>46049</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36590-2025</t>
        </is>
      </c>
      <c r="B410" s="1" t="n">
        <v>45870</v>
      </c>
      <c r="C410" s="1" t="n">
        <v>46049</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26684-2025</t>
        </is>
      </c>
      <c r="B411" s="1" t="n">
        <v>45810</v>
      </c>
      <c r="C411" s="1" t="n">
        <v>46049</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12227-2025</t>
        </is>
      </c>
      <c r="B412" s="1" t="n">
        <v>45729.56836805555</v>
      </c>
      <c r="C412" s="1" t="n">
        <v>46049</v>
      </c>
      <c r="D412" t="inlineStr">
        <is>
          <t>SÖDERMANLANDS LÄN</t>
        </is>
      </c>
      <c r="E412" t="inlineStr">
        <is>
          <t>KATRINEHOLM</t>
        </is>
      </c>
      <c r="G412" t="n">
        <v>7</v>
      </c>
      <c r="H412" t="n">
        <v>0</v>
      </c>
      <c r="I412" t="n">
        <v>0</v>
      </c>
      <c r="J412" t="n">
        <v>0</v>
      </c>
      <c r="K412" t="n">
        <v>0</v>
      </c>
      <c r="L412" t="n">
        <v>0</v>
      </c>
      <c r="M412" t="n">
        <v>0</v>
      </c>
      <c r="N412" t="n">
        <v>0</v>
      </c>
      <c r="O412" t="n">
        <v>0</v>
      </c>
      <c r="P412" t="n">
        <v>0</v>
      </c>
      <c r="Q412" t="n">
        <v>0</v>
      </c>
      <c r="R412" s="2" t="inlineStr"/>
    </row>
    <row r="413" ht="15" customHeight="1">
      <c r="A413" t="inlineStr">
        <is>
          <t>A 18339-2023</t>
        </is>
      </c>
      <c r="B413" s="1" t="n">
        <v>45041</v>
      </c>
      <c r="C413" s="1" t="n">
        <v>46049</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58522-2024</t>
        </is>
      </c>
      <c r="B414" s="1" t="n">
        <v>45635.43770833333</v>
      </c>
      <c r="C414" s="1" t="n">
        <v>46049</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50021-2023</t>
        </is>
      </c>
      <c r="B415" s="1" t="n">
        <v>45215</v>
      </c>
      <c r="C415" s="1" t="n">
        <v>46049</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37043-2025</t>
        </is>
      </c>
      <c r="B416" s="1" t="n">
        <v>45875.3396412037</v>
      </c>
      <c r="C416" s="1" t="n">
        <v>46049</v>
      </c>
      <c r="D416" t="inlineStr">
        <is>
          <t>SÖDERMANLANDS LÄN</t>
        </is>
      </c>
      <c r="E416" t="inlineStr">
        <is>
          <t>KATRINEHOLM</t>
        </is>
      </c>
      <c r="G416" t="n">
        <v>2.2</v>
      </c>
      <c r="H416" t="n">
        <v>0</v>
      </c>
      <c r="I416" t="n">
        <v>0</v>
      </c>
      <c r="J416" t="n">
        <v>0</v>
      </c>
      <c r="K416" t="n">
        <v>0</v>
      </c>
      <c r="L416" t="n">
        <v>0</v>
      </c>
      <c r="M416" t="n">
        <v>0</v>
      </c>
      <c r="N416" t="n">
        <v>0</v>
      </c>
      <c r="O416" t="n">
        <v>0</v>
      </c>
      <c r="P416" t="n">
        <v>0</v>
      </c>
      <c r="Q416" t="n">
        <v>0</v>
      </c>
      <c r="R416" s="2" t="inlineStr"/>
    </row>
    <row r="417" ht="15" customHeight="1">
      <c r="A417" t="inlineStr">
        <is>
          <t>A 47889-2023</t>
        </is>
      </c>
      <c r="B417" s="1" t="n">
        <v>45204</v>
      </c>
      <c r="C417" s="1" t="n">
        <v>46049</v>
      </c>
      <c r="D417" t="inlineStr">
        <is>
          <t>SÖDERMANLANDS LÄN</t>
        </is>
      </c>
      <c r="E417" t="inlineStr">
        <is>
          <t>KATRINEHOLM</t>
        </is>
      </c>
      <c r="G417" t="n">
        <v>2.1</v>
      </c>
      <c r="H417" t="n">
        <v>0</v>
      </c>
      <c r="I417" t="n">
        <v>0</v>
      </c>
      <c r="J417" t="n">
        <v>0</v>
      </c>
      <c r="K417" t="n">
        <v>0</v>
      </c>
      <c r="L417" t="n">
        <v>0</v>
      </c>
      <c r="M417" t="n">
        <v>0</v>
      </c>
      <c r="N417" t="n">
        <v>0</v>
      </c>
      <c r="O417" t="n">
        <v>0</v>
      </c>
      <c r="P417" t="n">
        <v>0</v>
      </c>
      <c r="Q417" t="n">
        <v>0</v>
      </c>
      <c r="R417" s="2" t="inlineStr"/>
    </row>
    <row r="418" ht="15" customHeight="1">
      <c r="A418" t="inlineStr">
        <is>
          <t>A 34732-2022</t>
        </is>
      </c>
      <c r="B418" s="1" t="n">
        <v>44795</v>
      </c>
      <c r="C418" s="1" t="n">
        <v>46049</v>
      </c>
      <c r="D418" t="inlineStr">
        <is>
          <t>SÖDERMANLANDS LÄN</t>
        </is>
      </c>
      <c r="E418" t="inlineStr">
        <is>
          <t>KATRINEHOLM</t>
        </is>
      </c>
      <c r="G418" t="n">
        <v>3</v>
      </c>
      <c r="H418" t="n">
        <v>0</v>
      </c>
      <c r="I418" t="n">
        <v>0</v>
      </c>
      <c r="J418" t="n">
        <v>0</v>
      </c>
      <c r="K418" t="n">
        <v>0</v>
      </c>
      <c r="L418" t="n">
        <v>0</v>
      </c>
      <c r="M418" t="n">
        <v>0</v>
      </c>
      <c r="N418" t="n">
        <v>0</v>
      </c>
      <c r="O418" t="n">
        <v>0</v>
      </c>
      <c r="P418" t="n">
        <v>0</v>
      </c>
      <c r="Q418" t="n">
        <v>0</v>
      </c>
      <c r="R418" s="2" t="inlineStr"/>
    </row>
    <row r="419" ht="15" customHeight="1">
      <c r="A419" t="inlineStr">
        <is>
          <t>A 32166-2022</t>
        </is>
      </c>
      <c r="B419" s="1" t="n">
        <v>44781</v>
      </c>
      <c r="C419" s="1" t="n">
        <v>46049</v>
      </c>
      <c r="D419" t="inlineStr">
        <is>
          <t>SÖDERMANLANDS LÄN</t>
        </is>
      </c>
      <c r="E419" t="inlineStr">
        <is>
          <t>KATRINEHOLM</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32169-2022</t>
        </is>
      </c>
      <c r="B420" s="1" t="n">
        <v>44781</v>
      </c>
      <c r="C420" s="1" t="n">
        <v>46049</v>
      </c>
      <c r="D420" t="inlineStr">
        <is>
          <t>SÖDERMANLANDS LÄN</t>
        </is>
      </c>
      <c r="E420" t="inlineStr">
        <is>
          <t>KATRINEHOLM</t>
        </is>
      </c>
      <c r="F420" t="inlineStr">
        <is>
          <t>Kommuner</t>
        </is>
      </c>
      <c r="G420" t="n">
        <v>0.9</v>
      </c>
      <c r="H420" t="n">
        <v>0</v>
      </c>
      <c r="I420" t="n">
        <v>0</v>
      </c>
      <c r="J420" t="n">
        <v>0</v>
      </c>
      <c r="K420" t="n">
        <v>0</v>
      </c>
      <c r="L420" t="n">
        <v>0</v>
      </c>
      <c r="M420" t="n">
        <v>0</v>
      </c>
      <c r="N420" t="n">
        <v>0</v>
      </c>
      <c r="O420" t="n">
        <v>0</v>
      </c>
      <c r="P420" t="n">
        <v>0</v>
      </c>
      <c r="Q420" t="n">
        <v>0</v>
      </c>
      <c r="R420" s="2" t="inlineStr"/>
    </row>
    <row r="421" ht="15" customHeight="1">
      <c r="A421" t="inlineStr">
        <is>
          <t>A 35864-2023</t>
        </is>
      </c>
      <c r="B421" s="1" t="n">
        <v>45147</v>
      </c>
      <c r="C421" s="1" t="n">
        <v>46049</v>
      </c>
      <c r="D421" t="inlineStr">
        <is>
          <t>SÖDERMANLANDS LÄN</t>
        </is>
      </c>
      <c r="E421" t="inlineStr">
        <is>
          <t>KATRINEHOLM</t>
        </is>
      </c>
      <c r="F421" t="inlineStr">
        <is>
          <t>Övriga Aktiebolag</t>
        </is>
      </c>
      <c r="G421" t="n">
        <v>4.7</v>
      </c>
      <c r="H421" t="n">
        <v>0</v>
      </c>
      <c r="I421" t="n">
        <v>0</v>
      </c>
      <c r="J421" t="n">
        <v>0</v>
      </c>
      <c r="K421" t="n">
        <v>0</v>
      </c>
      <c r="L421" t="n">
        <v>0</v>
      </c>
      <c r="M421" t="n">
        <v>0</v>
      </c>
      <c r="N421" t="n">
        <v>0</v>
      </c>
      <c r="O421" t="n">
        <v>0</v>
      </c>
      <c r="P421" t="n">
        <v>0</v>
      </c>
      <c r="Q421" t="n">
        <v>0</v>
      </c>
      <c r="R421" s="2" t="inlineStr"/>
    </row>
    <row r="422" ht="15" customHeight="1">
      <c r="A422" t="inlineStr">
        <is>
          <t>A 11543-2025</t>
        </is>
      </c>
      <c r="B422" s="1" t="n">
        <v>45727.34248842593</v>
      </c>
      <c r="C422" s="1" t="n">
        <v>46049</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44637-2023</t>
        </is>
      </c>
      <c r="B423" s="1" t="n">
        <v>45189</v>
      </c>
      <c r="C423" s="1" t="n">
        <v>46049</v>
      </c>
      <c r="D423" t="inlineStr">
        <is>
          <t>SÖDERMANLANDS LÄN</t>
        </is>
      </c>
      <c r="E423" t="inlineStr">
        <is>
          <t>KATRINEHOLM</t>
        </is>
      </c>
      <c r="G423" t="n">
        <v>5.1</v>
      </c>
      <c r="H423" t="n">
        <v>0</v>
      </c>
      <c r="I423" t="n">
        <v>0</v>
      </c>
      <c r="J423" t="n">
        <v>0</v>
      </c>
      <c r="K423" t="n">
        <v>0</v>
      </c>
      <c r="L423" t="n">
        <v>0</v>
      </c>
      <c r="M423" t="n">
        <v>0</v>
      </c>
      <c r="N423" t="n">
        <v>0</v>
      </c>
      <c r="O423" t="n">
        <v>0</v>
      </c>
      <c r="P423" t="n">
        <v>0</v>
      </c>
      <c r="Q423" t="n">
        <v>0</v>
      </c>
      <c r="R423" s="2" t="inlineStr"/>
    </row>
    <row r="424" ht="15" customHeight="1">
      <c r="A424" t="inlineStr">
        <is>
          <t>A 37827-2025</t>
        </is>
      </c>
      <c r="B424" s="1" t="n">
        <v>45881.40907407407</v>
      </c>
      <c r="C424" s="1" t="n">
        <v>46049</v>
      </c>
      <c r="D424" t="inlineStr">
        <is>
          <t>SÖDERMANLANDS LÄN</t>
        </is>
      </c>
      <c r="E424" t="inlineStr">
        <is>
          <t>KATRINEHOLM</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49743-2025</t>
        </is>
      </c>
      <c r="B425" s="1" t="n">
        <v>45940</v>
      </c>
      <c r="C425" s="1" t="n">
        <v>46049</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39055-2022</t>
        </is>
      </c>
      <c r="B426" s="1" t="n">
        <v>44817</v>
      </c>
      <c r="C426" s="1" t="n">
        <v>46049</v>
      </c>
      <c r="D426" t="inlineStr">
        <is>
          <t>SÖDERMANLANDS LÄN</t>
        </is>
      </c>
      <c r="E426" t="inlineStr">
        <is>
          <t>KATRINEHOLM</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46257-2021</t>
        </is>
      </c>
      <c r="B427" s="1" t="n">
        <v>44442</v>
      </c>
      <c r="C427" s="1" t="n">
        <v>46049</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52769-2023</t>
        </is>
      </c>
      <c r="B428" s="1" t="n">
        <v>45226</v>
      </c>
      <c r="C428" s="1" t="n">
        <v>46049</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4758-2025</t>
        </is>
      </c>
      <c r="B429" s="1" t="n">
        <v>45688</v>
      </c>
      <c r="C429" s="1" t="n">
        <v>46049</v>
      </c>
      <c r="D429" t="inlineStr">
        <is>
          <t>SÖDERMANLANDS LÄN</t>
        </is>
      </c>
      <c r="E429" t="inlineStr">
        <is>
          <t>KATRINEHOLM</t>
        </is>
      </c>
      <c r="G429" t="n">
        <v>2.3</v>
      </c>
      <c r="H429" t="n">
        <v>0</v>
      </c>
      <c r="I429" t="n">
        <v>0</v>
      </c>
      <c r="J429" t="n">
        <v>0</v>
      </c>
      <c r="K429" t="n">
        <v>0</v>
      </c>
      <c r="L429" t="n">
        <v>0</v>
      </c>
      <c r="M429" t="n">
        <v>0</v>
      </c>
      <c r="N429" t="n">
        <v>0</v>
      </c>
      <c r="O429" t="n">
        <v>0</v>
      </c>
      <c r="P429" t="n">
        <v>0</v>
      </c>
      <c r="Q429" t="n">
        <v>0</v>
      </c>
      <c r="R429" s="2" t="inlineStr"/>
    </row>
    <row r="430" ht="15" customHeight="1">
      <c r="A430" t="inlineStr">
        <is>
          <t>A 27852-2023</t>
        </is>
      </c>
      <c r="B430" s="1" t="n">
        <v>45098</v>
      </c>
      <c r="C430" s="1" t="n">
        <v>46049</v>
      </c>
      <c r="D430" t="inlineStr">
        <is>
          <t>SÖDERMANLANDS LÄN</t>
        </is>
      </c>
      <c r="E430" t="inlineStr">
        <is>
          <t>KATRINEHOLM</t>
        </is>
      </c>
      <c r="G430" t="n">
        <v>7.4</v>
      </c>
      <c r="H430" t="n">
        <v>0</v>
      </c>
      <c r="I430" t="n">
        <v>0</v>
      </c>
      <c r="J430" t="n">
        <v>0</v>
      </c>
      <c r="K430" t="n">
        <v>0</v>
      </c>
      <c r="L430" t="n">
        <v>0</v>
      </c>
      <c r="M430" t="n">
        <v>0</v>
      </c>
      <c r="N430" t="n">
        <v>0</v>
      </c>
      <c r="O430" t="n">
        <v>0</v>
      </c>
      <c r="P430" t="n">
        <v>0</v>
      </c>
      <c r="Q430" t="n">
        <v>0</v>
      </c>
      <c r="R430" s="2" t="inlineStr"/>
    </row>
    <row r="431" ht="15" customHeight="1">
      <c r="A431" t="inlineStr">
        <is>
          <t>A 28304-2024</t>
        </is>
      </c>
      <c r="B431" s="1" t="n">
        <v>45477</v>
      </c>
      <c r="C431" s="1" t="n">
        <v>46049</v>
      </c>
      <c r="D431" t="inlineStr">
        <is>
          <t>SÖDERMANLANDS LÄN</t>
        </is>
      </c>
      <c r="E431" t="inlineStr">
        <is>
          <t>KATRINEHOLM</t>
        </is>
      </c>
      <c r="G431" t="n">
        <v>3.8</v>
      </c>
      <c r="H431" t="n">
        <v>0</v>
      </c>
      <c r="I431" t="n">
        <v>0</v>
      </c>
      <c r="J431" t="n">
        <v>0</v>
      </c>
      <c r="K431" t="n">
        <v>0</v>
      </c>
      <c r="L431" t="n">
        <v>0</v>
      </c>
      <c r="M431" t="n">
        <v>0</v>
      </c>
      <c r="N431" t="n">
        <v>0</v>
      </c>
      <c r="O431" t="n">
        <v>0</v>
      </c>
      <c r="P431" t="n">
        <v>0</v>
      </c>
      <c r="Q431" t="n">
        <v>0</v>
      </c>
      <c r="R431" s="2" t="inlineStr"/>
    </row>
    <row r="432" ht="15" customHeight="1">
      <c r="A432" t="inlineStr">
        <is>
          <t>A 61911-2021</t>
        </is>
      </c>
      <c r="B432" s="1" t="n">
        <v>44502.35746527778</v>
      </c>
      <c r="C432" s="1" t="n">
        <v>46049</v>
      </c>
      <c r="D432" t="inlineStr">
        <is>
          <t>SÖDERMANLANDS LÄN</t>
        </is>
      </c>
      <c r="E432" t="inlineStr">
        <is>
          <t>KATRINEHOLM</t>
        </is>
      </c>
      <c r="G432" t="n">
        <v>3.8</v>
      </c>
      <c r="H432" t="n">
        <v>0</v>
      </c>
      <c r="I432" t="n">
        <v>0</v>
      </c>
      <c r="J432" t="n">
        <v>0</v>
      </c>
      <c r="K432" t="n">
        <v>0</v>
      </c>
      <c r="L432" t="n">
        <v>0</v>
      </c>
      <c r="M432" t="n">
        <v>0</v>
      </c>
      <c r="N432" t="n">
        <v>0</v>
      </c>
      <c r="O432" t="n">
        <v>0</v>
      </c>
      <c r="P432" t="n">
        <v>0</v>
      </c>
      <c r="Q432" t="n">
        <v>0</v>
      </c>
      <c r="R432" s="2" t="inlineStr"/>
    </row>
    <row r="433" ht="15" customHeight="1">
      <c r="A433" t="inlineStr">
        <is>
          <t>A 42945-2023</t>
        </is>
      </c>
      <c r="B433" s="1" t="n">
        <v>45182.5793287037</v>
      </c>
      <c r="C433" s="1" t="n">
        <v>46049</v>
      </c>
      <c r="D433" t="inlineStr">
        <is>
          <t>SÖDERMANLANDS LÄN</t>
        </is>
      </c>
      <c r="E433" t="inlineStr">
        <is>
          <t>KATRINEHOLM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42962-2023</t>
        </is>
      </c>
      <c r="B434" s="1" t="n">
        <v>45182</v>
      </c>
      <c r="C434" s="1" t="n">
        <v>46049</v>
      </c>
      <c r="D434" t="inlineStr">
        <is>
          <t>SÖDERMANLANDS LÄN</t>
        </is>
      </c>
      <c r="E434" t="inlineStr">
        <is>
          <t>KATRINEHOLM</t>
        </is>
      </c>
      <c r="F434" t="inlineStr">
        <is>
          <t>Övriga Aktiebolag</t>
        </is>
      </c>
      <c r="G434" t="n">
        <v>10.6</v>
      </c>
      <c r="H434" t="n">
        <v>0</v>
      </c>
      <c r="I434" t="n">
        <v>0</v>
      </c>
      <c r="J434" t="n">
        <v>0</v>
      </c>
      <c r="K434" t="n">
        <v>0</v>
      </c>
      <c r="L434" t="n">
        <v>0</v>
      </c>
      <c r="M434" t="n">
        <v>0</v>
      </c>
      <c r="N434" t="n">
        <v>0</v>
      </c>
      <c r="O434" t="n">
        <v>0</v>
      </c>
      <c r="P434" t="n">
        <v>0</v>
      </c>
      <c r="Q434" t="n">
        <v>0</v>
      </c>
      <c r="R434" s="2" t="inlineStr"/>
    </row>
    <row r="435" ht="15" customHeight="1">
      <c r="A435" t="inlineStr">
        <is>
          <t>A 44915-2022</t>
        </is>
      </c>
      <c r="B435" s="1" t="n">
        <v>44840</v>
      </c>
      <c r="C435" s="1" t="n">
        <v>46049</v>
      </c>
      <c r="D435" t="inlineStr">
        <is>
          <t>SÖDERMANLANDS LÄN</t>
        </is>
      </c>
      <c r="E435" t="inlineStr">
        <is>
          <t>KATRINEHOLM</t>
        </is>
      </c>
      <c r="G435" t="n">
        <v>6.3</v>
      </c>
      <c r="H435" t="n">
        <v>0</v>
      </c>
      <c r="I435" t="n">
        <v>0</v>
      </c>
      <c r="J435" t="n">
        <v>0</v>
      </c>
      <c r="K435" t="n">
        <v>0</v>
      </c>
      <c r="L435" t="n">
        <v>0</v>
      </c>
      <c r="M435" t="n">
        <v>0</v>
      </c>
      <c r="N435" t="n">
        <v>0</v>
      </c>
      <c r="O435" t="n">
        <v>0</v>
      </c>
      <c r="P435" t="n">
        <v>0</v>
      </c>
      <c r="Q435" t="n">
        <v>0</v>
      </c>
      <c r="R435" s="2" t="inlineStr"/>
    </row>
    <row r="436" ht="15" customHeight="1">
      <c r="A436" t="inlineStr">
        <is>
          <t>A 5953-2021</t>
        </is>
      </c>
      <c r="B436" s="1" t="n">
        <v>44231</v>
      </c>
      <c r="C436" s="1" t="n">
        <v>46049</v>
      </c>
      <c r="D436" t="inlineStr">
        <is>
          <t>SÖDERMANLANDS LÄN</t>
        </is>
      </c>
      <c r="E436" t="inlineStr">
        <is>
          <t>KATRINEHOLM</t>
        </is>
      </c>
      <c r="G436" t="n">
        <v>3.1</v>
      </c>
      <c r="H436" t="n">
        <v>0</v>
      </c>
      <c r="I436" t="n">
        <v>0</v>
      </c>
      <c r="J436" t="n">
        <v>0</v>
      </c>
      <c r="K436" t="n">
        <v>0</v>
      </c>
      <c r="L436" t="n">
        <v>0</v>
      </c>
      <c r="M436" t="n">
        <v>0</v>
      </c>
      <c r="N436" t="n">
        <v>0</v>
      </c>
      <c r="O436" t="n">
        <v>0</v>
      </c>
      <c r="P436" t="n">
        <v>0</v>
      </c>
      <c r="Q436" t="n">
        <v>0</v>
      </c>
      <c r="R436" s="2" t="inlineStr"/>
    </row>
    <row r="437" ht="15" customHeight="1">
      <c r="A437" t="inlineStr">
        <is>
          <t>A 50934-2025</t>
        </is>
      </c>
      <c r="B437" s="1" t="n">
        <v>45946.69195601852</v>
      </c>
      <c r="C437" s="1" t="n">
        <v>46049</v>
      </c>
      <c r="D437" t="inlineStr">
        <is>
          <t>SÖDERMANLANDS LÄN</t>
        </is>
      </c>
      <c r="E437" t="inlineStr">
        <is>
          <t>KATRINEHOLM</t>
        </is>
      </c>
      <c r="G437" t="n">
        <v>2</v>
      </c>
      <c r="H437" t="n">
        <v>0</v>
      </c>
      <c r="I437" t="n">
        <v>0</v>
      </c>
      <c r="J437" t="n">
        <v>0</v>
      </c>
      <c r="K437" t="n">
        <v>0</v>
      </c>
      <c r="L437" t="n">
        <v>0</v>
      </c>
      <c r="M437" t="n">
        <v>0</v>
      </c>
      <c r="N437" t="n">
        <v>0</v>
      </c>
      <c r="O437" t="n">
        <v>0</v>
      </c>
      <c r="P437" t="n">
        <v>0</v>
      </c>
      <c r="Q437" t="n">
        <v>0</v>
      </c>
      <c r="R437" s="2" t="inlineStr"/>
    </row>
    <row r="438" ht="15" customHeight="1">
      <c r="A438" t="inlineStr">
        <is>
          <t>A 48097-2023</t>
        </is>
      </c>
      <c r="B438" s="1" t="n">
        <v>45205.31987268518</v>
      </c>
      <c r="C438" s="1" t="n">
        <v>46049</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45793-2022</t>
        </is>
      </c>
      <c r="B439" s="1" t="n">
        <v>44844</v>
      </c>
      <c r="C439" s="1" t="n">
        <v>46049</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51367-2025</t>
        </is>
      </c>
      <c r="B440" s="1" t="n">
        <v>45950.44700231482</v>
      </c>
      <c r="C440" s="1" t="n">
        <v>46049</v>
      </c>
      <c r="D440" t="inlineStr">
        <is>
          <t>SÖDERMANLANDS LÄN</t>
        </is>
      </c>
      <c r="E440" t="inlineStr">
        <is>
          <t>KATRINEHOLM</t>
        </is>
      </c>
      <c r="G440" t="n">
        <v>2.7</v>
      </c>
      <c r="H440" t="n">
        <v>0</v>
      </c>
      <c r="I440" t="n">
        <v>0</v>
      </c>
      <c r="J440" t="n">
        <v>0</v>
      </c>
      <c r="K440" t="n">
        <v>0</v>
      </c>
      <c r="L440" t="n">
        <v>0</v>
      </c>
      <c r="M440" t="n">
        <v>0</v>
      </c>
      <c r="N440" t="n">
        <v>0</v>
      </c>
      <c r="O440" t="n">
        <v>0</v>
      </c>
      <c r="P440" t="n">
        <v>0</v>
      </c>
      <c r="Q440" t="n">
        <v>0</v>
      </c>
      <c r="R440" s="2" t="inlineStr"/>
    </row>
    <row r="441" ht="15" customHeight="1">
      <c r="A441" t="inlineStr">
        <is>
          <t>A 40393-2022</t>
        </is>
      </c>
      <c r="B441" s="1" t="n">
        <v>44823</v>
      </c>
      <c r="C441" s="1" t="n">
        <v>46049</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48685-2022</t>
        </is>
      </c>
      <c r="B442" s="1" t="n">
        <v>44859</v>
      </c>
      <c r="C442" s="1" t="n">
        <v>46049</v>
      </c>
      <c r="D442" t="inlineStr">
        <is>
          <t>SÖDERMANLANDS LÄN</t>
        </is>
      </c>
      <c r="E442" t="inlineStr">
        <is>
          <t>KATRINEHOLM</t>
        </is>
      </c>
      <c r="G442" t="n">
        <v>0.5</v>
      </c>
      <c r="H442" t="n">
        <v>0</v>
      </c>
      <c r="I442" t="n">
        <v>0</v>
      </c>
      <c r="J442" t="n">
        <v>0</v>
      </c>
      <c r="K442" t="n">
        <v>0</v>
      </c>
      <c r="L442" t="n">
        <v>0</v>
      </c>
      <c r="M442" t="n">
        <v>0</v>
      </c>
      <c r="N442" t="n">
        <v>0</v>
      </c>
      <c r="O442" t="n">
        <v>0</v>
      </c>
      <c r="P442" t="n">
        <v>0</v>
      </c>
      <c r="Q442" t="n">
        <v>0</v>
      </c>
      <c r="R442" s="2" t="inlineStr"/>
    </row>
    <row r="443" ht="15" customHeight="1">
      <c r="A443" t="inlineStr">
        <is>
          <t>A 36133-2021</t>
        </is>
      </c>
      <c r="B443" s="1" t="n">
        <v>44386</v>
      </c>
      <c r="C443" s="1" t="n">
        <v>46049</v>
      </c>
      <c r="D443" t="inlineStr">
        <is>
          <t>SÖDERMANLANDS LÄN</t>
        </is>
      </c>
      <c r="E443" t="inlineStr">
        <is>
          <t>KATRINEHOLM</t>
        </is>
      </c>
      <c r="F443" t="inlineStr">
        <is>
          <t>Övriga Aktiebolag</t>
        </is>
      </c>
      <c r="G443" t="n">
        <v>8.9</v>
      </c>
      <c r="H443" t="n">
        <v>0</v>
      </c>
      <c r="I443" t="n">
        <v>0</v>
      </c>
      <c r="J443" t="n">
        <v>0</v>
      </c>
      <c r="K443" t="n">
        <v>0</v>
      </c>
      <c r="L443" t="n">
        <v>0</v>
      </c>
      <c r="M443" t="n">
        <v>0</v>
      </c>
      <c r="N443" t="n">
        <v>0</v>
      </c>
      <c r="O443" t="n">
        <v>0</v>
      </c>
      <c r="P443" t="n">
        <v>0</v>
      </c>
      <c r="Q443" t="n">
        <v>0</v>
      </c>
      <c r="R443" s="2" t="inlineStr"/>
    </row>
    <row r="444" ht="15" customHeight="1">
      <c r="A444" t="inlineStr">
        <is>
          <t>A 49700-2022</t>
        </is>
      </c>
      <c r="B444" s="1" t="n">
        <v>44862</v>
      </c>
      <c r="C444" s="1" t="n">
        <v>46049</v>
      </c>
      <c r="D444" t="inlineStr">
        <is>
          <t>SÖDERMANLANDS LÄN</t>
        </is>
      </c>
      <c r="E444" t="inlineStr">
        <is>
          <t>KATRINEHOLM</t>
        </is>
      </c>
      <c r="G444" t="n">
        <v>19.5</v>
      </c>
      <c r="H444" t="n">
        <v>0</v>
      </c>
      <c r="I444" t="n">
        <v>0</v>
      </c>
      <c r="J444" t="n">
        <v>0</v>
      </c>
      <c r="K444" t="n">
        <v>0</v>
      </c>
      <c r="L444" t="n">
        <v>0</v>
      </c>
      <c r="M444" t="n">
        <v>0</v>
      </c>
      <c r="N444" t="n">
        <v>0</v>
      </c>
      <c r="O444" t="n">
        <v>0</v>
      </c>
      <c r="P444" t="n">
        <v>0</v>
      </c>
      <c r="Q444" t="n">
        <v>0</v>
      </c>
      <c r="R444" s="2" t="inlineStr"/>
    </row>
    <row r="445" ht="15" customHeight="1">
      <c r="A445" t="inlineStr">
        <is>
          <t>A 30276-2023</t>
        </is>
      </c>
      <c r="B445" s="1" t="n">
        <v>45110</v>
      </c>
      <c r="C445" s="1" t="n">
        <v>46049</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51780-2025</t>
        </is>
      </c>
      <c r="B446" s="1" t="n">
        <v>45951.65725694445</v>
      </c>
      <c r="C446" s="1" t="n">
        <v>46049</v>
      </c>
      <c r="D446" t="inlineStr">
        <is>
          <t>SÖDERMANLANDS LÄN</t>
        </is>
      </c>
      <c r="E446" t="inlineStr">
        <is>
          <t>KATRINEHOLM</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57265-2022</t>
        </is>
      </c>
      <c r="B447" s="1" t="n">
        <v>44895</v>
      </c>
      <c r="C447" s="1" t="n">
        <v>46049</v>
      </c>
      <c r="D447" t="inlineStr">
        <is>
          <t>SÖDERMANLANDS LÄN</t>
        </is>
      </c>
      <c r="E447" t="inlineStr">
        <is>
          <t>KATRINEHOLM</t>
        </is>
      </c>
      <c r="G447" t="n">
        <v>2</v>
      </c>
      <c r="H447" t="n">
        <v>0</v>
      </c>
      <c r="I447" t="n">
        <v>0</v>
      </c>
      <c r="J447" t="n">
        <v>0</v>
      </c>
      <c r="K447" t="n">
        <v>0</v>
      </c>
      <c r="L447" t="n">
        <v>0</v>
      </c>
      <c r="M447" t="n">
        <v>0</v>
      </c>
      <c r="N447" t="n">
        <v>0</v>
      </c>
      <c r="O447" t="n">
        <v>0</v>
      </c>
      <c r="P447" t="n">
        <v>0</v>
      </c>
      <c r="Q447" t="n">
        <v>0</v>
      </c>
      <c r="R447" s="2" t="inlineStr"/>
    </row>
    <row r="448" ht="15" customHeight="1">
      <c r="A448" t="inlineStr">
        <is>
          <t>A 51774-2025</t>
        </is>
      </c>
      <c r="B448" s="1" t="n">
        <v>45951.65359953704</v>
      </c>
      <c r="C448" s="1" t="n">
        <v>46049</v>
      </c>
      <c r="D448" t="inlineStr">
        <is>
          <t>SÖDERMANLANDS LÄN</t>
        </is>
      </c>
      <c r="E448" t="inlineStr">
        <is>
          <t>KATRINEHOLM</t>
        </is>
      </c>
      <c r="F448" t="inlineStr">
        <is>
          <t>Allmännings- och besparingsskogar</t>
        </is>
      </c>
      <c r="G448" t="n">
        <v>3.7</v>
      </c>
      <c r="H448" t="n">
        <v>0</v>
      </c>
      <c r="I448" t="n">
        <v>0</v>
      </c>
      <c r="J448" t="n">
        <v>0</v>
      </c>
      <c r="K448" t="n">
        <v>0</v>
      </c>
      <c r="L448" t="n">
        <v>0</v>
      </c>
      <c r="M448" t="n">
        <v>0</v>
      </c>
      <c r="N448" t="n">
        <v>0</v>
      </c>
      <c r="O448" t="n">
        <v>0</v>
      </c>
      <c r="P448" t="n">
        <v>0</v>
      </c>
      <c r="Q448" t="n">
        <v>0</v>
      </c>
      <c r="R448" s="2" t="inlineStr"/>
    </row>
    <row r="449" ht="15" customHeight="1">
      <c r="A449" t="inlineStr">
        <is>
          <t>A 51783-2025</t>
        </is>
      </c>
      <c r="B449" s="1" t="n">
        <v>45951.67546296296</v>
      </c>
      <c r="C449" s="1" t="n">
        <v>46049</v>
      </c>
      <c r="D449" t="inlineStr">
        <is>
          <t>SÖDERMANLANDS LÄN</t>
        </is>
      </c>
      <c r="E449" t="inlineStr">
        <is>
          <t>KATRINEHOLM</t>
        </is>
      </c>
      <c r="F449" t="inlineStr">
        <is>
          <t>Allmännings- och besparingsskogar</t>
        </is>
      </c>
      <c r="G449" t="n">
        <v>5.8</v>
      </c>
      <c r="H449" t="n">
        <v>0</v>
      </c>
      <c r="I449" t="n">
        <v>0</v>
      </c>
      <c r="J449" t="n">
        <v>0</v>
      </c>
      <c r="K449" t="n">
        <v>0</v>
      </c>
      <c r="L449" t="n">
        <v>0</v>
      </c>
      <c r="M449" t="n">
        <v>0</v>
      </c>
      <c r="N449" t="n">
        <v>0</v>
      </c>
      <c r="O449" t="n">
        <v>0</v>
      </c>
      <c r="P449" t="n">
        <v>0</v>
      </c>
      <c r="Q449" t="n">
        <v>0</v>
      </c>
      <c r="R449" s="2" t="inlineStr"/>
    </row>
    <row r="450" ht="15" customHeight="1">
      <c r="A450" t="inlineStr">
        <is>
          <t>A 50316-2023</t>
        </is>
      </c>
      <c r="B450" s="1" t="n">
        <v>45209</v>
      </c>
      <c r="C450" s="1" t="n">
        <v>46049</v>
      </c>
      <c r="D450" t="inlineStr">
        <is>
          <t>SÖDERMANLANDS LÄN</t>
        </is>
      </c>
      <c r="E450" t="inlineStr">
        <is>
          <t>KATRINEHOLM</t>
        </is>
      </c>
      <c r="G450" t="n">
        <v>1.9</v>
      </c>
      <c r="H450" t="n">
        <v>0</v>
      </c>
      <c r="I450" t="n">
        <v>0</v>
      </c>
      <c r="J450" t="n">
        <v>0</v>
      </c>
      <c r="K450" t="n">
        <v>0</v>
      </c>
      <c r="L450" t="n">
        <v>0</v>
      </c>
      <c r="M450" t="n">
        <v>0</v>
      </c>
      <c r="N450" t="n">
        <v>0</v>
      </c>
      <c r="O450" t="n">
        <v>0</v>
      </c>
      <c r="P450" t="n">
        <v>0</v>
      </c>
      <c r="Q450" t="n">
        <v>0</v>
      </c>
      <c r="R450" s="2" t="inlineStr"/>
    </row>
    <row r="451" ht="15" customHeight="1">
      <c r="A451" t="inlineStr">
        <is>
          <t>A 52857-2021</t>
        </is>
      </c>
      <c r="B451" s="1" t="n">
        <v>44466</v>
      </c>
      <c r="C451" s="1" t="n">
        <v>46049</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60160-2022</t>
        </is>
      </c>
      <c r="B452" s="1" t="n">
        <v>44909</v>
      </c>
      <c r="C452" s="1" t="n">
        <v>46049</v>
      </c>
      <c r="D452" t="inlineStr">
        <is>
          <t>SÖDERMANLANDS LÄN</t>
        </is>
      </c>
      <c r="E452" t="inlineStr">
        <is>
          <t>KATRINEHOLM</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19442-2023</t>
        </is>
      </c>
      <c r="B453" s="1" t="n">
        <v>45050</v>
      </c>
      <c r="C453" s="1" t="n">
        <v>46049</v>
      </c>
      <c r="D453" t="inlineStr">
        <is>
          <t>SÖDERMANLANDS LÄN</t>
        </is>
      </c>
      <c r="E453" t="inlineStr">
        <is>
          <t>KATRINEHOLM</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52242-2025</t>
        </is>
      </c>
      <c r="B454" s="1" t="n">
        <v>45953.46886574074</v>
      </c>
      <c r="C454" s="1" t="n">
        <v>46049</v>
      </c>
      <c r="D454" t="inlineStr">
        <is>
          <t>SÖDERMANLANDS LÄN</t>
        </is>
      </c>
      <c r="E454" t="inlineStr">
        <is>
          <t>KATRINEHOLM</t>
        </is>
      </c>
      <c r="G454" t="n">
        <v>5.3</v>
      </c>
      <c r="H454" t="n">
        <v>0</v>
      </c>
      <c r="I454" t="n">
        <v>0</v>
      </c>
      <c r="J454" t="n">
        <v>0</v>
      </c>
      <c r="K454" t="n">
        <v>0</v>
      </c>
      <c r="L454" t="n">
        <v>0</v>
      </c>
      <c r="M454" t="n">
        <v>0</v>
      </c>
      <c r="N454" t="n">
        <v>0</v>
      </c>
      <c r="O454" t="n">
        <v>0</v>
      </c>
      <c r="P454" t="n">
        <v>0</v>
      </c>
      <c r="Q454" t="n">
        <v>0</v>
      </c>
      <c r="R454" s="2" t="inlineStr"/>
    </row>
    <row r="455" ht="15" customHeight="1">
      <c r="A455" t="inlineStr">
        <is>
          <t>A 52239-2025</t>
        </is>
      </c>
      <c r="B455" s="1" t="n">
        <v>45953.46193287037</v>
      </c>
      <c r="C455" s="1" t="n">
        <v>46049</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52244-2025</t>
        </is>
      </c>
      <c r="B456" s="1" t="n">
        <v>45953</v>
      </c>
      <c r="C456" s="1" t="n">
        <v>46049</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50840-2022</t>
        </is>
      </c>
      <c r="B457" s="1" t="n">
        <v>44862</v>
      </c>
      <c r="C457" s="1" t="n">
        <v>46049</v>
      </c>
      <c r="D457" t="inlineStr">
        <is>
          <t>SÖDERMANLANDS LÄN</t>
        </is>
      </c>
      <c r="E457" t="inlineStr">
        <is>
          <t>KATRINEHOLM</t>
        </is>
      </c>
      <c r="G457" t="n">
        <v>4.2</v>
      </c>
      <c r="H457" t="n">
        <v>0</v>
      </c>
      <c r="I457" t="n">
        <v>0</v>
      </c>
      <c r="J457" t="n">
        <v>0</v>
      </c>
      <c r="K457" t="n">
        <v>0</v>
      </c>
      <c r="L457" t="n">
        <v>0</v>
      </c>
      <c r="M457" t="n">
        <v>0</v>
      </c>
      <c r="N457" t="n">
        <v>0</v>
      </c>
      <c r="O457" t="n">
        <v>0</v>
      </c>
      <c r="P457" t="n">
        <v>0</v>
      </c>
      <c r="Q457" t="n">
        <v>0</v>
      </c>
      <c r="R457" s="2" t="inlineStr"/>
    </row>
    <row r="458" ht="15" customHeight="1">
      <c r="A458" t="inlineStr">
        <is>
          <t>A 3060-2022</t>
        </is>
      </c>
      <c r="B458" s="1" t="n">
        <v>44582.40109953703</v>
      </c>
      <c r="C458" s="1" t="n">
        <v>46049</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6611-2023</t>
        </is>
      </c>
      <c r="B459" s="1" t="n">
        <v>44963</v>
      </c>
      <c r="C459" s="1" t="n">
        <v>46049</v>
      </c>
      <c r="D459" t="inlineStr">
        <is>
          <t>SÖDERMANLANDS LÄN</t>
        </is>
      </c>
      <c r="E459" t="inlineStr">
        <is>
          <t>KATRINEHOLM</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52744-2025</t>
        </is>
      </c>
      <c r="B460" s="1" t="n">
        <v>45957.38387731482</v>
      </c>
      <c r="C460" s="1" t="n">
        <v>46049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50804-2023</t>
        </is>
      </c>
      <c r="B461" s="1" t="n">
        <v>45211</v>
      </c>
      <c r="C461" s="1" t="n">
        <v>46049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20533-2023</t>
        </is>
      </c>
      <c r="B462" s="1" t="n">
        <v>45057</v>
      </c>
      <c r="C462" s="1" t="n">
        <v>46049</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c r="T462">
        <f>HYPERLINK("https://klasma.github.io/Logging_0483/kartor/A 20533-2023 karta.png", "A 20533-2023")</f>
        <v/>
      </c>
      <c r="V462">
        <f>HYPERLINK("https://klasma.github.io/Logging_0483/klagomål/A 20533-2023 FSC-klagomål.docx", "A 20533-2023")</f>
        <v/>
      </c>
      <c r="W462">
        <f>HYPERLINK("https://klasma.github.io/Logging_0483/klagomålsmail/A 20533-2023 FSC-klagomål mail.docx", "A 20533-2023")</f>
        <v/>
      </c>
      <c r="X462">
        <f>HYPERLINK("https://klasma.github.io/Logging_0483/tillsyn/A 20533-2023 tillsynsbegäran.docx", "A 20533-2023")</f>
        <v/>
      </c>
      <c r="Y462">
        <f>HYPERLINK("https://klasma.github.io/Logging_0483/tillsynsmail/A 20533-2023 tillsynsbegäran mail.docx", "A 20533-2023")</f>
        <v/>
      </c>
      <c r="Z462">
        <f>HYPERLINK("https://klasma.github.io/Logging_0483/fåglar/A 20533-2023 prioriterade fågelarter.docx", "A 20533-2023")</f>
        <v/>
      </c>
    </row>
    <row r="463" ht="15" customHeight="1">
      <c r="A463" t="inlineStr">
        <is>
          <t>A 43499-2021</t>
        </is>
      </c>
      <c r="B463" s="1" t="n">
        <v>44433</v>
      </c>
      <c r="C463" s="1" t="n">
        <v>46049</v>
      </c>
      <c r="D463" t="inlineStr">
        <is>
          <t>SÖDERMANLANDS LÄN</t>
        </is>
      </c>
      <c r="E463" t="inlineStr">
        <is>
          <t>KATRINEHOLM</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53996-2023</t>
        </is>
      </c>
      <c r="B464" s="1" t="n">
        <v>45231</v>
      </c>
      <c r="C464" s="1" t="n">
        <v>46049</v>
      </c>
      <c r="D464" t="inlineStr">
        <is>
          <t>SÖDERMANLANDS LÄN</t>
        </is>
      </c>
      <c r="E464" t="inlineStr">
        <is>
          <t>KATRINEHOLM</t>
        </is>
      </c>
      <c r="G464" t="n">
        <v>4.9</v>
      </c>
      <c r="H464" t="n">
        <v>0</v>
      </c>
      <c r="I464" t="n">
        <v>0</v>
      </c>
      <c r="J464" t="n">
        <v>0</v>
      </c>
      <c r="K464" t="n">
        <v>0</v>
      </c>
      <c r="L464" t="n">
        <v>0</v>
      </c>
      <c r="M464" t="n">
        <v>0</v>
      </c>
      <c r="N464" t="n">
        <v>0</v>
      </c>
      <c r="O464" t="n">
        <v>0</v>
      </c>
      <c r="P464" t="n">
        <v>0</v>
      </c>
      <c r="Q464" t="n">
        <v>0</v>
      </c>
      <c r="R464" s="2" t="inlineStr"/>
    </row>
    <row r="465" ht="15" customHeight="1">
      <c r="A465" t="inlineStr">
        <is>
          <t>A 33790-2024</t>
        </is>
      </c>
      <c r="B465" s="1" t="n">
        <v>45520.59179398148</v>
      </c>
      <c r="C465" s="1" t="n">
        <v>46049</v>
      </c>
      <c r="D465" t="inlineStr">
        <is>
          <t>SÖDERMANLANDS LÄN</t>
        </is>
      </c>
      <c r="E465" t="inlineStr">
        <is>
          <t>KATRINEHOLM</t>
        </is>
      </c>
      <c r="G465" t="n">
        <v>14</v>
      </c>
      <c r="H465" t="n">
        <v>0</v>
      </c>
      <c r="I465" t="n">
        <v>0</v>
      </c>
      <c r="J465" t="n">
        <v>0</v>
      </c>
      <c r="K465" t="n">
        <v>0</v>
      </c>
      <c r="L465" t="n">
        <v>0</v>
      </c>
      <c r="M465" t="n">
        <v>0</v>
      </c>
      <c r="N465" t="n">
        <v>0</v>
      </c>
      <c r="O465" t="n">
        <v>0</v>
      </c>
      <c r="P465" t="n">
        <v>0</v>
      </c>
      <c r="Q465" t="n">
        <v>0</v>
      </c>
      <c r="R465" s="2" t="inlineStr"/>
    </row>
    <row r="466" ht="15" customHeight="1">
      <c r="A466" t="inlineStr">
        <is>
          <t>A 53338-2025</t>
        </is>
      </c>
      <c r="B466" s="1" t="n">
        <v>45959.40447916667</v>
      </c>
      <c r="C466" s="1" t="n">
        <v>46049</v>
      </c>
      <c r="D466" t="inlineStr">
        <is>
          <t>SÖDERMANLANDS LÄN</t>
        </is>
      </c>
      <c r="E466" t="inlineStr">
        <is>
          <t>KATRINEHOLM</t>
        </is>
      </c>
      <c r="G466" t="n">
        <v>2.9</v>
      </c>
      <c r="H466" t="n">
        <v>0</v>
      </c>
      <c r="I466" t="n">
        <v>0</v>
      </c>
      <c r="J466" t="n">
        <v>0</v>
      </c>
      <c r="K466" t="n">
        <v>0</v>
      </c>
      <c r="L466" t="n">
        <v>0</v>
      </c>
      <c r="M466" t="n">
        <v>0</v>
      </c>
      <c r="N466" t="n">
        <v>0</v>
      </c>
      <c r="O466" t="n">
        <v>0</v>
      </c>
      <c r="P466" t="n">
        <v>0</v>
      </c>
      <c r="Q466" t="n">
        <v>0</v>
      </c>
      <c r="R466" s="2" t="inlineStr"/>
    </row>
    <row r="467" ht="15" customHeight="1">
      <c r="A467" t="inlineStr">
        <is>
          <t>A 47456-2022</t>
        </is>
      </c>
      <c r="B467" s="1" t="n">
        <v>44852</v>
      </c>
      <c r="C467" s="1" t="n">
        <v>46049</v>
      </c>
      <c r="D467" t="inlineStr">
        <is>
          <t>SÖDERMANLANDS LÄN</t>
        </is>
      </c>
      <c r="E467" t="inlineStr">
        <is>
          <t>KATRINEHOLM</t>
        </is>
      </c>
      <c r="G467" t="n">
        <v>3.7</v>
      </c>
      <c r="H467" t="n">
        <v>0</v>
      </c>
      <c r="I467" t="n">
        <v>0</v>
      </c>
      <c r="J467" t="n">
        <v>0</v>
      </c>
      <c r="K467" t="n">
        <v>0</v>
      </c>
      <c r="L467" t="n">
        <v>0</v>
      </c>
      <c r="M467" t="n">
        <v>0</v>
      </c>
      <c r="N467" t="n">
        <v>0</v>
      </c>
      <c r="O467" t="n">
        <v>0</v>
      </c>
      <c r="P467" t="n">
        <v>0</v>
      </c>
      <c r="Q467" t="n">
        <v>0</v>
      </c>
      <c r="R467" s="2" t="inlineStr"/>
    </row>
    <row r="468" ht="15" customHeight="1">
      <c r="A468" t="inlineStr">
        <is>
          <t>A 23347-2023</t>
        </is>
      </c>
      <c r="B468" s="1" t="n">
        <v>45076</v>
      </c>
      <c r="C468" s="1" t="n">
        <v>46049</v>
      </c>
      <c r="D468" t="inlineStr">
        <is>
          <t>SÖDERMANLANDS LÄN</t>
        </is>
      </c>
      <c r="E468" t="inlineStr">
        <is>
          <t>KATRINEHOLM</t>
        </is>
      </c>
      <c r="G468" t="n">
        <v>4.3</v>
      </c>
      <c r="H468" t="n">
        <v>0</v>
      </c>
      <c r="I468" t="n">
        <v>0</v>
      </c>
      <c r="J468" t="n">
        <v>0</v>
      </c>
      <c r="K468" t="n">
        <v>0</v>
      </c>
      <c r="L468" t="n">
        <v>0</v>
      </c>
      <c r="M468" t="n">
        <v>0</v>
      </c>
      <c r="N468" t="n">
        <v>0</v>
      </c>
      <c r="O468" t="n">
        <v>0</v>
      </c>
      <c r="P468" t="n">
        <v>0</v>
      </c>
      <c r="Q468" t="n">
        <v>0</v>
      </c>
      <c r="R468" s="2" t="inlineStr"/>
    </row>
    <row r="469" ht="15" customHeight="1">
      <c r="A469" t="inlineStr">
        <is>
          <t>A 74354-2021</t>
        </is>
      </c>
      <c r="B469" s="1" t="n">
        <v>44559.57041666667</v>
      </c>
      <c r="C469" s="1" t="n">
        <v>46049</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33469-2025</t>
        </is>
      </c>
      <c r="B470" s="1" t="n">
        <v>45841.48686342593</v>
      </c>
      <c r="C470" s="1" t="n">
        <v>46049</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33129-2025</t>
        </is>
      </c>
      <c r="B471" s="1" t="n">
        <v>45840.50141203704</v>
      </c>
      <c r="C471" s="1" t="n">
        <v>46049</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41548-2025</t>
        </is>
      </c>
      <c r="B472" s="1" t="n">
        <v>45901</v>
      </c>
      <c r="C472" s="1" t="n">
        <v>46049</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33096-2025</t>
        </is>
      </c>
      <c r="B473" s="1" t="n">
        <v>45840.47563657408</v>
      </c>
      <c r="C473" s="1" t="n">
        <v>46049</v>
      </c>
      <c r="D473" t="inlineStr">
        <is>
          <t>SÖDERMANLANDS LÄN</t>
        </is>
      </c>
      <c r="E473" t="inlineStr">
        <is>
          <t>KATRINEHOLM</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33077-2025</t>
        </is>
      </c>
      <c r="B474" s="1" t="n">
        <v>45840.45864583334</v>
      </c>
      <c r="C474" s="1" t="n">
        <v>46049</v>
      </c>
      <c r="D474" t="inlineStr">
        <is>
          <t>SÖDERMANLANDS LÄN</t>
        </is>
      </c>
      <c r="E474" t="inlineStr">
        <is>
          <t>KATRINEHOLM</t>
        </is>
      </c>
      <c r="G474" t="n">
        <v>7</v>
      </c>
      <c r="H474" t="n">
        <v>0</v>
      </c>
      <c r="I474" t="n">
        <v>0</v>
      </c>
      <c r="J474" t="n">
        <v>0</v>
      </c>
      <c r="K474" t="n">
        <v>0</v>
      </c>
      <c r="L474" t="n">
        <v>0</v>
      </c>
      <c r="M474" t="n">
        <v>0</v>
      </c>
      <c r="N474" t="n">
        <v>0</v>
      </c>
      <c r="O474" t="n">
        <v>0</v>
      </c>
      <c r="P474" t="n">
        <v>0</v>
      </c>
      <c r="Q474" t="n">
        <v>0</v>
      </c>
      <c r="R474" s="2" t="inlineStr"/>
    </row>
    <row r="475" ht="15" customHeight="1">
      <c r="A475" t="inlineStr">
        <is>
          <t>A 33101-2025</t>
        </is>
      </c>
      <c r="B475" s="1" t="n">
        <v>45840.47953703703</v>
      </c>
      <c r="C475" s="1" t="n">
        <v>46049</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54359-2025</t>
        </is>
      </c>
      <c r="B476" s="1" t="n">
        <v>45964</v>
      </c>
      <c r="C476" s="1" t="n">
        <v>46049</v>
      </c>
      <c r="D476" t="inlineStr">
        <is>
          <t>SÖDERMANLANDS LÄN</t>
        </is>
      </c>
      <c r="E476" t="inlineStr">
        <is>
          <t>KATRINEHOLM</t>
        </is>
      </c>
      <c r="G476" t="n">
        <v>2.5</v>
      </c>
      <c r="H476" t="n">
        <v>0</v>
      </c>
      <c r="I476" t="n">
        <v>0</v>
      </c>
      <c r="J476" t="n">
        <v>0</v>
      </c>
      <c r="K476" t="n">
        <v>0</v>
      </c>
      <c r="L476" t="n">
        <v>0</v>
      </c>
      <c r="M476" t="n">
        <v>0</v>
      </c>
      <c r="N476" t="n">
        <v>0</v>
      </c>
      <c r="O476" t="n">
        <v>0</v>
      </c>
      <c r="P476" t="n">
        <v>0</v>
      </c>
      <c r="Q476" t="n">
        <v>0</v>
      </c>
      <c r="R476" s="2" t="inlineStr"/>
    </row>
    <row r="477" ht="15" customHeight="1">
      <c r="A477" t="inlineStr">
        <is>
          <t>A 54395-2025</t>
        </is>
      </c>
      <c r="B477" s="1" t="n">
        <v>45964</v>
      </c>
      <c r="C477" s="1" t="n">
        <v>46049</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52348-2021</t>
        </is>
      </c>
      <c r="B478" s="1" t="n">
        <v>44464.49756944444</v>
      </c>
      <c r="C478" s="1" t="n">
        <v>46049</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56628-2021</t>
        </is>
      </c>
      <c r="B479" s="1" t="n">
        <v>44480</v>
      </c>
      <c r="C479" s="1" t="n">
        <v>46049</v>
      </c>
      <c r="D479" t="inlineStr">
        <is>
          <t>SÖDERMANLANDS LÄN</t>
        </is>
      </c>
      <c r="E479" t="inlineStr">
        <is>
          <t>KATRINEHOLM</t>
        </is>
      </c>
      <c r="G479" t="n">
        <v>1.8</v>
      </c>
      <c r="H479" t="n">
        <v>0</v>
      </c>
      <c r="I479" t="n">
        <v>0</v>
      </c>
      <c r="J479" t="n">
        <v>0</v>
      </c>
      <c r="K479" t="n">
        <v>0</v>
      </c>
      <c r="L479" t="n">
        <v>0</v>
      </c>
      <c r="M479" t="n">
        <v>0</v>
      </c>
      <c r="N479" t="n">
        <v>0</v>
      </c>
      <c r="O479" t="n">
        <v>0</v>
      </c>
      <c r="P479" t="n">
        <v>0</v>
      </c>
      <c r="Q479" t="n">
        <v>0</v>
      </c>
      <c r="R479" s="2" t="inlineStr"/>
    </row>
    <row r="480" ht="15" customHeight="1">
      <c r="A480" t="inlineStr">
        <is>
          <t>A 45438-2021</t>
        </is>
      </c>
      <c r="B480" s="1" t="n">
        <v>44440</v>
      </c>
      <c r="C480" s="1" t="n">
        <v>46049</v>
      </c>
      <c r="D480" t="inlineStr">
        <is>
          <t>SÖDERMANLANDS LÄN</t>
        </is>
      </c>
      <c r="E480" t="inlineStr">
        <is>
          <t>KATRINEHOLM</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50061-2022</t>
        </is>
      </c>
      <c r="B481" s="1" t="n">
        <v>44865</v>
      </c>
      <c r="C481" s="1" t="n">
        <v>46049</v>
      </c>
      <c r="D481" t="inlineStr">
        <is>
          <t>SÖDERMANLANDS LÄN</t>
        </is>
      </c>
      <c r="E481" t="inlineStr">
        <is>
          <t>KATRINEHOLM</t>
        </is>
      </c>
      <c r="G481" t="n">
        <v>4.9</v>
      </c>
      <c r="H481" t="n">
        <v>0</v>
      </c>
      <c r="I481" t="n">
        <v>0</v>
      </c>
      <c r="J481" t="n">
        <v>0</v>
      </c>
      <c r="K481" t="n">
        <v>0</v>
      </c>
      <c r="L481" t="n">
        <v>0</v>
      </c>
      <c r="M481" t="n">
        <v>0</v>
      </c>
      <c r="N481" t="n">
        <v>0</v>
      </c>
      <c r="O481" t="n">
        <v>0</v>
      </c>
      <c r="P481" t="n">
        <v>0</v>
      </c>
      <c r="Q481" t="n">
        <v>0</v>
      </c>
      <c r="R481" s="2" t="inlineStr"/>
    </row>
    <row r="482" ht="15" customHeight="1">
      <c r="A482" t="inlineStr">
        <is>
          <t>A 10446-2024</t>
        </is>
      </c>
      <c r="B482" s="1" t="n">
        <v>45366</v>
      </c>
      <c r="C482" s="1" t="n">
        <v>46049</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53860-2021</t>
        </is>
      </c>
      <c r="B483" s="1" t="n">
        <v>44467</v>
      </c>
      <c r="C483" s="1" t="n">
        <v>46049</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55029-2025</t>
        </is>
      </c>
      <c r="B484" s="1" t="n">
        <v>45967.63784722222</v>
      </c>
      <c r="C484" s="1" t="n">
        <v>46049</v>
      </c>
      <c r="D484" t="inlineStr">
        <is>
          <t>SÖDERMANLANDS LÄN</t>
        </is>
      </c>
      <c r="E484" t="inlineStr">
        <is>
          <t>KATRINEHOLM</t>
        </is>
      </c>
      <c r="G484" t="n">
        <v>10.1</v>
      </c>
      <c r="H484" t="n">
        <v>0</v>
      </c>
      <c r="I484" t="n">
        <v>0</v>
      </c>
      <c r="J484" t="n">
        <v>0</v>
      </c>
      <c r="K484" t="n">
        <v>0</v>
      </c>
      <c r="L484" t="n">
        <v>0</v>
      </c>
      <c r="M484" t="n">
        <v>0</v>
      </c>
      <c r="N484" t="n">
        <v>0</v>
      </c>
      <c r="O484" t="n">
        <v>0</v>
      </c>
      <c r="P484" t="n">
        <v>0</v>
      </c>
      <c r="Q484" t="n">
        <v>0</v>
      </c>
      <c r="R484" s="2" t="inlineStr"/>
    </row>
    <row r="485" ht="15" customHeight="1">
      <c r="A485" t="inlineStr">
        <is>
          <t>A 23842-2023</t>
        </is>
      </c>
      <c r="B485" s="1" t="n">
        <v>45075</v>
      </c>
      <c r="C485" s="1" t="n">
        <v>46049</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34263-2023</t>
        </is>
      </c>
      <c r="B486" s="1" t="n">
        <v>45138.60248842592</v>
      </c>
      <c r="C486" s="1" t="n">
        <v>46049</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54999-2025</t>
        </is>
      </c>
      <c r="B487" s="1" t="n">
        <v>45967.59880787037</v>
      </c>
      <c r="C487" s="1" t="n">
        <v>46049</v>
      </c>
      <c r="D487" t="inlineStr">
        <is>
          <t>SÖDERMANLANDS LÄN</t>
        </is>
      </c>
      <c r="E487" t="inlineStr">
        <is>
          <t>KATRINEHOLM</t>
        </is>
      </c>
      <c r="G487" t="n">
        <v>8.5</v>
      </c>
      <c r="H487" t="n">
        <v>0</v>
      </c>
      <c r="I487" t="n">
        <v>0</v>
      </c>
      <c r="J487" t="n">
        <v>0</v>
      </c>
      <c r="K487" t="n">
        <v>0</v>
      </c>
      <c r="L487" t="n">
        <v>0</v>
      </c>
      <c r="M487" t="n">
        <v>0</v>
      </c>
      <c r="N487" t="n">
        <v>0</v>
      </c>
      <c r="O487" t="n">
        <v>0</v>
      </c>
      <c r="P487" t="n">
        <v>0</v>
      </c>
      <c r="Q487" t="n">
        <v>0</v>
      </c>
      <c r="R487" s="2" t="inlineStr"/>
    </row>
    <row r="488" ht="15" customHeight="1">
      <c r="A488" t="inlineStr">
        <is>
          <t>A 46899-2022</t>
        </is>
      </c>
      <c r="B488" s="1" t="n">
        <v>44848</v>
      </c>
      <c r="C488" s="1" t="n">
        <v>46049</v>
      </c>
      <c r="D488" t="inlineStr">
        <is>
          <t>SÖDERMANLANDS LÄN</t>
        </is>
      </c>
      <c r="E488" t="inlineStr">
        <is>
          <t>KATRINEHOLM</t>
        </is>
      </c>
      <c r="G488" t="n">
        <v>2</v>
      </c>
      <c r="H488" t="n">
        <v>0</v>
      </c>
      <c r="I488" t="n">
        <v>0</v>
      </c>
      <c r="J488" t="n">
        <v>0</v>
      </c>
      <c r="K488" t="n">
        <v>0</v>
      </c>
      <c r="L488" t="n">
        <v>0</v>
      </c>
      <c r="M488" t="n">
        <v>0</v>
      </c>
      <c r="N488" t="n">
        <v>0</v>
      </c>
      <c r="O488" t="n">
        <v>0</v>
      </c>
      <c r="P488" t="n">
        <v>0</v>
      </c>
      <c r="Q488" t="n">
        <v>0</v>
      </c>
      <c r="R488" s="2" t="inlineStr"/>
    </row>
    <row r="489" ht="15" customHeight="1">
      <c r="A489" t="inlineStr">
        <is>
          <t>A 55296-2022</t>
        </is>
      </c>
      <c r="B489" s="1" t="n">
        <v>44887</v>
      </c>
      <c r="C489" s="1" t="n">
        <v>46049</v>
      </c>
      <c r="D489" t="inlineStr">
        <is>
          <t>SÖDERMANLANDS LÄN</t>
        </is>
      </c>
      <c r="E489" t="inlineStr">
        <is>
          <t>KATRINEHOLM</t>
        </is>
      </c>
      <c r="G489" t="n">
        <v>1.4</v>
      </c>
      <c r="H489" t="n">
        <v>0</v>
      </c>
      <c r="I489" t="n">
        <v>0</v>
      </c>
      <c r="J489" t="n">
        <v>0</v>
      </c>
      <c r="K489" t="n">
        <v>0</v>
      </c>
      <c r="L489" t="n">
        <v>0</v>
      </c>
      <c r="M489" t="n">
        <v>0</v>
      </c>
      <c r="N489" t="n">
        <v>0</v>
      </c>
      <c r="O489" t="n">
        <v>0</v>
      </c>
      <c r="P489" t="n">
        <v>0</v>
      </c>
      <c r="Q489" t="n">
        <v>0</v>
      </c>
      <c r="R489" s="2" t="inlineStr"/>
    </row>
    <row r="490" ht="15" customHeight="1">
      <c r="A490" t="inlineStr">
        <is>
          <t>A 57524-2021</t>
        </is>
      </c>
      <c r="B490" s="1" t="n">
        <v>44483</v>
      </c>
      <c r="C490" s="1" t="n">
        <v>46049</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931-2023</t>
        </is>
      </c>
      <c r="B491" s="1" t="n">
        <v>44932.74261574074</v>
      </c>
      <c r="C491" s="1" t="n">
        <v>46049</v>
      </c>
      <c r="D491" t="inlineStr">
        <is>
          <t>SÖDERMANLANDS LÄN</t>
        </is>
      </c>
      <c r="E491" t="inlineStr">
        <is>
          <t>KATRINEHOLM</t>
        </is>
      </c>
      <c r="G491" t="n">
        <v>4</v>
      </c>
      <c r="H491" t="n">
        <v>0</v>
      </c>
      <c r="I491" t="n">
        <v>0</v>
      </c>
      <c r="J491" t="n">
        <v>0</v>
      </c>
      <c r="K491" t="n">
        <v>0</v>
      </c>
      <c r="L491" t="n">
        <v>0</v>
      </c>
      <c r="M491" t="n">
        <v>0</v>
      </c>
      <c r="N491" t="n">
        <v>0</v>
      </c>
      <c r="O491" t="n">
        <v>0</v>
      </c>
      <c r="P491" t="n">
        <v>0</v>
      </c>
      <c r="Q491" t="n">
        <v>0</v>
      </c>
      <c r="R491" s="2" t="inlineStr"/>
    </row>
    <row r="492" ht="15" customHeight="1">
      <c r="A492" t="inlineStr">
        <is>
          <t>A 55171-2023</t>
        </is>
      </c>
      <c r="B492" s="1" t="n">
        <v>45231</v>
      </c>
      <c r="C492" s="1" t="n">
        <v>46049</v>
      </c>
      <c r="D492" t="inlineStr">
        <is>
          <t>SÖDERMANLANDS LÄN</t>
        </is>
      </c>
      <c r="E492" t="inlineStr">
        <is>
          <t>KATRINEHOLM</t>
        </is>
      </c>
      <c r="G492" t="n">
        <v>4.2</v>
      </c>
      <c r="H492" t="n">
        <v>0</v>
      </c>
      <c r="I492" t="n">
        <v>0</v>
      </c>
      <c r="J492" t="n">
        <v>0</v>
      </c>
      <c r="K492" t="n">
        <v>0</v>
      </c>
      <c r="L492" t="n">
        <v>0</v>
      </c>
      <c r="M492" t="n">
        <v>0</v>
      </c>
      <c r="N492" t="n">
        <v>0</v>
      </c>
      <c r="O492" t="n">
        <v>0</v>
      </c>
      <c r="P492" t="n">
        <v>0</v>
      </c>
      <c r="Q492" t="n">
        <v>0</v>
      </c>
      <c r="R492" s="2" t="inlineStr"/>
    </row>
    <row r="493" ht="15" customHeight="1">
      <c r="A493" t="inlineStr">
        <is>
          <t>A 53393-2023</t>
        </is>
      </c>
      <c r="B493" s="1" t="n">
        <v>45229</v>
      </c>
      <c r="C493" s="1" t="n">
        <v>46049</v>
      </c>
      <c r="D493" t="inlineStr">
        <is>
          <t>SÖDERMANLANDS LÄN</t>
        </is>
      </c>
      <c r="E493" t="inlineStr">
        <is>
          <t>KATRINEHOLM</t>
        </is>
      </c>
      <c r="F493" t="inlineStr">
        <is>
          <t>Kyrkan</t>
        </is>
      </c>
      <c r="G493" t="n">
        <v>5.6</v>
      </c>
      <c r="H493" t="n">
        <v>0</v>
      </c>
      <c r="I493" t="n">
        <v>0</v>
      </c>
      <c r="J493" t="n">
        <v>0</v>
      </c>
      <c r="K493" t="n">
        <v>0</v>
      </c>
      <c r="L493" t="n">
        <v>0</v>
      </c>
      <c r="M493" t="n">
        <v>0</v>
      </c>
      <c r="N493" t="n">
        <v>0</v>
      </c>
      <c r="O493" t="n">
        <v>0</v>
      </c>
      <c r="P493" t="n">
        <v>0</v>
      </c>
      <c r="Q493" t="n">
        <v>0</v>
      </c>
      <c r="R493" s="2" t="inlineStr"/>
    </row>
    <row r="494" ht="15" customHeight="1">
      <c r="A494" t="inlineStr">
        <is>
          <t>A 23031-2024</t>
        </is>
      </c>
      <c r="B494" s="1" t="n">
        <v>45450.38120370371</v>
      </c>
      <c r="C494" s="1" t="n">
        <v>46049</v>
      </c>
      <c r="D494" t="inlineStr">
        <is>
          <t>SÖDERMANLANDS LÄN</t>
        </is>
      </c>
      <c r="E494" t="inlineStr">
        <is>
          <t>KATRINEHOLM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55829-2025</t>
        </is>
      </c>
      <c r="B495" s="1" t="n">
        <v>45972.79274305556</v>
      </c>
      <c r="C495" s="1" t="n">
        <v>46049</v>
      </c>
      <c r="D495" t="inlineStr">
        <is>
          <t>SÖDERMANLANDS LÄN</t>
        </is>
      </c>
      <c r="E495" t="inlineStr">
        <is>
          <t>KATRINEHOLM</t>
        </is>
      </c>
      <c r="G495" t="n">
        <v>3.2</v>
      </c>
      <c r="H495" t="n">
        <v>0</v>
      </c>
      <c r="I495" t="n">
        <v>0</v>
      </c>
      <c r="J495" t="n">
        <v>0</v>
      </c>
      <c r="K495" t="n">
        <v>0</v>
      </c>
      <c r="L495" t="n">
        <v>0</v>
      </c>
      <c r="M495" t="n">
        <v>0</v>
      </c>
      <c r="N495" t="n">
        <v>0</v>
      </c>
      <c r="O495" t="n">
        <v>0</v>
      </c>
      <c r="P495" t="n">
        <v>0</v>
      </c>
      <c r="Q495" t="n">
        <v>0</v>
      </c>
      <c r="R495" s="2" t="inlineStr"/>
    </row>
    <row r="496" ht="15" customHeight="1">
      <c r="A496" t="inlineStr">
        <is>
          <t>A 55832-2025</t>
        </is>
      </c>
      <c r="B496" s="1" t="n">
        <v>45972.81768518518</v>
      </c>
      <c r="C496" s="1" t="n">
        <v>46049</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22506-2023</t>
        </is>
      </c>
      <c r="B497" s="1" t="n">
        <v>45071.37393518518</v>
      </c>
      <c r="C497" s="1" t="n">
        <v>46049</v>
      </c>
      <c r="D497" t="inlineStr">
        <is>
          <t>SÖDERMANLANDS LÄN</t>
        </is>
      </c>
      <c r="E497" t="inlineStr">
        <is>
          <t>KATRINEHOLM</t>
        </is>
      </c>
      <c r="F497" t="inlineStr">
        <is>
          <t>Kyrkan</t>
        </is>
      </c>
      <c r="G497" t="n">
        <v>5.9</v>
      </c>
      <c r="H497" t="n">
        <v>0</v>
      </c>
      <c r="I497" t="n">
        <v>0</v>
      </c>
      <c r="J497" t="n">
        <v>0</v>
      </c>
      <c r="K497" t="n">
        <v>0</v>
      </c>
      <c r="L497" t="n">
        <v>0</v>
      </c>
      <c r="M497" t="n">
        <v>0</v>
      </c>
      <c r="N497" t="n">
        <v>0</v>
      </c>
      <c r="O497" t="n">
        <v>0</v>
      </c>
      <c r="P497" t="n">
        <v>0</v>
      </c>
      <c r="Q497" t="n">
        <v>0</v>
      </c>
      <c r="R497" s="2" t="inlineStr"/>
    </row>
    <row r="498" ht="15" customHeight="1">
      <c r="A498" t="inlineStr">
        <is>
          <t>A 12888-2025</t>
        </is>
      </c>
      <c r="B498" s="1" t="n">
        <v>45733</v>
      </c>
      <c r="C498" s="1" t="n">
        <v>46049</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22345-2023</t>
        </is>
      </c>
      <c r="B499" s="1" t="n">
        <v>45070</v>
      </c>
      <c r="C499" s="1" t="n">
        <v>46049</v>
      </c>
      <c r="D499" t="inlineStr">
        <is>
          <t>SÖDERMANLANDS LÄN</t>
        </is>
      </c>
      <c r="E499" t="inlineStr">
        <is>
          <t>KATRINEHOLM</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48877-2022</t>
        </is>
      </c>
      <c r="B500" s="1" t="n">
        <v>44859</v>
      </c>
      <c r="C500" s="1" t="n">
        <v>46049</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55831-2025</t>
        </is>
      </c>
      <c r="B501" s="1" t="n">
        <v>45972.81034722222</v>
      </c>
      <c r="C501" s="1" t="n">
        <v>46049</v>
      </c>
      <c r="D501" t="inlineStr">
        <is>
          <t>SÖDERMANLANDS LÄN</t>
        </is>
      </c>
      <c r="E501" t="inlineStr">
        <is>
          <t>KATRINEHOLM</t>
        </is>
      </c>
      <c r="G501" t="n">
        <v>6.2</v>
      </c>
      <c r="H501" t="n">
        <v>0</v>
      </c>
      <c r="I501" t="n">
        <v>0</v>
      </c>
      <c r="J501" t="n">
        <v>0</v>
      </c>
      <c r="K501" t="n">
        <v>0</v>
      </c>
      <c r="L501" t="n">
        <v>0</v>
      </c>
      <c r="M501" t="n">
        <v>0</v>
      </c>
      <c r="N501" t="n">
        <v>0</v>
      </c>
      <c r="O501" t="n">
        <v>0</v>
      </c>
      <c r="P501" t="n">
        <v>0</v>
      </c>
      <c r="Q501" t="n">
        <v>0</v>
      </c>
      <c r="R501" s="2" t="inlineStr"/>
    </row>
    <row r="502" ht="15" customHeight="1">
      <c r="A502" t="inlineStr">
        <is>
          <t>A 56330-2025</t>
        </is>
      </c>
      <c r="B502" s="1" t="n">
        <v>45974.64094907408</v>
      </c>
      <c r="C502" s="1" t="n">
        <v>46049</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19868-2022</t>
        </is>
      </c>
      <c r="B503" s="1" t="n">
        <v>44696</v>
      </c>
      <c r="C503" s="1" t="n">
        <v>46049</v>
      </c>
      <c r="D503" t="inlineStr">
        <is>
          <t>SÖDERMANLANDS LÄN</t>
        </is>
      </c>
      <c r="E503" t="inlineStr">
        <is>
          <t>KATRINEHOLM</t>
        </is>
      </c>
      <c r="G503" t="n">
        <v>13</v>
      </c>
      <c r="H503" t="n">
        <v>0</v>
      </c>
      <c r="I503" t="n">
        <v>0</v>
      </c>
      <c r="J503" t="n">
        <v>0</v>
      </c>
      <c r="K503" t="n">
        <v>0</v>
      </c>
      <c r="L503" t="n">
        <v>0</v>
      </c>
      <c r="M503" t="n">
        <v>0</v>
      </c>
      <c r="N503" t="n">
        <v>0</v>
      </c>
      <c r="O503" t="n">
        <v>0</v>
      </c>
      <c r="P503" t="n">
        <v>0</v>
      </c>
      <c r="Q503" t="n">
        <v>0</v>
      </c>
      <c r="R503" s="2" t="inlineStr"/>
    </row>
    <row r="504" ht="15" customHeight="1">
      <c r="A504" t="inlineStr">
        <is>
          <t>A 63188-2021</t>
        </is>
      </c>
      <c r="B504" s="1" t="n">
        <v>44507.56865740741</v>
      </c>
      <c r="C504" s="1" t="n">
        <v>46049</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29843-2023</t>
        </is>
      </c>
      <c r="B505" s="1" t="n">
        <v>45107</v>
      </c>
      <c r="C505" s="1" t="n">
        <v>46049</v>
      </c>
      <c r="D505" t="inlineStr">
        <is>
          <t>SÖDERMANLANDS LÄN</t>
        </is>
      </c>
      <c r="E505" t="inlineStr">
        <is>
          <t>KATRINEHOLM</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56597-2025</t>
        </is>
      </c>
      <c r="B506" s="1" t="n">
        <v>45975.57271990741</v>
      </c>
      <c r="C506" s="1" t="n">
        <v>46049</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5834-2025</t>
        </is>
      </c>
      <c r="B507" s="1" t="n">
        <v>45694</v>
      </c>
      <c r="C507" s="1" t="n">
        <v>46049</v>
      </c>
      <c r="D507" t="inlineStr">
        <is>
          <t>SÖDERMANLANDS LÄN</t>
        </is>
      </c>
      <c r="E507" t="inlineStr">
        <is>
          <t>KATRINEHOLM</t>
        </is>
      </c>
      <c r="G507" t="n">
        <v>3.3</v>
      </c>
      <c r="H507" t="n">
        <v>0</v>
      </c>
      <c r="I507" t="n">
        <v>0</v>
      </c>
      <c r="J507" t="n">
        <v>0</v>
      </c>
      <c r="K507" t="n">
        <v>0</v>
      </c>
      <c r="L507" t="n">
        <v>0</v>
      </c>
      <c r="M507" t="n">
        <v>0</v>
      </c>
      <c r="N507" t="n">
        <v>0</v>
      </c>
      <c r="O507" t="n">
        <v>0</v>
      </c>
      <c r="P507" t="n">
        <v>0</v>
      </c>
      <c r="Q507" t="n">
        <v>0</v>
      </c>
      <c r="R507" s="2" t="inlineStr"/>
    </row>
    <row r="508" ht="15" customHeight="1">
      <c r="A508" t="inlineStr">
        <is>
          <t>A 34981-2023</t>
        </is>
      </c>
      <c r="B508" s="1" t="n">
        <v>45142</v>
      </c>
      <c r="C508" s="1" t="n">
        <v>46049</v>
      </c>
      <c r="D508" t="inlineStr">
        <is>
          <t>SÖDERMANLANDS LÄN</t>
        </is>
      </c>
      <c r="E508" t="inlineStr">
        <is>
          <t>KATRINEHOLM</t>
        </is>
      </c>
      <c r="G508" t="n">
        <v>10</v>
      </c>
      <c r="H508" t="n">
        <v>0</v>
      </c>
      <c r="I508" t="n">
        <v>0</v>
      </c>
      <c r="J508" t="n">
        <v>0</v>
      </c>
      <c r="K508" t="n">
        <v>0</v>
      </c>
      <c r="L508" t="n">
        <v>0</v>
      </c>
      <c r="M508" t="n">
        <v>0</v>
      </c>
      <c r="N508" t="n">
        <v>0</v>
      </c>
      <c r="O508" t="n">
        <v>0</v>
      </c>
      <c r="P508" t="n">
        <v>0</v>
      </c>
      <c r="Q508" t="n">
        <v>0</v>
      </c>
      <c r="R508" s="2" t="inlineStr"/>
    </row>
    <row r="509" ht="15" customHeight="1">
      <c r="A509" t="inlineStr">
        <is>
          <t>A 73412-2021</t>
        </is>
      </c>
      <c r="B509" s="1" t="n">
        <v>44551</v>
      </c>
      <c r="C509" s="1" t="n">
        <v>46049</v>
      </c>
      <c r="D509" t="inlineStr">
        <is>
          <t>SÖDERMANLANDS LÄN</t>
        </is>
      </c>
      <c r="E509" t="inlineStr">
        <is>
          <t>KATRINEHOLM</t>
        </is>
      </c>
      <c r="G509" t="n">
        <v>2</v>
      </c>
      <c r="H509" t="n">
        <v>0</v>
      </c>
      <c r="I509" t="n">
        <v>0</v>
      </c>
      <c r="J509" t="n">
        <v>0</v>
      </c>
      <c r="K509" t="n">
        <v>0</v>
      </c>
      <c r="L509" t="n">
        <v>0</v>
      </c>
      <c r="M509" t="n">
        <v>0</v>
      </c>
      <c r="N509" t="n">
        <v>0</v>
      </c>
      <c r="O509" t="n">
        <v>0</v>
      </c>
      <c r="P509" t="n">
        <v>0</v>
      </c>
      <c r="Q509" t="n">
        <v>0</v>
      </c>
      <c r="R509" s="2" t="inlineStr"/>
    </row>
    <row r="510" ht="15" customHeight="1">
      <c r="A510" t="inlineStr">
        <is>
          <t>A 53750-2022</t>
        </is>
      </c>
      <c r="B510" s="1" t="n">
        <v>44875</v>
      </c>
      <c r="C510" s="1" t="n">
        <v>46049</v>
      </c>
      <c r="D510" t="inlineStr">
        <is>
          <t>SÖDERMANLANDS LÄN</t>
        </is>
      </c>
      <c r="E510" t="inlineStr">
        <is>
          <t>KATRINEHOLM</t>
        </is>
      </c>
      <c r="F510" t="inlineStr">
        <is>
          <t>Övriga Aktiebolag</t>
        </is>
      </c>
      <c r="G510" t="n">
        <v>12.6</v>
      </c>
      <c r="H510" t="n">
        <v>0</v>
      </c>
      <c r="I510" t="n">
        <v>0</v>
      </c>
      <c r="J510" t="n">
        <v>0</v>
      </c>
      <c r="K510" t="n">
        <v>0</v>
      </c>
      <c r="L510" t="n">
        <v>0</v>
      </c>
      <c r="M510" t="n">
        <v>0</v>
      </c>
      <c r="N510" t="n">
        <v>0</v>
      </c>
      <c r="O510" t="n">
        <v>0</v>
      </c>
      <c r="P510" t="n">
        <v>0</v>
      </c>
      <c r="Q510" t="n">
        <v>0</v>
      </c>
      <c r="R510" s="2" t="inlineStr"/>
    </row>
    <row r="511" ht="15" customHeight="1">
      <c r="A511" t="inlineStr">
        <is>
          <t>A 63947-2025</t>
        </is>
      </c>
      <c r="B511" s="1" t="n">
        <v>46010</v>
      </c>
      <c r="C511" s="1" t="n">
        <v>46049</v>
      </c>
      <c r="D511" t="inlineStr">
        <is>
          <t>SÖDERMANLANDS LÄN</t>
        </is>
      </c>
      <c r="E511" t="inlineStr">
        <is>
          <t>KATRINEHOLM</t>
        </is>
      </c>
      <c r="F511" t="inlineStr">
        <is>
          <t>Allmännings- och besparingsskogar</t>
        </is>
      </c>
      <c r="G511" t="n">
        <v>4.8</v>
      </c>
      <c r="H511" t="n">
        <v>0</v>
      </c>
      <c r="I511" t="n">
        <v>0</v>
      </c>
      <c r="J511" t="n">
        <v>0</v>
      </c>
      <c r="K511" t="n">
        <v>0</v>
      </c>
      <c r="L511" t="n">
        <v>0</v>
      </c>
      <c r="M511" t="n">
        <v>0</v>
      </c>
      <c r="N511" t="n">
        <v>0</v>
      </c>
      <c r="O511" t="n">
        <v>0</v>
      </c>
      <c r="P511" t="n">
        <v>0</v>
      </c>
      <c r="Q511" t="n">
        <v>0</v>
      </c>
      <c r="R511" s="2" t="inlineStr"/>
    </row>
    <row r="512" ht="15" customHeight="1">
      <c r="A512" t="inlineStr">
        <is>
          <t>A 63949-2025</t>
        </is>
      </c>
      <c r="B512" s="1" t="n">
        <v>46010</v>
      </c>
      <c r="C512" s="1" t="n">
        <v>46049</v>
      </c>
      <c r="D512" t="inlineStr">
        <is>
          <t>SÖDERMANLANDS LÄN</t>
        </is>
      </c>
      <c r="E512" t="inlineStr">
        <is>
          <t>KATRINEHOLM</t>
        </is>
      </c>
      <c r="F512" t="inlineStr">
        <is>
          <t>Allmännings- och besparingsskogar</t>
        </is>
      </c>
      <c r="G512" t="n">
        <v>5.1</v>
      </c>
      <c r="H512" t="n">
        <v>0</v>
      </c>
      <c r="I512" t="n">
        <v>0</v>
      </c>
      <c r="J512" t="n">
        <v>0</v>
      </c>
      <c r="K512" t="n">
        <v>0</v>
      </c>
      <c r="L512" t="n">
        <v>0</v>
      </c>
      <c r="M512" t="n">
        <v>0</v>
      </c>
      <c r="N512" t="n">
        <v>0</v>
      </c>
      <c r="O512" t="n">
        <v>0</v>
      </c>
      <c r="P512" t="n">
        <v>0</v>
      </c>
      <c r="Q512" t="n">
        <v>0</v>
      </c>
      <c r="R512" s="2" t="inlineStr"/>
    </row>
    <row r="513" ht="15" customHeight="1">
      <c r="A513" t="inlineStr">
        <is>
          <t>A 14245-2024</t>
        </is>
      </c>
      <c r="B513" s="1" t="n">
        <v>45393</v>
      </c>
      <c r="C513" s="1" t="n">
        <v>46049</v>
      </c>
      <c r="D513" t="inlineStr">
        <is>
          <t>SÖDERMANLANDS LÄN</t>
        </is>
      </c>
      <c r="E513" t="inlineStr">
        <is>
          <t>KATRINEHOLM</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63948-2025</t>
        </is>
      </c>
      <c r="B514" s="1" t="n">
        <v>46010</v>
      </c>
      <c r="C514" s="1" t="n">
        <v>46049</v>
      </c>
      <c r="D514" t="inlineStr">
        <is>
          <t>SÖDERMANLANDS LÄN</t>
        </is>
      </c>
      <c r="E514" t="inlineStr">
        <is>
          <t>KATRINEHOLM</t>
        </is>
      </c>
      <c r="F514" t="inlineStr">
        <is>
          <t>Allmännings- och besparingsskogar</t>
        </is>
      </c>
      <c r="G514" t="n">
        <v>4.9</v>
      </c>
      <c r="H514" t="n">
        <v>0</v>
      </c>
      <c r="I514" t="n">
        <v>0</v>
      </c>
      <c r="J514" t="n">
        <v>0</v>
      </c>
      <c r="K514" t="n">
        <v>0</v>
      </c>
      <c r="L514" t="n">
        <v>0</v>
      </c>
      <c r="M514" t="n">
        <v>0</v>
      </c>
      <c r="N514" t="n">
        <v>0</v>
      </c>
      <c r="O514" t="n">
        <v>0</v>
      </c>
      <c r="P514" t="n">
        <v>0</v>
      </c>
      <c r="Q514" t="n">
        <v>0</v>
      </c>
      <c r="R514" s="2" t="inlineStr"/>
    </row>
    <row r="515" ht="15" customHeight="1">
      <c r="A515" t="inlineStr">
        <is>
          <t>A 11104-2023</t>
        </is>
      </c>
      <c r="B515" s="1" t="n">
        <v>44992</v>
      </c>
      <c r="C515" s="1" t="n">
        <v>46049</v>
      </c>
      <c r="D515" t="inlineStr">
        <is>
          <t>SÖDERMANLANDS LÄN</t>
        </is>
      </c>
      <c r="E515" t="inlineStr">
        <is>
          <t>KATRINEHOLM</t>
        </is>
      </c>
      <c r="F515" t="inlineStr">
        <is>
          <t>Allmännings- och besparingsskogar</t>
        </is>
      </c>
      <c r="G515" t="n">
        <v>7.8</v>
      </c>
      <c r="H515" t="n">
        <v>0</v>
      </c>
      <c r="I515" t="n">
        <v>0</v>
      </c>
      <c r="J515" t="n">
        <v>0</v>
      </c>
      <c r="K515" t="n">
        <v>0</v>
      </c>
      <c r="L515" t="n">
        <v>0</v>
      </c>
      <c r="M515" t="n">
        <v>0</v>
      </c>
      <c r="N515" t="n">
        <v>0</v>
      </c>
      <c r="O515" t="n">
        <v>0</v>
      </c>
      <c r="P515" t="n">
        <v>0</v>
      </c>
      <c r="Q515" t="n">
        <v>0</v>
      </c>
      <c r="R515" s="2" t="inlineStr"/>
    </row>
    <row r="516" ht="15" customHeight="1">
      <c r="A516" t="inlineStr">
        <is>
          <t>A 63945-2025</t>
        </is>
      </c>
      <c r="B516" s="1" t="n">
        <v>46010</v>
      </c>
      <c r="C516" s="1" t="n">
        <v>46049</v>
      </c>
      <c r="D516" t="inlineStr">
        <is>
          <t>SÖDERMANLANDS LÄN</t>
        </is>
      </c>
      <c r="E516" t="inlineStr">
        <is>
          <t>KATRINEHOLM</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4387-2024</t>
        </is>
      </c>
      <c r="B517" s="1" t="n">
        <v>45327.35068287037</v>
      </c>
      <c r="C517" s="1" t="n">
        <v>46049</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4872-2024</t>
        </is>
      </c>
      <c r="B518" s="1" t="n">
        <v>45329</v>
      </c>
      <c r="C518" s="1" t="n">
        <v>46049</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57323-2025</t>
        </is>
      </c>
      <c r="B519" s="1" t="n">
        <v>45980.32501157407</v>
      </c>
      <c r="C519" s="1" t="n">
        <v>46049</v>
      </c>
      <c r="D519" t="inlineStr">
        <is>
          <t>SÖDERMANLANDS LÄN</t>
        </is>
      </c>
      <c r="E519" t="inlineStr">
        <is>
          <t>KATRINEHOLM</t>
        </is>
      </c>
      <c r="F519" t="inlineStr">
        <is>
          <t>Övriga Aktiebolag</t>
        </is>
      </c>
      <c r="G519" t="n">
        <v>1.1</v>
      </c>
      <c r="H519" t="n">
        <v>0</v>
      </c>
      <c r="I519" t="n">
        <v>0</v>
      </c>
      <c r="J519" t="n">
        <v>0</v>
      </c>
      <c r="K519" t="n">
        <v>0</v>
      </c>
      <c r="L519" t="n">
        <v>0</v>
      </c>
      <c r="M519" t="n">
        <v>0</v>
      </c>
      <c r="N519" t="n">
        <v>0</v>
      </c>
      <c r="O519" t="n">
        <v>0</v>
      </c>
      <c r="P519" t="n">
        <v>0</v>
      </c>
      <c r="Q519" t="n">
        <v>0</v>
      </c>
      <c r="R519" s="2" t="inlineStr"/>
    </row>
    <row r="520" ht="15" customHeight="1">
      <c r="A520" t="inlineStr">
        <is>
          <t>A 29702-2021</t>
        </is>
      </c>
      <c r="B520" s="1" t="n">
        <v>44362</v>
      </c>
      <c r="C520" s="1" t="n">
        <v>46049</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3986-2024</t>
        </is>
      </c>
      <c r="B521" s="1" t="n">
        <v>45322</v>
      </c>
      <c r="C521" s="1" t="n">
        <v>46049</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10996-2022</t>
        </is>
      </c>
      <c r="B522" s="1" t="n">
        <v>44628</v>
      </c>
      <c r="C522" s="1" t="n">
        <v>46049</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42451-2023</t>
        </is>
      </c>
      <c r="B523" s="1" t="n">
        <v>45180</v>
      </c>
      <c r="C523" s="1" t="n">
        <v>46049</v>
      </c>
      <c r="D523" t="inlineStr">
        <is>
          <t>SÖDERMANLANDS LÄN</t>
        </is>
      </c>
      <c r="E523" t="inlineStr">
        <is>
          <t>KATRINEHOLM</t>
        </is>
      </c>
      <c r="G523" t="n">
        <v>3.8</v>
      </c>
      <c r="H523" t="n">
        <v>0</v>
      </c>
      <c r="I523" t="n">
        <v>0</v>
      </c>
      <c r="J523" t="n">
        <v>0</v>
      </c>
      <c r="K523" t="n">
        <v>0</v>
      </c>
      <c r="L523" t="n">
        <v>0</v>
      </c>
      <c r="M523" t="n">
        <v>0</v>
      </c>
      <c r="N523" t="n">
        <v>0</v>
      </c>
      <c r="O523" t="n">
        <v>0</v>
      </c>
      <c r="P523" t="n">
        <v>0</v>
      </c>
      <c r="Q523" t="n">
        <v>0</v>
      </c>
      <c r="R523" s="2" t="inlineStr"/>
    </row>
    <row r="524" ht="15" customHeight="1">
      <c r="A524" t="inlineStr">
        <is>
          <t>A 13113-2023</t>
        </is>
      </c>
      <c r="B524" s="1" t="n">
        <v>45002</v>
      </c>
      <c r="C524" s="1" t="n">
        <v>46049</v>
      </c>
      <c r="D524" t="inlineStr">
        <is>
          <t>SÖDERMANLANDS LÄN</t>
        </is>
      </c>
      <c r="E524" t="inlineStr">
        <is>
          <t>KATRINEHOLM</t>
        </is>
      </c>
      <c r="F524" t="inlineStr">
        <is>
          <t>Allmännings- och besparingsskogar</t>
        </is>
      </c>
      <c r="G524" t="n">
        <v>3.6</v>
      </c>
      <c r="H524" t="n">
        <v>0</v>
      </c>
      <c r="I524" t="n">
        <v>0</v>
      </c>
      <c r="J524" t="n">
        <v>0</v>
      </c>
      <c r="K524" t="n">
        <v>0</v>
      </c>
      <c r="L524" t="n">
        <v>0</v>
      </c>
      <c r="M524" t="n">
        <v>0</v>
      </c>
      <c r="N524" t="n">
        <v>0</v>
      </c>
      <c r="O524" t="n">
        <v>0</v>
      </c>
      <c r="P524" t="n">
        <v>0</v>
      </c>
      <c r="Q524" t="n">
        <v>0</v>
      </c>
      <c r="R524" s="2" t="inlineStr"/>
    </row>
    <row r="525" ht="15" customHeight="1">
      <c r="A525" t="inlineStr">
        <is>
          <t>A 6606-2022</t>
        </is>
      </c>
      <c r="B525" s="1" t="n">
        <v>44601</v>
      </c>
      <c r="C525" s="1" t="n">
        <v>46049</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27646-2023</t>
        </is>
      </c>
      <c r="B526" s="1" t="n">
        <v>45097</v>
      </c>
      <c r="C526" s="1" t="n">
        <v>46049</v>
      </c>
      <c r="D526" t="inlineStr">
        <is>
          <t>SÖDERMANLANDS LÄN</t>
        </is>
      </c>
      <c r="E526" t="inlineStr">
        <is>
          <t>KATRINEHOLM</t>
        </is>
      </c>
      <c r="G526" t="n">
        <v>2.4</v>
      </c>
      <c r="H526" t="n">
        <v>0</v>
      </c>
      <c r="I526" t="n">
        <v>0</v>
      </c>
      <c r="J526" t="n">
        <v>0</v>
      </c>
      <c r="K526" t="n">
        <v>0</v>
      </c>
      <c r="L526" t="n">
        <v>0</v>
      </c>
      <c r="M526" t="n">
        <v>0</v>
      </c>
      <c r="N526" t="n">
        <v>0</v>
      </c>
      <c r="O526" t="n">
        <v>0</v>
      </c>
      <c r="P526" t="n">
        <v>0</v>
      </c>
      <c r="Q526" t="n">
        <v>0</v>
      </c>
      <c r="R526" s="2" t="inlineStr"/>
    </row>
    <row r="527" ht="15" customHeight="1">
      <c r="A527" t="inlineStr">
        <is>
          <t>A 15235-2023</t>
        </is>
      </c>
      <c r="B527" s="1" t="n">
        <v>45019</v>
      </c>
      <c r="C527" s="1" t="n">
        <v>46049</v>
      </c>
      <c r="D527" t="inlineStr">
        <is>
          <t>SÖDERMANLANDS LÄN</t>
        </is>
      </c>
      <c r="E527" t="inlineStr">
        <is>
          <t>KATRINEHOLM</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57975-2025</t>
        </is>
      </c>
      <c r="B528" s="1" t="n">
        <v>45981</v>
      </c>
      <c r="C528" s="1" t="n">
        <v>46049</v>
      </c>
      <c r="D528" t="inlineStr">
        <is>
          <t>SÖDERMANLANDS LÄN</t>
        </is>
      </c>
      <c r="E528" t="inlineStr">
        <is>
          <t>KATRINEHOLM</t>
        </is>
      </c>
      <c r="G528" t="n">
        <v>3.1</v>
      </c>
      <c r="H528" t="n">
        <v>0</v>
      </c>
      <c r="I528" t="n">
        <v>0</v>
      </c>
      <c r="J528" t="n">
        <v>0</v>
      </c>
      <c r="K528" t="n">
        <v>0</v>
      </c>
      <c r="L528" t="n">
        <v>0</v>
      </c>
      <c r="M528" t="n">
        <v>0</v>
      </c>
      <c r="N528" t="n">
        <v>0</v>
      </c>
      <c r="O528" t="n">
        <v>0</v>
      </c>
      <c r="P528" t="n">
        <v>0</v>
      </c>
      <c r="Q528" t="n">
        <v>0</v>
      </c>
      <c r="R528" s="2" t="inlineStr"/>
    </row>
    <row r="529" ht="15" customHeight="1">
      <c r="A529" t="inlineStr">
        <is>
          <t>A 25433-2024</t>
        </is>
      </c>
      <c r="B529" s="1" t="n">
        <v>45463</v>
      </c>
      <c r="C529" s="1" t="n">
        <v>46049</v>
      </c>
      <c r="D529" t="inlineStr">
        <is>
          <t>SÖDERMANLANDS LÄN</t>
        </is>
      </c>
      <c r="E529" t="inlineStr">
        <is>
          <t>KATRINEHOLM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46049</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14224-2024</t>
        </is>
      </c>
      <c r="B531" s="1" t="n">
        <v>45393</v>
      </c>
      <c r="C531" s="1" t="n">
        <v>46049</v>
      </c>
      <c r="D531" t="inlineStr">
        <is>
          <t>SÖDERMANLANDS LÄN</t>
        </is>
      </c>
      <c r="E531" t="inlineStr">
        <is>
          <t>KATRINEHOLM</t>
        </is>
      </c>
      <c r="F531" t="inlineStr">
        <is>
          <t>Sveaskog</t>
        </is>
      </c>
      <c r="G531" t="n">
        <v>7.6</v>
      </c>
      <c r="H531" t="n">
        <v>0</v>
      </c>
      <c r="I531" t="n">
        <v>0</v>
      </c>
      <c r="J531" t="n">
        <v>0</v>
      </c>
      <c r="K531" t="n">
        <v>0</v>
      </c>
      <c r="L531" t="n">
        <v>0</v>
      </c>
      <c r="M531" t="n">
        <v>0</v>
      </c>
      <c r="N531" t="n">
        <v>0</v>
      </c>
      <c r="O531" t="n">
        <v>0</v>
      </c>
      <c r="P531" t="n">
        <v>0</v>
      </c>
      <c r="Q531" t="n">
        <v>0</v>
      </c>
      <c r="R531" s="2" t="inlineStr"/>
    </row>
    <row r="532" ht="15" customHeight="1">
      <c r="A532" t="inlineStr">
        <is>
          <t>A 23341-2023</t>
        </is>
      </c>
      <c r="B532" s="1" t="n">
        <v>45076</v>
      </c>
      <c r="C532" s="1" t="n">
        <v>46049</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36366-2023</t>
        </is>
      </c>
      <c r="B533" s="1" t="n">
        <v>45152</v>
      </c>
      <c r="C533" s="1" t="n">
        <v>46049</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36021-2023</t>
        </is>
      </c>
      <c r="B534" s="1" t="n">
        <v>45148</v>
      </c>
      <c r="C534" s="1" t="n">
        <v>46049</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28597-2024</t>
        </is>
      </c>
      <c r="B535" s="1" t="n">
        <v>45478</v>
      </c>
      <c r="C535" s="1" t="n">
        <v>46049</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1106-2026</t>
        </is>
      </c>
      <c r="B536" s="1" t="n">
        <v>46030.67123842592</v>
      </c>
      <c r="C536" s="1" t="n">
        <v>46049</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1114-2026</t>
        </is>
      </c>
      <c r="B537" s="1" t="n">
        <v>46030.684375</v>
      </c>
      <c r="C537" s="1" t="n">
        <v>46049</v>
      </c>
      <c r="D537" t="inlineStr">
        <is>
          <t>SÖDERMANLANDS LÄN</t>
        </is>
      </c>
      <c r="E537" t="inlineStr">
        <is>
          <t>KATRINEHOLM</t>
        </is>
      </c>
      <c r="G537" t="n">
        <v>0.9</v>
      </c>
      <c r="H537" t="n">
        <v>0</v>
      </c>
      <c r="I537" t="n">
        <v>0</v>
      </c>
      <c r="J537" t="n">
        <v>0</v>
      </c>
      <c r="K537" t="n">
        <v>0</v>
      </c>
      <c r="L537" t="n">
        <v>0</v>
      </c>
      <c r="M537" t="n">
        <v>0</v>
      </c>
      <c r="N537" t="n">
        <v>0</v>
      </c>
      <c r="O537" t="n">
        <v>0</v>
      </c>
      <c r="P537" t="n">
        <v>0</v>
      </c>
      <c r="Q537" t="n">
        <v>0</v>
      </c>
      <c r="R537" s="2" t="inlineStr"/>
    </row>
    <row r="538" ht="15" customHeight="1">
      <c r="A538" t="inlineStr">
        <is>
          <t>A 1098-2026</t>
        </is>
      </c>
      <c r="B538" s="1" t="n">
        <v>46030.66519675926</v>
      </c>
      <c r="C538" s="1" t="n">
        <v>46049</v>
      </c>
      <c r="D538" t="inlineStr">
        <is>
          <t>SÖDERMANLANDS LÄN</t>
        </is>
      </c>
      <c r="E538" t="inlineStr">
        <is>
          <t>KATRINEHOLM</t>
        </is>
      </c>
      <c r="G538" t="n">
        <v>3.4</v>
      </c>
      <c r="H538" t="n">
        <v>0</v>
      </c>
      <c r="I538" t="n">
        <v>0</v>
      </c>
      <c r="J538" t="n">
        <v>0</v>
      </c>
      <c r="K538" t="n">
        <v>0</v>
      </c>
      <c r="L538" t="n">
        <v>0</v>
      </c>
      <c r="M538" t="n">
        <v>0</v>
      </c>
      <c r="N538" t="n">
        <v>0</v>
      </c>
      <c r="O538" t="n">
        <v>0</v>
      </c>
      <c r="P538" t="n">
        <v>0</v>
      </c>
      <c r="Q538" t="n">
        <v>0</v>
      </c>
      <c r="R538" s="2" t="inlineStr"/>
    </row>
    <row r="539" ht="15" customHeight="1">
      <c r="A539" t="inlineStr">
        <is>
          <t>A 1112-2026</t>
        </is>
      </c>
      <c r="B539" s="1" t="n">
        <v>46030.68107638889</v>
      </c>
      <c r="C539" s="1" t="n">
        <v>46049</v>
      </c>
      <c r="D539" t="inlineStr">
        <is>
          <t>SÖDERMANLANDS LÄN</t>
        </is>
      </c>
      <c r="E539" t="inlineStr">
        <is>
          <t>KATRINEHOLM</t>
        </is>
      </c>
      <c r="G539" t="n">
        <v>3.2</v>
      </c>
      <c r="H539" t="n">
        <v>0</v>
      </c>
      <c r="I539" t="n">
        <v>0</v>
      </c>
      <c r="J539" t="n">
        <v>0</v>
      </c>
      <c r="K539" t="n">
        <v>0</v>
      </c>
      <c r="L539" t="n">
        <v>0</v>
      </c>
      <c r="M539" t="n">
        <v>0</v>
      </c>
      <c r="N539" t="n">
        <v>0</v>
      </c>
      <c r="O539" t="n">
        <v>0</v>
      </c>
      <c r="P539" t="n">
        <v>0</v>
      </c>
      <c r="Q539" t="n">
        <v>0</v>
      </c>
      <c r="R539" s="2" t="inlineStr"/>
    </row>
    <row r="540" ht="15" customHeight="1">
      <c r="A540" t="inlineStr">
        <is>
          <t>A 29198-2023</t>
        </is>
      </c>
      <c r="B540" s="1" t="n">
        <v>45105</v>
      </c>
      <c r="C540" s="1" t="n">
        <v>46049</v>
      </c>
      <c r="D540" t="inlineStr">
        <is>
          <t>SÖDERMANLANDS LÄN</t>
        </is>
      </c>
      <c r="E540" t="inlineStr">
        <is>
          <t>KATRINEHOLM</t>
        </is>
      </c>
      <c r="F540" t="inlineStr">
        <is>
          <t>Övriga Aktiebolag</t>
        </is>
      </c>
      <c r="G540" t="n">
        <v>1</v>
      </c>
      <c r="H540" t="n">
        <v>0</v>
      </c>
      <c r="I540" t="n">
        <v>0</v>
      </c>
      <c r="J540" t="n">
        <v>0</v>
      </c>
      <c r="K540" t="n">
        <v>0</v>
      </c>
      <c r="L540" t="n">
        <v>0</v>
      </c>
      <c r="M540" t="n">
        <v>0</v>
      </c>
      <c r="N540" t="n">
        <v>0</v>
      </c>
      <c r="O540" t="n">
        <v>0</v>
      </c>
      <c r="P540" t="n">
        <v>0</v>
      </c>
      <c r="Q540" t="n">
        <v>0</v>
      </c>
      <c r="R540" s="2" t="inlineStr"/>
    </row>
    <row r="541" ht="15" customHeight="1">
      <c r="A541" t="inlineStr">
        <is>
          <t>A 9992-2022</t>
        </is>
      </c>
      <c r="B541" s="1" t="n">
        <v>44621</v>
      </c>
      <c r="C541" s="1" t="n">
        <v>46049</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41267-2023</t>
        </is>
      </c>
      <c r="B542" s="1" t="n">
        <v>45174</v>
      </c>
      <c r="C542" s="1" t="n">
        <v>46049</v>
      </c>
      <c r="D542" t="inlineStr">
        <is>
          <t>SÖDERMANLANDS LÄN</t>
        </is>
      </c>
      <c r="E542" t="inlineStr">
        <is>
          <t>KATRINEHOLM</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4650-2024</t>
        </is>
      </c>
      <c r="B543" s="1" t="n">
        <v>45328</v>
      </c>
      <c r="C543" s="1" t="n">
        <v>46049</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4652-2024</t>
        </is>
      </c>
      <c r="B544" s="1" t="n">
        <v>45328</v>
      </c>
      <c r="C544" s="1" t="n">
        <v>46049</v>
      </c>
      <c r="D544" t="inlineStr">
        <is>
          <t>SÖDERMANLANDS LÄN</t>
        </is>
      </c>
      <c r="E544" t="inlineStr">
        <is>
          <t>KATRINEHOLM</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29008-2024</t>
        </is>
      </c>
      <c r="B545" s="1" t="n">
        <v>45481</v>
      </c>
      <c r="C545" s="1" t="n">
        <v>46049</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9936-2023</t>
        </is>
      </c>
      <c r="B546" s="1" t="n">
        <v>44985.47086805556</v>
      </c>
      <c r="C546" s="1" t="n">
        <v>46049</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4645-2024</t>
        </is>
      </c>
      <c r="B547" s="1" t="n">
        <v>45328</v>
      </c>
      <c r="C547" s="1" t="n">
        <v>46049</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36001-2024</t>
        </is>
      </c>
      <c r="B548" s="1" t="n">
        <v>45533.54609953704</v>
      </c>
      <c r="C548" s="1" t="n">
        <v>46049</v>
      </c>
      <c r="D548" t="inlineStr">
        <is>
          <t>SÖDERMANLANDS LÄN</t>
        </is>
      </c>
      <c r="E548" t="inlineStr">
        <is>
          <t>KATRINEHOLM</t>
        </is>
      </c>
      <c r="G548" t="n">
        <v>1</v>
      </c>
      <c r="H548" t="n">
        <v>0</v>
      </c>
      <c r="I548" t="n">
        <v>0</v>
      </c>
      <c r="J548" t="n">
        <v>0</v>
      </c>
      <c r="K548" t="n">
        <v>0</v>
      </c>
      <c r="L548" t="n">
        <v>0</v>
      </c>
      <c r="M548" t="n">
        <v>0</v>
      </c>
      <c r="N548" t="n">
        <v>0</v>
      </c>
      <c r="O548" t="n">
        <v>0</v>
      </c>
      <c r="P548" t="n">
        <v>0</v>
      </c>
      <c r="Q548" t="n">
        <v>0</v>
      </c>
      <c r="R548" s="2" t="inlineStr"/>
    </row>
    <row r="549" ht="15" customHeight="1">
      <c r="A549" t="inlineStr">
        <is>
          <t>A 1668-2026</t>
        </is>
      </c>
      <c r="B549" s="1" t="n">
        <v>46034.55986111111</v>
      </c>
      <c r="C549" s="1" t="n">
        <v>46049</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36832-2023</t>
        </is>
      </c>
      <c r="B550" s="1" t="n">
        <v>45153</v>
      </c>
      <c r="C550" s="1" t="n">
        <v>46049</v>
      </c>
      <c r="D550" t="inlineStr">
        <is>
          <t>SÖDERMANLANDS LÄN</t>
        </is>
      </c>
      <c r="E550" t="inlineStr">
        <is>
          <t>KATRINEHOLM</t>
        </is>
      </c>
      <c r="F550" t="inlineStr">
        <is>
          <t>Övriga Aktiebolag</t>
        </is>
      </c>
      <c r="G550" t="n">
        <v>9</v>
      </c>
      <c r="H550" t="n">
        <v>0</v>
      </c>
      <c r="I550" t="n">
        <v>0</v>
      </c>
      <c r="J550" t="n">
        <v>0</v>
      </c>
      <c r="K550" t="n">
        <v>0</v>
      </c>
      <c r="L550" t="n">
        <v>0</v>
      </c>
      <c r="M550" t="n">
        <v>0</v>
      </c>
      <c r="N550" t="n">
        <v>0</v>
      </c>
      <c r="O550" t="n">
        <v>0</v>
      </c>
      <c r="P550" t="n">
        <v>0</v>
      </c>
      <c r="Q550" t="n">
        <v>0</v>
      </c>
      <c r="R550" s="2" t="inlineStr"/>
    </row>
    <row r="551" ht="15" customHeight="1">
      <c r="A551" t="inlineStr">
        <is>
          <t>A 28931-2024</t>
        </is>
      </c>
      <c r="B551" s="1" t="n">
        <v>45479</v>
      </c>
      <c r="C551" s="1" t="n">
        <v>46049</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6810-2023</t>
        </is>
      </c>
      <c r="B552" s="1" t="n">
        <v>44964</v>
      </c>
      <c r="C552" s="1" t="n">
        <v>46049</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32944-2023</t>
        </is>
      </c>
      <c r="B553" s="1" t="n">
        <v>45125</v>
      </c>
      <c r="C553" s="1" t="n">
        <v>46049</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29977-2023</t>
        </is>
      </c>
      <c r="B554" s="1" t="n">
        <v>45108</v>
      </c>
      <c r="C554" s="1" t="n">
        <v>46049</v>
      </c>
      <c r="D554" t="inlineStr">
        <is>
          <t>SÖDERMANLANDS LÄN</t>
        </is>
      </c>
      <c r="E554" t="inlineStr">
        <is>
          <t>KATRINEHOLM</t>
        </is>
      </c>
      <c r="G554" t="n">
        <v>2.4</v>
      </c>
      <c r="H554" t="n">
        <v>0</v>
      </c>
      <c r="I554" t="n">
        <v>0</v>
      </c>
      <c r="J554" t="n">
        <v>0</v>
      </c>
      <c r="K554" t="n">
        <v>0</v>
      </c>
      <c r="L554" t="n">
        <v>0</v>
      </c>
      <c r="M554" t="n">
        <v>0</v>
      </c>
      <c r="N554" t="n">
        <v>0</v>
      </c>
      <c r="O554" t="n">
        <v>0</v>
      </c>
      <c r="P554" t="n">
        <v>0</v>
      </c>
      <c r="Q554" t="n">
        <v>0</v>
      </c>
      <c r="R554" s="2" t="inlineStr"/>
    </row>
    <row r="555" ht="15" customHeight="1">
      <c r="A555" t="inlineStr">
        <is>
          <t>A 5788-2022</t>
        </is>
      </c>
      <c r="B555" s="1" t="n">
        <v>44596.54990740741</v>
      </c>
      <c r="C555" s="1" t="n">
        <v>46049</v>
      </c>
      <c r="D555" t="inlineStr">
        <is>
          <t>SÖDERMANLANDS LÄN</t>
        </is>
      </c>
      <c r="E555" t="inlineStr">
        <is>
          <t>KATRINEHOLM</t>
        </is>
      </c>
      <c r="G555" t="n">
        <v>4.1</v>
      </c>
      <c r="H555" t="n">
        <v>0</v>
      </c>
      <c r="I555" t="n">
        <v>0</v>
      </c>
      <c r="J555" t="n">
        <v>0</v>
      </c>
      <c r="K555" t="n">
        <v>0</v>
      </c>
      <c r="L555" t="n">
        <v>0</v>
      </c>
      <c r="M555" t="n">
        <v>0</v>
      </c>
      <c r="N555" t="n">
        <v>0</v>
      </c>
      <c r="O555" t="n">
        <v>0</v>
      </c>
      <c r="P555" t="n">
        <v>0</v>
      </c>
      <c r="Q555" t="n">
        <v>0</v>
      </c>
      <c r="R555" s="2" t="inlineStr"/>
    </row>
    <row r="556" ht="15" customHeight="1">
      <c r="A556" t="inlineStr">
        <is>
          <t>A 20803-2024</t>
        </is>
      </c>
      <c r="B556" s="1" t="n">
        <v>45438</v>
      </c>
      <c r="C556" s="1" t="n">
        <v>46049</v>
      </c>
      <c r="D556" t="inlineStr">
        <is>
          <t>SÖDERMANLANDS LÄN</t>
        </is>
      </c>
      <c r="E556" t="inlineStr">
        <is>
          <t>KATRINEHOLM</t>
        </is>
      </c>
      <c r="G556" t="n">
        <v>1.5</v>
      </c>
      <c r="H556" t="n">
        <v>0</v>
      </c>
      <c r="I556" t="n">
        <v>0</v>
      </c>
      <c r="J556" t="n">
        <v>0</v>
      </c>
      <c r="K556" t="n">
        <v>0</v>
      </c>
      <c r="L556" t="n">
        <v>0</v>
      </c>
      <c r="M556" t="n">
        <v>0</v>
      </c>
      <c r="N556" t="n">
        <v>0</v>
      </c>
      <c r="O556" t="n">
        <v>0</v>
      </c>
      <c r="P556" t="n">
        <v>0</v>
      </c>
      <c r="Q556" t="n">
        <v>0</v>
      </c>
      <c r="R556" s="2" t="inlineStr"/>
    </row>
    <row r="557" ht="15" customHeight="1">
      <c r="A557" t="inlineStr">
        <is>
          <t>A 5795-2022</t>
        </is>
      </c>
      <c r="B557" s="1" t="n">
        <v>44596</v>
      </c>
      <c r="C557" s="1" t="n">
        <v>46049</v>
      </c>
      <c r="D557" t="inlineStr">
        <is>
          <t>SÖDERMANLANDS LÄN</t>
        </is>
      </c>
      <c r="E557" t="inlineStr">
        <is>
          <t>KATRINEHOLM</t>
        </is>
      </c>
      <c r="G557" t="n">
        <v>8.1</v>
      </c>
      <c r="H557" t="n">
        <v>0</v>
      </c>
      <c r="I557" t="n">
        <v>0</v>
      </c>
      <c r="J557" t="n">
        <v>0</v>
      </c>
      <c r="K557" t="n">
        <v>0</v>
      </c>
      <c r="L557" t="n">
        <v>0</v>
      </c>
      <c r="M557" t="n">
        <v>0</v>
      </c>
      <c r="N557" t="n">
        <v>0</v>
      </c>
      <c r="O557" t="n">
        <v>0</v>
      </c>
      <c r="P557" t="n">
        <v>0</v>
      </c>
      <c r="Q557" t="n">
        <v>0</v>
      </c>
      <c r="R557" s="2" t="inlineStr"/>
    </row>
    <row r="558" ht="15" customHeight="1">
      <c r="A558" t="inlineStr">
        <is>
          <t>A 3075-2022</t>
        </is>
      </c>
      <c r="B558" s="1" t="n">
        <v>44582</v>
      </c>
      <c r="C558" s="1" t="n">
        <v>46049</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59967-2025</t>
        </is>
      </c>
      <c r="B559" s="1" t="n">
        <v>45993.48525462963</v>
      </c>
      <c r="C559" s="1" t="n">
        <v>46049</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73409-2021</t>
        </is>
      </c>
      <c r="B560" s="1" t="n">
        <v>44551</v>
      </c>
      <c r="C560" s="1" t="n">
        <v>46049</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73415-2021</t>
        </is>
      </c>
      <c r="B561" s="1" t="n">
        <v>44551</v>
      </c>
      <c r="C561" s="1" t="n">
        <v>46049</v>
      </c>
      <c r="D561" t="inlineStr">
        <is>
          <t>SÖDERMANLANDS LÄN</t>
        </is>
      </c>
      <c r="E561" t="inlineStr">
        <is>
          <t>KATRINEHOLM</t>
        </is>
      </c>
      <c r="G561" t="n">
        <v>3.2</v>
      </c>
      <c r="H561" t="n">
        <v>0</v>
      </c>
      <c r="I561" t="n">
        <v>0</v>
      </c>
      <c r="J561" t="n">
        <v>0</v>
      </c>
      <c r="K561" t="n">
        <v>0</v>
      </c>
      <c r="L561" t="n">
        <v>0</v>
      </c>
      <c r="M561" t="n">
        <v>0</v>
      </c>
      <c r="N561" t="n">
        <v>0</v>
      </c>
      <c r="O561" t="n">
        <v>0</v>
      </c>
      <c r="P561" t="n">
        <v>0</v>
      </c>
      <c r="Q561" t="n">
        <v>0</v>
      </c>
      <c r="R561" s="2" t="inlineStr"/>
    </row>
    <row r="562" ht="15" customHeight="1">
      <c r="A562" t="inlineStr">
        <is>
          <t>A 8087-2022</t>
        </is>
      </c>
      <c r="B562" s="1" t="n">
        <v>44609.53502314815</v>
      </c>
      <c r="C562" s="1" t="n">
        <v>46049</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60678-2025</t>
        </is>
      </c>
      <c r="B563" s="1" t="n">
        <v>45996.56251157408</v>
      </c>
      <c r="C563" s="1" t="n">
        <v>46049</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50935-2023</t>
        </is>
      </c>
      <c r="B564" s="1" t="n">
        <v>45211</v>
      </c>
      <c r="C564" s="1" t="n">
        <v>46049</v>
      </c>
      <c r="D564" t="inlineStr">
        <is>
          <t>SÖDERMANLANDS LÄN</t>
        </is>
      </c>
      <c r="E564" t="inlineStr">
        <is>
          <t>KATRINEHOLM</t>
        </is>
      </c>
      <c r="G564" t="n">
        <v>0.7</v>
      </c>
      <c r="H564" t="n">
        <v>0</v>
      </c>
      <c r="I564" t="n">
        <v>0</v>
      </c>
      <c r="J564" t="n">
        <v>0</v>
      </c>
      <c r="K564" t="n">
        <v>0</v>
      </c>
      <c r="L564" t="n">
        <v>0</v>
      </c>
      <c r="M564" t="n">
        <v>0</v>
      </c>
      <c r="N564" t="n">
        <v>0</v>
      </c>
      <c r="O564" t="n">
        <v>0</v>
      </c>
      <c r="P564" t="n">
        <v>0</v>
      </c>
      <c r="Q564" t="n">
        <v>0</v>
      </c>
      <c r="R564" s="2" t="inlineStr"/>
    </row>
    <row r="565" ht="15" customHeight="1">
      <c r="A565" t="inlineStr">
        <is>
          <t>A 2672-2026</t>
        </is>
      </c>
      <c r="B565" s="1" t="n">
        <v>46037</v>
      </c>
      <c r="C565" s="1" t="n">
        <v>46049</v>
      </c>
      <c r="D565" t="inlineStr">
        <is>
          <t>SÖDERMANLANDS LÄN</t>
        </is>
      </c>
      <c r="E565" t="inlineStr">
        <is>
          <t>KATRINEHOLM</t>
        </is>
      </c>
      <c r="G565" t="n">
        <v>2.1</v>
      </c>
      <c r="H565" t="n">
        <v>0</v>
      </c>
      <c r="I565" t="n">
        <v>0</v>
      </c>
      <c r="J565" t="n">
        <v>0</v>
      </c>
      <c r="K565" t="n">
        <v>0</v>
      </c>
      <c r="L565" t="n">
        <v>0</v>
      </c>
      <c r="M565" t="n">
        <v>0</v>
      </c>
      <c r="N565" t="n">
        <v>0</v>
      </c>
      <c r="O565" t="n">
        <v>0</v>
      </c>
      <c r="P565" t="n">
        <v>0</v>
      </c>
      <c r="Q565" t="n">
        <v>0</v>
      </c>
      <c r="R565" s="2" t="inlineStr"/>
    </row>
    <row r="566" ht="15" customHeight="1">
      <c r="A566" t="inlineStr">
        <is>
          <t>A 6298-2024</t>
        </is>
      </c>
      <c r="B566" s="1" t="n">
        <v>45338.34245370371</v>
      </c>
      <c r="C566" s="1" t="n">
        <v>46049</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2473-2026</t>
        </is>
      </c>
      <c r="B567" s="1" t="n">
        <v>46037.37704861111</v>
      </c>
      <c r="C567" s="1" t="n">
        <v>46049</v>
      </c>
      <c r="D567" t="inlineStr">
        <is>
          <t>SÖDERMANLANDS LÄN</t>
        </is>
      </c>
      <c r="E567" t="inlineStr">
        <is>
          <t>KATRINEHOLM</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33001-2024</t>
        </is>
      </c>
      <c r="B568" s="1" t="n">
        <v>45517</v>
      </c>
      <c r="C568" s="1" t="n">
        <v>46049</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2913-2026</t>
        </is>
      </c>
      <c r="B569" s="1" t="n">
        <v>46038.56913194444</v>
      </c>
      <c r="C569" s="1" t="n">
        <v>46049</v>
      </c>
      <c r="D569" t="inlineStr">
        <is>
          <t>SÖDERMANLANDS LÄN</t>
        </is>
      </c>
      <c r="E569" t="inlineStr">
        <is>
          <t>KATRINEHOLM</t>
        </is>
      </c>
      <c r="F569" t="inlineStr">
        <is>
          <t>Övriga Aktiebolag</t>
        </is>
      </c>
      <c r="G569" t="n">
        <v>6.2</v>
      </c>
      <c r="H569" t="n">
        <v>0</v>
      </c>
      <c r="I569" t="n">
        <v>0</v>
      </c>
      <c r="J569" t="n">
        <v>0</v>
      </c>
      <c r="K569" t="n">
        <v>0</v>
      </c>
      <c r="L569" t="n">
        <v>0</v>
      </c>
      <c r="M569" t="n">
        <v>0</v>
      </c>
      <c r="N569" t="n">
        <v>0</v>
      </c>
      <c r="O569" t="n">
        <v>0</v>
      </c>
      <c r="P569" t="n">
        <v>0</v>
      </c>
      <c r="Q569" t="n">
        <v>0</v>
      </c>
      <c r="R569" s="2" t="inlineStr"/>
    </row>
    <row r="570" ht="15" customHeight="1">
      <c r="A570" t="inlineStr">
        <is>
          <t>A 2645-2026</t>
        </is>
      </c>
      <c r="B570" s="1" t="n">
        <v>46037.62321759259</v>
      </c>
      <c r="C570" s="1" t="n">
        <v>46049</v>
      </c>
      <c r="D570" t="inlineStr">
        <is>
          <t>SÖDERMANLANDS LÄN</t>
        </is>
      </c>
      <c r="E570" t="inlineStr">
        <is>
          <t>KATRINEHOLM</t>
        </is>
      </c>
      <c r="G570" t="n">
        <v>2.1</v>
      </c>
      <c r="H570" t="n">
        <v>0</v>
      </c>
      <c r="I570" t="n">
        <v>0</v>
      </c>
      <c r="J570" t="n">
        <v>0</v>
      </c>
      <c r="K570" t="n">
        <v>0</v>
      </c>
      <c r="L570" t="n">
        <v>0</v>
      </c>
      <c r="M570" t="n">
        <v>0</v>
      </c>
      <c r="N570" t="n">
        <v>0</v>
      </c>
      <c r="O570" t="n">
        <v>0</v>
      </c>
      <c r="P570" t="n">
        <v>0</v>
      </c>
      <c r="Q570" t="n">
        <v>0</v>
      </c>
      <c r="R570" s="2" t="inlineStr"/>
    </row>
    <row r="571" ht="15" customHeight="1">
      <c r="A571" t="inlineStr">
        <is>
          <t>A 58175-2024</t>
        </is>
      </c>
      <c r="B571" s="1" t="n">
        <v>45632.46648148148</v>
      </c>
      <c r="C571" s="1" t="n">
        <v>46049</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53715-2023</t>
        </is>
      </c>
      <c r="B572" s="1" t="n">
        <v>45230</v>
      </c>
      <c r="C572" s="1" t="n">
        <v>46049</v>
      </c>
      <c r="D572" t="inlineStr">
        <is>
          <t>SÖDERMANLANDS LÄN</t>
        </is>
      </c>
      <c r="E572" t="inlineStr">
        <is>
          <t>KATRINEHOLM</t>
        </is>
      </c>
      <c r="F572" t="inlineStr">
        <is>
          <t>Allmännings- och besparingsskogar</t>
        </is>
      </c>
      <c r="G572" t="n">
        <v>5.6</v>
      </c>
      <c r="H572" t="n">
        <v>0</v>
      </c>
      <c r="I572" t="n">
        <v>0</v>
      </c>
      <c r="J572" t="n">
        <v>0</v>
      </c>
      <c r="K572" t="n">
        <v>0</v>
      </c>
      <c r="L572" t="n">
        <v>0</v>
      </c>
      <c r="M572" t="n">
        <v>0</v>
      </c>
      <c r="N572" t="n">
        <v>0</v>
      </c>
      <c r="O572" t="n">
        <v>0</v>
      </c>
      <c r="P572" t="n">
        <v>0</v>
      </c>
      <c r="Q572" t="n">
        <v>0</v>
      </c>
      <c r="R572" s="2" t="inlineStr"/>
    </row>
    <row r="573" ht="15" customHeight="1">
      <c r="A573" t="inlineStr">
        <is>
          <t>A 61121-2025</t>
        </is>
      </c>
      <c r="B573" s="1" t="n">
        <v>46000.46746527778</v>
      </c>
      <c r="C573" s="1" t="n">
        <v>46049</v>
      </c>
      <c r="D573" t="inlineStr">
        <is>
          <t>SÖDERMANLANDS LÄN</t>
        </is>
      </c>
      <c r="E573" t="inlineStr">
        <is>
          <t>KATRINEHOLM</t>
        </is>
      </c>
      <c r="G573" t="n">
        <v>0.2</v>
      </c>
      <c r="H573" t="n">
        <v>0</v>
      </c>
      <c r="I573" t="n">
        <v>0</v>
      </c>
      <c r="J573" t="n">
        <v>0</v>
      </c>
      <c r="K573" t="n">
        <v>0</v>
      </c>
      <c r="L573" t="n">
        <v>0</v>
      </c>
      <c r="M573" t="n">
        <v>0</v>
      </c>
      <c r="N573" t="n">
        <v>0</v>
      </c>
      <c r="O573" t="n">
        <v>0</v>
      </c>
      <c r="P573" t="n">
        <v>0</v>
      </c>
      <c r="Q573" t="n">
        <v>0</v>
      </c>
      <c r="R573" s="2" t="inlineStr"/>
    </row>
    <row r="574" ht="15" customHeight="1">
      <c r="A574" t="inlineStr">
        <is>
          <t>A 61066-2025</t>
        </is>
      </c>
      <c r="B574" s="1" t="n">
        <v>46000.37695601852</v>
      </c>
      <c r="C574" s="1" t="n">
        <v>46049</v>
      </c>
      <c r="D574" t="inlineStr">
        <is>
          <t>SÖDERMANLANDS LÄN</t>
        </is>
      </c>
      <c r="E574" t="inlineStr">
        <is>
          <t>KATRINEHOLM</t>
        </is>
      </c>
      <c r="F574" t="inlineStr">
        <is>
          <t>Kyrkan</t>
        </is>
      </c>
      <c r="G574" t="n">
        <v>5</v>
      </c>
      <c r="H574" t="n">
        <v>0</v>
      </c>
      <c r="I574" t="n">
        <v>0</v>
      </c>
      <c r="J574" t="n">
        <v>0</v>
      </c>
      <c r="K574" t="n">
        <v>0</v>
      </c>
      <c r="L574" t="n">
        <v>0</v>
      </c>
      <c r="M574" t="n">
        <v>0</v>
      </c>
      <c r="N574" t="n">
        <v>0</v>
      </c>
      <c r="O574" t="n">
        <v>0</v>
      </c>
      <c r="P574" t="n">
        <v>0</v>
      </c>
      <c r="Q574" t="n">
        <v>0</v>
      </c>
      <c r="R574" s="2" t="inlineStr"/>
    </row>
    <row r="575" ht="15" customHeight="1">
      <c r="A575" t="inlineStr">
        <is>
          <t>A 23705-2023</t>
        </is>
      </c>
      <c r="B575" s="1" t="n">
        <v>45077</v>
      </c>
      <c r="C575" s="1" t="n">
        <v>46049</v>
      </c>
      <c r="D575" t="inlineStr">
        <is>
          <t>SÖDERMANLANDS LÄN</t>
        </is>
      </c>
      <c r="E575" t="inlineStr">
        <is>
          <t>KATRINEHOLM</t>
        </is>
      </c>
      <c r="F575" t="inlineStr">
        <is>
          <t>Kyrkan</t>
        </is>
      </c>
      <c r="G575" t="n">
        <v>11.9</v>
      </c>
      <c r="H575" t="n">
        <v>0</v>
      </c>
      <c r="I575" t="n">
        <v>0</v>
      </c>
      <c r="J575" t="n">
        <v>0</v>
      </c>
      <c r="K575" t="n">
        <v>0</v>
      </c>
      <c r="L575" t="n">
        <v>0</v>
      </c>
      <c r="M575" t="n">
        <v>0</v>
      </c>
      <c r="N575" t="n">
        <v>0</v>
      </c>
      <c r="O575" t="n">
        <v>0</v>
      </c>
      <c r="P575" t="n">
        <v>0</v>
      </c>
      <c r="Q575" t="n">
        <v>0</v>
      </c>
      <c r="R575" s="2" t="inlineStr"/>
    </row>
    <row r="576" ht="15" customHeight="1">
      <c r="A576" t="inlineStr">
        <is>
          <t>A 39120-2023</t>
        </is>
      </c>
      <c r="B576" s="1" t="n">
        <v>45165</v>
      </c>
      <c r="C576" s="1" t="n">
        <v>46049</v>
      </c>
      <c r="D576" t="inlineStr">
        <is>
          <t>SÖDERMANLANDS LÄN</t>
        </is>
      </c>
      <c r="E576" t="inlineStr">
        <is>
          <t>KATRINEHOLM</t>
        </is>
      </c>
      <c r="G576" t="n">
        <v>4.4</v>
      </c>
      <c r="H576" t="n">
        <v>0</v>
      </c>
      <c r="I576" t="n">
        <v>0</v>
      </c>
      <c r="J576" t="n">
        <v>0</v>
      </c>
      <c r="K576" t="n">
        <v>0</v>
      </c>
      <c r="L576" t="n">
        <v>0</v>
      </c>
      <c r="M576" t="n">
        <v>0</v>
      </c>
      <c r="N576" t="n">
        <v>0</v>
      </c>
      <c r="O576" t="n">
        <v>0</v>
      </c>
      <c r="P576" t="n">
        <v>0</v>
      </c>
      <c r="Q576" t="n">
        <v>0</v>
      </c>
      <c r="R576" s="2" t="inlineStr"/>
    </row>
    <row r="577" ht="15" customHeight="1">
      <c r="A577" t="inlineStr">
        <is>
          <t>A 51397-2023</t>
        </is>
      </c>
      <c r="B577" s="1" t="n">
        <v>45214</v>
      </c>
      <c r="C577" s="1" t="n">
        <v>46049</v>
      </c>
      <c r="D577" t="inlineStr">
        <is>
          <t>SÖDERMANLANDS LÄN</t>
        </is>
      </c>
      <c r="E577" t="inlineStr">
        <is>
          <t>KATRINEHOLM</t>
        </is>
      </c>
      <c r="G577" t="n">
        <v>4.9</v>
      </c>
      <c r="H577" t="n">
        <v>0</v>
      </c>
      <c r="I577" t="n">
        <v>0</v>
      </c>
      <c r="J577" t="n">
        <v>0</v>
      </c>
      <c r="K577" t="n">
        <v>0</v>
      </c>
      <c r="L577" t="n">
        <v>0</v>
      </c>
      <c r="M577" t="n">
        <v>0</v>
      </c>
      <c r="N577" t="n">
        <v>0</v>
      </c>
      <c r="O577" t="n">
        <v>0</v>
      </c>
      <c r="P577" t="n">
        <v>0</v>
      </c>
      <c r="Q577" t="n">
        <v>0</v>
      </c>
      <c r="R577" s="2" t="inlineStr"/>
    </row>
    <row r="578" ht="15" customHeight="1">
      <c r="A578" t="inlineStr">
        <is>
          <t>A 61721-2025</t>
        </is>
      </c>
      <c r="B578" s="1" t="n">
        <v>46002.57778935185</v>
      </c>
      <c r="C578" s="1" t="n">
        <v>46049</v>
      </c>
      <c r="D578" t="inlineStr">
        <is>
          <t>SÖDERMANLANDS LÄN</t>
        </is>
      </c>
      <c r="E578" t="inlineStr">
        <is>
          <t>KATRINEHOLM</t>
        </is>
      </c>
      <c r="G578" t="n">
        <v>4.5</v>
      </c>
      <c r="H578" t="n">
        <v>0</v>
      </c>
      <c r="I578" t="n">
        <v>0</v>
      </c>
      <c r="J578" t="n">
        <v>0</v>
      </c>
      <c r="K578" t="n">
        <v>0</v>
      </c>
      <c r="L578" t="n">
        <v>0</v>
      </c>
      <c r="M578" t="n">
        <v>0</v>
      </c>
      <c r="N578" t="n">
        <v>0</v>
      </c>
      <c r="O578" t="n">
        <v>0</v>
      </c>
      <c r="P578" t="n">
        <v>0</v>
      </c>
      <c r="Q578" t="n">
        <v>0</v>
      </c>
      <c r="R578" s="2" t="inlineStr"/>
    </row>
    <row r="579" ht="15" customHeight="1">
      <c r="A579" t="inlineStr">
        <is>
          <t>A 19452-2023</t>
        </is>
      </c>
      <c r="B579" s="1" t="n">
        <v>45050</v>
      </c>
      <c r="C579" s="1" t="n">
        <v>46049</v>
      </c>
      <c r="D579" t="inlineStr">
        <is>
          <t>SÖDERMANLANDS LÄN</t>
        </is>
      </c>
      <c r="E579" t="inlineStr">
        <is>
          <t>KATRINEHOLM</t>
        </is>
      </c>
      <c r="F579" t="inlineStr">
        <is>
          <t>Holmen skog AB</t>
        </is>
      </c>
      <c r="G579" t="n">
        <v>4.7</v>
      </c>
      <c r="H579" t="n">
        <v>0</v>
      </c>
      <c r="I579" t="n">
        <v>0</v>
      </c>
      <c r="J579" t="n">
        <v>0</v>
      </c>
      <c r="K579" t="n">
        <v>0</v>
      </c>
      <c r="L579" t="n">
        <v>0</v>
      </c>
      <c r="M579" t="n">
        <v>0</v>
      </c>
      <c r="N579" t="n">
        <v>0</v>
      </c>
      <c r="O579" t="n">
        <v>0</v>
      </c>
      <c r="P579" t="n">
        <v>0</v>
      </c>
      <c r="Q579" t="n">
        <v>0</v>
      </c>
      <c r="R579" s="2" t="inlineStr"/>
    </row>
    <row r="580" ht="15" customHeight="1">
      <c r="A580" t="inlineStr">
        <is>
          <t>A 63895-2025</t>
        </is>
      </c>
      <c r="B580" s="1" t="n">
        <v>46020</v>
      </c>
      <c r="C580" s="1" t="n">
        <v>46049</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52658-2023</t>
        </is>
      </c>
      <c r="B581" s="1" t="n">
        <v>45225</v>
      </c>
      <c r="C581" s="1" t="n">
        <v>46049</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5320-2025</t>
        </is>
      </c>
      <c r="B582" s="1" t="n">
        <v>45692</v>
      </c>
      <c r="C582" s="1" t="n">
        <v>46049</v>
      </c>
      <c r="D582" t="inlineStr">
        <is>
          <t>SÖDERMANLANDS LÄN</t>
        </is>
      </c>
      <c r="E582" t="inlineStr">
        <is>
          <t>KATRINEHOLM</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4889-2026</t>
        </is>
      </c>
      <c r="B583" s="1" t="n">
        <v>46048.66766203703</v>
      </c>
      <c r="C583" s="1" t="n">
        <v>46049</v>
      </c>
      <c r="D583" t="inlineStr">
        <is>
          <t>SÖDERMANLANDS LÄN</t>
        </is>
      </c>
      <c r="E583" t="inlineStr">
        <is>
          <t>KATRINEHOLM</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2606-2025</t>
        </is>
      </c>
      <c r="B584" s="1" t="n">
        <v>45674</v>
      </c>
      <c r="C584" s="1" t="n">
        <v>46049</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39748-2022</t>
        </is>
      </c>
      <c r="B585" s="1" t="n">
        <v>44817</v>
      </c>
      <c r="C585" s="1" t="n">
        <v>46049</v>
      </c>
      <c r="D585" t="inlineStr">
        <is>
          <t>SÖDERMANLANDS LÄN</t>
        </is>
      </c>
      <c r="E585" t="inlineStr">
        <is>
          <t>KATRINEHOLM</t>
        </is>
      </c>
      <c r="G585" t="n">
        <v>10.2</v>
      </c>
      <c r="H585" t="n">
        <v>0</v>
      </c>
      <c r="I585" t="n">
        <v>0</v>
      </c>
      <c r="J585" t="n">
        <v>0</v>
      </c>
      <c r="K585" t="n">
        <v>0</v>
      </c>
      <c r="L585" t="n">
        <v>0</v>
      </c>
      <c r="M585" t="n">
        <v>0</v>
      </c>
      <c r="N585" t="n">
        <v>0</v>
      </c>
      <c r="O585" t="n">
        <v>0</v>
      </c>
      <c r="P585" t="n">
        <v>0</v>
      </c>
      <c r="Q585" t="n">
        <v>0</v>
      </c>
      <c r="R585" s="2" t="inlineStr"/>
    </row>
    <row r="586" ht="15" customHeight="1">
      <c r="A586" t="inlineStr">
        <is>
          <t>A 34731-2023</t>
        </is>
      </c>
      <c r="B586" s="1" t="n">
        <v>45141</v>
      </c>
      <c r="C586" s="1" t="n">
        <v>46049</v>
      </c>
      <c r="D586" t="inlineStr">
        <is>
          <t>SÖDERMANLANDS LÄN</t>
        </is>
      </c>
      <c r="E586" t="inlineStr">
        <is>
          <t>KATRINEHOLM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34739-2023</t>
        </is>
      </c>
      <c r="B587" s="1" t="n">
        <v>45141</v>
      </c>
      <c r="C587" s="1" t="n">
        <v>46049</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20480-2022</t>
        </is>
      </c>
      <c r="B588" s="1" t="n">
        <v>44699</v>
      </c>
      <c r="C588" s="1" t="n">
        <v>46049</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50017-2023</t>
        </is>
      </c>
      <c r="B589" s="1" t="n">
        <v>45215</v>
      </c>
      <c r="C589" s="1" t="n">
        <v>46049</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50018-2023</t>
        </is>
      </c>
      <c r="B590" s="1" t="n">
        <v>45215</v>
      </c>
      <c r="C590" s="1" t="n">
        <v>46049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28508-2023</t>
        </is>
      </c>
      <c r="B591" s="1" t="n">
        <v>45103.46788194445</v>
      </c>
      <c r="C591" s="1" t="n">
        <v>46049</v>
      </c>
      <c r="D591" t="inlineStr">
        <is>
          <t>SÖDERMANLANDS LÄN</t>
        </is>
      </c>
      <c r="E591" t="inlineStr">
        <is>
          <t>KATRINEHOLM</t>
        </is>
      </c>
      <c r="F591" t="inlineStr">
        <is>
          <t>Kyrkan</t>
        </is>
      </c>
      <c r="G591" t="n">
        <v>20.5</v>
      </c>
      <c r="H591" t="n">
        <v>0</v>
      </c>
      <c r="I591" t="n">
        <v>0</v>
      </c>
      <c r="J591" t="n">
        <v>0</v>
      </c>
      <c r="K591" t="n">
        <v>0</v>
      </c>
      <c r="L591" t="n">
        <v>0</v>
      </c>
      <c r="M591" t="n">
        <v>0</v>
      </c>
      <c r="N591" t="n">
        <v>0</v>
      </c>
      <c r="O591" t="n">
        <v>0</v>
      </c>
      <c r="P591" t="n">
        <v>0</v>
      </c>
      <c r="Q591" t="n">
        <v>0</v>
      </c>
      <c r="R591" s="2" t="inlineStr"/>
    </row>
    <row r="592" ht="15" customHeight="1">
      <c r="A592" t="inlineStr">
        <is>
          <t>A 46075-2023</t>
        </is>
      </c>
      <c r="B592" s="1" t="n">
        <v>45196</v>
      </c>
      <c r="C592" s="1" t="n">
        <v>46049</v>
      </c>
      <c r="D592" t="inlineStr">
        <is>
          <t>SÖDERMANLANDS LÄN</t>
        </is>
      </c>
      <c r="E592" t="inlineStr">
        <is>
          <t>KATRINEHOLM</t>
        </is>
      </c>
      <c r="F592" t="inlineStr">
        <is>
          <t>Övriga Aktiebolag</t>
        </is>
      </c>
      <c r="G592" t="n">
        <v>9.5</v>
      </c>
      <c r="H592" t="n">
        <v>0</v>
      </c>
      <c r="I592" t="n">
        <v>0</v>
      </c>
      <c r="J592" t="n">
        <v>0</v>
      </c>
      <c r="K592" t="n">
        <v>0</v>
      </c>
      <c r="L592" t="n">
        <v>0</v>
      </c>
      <c r="M592" t="n">
        <v>0</v>
      </c>
      <c r="N592" t="n">
        <v>0</v>
      </c>
      <c r="O592" t="n">
        <v>0</v>
      </c>
      <c r="P592" t="n">
        <v>0</v>
      </c>
      <c r="Q592" t="n">
        <v>0</v>
      </c>
      <c r="R592" s="2" t="inlineStr"/>
    </row>
    <row r="593" ht="15" customHeight="1">
      <c r="A593" t="inlineStr">
        <is>
          <t>A 25823-2023</t>
        </is>
      </c>
      <c r="B593" s="1" t="n">
        <v>45090.55078703703</v>
      </c>
      <c r="C593" s="1" t="n">
        <v>46049</v>
      </c>
      <c r="D593" t="inlineStr">
        <is>
          <t>SÖDERMANLANDS LÄN</t>
        </is>
      </c>
      <c r="E593" t="inlineStr">
        <is>
          <t>KATRINEHOLM</t>
        </is>
      </c>
      <c r="F593" t="inlineStr">
        <is>
          <t>Kyrkan</t>
        </is>
      </c>
      <c r="G593" t="n">
        <v>10.2</v>
      </c>
      <c r="H593" t="n">
        <v>0</v>
      </c>
      <c r="I593" t="n">
        <v>0</v>
      </c>
      <c r="J593" t="n">
        <v>0</v>
      </c>
      <c r="K593" t="n">
        <v>0</v>
      </c>
      <c r="L593" t="n">
        <v>0</v>
      </c>
      <c r="M593" t="n">
        <v>0</v>
      </c>
      <c r="N593" t="n">
        <v>0</v>
      </c>
      <c r="O593" t="n">
        <v>0</v>
      </c>
      <c r="P593" t="n">
        <v>0</v>
      </c>
      <c r="Q593" t="n">
        <v>0</v>
      </c>
      <c r="R593" s="2" t="inlineStr"/>
    </row>
    <row r="594" ht="15" customHeight="1">
      <c r="A594" t="inlineStr">
        <is>
          <t>A 17360-2022</t>
        </is>
      </c>
      <c r="B594" s="1" t="n">
        <v>44678</v>
      </c>
      <c r="C594" s="1" t="n">
        <v>46049</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22295-2024</t>
        </is>
      </c>
      <c r="B595" s="1" t="n">
        <v>45446.56141203704</v>
      </c>
      <c r="C595" s="1" t="n">
        <v>46049</v>
      </c>
      <c r="D595" t="inlineStr">
        <is>
          <t>SÖDERMANLANDS LÄN</t>
        </is>
      </c>
      <c r="E595" t="inlineStr">
        <is>
          <t>KATRINEHOLM</t>
        </is>
      </c>
      <c r="F595" t="inlineStr">
        <is>
          <t>Kommuner</t>
        </is>
      </c>
      <c r="G595" t="n">
        <v>1.2</v>
      </c>
      <c r="H595" t="n">
        <v>0</v>
      </c>
      <c r="I595" t="n">
        <v>0</v>
      </c>
      <c r="J595" t="n">
        <v>0</v>
      </c>
      <c r="K595" t="n">
        <v>0</v>
      </c>
      <c r="L595" t="n">
        <v>0</v>
      </c>
      <c r="M595" t="n">
        <v>0</v>
      </c>
      <c r="N595" t="n">
        <v>0</v>
      </c>
      <c r="O595" t="n">
        <v>0</v>
      </c>
      <c r="P595" t="n">
        <v>0</v>
      </c>
      <c r="Q595" t="n">
        <v>0</v>
      </c>
      <c r="R595" s="2" t="inlineStr"/>
    </row>
    <row r="596" ht="15" customHeight="1">
      <c r="A596" t="inlineStr">
        <is>
          <t>A 46700-2023</t>
        </is>
      </c>
      <c r="B596" s="1" t="n">
        <v>45194</v>
      </c>
      <c r="C596" s="1" t="n">
        <v>46049</v>
      </c>
      <c r="D596" t="inlineStr">
        <is>
          <t>SÖDERMANLANDS LÄN</t>
        </is>
      </c>
      <c r="E596" t="inlineStr">
        <is>
          <t>KATRINEHOLM</t>
        </is>
      </c>
      <c r="G596" t="n">
        <v>3</v>
      </c>
      <c r="H596" t="n">
        <v>0</v>
      </c>
      <c r="I596" t="n">
        <v>0</v>
      </c>
      <c r="J596" t="n">
        <v>0</v>
      </c>
      <c r="K596" t="n">
        <v>0</v>
      </c>
      <c r="L596" t="n">
        <v>0</v>
      </c>
      <c r="M596" t="n">
        <v>0</v>
      </c>
      <c r="N596" t="n">
        <v>0</v>
      </c>
      <c r="O596" t="n">
        <v>0</v>
      </c>
      <c r="P596" t="n">
        <v>0</v>
      </c>
      <c r="Q596" t="n">
        <v>0</v>
      </c>
      <c r="R596" s="2" t="inlineStr"/>
    </row>
    <row r="597" ht="15" customHeight="1">
      <c r="A597" t="inlineStr">
        <is>
          <t>A 55590-2023</t>
        </is>
      </c>
      <c r="B597" s="1" t="n">
        <v>45238</v>
      </c>
      <c r="C597" s="1" t="n">
        <v>46049</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44664.55688657407</v>
      </c>
      <c r="C598" s="1" t="n">
        <v>46049</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46049</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32818-2023</t>
        </is>
      </c>
      <c r="B600" s="1" t="n">
        <v>45124.55633101852</v>
      </c>
      <c r="C600" s="1" t="n">
        <v>46049</v>
      </c>
      <c r="D600" t="inlineStr">
        <is>
          <t>SÖDERMANLANDS LÄN</t>
        </is>
      </c>
      <c r="E600" t="inlineStr">
        <is>
          <t>KATRINEHOLM</t>
        </is>
      </c>
      <c r="G600" t="n">
        <v>3.4</v>
      </c>
      <c r="H600" t="n">
        <v>0</v>
      </c>
      <c r="I600" t="n">
        <v>0</v>
      </c>
      <c r="J600" t="n">
        <v>0</v>
      </c>
      <c r="K600" t="n">
        <v>0</v>
      </c>
      <c r="L600" t="n">
        <v>0</v>
      </c>
      <c r="M600" t="n">
        <v>0</v>
      </c>
      <c r="N600" t="n">
        <v>0</v>
      </c>
      <c r="O600" t="n">
        <v>0</v>
      </c>
      <c r="P600" t="n">
        <v>0</v>
      </c>
      <c r="Q600" t="n">
        <v>0</v>
      </c>
      <c r="R600" s="2" t="inlineStr"/>
    </row>
    <row r="601" ht="15" customHeight="1">
      <c r="A601" t="inlineStr">
        <is>
          <t>A 20214-2025</t>
        </is>
      </c>
      <c r="B601" s="1" t="n">
        <v>45772.63540509259</v>
      </c>
      <c r="C601" s="1" t="n">
        <v>46049</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22272-2022</t>
        </is>
      </c>
      <c r="B602" s="1" t="n">
        <v>44712</v>
      </c>
      <c r="C602" s="1" t="n">
        <v>46049</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27334-2023</t>
        </is>
      </c>
      <c r="B603" s="1" t="n">
        <v>45096</v>
      </c>
      <c r="C603" s="1" t="n">
        <v>46049</v>
      </c>
      <c r="D603" t="inlineStr">
        <is>
          <t>SÖDERMANLANDS LÄN</t>
        </is>
      </c>
      <c r="E603" t="inlineStr">
        <is>
          <t>KATRINEHOLM</t>
        </is>
      </c>
      <c r="G603" t="n">
        <v>1.6</v>
      </c>
      <c r="H603" t="n">
        <v>0</v>
      </c>
      <c r="I603" t="n">
        <v>0</v>
      </c>
      <c r="J603" t="n">
        <v>0</v>
      </c>
      <c r="K603" t="n">
        <v>0</v>
      </c>
      <c r="L603" t="n">
        <v>0</v>
      </c>
      <c r="M603" t="n">
        <v>0</v>
      </c>
      <c r="N603" t="n">
        <v>0</v>
      </c>
      <c r="O603" t="n">
        <v>0</v>
      </c>
      <c r="P603" t="n">
        <v>0</v>
      </c>
      <c r="Q603" t="n">
        <v>0</v>
      </c>
      <c r="R603" s="2" t="inlineStr"/>
    </row>
    <row r="604" ht="15" customHeight="1">
      <c r="A604" t="inlineStr">
        <is>
          <t>A 40186-2023</t>
        </is>
      </c>
      <c r="B604" s="1" t="n">
        <v>45169</v>
      </c>
      <c r="C604" s="1" t="n">
        <v>46049</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47886-2023</t>
        </is>
      </c>
      <c r="B605" s="1" t="n">
        <v>45204</v>
      </c>
      <c r="C605" s="1" t="n">
        <v>46049</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36562-2023</t>
        </is>
      </c>
      <c r="B606" s="1" t="n">
        <v>45153</v>
      </c>
      <c r="C606" s="1" t="n">
        <v>46049</v>
      </c>
      <c r="D606" t="inlineStr">
        <is>
          <t>SÖDERMANLANDS LÄN</t>
        </is>
      </c>
      <c r="E606" t="inlineStr">
        <is>
          <t>KATRINEHOLM</t>
        </is>
      </c>
      <c r="G606" t="n">
        <v>5.8</v>
      </c>
      <c r="H606" t="n">
        <v>0</v>
      </c>
      <c r="I606" t="n">
        <v>0</v>
      </c>
      <c r="J606" t="n">
        <v>0</v>
      </c>
      <c r="K606" t="n">
        <v>0</v>
      </c>
      <c r="L606" t="n">
        <v>0</v>
      </c>
      <c r="M606" t="n">
        <v>0</v>
      </c>
      <c r="N606" t="n">
        <v>0</v>
      </c>
      <c r="O606" t="n">
        <v>0</v>
      </c>
      <c r="P606" t="n">
        <v>0</v>
      </c>
      <c r="Q606" t="n">
        <v>0</v>
      </c>
      <c r="R606" s="2" t="inlineStr"/>
    </row>
    <row r="607" ht="15" customHeight="1">
      <c r="A607" t="inlineStr">
        <is>
          <t>A 34539-2022</t>
        </is>
      </c>
      <c r="B607" s="1" t="n">
        <v>44793.50563657407</v>
      </c>
      <c r="C607" s="1" t="n">
        <v>46049</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41205-2021</t>
        </is>
      </c>
      <c r="B608" s="1" t="n">
        <v>44424.38577546296</v>
      </c>
      <c r="C608" s="1" t="n">
        <v>46049</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24748-2024</t>
        </is>
      </c>
      <c r="B609" s="1" t="n">
        <v>45460.66567129629</v>
      </c>
      <c r="C609" s="1" t="n">
        <v>46049</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40402-2022</t>
        </is>
      </c>
      <c r="B610" s="1" t="n">
        <v>44823.44353009259</v>
      </c>
      <c r="C610" s="1" t="n">
        <v>46049</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17792-2025</t>
        </is>
      </c>
      <c r="B611" s="1" t="n">
        <v>45758</v>
      </c>
      <c r="C611" s="1" t="n">
        <v>46049</v>
      </c>
      <c r="D611" t="inlineStr">
        <is>
          <t>SÖDERMANLANDS LÄN</t>
        </is>
      </c>
      <c r="E611" t="inlineStr">
        <is>
          <t>KATRINEHOLM</t>
        </is>
      </c>
      <c r="G611" t="n">
        <v>4.2</v>
      </c>
      <c r="H611" t="n">
        <v>0</v>
      </c>
      <c r="I611" t="n">
        <v>0</v>
      </c>
      <c r="J611" t="n">
        <v>0</v>
      </c>
      <c r="K611" t="n">
        <v>0</v>
      </c>
      <c r="L611" t="n">
        <v>0</v>
      </c>
      <c r="M611" t="n">
        <v>0</v>
      </c>
      <c r="N611" t="n">
        <v>0</v>
      </c>
      <c r="O611" t="n">
        <v>0</v>
      </c>
      <c r="P611" t="n">
        <v>0</v>
      </c>
      <c r="Q611" t="n">
        <v>0</v>
      </c>
      <c r="R611" s="2" t="inlineStr"/>
    </row>
    <row r="612" ht="15" customHeight="1">
      <c r="A612" t="inlineStr">
        <is>
          <t>A 17820-2025</t>
        </is>
      </c>
      <c r="B612" s="1" t="n">
        <v>45758</v>
      </c>
      <c r="C612" s="1" t="n">
        <v>46049</v>
      </c>
      <c r="D612" t="inlineStr">
        <is>
          <t>SÖDERMANLANDS LÄN</t>
        </is>
      </c>
      <c r="E612" t="inlineStr">
        <is>
          <t>KATRINEHOLM</t>
        </is>
      </c>
      <c r="G612" t="n">
        <v>5.9</v>
      </c>
      <c r="H612" t="n">
        <v>0</v>
      </c>
      <c r="I612" t="n">
        <v>0</v>
      </c>
      <c r="J612" t="n">
        <v>0</v>
      </c>
      <c r="K612" t="n">
        <v>0</v>
      </c>
      <c r="L612" t="n">
        <v>0</v>
      </c>
      <c r="M612" t="n">
        <v>0</v>
      </c>
      <c r="N612" t="n">
        <v>0</v>
      </c>
      <c r="O612" t="n">
        <v>0</v>
      </c>
      <c r="P612" t="n">
        <v>0</v>
      </c>
      <c r="Q612" t="n">
        <v>0</v>
      </c>
      <c r="R612" s="2" t="inlineStr"/>
    </row>
    <row r="613" ht="15" customHeight="1">
      <c r="A613" t="inlineStr">
        <is>
          <t>A 30387-2022</t>
        </is>
      </c>
      <c r="B613" s="1" t="n">
        <v>44760</v>
      </c>
      <c r="C613" s="1" t="n">
        <v>46049</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39052-2023</t>
        </is>
      </c>
      <c r="B614" s="1" t="n">
        <v>45163</v>
      </c>
      <c r="C614" s="1" t="n">
        <v>46049</v>
      </c>
      <c r="D614" t="inlineStr">
        <is>
          <t>SÖDERMANLANDS LÄN</t>
        </is>
      </c>
      <c r="E614" t="inlineStr">
        <is>
          <t>KATRINEHOLM</t>
        </is>
      </c>
      <c r="G614" t="n">
        <v>3</v>
      </c>
      <c r="H614" t="n">
        <v>0</v>
      </c>
      <c r="I614" t="n">
        <v>0</v>
      </c>
      <c r="J614" t="n">
        <v>0</v>
      </c>
      <c r="K614" t="n">
        <v>0</v>
      </c>
      <c r="L614" t="n">
        <v>0</v>
      </c>
      <c r="M614" t="n">
        <v>0</v>
      </c>
      <c r="N614" t="n">
        <v>0</v>
      </c>
      <c r="O614" t="n">
        <v>0</v>
      </c>
      <c r="P614" t="n">
        <v>0</v>
      </c>
      <c r="Q614" t="n">
        <v>0</v>
      </c>
      <c r="R614" s="2" t="inlineStr"/>
    </row>
    <row r="615" ht="15" customHeight="1">
      <c r="A615" t="inlineStr">
        <is>
          <t>A 8922-2024</t>
        </is>
      </c>
      <c r="B615" s="1" t="n">
        <v>45357.38601851852</v>
      </c>
      <c r="C615" s="1" t="n">
        <v>46049</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48160-2022</t>
        </is>
      </c>
      <c r="B616" s="1" t="n">
        <v>44853</v>
      </c>
      <c r="C616" s="1" t="n">
        <v>46049</v>
      </c>
      <c r="D616" t="inlineStr">
        <is>
          <t>SÖDERMANLANDS LÄN</t>
        </is>
      </c>
      <c r="E616" t="inlineStr">
        <is>
          <t>KATRINEHOLM</t>
        </is>
      </c>
      <c r="F616" t="inlineStr">
        <is>
          <t>Övriga statliga verk och myndigheter</t>
        </is>
      </c>
      <c r="G616" t="n">
        <v>2.2</v>
      </c>
      <c r="H616" t="n">
        <v>0</v>
      </c>
      <c r="I616" t="n">
        <v>0</v>
      </c>
      <c r="J616" t="n">
        <v>0</v>
      </c>
      <c r="K616" t="n">
        <v>0</v>
      </c>
      <c r="L616" t="n">
        <v>0</v>
      </c>
      <c r="M616" t="n">
        <v>0</v>
      </c>
      <c r="N616" t="n">
        <v>0</v>
      </c>
      <c r="O616" t="n">
        <v>0</v>
      </c>
      <c r="P616" t="n">
        <v>0</v>
      </c>
      <c r="Q616" t="n">
        <v>0</v>
      </c>
      <c r="R616" s="2" t="inlineStr"/>
    </row>
    <row r="617" ht="15" customHeight="1">
      <c r="A617" t="inlineStr">
        <is>
          <t>A 28317-2024</t>
        </is>
      </c>
      <c r="B617" s="1" t="n">
        <v>45477</v>
      </c>
      <c r="C617" s="1" t="n">
        <v>46049</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66393-2021</t>
        </is>
      </c>
      <c r="B618" s="1" t="n">
        <v>44518</v>
      </c>
      <c r="C618" s="1" t="n">
        <v>46049</v>
      </c>
      <c r="D618" t="inlineStr">
        <is>
          <t>SÖDERMANLANDS LÄN</t>
        </is>
      </c>
      <c r="E618" t="inlineStr">
        <is>
          <t>KATRINEHOLM</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47134-2022</t>
        </is>
      </c>
      <c r="B619" s="1" t="n">
        <v>44851</v>
      </c>
      <c r="C619" s="1" t="n">
        <v>46049</v>
      </c>
      <c r="D619" t="inlineStr">
        <is>
          <t>SÖDERMANLANDS LÄN</t>
        </is>
      </c>
      <c r="E619" t="inlineStr">
        <is>
          <t>KATRINEHOLM</t>
        </is>
      </c>
      <c r="F619" t="inlineStr">
        <is>
          <t>Övriga statliga verk och myndigheter</t>
        </is>
      </c>
      <c r="G619" t="n">
        <v>1.5</v>
      </c>
      <c r="H619" t="n">
        <v>0</v>
      </c>
      <c r="I619" t="n">
        <v>0</v>
      </c>
      <c r="J619" t="n">
        <v>0</v>
      </c>
      <c r="K619" t="n">
        <v>0</v>
      </c>
      <c r="L619" t="n">
        <v>0</v>
      </c>
      <c r="M619" t="n">
        <v>0</v>
      </c>
      <c r="N619" t="n">
        <v>0</v>
      </c>
      <c r="O619" t="n">
        <v>0</v>
      </c>
      <c r="P619" t="n">
        <v>0</v>
      </c>
      <c r="Q619" t="n">
        <v>0</v>
      </c>
      <c r="R619" s="2" t="inlineStr"/>
    </row>
    <row r="620" ht="15" customHeight="1">
      <c r="A620" t="inlineStr">
        <is>
          <t>A 1143-2024</t>
        </is>
      </c>
      <c r="B620" s="1" t="n">
        <v>45302</v>
      </c>
      <c r="C620" s="1" t="n">
        <v>46049</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3982-2024</t>
        </is>
      </c>
      <c r="B621" s="1" t="n">
        <v>45322</v>
      </c>
      <c r="C621" s="1" t="n">
        <v>46049</v>
      </c>
      <c r="D621" t="inlineStr">
        <is>
          <t>SÖDERMANLANDS LÄN</t>
        </is>
      </c>
      <c r="E621" t="inlineStr">
        <is>
          <t>KATRINEHOLM</t>
        </is>
      </c>
      <c r="G621" t="n">
        <v>3.7</v>
      </c>
      <c r="H621" t="n">
        <v>0</v>
      </c>
      <c r="I621" t="n">
        <v>0</v>
      </c>
      <c r="J621" t="n">
        <v>0</v>
      </c>
      <c r="K621" t="n">
        <v>0</v>
      </c>
      <c r="L621" t="n">
        <v>0</v>
      </c>
      <c r="M621" t="n">
        <v>0</v>
      </c>
      <c r="N621" t="n">
        <v>0</v>
      </c>
      <c r="O621" t="n">
        <v>0</v>
      </c>
      <c r="P621" t="n">
        <v>0</v>
      </c>
      <c r="Q621" t="n">
        <v>0</v>
      </c>
      <c r="R621" s="2" t="inlineStr"/>
    </row>
    <row r="622" ht="15" customHeight="1">
      <c r="A622" t="inlineStr">
        <is>
          <t>A 57263-2022</t>
        </is>
      </c>
      <c r="B622" s="1" t="n">
        <v>44895</v>
      </c>
      <c r="C622" s="1" t="n">
        <v>46049</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28431-2024</t>
        </is>
      </c>
      <c r="B623" s="1" t="n">
        <v>45477.65216435185</v>
      </c>
      <c r="C623" s="1" t="n">
        <v>46049</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62418-2023</t>
        </is>
      </c>
      <c r="B624" s="1" t="n">
        <v>45268</v>
      </c>
      <c r="C624" s="1" t="n">
        <v>46049</v>
      </c>
      <c r="D624" t="inlineStr">
        <is>
          <t>SÖDERMANLANDS LÄN</t>
        </is>
      </c>
      <c r="E624" t="inlineStr">
        <is>
          <t>KATRINEHOLM</t>
        </is>
      </c>
      <c r="G624" t="n">
        <v>3</v>
      </c>
      <c r="H624" t="n">
        <v>0</v>
      </c>
      <c r="I624" t="n">
        <v>0</v>
      </c>
      <c r="J624" t="n">
        <v>0</v>
      </c>
      <c r="K624" t="n">
        <v>0</v>
      </c>
      <c r="L624" t="n">
        <v>0</v>
      </c>
      <c r="M624" t="n">
        <v>0</v>
      </c>
      <c r="N624" t="n">
        <v>0</v>
      </c>
      <c r="O624" t="n">
        <v>0</v>
      </c>
      <c r="P624" t="n">
        <v>0</v>
      </c>
      <c r="Q624" t="n">
        <v>0</v>
      </c>
      <c r="R624" s="2" t="inlineStr"/>
    </row>
    <row r="625" ht="15" customHeight="1">
      <c r="A625" t="inlineStr">
        <is>
          <t>A 45142-2021</t>
        </is>
      </c>
      <c r="B625" s="1" t="n">
        <v>44439</v>
      </c>
      <c r="C625" s="1" t="n">
        <v>46049</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7191-2023</t>
        </is>
      </c>
      <c r="B626" s="1" t="n">
        <v>44965</v>
      </c>
      <c r="C626" s="1" t="n">
        <v>46049</v>
      </c>
      <c r="D626" t="inlineStr">
        <is>
          <t>SÖDERMANLANDS LÄN</t>
        </is>
      </c>
      <c r="E626" t="inlineStr">
        <is>
          <t>KATRINEHOLM</t>
        </is>
      </c>
      <c r="G626" t="n">
        <v>14.1</v>
      </c>
      <c r="H626" t="n">
        <v>0</v>
      </c>
      <c r="I626" t="n">
        <v>0</v>
      </c>
      <c r="J626" t="n">
        <v>0</v>
      </c>
      <c r="K626" t="n">
        <v>0</v>
      </c>
      <c r="L626" t="n">
        <v>0</v>
      </c>
      <c r="M626" t="n">
        <v>0</v>
      </c>
      <c r="N626" t="n">
        <v>0</v>
      </c>
      <c r="O626" t="n">
        <v>0</v>
      </c>
      <c r="P626" t="n">
        <v>0</v>
      </c>
      <c r="Q626" t="n">
        <v>0</v>
      </c>
      <c r="R626" s="2" t="inlineStr"/>
    </row>
    <row r="627" ht="15" customHeight="1">
      <c r="A627" t="inlineStr">
        <is>
          <t>A 66540-2021</t>
        </is>
      </c>
      <c r="B627" s="1" t="n">
        <v>44519</v>
      </c>
      <c r="C627" s="1" t="n">
        <v>46049</v>
      </c>
      <c r="D627" t="inlineStr">
        <is>
          <t>SÖDERMANLANDS LÄN</t>
        </is>
      </c>
      <c r="E627" t="inlineStr">
        <is>
          <t>KATRINEHOLM</t>
        </is>
      </c>
      <c r="F627" t="inlineStr">
        <is>
          <t>Holmen skog AB</t>
        </is>
      </c>
      <c r="G627" t="n">
        <v>0.4</v>
      </c>
      <c r="H627" t="n">
        <v>0</v>
      </c>
      <c r="I627" t="n">
        <v>0</v>
      </c>
      <c r="J627" t="n">
        <v>0</v>
      </c>
      <c r="K627" t="n">
        <v>0</v>
      </c>
      <c r="L627" t="n">
        <v>0</v>
      </c>
      <c r="M627" t="n">
        <v>0</v>
      </c>
      <c r="N627" t="n">
        <v>0</v>
      </c>
      <c r="O627" t="n">
        <v>0</v>
      </c>
      <c r="P627" t="n">
        <v>0</v>
      </c>
      <c r="Q627" t="n">
        <v>0</v>
      </c>
      <c r="R627" s="2" t="inlineStr"/>
    </row>
    <row r="628" ht="15" customHeight="1">
      <c r="A628" t="inlineStr">
        <is>
          <t>A 8394-2024</t>
        </is>
      </c>
      <c r="B628" s="1" t="n">
        <v>45352</v>
      </c>
      <c r="C628" s="1" t="n">
        <v>46049</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13658-2023</t>
        </is>
      </c>
      <c r="B629" s="1" t="n">
        <v>45006</v>
      </c>
      <c r="C629" s="1" t="n">
        <v>46049</v>
      </c>
      <c r="D629" t="inlineStr">
        <is>
          <t>SÖDERMANLANDS LÄN</t>
        </is>
      </c>
      <c r="E629" t="inlineStr">
        <is>
          <t>KATRINEHOLM</t>
        </is>
      </c>
      <c r="F629" t="inlineStr">
        <is>
          <t>Kyrkan</t>
        </is>
      </c>
      <c r="G629" t="n">
        <v>24.3</v>
      </c>
      <c r="H629" t="n">
        <v>0</v>
      </c>
      <c r="I629" t="n">
        <v>0</v>
      </c>
      <c r="J629" t="n">
        <v>0</v>
      </c>
      <c r="K629" t="n">
        <v>0</v>
      </c>
      <c r="L629" t="n">
        <v>0</v>
      </c>
      <c r="M629" t="n">
        <v>0</v>
      </c>
      <c r="N629" t="n">
        <v>0</v>
      </c>
      <c r="O629" t="n">
        <v>0</v>
      </c>
      <c r="P629" t="n">
        <v>0</v>
      </c>
      <c r="Q629" t="n">
        <v>0</v>
      </c>
      <c r="R629" s="2" t="inlineStr"/>
    </row>
    <row r="630" ht="15" customHeight="1">
      <c r="A630" t="inlineStr">
        <is>
          <t>A 61385-2023</t>
        </is>
      </c>
      <c r="B630" s="1" t="n">
        <v>45264.64241898148</v>
      </c>
      <c r="C630" s="1" t="n">
        <v>46049</v>
      </c>
      <c r="D630" t="inlineStr">
        <is>
          <t>SÖDERMANLANDS LÄN</t>
        </is>
      </c>
      <c r="E630" t="inlineStr">
        <is>
          <t>KATRINEHOLM</t>
        </is>
      </c>
      <c r="G630" t="n">
        <v>0.4</v>
      </c>
      <c r="H630" t="n">
        <v>0</v>
      </c>
      <c r="I630" t="n">
        <v>0</v>
      </c>
      <c r="J630" t="n">
        <v>0</v>
      </c>
      <c r="K630" t="n">
        <v>0</v>
      </c>
      <c r="L630" t="n">
        <v>0</v>
      </c>
      <c r="M630" t="n">
        <v>0</v>
      </c>
      <c r="N630" t="n">
        <v>0</v>
      </c>
      <c r="O630" t="n">
        <v>0</v>
      </c>
      <c r="P630" t="n">
        <v>0</v>
      </c>
      <c r="Q630" t="n">
        <v>0</v>
      </c>
      <c r="R630" s="2" t="inlineStr"/>
    </row>
    <row r="631" ht="15" customHeight="1">
      <c r="A631" t="inlineStr">
        <is>
          <t>A 55825-2022</t>
        </is>
      </c>
      <c r="B631" s="1" t="n">
        <v>44886</v>
      </c>
      <c r="C631" s="1" t="n">
        <v>46049</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55856-2022</t>
        </is>
      </c>
      <c r="B632" s="1" t="n">
        <v>44888</v>
      </c>
      <c r="C632" s="1" t="n">
        <v>46049</v>
      </c>
      <c r="D632" t="inlineStr">
        <is>
          <t>SÖDERMANLANDS LÄN</t>
        </is>
      </c>
      <c r="E632" t="inlineStr">
        <is>
          <t>KATRINEHOLM</t>
        </is>
      </c>
      <c r="G632" t="n">
        <v>5.6</v>
      </c>
      <c r="H632" t="n">
        <v>0</v>
      </c>
      <c r="I632" t="n">
        <v>0</v>
      </c>
      <c r="J632" t="n">
        <v>0</v>
      </c>
      <c r="K632" t="n">
        <v>0</v>
      </c>
      <c r="L632" t="n">
        <v>0</v>
      </c>
      <c r="M632" t="n">
        <v>0</v>
      </c>
      <c r="N632" t="n">
        <v>0</v>
      </c>
      <c r="O632" t="n">
        <v>0</v>
      </c>
      <c r="P632" t="n">
        <v>0</v>
      </c>
      <c r="Q632" t="n">
        <v>0</v>
      </c>
      <c r="R632" s="2" t="inlineStr"/>
    </row>
    <row r="633" ht="15" customHeight="1">
      <c r="A633" t="inlineStr">
        <is>
          <t>A 43513-2023</t>
        </is>
      </c>
      <c r="B633" s="1" t="n">
        <v>45184</v>
      </c>
      <c r="C633" s="1" t="n">
        <v>46049</v>
      </c>
      <c r="D633" t="inlineStr">
        <is>
          <t>SÖDERMANLANDS LÄN</t>
        </is>
      </c>
      <c r="E633" t="inlineStr">
        <is>
          <t>KATRINEHOLM</t>
        </is>
      </c>
      <c r="G633" t="n">
        <v>3.8</v>
      </c>
      <c r="H633" t="n">
        <v>0</v>
      </c>
      <c r="I633" t="n">
        <v>0</v>
      </c>
      <c r="J633" t="n">
        <v>0</v>
      </c>
      <c r="K633" t="n">
        <v>0</v>
      </c>
      <c r="L633" t="n">
        <v>0</v>
      </c>
      <c r="M633" t="n">
        <v>0</v>
      </c>
      <c r="N633" t="n">
        <v>0</v>
      </c>
      <c r="O633" t="n">
        <v>0</v>
      </c>
      <c r="P633" t="n">
        <v>0</v>
      </c>
      <c r="Q633" t="n">
        <v>0</v>
      </c>
      <c r="R633" s="2" t="inlineStr"/>
    </row>
    <row r="634" ht="15" customHeight="1">
      <c r="A634" t="inlineStr">
        <is>
          <t>A 8951-2024</t>
        </is>
      </c>
      <c r="B634" s="1" t="n">
        <v>45357.44695601852</v>
      </c>
      <c r="C634" s="1" t="n">
        <v>46049</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8955-2024</t>
        </is>
      </c>
      <c r="B635" s="1" t="n">
        <v>45357.44873842593</v>
      </c>
      <c r="C635" s="1" t="n">
        <v>46049</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15945-2024</t>
        </is>
      </c>
      <c r="B636" s="1" t="n">
        <v>45405.48912037037</v>
      </c>
      <c r="C636" s="1" t="n">
        <v>46049</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4655-2024</t>
        </is>
      </c>
      <c r="B637" s="1" t="n">
        <v>45328</v>
      </c>
      <c r="C637" s="1" t="n">
        <v>46049</v>
      </c>
      <c r="D637" t="inlineStr">
        <is>
          <t>SÖDERMANLANDS LÄN</t>
        </is>
      </c>
      <c r="E637" t="inlineStr">
        <is>
          <t>KATRINEHOLM</t>
        </is>
      </c>
      <c r="G637" t="n">
        <v>17.7</v>
      </c>
      <c r="H637" t="n">
        <v>0</v>
      </c>
      <c r="I637" t="n">
        <v>0</v>
      </c>
      <c r="J637" t="n">
        <v>0</v>
      </c>
      <c r="K637" t="n">
        <v>0</v>
      </c>
      <c r="L637" t="n">
        <v>0</v>
      </c>
      <c r="M637" t="n">
        <v>0</v>
      </c>
      <c r="N637" t="n">
        <v>0</v>
      </c>
      <c r="O637" t="n">
        <v>0</v>
      </c>
      <c r="P637" t="n">
        <v>0</v>
      </c>
      <c r="Q637" t="n">
        <v>0</v>
      </c>
      <c r="R637" s="2" t="inlineStr"/>
    </row>
    <row r="638" ht="15" customHeight="1">
      <c r="A638" t="inlineStr">
        <is>
          <t>A 53387-2023</t>
        </is>
      </c>
      <c r="B638" s="1" t="n">
        <v>45229</v>
      </c>
      <c r="C638" s="1" t="n">
        <v>46049</v>
      </c>
      <c r="D638" t="inlineStr">
        <is>
          <t>SÖDERMANLANDS LÄN</t>
        </is>
      </c>
      <c r="E638" t="inlineStr">
        <is>
          <t>KATRINEHOLM</t>
        </is>
      </c>
      <c r="F638" t="inlineStr">
        <is>
          <t>Kyrkan</t>
        </is>
      </c>
      <c r="G638" t="n">
        <v>7.4</v>
      </c>
      <c r="H638" t="n">
        <v>0</v>
      </c>
      <c r="I638" t="n">
        <v>0</v>
      </c>
      <c r="J638" t="n">
        <v>0</v>
      </c>
      <c r="K638" t="n">
        <v>0</v>
      </c>
      <c r="L638" t="n">
        <v>0</v>
      </c>
      <c r="M638" t="n">
        <v>0</v>
      </c>
      <c r="N638" t="n">
        <v>0</v>
      </c>
      <c r="O638" t="n">
        <v>0</v>
      </c>
      <c r="P638" t="n">
        <v>0</v>
      </c>
      <c r="Q638" t="n">
        <v>0</v>
      </c>
      <c r="R638" s="2" t="inlineStr"/>
    </row>
    <row r="639" ht="15" customHeight="1">
      <c r="A639" t="inlineStr">
        <is>
          <t>A 42590-2022</t>
        </is>
      </c>
      <c r="B639" s="1" t="n">
        <v>44831</v>
      </c>
      <c r="C639" s="1" t="n">
        <v>46049</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38883-2024</t>
        </is>
      </c>
      <c r="B640" s="1" t="n">
        <v>45547</v>
      </c>
      <c r="C640" s="1" t="n">
        <v>46049</v>
      </c>
      <c r="D640" t="inlineStr">
        <is>
          <t>SÖDERMANLANDS LÄN</t>
        </is>
      </c>
      <c r="E640" t="inlineStr">
        <is>
          <t>KATRINEHOLM</t>
        </is>
      </c>
      <c r="G640" t="n">
        <v>3.1</v>
      </c>
      <c r="H640" t="n">
        <v>0</v>
      </c>
      <c r="I640" t="n">
        <v>0</v>
      </c>
      <c r="J640" t="n">
        <v>0</v>
      </c>
      <c r="K640" t="n">
        <v>0</v>
      </c>
      <c r="L640" t="n">
        <v>0</v>
      </c>
      <c r="M640" t="n">
        <v>0</v>
      </c>
      <c r="N640" t="n">
        <v>0</v>
      </c>
      <c r="O640" t="n">
        <v>0</v>
      </c>
      <c r="P640" t="n">
        <v>0</v>
      </c>
      <c r="Q640" t="n">
        <v>0</v>
      </c>
      <c r="R640" s="2" t="inlineStr"/>
    </row>
    <row r="641" ht="15" customHeight="1">
      <c r="A641" t="inlineStr">
        <is>
          <t>A 4667-2024</t>
        </is>
      </c>
      <c r="B641" s="1" t="n">
        <v>45328.47</v>
      </c>
      <c r="C641" s="1" t="n">
        <v>46049</v>
      </c>
      <c r="D641" t="inlineStr">
        <is>
          <t>SÖDERMANLANDS LÄN</t>
        </is>
      </c>
      <c r="E641" t="inlineStr">
        <is>
          <t>KATRINEHOLM</t>
        </is>
      </c>
      <c r="F641" t="inlineStr">
        <is>
          <t>Övriga Aktiebolag</t>
        </is>
      </c>
      <c r="G641" t="n">
        <v>10.2</v>
      </c>
      <c r="H641" t="n">
        <v>0</v>
      </c>
      <c r="I641" t="n">
        <v>0</v>
      </c>
      <c r="J641" t="n">
        <v>0</v>
      </c>
      <c r="K641" t="n">
        <v>0</v>
      </c>
      <c r="L641" t="n">
        <v>0</v>
      </c>
      <c r="M641" t="n">
        <v>0</v>
      </c>
      <c r="N641" t="n">
        <v>0</v>
      </c>
      <c r="O641" t="n">
        <v>0</v>
      </c>
      <c r="P641" t="n">
        <v>0</v>
      </c>
      <c r="Q641" t="n">
        <v>0</v>
      </c>
      <c r="R641" s="2" t="inlineStr"/>
    </row>
    <row r="642" ht="15" customHeight="1">
      <c r="A642" t="inlineStr">
        <is>
          <t>A 39704-2023</t>
        </is>
      </c>
      <c r="B642" s="1" t="n">
        <v>45167</v>
      </c>
      <c r="C642" s="1" t="n">
        <v>46049</v>
      </c>
      <c r="D642" t="inlineStr">
        <is>
          <t>SÖDERMANLANDS LÄN</t>
        </is>
      </c>
      <c r="E642" t="inlineStr">
        <is>
          <t>KATRINEHOLM</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16087-2023</t>
        </is>
      </c>
      <c r="B643" s="1" t="n">
        <v>45026</v>
      </c>
      <c r="C643" s="1" t="n">
        <v>46049</v>
      </c>
      <c r="D643" t="inlineStr">
        <is>
          <t>SÖDERMANLANDS LÄN</t>
        </is>
      </c>
      <c r="E643" t="inlineStr">
        <is>
          <t>KATRINEHOLM</t>
        </is>
      </c>
      <c r="G643" t="n">
        <v>2</v>
      </c>
      <c r="H643" t="n">
        <v>0</v>
      </c>
      <c r="I643" t="n">
        <v>0</v>
      </c>
      <c r="J643" t="n">
        <v>0</v>
      </c>
      <c r="K643" t="n">
        <v>0</v>
      </c>
      <c r="L643" t="n">
        <v>0</v>
      </c>
      <c r="M643" t="n">
        <v>0</v>
      </c>
      <c r="N643" t="n">
        <v>0</v>
      </c>
      <c r="O643" t="n">
        <v>0</v>
      </c>
      <c r="P643" t="n">
        <v>0</v>
      </c>
      <c r="Q643" t="n">
        <v>0</v>
      </c>
      <c r="R643" s="2" t="inlineStr"/>
    </row>
    <row r="644" ht="15" customHeight="1">
      <c r="A644" t="inlineStr">
        <is>
          <t>A 28652-2024</t>
        </is>
      </c>
      <c r="B644" s="1" t="n">
        <v>45478</v>
      </c>
      <c r="C644" s="1" t="n">
        <v>46049</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42791-2023</t>
        </is>
      </c>
      <c r="B645" s="1" t="n">
        <v>45181.92876157408</v>
      </c>
      <c r="C645" s="1" t="n">
        <v>46049</v>
      </c>
      <c r="D645" t="inlineStr">
        <is>
          <t>SÖDERMANLANDS LÄN</t>
        </is>
      </c>
      <c r="E645" t="inlineStr">
        <is>
          <t>KATRINEHOLM</t>
        </is>
      </c>
      <c r="G645" t="n">
        <v>4.1</v>
      </c>
      <c r="H645" t="n">
        <v>0</v>
      </c>
      <c r="I645" t="n">
        <v>0</v>
      </c>
      <c r="J645" t="n">
        <v>0</v>
      </c>
      <c r="K645" t="n">
        <v>0</v>
      </c>
      <c r="L645" t="n">
        <v>0</v>
      </c>
      <c r="M645" t="n">
        <v>0</v>
      </c>
      <c r="N645" t="n">
        <v>0</v>
      </c>
      <c r="O645" t="n">
        <v>0</v>
      </c>
      <c r="P645" t="n">
        <v>0</v>
      </c>
      <c r="Q645" t="n">
        <v>0</v>
      </c>
      <c r="R645" s="2" t="inlineStr"/>
    </row>
    <row r="646" ht="15" customHeight="1">
      <c r="A646" t="inlineStr">
        <is>
          <t>A 42792-2023</t>
        </is>
      </c>
      <c r="B646" s="1" t="n">
        <v>45181.95491898148</v>
      </c>
      <c r="C646" s="1" t="n">
        <v>46049</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31740-2022</t>
        </is>
      </c>
      <c r="B647" s="1" t="n">
        <v>44776</v>
      </c>
      <c r="C647" s="1" t="n">
        <v>46049</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4679-2023</t>
        </is>
      </c>
      <c r="B648" s="1" t="n">
        <v>44957.44885416667</v>
      </c>
      <c r="C648" s="1" t="n">
        <v>46049</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6087-2021</t>
        </is>
      </c>
      <c r="B649" s="1" t="n">
        <v>44232</v>
      </c>
      <c r="C649" s="1" t="n">
        <v>46049</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48528-2021</t>
        </is>
      </c>
      <c r="B650" s="1" t="n">
        <v>44449</v>
      </c>
      <c r="C650" s="1" t="n">
        <v>46049</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48398-2022</t>
        </is>
      </c>
      <c r="B651" s="1" t="n">
        <v>44858.60809027778</v>
      </c>
      <c r="C651" s="1" t="n">
        <v>46049</v>
      </c>
      <c r="D651" t="inlineStr">
        <is>
          <t>SÖDERMANLANDS LÄN</t>
        </is>
      </c>
      <c r="E651" t="inlineStr">
        <is>
          <t>KATRINEHOLM</t>
        </is>
      </c>
      <c r="G651" t="n">
        <v>1.9</v>
      </c>
      <c r="H651" t="n">
        <v>0</v>
      </c>
      <c r="I651" t="n">
        <v>0</v>
      </c>
      <c r="J651" t="n">
        <v>0</v>
      </c>
      <c r="K651" t="n">
        <v>0</v>
      </c>
      <c r="L651" t="n">
        <v>0</v>
      </c>
      <c r="M651" t="n">
        <v>0</v>
      </c>
      <c r="N651" t="n">
        <v>0</v>
      </c>
      <c r="O651" t="n">
        <v>0</v>
      </c>
      <c r="P651" t="n">
        <v>0</v>
      </c>
      <c r="Q651" t="n">
        <v>0</v>
      </c>
      <c r="R651" s="2" t="inlineStr"/>
    </row>
    <row r="652" ht="15" customHeight="1">
      <c r="A652" t="inlineStr">
        <is>
          <t>A 6753-2022</t>
        </is>
      </c>
      <c r="B652" s="1" t="n">
        <v>44602</v>
      </c>
      <c r="C652" s="1" t="n">
        <v>46049</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15184-2023</t>
        </is>
      </c>
      <c r="B653" s="1" t="n">
        <v>45016</v>
      </c>
      <c r="C653" s="1" t="n">
        <v>46049</v>
      </c>
      <c r="D653" t="inlineStr">
        <is>
          <t>SÖDERMANLANDS LÄN</t>
        </is>
      </c>
      <c r="E653" t="inlineStr">
        <is>
          <t>KATRINEHOLM</t>
        </is>
      </c>
      <c r="G653" t="n">
        <v>1.1</v>
      </c>
      <c r="H653" t="n">
        <v>0</v>
      </c>
      <c r="I653" t="n">
        <v>0</v>
      </c>
      <c r="J653" t="n">
        <v>0</v>
      </c>
      <c r="K653" t="n">
        <v>0</v>
      </c>
      <c r="L653" t="n">
        <v>0</v>
      </c>
      <c r="M653" t="n">
        <v>0</v>
      </c>
      <c r="N653" t="n">
        <v>0</v>
      </c>
      <c r="O653" t="n">
        <v>0</v>
      </c>
      <c r="P653" t="n">
        <v>0</v>
      </c>
      <c r="Q653" t="n">
        <v>0</v>
      </c>
      <c r="R653" s="2" t="inlineStr"/>
    </row>
    <row r="654" ht="15" customHeight="1">
      <c r="A654" t="inlineStr">
        <is>
          <t>A 38826-2021</t>
        </is>
      </c>
      <c r="B654" s="1" t="n">
        <v>44411</v>
      </c>
      <c r="C654" s="1" t="n">
        <v>46049</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9388-2021</t>
        </is>
      </c>
      <c r="B655" s="1" t="n">
        <v>44250</v>
      </c>
      <c r="C655" s="1" t="n">
        <v>46049</v>
      </c>
      <c r="D655" t="inlineStr">
        <is>
          <t>SÖDERMANLANDS LÄN</t>
        </is>
      </c>
      <c r="E655" t="inlineStr">
        <is>
          <t>KATRINEHOLM</t>
        </is>
      </c>
      <c r="G655" t="n">
        <v>5.4</v>
      </c>
      <c r="H655" t="n">
        <v>0</v>
      </c>
      <c r="I655" t="n">
        <v>0</v>
      </c>
      <c r="J655" t="n">
        <v>0</v>
      </c>
      <c r="K655" t="n">
        <v>0</v>
      </c>
      <c r="L655" t="n">
        <v>0</v>
      </c>
      <c r="M655" t="n">
        <v>0</v>
      </c>
      <c r="N655" t="n">
        <v>0</v>
      </c>
      <c r="O655" t="n">
        <v>0</v>
      </c>
      <c r="P655" t="n">
        <v>0</v>
      </c>
      <c r="Q655" t="n">
        <v>0</v>
      </c>
      <c r="R655" s="2" t="inlineStr"/>
    </row>
    <row r="656" ht="15" customHeight="1">
      <c r="A656" t="inlineStr">
        <is>
          <t>A 29830-2023</t>
        </is>
      </c>
      <c r="B656" s="1" t="n">
        <v>45107</v>
      </c>
      <c r="C656" s="1" t="n">
        <v>46049</v>
      </c>
      <c r="D656" t="inlineStr">
        <is>
          <t>SÖDERMANLANDS LÄN</t>
        </is>
      </c>
      <c r="E656" t="inlineStr">
        <is>
          <t>KATRINEHOLM</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19098-2022</t>
        </is>
      </c>
      <c r="B657" s="1" t="n">
        <v>44691.52616898148</v>
      </c>
      <c r="C657" s="1" t="n">
        <v>46049</v>
      </c>
      <c r="D657" t="inlineStr">
        <is>
          <t>SÖDERMANLANDS LÄN</t>
        </is>
      </c>
      <c r="E657" t="inlineStr">
        <is>
          <t>KATRINEHOLM</t>
        </is>
      </c>
      <c r="G657" t="n">
        <v>5.5</v>
      </c>
      <c r="H657" t="n">
        <v>0</v>
      </c>
      <c r="I657" t="n">
        <v>0</v>
      </c>
      <c r="J657" t="n">
        <v>0</v>
      </c>
      <c r="K657" t="n">
        <v>0</v>
      </c>
      <c r="L657" t="n">
        <v>0</v>
      </c>
      <c r="M657" t="n">
        <v>0</v>
      </c>
      <c r="N657" t="n">
        <v>0</v>
      </c>
      <c r="O657" t="n">
        <v>0</v>
      </c>
      <c r="P657" t="n">
        <v>0</v>
      </c>
      <c r="Q657" t="n">
        <v>0</v>
      </c>
      <c r="R657" s="2" t="inlineStr"/>
    </row>
    <row r="658" ht="15" customHeight="1">
      <c r="A658" t="inlineStr">
        <is>
          <t>A 6628-2022</t>
        </is>
      </c>
      <c r="B658" s="1" t="n">
        <v>44601.78850694445</v>
      </c>
      <c r="C658" s="1" t="n">
        <v>46049</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72984-2021</t>
        </is>
      </c>
      <c r="B659" s="1" t="n">
        <v>44549.74741898148</v>
      </c>
      <c r="C659" s="1" t="n">
        <v>46049</v>
      </c>
      <c r="D659" t="inlineStr">
        <is>
          <t>SÖDERMANLANDS LÄN</t>
        </is>
      </c>
      <c r="E659" t="inlineStr">
        <is>
          <t>KATRINEHOLM</t>
        </is>
      </c>
      <c r="G659" t="n">
        <v>4.9</v>
      </c>
      <c r="H659" t="n">
        <v>0</v>
      </c>
      <c r="I659" t="n">
        <v>0</v>
      </c>
      <c r="J659" t="n">
        <v>0</v>
      </c>
      <c r="K659" t="n">
        <v>0</v>
      </c>
      <c r="L659" t="n">
        <v>0</v>
      </c>
      <c r="M659" t="n">
        <v>0</v>
      </c>
      <c r="N659" t="n">
        <v>0</v>
      </c>
      <c r="O659" t="n">
        <v>0</v>
      </c>
      <c r="P659" t="n">
        <v>0</v>
      </c>
      <c r="Q659" t="n">
        <v>0</v>
      </c>
      <c r="R659" s="2" t="inlineStr"/>
    </row>
    <row r="660" ht="15" customHeight="1">
      <c r="A660" t="inlineStr">
        <is>
          <t>A 2325-2023</t>
        </is>
      </c>
      <c r="B660" s="1" t="n">
        <v>44942</v>
      </c>
      <c r="C660" s="1" t="n">
        <v>46049</v>
      </c>
      <c r="D660" t="inlineStr">
        <is>
          <t>SÖDERMANLANDS LÄN</t>
        </is>
      </c>
      <c r="E660" t="inlineStr">
        <is>
          <t>KATRINEHOLM</t>
        </is>
      </c>
      <c r="G660" t="n">
        <v>5.6</v>
      </c>
      <c r="H660" t="n">
        <v>0</v>
      </c>
      <c r="I660" t="n">
        <v>0</v>
      </c>
      <c r="J660" t="n">
        <v>0</v>
      </c>
      <c r="K660" t="n">
        <v>0</v>
      </c>
      <c r="L660" t="n">
        <v>0</v>
      </c>
      <c r="M660" t="n">
        <v>0</v>
      </c>
      <c r="N660" t="n">
        <v>0</v>
      </c>
      <c r="O660" t="n">
        <v>0</v>
      </c>
      <c r="P660" t="n">
        <v>0</v>
      </c>
      <c r="Q660" t="n">
        <v>0</v>
      </c>
      <c r="R660" s="2" t="inlineStr"/>
    </row>
    <row r="661" ht="15" customHeight="1">
      <c r="A661" t="inlineStr">
        <is>
          <t>A 46011-2021</t>
        </is>
      </c>
      <c r="B661" s="1" t="n">
        <v>44441.88092592593</v>
      </c>
      <c r="C661" s="1" t="n">
        <v>46049</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62140-2022</t>
        </is>
      </c>
      <c r="B662" s="1" t="n">
        <v>44922</v>
      </c>
      <c r="C662" s="1" t="n">
        <v>46049</v>
      </c>
      <c r="D662" t="inlineStr">
        <is>
          <t>SÖDERMANLANDS LÄN</t>
        </is>
      </c>
      <c r="E662" t="inlineStr">
        <is>
          <t>KATRINEHOLM</t>
        </is>
      </c>
      <c r="F662" t="inlineStr">
        <is>
          <t>Övriga Aktiebolag</t>
        </is>
      </c>
      <c r="G662" t="n">
        <v>2.4</v>
      </c>
      <c r="H662" t="n">
        <v>0</v>
      </c>
      <c r="I662" t="n">
        <v>0</v>
      </c>
      <c r="J662" t="n">
        <v>0</v>
      </c>
      <c r="K662" t="n">
        <v>0</v>
      </c>
      <c r="L662" t="n">
        <v>0</v>
      </c>
      <c r="M662" t="n">
        <v>0</v>
      </c>
      <c r="N662" t="n">
        <v>0</v>
      </c>
      <c r="O662" t="n">
        <v>0</v>
      </c>
      <c r="P662" t="n">
        <v>0</v>
      </c>
      <c r="Q662" t="n">
        <v>0</v>
      </c>
      <c r="R662" s="2" t="inlineStr"/>
    </row>
    <row r="663" ht="15" customHeight="1">
      <c r="A663" t="inlineStr">
        <is>
          <t>A 33934-2022</t>
        </is>
      </c>
      <c r="B663" s="1" t="n">
        <v>44790</v>
      </c>
      <c r="C663" s="1" t="n">
        <v>46049</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13171-2024</t>
        </is>
      </c>
      <c r="B664" s="1" t="n">
        <v>45386</v>
      </c>
      <c r="C664" s="1" t="n">
        <v>46049</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59384-2022</t>
        </is>
      </c>
      <c r="B665" s="1" t="n">
        <v>44905</v>
      </c>
      <c r="C665" s="1" t="n">
        <v>46049</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13086-2023</t>
        </is>
      </c>
      <c r="B666" s="1" t="n">
        <v>45002.42188657408</v>
      </c>
      <c r="C666" s="1" t="n">
        <v>46049</v>
      </c>
      <c r="D666" t="inlineStr">
        <is>
          <t>SÖDERMANLANDS LÄN</t>
        </is>
      </c>
      <c r="E666" t="inlineStr">
        <is>
          <t>KATRINEHOLM</t>
        </is>
      </c>
      <c r="G666" t="n">
        <v>2.2</v>
      </c>
      <c r="H666" t="n">
        <v>0</v>
      </c>
      <c r="I666" t="n">
        <v>0</v>
      </c>
      <c r="J666" t="n">
        <v>0</v>
      </c>
      <c r="K666" t="n">
        <v>0</v>
      </c>
      <c r="L666" t="n">
        <v>0</v>
      </c>
      <c r="M666" t="n">
        <v>0</v>
      </c>
      <c r="N666" t="n">
        <v>0</v>
      </c>
      <c r="O666" t="n">
        <v>0</v>
      </c>
      <c r="P666" t="n">
        <v>0</v>
      </c>
      <c r="Q666" t="n">
        <v>0</v>
      </c>
      <c r="R666" s="2" t="inlineStr"/>
    </row>
    <row r="667" ht="15" customHeight="1">
      <c r="A667" t="inlineStr">
        <is>
          <t>A 19670-2022</t>
        </is>
      </c>
      <c r="B667" s="1" t="n">
        <v>44694</v>
      </c>
      <c r="C667" s="1" t="n">
        <v>46049</v>
      </c>
      <c r="D667" t="inlineStr">
        <is>
          <t>SÖDERMANLANDS LÄN</t>
        </is>
      </c>
      <c r="E667" t="inlineStr">
        <is>
          <t>KATRINEHOLM</t>
        </is>
      </c>
      <c r="G667" t="n">
        <v>13.6</v>
      </c>
      <c r="H667" t="n">
        <v>0</v>
      </c>
      <c r="I667" t="n">
        <v>0</v>
      </c>
      <c r="J667" t="n">
        <v>0</v>
      </c>
      <c r="K667" t="n">
        <v>0</v>
      </c>
      <c r="L667" t="n">
        <v>0</v>
      </c>
      <c r="M667" t="n">
        <v>0</v>
      </c>
      <c r="N667" t="n">
        <v>0</v>
      </c>
      <c r="O667" t="n">
        <v>0</v>
      </c>
      <c r="P667" t="n">
        <v>0</v>
      </c>
      <c r="Q667" t="n">
        <v>0</v>
      </c>
      <c r="R667" s="2" t="inlineStr"/>
    </row>
    <row r="668" ht="15" customHeight="1">
      <c r="A668" t="inlineStr">
        <is>
          <t>A 19107-2022</t>
        </is>
      </c>
      <c r="B668" s="1" t="n">
        <v>44691.54077546296</v>
      </c>
      <c r="C668" s="1" t="n">
        <v>46049</v>
      </c>
      <c r="D668" t="inlineStr">
        <is>
          <t>SÖDERMANLANDS LÄN</t>
        </is>
      </c>
      <c r="E668" t="inlineStr">
        <is>
          <t>KATRINEHOLM</t>
        </is>
      </c>
      <c r="G668" t="n">
        <v>1</v>
      </c>
      <c r="H668" t="n">
        <v>0</v>
      </c>
      <c r="I668" t="n">
        <v>0</v>
      </c>
      <c r="J668" t="n">
        <v>0</v>
      </c>
      <c r="K668" t="n">
        <v>0</v>
      </c>
      <c r="L668" t="n">
        <v>0</v>
      </c>
      <c r="M668" t="n">
        <v>0</v>
      </c>
      <c r="N668" t="n">
        <v>0</v>
      </c>
      <c r="O668" t="n">
        <v>0</v>
      </c>
      <c r="P668" t="n">
        <v>0</v>
      </c>
      <c r="Q668" t="n">
        <v>0</v>
      </c>
      <c r="R668" s="2" t="inlineStr"/>
    </row>
    <row r="669" ht="15" customHeight="1">
      <c r="A669" t="inlineStr">
        <is>
          <t>A 30333-2023</t>
        </is>
      </c>
      <c r="B669" s="1" t="n">
        <v>45111</v>
      </c>
      <c r="C669" s="1" t="n">
        <v>46049</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6175-2023</t>
        </is>
      </c>
      <c r="B670" s="1" t="n">
        <v>44964</v>
      </c>
      <c r="C670" s="1" t="n">
        <v>46049</v>
      </c>
      <c r="D670" t="inlineStr">
        <is>
          <t>SÖDERMANLANDS LÄN</t>
        </is>
      </c>
      <c r="E670" t="inlineStr">
        <is>
          <t>KATRINEHOLM</t>
        </is>
      </c>
      <c r="G670" t="n">
        <v>11.2</v>
      </c>
      <c r="H670" t="n">
        <v>0</v>
      </c>
      <c r="I670" t="n">
        <v>0</v>
      </c>
      <c r="J670" t="n">
        <v>0</v>
      </c>
      <c r="K670" t="n">
        <v>0</v>
      </c>
      <c r="L670" t="n">
        <v>0</v>
      </c>
      <c r="M670" t="n">
        <v>0</v>
      </c>
      <c r="N670" t="n">
        <v>0</v>
      </c>
      <c r="O670" t="n">
        <v>0</v>
      </c>
      <c r="P670" t="n">
        <v>0</v>
      </c>
      <c r="Q670" t="n">
        <v>0</v>
      </c>
      <c r="R670" s="2" t="inlineStr"/>
    </row>
    <row r="671" ht="15" customHeight="1">
      <c r="A671" t="inlineStr">
        <is>
          <t>A 11875-2023</t>
        </is>
      </c>
      <c r="B671" s="1" t="n">
        <v>44995</v>
      </c>
      <c r="C671" s="1" t="n">
        <v>46049</v>
      </c>
      <c r="D671" t="inlineStr">
        <is>
          <t>SÖDERMANLANDS LÄN</t>
        </is>
      </c>
      <c r="E671" t="inlineStr">
        <is>
          <t>KATRINEHOLM</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6796-2022</t>
        </is>
      </c>
      <c r="B672" s="1" t="n">
        <v>44602</v>
      </c>
      <c r="C672" s="1" t="n">
        <v>46049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13612-2023</t>
        </is>
      </c>
      <c r="B673" s="1" t="n">
        <v>45006</v>
      </c>
      <c r="C673" s="1" t="n">
        <v>46049</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46049</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8765-2023</t>
        </is>
      </c>
      <c r="B675" s="1" t="n">
        <v>44978.52131944444</v>
      </c>
      <c r="C675" s="1" t="n">
        <v>46049</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57154-2023</t>
        </is>
      </c>
      <c r="B676" s="1" t="n">
        <v>45245</v>
      </c>
      <c r="C676" s="1" t="n">
        <v>46049</v>
      </c>
      <c r="D676" t="inlineStr">
        <is>
          <t>SÖDERMANLANDS LÄN</t>
        </is>
      </c>
      <c r="E676" t="inlineStr">
        <is>
          <t>KATRINEHOLM</t>
        </is>
      </c>
      <c r="F676" t="inlineStr">
        <is>
          <t>Allmännings- och besparingsskogar</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46049</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51530-2023</t>
        </is>
      </c>
      <c r="B678" s="1" t="n">
        <v>45222</v>
      </c>
      <c r="C678" s="1" t="n">
        <v>46049</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23916-2023</t>
        </is>
      </c>
      <c r="B679" s="1" t="n">
        <v>45075</v>
      </c>
      <c r="C679" s="1" t="n">
        <v>46049</v>
      </c>
      <c r="D679" t="inlineStr">
        <is>
          <t>SÖDERMANLANDS LÄN</t>
        </is>
      </c>
      <c r="E679" t="inlineStr">
        <is>
          <t>KATRINEHOLM</t>
        </is>
      </c>
      <c r="G679" t="n">
        <v>8</v>
      </c>
      <c r="H679" t="n">
        <v>0</v>
      </c>
      <c r="I679" t="n">
        <v>0</v>
      </c>
      <c r="J679" t="n">
        <v>0</v>
      </c>
      <c r="K679" t="n">
        <v>0</v>
      </c>
      <c r="L679" t="n">
        <v>0</v>
      </c>
      <c r="M679" t="n">
        <v>0</v>
      </c>
      <c r="N679" t="n">
        <v>0</v>
      </c>
      <c r="O679" t="n">
        <v>0</v>
      </c>
      <c r="P679" t="n">
        <v>0</v>
      </c>
      <c r="Q679" t="n">
        <v>0</v>
      </c>
      <c r="R679" s="2" t="inlineStr"/>
    </row>
    <row r="680" ht="15" customHeight="1">
      <c r="A680" t="inlineStr">
        <is>
          <t>A 38879-2024</t>
        </is>
      </c>
      <c r="B680" s="1" t="n">
        <v>45547</v>
      </c>
      <c r="C680" s="1" t="n">
        <v>46049</v>
      </c>
      <c r="D680" t="inlineStr">
        <is>
          <t>SÖDERMANLANDS LÄN</t>
        </is>
      </c>
      <c r="E680" t="inlineStr">
        <is>
          <t>KATRINEHOLM</t>
        </is>
      </c>
      <c r="G680" t="n">
        <v>2.6</v>
      </c>
      <c r="H680" t="n">
        <v>0</v>
      </c>
      <c r="I680" t="n">
        <v>0</v>
      </c>
      <c r="J680" t="n">
        <v>0</v>
      </c>
      <c r="K680" t="n">
        <v>0</v>
      </c>
      <c r="L680" t="n">
        <v>0</v>
      </c>
      <c r="M680" t="n">
        <v>0</v>
      </c>
      <c r="N680" t="n">
        <v>0</v>
      </c>
      <c r="O680" t="n">
        <v>0</v>
      </c>
      <c r="P680" t="n">
        <v>0</v>
      </c>
      <c r="Q680" t="n">
        <v>0</v>
      </c>
      <c r="R680" s="2" t="inlineStr"/>
    </row>
    <row r="681" ht="15" customHeight="1">
      <c r="A681" t="inlineStr">
        <is>
          <t>A 9437-2022</t>
        </is>
      </c>
      <c r="B681" s="1" t="n">
        <v>44616.69246527777</v>
      </c>
      <c r="C681" s="1" t="n">
        <v>46049</v>
      </c>
      <c r="D681" t="inlineStr">
        <is>
          <t>SÖDERMANLANDS LÄN</t>
        </is>
      </c>
      <c r="E681" t="inlineStr">
        <is>
          <t>KATRINEHOLM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25362-2023</t>
        </is>
      </c>
      <c r="B682" s="1" t="n">
        <v>45088.83430555555</v>
      </c>
      <c r="C682" s="1" t="n">
        <v>46049</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4662-2023</t>
        </is>
      </c>
      <c r="B683" s="1" t="n">
        <v>44957</v>
      </c>
      <c r="C683" s="1" t="n">
        <v>46049</v>
      </c>
      <c r="D683" t="inlineStr">
        <is>
          <t>SÖDERMANLANDS LÄN</t>
        </is>
      </c>
      <c r="E683" t="inlineStr">
        <is>
          <t>KATRINEHOLM</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19685-2022</t>
        </is>
      </c>
      <c r="B684" s="1" t="n">
        <v>44694</v>
      </c>
      <c r="C684" s="1" t="n">
        <v>46049</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62419-2023</t>
        </is>
      </c>
      <c r="B685" s="1" t="n">
        <v>45268</v>
      </c>
      <c r="C685" s="1" t="n">
        <v>46049</v>
      </c>
      <c r="D685" t="inlineStr">
        <is>
          <t>SÖDERMANLANDS LÄN</t>
        </is>
      </c>
      <c r="E685" t="inlineStr">
        <is>
          <t>KATRINEHOLM</t>
        </is>
      </c>
      <c r="G685" t="n">
        <v>9</v>
      </c>
      <c r="H685" t="n">
        <v>0</v>
      </c>
      <c r="I685" t="n">
        <v>0</v>
      </c>
      <c r="J685" t="n">
        <v>0</v>
      </c>
      <c r="K685" t="n">
        <v>0</v>
      </c>
      <c r="L685" t="n">
        <v>0</v>
      </c>
      <c r="M685" t="n">
        <v>0</v>
      </c>
      <c r="N685" t="n">
        <v>0</v>
      </c>
      <c r="O685" t="n">
        <v>0</v>
      </c>
      <c r="P685" t="n">
        <v>0</v>
      </c>
      <c r="Q685" t="n">
        <v>0</v>
      </c>
      <c r="R685" s="2" t="inlineStr"/>
    </row>
    <row r="686" ht="15" customHeight="1">
      <c r="A686" t="inlineStr">
        <is>
          <t>A 39897-2023</t>
        </is>
      </c>
      <c r="B686" s="1" t="n">
        <v>45168</v>
      </c>
      <c r="C686" s="1" t="n">
        <v>46049</v>
      </c>
      <c r="D686" t="inlineStr">
        <is>
          <t>SÖDERMANLANDS LÄN</t>
        </is>
      </c>
      <c r="E686" t="inlineStr">
        <is>
          <t>KATRINEHOLM</t>
        </is>
      </c>
      <c r="G686" t="n">
        <v>15.6</v>
      </c>
      <c r="H686" t="n">
        <v>0</v>
      </c>
      <c r="I686" t="n">
        <v>0</v>
      </c>
      <c r="J686" t="n">
        <v>0</v>
      </c>
      <c r="K686" t="n">
        <v>0</v>
      </c>
      <c r="L686" t="n">
        <v>0</v>
      </c>
      <c r="M686" t="n">
        <v>0</v>
      </c>
      <c r="N686" t="n">
        <v>0</v>
      </c>
      <c r="O686" t="n">
        <v>0</v>
      </c>
      <c r="P686" t="n">
        <v>0</v>
      </c>
      <c r="Q686" t="n">
        <v>0</v>
      </c>
      <c r="R686" s="2" t="inlineStr"/>
    </row>
    <row r="687" ht="15" customHeight="1">
      <c r="A687" t="inlineStr">
        <is>
          <t>A 23207-2023</t>
        </is>
      </c>
      <c r="B687" s="1" t="n">
        <v>45071</v>
      </c>
      <c r="C687" s="1" t="n">
        <v>46049</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44830.47399305556</v>
      </c>
      <c r="C688" s="1" t="n">
        <v>46049</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8791-2023</t>
        </is>
      </c>
      <c r="B689" s="1" t="n">
        <v>44978</v>
      </c>
      <c r="C689" s="1" t="n">
        <v>46049</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48253-2022</t>
        </is>
      </c>
      <c r="B690" s="1" t="n">
        <v>44858</v>
      </c>
      <c r="C690" s="1" t="n">
        <v>46049</v>
      </c>
      <c r="D690" t="inlineStr">
        <is>
          <t>SÖDERMANLANDS LÄN</t>
        </is>
      </c>
      <c r="E690" t="inlineStr">
        <is>
          <t>KATRINEHOLM</t>
        </is>
      </c>
      <c r="G690" t="n">
        <v>4.7</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46049</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31719-2024</t>
        </is>
      </c>
      <c r="B692" s="1" t="n">
        <v>45509</v>
      </c>
      <c r="C692" s="1" t="n">
        <v>46049</v>
      </c>
      <c r="D692" t="inlineStr">
        <is>
          <t>SÖDERMANLANDS LÄN</t>
        </is>
      </c>
      <c r="E692" t="inlineStr">
        <is>
          <t>KATRINEHOLM</t>
        </is>
      </c>
      <c r="F692" t="inlineStr">
        <is>
          <t>Kyrkan</t>
        </is>
      </c>
      <c r="G692" t="n">
        <v>11.9</v>
      </c>
      <c r="H692" t="n">
        <v>0</v>
      </c>
      <c r="I692" t="n">
        <v>0</v>
      </c>
      <c r="J692" t="n">
        <v>0</v>
      </c>
      <c r="K692" t="n">
        <v>0</v>
      </c>
      <c r="L692" t="n">
        <v>0</v>
      </c>
      <c r="M692" t="n">
        <v>0</v>
      </c>
      <c r="N692" t="n">
        <v>0</v>
      </c>
      <c r="O692" t="n">
        <v>0</v>
      </c>
      <c r="P692" t="n">
        <v>0</v>
      </c>
      <c r="Q692" t="n">
        <v>0</v>
      </c>
      <c r="R692" s="2" t="inlineStr"/>
    </row>
    <row r="693" ht="15" customHeight="1">
      <c r="A693" t="inlineStr">
        <is>
          <t>A 13175-2024</t>
        </is>
      </c>
      <c r="B693" s="1" t="n">
        <v>45386</v>
      </c>
      <c r="C693" s="1" t="n">
        <v>46049</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40744-2022</t>
        </is>
      </c>
      <c r="B694" s="1" t="n">
        <v>44824.55655092592</v>
      </c>
      <c r="C694" s="1" t="n">
        <v>46049</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8761-2023</t>
        </is>
      </c>
      <c r="B695" s="1" t="n">
        <v>44978.49685185185</v>
      </c>
      <c r="C695" s="1" t="n">
        <v>46049</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8778-2023</t>
        </is>
      </c>
      <c r="B696" s="1" t="n">
        <v>44978.5737037037</v>
      </c>
      <c r="C696" s="1" t="n">
        <v>46049</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8457-2023</t>
        </is>
      </c>
      <c r="B697" s="1" t="n">
        <v>44977</v>
      </c>
      <c r="C697" s="1" t="n">
        <v>46049</v>
      </c>
      <c r="D697" t="inlineStr">
        <is>
          <t>SÖDERMANLANDS LÄN</t>
        </is>
      </c>
      <c r="E697" t="inlineStr">
        <is>
          <t>KATRINEHOLM</t>
        </is>
      </c>
      <c r="F697" t="inlineStr">
        <is>
          <t>Allmännings- och besparingsskogar</t>
        </is>
      </c>
      <c r="G697" t="n">
        <v>16.1</v>
      </c>
      <c r="H697" t="n">
        <v>0</v>
      </c>
      <c r="I697" t="n">
        <v>0</v>
      </c>
      <c r="J697" t="n">
        <v>0</v>
      </c>
      <c r="K697" t="n">
        <v>0</v>
      </c>
      <c r="L697" t="n">
        <v>0</v>
      </c>
      <c r="M697" t="n">
        <v>0</v>
      </c>
      <c r="N697" t="n">
        <v>0</v>
      </c>
      <c r="O697" t="n">
        <v>0</v>
      </c>
      <c r="P697" t="n">
        <v>0</v>
      </c>
      <c r="Q697" t="n">
        <v>0</v>
      </c>
      <c r="R697" s="2" t="inlineStr"/>
    </row>
    <row r="698" ht="15" customHeight="1">
      <c r="A698" t="inlineStr">
        <is>
          <t>A 7056-2022</t>
        </is>
      </c>
      <c r="B698" s="1" t="n">
        <v>44603</v>
      </c>
      <c r="C698" s="1" t="n">
        <v>46049</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32786-2022</t>
        </is>
      </c>
      <c r="B699" s="1" t="n">
        <v>44784</v>
      </c>
      <c r="C699" s="1" t="n">
        <v>46049</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7223-2022</t>
        </is>
      </c>
      <c r="B700" s="1" t="n">
        <v>44603</v>
      </c>
      <c r="C700" s="1" t="n">
        <v>46049</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7459-2022</t>
        </is>
      </c>
      <c r="B701" s="1" t="n">
        <v>44607.35009259259</v>
      </c>
      <c r="C701" s="1" t="n">
        <v>46049</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27375-2024</t>
        </is>
      </c>
      <c r="B702" s="1" t="n">
        <v>45473.87645833333</v>
      </c>
      <c r="C702" s="1" t="n">
        <v>46049</v>
      </c>
      <c r="D702" t="inlineStr">
        <is>
          <t>SÖDERMANLANDS LÄN</t>
        </is>
      </c>
      <c r="E702" t="inlineStr">
        <is>
          <t>KATRINEHOLM</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20768-2022</t>
        </is>
      </c>
      <c r="B703" s="1" t="n">
        <v>44701.36431712963</v>
      </c>
      <c r="C703" s="1" t="n">
        <v>46049</v>
      </c>
      <c r="D703" t="inlineStr">
        <is>
          <t>SÖDERMANLANDS LÄN</t>
        </is>
      </c>
      <c r="E703" t="inlineStr">
        <is>
          <t>KATRINEHOLM</t>
        </is>
      </c>
      <c r="G703" t="n">
        <v>3.5</v>
      </c>
      <c r="H703" t="n">
        <v>0</v>
      </c>
      <c r="I703" t="n">
        <v>0</v>
      </c>
      <c r="J703" t="n">
        <v>0</v>
      </c>
      <c r="K703" t="n">
        <v>0</v>
      </c>
      <c r="L703" t="n">
        <v>0</v>
      </c>
      <c r="M703" t="n">
        <v>0</v>
      </c>
      <c r="N703" t="n">
        <v>0</v>
      </c>
      <c r="O703" t="n">
        <v>0</v>
      </c>
      <c r="P703" t="n">
        <v>0</v>
      </c>
      <c r="Q703" t="n">
        <v>0</v>
      </c>
      <c r="R703" s="2" t="inlineStr"/>
    </row>
    <row r="704" ht="15" customHeight="1">
      <c r="A704" t="inlineStr">
        <is>
          <t>A 15284-2023</t>
        </is>
      </c>
      <c r="B704" s="1" t="n">
        <v>45019</v>
      </c>
      <c r="C704" s="1" t="n">
        <v>46049</v>
      </c>
      <c r="D704" t="inlineStr">
        <is>
          <t>SÖDERMANLANDS LÄN</t>
        </is>
      </c>
      <c r="E704" t="inlineStr">
        <is>
          <t>KATRINEHOLM</t>
        </is>
      </c>
      <c r="F704" t="inlineStr">
        <is>
          <t>Allmännings- och besparingsskogar</t>
        </is>
      </c>
      <c r="G704" t="n">
        <v>17.4</v>
      </c>
      <c r="H704" t="n">
        <v>0</v>
      </c>
      <c r="I704" t="n">
        <v>0</v>
      </c>
      <c r="J704" t="n">
        <v>0</v>
      </c>
      <c r="K704" t="n">
        <v>0</v>
      </c>
      <c r="L704" t="n">
        <v>0</v>
      </c>
      <c r="M704" t="n">
        <v>0</v>
      </c>
      <c r="N704" t="n">
        <v>0</v>
      </c>
      <c r="O704" t="n">
        <v>0</v>
      </c>
      <c r="P704" t="n">
        <v>0</v>
      </c>
      <c r="Q704" t="n">
        <v>0</v>
      </c>
      <c r="R704" s="2" t="inlineStr"/>
    </row>
    <row r="705" ht="15" customHeight="1">
      <c r="A705" t="inlineStr">
        <is>
          <t>A 51613-2022</t>
        </is>
      </c>
      <c r="B705" s="1" t="n">
        <v>44871</v>
      </c>
      <c r="C705" s="1" t="n">
        <v>46049</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37834-2023</t>
        </is>
      </c>
      <c r="B706" s="1" t="n">
        <v>45160</v>
      </c>
      <c r="C706" s="1" t="n">
        <v>46049</v>
      </c>
      <c r="D706" t="inlineStr">
        <is>
          <t>SÖDERMANLANDS LÄN</t>
        </is>
      </c>
      <c r="E706" t="inlineStr">
        <is>
          <t>KATRINEHOLM</t>
        </is>
      </c>
      <c r="F706" t="inlineStr">
        <is>
          <t>Kyrkan</t>
        </is>
      </c>
      <c r="G706" t="n">
        <v>2.8</v>
      </c>
      <c r="H706" t="n">
        <v>0</v>
      </c>
      <c r="I706" t="n">
        <v>0</v>
      </c>
      <c r="J706" t="n">
        <v>0</v>
      </c>
      <c r="K706" t="n">
        <v>0</v>
      </c>
      <c r="L706" t="n">
        <v>0</v>
      </c>
      <c r="M706" t="n">
        <v>0</v>
      </c>
      <c r="N706" t="n">
        <v>0</v>
      </c>
      <c r="O706" t="n">
        <v>0</v>
      </c>
      <c r="P706" t="n">
        <v>0</v>
      </c>
      <c r="Q706" t="n">
        <v>0</v>
      </c>
      <c r="R706" s="2" t="inlineStr"/>
    </row>
    <row r="707" ht="15" customHeight="1">
      <c r="A707" t="inlineStr">
        <is>
          <t>A 8475-2023</t>
        </is>
      </c>
      <c r="B707" s="1" t="n">
        <v>44977</v>
      </c>
      <c r="C707" s="1" t="n">
        <v>46049</v>
      </c>
      <c r="D707" t="inlineStr">
        <is>
          <t>SÖDERMANLANDS LÄN</t>
        </is>
      </c>
      <c r="E707" t="inlineStr">
        <is>
          <t>KATRINEHOLM</t>
        </is>
      </c>
      <c r="F707" t="inlineStr">
        <is>
          <t>Allmännings- och besparingsskogar</t>
        </is>
      </c>
      <c r="G707" t="n">
        <v>8.1</v>
      </c>
      <c r="H707" t="n">
        <v>0</v>
      </c>
      <c r="I707" t="n">
        <v>0</v>
      </c>
      <c r="J707" t="n">
        <v>0</v>
      </c>
      <c r="K707" t="n">
        <v>0</v>
      </c>
      <c r="L707" t="n">
        <v>0</v>
      </c>
      <c r="M707" t="n">
        <v>0</v>
      </c>
      <c r="N707" t="n">
        <v>0</v>
      </c>
      <c r="O707" t="n">
        <v>0</v>
      </c>
      <c r="P707" t="n">
        <v>0</v>
      </c>
      <c r="Q707" t="n">
        <v>0</v>
      </c>
      <c r="R707" s="2" t="inlineStr"/>
    </row>
    <row r="708" ht="15" customHeight="1">
      <c r="A708" t="inlineStr">
        <is>
          <t>A 32890-2024</t>
        </is>
      </c>
      <c r="B708" s="1" t="n">
        <v>45516</v>
      </c>
      <c r="C708" s="1" t="n">
        <v>46049</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2320-2023</t>
        </is>
      </c>
      <c r="B709" s="1" t="n">
        <v>44942.58850694444</v>
      </c>
      <c r="C709" s="1" t="n">
        <v>46049</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59898-2022</t>
        </is>
      </c>
      <c r="B710" s="1" t="n">
        <v>44908</v>
      </c>
      <c r="C710" s="1" t="n">
        <v>46049</v>
      </c>
      <c r="D710" t="inlineStr">
        <is>
          <t>SÖDERMANLANDS LÄN</t>
        </is>
      </c>
      <c r="E710" t="inlineStr">
        <is>
          <t>KATRINEHOLM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20326-2023</t>
        </is>
      </c>
      <c r="B711" s="1" t="n">
        <v>45056.46821759259</v>
      </c>
      <c r="C711" s="1" t="n">
        <v>46049</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46049</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45246-2023</t>
        </is>
      </c>
      <c r="B713" s="1" t="n">
        <v>45191</v>
      </c>
      <c r="C713" s="1" t="n">
        <v>46049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2735-2025</t>
        </is>
      </c>
      <c r="B714" s="1" t="n">
        <v>45677</v>
      </c>
      <c r="C714" s="1" t="n">
        <v>46049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49914-2023</t>
        </is>
      </c>
      <c r="B715" s="1" t="n">
        <v>45214</v>
      </c>
      <c r="C715" s="1" t="n">
        <v>46049</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17335-2023</t>
        </is>
      </c>
      <c r="B716" s="1" t="n">
        <v>45033</v>
      </c>
      <c r="C716" s="1" t="n">
        <v>46049</v>
      </c>
      <c r="D716" t="inlineStr">
        <is>
          <t>SÖDERMANLANDS LÄN</t>
        </is>
      </c>
      <c r="E716" t="inlineStr">
        <is>
          <t>KATRINEHOLM</t>
        </is>
      </c>
      <c r="G716" t="n">
        <v>3.3</v>
      </c>
      <c r="H716" t="n">
        <v>0</v>
      </c>
      <c r="I716" t="n">
        <v>0</v>
      </c>
      <c r="J716" t="n">
        <v>0</v>
      </c>
      <c r="K716" t="n">
        <v>0</v>
      </c>
      <c r="L716" t="n">
        <v>0</v>
      </c>
      <c r="M716" t="n">
        <v>0</v>
      </c>
      <c r="N716" t="n">
        <v>0</v>
      </c>
      <c r="O716" t="n">
        <v>0</v>
      </c>
      <c r="P716" t="n">
        <v>0</v>
      </c>
      <c r="Q716" t="n">
        <v>0</v>
      </c>
      <c r="R716" s="2" t="inlineStr"/>
    </row>
    <row r="717" ht="15" customHeight="1">
      <c r="A717" t="inlineStr">
        <is>
          <t>A 16605-2025</t>
        </is>
      </c>
      <c r="B717" s="1" t="n">
        <v>45753.61614583333</v>
      </c>
      <c r="C717" s="1" t="n">
        <v>46049</v>
      </c>
      <c r="D717" t="inlineStr">
        <is>
          <t>SÖDERMANLANDS LÄN</t>
        </is>
      </c>
      <c r="E717" t="inlineStr">
        <is>
          <t>KATRINEHOLM</t>
        </is>
      </c>
      <c r="G717" t="n">
        <v>5.2</v>
      </c>
      <c r="H717" t="n">
        <v>0</v>
      </c>
      <c r="I717" t="n">
        <v>0</v>
      </c>
      <c r="J717" t="n">
        <v>0</v>
      </c>
      <c r="K717" t="n">
        <v>0</v>
      </c>
      <c r="L717" t="n">
        <v>0</v>
      </c>
      <c r="M717" t="n">
        <v>0</v>
      </c>
      <c r="N717" t="n">
        <v>0</v>
      </c>
      <c r="O717" t="n">
        <v>0</v>
      </c>
      <c r="P717" t="n">
        <v>0</v>
      </c>
      <c r="Q717" t="n">
        <v>0</v>
      </c>
      <c r="R717" s="2" t="inlineStr"/>
    </row>
    <row r="718" ht="15" customHeight="1">
      <c r="A718" t="inlineStr">
        <is>
          <t>A 33141-2023</t>
        </is>
      </c>
      <c r="B718" s="1" t="n">
        <v>45126.65491898148</v>
      </c>
      <c r="C718" s="1" t="n">
        <v>46049</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58528-2024</t>
        </is>
      </c>
      <c r="B719" s="1" t="n">
        <v>45635.44527777778</v>
      </c>
      <c r="C719" s="1" t="n">
        <v>46049</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9899-2023</t>
        </is>
      </c>
      <c r="B720" s="1" t="n">
        <v>44985</v>
      </c>
      <c r="C720" s="1" t="n">
        <v>46049</v>
      </c>
      <c r="D720" t="inlineStr">
        <is>
          <t>SÖDERMANLANDS LÄN</t>
        </is>
      </c>
      <c r="E720" t="inlineStr">
        <is>
          <t>KATRINEHOLM</t>
        </is>
      </c>
      <c r="F720" t="inlineStr">
        <is>
          <t>Allmännings- och besparingsskogar</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8288-2023</t>
        </is>
      </c>
      <c r="B721" s="1" t="n">
        <v>44974</v>
      </c>
      <c r="C721" s="1" t="n">
        <v>46049</v>
      </c>
      <c r="D721" t="inlineStr">
        <is>
          <t>SÖDERMANLANDS LÄN</t>
        </is>
      </c>
      <c r="E721" t="inlineStr">
        <is>
          <t>KATRINEHOLM</t>
        </is>
      </c>
      <c r="F721" t="inlineStr">
        <is>
          <t>Allmännings- och besparingsskogar</t>
        </is>
      </c>
      <c r="G721" t="n">
        <v>5.6</v>
      </c>
      <c r="H721" t="n">
        <v>0</v>
      </c>
      <c r="I721" t="n">
        <v>0</v>
      </c>
      <c r="J721" t="n">
        <v>0</v>
      </c>
      <c r="K721" t="n">
        <v>0</v>
      </c>
      <c r="L721" t="n">
        <v>0</v>
      </c>
      <c r="M721" t="n">
        <v>0</v>
      </c>
      <c r="N721" t="n">
        <v>0</v>
      </c>
      <c r="O721" t="n">
        <v>0</v>
      </c>
      <c r="P721" t="n">
        <v>0</v>
      </c>
      <c r="Q721" t="n">
        <v>0</v>
      </c>
      <c r="R721" s="2" t="inlineStr"/>
    </row>
    <row r="722" ht="15" customHeight="1">
      <c r="A722" t="inlineStr">
        <is>
          <t>A 3317-2023</t>
        </is>
      </c>
      <c r="B722" s="1" t="n">
        <v>44945</v>
      </c>
      <c r="C722" s="1" t="n">
        <v>46049</v>
      </c>
      <c r="D722" t="inlineStr">
        <is>
          <t>SÖDERMANLANDS LÄN</t>
        </is>
      </c>
      <c r="E722" t="inlineStr">
        <is>
          <t>KATRINEHOLM</t>
        </is>
      </c>
      <c r="G722" t="n">
        <v>3.2</v>
      </c>
      <c r="H722" t="n">
        <v>0</v>
      </c>
      <c r="I722" t="n">
        <v>0</v>
      </c>
      <c r="J722" t="n">
        <v>0</v>
      </c>
      <c r="K722" t="n">
        <v>0</v>
      </c>
      <c r="L722" t="n">
        <v>0</v>
      </c>
      <c r="M722" t="n">
        <v>0</v>
      </c>
      <c r="N722" t="n">
        <v>0</v>
      </c>
      <c r="O722" t="n">
        <v>0</v>
      </c>
      <c r="P722" t="n">
        <v>0</v>
      </c>
      <c r="Q722" t="n">
        <v>0</v>
      </c>
      <c r="R722" s="2" t="inlineStr"/>
    </row>
    <row r="723" ht="15" customHeight="1">
      <c r="A723" t="inlineStr">
        <is>
          <t>A 37185-2023</t>
        </is>
      </c>
      <c r="B723" s="1" t="n">
        <v>45154</v>
      </c>
      <c r="C723" s="1" t="n">
        <v>46049</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51848-2022</t>
        </is>
      </c>
      <c r="B724" s="1" t="n">
        <v>44872.57752314815</v>
      </c>
      <c r="C724" s="1" t="n">
        <v>46049</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49218-2023</t>
        </is>
      </c>
      <c r="B725" s="1" t="n">
        <v>45205</v>
      </c>
      <c r="C725" s="1" t="n">
        <v>46049</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55169-2022</t>
        </is>
      </c>
      <c r="B726" s="1" t="n">
        <v>44886</v>
      </c>
      <c r="C726" s="1" t="n">
        <v>46049</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1329-2025</t>
        </is>
      </c>
      <c r="B727" s="1" t="n">
        <v>45667</v>
      </c>
      <c r="C727" s="1" t="n">
        <v>46049</v>
      </c>
      <c r="D727" t="inlineStr">
        <is>
          <t>SÖDERMANLANDS LÄN</t>
        </is>
      </c>
      <c r="E727" t="inlineStr">
        <is>
          <t>KATRINEHOLM</t>
        </is>
      </c>
      <c r="G727" t="n">
        <v>2.7</v>
      </c>
      <c r="H727" t="n">
        <v>0</v>
      </c>
      <c r="I727" t="n">
        <v>0</v>
      </c>
      <c r="J727" t="n">
        <v>0</v>
      </c>
      <c r="K727" t="n">
        <v>0</v>
      </c>
      <c r="L727" t="n">
        <v>0</v>
      </c>
      <c r="M727" t="n">
        <v>0</v>
      </c>
      <c r="N727" t="n">
        <v>0</v>
      </c>
      <c r="O727" t="n">
        <v>0</v>
      </c>
      <c r="P727" t="n">
        <v>0</v>
      </c>
      <c r="Q727" t="n">
        <v>0</v>
      </c>
      <c r="R727" s="2" t="inlineStr"/>
    </row>
    <row r="728" ht="15" customHeight="1">
      <c r="A728" t="inlineStr">
        <is>
          <t>A 61398-2024</t>
        </is>
      </c>
      <c r="B728" s="1" t="n">
        <v>45646.42608796297</v>
      </c>
      <c r="C728" s="1" t="n">
        <v>46049</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24287-2024</t>
        </is>
      </c>
      <c r="B729" s="1" t="n">
        <v>45457</v>
      </c>
      <c r="C729" s="1" t="n">
        <v>46049</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8518-2023</t>
        </is>
      </c>
      <c r="B730" s="1" t="n">
        <v>44977</v>
      </c>
      <c r="C730" s="1" t="n">
        <v>46049</v>
      </c>
      <c r="D730" t="inlineStr">
        <is>
          <t>SÖDERMANLANDS LÄN</t>
        </is>
      </c>
      <c r="E730" t="inlineStr">
        <is>
          <t>KATRINEHOLM</t>
        </is>
      </c>
      <c r="F730" t="inlineStr">
        <is>
          <t>Allmännings- och besparingsskogar</t>
        </is>
      </c>
      <c r="G730" t="n">
        <v>35.3</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46049</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948-2023</t>
        </is>
      </c>
      <c r="B732" s="1" t="n">
        <v>44934</v>
      </c>
      <c r="C732" s="1" t="n">
        <v>46049</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37542-2022</t>
        </is>
      </c>
      <c r="B733" s="1" t="n">
        <v>44809</v>
      </c>
      <c r="C733" s="1" t="n">
        <v>46049</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41229-2022</t>
        </is>
      </c>
      <c r="B734" s="1" t="n">
        <v>44825</v>
      </c>
      <c r="C734" s="1" t="n">
        <v>46049</v>
      </c>
      <c r="D734" t="inlineStr">
        <is>
          <t>SÖDERMANLANDS LÄN</t>
        </is>
      </c>
      <c r="E734" t="inlineStr">
        <is>
          <t>KATRINEHOLM</t>
        </is>
      </c>
      <c r="G734" t="n">
        <v>3.8</v>
      </c>
      <c r="H734" t="n">
        <v>0</v>
      </c>
      <c r="I734" t="n">
        <v>0</v>
      </c>
      <c r="J734" t="n">
        <v>0</v>
      </c>
      <c r="K734" t="n">
        <v>0</v>
      </c>
      <c r="L734" t="n">
        <v>0</v>
      </c>
      <c r="M734" t="n">
        <v>0</v>
      </c>
      <c r="N734" t="n">
        <v>0</v>
      </c>
      <c r="O734" t="n">
        <v>0</v>
      </c>
      <c r="P734" t="n">
        <v>0</v>
      </c>
      <c r="Q734" t="n">
        <v>0</v>
      </c>
      <c r="R734" s="2" t="inlineStr"/>
    </row>
    <row r="735" ht="15" customHeight="1">
      <c r="A735" t="inlineStr">
        <is>
          <t>A 64652-2023</t>
        </is>
      </c>
      <c r="B735" s="1" t="n">
        <v>45281</v>
      </c>
      <c r="C735" s="1" t="n">
        <v>46049</v>
      </c>
      <c r="D735" t="inlineStr">
        <is>
          <t>SÖDERMANLANDS LÄN</t>
        </is>
      </c>
      <c r="E735" t="inlineStr">
        <is>
          <t>KATRINEHOLM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51404-2023</t>
        </is>
      </c>
      <c r="B736" s="1" t="n">
        <v>45214</v>
      </c>
      <c r="C736" s="1" t="n">
        <v>46049</v>
      </c>
      <c r="D736" t="inlineStr">
        <is>
          <t>SÖDERMANLANDS LÄN</t>
        </is>
      </c>
      <c r="E736" t="inlineStr">
        <is>
          <t>KATRINEHOLM</t>
        </is>
      </c>
      <c r="G736" t="n">
        <v>9</v>
      </c>
      <c r="H736" t="n">
        <v>0</v>
      </c>
      <c r="I736" t="n">
        <v>0</v>
      </c>
      <c r="J736" t="n">
        <v>0</v>
      </c>
      <c r="K736" t="n">
        <v>0</v>
      </c>
      <c r="L736" t="n">
        <v>0</v>
      </c>
      <c r="M736" t="n">
        <v>0</v>
      </c>
      <c r="N736" t="n">
        <v>0</v>
      </c>
      <c r="O736" t="n">
        <v>0</v>
      </c>
      <c r="P736" t="n">
        <v>0</v>
      </c>
      <c r="Q736" t="n">
        <v>0</v>
      </c>
      <c r="R736" s="2" t="inlineStr"/>
    </row>
    <row r="737" ht="15" customHeight="1">
      <c r="A737" t="inlineStr">
        <is>
          <t>A 41946-2022</t>
        </is>
      </c>
      <c r="B737" s="1" t="n">
        <v>44830.38502314815</v>
      </c>
      <c r="C737" s="1" t="n">
        <v>46049</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3115-2024</t>
        </is>
      </c>
      <c r="B738" s="1" t="n">
        <v>45316.49630787037</v>
      </c>
      <c r="C738" s="1" t="n">
        <v>46049</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61431-2024</t>
        </is>
      </c>
      <c r="B739" s="1" t="n">
        <v>45646.45950231481</v>
      </c>
      <c r="C739" s="1" t="n">
        <v>46049</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44659-2023</t>
        </is>
      </c>
      <c r="B740" s="1" t="n">
        <v>45189</v>
      </c>
      <c r="C740" s="1" t="n">
        <v>46049</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51446-2023</t>
        </is>
      </c>
      <c r="B741" s="1" t="n">
        <v>45220.48068287037</v>
      </c>
      <c r="C741" s="1" t="n">
        <v>46049</v>
      </c>
      <c r="D741" t="inlineStr">
        <is>
          <t>SÖDERMANLANDS LÄN</t>
        </is>
      </c>
      <c r="E741" t="inlineStr">
        <is>
          <t>KATRINEHOLM</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27955-2023</t>
        </is>
      </c>
      <c r="B742" s="1" t="n">
        <v>45098</v>
      </c>
      <c r="C742" s="1" t="n">
        <v>46049</v>
      </c>
      <c r="D742" t="inlineStr">
        <is>
          <t>SÖDERMANLANDS LÄN</t>
        </is>
      </c>
      <c r="E742" t="inlineStr">
        <is>
          <t>KATRINEHOLM</t>
        </is>
      </c>
      <c r="G742" t="n">
        <v>5.9</v>
      </c>
      <c r="H742" t="n">
        <v>0</v>
      </c>
      <c r="I742" t="n">
        <v>0</v>
      </c>
      <c r="J742" t="n">
        <v>0</v>
      </c>
      <c r="K742" t="n">
        <v>0</v>
      </c>
      <c r="L742" t="n">
        <v>0</v>
      </c>
      <c r="M742" t="n">
        <v>0</v>
      </c>
      <c r="N742" t="n">
        <v>0</v>
      </c>
      <c r="O742" t="n">
        <v>0</v>
      </c>
      <c r="P742" t="n">
        <v>0</v>
      </c>
      <c r="Q742" t="n">
        <v>0</v>
      </c>
      <c r="R742" s="2" t="inlineStr"/>
    </row>
    <row r="743" ht="15" customHeight="1">
      <c r="A743" t="inlineStr">
        <is>
          <t>A 4669-2023</t>
        </is>
      </c>
      <c r="B743" s="1" t="n">
        <v>44957</v>
      </c>
      <c r="C743" s="1" t="n">
        <v>46049</v>
      </c>
      <c r="D743" t="inlineStr">
        <is>
          <t>SÖDERMANLANDS LÄN</t>
        </is>
      </c>
      <c r="E743" t="inlineStr">
        <is>
          <t>KATRINEHOLM</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4724-2023</t>
        </is>
      </c>
      <c r="B744" s="1" t="n">
        <v>44957</v>
      </c>
      <c r="C744" s="1" t="n">
        <v>46049</v>
      </c>
      <c r="D744" t="inlineStr">
        <is>
          <t>SÖDERMANLANDS LÄN</t>
        </is>
      </c>
      <c r="E744" t="inlineStr">
        <is>
          <t>KATRINEHOLM</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7197-2023</t>
        </is>
      </c>
      <c r="B745" s="1" t="n">
        <v>44965</v>
      </c>
      <c r="C745" s="1" t="n">
        <v>46049</v>
      </c>
      <c r="D745" t="inlineStr">
        <is>
          <t>SÖDERMANLANDS LÄN</t>
        </is>
      </c>
      <c r="E745" t="inlineStr">
        <is>
          <t>KATRINEHOLM</t>
        </is>
      </c>
      <c r="G745" t="n">
        <v>5.3</v>
      </c>
      <c r="H745" t="n">
        <v>0</v>
      </c>
      <c r="I745" t="n">
        <v>0</v>
      </c>
      <c r="J745" t="n">
        <v>0</v>
      </c>
      <c r="K745" t="n">
        <v>0</v>
      </c>
      <c r="L745" t="n">
        <v>0</v>
      </c>
      <c r="M745" t="n">
        <v>0</v>
      </c>
      <c r="N745" t="n">
        <v>0</v>
      </c>
      <c r="O745" t="n">
        <v>0</v>
      </c>
      <c r="P745" t="n">
        <v>0</v>
      </c>
      <c r="Q745" t="n">
        <v>0</v>
      </c>
      <c r="R745" s="2" t="inlineStr"/>
    </row>
    <row r="746" ht="15" customHeight="1">
      <c r="A746" t="inlineStr">
        <is>
          <t>A 6092-2025</t>
        </is>
      </c>
      <c r="B746" s="1" t="n">
        <v>45697</v>
      </c>
      <c r="C746" s="1" t="n">
        <v>46049</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5327-2025</t>
        </is>
      </c>
      <c r="B747" s="1" t="n">
        <v>45692</v>
      </c>
      <c r="C747" s="1" t="n">
        <v>46049</v>
      </c>
      <c r="D747" t="inlineStr">
        <is>
          <t>SÖDERMANLANDS LÄN</t>
        </is>
      </c>
      <c r="E747" t="inlineStr">
        <is>
          <t>KATRINEHOLM</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12929-2023</t>
        </is>
      </c>
      <c r="B748" s="1" t="n">
        <v>45001</v>
      </c>
      <c r="C748" s="1" t="n">
        <v>46049</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12932-2023</t>
        </is>
      </c>
      <c r="B749" s="1" t="n">
        <v>45001</v>
      </c>
      <c r="C749" s="1" t="n">
        <v>46049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50626-2024</t>
        </is>
      </c>
      <c r="B750" s="1" t="n">
        <v>45601</v>
      </c>
      <c r="C750" s="1" t="n">
        <v>46049</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7398-2024</t>
        </is>
      </c>
      <c r="B751" s="1" t="n">
        <v>45345</v>
      </c>
      <c r="C751" s="1" t="n">
        <v>46049</v>
      </c>
      <c r="D751" t="inlineStr">
        <is>
          <t>SÖDERMANLANDS LÄN</t>
        </is>
      </c>
      <c r="E751" t="inlineStr">
        <is>
          <t>KATRINEHOLM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14629-2023</t>
        </is>
      </c>
      <c r="B752" s="1" t="n">
        <v>45013</v>
      </c>
      <c r="C752" s="1" t="n">
        <v>46049</v>
      </c>
      <c r="D752" t="inlineStr">
        <is>
          <t>SÖDERMANLANDS LÄN</t>
        </is>
      </c>
      <c r="E752" t="inlineStr">
        <is>
          <t>KATRINEHOLM</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49116-2024</t>
        </is>
      </c>
      <c r="B753" s="1" t="n">
        <v>45594.6605787037</v>
      </c>
      <c r="C753" s="1" t="n">
        <v>46049</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2683-2025</t>
        </is>
      </c>
      <c r="B754" s="1" t="n">
        <v>45677</v>
      </c>
      <c r="C754" s="1" t="n">
        <v>46049</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61410-2024</t>
        </is>
      </c>
      <c r="B755" s="1" t="n">
        <v>45646.43950231482</v>
      </c>
      <c r="C755" s="1" t="n">
        <v>46049</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3315-2023</t>
        </is>
      </c>
      <c r="B756" s="1" t="n">
        <v>44945</v>
      </c>
      <c r="C756" s="1" t="n">
        <v>46049</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7867-2024</t>
        </is>
      </c>
      <c r="B757" s="1" t="n">
        <v>45350.32991898148</v>
      </c>
      <c r="C757" s="1" t="n">
        <v>46049</v>
      </c>
      <c r="D757" t="inlineStr">
        <is>
          <t>SÖDERMANLANDS LÄN</t>
        </is>
      </c>
      <c r="E757" t="inlineStr">
        <is>
          <t>KATRINEHOLM</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38869-2024</t>
        </is>
      </c>
      <c r="B758" s="1" t="n">
        <v>45547</v>
      </c>
      <c r="C758" s="1" t="n">
        <v>46049</v>
      </c>
      <c r="D758" t="inlineStr">
        <is>
          <t>SÖDERMANLANDS LÄN</t>
        </is>
      </c>
      <c r="E758" t="inlineStr">
        <is>
          <t>KATRINEHOLM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39010-2021</t>
        </is>
      </c>
      <c r="B759" s="1" t="n">
        <v>44412</v>
      </c>
      <c r="C759" s="1" t="n">
        <v>46049</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46049</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46049</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23838-2021</t>
        </is>
      </c>
      <c r="B762" s="1" t="n">
        <v>44335</v>
      </c>
      <c r="C762" s="1" t="n">
        <v>46049</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32943-2024</t>
        </is>
      </c>
      <c r="B763" s="1" t="n">
        <v>45517</v>
      </c>
      <c r="C763" s="1" t="n">
        <v>46049</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46049</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46049</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24983-2024</t>
        </is>
      </c>
      <c r="B766" s="1" t="n">
        <v>45461</v>
      </c>
      <c r="C766" s="1" t="n">
        <v>46049</v>
      </c>
      <c r="D766" t="inlineStr">
        <is>
          <t>SÖDERMANLANDS LÄN</t>
        </is>
      </c>
      <c r="E766" t="inlineStr">
        <is>
          <t>KATRINEHOLM</t>
        </is>
      </c>
      <c r="G766" t="n">
        <v>2.6</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46049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46049</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46049</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46049</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46049</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24566-2025</t>
        </is>
      </c>
      <c r="B772" s="1" t="n">
        <v>45798.46452546296</v>
      </c>
      <c r="C772" s="1" t="n">
        <v>46049</v>
      </c>
      <c r="D772" t="inlineStr">
        <is>
          <t>SÖDERMANLANDS LÄN</t>
        </is>
      </c>
      <c r="E772" t="inlineStr">
        <is>
          <t>KATRINEHOLM</t>
        </is>
      </c>
      <c r="G772" t="n">
        <v>6.3</v>
      </c>
      <c r="H772" t="n">
        <v>0</v>
      </c>
      <c r="I772" t="n">
        <v>0</v>
      </c>
      <c r="J772" t="n">
        <v>0</v>
      </c>
      <c r="K772" t="n">
        <v>0</v>
      </c>
      <c r="L772" t="n">
        <v>0</v>
      </c>
      <c r="M772" t="n">
        <v>0</v>
      </c>
      <c r="N772" t="n">
        <v>0</v>
      </c>
      <c r="O772" t="n">
        <v>0</v>
      </c>
      <c r="P772" t="n">
        <v>0</v>
      </c>
      <c r="Q772" t="n">
        <v>0</v>
      </c>
      <c r="R772" s="2" t="inlineStr"/>
    </row>
    <row r="773" ht="15" customHeight="1">
      <c r="A773" t="inlineStr">
        <is>
          <t>A 24605-2025</t>
        </is>
      </c>
      <c r="B773" s="1" t="n">
        <v>45798.57403935185</v>
      </c>
      <c r="C773" s="1" t="n">
        <v>46049</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row r="774" ht="15" customHeight="1">
      <c r="A774" t="inlineStr">
        <is>
          <t>A 56086-2023</t>
        </is>
      </c>
      <c r="B774" s="1" t="n">
        <v>45240</v>
      </c>
      <c r="C774" s="1" t="n">
        <v>46049</v>
      </c>
      <c r="D774" t="inlineStr">
        <is>
          <t>SÖDERMANLANDS LÄN</t>
        </is>
      </c>
      <c r="E774" t="inlineStr">
        <is>
          <t>KATRINEHOLM</t>
        </is>
      </c>
      <c r="F774" t="inlineStr">
        <is>
          <t>Kyrkan</t>
        </is>
      </c>
      <c r="G774" t="n">
        <v>17</v>
      </c>
      <c r="H774" t="n">
        <v>0</v>
      </c>
      <c r="I774" t="n">
        <v>0</v>
      </c>
      <c r="J774" t="n">
        <v>0</v>
      </c>
      <c r="K774" t="n">
        <v>0</v>
      </c>
      <c r="L774" t="n">
        <v>0</v>
      </c>
      <c r="M774" t="n">
        <v>0</v>
      </c>
      <c r="N774" t="n">
        <v>0</v>
      </c>
      <c r="O774" t="n">
        <v>0</v>
      </c>
      <c r="P774" t="n">
        <v>0</v>
      </c>
      <c r="Q774" t="n">
        <v>0</v>
      </c>
      <c r="R774" s="2" t="inlineStr"/>
    </row>
    <row r="775" ht="15" customHeight="1">
      <c r="A775" t="inlineStr">
        <is>
          <t>A 61423-2024</t>
        </is>
      </c>
      <c r="B775" s="1" t="n">
        <v>45646.45209490741</v>
      </c>
      <c r="C775" s="1" t="n">
        <v>46049</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41727-2024</t>
        </is>
      </c>
      <c r="B776" s="1" t="n">
        <v>45560</v>
      </c>
      <c r="C776" s="1" t="n">
        <v>46049</v>
      </c>
      <c r="D776" t="inlineStr">
        <is>
          <t>SÖDERMANLANDS LÄN</t>
        </is>
      </c>
      <c r="E776" t="inlineStr">
        <is>
          <t>KATRINEHOLM</t>
        </is>
      </c>
      <c r="G776" t="n">
        <v>3.9</v>
      </c>
      <c r="H776" t="n">
        <v>0</v>
      </c>
      <c r="I776" t="n">
        <v>0</v>
      </c>
      <c r="J776" t="n">
        <v>0</v>
      </c>
      <c r="K776" t="n">
        <v>0</v>
      </c>
      <c r="L776" t="n">
        <v>0</v>
      </c>
      <c r="M776" t="n">
        <v>0</v>
      </c>
      <c r="N776" t="n">
        <v>0</v>
      </c>
      <c r="O776" t="n">
        <v>0</v>
      </c>
      <c r="P776" t="n">
        <v>0</v>
      </c>
      <c r="Q776" t="n">
        <v>0</v>
      </c>
      <c r="R776" s="2" t="inlineStr"/>
    </row>
    <row r="777" ht="15" customHeight="1">
      <c r="A777" t="inlineStr">
        <is>
          <t>A 24717-2025</t>
        </is>
      </c>
      <c r="B777" s="1" t="n">
        <v>45799.27168981481</v>
      </c>
      <c r="C777" s="1" t="n">
        <v>46049</v>
      </c>
      <c r="D777" t="inlineStr">
        <is>
          <t>SÖDERMANLANDS LÄN</t>
        </is>
      </c>
      <c r="E777" t="inlineStr">
        <is>
          <t>KATRINEHOLM</t>
        </is>
      </c>
      <c r="G777" t="n">
        <v>24.5</v>
      </c>
      <c r="H777" t="n">
        <v>0</v>
      </c>
      <c r="I777" t="n">
        <v>0</v>
      </c>
      <c r="J777" t="n">
        <v>0</v>
      </c>
      <c r="K777" t="n">
        <v>0</v>
      </c>
      <c r="L777" t="n">
        <v>0</v>
      </c>
      <c r="M777" t="n">
        <v>0</v>
      </c>
      <c r="N777" t="n">
        <v>0</v>
      </c>
      <c r="O777" t="n">
        <v>0</v>
      </c>
      <c r="P777" t="n">
        <v>0</v>
      </c>
      <c r="Q777" t="n">
        <v>0</v>
      </c>
      <c r="R777" s="2" t="inlineStr"/>
    </row>
    <row r="778" ht="15" customHeight="1">
      <c r="A778" t="inlineStr">
        <is>
          <t>A 53999-2023</t>
        </is>
      </c>
      <c r="B778" s="1" t="n">
        <v>45231</v>
      </c>
      <c r="C778" s="1" t="n">
        <v>46049</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c r="A779" t="inlineStr">
        <is>
          <t>A 24719-2025</t>
        </is>
      </c>
      <c r="B779" s="1" t="n">
        <v>45799</v>
      </c>
      <c r="C779" s="1" t="n">
        <v>46049</v>
      </c>
      <c r="D779" t="inlineStr">
        <is>
          <t>SÖDERMANLANDS LÄN</t>
        </is>
      </c>
      <c r="E779" t="inlineStr">
        <is>
          <t>KATRINEHOLM</t>
        </is>
      </c>
      <c r="G779" t="n">
        <v>1.8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2026-01-27T11:01:54Z</dcterms:created>
  <dcterms:modified xmlns:dcterms="http://purl.org/dc/terms/" xmlns:xsi="http://www.w3.org/2001/XMLSchema-instance" xsi:type="dcterms:W3CDTF">2026-01-27T11:01:54Z</dcterms:modified>
</cp:coreProperties>
</file>