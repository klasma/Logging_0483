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45849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45849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45849</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45849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45849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45849</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45849</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45849</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45849</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45849</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45849</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45849</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45849</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45849</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45849</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45849</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45849</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45849</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45849</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45849</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45849</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45849</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45849</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45849</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45849</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45849</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45849</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45849</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45849</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45849</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45849</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45849</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45849</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45849</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45849</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45849</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45849</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45849</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45849</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45849</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45849</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30229-2023</t>
        </is>
      </c>
      <c r="B43" s="1" t="n">
        <v>45099</v>
      </c>
      <c r="C43" s="1" t="n">
        <v>45849</v>
      </c>
      <c r="D43" t="inlineStr">
        <is>
          <t>SÖDERMANLANDS LÄN</t>
        </is>
      </c>
      <c r="E43" t="inlineStr">
        <is>
          <t>KATRINEHOLM</t>
        </is>
      </c>
      <c r="G43" t="n">
        <v>11.8</v>
      </c>
      <c r="H43" t="n">
        <v>0</v>
      </c>
      <c r="I43" t="n">
        <v>0</v>
      </c>
      <c r="J43" t="n">
        <v>2</v>
      </c>
      <c r="K43" t="n">
        <v>0</v>
      </c>
      <c r="L43" t="n">
        <v>0</v>
      </c>
      <c r="M43" t="n">
        <v>0</v>
      </c>
      <c r="N43" t="n">
        <v>0</v>
      </c>
      <c r="O43" t="n">
        <v>2</v>
      </c>
      <c r="P43" t="n">
        <v>0</v>
      </c>
      <c r="Q43" t="n">
        <v>2</v>
      </c>
      <c r="R43" s="2" t="inlineStr">
        <is>
          <t>Bredbrämad bastardsvärmare
Silversmygare</t>
        </is>
      </c>
      <c r="S43">
        <f>HYPERLINK("https://klasma.github.io/Logging_0483/artfynd/A 30229-2023 artfynd.xlsx", "A 30229-2023")</f>
        <v/>
      </c>
      <c r="T43">
        <f>HYPERLINK("https://klasma.github.io/Logging_0483/kartor/A 30229-2023 karta.png", "A 30229-2023")</f>
        <v/>
      </c>
      <c r="V43">
        <f>HYPERLINK("https://klasma.github.io/Logging_0483/klagomål/A 30229-2023 FSC-klagomål.docx", "A 30229-2023")</f>
        <v/>
      </c>
      <c r="W43">
        <f>HYPERLINK("https://klasma.github.io/Logging_0483/klagomålsmail/A 30229-2023 FSC-klagomål mail.docx", "A 30229-2023")</f>
        <v/>
      </c>
      <c r="X43">
        <f>HYPERLINK("https://klasma.github.io/Logging_0483/tillsyn/A 30229-2023 tillsynsbegäran.docx", "A 30229-2023")</f>
        <v/>
      </c>
      <c r="Y43">
        <f>HYPERLINK("https://klasma.github.io/Logging_0483/tillsynsmail/A 30229-2023 tillsynsbegäran mail.docx", "A 30229-2023")</f>
        <v/>
      </c>
    </row>
    <row r="44" ht="15" customHeight="1">
      <c r="A44" t="inlineStr">
        <is>
          <t>A 37383-2023</t>
        </is>
      </c>
      <c r="B44" s="1" t="n">
        <v>45155</v>
      </c>
      <c r="C44" s="1" t="n">
        <v>45849</v>
      </c>
      <c r="D44" t="inlineStr">
        <is>
          <t>SÖDERMANLANDS LÄN</t>
        </is>
      </c>
      <c r="E44" t="inlineStr">
        <is>
          <t>KATRINEHOLM</t>
        </is>
      </c>
      <c r="G44" t="n">
        <v>10.1</v>
      </c>
      <c r="H44" t="n">
        <v>1</v>
      </c>
      <c r="I44" t="n">
        <v>1</v>
      </c>
      <c r="J44" t="n">
        <v>0</v>
      </c>
      <c r="K44" t="n">
        <v>0</v>
      </c>
      <c r="L44" t="n">
        <v>0</v>
      </c>
      <c r="M44" t="n">
        <v>0</v>
      </c>
      <c r="N44" t="n">
        <v>0</v>
      </c>
      <c r="O44" t="n">
        <v>0</v>
      </c>
      <c r="P44" t="n">
        <v>0</v>
      </c>
      <c r="Q44" t="n">
        <v>2</v>
      </c>
      <c r="R44" s="2" t="inlineStr">
        <is>
          <t>Svart trolldruva
Blåsippa</t>
        </is>
      </c>
      <c r="S44">
        <f>HYPERLINK("https://klasma.github.io/Logging_0483/artfynd/A 37383-2023 artfynd.xlsx", "A 37383-2023")</f>
        <v/>
      </c>
      <c r="T44">
        <f>HYPERLINK("https://klasma.github.io/Logging_0483/kartor/A 37383-2023 karta.png", "A 37383-2023")</f>
        <v/>
      </c>
      <c r="V44">
        <f>HYPERLINK("https://klasma.github.io/Logging_0483/klagomål/A 37383-2023 FSC-klagomål.docx", "A 37383-2023")</f>
        <v/>
      </c>
      <c r="W44">
        <f>HYPERLINK("https://klasma.github.io/Logging_0483/klagomålsmail/A 37383-2023 FSC-klagomål mail.docx", "A 37383-2023")</f>
        <v/>
      </c>
      <c r="X44">
        <f>HYPERLINK("https://klasma.github.io/Logging_0483/tillsyn/A 37383-2023 tillsynsbegäran.docx", "A 37383-2023")</f>
        <v/>
      </c>
      <c r="Y44">
        <f>HYPERLINK("https://klasma.github.io/Logging_0483/tillsynsmail/A 37383-2023 tillsynsbegäran mail.docx", "A 37383-2023")</f>
        <v/>
      </c>
    </row>
    <row r="45" ht="15" customHeight="1">
      <c r="A45" t="inlineStr">
        <is>
          <t>A 39893-2023</t>
        </is>
      </c>
      <c r="B45" s="1" t="n">
        <v>45168</v>
      </c>
      <c r="C45" s="1" t="n">
        <v>45849</v>
      </c>
      <c r="D45" t="inlineStr">
        <is>
          <t>SÖDERMANLANDS LÄN</t>
        </is>
      </c>
      <c r="E45" t="inlineStr">
        <is>
          <t>KATRINEHOLM</t>
        </is>
      </c>
      <c r="G45" t="n">
        <v>7.3</v>
      </c>
      <c r="H45" t="n">
        <v>0</v>
      </c>
      <c r="I45" t="n">
        <v>2</v>
      </c>
      <c r="J45" t="n">
        <v>0</v>
      </c>
      <c r="K45" t="n">
        <v>0</v>
      </c>
      <c r="L45" t="n">
        <v>0</v>
      </c>
      <c r="M45" t="n">
        <v>0</v>
      </c>
      <c r="N45" t="n">
        <v>0</v>
      </c>
      <c r="O45" t="n">
        <v>0</v>
      </c>
      <c r="P45" t="n">
        <v>0</v>
      </c>
      <c r="Q45" t="n">
        <v>2</v>
      </c>
      <c r="R45" s="2" t="inlineStr">
        <is>
          <t>Blomkålssvamp
Grovticka</t>
        </is>
      </c>
      <c r="S45">
        <f>HYPERLINK("https://klasma.github.io/Logging_0483/artfynd/A 39893-2023 artfynd.xlsx", "A 39893-2023")</f>
        <v/>
      </c>
      <c r="T45">
        <f>HYPERLINK("https://klasma.github.io/Logging_0483/kartor/A 39893-2023 karta.png", "A 39893-2023")</f>
        <v/>
      </c>
      <c r="V45">
        <f>HYPERLINK("https://klasma.github.io/Logging_0483/klagomål/A 39893-2023 FSC-klagomål.docx", "A 39893-2023")</f>
        <v/>
      </c>
      <c r="W45">
        <f>HYPERLINK("https://klasma.github.io/Logging_0483/klagomålsmail/A 39893-2023 FSC-klagomål mail.docx", "A 39893-2023")</f>
        <v/>
      </c>
      <c r="X45">
        <f>HYPERLINK("https://klasma.github.io/Logging_0483/tillsyn/A 39893-2023 tillsynsbegäran.docx", "A 39893-2023")</f>
        <v/>
      </c>
      <c r="Y45">
        <f>HYPERLINK("https://klasma.github.io/Logging_0483/tillsynsmail/A 39893-2023 tillsynsbegäran mail.docx", "A 39893-2023")</f>
        <v/>
      </c>
    </row>
    <row r="46" ht="15" customHeight="1">
      <c r="A46" t="inlineStr">
        <is>
          <t>A 4392-2024</t>
        </is>
      </c>
      <c r="B46" s="1" t="n">
        <v>45327</v>
      </c>
      <c r="C46" s="1" t="n">
        <v>45849</v>
      </c>
      <c r="D46" t="inlineStr">
        <is>
          <t>SÖDERMANLANDS LÄN</t>
        </is>
      </c>
      <c r="E46" t="inlineStr">
        <is>
          <t>KATRINEHOLM</t>
        </is>
      </c>
      <c r="G46" t="n">
        <v>2.3</v>
      </c>
      <c r="H46" t="n">
        <v>1</v>
      </c>
      <c r="I46" t="n">
        <v>0</v>
      </c>
      <c r="J46" t="n">
        <v>2</v>
      </c>
      <c r="K46" t="n">
        <v>0</v>
      </c>
      <c r="L46" t="n">
        <v>0</v>
      </c>
      <c r="M46" t="n">
        <v>0</v>
      </c>
      <c r="N46" t="n">
        <v>0</v>
      </c>
      <c r="O46" t="n">
        <v>2</v>
      </c>
      <c r="P46" t="n">
        <v>0</v>
      </c>
      <c r="Q46" t="n">
        <v>2</v>
      </c>
      <c r="R46" s="2" t="inlineStr">
        <is>
          <t>Spillkråka
Tallticka</t>
        </is>
      </c>
      <c r="S46">
        <f>HYPERLINK("https://klasma.github.io/Logging_0483/artfynd/A 4392-2024 artfynd.xlsx", "A 4392-2024")</f>
        <v/>
      </c>
      <c r="T46">
        <f>HYPERLINK("https://klasma.github.io/Logging_0483/kartor/A 4392-2024 karta.png", "A 4392-2024")</f>
        <v/>
      </c>
      <c r="V46">
        <f>HYPERLINK("https://klasma.github.io/Logging_0483/klagomål/A 4392-2024 FSC-klagomål.docx", "A 4392-2024")</f>
        <v/>
      </c>
      <c r="W46">
        <f>HYPERLINK("https://klasma.github.io/Logging_0483/klagomålsmail/A 4392-2024 FSC-klagomål mail.docx", "A 4392-2024")</f>
        <v/>
      </c>
      <c r="X46">
        <f>HYPERLINK("https://klasma.github.io/Logging_0483/tillsyn/A 4392-2024 tillsynsbegäran.docx", "A 4392-2024")</f>
        <v/>
      </c>
      <c r="Y46">
        <f>HYPERLINK("https://klasma.github.io/Logging_0483/tillsynsmail/A 4392-2024 tillsynsbegäran mail.docx", "A 4392-2024")</f>
        <v/>
      </c>
      <c r="Z46">
        <f>HYPERLINK("https://klasma.github.io/Logging_0483/fåglar/A 4392-2024 prioriterade fågelarter.docx", "A 4392-2024")</f>
        <v/>
      </c>
    </row>
    <row r="47" ht="15" customHeight="1">
      <c r="A47" t="inlineStr">
        <is>
          <t>A 4518-2024</t>
        </is>
      </c>
      <c r="B47" s="1" t="n">
        <v>45327</v>
      </c>
      <c r="C47" s="1" t="n">
        <v>45849</v>
      </c>
      <c r="D47" t="inlineStr">
        <is>
          <t>SÖDERMANLANDS LÄN</t>
        </is>
      </c>
      <c r="E47" t="inlineStr">
        <is>
          <t>KATRINEHOLM</t>
        </is>
      </c>
      <c r="G47" t="n">
        <v>2.5</v>
      </c>
      <c r="H47" t="n">
        <v>1</v>
      </c>
      <c r="I47" t="n">
        <v>0</v>
      </c>
      <c r="J47" t="n">
        <v>2</v>
      </c>
      <c r="K47" t="n">
        <v>0</v>
      </c>
      <c r="L47" t="n">
        <v>0</v>
      </c>
      <c r="M47" t="n">
        <v>0</v>
      </c>
      <c r="N47" t="n">
        <v>0</v>
      </c>
      <c r="O47" t="n">
        <v>2</v>
      </c>
      <c r="P47" t="n">
        <v>0</v>
      </c>
      <c r="Q47" t="n">
        <v>2</v>
      </c>
      <c r="R47" s="2" t="inlineStr">
        <is>
          <t>Spillkråka
Tallticka</t>
        </is>
      </c>
      <c r="S47">
        <f>HYPERLINK("https://klasma.github.io/Logging_0483/artfynd/A 4518-2024 artfynd.xlsx", "A 4518-2024")</f>
        <v/>
      </c>
      <c r="T47">
        <f>HYPERLINK("https://klasma.github.io/Logging_0483/kartor/A 4518-2024 karta.png", "A 4518-2024")</f>
        <v/>
      </c>
      <c r="V47">
        <f>HYPERLINK("https://klasma.github.io/Logging_0483/klagomål/A 4518-2024 FSC-klagomål.docx", "A 4518-2024")</f>
        <v/>
      </c>
      <c r="W47">
        <f>HYPERLINK("https://klasma.github.io/Logging_0483/klagomålsmail/A 4518-2024 FSC-klagomål mail.docx", "A 4518-2024")</f>
        <v/>
      </c>
      <c r="X47">
        <f>HYPERLINK("https://klasma.github.io/Logging_0483/tillsyn/A 4518-2024 tillsynsbegäran.docx", "A 4518-2024")</f>
        <v/>
      </c>
      <c r="Y47">
        <f>HYPERLINK("https://klasma.github.io/Logging_0483/tillsynsmail/A 4518-2024 tillsynsbegäran mail.docx", "A 4518-2024")</f>
        <v/>
      </c>
      <c r="Z47">
        <f>HYPERLINK("https://klasma.github.io/Logging_0483/fåglar/A 4518-2024 prioriterade fågelarter.docx", "A 4518-2024")</f>
        <v/>
      </c>
    </row>
    <row r="48" ht="15" customHeight="1">
      <c r="A48" t="inlineStr">
        <is>
          <t>A 47979-2024</t>
        </is>
      </c>
      <c r="B48" s="1" t="n">
        <v>45589</v>
      </c>
      <c r="C48" s="1" t="n">
        <v>45849</v>
      </c>
      <c r="D48" t="inlineStr">
        <is>
          <t>SÖDERMANLANDS LÄN</t>
        </is>
      </c>
      <c r="E48" t="inlineStr">
        <is>
          <t>KATRINEHOLM</t>
        </is>
      </c>
      <c r="G48" t="n">
        <v>4.7</v>
      </c>
      <c r="H48" t="n">
        <v>1</v>
      </c>
      <c r="I48" t="n">
        <v>1</v>
      </c>
      <c r="J48" t="n">
        <v>0</v>
      </c>
      <c r="K48" t="n">
        <v>0</v>
      </c>
      <c r="L48" t="n">
        <v>0</v>
      </c>
      <c r="M48" t="n">
        <v>0</v>
      </c>
      <c r="N48" t="n">
        <v>0</v>
      </c>
      <c r="O48" t="n">
        <v>0</v>
      </c>
      <c r="P48" t="n">
        <v>0</v>
      </c>
      <c r="Q48" t="n">
        <v>2</v>
      </c>
      <c r="R48" s="2" t="inlineStr">
        <is>
          <t>Grönpyrola
Blåsippa</t>
        </is>
      </c>
      <c r="S48">
        <f>HYPERLINK("https://klasma.github.io/Logging_0483/artfynd/A 47979-2024 artfynd.xlsx", "A 47979-2024")</f>
        <v/>
      </c>
      <c r="T48">
        <f>HYPERLINK("https://klasma.github.io/Logging_0483/kartor/A 47979-2024 karta.png", "A 47979-2024")</f>
        <v/>
      </c>
      <c r="V48">
        <f>HYPERLINK("https://klasma.github.io/Logging_0483/klagomål/A 47979-2024 FSC-klagomål.docx", "A 47979-2024")</f>
        <v/>
      </c>
      <c r="W48">
        <f>HYPERLINK("https://klasma.github.io/Logging_0483/klagomålsmail/A 47979-2024 FSC-klagomål mail.docx", "A 47979-2024")</f>
        <v/>
      </c>
      <c r="X48">
        <f>HYPERLINK("https://klasma.github.io/Logging_0483/tillsyn/A 47979-2024 tillsynsbegäran.docx", "A 47979-2024")</f>
        <v/>
      </c>
      <c r="Y48">
        <f>HYPERLINK("https://klasma.github.io/Logging_0483/tillsynsmail/A 47979-2024 tillsynsbegäran mail.docx", "A 47979-2024")</f>
        <v/>
      </c>
    </row>
    <row r="49" ht="15" customHeight="1">
      <c r="A49" t="inlineStr">
        <is>
          <t>A 49108-2024</t>
        </is>
      </c>
      <c r="B49" s="1" t="n">
        <v>45594</v>
      </c>
      <c r="C49" s="1" t="n">
        <v>45849</v>
      </c>
      <c r="D49" t="inlineStr">
        <is>
          <t>SÖDERMANLANDS LÄN</t>
        </is>
      </c>
      <c r="E49" t="inlineStr">
        <is>
          <t>KATRINEHOLM</t>
        </is>
      </c>
      <c r="G49" t="n">
        <v>3.6</v>
      </c>
      <c r="H49" t="n">
        <v>0</v>
      </c>
      <c r="I49" t="n">
        <v>1</v>
      </c>
      <c r="J49" t="n">
        <v>1</v>
      </c>
      <c r="K49" t="n">
        <v>0</v>
      </c>
      <c r="L49" t="n">
        <v>0</v>
      </c>
      <c r="M49" t="n">
        <v>0</v>
      </c>
      <c r="N49" t="n">
        <v>0</v>
      </c>
      <c r="O49" t="n">
        <v>1</v>
      </c>
      <c r="P49" t="n">
        <v>0</v>
      </c>
      <c r="Q49" t="n">
        <v>2</v>
      </c>
      <c r="R49" s="2" t="inlineStr">
        <is>
          <t>Motaggsvamp
Mindre märgborre</t>
        </is>
      </c>
      <c r="S49">
        <f>HYPERLINK("https://klasma.github.io/Logging_0483/artfynd/A 49108-2024 artfynd.xlsx", "A 49108-2024")</f>
        <v/>
      </c>
      <c r="T49">
        <f>HYPERLINK("https://klasma.github.io/Logging_0483/kartor/A 49108-2024 karta.png", "A 49108-2024")</f>
        <v/>
      </c>
      <c r="V49">
        <f>HYPERLINK("https://klasma.github.io/Logging_0483/klagomål/A 49108-2024 FSC-klagomål.docx", "A 49108-2024")</f>
        <v/>
      </c>
      <c r="W49">
        <f>HYPERLINK("https://klasma.github.io/Logging_0483/klagomålsmail/A 49108-2024 FSC-klagomål mail.docx", "A 49108-2024")</f>
        <v/>
      </c>
      <c r="X49">
        <f>HYPERLINK("https://klasma.github.io/Logging_0483/tillsyn/A 49108-2024 tillsynsbegäran.docx", "A 49108-2024")</f>
        <v/>
      </c>
      <c r="Y49">
        <f>HYPERLINK("https://klasma.github.io/Logging_0483/tillsynsmail/A 49108-2024 tillsynsbegäran mail.docx", "A 49108-2024")</f>
        <v/>
      </c>
    </row>
    <row r="50" ht="15" customHeight="1">
      <c r="A50" t="inlineStr">
        <is>
          <t>A 53471-2024</t>
        </is>
      </c>
      <c r="B50" s="1" t="n">
        <v>45614</v>
      </c>
      <c r="C50" s="1" t="n">
        <v>45849</v>
      </c>
      <c r="D50" t="inlineStr">
        <is>
          <t>SÖDERMANLANDS LÄN</t>
        </is>
      </c>
      <c r="E50" t="inlineStr">
        <is>
          <t>KATRINEHOLM</t>
        </is>
      </c>
      <c r="G50" t="n">
        <v>12.7</v>
      </c>
      <c r="H50" t="n">
        <v>1</v>
      </c>
      <c r="I50" t="n">
        <v>2</v>
      </c>
      <c r="J50" t="n">
        <v>0</v>
      </c>
      <c r="K50" t="n">
        <v>0</v>
      </c>
      <c r="L50" t="n">
        <v>0</v>
      </c>
      <c r="M50" t="n">
        <v>0</v>
      </c>
      <c r="N50" t="n">
        <v>0</v>
      </c>
      <c r="O50" t="n">
        <v>0</v>
      </c>
      <c r="P50" t="n">
        <v>0</v>
      </c>
      <c r="Q50" t="n">
        <v>2</v>
      </c>
      <c r="R50" s="2" t="inlineStr">
        <is>
          <t>Grönpyrola
Plattlummer</t>
        </is>
      </c>
      <c r="S50">
        <f>HYPERLINK("https://klasma.github.io/Logging_0483/artfynd/A 53471-2024 artfynd.xlsx", "A 53471-2024")</f>
        <v/>
      </c>
      <c r="T50">
        <f>HYPERLINK("https://klasma.github.io/Logging_0483/kartor/A 53471-2024 karta.png", "A 53471-2024")</f>
        <v/>
      </c>
      <c r="V50">
        <f>HYPERLINK("https://klasma.github.io/Logging_0483/klagomål/A 53471-2024 FSC-klagomål.docx", "A 53471-2024")</f>
        <v/>
      </c>
      <c r="W50">
        <f>HYPERLINK("https://klasma.github.io/Logging_0483/klagomålsmail/A 53471-2024 FSC-klagomål mail.docx", "A 53471-2024")</f>
        <v/>
      </c>
      <c r="X50">
        <f>HYPERLINK("https://klasma.github.io/Logging_0483/tillsyn/A 53471-2024 tillsynsbegäran.docx", "A 53471-2024")</f>
        <v/>
      </c>
      <c r="Y50">
        <f>HYPERLINK("https://klasma.github.io/Logging_0483/tillsynsmail/A 53471-2024 tillsynsbegäran mail.docx", "A 53471-2024")</f>
        <v/>
      </c>
    </row>
    <row r="51" ht="15" customHeight="1">
      <c r="A51" t="inlineStr">
        <is>
          <t>A 1150-2025</t>
        </is>
      </c>
      <c r="B51" s="1" t="n">
        <v>45666</v>
      </c>
      <c r="C51" s="1" t="n">
        <v>45849</v>
      </c>
      <c r="D51" t="inlineStr">
        <is>
          <t>SÖDERMANLANDS LÄN</t>
        </is>
      </c>
      <c r="E51" t="inlineStr">
        <is>
          <t>KATRINEHOLM</t>
        </is>
      </c>
      <c r="G51" t="n">
        <v>8.9</v>
      </c>
      <c r="H51" t="n">
        <v>0</v>
      </c>
      <c r="I51" t="n">
        <v>1</v>
      </c>
      <c r="J51" t="n">
        <v>1</v>
      </c>
      <c r="K51" t="n">
        <v>0</v>
      </c>
      <c r="L51" t="n">
        <v>0</v>
      </c>
      <c r="M51" t="n">
        <v>0</v>
      </c>
      <c r="N51" t="n">
        <v>0</v>
      </c>
      <c r="O51" t="n">
        <v>1</v>
      </c>
      <c r="P51" t="n">
        <v>0</v>
      </c>
      <c r="Q51" t="n">
        <v>2</v>
      </c>
      <c r="R51" s="2" t="inlineStr">
        <is>
          <t>Motaggsvamp
Grovticka</t>
        </is>
      </c>
      <c r="S51">
        <f>HYPERLINK("https://klasma.github.io/Logging_0483/artfynd/A 1150-2025 artfynd.xlsx", "A 1150-2025")</f>
        <v/>
      </c>
      <c r="T51">
        <f>HYPERLINK("https://klasma.github.io/Logging_0483/kartor/A 1150-2025 karta.png", "A 1150-2025")</f>
        <v/>
      </c>
      <c r="V51">
        <f>HYPERLINK("https://klasma.github.io/Logging_0483/klagomål/A 1150-2025 FSC-klagomål.docx", "A 1150-2025")</f>
        <v/>
      </c>
      <c r="W51">
        <f>HYPERLINK("https://klasma.github.io/Logging_0483/klagomålsmail/A 1150-2025 FSC-klagomål mail.docx", "A 1150-2025")</f>
        <v/>
      </c>
      <c r="X51">
        <f>HYPERLINK("https://klasma.github.io/Logging_0483/tillsyn/A 1150-2025 tillsynsbegäran.docx", "A 1150-2025")</f>
        <v/>
      </c>
      <c r="Y51">
        <f>HYPERLINK("https://klasma.github.io/Logging_0483/tillsynsmail/A 1150-2025 tillsynsbegäran mail.docx", "A 1150-2025")</f>
        <v/>
      </c>
    </row>
    <row r="52" ht="15" customHeight="1">
      <c r="A52" t="inlineStr">
        <is>
          <t>A 1377-2025</t>
        </is>
      </c>
      <c r="B52" s="1" t="n">
        <v>45667</v>
      </c>
      <c r="C52" s="1" t="n">
        <v>45849</v>
      </c>
      <c r="D52" t="inlineStr">
        <is>
          <t>SÖDERMANLANDS LÄN</t>
        </is>
      </c>
      <c r="E52" t="inlineStr">
        <is>
          <t>KATRINEHOLM</t>
        </is>
      </c>
      <c r="G52" t="n">
        <v>2.8</v>
      </c>
      <c r="H52" t="n">
        <v>0</v>
      </c>
      <c r="I52" t="n">
        <v>1</v>
      </c>
      <c r="J52" t="n">
        <v>1</v>
      </c>
      <c r="K52" t="n">
        <v>0</v>
      </c>
      <c r="L52" t="n">
        <v>0</v>
      </c>
      <c r="M52" t="n">
        <v>0</v>
      </c>
      <c r="N52" t="n">
        <v>0</v>
      </c>
      <c r="O52" t="n">
        <v>1</v>
      </c>
      <c r="P52" t="n">
        <v>0</v>
      </c>
      <c r="Q52" t="n">
        <v>2</v>
      </c>
      <c r="R52" s="2" t="inlineStr">
        <is>
          <t>Motaggsvamp
Blåmossa</t>
        </is>
      </c>
      <c r="S52">
        <f>HYPERLINK("https://klasma.github.io/Logging_0483/artfynd/A 1377-2025 artfynd.xlsx", "A 1377-2025")</f>
        <v/>
      </c>
      <c r="T52">
        <f>HYPERLINK("https://klasma.github.io/Logging_0483/kartor/A 1377-2025 karta.png", "A 1377-2025")</f>
        <v/>
      </c>
      <c r="U52">
        <f>HYPERLINK("https://klasma.github.io/Logging_0483/knärot/A 1377-2025 karta knärot.png", "A 1377-2025")</f>
        <v/>
      </c>
      <c r="V52">
        <f>HYPERLINK("https://klasma.github.io/Logging_0483/klagomål/A 1377-2025 FSC-klagomål.docx", "A 1377-2025")</f>
        <v/>
      </c>
      <c r="W52">
        <f>HYPERLINK("https://klasma.github.io/Logging_0483/klagomålsmail/A 1377-2025 FSC-klagomål mail.docx", "A 1377-2025")</f>
        <v/>
      </c>
      <c r="X52">
        <f>HYPERLINK("https://klasma.github.io/Logging_0483/tillsyn/A 1377-2025 tillsynsbegäran.docx", "A 1377-2025")</f>
        <v/>
      </c>
      <c r="Y52">
        <f>HYPERLINK("https://klasma.github.io/Logging_0483/tillsynsmail/A 1377-2025 tillsynsbegäran mail.docx", "A 1377-2025")</f>
        <v/>
      </c>
    </row>
    <row r="53" ht="15" customHeight="1">
      <c r="A53" t="inlineStr">
        <is>
          <t>A 24718-2025</t>
        </is>
      </c>
      <c r="B53" s="1" t="n">
        <v>45799</v>
      </c>
      <c r="C53" s="1" t="n">
        <v>45849</v>
      </c>
      <c r="D53" t="inlineStr">
        <is>
          <t>SÖDERMANLANDS LÄN</t>
        </is>
      </c>
      <c r="E53" t="inlineStr">
        <is>
          <t>KATRINEHOLM</t>
        </is>
      </c>
      <c r="G53" t="n">
        <v>9.6</v>
      </c>
      <c r="H53" t="n">
        <v>0</v>
      </c>
      <c r="I53" t="n">
        <v>1</v>
      </c>
      <c r="J53" t="n">
        <v>1</v>
      </c>
      <c r="K53" t="n">
        <v>0</v>
      </c>
      <c r="L53" t="n">
        <v>0</v>
      </c>
      <c r="M53" t="n">
        <v>0</v>
      </c>
      <c r="N53" t="n">
        <v>0</v>
      </c>
      <c r="O53" t="n">
        <v>1</v>
      </c>
      <c r="P53" t="n">
        <v>0</v>
      </c>
      <c r="Q53" t="n">
        <v>2</v>
      </c>
      <c r="R53" s="2" t="inlineStr">
        <is>
          <t>Motaggsvamp
Blåmossa</t>
        </is>
      </c>
      <c r="S53">
        <f>HYPERLINK("https://klasma.github.io/Logging_040483/artfynd/A 24718-2025 artfynd.xlsx", "A 24718-2025")</f>
        <v/>
      </c>
      <c r="T53">
        <f>HYPERLINK("https://klasma.github.io/Logging_040483/kartor/A 24718-2025 karta.png", "A 24718-2025")</f>
        <v/>
      </c>
      <c r="V53">
        <f>HYPERLINK("https://klasma.github.io/Logging_040483/klagomål/A 24718-2025 FSC-klagomål.docx", "A 24718-2025")</f>
        <v/>
      </c>
      <c r="W53">
        <f>HYPERLINK("https://klasma.github.io/Logging_040483/klagomålsmail/A 24718-2025 FSC-klagomål mail.docx", "A 24718-2025")</f>
        <v/>
      </c>
      <c r="X53">
        <f>HYPERLINK("https://klasma.github.io/Logging_040483/tillsyn/A 24718-2025 tillsynsbegäran.docx", "A 24718-2025")</f>
        <v/>
      </c>
      <c r="Y53">
        <f>HYPERLINK("https://klasma.github.io/Logging_040483/tillsynsmail/A 24718-2025 tillsynsbegäran mail.docx", "A 24718-2025")</f>
        <v/>
      </c>
    </row>
    <row r="54" ht="15" customHeight="1">
      <c r="A54" t="inlineStr">
        <is>
          <t>A 40824-2019</t>
        </is>
      </c>
      <c r="B54" s="1" t="n">
        <v>43697</v>
      </c>
      <c r="C54" s="1" t="n">
        <v>45849</v>
      </c>
      <c r="D54" t="inlineStr">
        <is>
          <t>SÖDERMANLANDS LÄN</t>
        </is>
      </c>
      <c r="E54" t="inlineStr">
        <is>
          <t>KATRINEHOLM</t>
        </is>
      </c>
      <c r="G54" t="n">
        <v>0.6</v>
      </c>
      <c r="H54" t="n">
        <v>0</v>
      </c>
      <c r="I54" t="n">
        <v>0</v>
      </c>
      <c r="J54" t="n">
        <v>1</v>
      </c>
      <c r="K54" t="n">
        <v>0</v>
      </c>
      <c r="L54" t="n">
        <v>0</v>
      </c>
      <c r="M54" t="n">
        <v>0</v>
      </c>
      <c r="N54" t="n">
        <v>0</v>
      </c>
      <c r="O54" t="n">
        <v>1</v>
      </c>
      <c r="P54" t="n">
        <v>0</v>
      </c>
      <c r="Q54" t="n">
        <v>1</v>
      </c>
      <c r="R54" s="2" t="inlineStr">
        <is>
          <t>Igelkott</t>
        </is>
      </c>
      <c r="S54">
        <f>HYPERLINK("https://klasma.github.io/Logging_0483/artfynd/A 40824-2019 artfynd.xlsx", "A 40824-2019")</f>
        <v/>
      </c>
      <c r="T54">
        <f>HYPERLINK("https://klasma.github.io/Logging_0483/kartor/A 40824-2019 karta.png", "A 40824-2019")</f>
        <v/>
      </c>
      <c r="V54">
        <f>HYPERLINK("https://klasma.github.io/Logging_0483/klagomål/A 40824-2019 FSC-klagomål.docx", "A 40824-2019")</f>
        <v/>
      </c>
      <c r="W54">
        <f>HYPERLINK("https://klasma.github.io/Logging_0483/klagomålsmail/A 40824-2019 FSC-klagomål mail.docx", "A 40824-2019")</f>
        <v/>
      </c>
      <c r="X54">
        <f>HYPERLINK("https://klasma.github.io/Logging_0483/tillsyn/A 40824-2019 tillsynsbegäran.docx", "A 40824-2019")</f>
        <v/>
      </c>
      <c r="Y54">
        <f>HYPERLINK("https://klasma.github.io/Logging_0483/tillsynsmail/A 40824-2019 tillsynsbegäran mail.docx", "A 40824-2019")</f>
        <v/>
      </c>
    </row>
    <row r="55" ht="15" customHeight="1">
      <c r="A55" t="inlineStr">
        <is>
          <t>A 51874-2019</t>
        </is>
      </c>
      <c r="B55" s="1" t="n">
        <v>43741</v>
      </c>
      <c r="C55" s="1" t="n">
        <v>45849</v>
      </c>
      <c r="D55" t="inlineStr">
        <is>
          <t>SÖDERMANLANDS LÄN</t>
        </is>
      </c>
      <c r="E55" t="inlineStr">
        <is>
          <t>KATRINEHOLM</t>
        </is>
      </c>
      <c r="G55" t="n">
        <v>19.9</v>
      </c>
      <c r="H55" t="n">
        <v>0</v>
      </c>
      <c r="I55" t="n">
        <v>0</v>
      </c>
      <c r="J55" t="n">
        <v>1</v>
      </c>
      <c r="K55" t="n">
        <v>0</v>
      </c>
      <c r="L55" t="n">
        <v>0</v>
      </c>
      <c r="M55" t="n">
        <v>0</v>
      </c>
      <c r="N55" t="n">
        <v>0</v>
      </c>
      <c r="O55" t="n">
        <v>1</v>
      </c>
      <c r="P55" t="n">
        <v>0</v>
      </c>
      <c r="Q55" t="n">
        <v>1</v>
      </c>
      <c r="R55" s="2" t="inlineStr">
        <is>
          <t>Svedjenäva</t>
        </is>
      </c>
      <c r="S55">
        <f>HYPERLINK("https://klasma.github.io/Logging_0483/artfynd/A 51874-2019 artfynd.xlsx", "A 51874-2019")</f>
        <v/>
      </c>
      <c r="T55">
        <f>HYPERLINK("https://klasma.github.io/Logging_0483/kartor/A 51874-2019 karta.png", "A 51874-2019")</f>
        <v/>
      </c>
      <c r="V55">
        <f>HYPERLINK("https://klasma.github.io/Logging_0483/klagomål/A 51874-2019 FSC-klagomål.docx", "A 51874-2019")</f>
        <v/>
      </c>
      <c r="W55">
        <f>HYPERLINK("https://klasma.github.io/Logging_0483/klagomålsmail/A 51874-2019 FSC-klagomål mail.docx", "A 51874-2019")</f>
        <v/>
      </c>
      <c r="X55">
        <f>HYPERLINK("https://klasma.github.io/Logging_0483/tillsyn/A 51874-2019 tillsynsbegäran.docx", "A 51874-2019")</f>
        <v/>
      </c>
      <c r="Y55">
        <f>HYPERLINK("https://klasma.github.io/Logging_0483/tillsynsmail/A 51874-2019 tillsynsbegäran mail.docx", "A 51874-2019")</f>
        <v/>
      </c>
    </row>
    <row r="56" ht="15" customHeight="1">
      <c r="A56" t="inlineStr">
        <is>
          <t>A 52557-2019</t>
        </is>
      </c>
      <c r="B56" s="1" t="n">
        <v>43745</v>
      </c>
      <c r="C56" s="1" t="n">
        <v>45849</v>
      </c>
      <c r="D56" t="inlineStr">
        <is>
          <t>SÖDERMANLANDS LÄN</t>
        </is>
      </c>
      <c r="E56" t="inlineStr">
        <is>
          <t>KATRINEHOLM</t>
        </is>
      </c>
      <c r="G56" t="n">
        <v>12.3</v>
      </c>
      <c r="H56" t="n">
        <v>1</v>
      </c>
      <c r="I56" t="n">
        <v>0</v>
      </c>
      <c r="J56" t="n">
        <v>0</v>
      </c>
      <c r="K56" t="n">
        <v>0</v>
      </c>
      <c r="L56" t="n">
        <v>0</v>
      </c>
      <c r="M56" t="n">
        <v>0</v>
      </c>
      <c r="N56" t="n">
        <v>0</v>
      </c>
      <c r="O56" t="n">
        <v>0</v>
      </c>
      <c r="P56" t="n">
        <v>0</v>
      </c>
      <c r="Q56" t="n">
        <v>1</v>
      </c>
      <c r="R56" s="2" t="inlineStr">
        <is>
          <t>Äkta lopplummer</t>
        </is>
      </c>
      <c r="S56">
        <f>HYPERLINK("https://klasma.github.io/Logging_0483/artfynd/A 52557-2019 artfynd.xlsx", "A 52557-2019")</f>
        <v/>
      </c>
      <c r="T56">
        <f>HYPERLINK("https://klasma.github.io/Logging_0483/kartor/A 52557-2019 karta.png", "A 52557-2019")</f>
        <v/>
      </c>
      <c r="V56">
        <f>HYPERLINK("https://klasma.github.io/Logging_0483/klagomål/A 52557-2019 FSC-klagomål.docx", "A 52557-2019")</f>
        <v/>
      </c>
      <c r="W56">
        <f>HYPERLINK("https://klasma.github.io/Logging_0483/klagomålsmail/A 52557-2019 FSC-klagomål mail.docx", "A 52557-2019")</f>
        <v/>
      </c>
      <c r="X56">
        <f>HYPERLINK("https://klasma.github.io/Logging_0483/tillsyn/A 52557-2019 tillsynsbegäran.docx", "A 52557-2019")</f>
        <v/>
      </c>
      <c r="Y56">
        <f>HYPERLINK("https://klasma.github.io/Logging_0483/tillsynsmail/A 52557-2019 tillsynsbegäran mail.docx", "A 52557-2019")</f>
        <v/>
      </c>
    </row>
    <row r="57" ht="15" customHeight="1">
      <c r="A57" t="inlineStr">
        <is>
          <t>A 54248-2019</t>
        </is>
      </c>
      <c r="B57" s="1" t="n">
        <v>43753</v>
      </c>
      <c r="C57" s="1" t="n">
        <v>45849</v>
      </c>
      <c r="D57" t="inlineStr">
        <is>
          <t>SÖDERMANLANDS LÄN</t>
        </is>
      </c>
      <c r="E57" t="inlineStr">
        <is>
          <t>KATRINEHOLM</t>
        </is>
      </c>
      <c r="G57" t="n">
        <v>9.800000000000001</v>
      </c>
      <c r="H57" t="n">
        <v>1</v>
      </c>
      <c r="I57" t="n">
        <v>0</v>
      </c>
      <c r="J57" t="n">
        <v>0</v>
      </c>
      <c r="K57" t="n">
        <v>0</v>
      </c>
      <c r="L57" t="n">
        <v>0</v>
      </c>
      <c r="M57" t="n">
        <v>0</v>
      </c>
      <c r="N57" t="n">
        <v>0</v>
      </c>
      <c r="O57" t="n">
        <v>0</v>
      </c>
      <c r="P57" t="n">
        <v>0</v>
      </c>
      <c r="Q57" t="n">
        <v>1</v>
      </c>
      <c r="R57" s="2" t="inlineStr">
        <is>
          <t>Trana</t>
        </is>
      </c>
      <c r="S57">
        <f>HYPERLINK("https://klasma.github.io/Logging_0483/artfynd/A 54248-2019 artfynd.xlsx", "A 54248-2019")</f>
        <v/>
      </c>
      <c r="T57">
        <f>HYPERLINK("https://klasma.github.io/Logging_0483/kartor/A 54248-2019 karta.png", "A 54248-2019")</f>
        <v/>
      </c>
      <c r="V57">
        <f>HYPERLINK("https://klasma.github.io/Logging_0483/klagomål/A 54248-2019 FSC-klagomål.docx", "A 54248-2019")</f>
        <v/>
      </c>
      <c r="W57">
        <f>HYPERLINK("https://klasma.github.io/Logging_0483/klagomålsmail/A 54248-2019 FSC-klagomål mail.docx", "A 54248-2019")</f>
        <v/>
      </c>
      <c r="X57">
        <f>HYPERLINK("https://klasma.github.io/Logging_0483/tillsyn/A 54248-2019 tillsynsbegäran.docx", "A 54248-2019")</f>
        <v/>
      </c>
      <c r="Y57">
        <f>HYPERLINK("https://klasma.github.io/Logging_0483/tillsynsmail/A 54248-2019 tillsynsbegäran mail.docx", "A 54248-2019")</f>
        <v/>
      </c>
      <c r="Z57">
        <f>HYPERLINK("https://klasma.github.io/Logging_0483/fåglar/A 54248-2019 prioriterade fågelarter.docx", "A 54248-2019")</f>
        <v/>
      </c>
    </row>
    <row r="58" ht="15" customHeight="1">
      <c r="A58" t="inlineStr">
        <is>
          <t>A 18283-2020</t>
        </is>
      </c>
      <c r="B58" s="1" t="n">
        <v>43928</v>
      </c>
      <c r="C58" s="1" t="n">
        <v>45849</v>
      </c>
      <c r="D58" t="inlineStr">
        <is>
          <t>SÖDERMANLANDS LÄN</t>
        </is>
      </c>
      <c r="E58" t="inlineStr">
        <is>
          <t>KATRINEHOLM</t>
        </is>
      </c>
      <c r="F58" t="inlineStr">
        <is>
          <t>Kommuner</t>
        </is>
      </c>
      <c r="G58" t="n">
        <v>8.1</v>
      </c>
      <c r="H58" t="n">
        <v>1</v>
      </c>
      <c r="I58" t="n">
        <v>0</v>
      </c>
      <c r="J58" t="n">
        <v>0</v>
      </c>
      <c r="K58" t="n">
        <v>1</v>
      </c>
      <c r="L58" t="n">
        <v>0</v>
      </c>
      <c r="M58" t="n">
        <v>0</v>
      </c>
      <c r="N58" t="n">
        <v>0</v>
      </c>
      <c r="O58" t="n">
        <v>1</v>
      </c>
      <c r="P58" t="n">
        <v>1</v>
      </c>
      <c r="Q58" t="n">
        <v>1</v>
      </c>
      <c r="R58" s="2" t="inlineStr">
        <is>
          <t>Knärot</t>
        </is>
      </c>
      <c r="S58">
        <f>HYPERLINK("https://klasma.github.io/Logging_0483/artfynd/A 18283-2020 artfynd.xlsx", "A 18283-2020")</f>
        <v/>
      </c>
      <c r="T58">
        <f>HYPERLINK("https://klasma.github.io/Logging_0483/kartor/A 18283-2020 karta.png", "A 18283-2020")</f>
        <v/>
      </c>
      <c r="U58">
        <f>HYPERLINK("https://klasma.github.io/Logging_0483/knärot/A 18283-2020 karta knärot.png", "A 18283-2020")</f>
        <v/>
      </c>
      <c r="V58">
        <f>HYPERLINK("https://klasma.github.io/Logging_0483/klagomål/A 18283-2020 FSC-klagomål.docx", "A 18283-2020")</f>
        <v/>
      </c>
      <c r="W58">
        <f>HYPERLINK("https://klasma.github.io/Logging_0483/klagomålsmail/A 18283-2020 FSC-klagomål mail.docx", "A 18283-2020")</f>
        <v/>
      </c>
      <c r="X58">
        <f>HYPERLINK("https://klasma.github.io/Logging_0483/tillsyn/A 18283-2020 tillsynsbegäran.docx", "A 18283-2020")</f>
        <v/>
      </c>
      <c r="Y58">
        <f>HYPERLINK("https://klasma.github.io/Logging_0483/tillsynsmail/A 18283-2020 tillsynsbegäran mail.docx", "A 18283-2020")</f>
        <v/>
      </c>
    </row>
    <row r="59" ht="15" customHeight="1">
      <c r="A59" t="inlineStr">
        <is>
          <t>A 21808-2020</t>
        </is>
      </c>
      <c r="B59" s="1" t="n">
        <v>43958</v>
      </c>
      <c r="C59" s="1" t="n">
        <v>45849</v>
      </c>
      <c r="D59" t="inlineStr">
        <is>
          <t>SÖDERMANLANDS LÄN</t>
        </is>
      </c>
      <c r="E59" t="inlineStr">
        <is>
          <t>KATRINEHOLM</t>
        </is>
      </c>
      <c r="G59" t="n">
        <v>3.5</v>
      </c>
      <c r="H59" t="n">
        <v>0</v>
      </c>
      <c r="I59" t="n">
        <v>1</v>
      </c>
      <c r="J59" t="n">
        <v>0</v>
      </c>
      <c r="K59" t="n">
        <v>0</v>
      </c>
      <c r="L59" t="n">
        <v>0</v>
      </c>
      <c r="M59" t="n">
        <v>0</v>
      </c>
      <c r="N59" t="n">
        <v>0</v>
      </c>
      <c r="O59" t="n">
        <v>0</v>
      </c>
      <c r="P59" t="n">
        <v>0</v>
      </c>
      <c r="Q59" t="n">
        <v>1</v>
      </c>
      <c r="R59" s="2" t="inlineStr">
        <is>
          <t>Blomkålssvamp</t>
        </is>
      </c>
      <c r="S59">
        <f>HYPERLINK("https://klasma.github.io/Logging_0483/artfynd/A 21808-2020 artfynd.xlsx", "A 21808-2020")</f>
        <v/>
      </c>
      <c r="T59">
        <f>HYPERLINK("https://klasma.github.io/Logging_0483/kartor/A 21808-2020 karta.png", "A 21808-2020")</f>
        <v/>
      </c>
      <c r="V59">
        <f>HYPERLINK("https://klasma.github.io/Logging_0483/klagomål/A 21808-2020 FSC-klagomål.docx", "A 21808-2020")</f>
        <v/>
      </c>
      <c r="W59">
        <f>HYPERLINK("https://klasma.github.io/Logging_0483/klagomålsmail/A 21808-2020 FSC-klagomål mail.docx", "A 21808-2020")</f>
        <v/>
      </c>
      <c r="X59">
        <f>HYPERLINK("https://klasma.github.io/Logging_0483/tillsyn/A 21808-2020 tillsynsbegäran.docx", "A 21808-2020")</f>
        <v/>
      </c>
      <c r="Y59">
        <f>HYPERLINK("https://klasma.github.io/Logging_0483/tillsynsmail/A 21808-2020 tillsynsbegäran mail.docx", "A 21808-2020")</f>
        <v/>
      </c>
    </row>
    <row r="60" ht="15" customHeight="1">
      <c r="A60" t="inlineStr">
        <is>
          <t>A 47989-2020</t>
        </is>
      </c>
      <c r="B60" s="1" t="n">
        <v>44099</v>
      </c>
      <c r="C60" s="1" t="n">
        <v>45849</v>
      </c>
      <c r="D60" t="inlineStr">
        <is>
          <t>SÖDERMANLANDS LÄN</t>
        </is>
      </c>
      <c r="E60" t="inlineStr">
        <is>
          <t>KATRINEHOLM</t>
        </is>
      </c>
      <c r="F60" t="inlineStr">
        <is>
          <t>Övriga statliga verk och myndigheter</t>
        </is>
      </c>
      <c r="G60" t="n">
        <v>4.7</v>
      </c>
      <c r="H60" t="n">
        <v>0</v>
      </c>
      <c r="I60" t="n">
        <v>1</v>
      </c>
      <c r="J60" t="n">
        <v>0</v>
      </c>
      <c r="K60" t="n">
        <v>0</v>
      </c>
      <c r="L60" t="n">
        <v>0</v>
      </c>
      <c r="M60" t="n">
        <v>0</v>
      </c>
      <c r="N60" t="n">
        <v>0</v>
      </c>
      <c r="O60" t="n">
        <v>0</v>
      </c>
      <c r="P60" t="n">
        <v>0</v>
      </c>
      <c r="Q60" t="n">
        <v>1</v>
      </c>
      <c r="R60" s="2" t="inlineStr">
        <is>
          <t>Stubbspretmossa</t>
        </is>
      </c>
      <c r="S60">
        <f>HYPERLINK("https://klasma.github.io/Logging_0483/artfynd/A 47989-2020 artfynd.xlsx", "A 47989-2020")</f>
        <v/>
      </c>
      <c r="T60">
        <f>HYPERLINK("https://klasma.github.io/Logging_0483/kartor/A 47989-2020 karta.png", "A 47989-2020")</f>
        <v/>
      </c>
      <c r="V60">
        <f>HYPERLINK("https://klasma.github.io/Logging_0483/klagomål/A 47989-2020 FSC-klagomål.docx", "A 47989-2020")</f>
        <v/>
      </c>
      <c r="W60">
        <f>HYPERLINK("https://klasma.github.io/Logging_0483/klagomålsmail/A 47989-2020 FSC-klagomål mail.docx", "A 47989-2020")</f>
        <v/>
      </c>
      <c r="X60">
        <f>HYPERLINK("https://klasma.github.io/Logging_0483/tillsyn/A 47989-2020 tillsynsbegäran.docx", "A 47989-2020")</f>
        <v/>
      </c>
      <c r="Y60">
        <f>HYPERLINK("https://klasma.github.io/Logging_0483/tillsynsmail/A 47989-2020 tillsynsbegäran mail.docx", "A 47989-2020")</f>
        <v/>
      </c>
    </row>
    <row r="61" ht="15" customHeight="1">
      <c r="A61" t="inlineStr">
        <is>
          <t>A 66876-2020</t>
        </is>
      </c>
      <c r="B61" s="1" t="n">
        <v>44180</v>
      </c>
      <c r="C61" s="1" t="n">
        <v>45849</v>
      </c>
      <c r="D61" t="inlineStr">
        <is>
          <t>SÖDERMANLANDS LÄN</t>
        </is>
      </c>
      <c r="E61" t="inlineStr">
        <is>
          <t>KATRINEHOLM</t>
        </is>
      </c>
      <c r="G61" t="n">
        <v>3.7</v>
      </c>
      <c r="H61" t="n">
        <v>0</v>
      </c>
      <c r="I61" t="n">
        <v>1</v>
      </c>
      <c r="J61" t="n">
        <v>0</v>
      </c>
      <c r="K61" t="n">
        <v>0</v>
      </c>
      <c r="L61" t="n">
        <v>0</v>
      </c>
      <c r="M61" t="n">
        <v>0</v>
      </c>
      <c r="N61" t="n">
        <v>0</v>
      </c>
      <c r="O61" t="n">
        <v>0</v>
      </c>
      <c r="P61" t="n">
        <v>0</v>
      </c>
      <c r="Q61" t="n">
        <v>1</v>
      </c>
      <c r="R61" s="2" t="inlineStr">
        <is>
          <t>Dvärghäxört</t>
        </is>
      </c>
      <c r="S61">
        <f>HYPERLINK("https://klasma.github.io/Logging_0483/artfynd/A 66876-2020 artfynd.xlsx", "A 66876-2020")</f>
        <v/>
      </c>
      <c r="T61">
        <f>HYPERLINK("https://klasma.github.io/Logging_0483/kartor/A 66876-2020 karta.png", "A 66876-2020")</f>
        <v/>
      </c>
      <c r="V61">
        <f>HYPERLINK("https://klasma.github.io/Logging_0483/klagomål/A 66876-2020 FSC-klagomål.docx", "A 66876-2020")</f>
        <v/>
      </c>
      <c r="W61">
        <f>HYPERLINK("https://klasma.github.io/Logging_0483/klagomålsmail/A 66876-2020 FSC-klagomål mail.docx", "A 66876-2020")</f>
        <v/>
      </c>
      <c r="X61">
        <f>HYPERLINK("https://klasma.github.io/Logging_0483/tillsyn/A 66876-2020 tillsynsbegäran.docx", "A 66876-2020")</f>
        <v/>
      </c>
      <c r="Y61">
        <f>HYPERLINK("https://klasma.github.io/Logging_0483/tillsynsmail/A 66876-2020 tillsynsbegäran mail.docx", "A 66876-2020")</f>
        <v/>
      </c>
    </row>
    <row r="62" ht="15" customHeight="1">
      <c r="A62" t="inlineStr">
        <is>
          <t>A 43536-2021</t>
        </is>
      </c>
      <c r="B62" s="1" t="n">
        <v>44433</v>
      </c>
      <c r="C62" s="1" t="n">
        <v>45849</v>
      </c>
      <c r="D62" t="inlineStr">
        <is>
          <t>SÖDERMANLANDS LÄN</t>
        </is>
      </c>
      <c r="E62" t="inlineStr">
        <is>
          <t>KATRINEHOLM</t>
        </is>
      </c>
      <c r="G62" t="n">
        <v>6</v>
      </c>
      <c r="H62" t="n">
        <v>0</v>
      </c>
      <c r="I62" t="n">
        <v>0</v>
      </c>
      <c r="J62" t="n">
        <v>1</v>
      </c>
      <c r="K62" t="n">
        <v>0</v>
      </c>
      <c r="L62" t="n">
        <v>0</v>
      </c>
      <c r="M62" t="n">
        <v>0</v>
      </c>
      <c r="N62" t="n">
        <v>0</v>
      </c>
      <c r="O62" t="n">
        <v>1</v>
      </c>
      <c r="P62" t="n">
        <v>0</v>
      </c>
      <c r="Q62" t="n">
        <v>1</v>
      </c>
      <c r="R62" s="2" t="inlineStr">
        <is>
          <t>Pilblad</t>
        </is>
      </c>
      <c r="S62">
        <f>HYPERLINK("https://klasma.github.io/Logging_0483/artfynd/A 43536-2021 artfynd.xlsx", "A 43536-2021")</f>
        <v/>
      </c>
      <c r="T62">
        <f>HYPERLINK("https://klasma.github.io/Logging_0483/kartor/A 43536-2021 karta.png", "A 43536-2021")</f>
        <v/>
      </c>
      <c r="V62">
        <f>HYPERLINK("https://klasma.github.io/Logging_0483/klagomål/A 43536-2021 FSC-klagomål.docx", "A 43536-2021")</f>
        <v/>
      </c>
      <c r="W62">
        <f>HYPERLINK("https://klasma.github.io/Logging_0483/klagomålsmail/A 43536-2021 FSC-klagomål mail.docx", "A 43536-2021")</f>
        <v/>
      </c>
      <c r="X62">
        <f>HYPERLINK("https://klasma.github.io/Logging_0483/tillsyn/A 43536-2021 tillsynsbegäran.docx", "A 43536-2021")</f>
        <v/>
      </c>
      <c r="Y62">
        <f>HYPERLINK("https://klasma.github.io/Logging_0483/tillsynsmail/A 43536-2021 tillsynsbegäran mail.docx", "A 43536-2021")</f>
        <v/>
      </c>
    </row>
    <row r="63" ht="15" customHeight="1">
      <c r="A63" t="inlineStr">
        <is>
          <t>A 57519-2021</t>
        </is>
      </c>
      <c r="B63" s="1" t="n">
        <v>44483</v>
      </c>
      <c r="C63" s="1" t="n">
        <v>45849</v>
      </c>
      <c r="D63" t="inlineStr">
        <is>
          <t>SÖDERMANLANDS LÄN</t>
        </is>
      </c>
      <c r="E63" t="inlineStr">
        <is>
          <t>KATRINEHOLM</t>
        </is>
      </c>
      <c r="G63" t="n">
        <v>0.7</v>
      </c>
      <c r="H63" t="n">
        <v>1</v>
      </c>
      <c r="I63" t="n">
        <v>0</v>
      </c>
      <c r="J63" t="n">
        <v>0</v>
      </c>
      <c r="K63" t="n">
        <v>0</v>
      </c>
      <c r="L63" t="n">
        <v>0</v>
      </c>
      <c r="M63" t="n">
        <v>0</v>
      </c>
      <c r="N63" t="n">
        <v>0</v>
      </c>
      <c r="O63" t="n">
        <v>0</v>
      </c>
      <c r="P63" t="n">
        <v>0</v>
      </c>
      <c r="Q63" t="n">
        <v>1</v>
      </c>
      <c r="R63" s="2" t="inlineStr">
        <is>
          <t>Blåsippa</t>
        </is>
      </c>
      <c r="S63">
        <f>HYPERLINK("https://klasma.github.io/Logging_0483/artfynd/A 57519-2021 artfynd.xlsx", "A 57519-2021")</f>
        <v/>
      </c>
      <c r="T63">
        <f>HYPERLINK("https://klasma.github.io/Logging_0483/kartor/A 57519-2021 karta.png", "A 57519-2021")</f>
        <v/>
      </c>
      <c r="V63">
        <f>HYPERLINK("https://klasma.github.io/Logging_0483/klagomål/A 57519-2021 FSC-klagomål.docx", "A 57519-2021")</f>
        <v/>
      </c>
      <c r="W63">
        <f>HYPERLINK("https://klasma.github.io/Logging_0483/klagomålsmail/A 57519-2021 FSC-klagomål mail.docx", "A 57519-2021")</f>
        <v/>
      </c>
      <c r="X63">
        <f>HYPERLINK("https://klasma.github.io/Logging_0483/tillsyn/A 57519-2021 tillsynsbegäran.docx", "A 57519-2021")</f>
        <v/>
      </c>
      <c r="Y63">
        <f>HYPERLINK("https://klasma.github.io/Logging_0483/tillsynsmail/A 57519-2021 tillsynsbegäran mail.docx", "A 57519-2021")</f>
        <v/>
      </c>
    </row>
    <row r="64" ht="15" customHeight="1">
      <c r="A64" t="inlineStr">
        <is>
          <t>A 65184-2021</t>
        </is>
      </c>
      <c r="B64" s="1" t="n">
        <v>44512</v>
      </c>
      <c r="C64" s="1" t="n">
        <v>45849</v>
      </c>
      <c r="D64" t="inlineStr">
        <is>
          <t>SÖDERMANLANDS LÄN</t>
        </is>
      </c>
      <c r="E64" t="inlineStr">
        <is>
          <t>KATRINEHOLM</t>
        </is>
      </c>
      <c r="G64" t="n">
        <v>1.8</v>
      </c>
      <c r="H64" t="n">
        <v>1</v>
      </c>
      <c r="I64" t="n">
        <v>0</v>
      </c>
      <c r="J64" t="n">
        <v>1</v>
      </c>
      <c r="K64" t="n">
        <v>0</v>
      </c>
      <c r="L64" t="n">
        <v>0</v>
      </c>
      <c r="M64" t="n">
        <v>0</v>
      </c>
      <c r="N64" t="n">
        <v>0</v>
      </c>
      <c r="O64" t="n">
        <v>1</v>
      </c>
      <c r="P64" t="n">
        <v>0</v>
      </c>
      <c r="Q64" t="n">
        <v>1</v>
      </c>
      <c r="R64" s="2" t="inlineStr">
        <is>
          <t>Gulsparv</t>
        </is>
      </c>
      <c r="S64">
        <f>HYPERLINK("https://klasma.github.io/Logging_0483/artfynd/A 65184-2021 artfynd.xlsx", "A 65184-2021")</f>
        <v/>
      </c>
      <c r="T64">
        <f>HYPERLINK("https://klasma.github.io/Logging_0483/kartor/A 65184-2021 karta.png", "A 65184-2021")</f>
        <v/>
      </c>
      <c r="V64">
        <f>HYPERLINK("https://klasma.github.io/Logging_0483/klagomål/A 65184-2021 FSC-klagomål.docx", "A 65184-2021")</f>
        <v/>
      </c>
      <c r="W64">
        <f>HYPERLINK("https://klasma.github.io/Logging_0483/klagomålsmail/A 65184-2021 FSC-klagomål mail.docx", "A 65184-2021")</f>
        <v/>
      </c>
      <c r="X64">
        <f>HYPERLINK("https://klasma.github.io/Logging_0483/tillsyn/A 65184-2021 tillsynsbegäran.docx", "A 65184-2021")</f>
        <v/>
      </c>
      <c r="Y64">
        <f>HYPERLINK("https://klasma.github.io/Logging_0483/tillsynsmail/A 65184-2021 tillsynsbegäran mail.docx", "A 65184-2021")</f>
        <v/>
      </c>
      <c r="Z64">
        <f>HYPERLINK("https://klasma.github.io/Logging_0483/fåglar/A 65184-2021 prioriterade fågelarter.docx", "A 65184-2021")</f>
        <v/>
      </c>
    </row>
    <row r="65" ht="15" customHeight="1">
      <c r="A65" t="inlineStr">
        <is>
          <t>A 72851-2021</t>
        </is>
      </c>
      <c r="B65" s="1" t="n">
        <v>44546</v>
      </c>
      <c r="C65" s="1" t="n">
        <v>45849</v>
      </c>
      <c r="D65" t="inlineStr">
        <is>
          <t>SÖDERMANLANDS LÄN</t>
        </is>
      </c>
      <c r="E65" t="inlineStr">
        <is>
          <t>KATRINEHOLM</t>
        </is>
      </c>
      <c r="G65" t="n">
        <v>0.7</v>
      </c>
      <c r="H65" t="n">
        <v>0</v>
      </c>
      <c r="I65" t="n">
        <v>0</v>
      </c>
      <c r="J65" t="n">
        <v>1</v>
      </c>
      <c r="K65" t="n">
        <v>0</v>
      </c>
      <c r="L65" t="n">
        <v>0</v>
      </c>
      <c r="M65" t="n">
        <v>0</v>
      </c>
      <c r="N65" t="n">
        <v>0</v>
      </c>
      <c r="O65" t="n">
        <v>1</v>
      </c>
      <c r="P65" t="n">
        <v>0</v>
      </c>
      <c r="Q65" t="n">
        <v>1</v>
      </c>
      <c r="R65" s="2" t="inlineStr">
        <is>
          <t>Klasefibbla</t>
        </is>
      </c>
      <c r="S65">
        <f>HYPERLINK("https://klasma.github.io/Logging_0483/artfynd/A 72851-2021 artfynd.xlsx", "A 72851-2021")</f>
        <v/>
      </c>
      <c r="T65">
        <f>HYPERLINK("https://klasma.github.io/Logging_0483/kartor/A 72851-2021 karta.png", "A 72851-2021")</f>
        <v/>
      </c>
      <c r="V65">
        <f>HYPERLINK("https://klasma.github.io/Logging_0483/klagomål/A 72851-2021 FSC-klagomål.docx", "A 72851-2021")</f>
        <v/>
      </c>
      <c r="W65">
        <f>HYPERLINK("https://klasma.github.io/Logging_0483/klagomålsmail/A 72851-2021 FSC-klagomål mail.docx", "A 72851-2021")</f>
        <v/>
      </c>
      <c r="X65">
        <f>HYPERLINK("https://klasma.github.io/Logging_0483/tillsyn/A 72851-2021 tillsynsbegäran.docx", "A 72851-2021")</f>
        <v/>
      </c>
      <c r="Y65">
        <f>HYPERLINK("https://klasma.github.io/Logging_0483/tillsynsmail/A 72851-2021 tillsynsbegäran mail.docx", "A 72851-2021")</f>
        <v/>
      </c>
    </row>
    <row r="66" ht="15" customHeight="1">
      <c r="A66" t="inlineStr">
        <is>
          <t>A 6076-2022</t>
        </is>
      </c>
      <c r="B66" s="1" t="n">
        <v>44599</v>
      </c>
      <c r="C66" s="1" t="n">
        <v>45849</v>
      </c>
      <c r="D66" t="inlineStr">
        <is>
          <t>SÖDERMANLANDS LÄN</t>
        </is>
      </c>
      <c r="E66" t="inlineStr">
        <is>
          <t>KATRINEHOLM</t>
        </is>
      </c>
      <c r="G66" t="n">
        <v>3.3</v>
      </c>
      <c r="H66" t="n">
        <v>0</v>
      </c>
      <c r="I66" t="n">
        <v>1</v>
      </c>
      <c r="J66" t="n">
        <v>0</v>
      </c>
      <c r="K66" t="n">
        <v>0</v>
      </c>
      <c r="L66" t="n">
        <v>0</v>
      </c>
      <c r="M66" t="n">
        <v>0</v>
      </c>
      <c r="N66" t="n">
        <v>0</v>
      </c>
      <c r="O66" t="n">
        <v>0</v>
      </c>
      <c r="P66" t="n">
        <v>0</v>
      </c>
      <c r="Q66" t="n">
        <v>1</v>
      </c>
      <c r="R66" s="2" t="inlineStr">
        <is>
          <t>Svart trolldruva</t>
        </is>
      </c>
      <c r="S66">
        <f>HYPERLINK("https://klasma.github.io/Logging_0483/artfynd/A 6076-2022 artfynd.xlsx", "A 6076-2022")</f>
        <v/>
      </c>
      <c r="T66">
        <f>HYPERLINK("https://klasma.github.io/Logging_0483/kartor/A 6076-2022 karta.png", "A 6076-2022")</f>
        <v/>
      </c>
      <c r="V66">
        <f>HYPERLINK("https://klasma.github.io/Logging_0483/klagomål/A 6076-2022 FSC-klagomål.docx", "A 6076-2022")</f>
        <v/>
      </c>
      <c r="W66">
        <f>HYPERLINK("https://klasma.github.io/Logging_0483/klagomålsmail/A 6076-2022 FSC-klagomål mail.docx", "A 6076-2022")</f>
        <v/>
      </c>
      <c r="X66">
        <f>HYPERLINK("https://klasma.github.io/Logging_0483/tillsyn/A 6076-2022 tillsynsbegäran.docx", "A 6076-2022")</f>
        <v/>
      </c>
      <c r="Y66">
        <f>HYPERLINK("https://klasma.github.io/Logging_0483/tillsynsmail/A 6076-2022 tillsynsbegäran mail.docx", "A 6076-2022")</f>
        <v/>
      </c>
    </row>
    <row r="67" ht="15" customHeight="1">
      <c r="A67" t="inlineStr">
        <is>
          <t>A 6768-2022</t>
        </is>
      </c>
      <c r="B67" s="1" t="n">
        <v>44602</v>
      </c>
      <c r="C67" s="1" t="n">
        <v>45849</v>
      </c>
      <c r="D67" t="inlineStr">
        <is>
          <t>SÖDERMANLANDS LÄN</t>
        </is>
      </c>
      <c r="E67" t="inlineStr">
        <is>
          <t>KATRINEHOLM</t>
        </is>
      </c>
      <c r="G67" t="n">
        <v>12</v>
      </c>
      <c r="H67" t="n">
        <v>0</v>
      </c>
      <c r="I67" t="n">
        <v>0</v>
      </c>
      <c r="J67" t="n">
        <v>1</v>
      </c>
      <c r="K67" t="n">
        <v>0</v>
      </c>
      <c r="L67" t="n">
        <v>0</v>
      </c>
      <c r="M67" t="n">
        <v>0</v>
      </c>
      <c r="N67" t="n">
        <v>0</v>
      </c>
      <c r="O67" t="n">
        <v>1</v>
      </c>
      <c r="P67" t="n">
        <v>0</v>
      </c>
      <c r="Q67" t="n">
        <v>1</v>
      </c>
      <c r="R67" s="2" t="inlineStr">
        <is>
          <t>Igelkott</t>
        </is>
      </c>
      <c r="S67">
        <f>HYPERLINK("https://klasma.github.io/Logging_0483/artfynd/A 6768-2022 artfynd.xlsx", "A 6768-2022")</f>
        <v/>
      </c>
      <c r="T67">
        <f>HYPERLINK("https://klasma.github.io/Logging_0483/kartor/A 6768-2022 karta.png", "A 6768-2022")</f>
        <v/>
      </c>
      <c r="V67">
        <f>HYPERLINK("https://klasma.github.io/Logging_0483/klagomål/A 6768-2022 FSC-klagomål.docx", "A 6768-2022")</f>
        <v/>
      </c>
      <c r="W67">
        <f>HYPERLINK("https://klasma.github.io/Logging_0483/klagomålsmail/A 6768-2022 FSC-klagomål mail.docx", "A 6768-2022")</f>
        <v/>
      </c>
      <c r="X67">
        <f>HYPERLINK("https://klasma.github.io/Logging_0483/tillsyn/A 6768-2022 tillsynsbegäran.docx", "A 6768-2022")</f>
        <v/>
      </c>
      <c r="Y67">
        <f>HYPERLINK("https://klasma.github.io/Logging_0483/tillsynsmail/A 6768-2022 tillsynsbegäran mail.docx", "A 6768-2022")</f>
        <v/>
      </c>
    </row>
    <row r="68" ht="15" customHeight="1">
      <c r="A68" t="inlineStr">
        <is>
          <t>A 16458-2022</t>
        </is>
      </c>
      <c r="B68" s="1" t="n">
        <v>44671</v>
      </c>
      <c r="C68" s="1" t="n">
        <v>45849</v>
      </c>
      <c r="D68" t="inlineStr">
        <is>
          <t>SÖDERMANLANDS LÄN</t>
        </is>
      </c>
      <c r="E68" t="inlineStr">
        <is>
          <t>KATRINEHOLM</t>
        </is>
      </c>
      <c r="G68" t="n">
        <v>16.4</v>
      </c>
      <c r="H68" t="n">
        <v>1</v>
      </c>
      <c r="I68" t="n">
        <v>0</v>
      </c>
      <c r="J68" t="n">
        <v>1</v>
      </c>
      <c r="K68" t="n">
        <v>0</v>
      </c>
      <c r="L68" t="n">
        <v>0</v>
      </c>
      <c r="M68" t="n">
        <v>0</v>
      </c>
      <c r="N68" t="n">
        <v>0</v>
      </c>
      <c r="O68" t="n">
        <v>1</v>
      </c>
      <c r="P68" t="n">
        <v>0</v>
      </c>
      <c r="Q68" t="n">
        <v>1</v>
      </c>
      <c r="R68" s="2" t="inlineStr">
        <is>
          <t>Duvhök</t>
        </is>
      </c>
      <c r="S68">
        <f>HYPERLINK("https://klasma.github.io/Logging_0483/artfynd/A 16458-2022 artfynd.xlsx", "A 16458-2022")</f>
        <v/>
      </c>
      <c r="T68">
        <f>HYPERLINK("https://klasma.github.io/Logging_0483/kartor/A 16458-2022 karta.png", "A 16458-2022")</f>
        <v/>
      </c>
      <c r="V68">
        <f>HYPERLINK("https://klasma.github.io/Logging_0483/klagomål/A 16458-2022 FSC-klagomål.docx", "A 16458-2022")</f>
        <v/>
      </c>
      <c r="W68">
        <f>HYPERLINK("https://klasma.github.io/Logging_0483/klagomålsmail/A 16458-2022 FSC-klagomål mail.docx", "A 16458-2022")</f>
        <v/>
      </c>
      <c r="X68">
        <f>HYPERLINK("https://klasma.github.io/Logging_0483/tillsyn/A 16458-2022 tillsynsbegäran.docx", "A 16458-2022")</f>
        <v/>
      </c>
      <c r="Y68">
        <f>HYPERLINK("https://klasma.github.io/Logging_0483/tillsynsmail/A 16458-2022 tillsynsbegäran mail.docx", "A 16458-2022")</f>
        <v/>
      </c>
      <c r="Z68">
        <f>HYPERLINK("https://klasma.github.io/Logging_0483/fåglar/A 16458-2022 prioriterade fågelarter.docx", "A 16458-2022")</f>
        <v/>
      </c>
    </row>
    <row r="69" ht="15" customHeight="1">
      <c r="A69" t="inlineStr">
        <is>
          <t>A 25724-2022</t>
        </is>
      </c>
      <c r="B69" s="1" t="n">
        <v>44733</v>
      </c>
      <c r="C69" s="1" t="n">
        <v>45849</v>
      </c>
      <c r="D69" t="inlineStr">
        <is>
          <t>SÖDERMANLANDS LÄN</t>
        </is>
      </c>
      <c r="E69" t="inlineStr">
        <is>
          <t>KATRINEHOLM</t>
        </is>
      </c>
      <c r="G69" t="n">
        <v>0.8</v>
      </c>
      <c r="H69" t="n">
        <v>0</v>
      </c>
      <c r="I69" t="n">
        <v>1</v>
      </c>
      <c r="J69" t="n">
        <v>0</v>
      </c>
      <c r="K69" t="n">
        <v>0</v>
      </c>
      <c r="L69" t="n">
        <v>0</v>
      </c>
      <c r="M69" t="n">
        <v>0</v>
      </c>
      <c r="N69" t="n">
        <v>0</v>
      </c>
      <c r="O69" t="n">
        <v>0</v>
      </c>
      <c r="P69" t="n">
        <v>0</v>
      </c>
      <c r="Q69" t="n">
        <v>1</v>
      </c>
      <c r="R69" s="2" t="inlineStr">
        <is>
          <t>Kamjordstjärna</t>
        </is>
      </c>
      <c r="S69">
        <f>HYPERLINK("https://klasma.github.io/Logging_0483/artfynd/A 25724-2022 artfynd.xlsx", "A 25724-2022")</f>
        <v/>
      </c>
      <c r="T69">
        <f>HYPERLINK("https://klasma.github.io/Logging_0483/kartor/A 25724-2022 karta.png", "A 25724-2022")</f>
        <v/>
      </c>
      <c r="V69">
        <f>HYPERLINK("https://klasma.github.io/Logging_0483/klagomål/A 25724-2022 FSC-klagomål.docx", "A 25724-2022")</f>
        <v/>
      </c>
      <c r="W69">
        <f>HYPERLINK("https://klasma.github.io/Logging_0483/klagomålsmail/A 25724-2022 FSC-klagomål mail.docx", "A 25724-2022")</f>
        <v/>
      </c>
      <c r="X69">
        <f>HYPERLINK("https://klasma.github.io/Logging_0483/tillsyn/A 25724-2022 tillsynsbegäran.docx", "A 25724-2022")</f>
        <v/>
      </c>
      <c r="Y69">
        <f>HYPERLINK("https://klasma.github.io/Logging_0483/tillsynsmail/A 25724-2022 tillsynsbegäran mail.docx", "A 25724-2022")</f>
        <v/>
      </c>
    </row>
    <row r="70" ht="15" customHeight="1">
      <c r="A70" t="inlineStr">
        <is>
          <t>A 28985-2022</t>
        </is>
      </c>
      <c r="B70" s="1" t="n">
        <v>44749</v>
      </c>
      <c r="C70" s="1" t="n">
        <v>45849</v>
      </c>
      <c r="D70" t="inlineStr">
        <is>
          <t>SÖDERMANLANDS LÄN</t>
        </is>
      </c>
      <c r="E70" t="inlineStr">
        <is>
          <t>KATRINEHOLM</t>
        </is>
      </c>
      <c r="G70" t="n">
        <v>6.4</v>
      </c>
      <c r="H70" t="n">
        <v>0</v>
      </c>
      <c r="I70" t="n">
        <v>0</v>
      </c>
      <c r="J70" t="n">
        <v>1</v>
      </c>
      <c r="K70" t="n">
        <v>0</v>
      </c>
      <c r="L70" t="n">
        <v>0</v>
      </c>
      <c r="M70" t="n">
        <v>0</v>
      </c>
      <c r="N70" t="n">
        <v>0</v>
      </c>
      <c r="O70" t="n">
        <v>1</v>
      </c>
      <c r="P70" t="n">
        <v>0</v>
      </c>
      <c r="Q70" t="n">
        <v>1</v>
      </c>
      <c r="R70" s="2" t="inlineStr">
        <is>
          <t>Igelkott</t>
        </is>
      </c>
      <c r="S70">
        <f>HYPERLINK("https://klasma.github.io/Logging_0483/artfynd/A 28985-2022 artfynd.xlsx", "A 28985-2022")</f>
        <v/>
      </c>
      <c r="T70">
        <f>HYPERLINK("https://klasma.github.io/Logging_0483/kartor/A 28985-2022 karta.png", "A 28985-2022")</f>
        <v/>
      </c>
      <c r="V70">
        <f>HYPERLINK("https://klasma.github.io/Logging_0483/klagomål/A 28985-2022 FSC-klagomål.docx", "A 28985-2022")</f>
        <v/>
      </c>
      <c r="W70">
        <f>HYPERLINK("https://klasma.github.io/Logging_0483/klagomålsmail/A 28985-2022 FSC-klagomål mail.docx", "A 28985-2022")</f>
        <v/>
      </c>
      <c r="X70">
        <f>HYPERLINK("https://klasma.github.io/Logging_0483/tillsyn/A 28985-2022 tillsynsbegäran.docx", "A 28985-2022")</f>
        <v/>
      </c>
      <c r="Y70">
        <f>HYPERLINK("https://klasma.github.io/Logging_0483/tillsynsmail/A 28985-2022 tillsynsbegäran mail.docx", "A 28985-2022")</f>
        <v/>
      </c>
    </row>
    <row r="71" ht="15" customHeight="1">
      <c r="A71" t="inlineStr">
        <is>
          <t>A 30727-2022</t>
        </is>
      </c>
      <c r="B71" s="1" t="n">
        <v>44763</v>
      </c>
      <c r="C71" s="1" t="n">
        <v>45849</v>
      </c>
      <c r="D71" t="inlineStr">
        <is>
          <t>SÖDERMANLANDS LÄN</t>
        </is>
      </c>
      <c r="E71" t="inlineStr">
        <is>
          <t>KATRINEHOLM</t>
        </is>
      </c>
      <c r="F71" t="inlineStr">
        <is>
          <t>Allmännings- och besparingsskogar</t>
        </is>
      </c>
      <c r="G71" t="n">
        <v>6.6</v>
      </c>
      <c r="H71" t="n">
        <v>1</v>
      </c>
      <c r="I71" t="n">
        <v>0</v>
      </c>
      <c r="J71" t="n">
        <v>0</v>
      </c>
      <c r="K71" t="n">
        <v>1</v>
      </c>
      <c r="L71" t="n">
        <v>0</v>
      </c>
      <c r="M71" t="n">
        <v>0</v>
      </c>
      <c r="N71" t="n">
        <v>0</v>
      </c>
      <c r="O71" t="n">
        <v>1</v>
      </c>
      <c r="P71" t="n">
        <v>1</v>
      </c>
      <c r="Q71" t="n">
        <v>1</v>
      </c>
      <c r="R71" s="2" t="inlineStr">
        <is>
          <t>Knärot</t>
        </is>
      </c>
      <c r="S71">
        <f>HYPERLINK("https://klasma.github.io/Logging_0483/artfynd/A 30727-2022 artfynd.xlsx", "A 30727-2022")</f>
        <v/>
      </c>
      <c r="T71">
        <f>HYPERLINK("https://klasma.github.io/Logging_0483/kartor/A 30727-2022 karta.png", "A 30727-2022")</f>
        <v/>
      </c>
      <c r="U71">
        <f>HYPERLINK("https://klasma.github.io/Logging_0483/knärot/A 30727-2022 karta knärot.png", "A 30727-2022")</f>
        <v/>
      </c>
      <c r="V71">
        <f>HYPERLINK("https://klasma.github.io/Logging_0483/klagomål/A 30727-2022 FSC-klagomål.docx", "A 30727-2022")</f>
        <v/>
      </c>
      <c r="W71">
        <f>HYPERLINK("https://klasma.github.io/Logging_0483/klagomålsmail/A 30727-2022 FSC-klagomål mail.docx", "A 30727-2022")</f>
        <v/>
      </c>
      <c r="X71">
        <f>HYPERLINK("https://klasma.github.io/Logging_0483/tillsyn/A 30727-2022 tillsynsbegäran.docx", "A 30727-2022")</f>
        <v/>
      </c>
      <c r="Y71">
        <f>HYPERLINK("https://klasma.github.io/Logging_0483/tillsynsmail/A 30727-2022 tillsynsbegäran mail.docx", "A 30727-2022")</f>
        <v/>
      </c>
    </row>
    <row r="72" ht="15" customHeight="1">
      <c r="A72" t="inlineStr">
        <is>
          <t>A 36220-2022</t>
        </is>
      </c>
      <c r="B72" s="1" t="n">
        <v>44803</v>
      </c>
      <c r="C72" s="1" t="n">
        <v>45849</v>
      </c>
      <c r="D72" t="inlineStr">
        <is>
          <t>SÖDERMANLANDS LÄN</t>
        </is>
      </c>
      <c r="E72" t="inlineStr">
        <is>
          <t>KATRINEHOLM</t>
        </is>
      </c>
      <c r="G72" t="n">
        <v>3.1</v>
      </c>
      <c r="H72" t="n">
        <v>0</v>
      </c>
      <c r="I72" t="n">
        <v>1</v>
      </c>
      <c r="J72" t="n">
        <v>0</v>
      </c>
      <c r="K72" t="n">
        <v>0</v>
      </c>
      <c r="L72" t="n">
        <v>0</v>
      </c>
      <c r="M72" t="n">
        <v>0</v>
      </c>
      <c r="N72" t="n">
        <v>0</v>
      </c>
      <c r="O72" t="n">
        <v>0</v>
      </c>
      <c r="P72" t="n">
        <v>0</v>
      </c>
      <c r="Q72" t="n">
        <v>1</v>
      </c>
      <c r="R72" s="2" t="inlineStr">
        <is>
          <t>Granbräken</t>
        </is>
      </c>
      <c r="S72">
        <f>HYPERLINK("https://klasma.github.io/Logging_0483/artfynd/A 36220-2022 artfynd.xlsx", "A 36220-2022")</f>
        <v/>
      </c>
      <c r="T72">
        <f>HYPERLINK("https://klasma.github.io/Logging_0483/kartor/A 36220-2022 karta.png", "A 36220-2022")</f>
        <v/>
      </c>
      <c r="V72">
        <f>HYPERLINK("https://klasma.github.io/Logging_0483/klagomål/A 36220-2022 FSC-klagomål.docx", "A 36220-2022")</f>
        <v/>
      </c>
      <c r="W72">
        <f>HYPERLINK("https://klasma.github.io/Logging_0483/klagomålsmail/A 36220-2022 FSC-klagomål mail.docx", "A 36220-2022")</f>
        <v/>
      </c>
      <c r="X72">
        <f>HYPERLINK("https://klasma.github.io/Logging_0483/tillsyn/A 36220-2022 tillsynsbegäran.docx", "A 36220-2022")</f>
        <v/>
      </c>
      <c r="Y72">
        <f>HYPERLINK("https://klasma.github.io/Logging_0483/tillsynsmail/A 36220-2022 tillsynsbegäran mail.docx", "A 36220-2022")</f>
        <v/>
      </c>
    </row>
    <row r="73" ht="15" customHeight="1">
      <c r="A73" t="inlineStr">
        <is>
          <t>A 42745-2022</t>
        </is>
      </c>
      <c r="B73" s="1" t="n">
        <v>44831</v>
      </c>
      <c r="C73" s="1" t="n">
        <v>45849</v>
      </c>
      <c r="D73" t="inlineStr">
        <is>
          <t>SÖDERMANLANDS LÄN</t>
        </is>
      </c>
      <c r="E73" t="inlineStr">
        <is>
          <t>KATRINEHOLM</t>
        </is>
      </c>
      <c r="G73" t="n">
        <v>4.6</v>
      </c>
      <c r="H73" t="n">
        <v>0</v>
      </c>
      <c r="I73" t="n">
        <v>0</v>
      </c>
      <c r="J73" t="n">
        <v>1</v>
      </c>
      <c r="K73" t="n">
        <v>0</v>
      </c>
      <c r="L73" t="n">
        <v>0</v>
      </c>
      <c r="M73" t="n">
        <v>0</v>
      </c>
      <c r="N73" t="n">
        <v>0</v>
      </c>
      <c r="O73" t="n">
        <v>1</v>
      </c>
      <c r="P73" t="n">
        <v>0</v>
      </c>
      <c r="Q73" t="n">
        <v>1</v>
      </c>
      <c r="R73" s="2" t="inlineStr">
        <is>
          <t>Svedjenäva</t>
        </is>
      </c>
      <c r="S73">
        <f>HYPERLINK("https://klasma.github.io/Logging_0483/artfynd/A 42745-2022 artfynd.xlsx", "A 42745-2022")</f>
        <v/>
      </c>
      <c r="T73">
        <f>HYPERLINK("https://klasma.github.io/Logging_0483/kartor/A 42745-2022 karta.png", "A 42745-2022")</f>
        <v/>
      </c>
      <c r="V73">
        <f>HYPERLINK("https://klasma.github.io/Logging_0483/klagomål/A 42745-2022 FSC-klagomål.docx", "A 42745-2022")</f>
        <v/>
      </c>
      <c r="W73">
        <f>HYPERLINK("https://klasma.github.io/Logging_0483/klagomålsmail/A 42745-2022 FSC-klagomål mail.docx", "A 42745-2022")</f>
        <v/>
      </c>
      <c r="X73">
        <f>HYPERLINK("https://klasma.github.io/Logging_0483/tillsyn/A 42745-2022 tillsynsbegäran.docx", "A 42745-2022")</f>
        <v/>
      </c>
      <c r="Y73">
        <f>HYPERLINK("https://klasma.github.io/Logging_0483/tillsynsmail/A 42745-2022 tillsynsbegäran mail.docx", "A 42745-2022")</f>
        <v/>
      </c>
    </row>
    <row r="74" ht="15" customHeight="1">
      <c r="A74" t="inlineStr">
        <is>
          <t>A 44262-2022</t>
        </is>
      </c>
      <c r="B74" s="1" t="n">
        <v>44839</v>
      </c>
      <c r="C74" s="1" t="n">
        <v>45849</v>
      </c>
      <c r="D74" t="inlineStr">
        <is>
          <t>SÖDERMANLANDS LÄN</t>
        </is>
      </c>
      <c r="E74" t="inlineStr">
        <is>
          <t>KATRINEHOLM</t>
        </is>
      </c>
      <c r="G74" t="n">
        <v>0.1</v>
      </c>
      <c r="H74" t="n">
        <v>1</v>
      </c>
      <c r="I74" t="n">
        <v>0</v>
      </c>
      <c r="J74" t="n">
        <v>0</v>
      </c>
      <c r="K74" t="n">
        <v>1</v>
      </c>
      <c r="L74" t="n">
        <v>0</v>
      </c>
      <c r="M74" t="n">
        <v>0</v>
      </c>
      <c r="N74" t="n">
        <v>0</v>
      </c>
      <c r="O74" t="n">
        <v>1</v>
      </c>
      <c r="P74" t="n">
        <v>1</v>
      </c>
      <c r="Q74" t="n">
        <v>1</v>
      </c>
      <c r="R74" s="2" t="inlineStr">
        <is>
          <t>Bombmurkla</t>
        </is>
      </c>
      <c r="S74">
        <f>HYPERLINK("https://klasma.github.io/Logging_0483/artfynd/A 44262-2022 artfynd.xlsx", "A 44262-2022")</f>
        <v/>
      </c>
      <c r="T74">
        <f>HYPERLINK("https://klasma.github.io/Logging_0483/kartor/A 44262-2022 karta.png", "A 44262-2022")</f>
        <v/>
      </c>
      <c r="V74">
        <f>HYPERLINK("https://klasma.github.io/Logging_0483/klagomål/A 44262-2022 FSC-klagomål.docx", "A 44262-2022")</f>
        <v/>
      </c>
      <c r="W74">
        <f>HYPERLINK("https://klasma.github.io/Logging_0483/klagomålsmail/A 44262-2022 FSC-klagomål mail.docx", "A 44262-2022")</f>
        <v/>
      </c>
      <c r="X74">
        <f>HYPERLINK("https://klasma.github.io/Logging_0483/tillsyn/A 44262-2022 tillsynsbegäran.docx", "A 44262-2022")</f>
        <v/>
      </c>
      <c r="Y74">
        <f>HYPERLINK("https://klasma.github.io/Logging_0483/tillsynsmail/A 44262-2022 tillsynsbegäran mail.docx", "A 44262-2022")</f>
        <v/>
      </c>
    </row>
    <row r="75" ht="15" customHeight="1">
      <c r="A75" t="inlineStr">
        <is>
          <t>A 48822-2022</t>
        </is>
      </c>
      <c r="B75" s="1" t="n">
        <v>44854</v>
      </c>
      <c r="C75" s="1" t="n">
        <v>45849</v>
      </c>
      <c r="D75" t="inlineStr">
        <is>
          <t>SÖDERMANLANDS LÄN</t>
        </is>
      </c>
      <c r="E75" t="inlineStr">
        <is>
          <t>KATRINEHOLM</t>
        </is>
      </c>
      <c r="G75" t="n">
        <v>8.6</v>
      </c>
      <c r="H75" t="n">
        <v>0</v>
      </c>
      <c r="I75" t="n">
        <v>1</v>
      </c>
      <c r="J75" t="n">
        <v>0</v>
      </c>
      <c r="K75" t="n">
        <v>0</v>
      </c>
      <c r="L75" t="n">
        <v>0</v>
      </c>
      <c r="M75" t="n">
        <v>0</v>
      </c>
      <c r="N75" t="n">
        <v>0</v>
      </c>
      <c r="O75" t="n">
        <v>0</v>
      </c>
      <c r="P75" t="n">
        <v>0</v>
      </c>
      <c r="Q75" t="n">
        <v>1</v>
      </c>
      <c r="R75" s="2" t="inlineStr">
        <is>
          <t>Vågbandad barkbock</t>
        </is>
      </c>
      <c r="S75">
        <f>HYPERLINK("https://klasma.github.io/Logging_0483/artfynd/A 48822-2022 artfynd.xlsx", "A 48822-2022")</f>
        <v/>
      </c>
      <c r="T75">
        <f>HYPERLINK("https://klasma.github.io/Logging_0483/kartor/A 48822-2022 karta.png", "A 48822-2022")</f>
        <v/>
      </c>
      <c r="V75">
        <f>HYPERLINK("https://klasma.github.io/Logging_0483/klagomål/A 48822-2022 FSC-klagomål.docx", "A 48822-2022")</f>
        <v/>
      </c>
      <c r="W75">
        <f>HYPERLINK("https://klasma.github.io/Logging_0483/klagomålsmail/A 48822-2022 FSC-klagomål mail.docx", "A 48822-2022")</f>
        <v/>
      </c>
      <c r="X75">
        <f>HYPERLINK("https://klasma.github.io/Logging_0483/tillsyn/A 48822-2022 tillsynsbegäran.docx", "A 48822-2022")</f>
        <v/>
      </c>
      <c r="Y75">
        <f>HYPERLINK("https://klasma.github.io/Logging_0483/tillsynsmail/A 48822-2022 tillsynsbegäran mail.docx", "A 48822-2022")</f>
        <v/>
      </c>
    </row>
    <row r="76" ht="15" customHeight="1">
      <c r="A76" t="inlineStr">
        <is>
          <t>A 53871-2022</t>
        </is>
      </c>
      <c r="B76" s="1" t="n">
        <v>44876</v>
      </c>
      <c r="C76" s="1" t="n">
        <v>45849</v>
      </c>
      <c r="D76" t="inlineStr">
        <is>
          <t>SÖDERMANLANDS LÄN</t>
        </is>
      </c>
      <c r="E76" t="inlineStr">
        <is>
          <t>KATRINEHOLM</t>
        </is>
      </c>
      <c r="G76" t="n">
        <v>5.3</v>
      </c>
      <c r="H76" t="n">
        <v>1</v>
      </c>
      <c r="I76" t="n">
        <v>0</v>
      </c>
      <c r="J76" t="n">
        <v>0</v>
      </c>
      <c r="K76" t="n">
        <v>0</v>
      </c>
      <c r="L76" t="n">
        <v>0</v>
      </c>
      <c r="M76" t="n">
        <v>0</v>
      </c>
      <c r="N76" t="n">
        <v>0</v>
      </c>
      <c r="O76" t="n">
        <v>0</v>
      </c>
      <c r="P76" t="n">
        <v>0</v>
      </c>
      <c r="Q76" t="n">
        <v>1</v>
      </c>
      <c r="R76" s="2" t="inlineStr">
        <is>
          <t>Törnskata</t>
        </is>
      </c>
      <c r="S76">
        <f>HYPERLINK("https://klasma.github.io/Logging_0483/artfynd/A 53871-2022 artfynd.xlsx", "A 53871-2022")</f>
        <v/>
      </c>
      <c r="T76">
        <f>HYPERLINK("https://klasma.github.io/Logging_0483/kartor/A 53871-2022 karta.png", "A 53871-2022")</f>
        <v/>
      </c>
      <c r="V76">
        <f>HYPERLINK("https://klasma.github.io/Logging_0483/klagomål/A 53871-2022 FSC-klagomål.docx", "A 53871-2022")</f>
        <v/>
      </c>
      <c r="W76">
        <f>HYPERLINK("https://klasma.github.io/Logging_0483/klagomålsmail/A 53871-2022 FSC-klagomål mail.docx", "A 53871-2022")</f>
        <v/>
      </c>
      <c r="X76">
        <f>HYPERLINK("https://klasma.github.io/Logging_0483/tillsyn/A 53871-2022 tillsynsbegäran.docx", "A 53871-2022")</f>
        <v/>
      </c>
      <c r="Y76">
        <f>HYPERLINK("https://klasma.github.io/Logging_0483/tillsynsmail/A 53871-2022 tillsynsbegäran mail.docx", "A 53871-2022")</f>
        <v/>
      </c>
      <c r="Z76">
        <f>HYPERLINK("https://klasma.github.io/Logging_0483/fåglar/A 53871-2022 prioriterade fågelarter.docx", "A 53871-2022")</f>
        <v/>
      </c>
    </row>
    <row r="77" ht="15" customHeight="1">
      <c r="A77" t="inlineStr">
        <is>
          <t>A 56074-2022</t>
        </is>
      </c>
      <c r="B77" s="1" t="n">
        <v>44889</v>
      </c>
      <c r="C77" s="1" t="n">
        <v>45849</v>
      </c>
      <c r="D77" t="inlineStr">
        <is>
          <t>SÖDERMANLANDS LÄN</t>
        </is>
      </c>
      <c r="E77" t="inlineStr">
        <is>
          <t>KATRINEHOLM</t>
        </is>
      </c>
      <c r="G77" t="n">
        <v>13.6</v>
      </c>
      <c r="H77" t="n">
        <v>1</v>
      </c>
      <c r="I77" t="n">
        <v>0</v>
      </c>
      <c r="J77" t="n">
        <v>0</v>
      </c>
      <c r="K77" t="n">
        <v>0</v>
      </c>
      <c r="L77" t="n">
        <v>0</v>
      </c>
      <c r="M77" t="n">
        <v>0</v>
      </c>
      <c r="N77" t="n">
        <v>0</v>
      </c>
      <c r="O77" t="n">
        <v>0</v>
      </c>
      <c r="P77" t="n">
        <v>0</v>
      </c>
      <c r="Q77" t="n">
        <v>1</v>
      </c>
      <c r="R77" s="2" t="inlineStr">
        <is>
          <t>Revlummer</t>
        </is>
      </c>
      <c r="S77">
        <f>HYPERLINK("https://klasma.github.io/Logging_0483/artfynd/A 56074-2022 artfynd.xlsx", "A 56074-2022")</f>
        <v/>
      </c>
      <c r="T77">
        <f>HYPERLINK("https://klasma.github.io/Logging_0483/kartor/A 56074-2022 karta.png", "A 56074-2022")</f>
        <v/>
      </c>
      <c r="V77">
        <f>HYPERLINK("https://klasma.github.io/Logging_0483/klagomål/A 56074-2022 FSC-klagomål.docx", "A 56074-2022")</f>
        <v/>
      </c>
      <c r="W77">
        <f>HYPERLINK("https://klasma.github.io/Logging_0483/klagomålsmail/A 56074-2022 FSC-klagomål mail.docx", "A 56074-2022")</f>
        <v/>
      </c>
      <c r="X77">
        <f>HYPERLINK("https://klasma.github.io/Logging_0483/tillsyn/A 56074-2022 tillsynsbegäran.docx", "A 56074-2022")</f>
        <v/>
      </c>
      <c r="Y77">
        <f>HYPERLINK("https://klasma.github.io/Logging_0483/tillsynsmail/A 56074-2022 tillsynsbegäran mail.docx", "A 56074-2022")</f>
        <v/>
      </c>
    </row>
    <row r="78" ht="15" customHeight="1">
      <c r="A78" t="inlineStr">
        <is>
          <t>A 12238-2023</t>
        </is>
      </c>
      <c r="B78" s="1" t="n">
        <v>44995</v>
      </c>
      <c r="C78" s="1" t="n">
        <v>45849</v>
      </c>
      <c r="D78" t="inlineStr">
        <is>
          <t>SÖDERMANLANDS LÄN</t>
        </is>
      </c>
      <c r="E78" t="inlineStr">
        <is>
          <t>KATRINEHOLM</t>
        </is>
      </c>
      <c r="F78" t="inlineStr">
        <is>
          <t>Övriga Aktiebolag</t>
        </is>
      </c>
      <c r="G78" t="n">
        <v>58</v>
      </c>
      <c r="H78" t="n">
        <v>0</v>
      </c>
      <c r="I78" t="n">
        <v>0</v>
      </c>
      <c r="J78" t="n">
        <v>1</v>
      </c>
      <c r="K78" t="n">
        <v>0</v>
      </c>
      <c r="L78" t="n">
        <v>0</v>
      </c>
      <c r="M78" t="n">
        <v>0</v>
      </c>
      <c r="N78" t="n">
        <v>0</v>
      </c>
      <c r="O78" t="n">
        <v>1</v>
      </c>
      <c r="P78" t="n">
        <v>0</v>
      </c>
      <c r="Q78" t="n">
        <v>1</v>
      </c>
      <c r="R78" s="2" t="inlineStr">
        <is>
          <t>Skogsklocka</t>
        </is>
      </c>
      <c r="S78">
        <f>HYPERLINK("https://klasma.github.io/Logging_0483/artfynd/A 12238-2023 artfynd.xlsx", "A 12238-2023")</f>
        <v/>
      </c>
      <c r="T78">
        <f>HYPERLINK("https://klasma.github.io/Logging_0483/kartor/A 12238-2023 karta.png", "A 12238-2023")</f>
        <v/>
      </c>
      <c r="V78">
        <f>HYPERLINK("https://klasma.github.io/Logging_0483/klagomål/A 12238-2023 FSC-klagomål.docx", "A 12238-2023")</f>
        <v/>
      </c>
      <c r="W78">
        <f>HYPERLINK("https://klasma.github.io/Logging_0483/klagomålsmail/A 12238-2023 FSC-klagomål mail.docx", "A 12238-2023")</f>
        <v/>
      </c>
      <c r="X78">
        <f>HYPERLINK("https://klasma.github.io/Logging_0483/tillsyn/A 12238-2023 tillsynsbegäran.docx", "A 12238-2023")</f>
        <v/>
      </c>
      <c r="Y78">
        <f>HYPERLINK("https://klasma.github.io/Logging_0483/tillsynsmail/A 12238-2023 tillsynsbegäran mail.docx", "A 12238-2023")</f>
        <v/>
      </c>
    </row>
    <row r="79" ht="15" customHeight="1">
      <c r="A79" t="inlineStr">
        <is>
          <t>A 11890-2023</t>
        </is>
      </c>
      <c r="B79" s="1" t="n">
        <v>44995</v>
      </c>
      <c r="C79" s="1" t="n">
        <v>45849</v>
      </c>
      <c r="D79" t="inlineStr">
        <is>
          <t>SÖDERMANLANDS LÄN</t>
        </is>
      </c>
      <c r="E79" t="inlineStr">
        <is>
          <t>KATRINEHOLM</t>
        </is>
      </c>
      <c r="F79" t="inlineStr">
        <is>
          <t>Kommuner</t>
        </is>
      </c>
      <c r="G79" t="n">
        <v>6.7</v>
      </c>
      <c r="H79" t="n">
        <v>1</v>
      </c>
      <c r="I79" t="n">
        <v>1</v>
      </c>
      <c r="J79" t="n">
        <v>0</v>
      </c>
      <c r="K79" t="n">
        <v>0</v>
      </c>
      <c r="L79" t="n">
        <v>0</v>
      </c>
      <c r="M79" t="n">
        <v>0</v>
      </c>
      <c r="N79" t="n">
        <v>0</v>
      </c>
      <c r="O79" t="n">
        <v>0</v>
      </c>
      <c r="P79" t="n">
        <v>0</v>
      </c>
      <c r="Q79" t="n">
        <v>1</v>
      </c>
      <c r="R79" s="2" t="inlineStr">
        <is>
          <t>Skogsknipprot</t>
        </is>
      </c>
      <c r="S79">
        <f>HYPERLINK("https://klasma.github.io/Logging_0483/artfynd/A 11890-2023 artfynd.xlsx", "A 11890-2023")</f>
        <v/>
      </c>
      <c r="T79">
        <f>HYPERLINK("https://klasma.github.io/Logging_0483/kartor/A 11890-2023 karta.png", "A 11890-2023")</f>
        <v/>
      </c>
      <c r="V79">
        <f>HYPERLINK("https://klasma.github.io/Logging_0483/klagomål/A 11890-2023 FSC-klagomål.docx", "A 11890-2023")</f>
        <v/>
      </c>
      <c r="W79">
        <f>HYPERLINK("https://klasma.github.io/Logging_0483/klagomålsmail/A 11890-2023 FSC-klagomål mail.docx", "A 11890-2023")</f>
        <v/>
      </c>
      <c r="X79">
        <f>HYPERLINK("https://klasma.github.io/Logging_0483/tillsyn/A 11890-2023 tillsynsbegäran.docx", "A 11890-2023")</f>
        <v/>
      </c>
      <c r="Y79">
        <f>HYPERLINK("https://klasma.github.io/Logging_0483/tillsynsmail/A 11890-2023 tillsynsbegäran mail.docx", "A 11890-2023")</f>
        <v/>
      </c>
    </row>
    <row r="80" ht="15" customHeight="1">
      <c r="A80" t="inlineStr">
        <is>
          <t>A 23568-2023</t>
        </is>
      </c>
      <c r="B80" s="1" t="n">
        <v>45077</v>
      </c>
      <c r="C80" s="1" t="n">
        <v>45849</v>
      </c>
      <c r="D80" t="inlineStr">
        <is>
          <t>SÖDERMANLANDS LÄN</t>
        </is>
      </c>
      <c r="E80" t="inlineStr">
        <is>
          <t>KATRINEHOLM</t>
        </is>
      </c>
      <c r="F80" t="inlineStr">
        <is>
          <t>Kommuner</t>
        </is>
      </c>
      <c r="G80" t="n">
        <v>1.4</v>
      </c>
      <c r="H80" t="n">
        <v>0</v>
      </c>
      <c r="I80" t="n">
        <v>0</v>
      </c>
      <c r="J80" t="n">
        <v>1</v>
      </c>
      <c r="K80" t="n">
        <v>0</v>
      </c>
      <c r="L80" t="n">
        <v>0</v>
      </c>
      <c r="M80" t="n">
        <v>0</v>
      </c>
      <c r="N80" t="n">
        <v>0</v>
      </c>
      <c r="O80" t="n">
        <v>1</v>
      </c>
      <c r="P80" t="n">
        <v>0</v>
      </c>
      <c r="Q80" t="n">
        <v>1</v>
      </c>
      <c r="R80" s="2" t="inlineStr">
        <is>
          <t>Fyrflikig jordstjärna</t>
        </is>
      </c>
      <c r="S80">
        <f>HYPERLINK("https://klasma.github.io/Logging_0483/artfynd/A 23568-2023 artfynd.xlsx", "A 23568-2023")</f>
        <v/>
      </c>
      <c r="T80">
        <f>HYPERLINK("https://klasma.github.io/Logging_0483/kartor/A 23568-2023 karta.png", "A 23568-2023")</f>
        <v/>
      </c>
      <c r="V80">
        <f>HYPERLINK("https://klasma.github.io/Logging_0483/klagomål/A 23568-2023 FSC-klagomål.docx", "A 23568-2023")</f>
        <v/>
      </c>
      <c r="W80">
        <f>HYPERLINK("https://klasma.github.io/Logging_0483/klagomålsmail/A 23568-2023 FSC-klagomål mail.docx", "A 23568-2023")</f>
        <v/>
      </c>
      <c r="X80">
        <f>HYPERLINK("https://klasma.github.io/Logging_0483/tillsyn/A 23568-2023 tillsynsbegäran.docx", "A 23568-2023")</f>
        <v/>
      </c>
      <c r="Y80">
        <f>HYPERLINK("https://klasma.github.io/Logging_0483/tillsynsmail/A 23568-2023 tillsynsbegäran mail.docx", "A 23568-2023")</f>
        <v/>
      </c>
    </row>
    <row r="81" ht="15" customHeight="1">
      <c r="A81" t="inlineStr">
        <is>
          <t>A 26950-2023</t>
        </is>
      </c>
      <c r="B81" s="1" t="n">
        <v>45091</v>
      </c>
      <c r="C81" s="1" t="n">
        <v>45849</v>
      </c>
      <c r="D81" t="inlineStr">
        <is>
          <t>SÖDERMANLANDS LÄN</t>
        </is>
      </c>
      <c r="E81" t="inlineStr">
        <is>
          <t>KATRINEHOLM</t>
        </is>
      </c>
      <c r="G81" t="n">
        <v>13.5</v>
      </c>
      <c r="H81" t="n">
        <v>1</v>
      </c>
      <c r="I81" t="n">
        <v>0</v>
      </c>
      <c r="J81" t="n">
        <v>1</v>
      </c>
      <c r="K81" t="n">
        <v>0</v>
      </c>
      <c r="L81" t="n">
        <v>0</v>
      </c>
      <c r="M81" t="n">
        <v>0</v>
      </c>
      <c r="N81" t="n">
        <v>0</v>
      </c>
      <c r="O81" t="n">
        <v>1</v>
      </c>
      <c r="P81" t="n">
        <v>0</v>
      </c>
      <c r="Q81" t="n">
        <v>1</v>
      </c>
      <c r="R81" s="2" t="inlineStr">
        <is>
          <t>Havsörn</t>
        </is>
      </c>
      <c r="S81">
        <f>HYPERLINK("https://klasma.github.io/Logging_0483/artfynd/A 26950-2023 artfynd.xlsx", "A 26950-2023")</f>
        <v/>
      </c>
      <c r="T81">
        <f>HYPERLINK("https://klasma.github.io/Logging_0483/kartor/A 26950-2023 karta.png", "A 26950-2023")</f>
        <v/>
      </c>
      <c r="V81">
        <f>HYPERLINK("https://klasma.github.io/Logging_0483/klagomål/A 26950-2023 FSC-klagomål.docx", "A 26950-2023")</f>
        <v/>
      </c>
      <c r="W81">
        <f>HYPERLINK("https://klasma.github.io/Logging_0483/klagomålsmail/A 26950-2023 FSC-klagomål mail.docx", "A 26950-2023")</f>
        <v/>
      </c>
      <c r="X81">
        <f>HYPERLINK("https://klasma.github.io/Logging_0483/tillsyn/A 26950-2023 tillsynsbegäran.docx", "A 26950-2023")</f>
        <v/>
      </c>
      <c r="Y81">
        <f>HYPERLINK("https://klasma.github.io/Logging_0483/tillsynsmail/A 26950-2023 tillsynsbegäran mail.docx", "A 26950-2023")</f>
        <v/>
      </c>
      <c r="Z81">
        <f>HYPERLINK("https://klasma.github.io/Logging_0483/fåglar/A 26950-2023 prioriterade fågelarter.docx", "A 26950-2023")</f>
        <v/>
      </c>
    </row>
    <row r="82" ht="15" customHeight="1">
      <c r="A82" t="inlineStr">
        <is>
          <t>A 30260-2023</t>
        </is>
      </c>
      <c r="B82" s="1" t="n">
        <v>45099</v>
      </c>
      <c r="C82" s="1" t="n">
        <v>45849</v>
      </c>
      <c r="D82" t="inlineStr">
        <is>
          <t>SÖDERMANLANDS LÄN</t>
        </is>
      </c>
      <c r="E82" t="inlineStr">
        <is>
          <t>KATRINEHOLM</t>
        </is>
      </c>
      <c r="G82" t="n">
        <v>4.8</v>
      </c>
      <c r="H82" t="n">
        <v>1</v>
      </c>
      <c r="I82" t="n">
        <v>0</v>
      </c>
      <c r="J82" t="n">
        <v>0</v>
      </c>
      <c r="K82" t="n">
        <v>0</v>
      </c>
      <c r="L82" t="n">
        <v>0</v>
      </c>
      <c r="M82" t="n">
        <v>0</v>
      </c>
      <c r="N82" t="n">
        <v>0</v>
      </c>
      <c r="O82" t="n">
        <v>0</v>
      </c>
      <c r="P82" t="n">
        <v>0</v>
      </c>
      <c r="Q82" t="n">
        <v>1</v>
      </c>
      <c r="R82" s="2" t="inlineStr">
        <is>
          <t>Fläcknycklar</t>
        </is>
      </c>
      <c r="S82">
        <f>HYPERLINK("https://klasma.github.io/Logging_0483/artfynd/A 30260-2023 artfynd.xlsx", "A 30260-2023")</f>
        <v/>
      </c>
      <c r="T82">
        <f>HYPERLINK("https://klasma.github.io/Logging_0483/kartor/A 30260-2023 karta.png", "A 30260-2023")</f>
        <v/>
      </c>
      <c r="V82">
        <f>HYPERLINK("https://klasma.github.io/Logging_0483/klagomål/A 30260-2023 FSC-klagomål.docx", "A 30260-2023")</f>
        <v/>
      </c>
      <c r="W82">
        <f>HYPERLINK("https://klasma.github.io/Logging_0483/klagomålsmail/A 30260-2023 FSC-klagomål mail.docx", "A 30260-2023")</f>
        <v/>
      </c>
      <c r="X82">
        <f>HYPERLINK("https://klasma.github.io/Logging_0483/tillsyn/A 30260-2023 tillsynsbegäran.docx", "A 30260-2023")</f>
        <v/>
      </c>
      <c r="Y82">
        <f>HYPERLINK("https://klasma.github.io/Logging_0483/tillsynsmail/A 30260-2023 tillsynsbegäran mail.docx", "A 30260-2023")</f>
        <v/>
      </c>
    </row>
    <row r="83" ht="15" customHeight="1">
      <c r="A83" t="inlineStr">
        <is>
          <t>A 30045-2023</t>
        </is>
      </c>
      <c r="B83" s="1" t="n">
        <v>45110</v>
      </c>
      <c r="C83" s="1" t="n">
        <v>45849</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45849</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45849</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45849</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45849</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45849</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45849</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45849</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45849</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45849</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45849</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45849</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45849</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45849</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45849</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45849</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45849</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45849</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45849</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45849</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45849</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45849</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45849</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45849</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45849</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45849</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45849</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45849</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45849</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45849</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45849</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45849</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45849</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45849</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45849</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45849</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45849</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45849</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45849</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45849</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45849</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45849</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45849</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45849</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45849</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45849</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45849</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45849</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45849</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45849</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45849</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45849</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45849</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45849</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45849</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45849</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45849</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45849</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45849</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45849</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45849</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45849</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45849</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45849</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45849</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45849</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45849</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45849</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45849</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45849</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45849</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45849</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45849</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45849</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45849</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45849</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45849</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45849</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45849</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45849</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45849</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45849</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45849</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45849</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45849</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45849</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45849</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45849</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45849</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45849</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45849</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45849</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45849</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45849</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45849</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45849</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45849</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45849</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45849</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45849</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45849</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45849</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45849</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45849</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45849</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45849</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45849</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45849</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45849</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45849</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45849</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45849</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45849</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45849</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45849</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45849</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45849</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45849</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45849</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45849</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45849</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45849</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45849</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45849</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45849</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45849</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45849</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45849</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45849</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45849</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45849</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45849</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45849</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45849</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45849</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45849</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45849</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45849</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45849</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45849</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45849</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45849</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45849</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45849</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45849</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45849</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45849</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45849</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45849</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45849</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45849</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45849</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45849</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45849</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45849</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45849</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45849</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45849</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45849</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45849</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45849</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45849</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45849</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45849</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45849</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45849</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45849</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45849</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45849</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45849</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45849</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45849</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45849</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45849</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45849</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45849</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45849</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45849</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45849</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45849</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45849</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45849</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45849</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45849</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45849</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45849</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45849</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45849</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45849</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45849</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45849</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45849</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45849</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45849</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45849</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45849</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45849</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45849</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45849</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45849</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45849</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45849</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45849</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45849</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45849</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45849</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45849</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45849</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45849</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45849</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45849</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45849</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45849</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45849</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45849</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45849</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45849</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45849</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45849</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45849</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45849</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45849</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45849</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45849</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45849</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45849</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45849</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45849</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45849</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45849</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45849</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45849</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45849</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45849</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45849</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45849</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45849</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45849</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45849</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45849</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45849</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45849</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45849</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45849</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45849</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45849</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45849</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45849</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45849</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45849</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45849</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45849</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45849</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45849</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45849</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45849</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45849</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45849</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45849</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45849</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45849</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45849</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45849</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45849</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45849</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45849</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45849</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45849</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45849</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45849</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45849</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45849</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45849</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45849</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45849</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45849</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45849</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45849</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45849</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45849</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45849</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45849</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45849</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45849</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45849</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45849</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45849</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45849</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45849</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45849</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45849</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45849</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45849</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45849</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45849</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45849</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45849</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45849</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45849</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45849</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45849</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45849</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45849</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45849</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45849</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45849</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45849</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45849</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45849</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45849</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45849</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45849</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45849</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45849</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45849</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45849</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45849</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45849</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45849</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45849</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45849</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45849</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45849</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45849</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45849</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45849</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45849</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45849</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45849</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45849</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45849</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45849</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45849</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45849</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45849</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45849</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45849</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45849</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45849</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45849</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45849</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45849</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45849</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45849</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45849</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45849</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45849</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45849</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45849</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45849</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45849</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45849</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45849</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45849</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45849</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45849</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45849</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45849</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45849</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45849</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45849</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45849</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45849</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45849</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45849</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45849</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45849</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45849</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45849</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45849</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45849</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45849</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45849</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45849</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45849</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45849</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45849</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45849</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45849</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45849</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45849</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45849</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45849</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45849</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45849</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45849</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45849</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45849</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45849</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45849</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45849</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45849</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45849</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45849</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45849</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45849</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45849</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45849</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45849</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45849</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45849</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45849</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45849</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45849</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45849</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45849</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45849</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45849</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45849</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45849</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45849</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45849</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45849</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45849</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45849</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45849</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45849</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45849</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45849</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45849</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45849</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45849</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45849</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45849</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45849</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45849</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45849</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45849</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45849</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45849</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45849</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45849</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45849</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45849</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45849</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45849</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45849</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45849</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45849</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45849</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45849</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45849</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45849</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45849</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45849</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45849</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45849</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45849</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45849</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45849</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45849</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45849</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45849</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45849</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45849</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45849</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45849</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45849</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45849</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45849</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45849</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45849</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45849</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45849</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45849</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45849</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45849</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45849</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45849</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45849</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45849</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45849</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45849</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45849</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45849</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45849</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45849</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45849</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45849</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45849</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45849</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45849</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45849</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45849</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45849</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45849</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45849</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45849</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45849</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45849</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45849</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45849</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45849</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45849</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45849</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45849</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45849</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45849</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45849</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45849</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45849</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45849</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45849</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45849</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45849</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45849</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45849</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45849</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45849</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45849</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45849</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45849</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45849</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45849</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45849</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45849</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45849</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45849</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45849</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45849</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45849</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45849</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45849</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45849</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45849</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45849</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45849</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45849</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45849</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45849</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45849</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45849</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45849</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45849</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45849</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45849</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45849</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45849</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45849</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45849</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45849</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45849</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45849</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45849</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45849</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45849</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45849</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45849</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45849</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45849</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45849</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45849</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45849</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45849</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45849</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45849</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45849</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45849</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45849</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45849</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45849</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45849</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45849</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45849</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45849</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45849</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45849</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45849</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45849</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45849</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45849</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45849</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45849</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45849</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45849</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45849</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45849</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45849</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45849</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45849</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45849</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45849</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45849</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45849</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45849</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45849</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45849</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45849</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45849</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45849</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45849</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45849</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45849</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45849</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45849</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45849</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45849</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45849</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45849</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45849</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45849</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45849</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45849</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45849</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45849</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45849</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45849</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45849</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45849</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45849</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45849</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45849</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45849</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45849</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45849</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45849</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45849</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45849</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45849</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45849</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45849</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45849</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45849</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45849</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45849</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45849</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45849</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45849</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45849</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45849</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45849</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45849</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45849</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45849</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45849</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45849</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45849</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45849</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45849</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45849</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45849</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45849</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45849</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45849</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45849</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45849</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45849</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45849</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45849</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45849</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45849</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45849</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45849</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45849</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45849</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45849</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45849</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45849</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45849</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45849</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45849</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45849</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45849</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45849</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45849</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45849</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45849</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45849</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45849</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45849</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45849</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45849</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45849</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45849</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45849</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45849</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45849</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45849</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45849</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45849</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45849</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45849</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45849</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45849</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45849</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45849</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45849</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45849</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45849</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45849</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45849</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45849</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45849</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45849</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45849</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45849</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45849</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45849</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45849</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45849</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45849</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45849</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45849</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45849</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45849</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45849</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45849</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45849</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45849</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45849</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45849</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45849</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45849</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45849</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45849</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45849</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45849</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45849</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45849</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45849</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45849</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45849</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45849</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45849</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45849</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45849</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45849</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45849</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45849</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45849</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45849</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45849</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45849</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45849</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45849</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45849</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45849</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45849</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45849</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45849</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45849</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45849</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45849</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45849</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45849</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45849</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45849</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45849</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45849</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45849</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45849</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45849</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45849</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45849</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45849</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45849</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45849</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45849</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45849</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45849</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45849</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45849</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45849</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45849</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45849</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45849</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45849</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45849</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45849</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45849</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45849</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45849</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45849</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45849</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45849</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45849</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45849</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45849</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45849</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45849</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45849</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45849</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45849</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45849</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45849</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45849</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45849</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45849</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45849</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45849</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45849</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45849</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45849</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45849</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45849</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45849</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45849</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45849</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45849</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45849</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45849</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45849</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45849</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45849</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45849</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45849</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45849</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45849</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45849</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45849</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45849</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45849</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45849</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45849</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45849</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45849</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45849</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45849</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45849</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45849</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45849</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45849</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45849</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45849</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45849</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45849</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45849</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45849</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45849</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45849</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45849</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45849</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45849</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45849</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45849</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45849</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45849</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45849</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45849</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45849</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45849</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45849</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45849</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45849</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45849</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45849</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45849</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45849</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45849</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45849</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45849</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45849</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45849</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45849</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45849</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45849</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45849</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45849</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45849</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45849</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45849</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45849</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45849</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45849</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45849</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45849</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45849</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45849</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45849</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45849</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45849</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45849</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45849</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45849</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45849</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45849</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45849</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45849</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45849</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45849</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45849</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45849</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45849</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45849</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45849</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45849</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45849</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45849</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45849</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45849</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45849</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45849</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45849</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45849</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45849</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45849</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45849</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45849</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45849</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45849</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45849</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45849</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45849</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45849</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45849</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45849</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45849</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45849</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45849</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45849</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45849</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45849</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45849</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45849</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45849</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45849</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45849</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45849</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45849</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45849</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45849</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45849</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45849</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45849</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45849</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45849</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45849</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45849</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45849</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45849</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45849</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45849</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45849</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45849</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45849</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45849</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45849</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45849</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45849</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45849</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45849</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45849</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45849</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45849</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45849</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45849</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45849</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45849</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45849</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45849</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45849</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45849</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45849</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45849</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45849</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45849</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45849</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45849</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45849</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45849</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45849</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45849</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45849</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45849</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45849</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45849</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45849</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45849</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45849</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45849</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45849</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45849</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45849</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45849</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45849</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45849</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45849</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45849</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45849</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45849</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45849</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45849</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45849</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45849</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45849</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45849</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45849</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45849</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45849</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45849</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45849</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45849</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45849</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45849</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45849</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45849</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45849</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45849</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45849</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45849</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45849</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45849</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45849</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45849</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45849</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45849</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45849</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45849</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45849</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45849</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45849</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45849</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45849</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45849</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45849</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45849</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45849</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45849</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45849</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45849</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45849</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45849</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45849</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45849</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45849</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45849</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45849</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45849</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45849</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45849</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45849</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45849</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45849</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45849</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45849</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45849</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45849</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45849</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45849</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45849</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45849</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45849</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45849</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45849</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45849</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45849</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45849</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45849</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45849</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45849</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45849</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45849</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45849</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45849</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45849</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45849</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45849</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45849</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45849</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45849</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45849</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45849</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45849</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45849</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45849</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45849</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45849</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45849</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45849</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45849</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45849</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45849</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45849</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45849</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45849</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45849</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45849</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45849</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45849</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45849</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45849</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45849</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45849</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45849</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45849</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45849</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45849</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45849</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45849</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45849</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45849</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45849</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45849</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45849</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45849</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45849</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45849</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45849</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45849</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45849</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45849</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45849</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45849</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45849</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45849</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45849</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45849</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45849</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45849</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45849</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45849</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45849</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45849</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45849</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45849</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45849</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45849</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45849</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45849</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45849</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45849</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45849</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45849</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45849</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45849</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45849</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45849</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45849</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45849</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45849</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45849</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45849</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45849</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45849</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45849</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45849</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45849</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45849</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45849</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45849</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45849</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45849</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45849</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45849</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45849</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45849</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45849</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45849</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45849</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45849</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45849</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45849</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45849</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45849</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45849</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45849</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45849</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45849</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45849</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45849</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45849</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45849</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45849</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45849</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45849</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45849</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45849</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45849</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45849</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45849</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45849</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45849</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45849</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45849</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45849</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45849</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45849</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45849</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45849</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45849</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45849</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45849</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45849</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45849</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45849</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45849</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45849</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45849</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45849</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45849</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45849</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45849</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45849</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45849</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45849</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45849</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45849</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45849</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45849</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45849</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45849</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45849</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45849</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45849</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45849</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45849</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45849</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45849</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45849</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45849</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45849</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45849</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45849</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45849</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45849</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45849</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45849</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45849</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45849</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45849</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45849</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45849</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45849</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45849</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45849</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45849</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45849</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45849</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45849</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45849</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45849</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45849</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45849</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45849</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45849</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45849</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45849</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45849</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45849</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45849</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45849</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45849</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45849</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45849</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45849</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45849</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45849</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45849</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45849</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45849</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45849</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45849</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45849</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45849</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45849</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45849</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45849</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45849</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45849</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45849</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45849</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45849</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45849</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45849</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45849</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45849</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45849</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45849</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45849</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45849</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45849</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45849</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45849</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45849</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45849</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45849</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45849</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45849</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45849</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45849</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45849</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45849</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45849</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45849</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45849</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45849</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45849</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45849</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45849</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45849</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45849</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45849</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45849</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45849</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45849</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45849</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45849</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45849</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45849</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45849</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45849</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45849</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45849</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45849</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45849</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45849</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45849</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45849</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45849</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45849</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45849</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45849</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45849</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45849</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45849</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45849</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45849</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45849</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45849</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45849</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45849</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45849</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45849</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45849</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45849</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45849</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45849</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45849</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45849</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45849</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45849</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45849</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45849</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45849</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45849</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45849</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45849</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45849</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45849</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45849</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45849</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45849</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45849</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45849</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45849</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45849</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45849</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45849</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45849</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45849</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45849</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45849</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45849</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45849</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45849</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45849</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45849</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45849</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45849</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45849</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45849</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45849</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45849</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45849</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45849</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45849</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45849</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45849</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45849</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45849</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45849</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45849</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45849</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45849</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45849</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45849</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45849</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45849</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45849</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45849</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45849</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45849</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45849</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45849</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27534-2025</t>
        </is>
      </c>
      <c r="B1467" s="1" t="n">
        <v>45813</v>
      </c>
      <c r="C1467" s="1" t="n">
        <v>45849</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27552-2025</t>
        </is>
      </c>
      <c r="B1468" s="1" t="n">
        <v>45813</v>
      </c>
      <c r="C1468" s="1" t="n">
        <v>45849</v>
      </c>
      <c r="D1468" t="inlineStr">
        <is>
          <t>SÖDERMANLANDS LÄN</t>
        </is>
      </c>
      <c r="E1468" t="inlineStr">
        <is>
          <t>KATRINEHOLM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27636-2025</t>
        </is>
      </c>
      <c r="B1469" s="1" t="n">
        <v>45813</v>
      </c>
      <c r="C1469" s="1" t="n">
        <v>45849</v>
      </c>
      <c r="D1469" t="inlineStr">
        <is>
          <t>SÖDERMANLANDS LÄN</t>
        </is>
      </c>
      <c r="E1469" t="inlineStr">
        <is>
          <t>KATRINEHOLM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45849</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45849</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45849</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30350-2025</t>
        </is>
      </c>
      <c r="B1473" s="1" t="n">
        <v>45827</v>
      </c>
      <c r="C1473" s="1" t="n">
        <v>45849</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30287-2025</t>
        </is>
      </c>
      <c r="B1474" s="1" t="n">
        <v>45827</v>
      </c>
      <c r="C1474" s="1" t="n">
        <v>45849</v>
      </c>
      <c r="D1474" t="inlineStr">
        <is>
          <t>SÖDERMANLANDS LÄN</t>
        </is>
      </c>
      <c r="E1474" t="inlineStr">
        <is>
          <t>KATRINEHOLM</t>
        </is>
      </c>
      <c r="G1474" t="n">
        <v>10.2</v>
      </c>
      <c r="H1474" t="n">
        <v>0</v>
      </c>
      <c r="I1474" t="n">
        <v>0</v>
      </c>
      <c r="J1474" t="n">
        <v>0</v>
      </c>
      <c r="K1474" t="n">
        <v>0</v>
      </c>
      <c r="L1474" t="n">
        <v>0</v>
      </c>
      <c r="M1474" t="n">
        <v>0</v>
      </c>
      <c r="N1474" t="n">
        <v>0</v>
      </c>
      <c r="O1474" t="n">
        <v>0</v>
      </c>
      <c r="P1474" t="n">
        <v>0</v>
      </c>
      <c r="Q1474" t="n">
        <v>0</v>
      </c>
      <c r="R1474" s="2" t="inlineStr"/>
    </row>
    <row r="1475" ht="15" customHeight="1">
      <c r="A1475" t="inlineStr">
        <is>
          <t>A 30386-2025</t>
        </is>
      </c>
      <c r="B1475" s="1" t="n">
        <v>45827</v>
      </c>
      <c r="C1475" s="1" t="n">
        <v>45849</v>
      </c>
      <c r="D1475" t="inlineStr">
        <is>
          <t>SÖDERMANLANDS LÄN</t>
        </is>
      </c>
      <c r="E1475" t="inlineStr">
        <is>
          <t>KATRINEHOLM</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30352-2025</t>
        </is>
      </c>
      <c r="B1476" s="1" t="n">
        <v>45827</v>
      </c>
      <c r="C1476" s="1" t="n">
        <v>45849</v>
      </c>
      <c r="D1476" t="inlineStr">
        <is>
          <t>SÖDERMANLANDS LÄN</t>
        </is>
      </c>
      <c r="E1476" t="inlineStr">
        <is>
          <t>KATRINEHOLM</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30402-2025</t>
        </is>
      </c>
      <c r="B1477" s="1" t="n">
        <v>45827</v>
      </c>
      <c r="C1477" s="1" t="n">
        <v>45849</v>
      </c>
      <c r="D1477" t="inlineStr">
        <is>
          <t>SÖDERMANLANDS LÄN</t>
        </is>
      </c>
      <c r="E1477" t="inlineStr">
        <is>
          <t>KATRINEHOLM</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31386-2025</t>
        </is>
      </c>
      <c r="B1478" s="1" t="n">
        <v>45833</v>
      </c>
      <c r="C1478" s="1" t="n">
        <v>45849</v>
      </c>
      <c r="D1478" t="inlineStr">
        <is>
          <t>SÖDERMANLANDS LÄN</t>
        </is>
      </c>
      <c r="E1478" t="inlineStr">
        <is>
          <t>KATRINEHOLM</t>
        </is>
      </c>
      <c r="F1478" t="inlineStr">
        <is>
          <t>Övriga Aktiebolag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31376-2025</t>
        </is>
      </c>
      <c r="B1479" s="1" t="n">
        <v>45833</v>
      </c>
      <c r="C1479" s="1" t="n">
        <v>45849</v>
      </c>
      <c r="D1479" t="inlineStr">
        <is>
          <t>SÖDERMANLANDS LÄN</t>
        </is>
      </c>
      <c r="E1479" t="inlineStr">
        <is>
          <t>KATRINEHOLM</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31392-2025</t>
        </is>
      </c>
      <c r="B1480" s="1" t="n">
        <v>45833</v>
      </c>
      <c r="C1480" s="1" t="n">
        <v>45849</v>
      </c>
      <c r="D1480" t="inlineStr">
        <is>
          <t>SÖDERMANLANDS LÄN</t>
        </is>
      </c>
      <c r="E1480" t="inlineStr">
        <is>
          <t>KATRINEHOLM</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31990-2025</t>
        </is>
      </c>
      <c r="B1481" s="1" t="n">
        <v>45835</v>
      </c>
      <c r="C1481" s="1" t="n">
        <v>45849</v>
      </c>
      <c r="D1481" t="inlineStr">
        <is>
          <t>SÖDERMANLANDS LÄN</t>
        </is>
      </c>
      <c r="E1481" t="inlineStr">
        <is>
          <t>KATRINEHOLM</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33077-2025</t>
        </is>
      </c>
      <c r="B1482" s="1" t="n">
        <v>45840</v>
      </c>
      <c r="C1482" s="1" t="n">
        <v>45849</v>
      </c>
      <c r="D1482" t="inlineStr">
        <is>
          <t>SÖDERMANLANDS LÄN</t>
        </is>
      </c>
      <c r="E1482" t="inlineStr">
        <is>
          <t>KATRINEHOLM</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33084-2025</t>
        </is>
      </c>
      <c r="B1483" s="1" t="n">
        <v>45840</v>
      </c>
      <c r="C1483" s="1" t="n">
        <v>45849</v>
      </c>
      <c r="D1483" t="inlineStr">
        <is>
          <t>SÖDERMANLANDS LÄN</t>
        </is>
      </c>
      <c r="E1483" t="inlineStr">
        <is>
          <t>KATRINEHOLM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33096-2025</t>
        </is>
      </c>
      <c r="B1484" s="1" t="n">
        <v>45840</v>
      </c>
      <c r="C1484" s="1" t="n">
        <v>45849</v>
      </c>
      <c r="D1484" t="inlineStr">
        <is>
          <t>SÖDERMANLANDS LÄN</t>
        </is>
      </c>
      <c r="E1484" t="inlineStr">
        <is>
          <t>KATRINEHOLM</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33129-2025</t>
        </is>
      </c>
      <c r="B1485" s="1" t="n">
        <v>45840</v>
      </c>
      <c r="C1485" s="1" t="n">
        <v>45849</v>
      </c>
      <c r="D1485" t="inlineStr">
        <is>
          <t>SÖDERMANLANDS LÄN</t>
        </is>
      </c>
      <c r="E1485" t="inlineStr">
        <is>
          <t>KATRINEHOLM</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33101-2025</t>
        </is>
      </c>
      <c r="B1486" s="1" t="n">
        <v>45840</v>
      </c>
      <c r="C1486" s="1" t="n">
        <v>45849</v>
      </c>
      <c r="D1486" t="inlineStr">
        <is>
          <t>SÖDERMANLANDS LÄN</t>
        </is>
      </c>
      <c r="E1486" t="inlineStr">
        <is>
          <t>KATRINEHOLM</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33090-2025</t>
        </is>
      </c>
      <c r="B1487" s="1" t="n">
        <v>45840</v>
      </c>
      <c r="C1487" s="1" t="n">
        <v>45849</v>
      </c>
      <c r="D1487" t="inlineStr">
        <is>
          <t>SÖDERMANLANDS LÄN</t>
        </is>
      </c>
      <c r="E1487" t="inlineStr">
        <is>
          <t>KATRINEHOLM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33577-2025</t>
        </is>
      </c>
      <c r="B1488" s="1" t="n">
        <v>45841</v>
      </c>
      <c r="C1488" s="1" t="n">
        <v>45849</v>
      </c>
      <c r="D1488" t="inlineStr">
        <is>
          <t>SÖDERMANLANDS LÄN</t>
        </is>
      </c>
      <c r="E1488" t="inlineStr">
        <is>
          <t>KATRINEHOLM</t>
        </is>
      </c>
      <c r="F1488" t="inlineStr">
        <is>
          <t>Holmen skog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33469-2025</t>
        </is>
      </c>
      <c r="B1489" s="1" t="n">
        <v>45841</v>
      </c>
      <c r="C1489" s="1" t="n">
        <v>45849</v>
      </c>
      <c r="D1489" t="inlineStr">
        <is>
          <t>SÖDERMANLANDS LÄN</t>
        </is>
      </c>
      <c r="E1489" t="inlineStr">
        <is>
          <t>KATRINEHOLM</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33812-2025</t>
        </is>
      </c>
      <c r="B1490" s="1" t="n">
        <v>45842</v>
      </c>
      <c r="C1490" s="1" t="n">
        <v>45849</v>
      </c>
      <c r="D1490" t="inlineStr">
        <is>
          <t>SÖDERMANLANDS LÄN</t>
        </is>
      </c>
      <c r="E1490" t="inlineStr">
        <is>
          <t>KATRINEHOLM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33815-2025</t>
        </is>
      </c>
      <c r="B1491" s="1" t="n">
        <v>45842</v>
      </c>
      <c r="C1491" s="1" t="n">
        <v>45849</v>
      </c>
      <c r="D1491" t="inlineStr">
        <is>
          <t>SÖDERMANLANDS LÄN</t>
        </is>
      </c>
      <c r="E1491" t="inlineStr">
        <is>
          <t>KATRINEHOLM</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34439-2025</t>
        </is>
      </c>
      <c r="B1492" s="1" t="n">
        <v>45845</v>
      </c>
      <c r="C1492" s="1" t="n">
        <v>45849</v>
      </c>
      <c r="D1492" t="inlineStr">
        <is>
          <t>SÖDERMANLANDS LÄN</t>
        </is>
      </c>
      <c r="E1492" t="inlineStr">
        <is>
          <t>KATRINEHOLM</t>
        </is>
      </c>
      <c r="G1492" t="n">
        <v>1.4</v>
      </c>
      <c r="H1492" t="n">
        <v>0</v>
      </c>
      <c r="I1492" t="n">
        <v>0</v>
      </c>
      <c r="J1492" t="n">
        <v>0</v>
      </c>
      <c r="K1492" t="n">
        <v>0</v>
      </c>
      <c r="L1492" t="n">
        <v>0</v>
      </c>
      <c r="M1492" t="n">
        <v>0</v>
      </c>
      <c r="N1492" t="n">
        <v>0</v>
      </c>
      <c r="O1492" t="n">
        <v>0</v>
      </c>
      <c r="P1492" t="n">
        <v>0</v>
      </c>
      <c r="Q1492" t="n">
        <v>0</v>
      </c>
      <c r="R1492" s="2" t="inlineStr"/>
    </row>
    <row r="1493">
      <c r="A1493" t="inlineStr">
        <is>
          <t>A 34176-2025</t>
        </is>
      </c>
      <c r="B1493" s="1" t="n">
        <v>45845</v>
      </c>
      <c r="C1493" s="1" t="n">
        <v>45849</v>
      </c>
      <c r="D1493" t="inlineStr">
        <is>
          <t>SÖDERMANLANDS LÄN</t>
        </is>
      </c>
      <c r="E1493" t="inlineStr">
        <is>
          <t>KATRINEHOLM</t>
        </is>
      </c>
      <c r="G1493" t="n">
        <v>0.5</v>
      </c>
      <c r="H1493" t="n">
        <v>0</v>
      </c>
      <c r="I1493" t="n">
        <v>0</v>
      </c>
      <c r="J1493" t="n">
        <v>0</v>
      </c>
      <c r="K1493" t="n">
        <v>0</v>
      </c>
      <c r="L1493" t="n">
        <v>0</v>
      </c>
      <c r="M1493" t="n">
        <v>0</v>
      </c>
      <c r="N1493" t="n">
        <v>0</v>
      </c>
      <c r="O1493" t="n">
        <v>0</v>
      </c>
      <c r="P1493" t="n">
        <v>0</v>
      </c>
      <c r="Q1493" t="n">
        <v>0</v>
      </c>
      <c r="R1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2025-07-11T19:44:01Z</dcterms:created>
  <dcterms:modified xmlns:dcterms="http://purl.org/dc/terms/" xmlns:xsi="http://www.w3.org/2001/XMLSchema-instance" xsi:type="dcterms:W3CDTF">2025-07-11T19:44:10Z</dcterms:modified>
</cp:coreProperties>
</file>