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46082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46082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46082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7585-2023</t>
        </is>
      </c>
      <c r="B14" s="1" t="n">
        <v>44972</v>
      </c>
      <c r="C14" s="1" t="n">
        <v>46082</v>
      </c>
      <c r="D14" t="inlineStr">
        <is>
          <t>SÖDERMANLANDS LÄN</t>
        </is>
      </c>
      <c r="E14" t="inlineStr">
        <is>
          <t>KATRINEHOLM</t>
        </is>
      </c>
      <c r="F14" t="inlineStr">
        <is>
          <t>Kommuner</t>
        </is>
      </c>
      <c r="G14" t="n">
        <v>2.8</v>
      </c>
      <c r="H14" t="n">
        <v>2</v>
      </c>
      <c r="I14" t="n">
        <v>1</v>
      </c>
      <c r="J14" t="n">
        <v>0</v>
      </c>
      <c r="K14" t="n">
        <v>0</v>
      </c>
      <c r="L14" t="n">
        <v>1</v>
      </c>
      <c r="M14" t="n">
        <v>0</v>
      </c>
      <c r="N14" t="n">
        <v>0</v>
      </c>
      <c r="O14" t="n">
        <v>1</v>
      </c>
      <c r="P14" t="n">
        <v>1</v>
      </c>
      <c r="Q14" t="n">
        <v>3</v>
      </c>
      <c r="R14" s="2" t="inlineStr">
        <is>
          <t>Grönfink
Fällmossa
Blåsippa</t>
        </is>
      </c>
      <c r="S14">
        <f>HYPERLINK("https://klasma.github.io/Logging_0483/artfynd/A 7585-2023 artfynd.xlsx", "A 7585-2023")</f>
        <v/>
      </c>
      <c r="T14">
        <f>HYPERLINK("https://klasma.github.io/Logging_0483/kartor/A 7585-2023 karta.png", "A 7585-2023")</f>
        <v/>
      </c>
      <c r="V14">
        <f>HYPERLINK("https://klasma.github.io/Logging_0483/klagomål/A 7585-2023 FSC-klagomål.docx", "A 7585-2023")</f>
        <v/>
      </c>
      <c r="W14">
        <f>HYPERLINK("https://klasma.github.io/Logging_0483/klagomålsmail/A 7585-2023 FSC-klagomål mail.docx", "A 7585-2023")</f>
        <v/>
      </c>
      <c r="X14">
        <f>HYPERLINK("https://klasma.github.io/Logging_0483/tillsyn/A 7585-2023 tillsynsbegäran.docx", "A 7585-2023")</f>
        <v/>
      </c>
      <c r="Y14">
        <f>HYPERLINK("https://klasma.github.io/Logging_0483/tillsynsmail/A 7585-2023 tillsynsbegäran mail.docx", "A 7585-2023")</f>
        <v/>
      </c>
      <c r="Z14">
        <f>HYPERLINK("https://klasma.github.io/Logging_0483/fåglar/A 7585-2023 prioriterade fågelarter.docx", "A 7585-2023")</f>
        <v/>
      </c>
    </row>
    <row r="15" ht="15" customHeight="1">
      <c r="A15" t="inlineStr">
        <is>
          <t>A 58684-2025</t>
        </is>
      </c>
      <c r="B15" s="1" t="n">
        <v>45986.56953703704</v>
      </c>
      <c r="C15" s="1" t="n">
        <v>46082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188-2025</t>
        </is>
      </c>
      <c r="B16" s="1" t="n">
        <v>45649</v>
      </c>
      <c r="C16" s="1" t="n">
        <v>46082</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46082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46082</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46082</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46082</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46082</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46082</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46082</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46082</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46082</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24718-2025</t>
        </is>
      </c>
      <c r="B26" s="1" t="n">
        <v>45799</v>
      </c>
      <c r="C26" s="1" t="n">
        <v>46082</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46082</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46082</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46082</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46082</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46082</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56074-2022</t>
        </is>
      </c>
      <c r="B32" s="1" t="n">
        <v>44889</v>
      </c>
      <c r="C32" s="1" t="n">
        <v>46082</v>
      </c>
      <c r="D32" t="inlineStr">
        <is>
          <t>SÖDERMANLANDS LÄN</t>
        </is>
      </c>
      <c r="E32" t="inlineStr">
        <is>
          <t>KATRINEHOLM</t>
        </is>
      </c>
      <c r="G32" t="n">
        <v>12.5</v>
      </c>
      <c r="H32" t="n">
        <v>1</v>
      </c>
      <c r="I32" t="n">
        <v>0</v>
      </c>
      <c r="J32" t="n">
        <v>0</v>
      </c>
      <c r="K32" t="n">
        <v>0</v>
      </c>
      <c r="L32" t="n">
        <v>0</v>
      </c>
      <c r="M32" t="n">
        <v>0</v>
      </c>
      <c r="N32" t="n">
        <v>0</v>
      </c>
      <c r="O32" t="n">
        <v>0</v>
      </c>
      <c r="P32" t="n">
        <v>0</v>
      </c>
      <c r="Q32" t="n">
        <v>1</v>
      </c>
      <c r="R32" s="2" t="inlineStr">
        <is>
          <t>Revlummer</t>
        </is>
      </c>
      <c r="S32">
        <f>HYPERLINK("https://klasma.github.io/Logging_0483/artfynd/A 56074-2022 artfynd.xlsx", "A 56074-2022")</f>
        <v/>
      </c>
      <c r="T32">
        <f>HYPERLINK("https://klasma.github.io/Logging_0483/kartor/A 56074-2022 karta.png", "A 56074-2022")</f>
        <v/>
      </c>
      <c r="V32">
        <f>HYPERLINK("https://klasma.github.io/Logging_0483/klagomål/A 56074-2022 FSC-klagomål.docx", "A 56074-2022")</f>
        <v/>
      </c>
      <c r="W32">
        <f>HYPERLINK("https://klasma.github.io/Logging_0483/klagomålsmail/A 56074-2022 FSC-klagomål mail.docx", "A 56074-2022")</f>
        <v/>
      </c>
      <c r="X32">
        <f>HYPERLINK("https://klasma.github.io/Logging_0483/tillsyn/A 56074-2022 tillsynsbegäran.docx", "A 56074-2022")</f>
        <v/>
      </c>
      <c r="Y32">
        <f>HYPERLINK("https://klasma.github.io/Logging_0483/tillsynsmail/A 56074-2022 tillsynsbegäran mail.docx", "A 56074-2022")</f>
        <v/>
      </c>
    </row>
    <row r="33" ht="15" customHeight="1">
      <c r="A33" t="inlineStr">
        <is>
          <t>A 11890-2023</t>
        </is>
      </c>
      <c r="B33" s="1" t="n">
        <v>44995</v>
      </c>
      <c r="C33" s="1" t="n">
        <v>46082</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8917-2024</t>
        </is>
      </c>
      <c r="B34" s="1" t="n">
        <v>45357.37618055556</v>
      </c>
      <c r="C34" s="1" t="n">
        <v>46082</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27926-2025</t>
        </is>
      </c>
      <c r="B35" s="1" t="n">
        <v>45814</v>
      </c>
      <c r="C35" s="1" t="n">
        <v>46082</v>
      </c>
      <c r="D35" t="inlineStr">
        <is>
          <t>SÖDERMANLANDS LÄN</t>
        </is>
      </c>
      <c r="E35" t="inlineStr">
        <is>
          <t>KATRINEHOLM</t>
        </is>
      </c>
      <c r="F35" t="inlineStr">
        <is>
          <t>Allmännings- och besparingsskogar</t>
        </is>
      </c>
      <c r="G35" t="n">
        <v>10.7</v>
      </c>
      <c r="H35" t="n">
        <v>1</v>
      </c>
      <c r="I35" t="n">
        <v>0</v>
      </c>
      <c r="J35" t="n">
        <v>0</v>
      </c>
      <c r="K35" t="n">
        <v>0</v>
      </c>
      <c r="L35" t="n">
        <v>0</v>
      </c>
      <c r="M35" t="n">
        <v>0</v>
      </c>
      <c r="N35" t="n">
        <v>0</v>
      </c>
      <c r="O35" t="n">
        <v>0</v>
      </c>
      <c r="P35" t="n">
        <v>0</v>
      </c>
      <c r="Q35" t="n">
        <v>1</v>
      </c>
      <c r="R35" s="2" t="inlineStr">
        <is>
          <t>Revlummer</t>
        </is>
      </c>
      <c r="S35">
        <f>HYPERLINK("https://klasma.github.io/Logging_0483/artfynd/A 27926-2025 artfynd.xlsx", "A 27926-2025")</f>
        <v/>
      </c>
      <c r="T35">
        <f>HYPERLINK("https://klasma.github.io/Logging_0483/kartor/A 27926-2025 karta.png", "A 27926-2025")</f>
        <v/>
      </c>
      <c r="V35">
        <f>HYPERLINK("https://klasma.github.io/Logging_0483/klagomål/A 27926-2025 FSC-klagomål.docx", "A 27926-2025")</f>
        <v/>
      </c>
      <c r="W35">
        <f>HYPERLINK("https://klasma.github.io/Logging_0483/klagomålsmail/A 27926-2025 FSC-klagomål mail.docx", "A 27926-2025")</f>
        <v/>
      </c>
      <c r="X35">
        <f>HYPERLINK("https://klasma.github.io/Logging_0483/tillsyn/A 27926-2025 tillsynsbegäran.docx", "A 27926-2025")</f>
        <v/>
      </c>
      <c r="Y35">
        <f>HYPERLINK("https://klasma.github.io/Logging_0483/tillsynsmail/A 27926-2025 tillsynsbegäran mail.docx", "A 27926-2025")</f>
        <v/>
      </c>
    </row>
    <row r="36" ht="15" customHeight="1">
      <c r="A36" t="inlineStr">
        <is>
          <t>A 16458-2022</t>
        </is>
      </c>
      <c r="B36" s="1" t="n">
        <v>44671</v>
      </c>
      <c r="C36" s="1" t="n">
        <v>46082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42055-2025</t>
        </is>
      </c>
      <c r="B37" s="1" t="n">
        <v>45903</v>
      </c>
      <c r="C37" s="1" t="n">
        <v>46082</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23568-2023</t>
        </is>
      </c>
      <c r="B38" s="1" t="n">
        <v>45077</v>
      </c>
      <c r="C38" s="1" t="n">
        <v>46082</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46082</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35163-2025</t>
        </is>
      </c>
      <c r="B40" s="1" t="n">
        <v>45852.71136574074</v>
      </c>
      <c r="C40" s="1" t="n">
        <v>46082</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44486-2023</t>
        </is>
      </c>
      <c r="B41" s="1" t="n">
        <v>45183</v>
      </c>
      <c r="C41" s="1" t="n">
        <v>46082</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41980-2025</t>
        </is>
      </c>
      <c r="B42" s="1" t="n">
        <v>45903</v>
      </c>
      <c r="C42" s="1" t="n">
        <v>46082</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44632-2023</t>
        </is>
      </c>
      <c r="B43" s="1" t="n">
        <v>45184</v>
      </c>
      <c r="C43" s="1" t="n">
        <v>46082</v>
      </c>
      <c r="D43" t="inlineStr">
        <is>
          <t>SÖDERMANLANDS LÄN</t>
        </is>
      </c>
      <c r="E43" t="inlineStr">
        <is>
          <t>KATRINEHOLM</t>
        </is>
      </c>
      <c r="G43" t="n">
        <v>6.2</v>
      </c>
      <c r="H43" t="n">
        <v>0</v>
      </c>
      <c r="I43" t="n">
        <v>0</v>
      </c>
      <c r="J43" t="n">
        <v>1</v>
      </c>
      <c r="K43" t="n">
        <v>0</v>
      </c>
      <c r="L43" t="n">
        <v>0</v>
      </c>
      <c r="M43" t="n">
        <v>0</v>
      </c>
      <c r="N43" t="n">
        <v>0</v>
      </c>
      <c r="O43" t="n">
        <v>1</v>
      </c>
      <c r="P43" t="n">
        <v>0</v>
      </c>
      <c r="Q43" t="n">
        <v>1</v>
      </c>
      <c r="R43" s="2" t="inlineStr">
        <is>
          <t>Motaggsvamp</t>
        </is>
      </c>
      <c r="S43">
        <f>HYPERLINK("https://klasma.github.io/Logging_0483/artfynd/A 44632-2023 artfynd.xlsx", "A 44632-2023")</f>
        <v/>
      </c>
      <c r="T43">
        <f>HYPERLINK("https://klasma.github.io/Logging_0483/kartor/A 44632-2023 karta.png", "A 44632-2023")</f>
        <v/>
      </c>
      <c r="V43">
        <f>HYPERLINK("https://klasma.github.io/Logging_0483/klagomål/A 44632-2023 FSC-klagomål.docx", "A 44632-2023")</f>
        <v/>
      </c>
      <c r="W43">
        <f>HYPERLINK("https://klasma.github.io/Logging_0483/klagomålsmail/A 44632-2023 FSC-klagomål mail.docx", "A 44632-2023")</f>
        <v/>
      </c>
      <c r="X43">
        <f>HYPERLINK("https://klasma.github.io/Logging_0483/tillsyn/A 44632-2023 tillsynsbegäran.docx", "A 44632-2023")</f>
        <v/>
      </c>
      <c r="Y43">
        <f>HYPERLINK("https://klasma.github.io/Logging_0483/tillsynsmail/A 44632-2023 tillsynsbegäran mail.docx", "A 44632-2023")</f>
        <v/>
      </c>
    </row>
    <row r="44" ht="15" customHeight="1">
      <c r="A44" t="inlineStr">
        <is>
          <t>A 48199-2025</t>
        </is>
      </c>
      <c r="B44" s="1" t="n">
        <v>45933.47856481482</v>
      </c>
      <c r="C44" s="1" t="n">
        <v>46082</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33801-2023</t>
        </is>
      </c>
      <c r="B45" s="1" t="n">
        <v>45133</v>
      </c>
      <c r="C45" s="1" t="n">
        <v>46082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46082</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46082</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46082</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46082</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46082</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46082</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46082</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53154-2023</t>
        </is>
      </c>
      <c r="B53" s="1" t="n">
        <v>45229</v>
      </c>
      <c r="C53" s="1" t="n">
        <v>46082</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1260-2026</t>
        </is>
      </c>
      <c r="B54" s="1" t="n">
        <v>46031.45652777778</v>
      </c>
      <c r="C54" s="1" t="n">
        <v>46082</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11890-2023</t>
        </is>
      </c>
      <c r="B55" s="1" t="n">
        <v>44995</v>
      </c>
      <c r="C55" s="1" t="n">
        <v>46082</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46082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46082</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46082</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46082</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46082</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46082</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46082</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46082</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46082</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46082</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46082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46082</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46082</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46082</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46082</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46082</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46082</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46082</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46082</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46082</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46082</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46082</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46082</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46082</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46082</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46082</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46082</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46082</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46082</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46082</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46082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46082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46082</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46082</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46082</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46082</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46082</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46082</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46082</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46082</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46082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46082</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46082</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46082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46082</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46082</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46082</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46082</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46082</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46082</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46082</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46082</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46082</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46082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46082</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46082</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6826-2022</t>
        </is>
      </c>
      <c r="B126" s="1" t="n">
        <v>44602.5965162037</v>
      </c>
      <c r="C126" s="1" t="n">
        <v>46082</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46082</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46082</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46082</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46082</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46082</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46082</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46082</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46082</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46082</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46082</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46082</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46082</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46082</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46082</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46082</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49677-2021</t>
        </is>
      </c>
      <c r="B142" s="1" t="n">
        <v>44455</v>
      </c>
      <c r="C142" s="1" t="n">
        <v>46082</v>
      </c>
      <c r="D142" t="inlineStr">
        <is>
          <t>SÖDERMANLANDS LÄN</t>
        </is>
      </c>
      <c r="E142" t="inlineStr">
        <is>
          <t>KATRINEHOLM</t>
        </is>
      </c>
      <c r="G142" t="n">
        <v>2.1</v>
      </c>
      <c r="H142" t="n">
        <v>0</v>
      </c>
      <c r="I142" t="n">
        <v>0</v>
      </c>
      <c r="J142" t="n">
        <v>0</v>
      </c>
      <c r="K142" t="n">
        <v>0</v>
      </c>
      <c r="L142" t="n">
        <v>0</v>
      </c>
      <c r="M142" t="n">
        <v>0</v>
      </c>
      <c r="N142" t="n">
        <v>0</v>
      </c>
      <c r="O142" t="n">
        <v>0</v>
      </c>
      <c r="P142" t="n">
        <v>0</v>
      </c>
      <c r="Q142" t="n">
        <v>0</v>
      </c>
      <c r="R142" s="2" t="inlineStr"/>
    </row>
    <row r="143" ht="15" customHeight="1">
      <c r="A143" t="inlineStr">
        <is>
          <t>A 49735-2021</t>
        </is>
      </c>
      <c r="B143" s="1" t="n">
        <v>44455</v>
      </c>
      <c r="C143" s="1" t="n">
        <v>46082</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59212-2021</t>
        </is>
      </c>
      <c r="B144" s="1" t="n">
        <v>44490.60873842592</v>
      </c>
      <c r="C144" s="1" t="n">
        <v>46082</v>
      </c>
      <c r="D144" t="inlineStr">
        <is>
          <t>SÖDERMANLANDS LÄN</t>
        </is>
      </c>
      <c r="E144" t="inlineStr">
        <is>
          <t>KATRINEHOLM</t>
        </is>
      </c>
      <c r="G144" t="n">
        <v>2.6</v>
      </c>
      <c r="H144" t="n">
        <v>0</v>
      </c>
      <c r="I144" t="n">
        <v>0</v>
      </c>
      <c r="J144" t="n">
        <v>0</v>
      </c>
      <c r="K144" t="n">
        <v>0</v>
      </c>
      <c r="L144" t="n">
        <v>0</v>
      </c>
      <c r="M144" t="n">
        <v>0</v>
      </c>
      <c r="N144" t="n">
        <v>0</v>
      </c>
      <c r="O144" t="n">
        <v>0</v>
      </c>
      <c r="P144" t="n">
        <v>0</v>
      </c>
      <c r="Q144" t="n">
        <v>0</v>
      </c>
      <c r="R144" s="2" t="inlineStr"/>
    </row>
    <row r="145" ht="15" customHeight="1">
      <c r="A145" t="inlineStr">
        <is>
          <t>A 7550-2022</t>
        </is>
      </c>
      <c r="B145" s="1" t="n">
        <v>44607</v>
      </c>
      <c r="C145" s="1" t="n">
        <v>46082</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51602-2022</t>
        </is>
      </c>
      <c r="B146" s="1" t="n">
        <v>44871.69347222222</v>
      </c>
      <c r="C146" s="1" t="n">
        <v>46082</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46082</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46082</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46082</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46082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46082</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69429-2021</t>
        </is>
      </c>
      <c r="B152" s="1" t="n">
        <v>44531</v>
      </c>
      <c r="C152" s="1" t="n">
        <v>46082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46082</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46082</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52044-2021</t>
        </is>
      </c>
      <c r="B155" s="1" t="n">
        <v>44463</v>
      </c>
      <c r="C155" s="1" t="n">
        <v>46082</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36964-2021</t>
        </is>
      </c>
      <c r="B156" s="1" t="n">
        <v>44393</v>
      </c>
      <c r="C156" s="1" t="n">
        <v>46082</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30981-2022</t>
        </is>
      </c>
      <c r="B157" s="1" t="n">
        <v>44768</v>
      </c>
      <c r="C157" s="1" t="n">
        <v>46082</v>
      </c>
      <c r="D157" t="inlineStr">
        <is>
          <t>SÖDERMANLANDS LÄN</t>
        </is>
      </c>
      <c r="E157" t="inlineStr">
        <is>
          <t>KATRINEHOLM</t>
        </is>
      </c>
      <c r="G157" t="n">
        <v>1.4</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46082</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6789-2022</t>
        </is>
      </c>
      <c r="B159" s="1" t="n">
        <v>44602</v>
      </c>
      <c r="C159" s="1" t="n">
        <v>46082</v>
      </c>
      <c r="D159" t="inlineStr">
        <is>
          <t>SÖDERMANLANDS LÄN</t>
        </is>
      </c>
      <c r="E159" t="inlineStr">
        <is>
          <t>KATRINEHOLM</t>
        </is>
      </c>
      <c r="G159" t="n">
        <v>4.6</v>
      </c>
      <c r="H159" t="n">
        <v>0</v>
      </c>
      <c r="I159" t="n">
        <v>0</v>
      </c>
      <c r="J159" t="n">
        <v>0</v>
      </c>
      <c r="K159" t="n">
        <v>0</v>
      </c>
      <c r="L159" t="n">
        <v>0</v>
      </c>
      <c r="M159" t="n">
        <v>0</v>
      </c>
      <c r="N159" t="n">
        <v>0</v>
      </c>
      <c r="O159" t="n">
        <v>0</v>
      </c>
      <c r="P159" t="n">
        <v>0</v>
      </c>
      <c r="Q159" t="n">
        <v>0</v>
      </c>
      <c r="R159" s="2" t="inlineStr"/>
    </row>
    <row r="160" ht="15" customHeight="1">
      <c r="A160" t="inlineStr">
        <is>
          <t>A 21576-2022</t>
        </is>
      </c>
      <c r="B160" s="1" t="n">
        <v>44706</v>
      </c>
      <c r="C160" s="1" t="n">
        <v>46082</v>
      </c>
      <c r="D160" t="inlineStr">
        <is>
          <t>SÖDERMANLANDS LÄN</t>
        </is>
      </c>
      <c r="E160" t="inlineStr">
        <is>
          <t>KATRINEHOLM</t>
        </is>
      </c>
      <c r="G160" t="n">
        <v>4.2</v>
      </c>
      <c r="H160" t="n">
        <v>0</v>
      </c>
      <c r="I160" t="n">
        <v>0</v>
      </c>
      <c r="J160" t="n">
        <v>0</v>
      </c>
      <c r="K160" t="n">
        <v>0</v>
      </c>
      <c r="L160" t="n">
        <v>0</v>
      </c>
      <c r="M160" t="n">
        <v>0</v>
      </c>
      <c r="N160" t="n">
        <v>0</v>
      </c>
      <c r="O160" t="n">
        <v>0</v>
      </c>
      <c r="P160" t="n">
        <v>0</v>
      </c>
      <c r="Q160" t="n">
        <v>0</v>
      </c>
      <c r="R160" s="2" t="inlineStr"/>
    </row>
    <row r="161" ht="15" customHeight="1">
      <c r="A161" t="inlineStr">
        <is>
          <t>A 43967-2022</t>
        </is>
      </c>
      <c r="B161" s="1" t="n">
        <v>44837</v>
      </c>
      <c r="C161" s="1" t="n">
        <v>46082</v>
      </c>
      <c r="D161" t="inlineStr">
        <is>
          <t>SÖDERMANLANDS LÄN</t>
        </is>
      </c>
      <c r="E161" t="inlineStr">
        <is>
          <t>KATRINEHOLM</t>
        </is>
      </c>
      <c r="G161" t="n">
        <v>6.2</v>
      </c>
      <c r="H161" t="n">
        <v>0</v>
      </c>
      <c r="I161" t="n">
        <v>0</v>
      </c>
      <c r="J161" t="n">
        <v>0</v>
      </c>
      <c r="K161" t="n">
        <v>0</v>
      </c>
      <c r="L161" t="n">
        <v>0</v>
      </c>
      <c r="M161" t="n">
        <v>0</v>
      </c>
      <c r="N161" t="n">
        <v>0</v>
      </c>
      <c r="O161" t="n">
        <v>0</v>
      </c>
      <c r="P161" t="n">
        <v>0</v>
      </c>
      <c r="Q161" t="n">
        <v>0</v>
      </c>
      <c r="R161" s="2" t="inlineStr"/>
    </row>
    <row r="162" ht="15" customHeight="1">
      <c r="A162" t="inlineStr">
        <is>
          <t>A 44012-2022</t>
        </is>
      </c>
      <c r="B162" s="1" t="n">
        <v>44838</v>
      </c>
      <c r="C162" s="1" t="n">
        <v>46082</v>
      </c>
      <c r="D162" t="inlineStr">
        <is>
          <t>SÖDERMANLANDS LÄN</t>
        </is>
      </c>
      <c r="E162" t="inlineStr">
        <is>
          <t>KATRINEHOLM</t>
        </is>
      </c>
      <c r="G162" t="n">
        <v>0.4</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46082</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46082</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46082</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46082</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46082</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44496.58033564815</v>
      </c>
      <c r="C168" s="1" t="n">
        <v>46082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46082</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46082</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46082</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46082</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46082</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46082</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46082</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46082</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46082</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46082</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46082</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46082</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46082</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46082</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46082</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46082</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24098-2022</t>
        </is>
      </c>
      <c r="B185" s="1" t="n">
        <v>44725</v>
      </c>
      <c r="C185" s="1" t="n">
        <v>46082</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46082</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46082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46082</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46082</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46082</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46082</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46082</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46082</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58473-2021</t>
        </is>
      </c>
      <c r="B194" s="1" t="n">
        <v>44488</v>
      </c>
      <c r="C194" s="1" t="n">
        <v>46082</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46082</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46082</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35188-2022</t>
        </is>
      </c>
      <c r="B197" s="1" t="n">
        <v>44797</v>
      </c>
      <c r="C197" s="1" t="n">
        <v>46082</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46082</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46082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46082</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46082</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48682-2022</t>
        </is>
      </c>
      <c r="B202" s="1" t="n">
        <v>44859</v>
      </c>
      <c r="C202" s="1" t="n">
        <v>46082</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3090-2025</t>
        </is>
      </c>
      <c r="B203" s="1" t="n">
        <v>45678</v>
      </c>
      <c r="C203" s="1" t="n">
        <v>46082</v>
      </c>
      <c r="D203" t="inlineStr">
        <is>
          <t>SÖDERMANLANDS LÄN</t>
        </is>
      </c>
      <c r="E203" t="inlineStr">
        <is>
          <t>KATRINEHOLM</t>
        </is>
      </c>
      <c r="F203" t="inlineStr">
        <is>
          <t>Kyrkan</t>
        </is>
      </c>
      <c r="G203" t="n">
        <v>6.9</v>
      </c>
      <c r="H203" t="n">
        <v>0</v>
      </c>
      <c r="I203" t="n">
        <v>0</v>
      </c>
      <c r="J203" t="n">
        <v>0</v>
      </c>
      <c r="K203" t="n">
        <v>0</v>
      </c>
      <c r="L203" t="n">
        <v>0</v>
      </c>
      <c r="M203" t="n">
        <v>0</v>
      </c>
      <c r="N203" t="n">
        <v>0</v>
      </c>
      <c r="O203" t="n">
        <v>0</v>
      </c>
      <c r="P203" t="n">
        <v>0</v>
      </c>
      <c r="Q203" t="n">
        <v>0</v>
      </c>
      <c r="R203" s="2" t="inlineStr"/>
    </row>
    <row r="204" ht="15" customHeight="1">
      <c r="A204" t="inlineStr">
        <is>
          <t>A 17246-2024</t>
        </is>
      </c>
      <c r="B204" s="1" t="n">
        <v>45414</v>
      </c>
      <c r="C204" s="1" t="n">
        <v>46082</v>
      </c>
      <c r="D204" t="inlineStr">
        <is>
          <t>SÖDERMANLANDS LÄN</t>
        </is>
      </c>
      <c r="E204" t="inlineStr">
        <is>
          <t>KATRINEHOLM</t>
        </is>
      </c>
      <c r="F204" t="inlineStr">
        <is>
          <t>Allmännings- och besparingsskogar</t>
        </is>
      </c>
      <c r="G204" t="n">
        <v>13.7</v>
      </c>
      <c r="H204" t="n">
        <v>0</v>
      </c>
      <c r="I204" t="n">
        <v>0</v>
      </c>
      <c r="J204" t="n">
        <v>0</v>
      </c>
      <c r="K204" t="n">
        <v>0</v>
      </c>
      <c r="L204" t="n">
        <v>0</v>
      </c>
      <c r="M204" t="n">
        <v>0</v>
      </c>
      <c r="N204" t="n">
        <v>0</v>
      </c>
      <c r="O204" t="n">
        <v>0</v>
      </c>
      <c r="P204" t="n">
        <v>0</v>
      </c>
      <c r="Q204" t="n">
        <v>0</v>
      </c>
      <c r="R204" s="2" t="inlineStr"/>
    </row>
    <row r="205" ht="15" customHeight="1">
      <c r="A205" t="inlineStr">
        <is>
          <t>A 20460-2025</t>
        </is>
      </c>
      <c r="B205" s="1" t="n">
        <v>45775.52854166667</v>
      </c>
      <c r="C205" s="1" t="n">
        <v>46082</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9693-2024</t>
        </is>
      </c>
      <c r="B206" s="1" t="n">
        <v>45362</v>
      </c>
      <c r="C206" s="1" t="n">
        <v>46082</v>
      </c>
      <c r="D206" t="inlineStr">
        <is>
          <t>SÖDERMANLANDS LÄN</t>
        </is>
      </c>
      <c r="E206" t="inlineStr">
        <is>
          <t>KATRINEHOLM</t>
        </is>
      </c>
      <c r="G206" t="n">
        <v>5.9</v>
      </c>
      <c r="H206" t="n">
        <v>0</v>
      </c>
      <c r="I206" t="n">
        <v>0</v>
      </c>
      <c r="J206" t="n">
        <v>0</v>
      </c>
      <c r="K206" t="n">
        <v>0</v>
      </c>
      <c r="L206" t="n">
        <v>0</v>
      </c>
      <c r="M206" t="n">
        <v>0</v>
      </c>
      <c r="N206" t="n">
        <v>0</v>
      </c>
      <c r="O206" t="n">
        <v>0</v>
      </c>
      <c r="P206" t="n">
        <v>0</v>
      </c>
      <c r="Q206" t="n">
        <v>0</v>
      </c>
      <c r="R206" s="2" t="inlineStr"/>
    </row>
    <row r="207" ht="15" customHeight="1">
      <c r="A207" t="inlineStr">
        <is>
          <t>A 43964-2022</t>
        </is>
      </c>
      <c r="B207" s="1" t="n">
        <v>44837</v>
      </c>
      <c r="C207" s="1" t="n">
        <v>46082</v>
      </c>
      <c r="D207" t="inlineStr">
        <is>
          <t>SÖDERMANLANDS LÄN</t>
        </is>
      </c>
      <c r="E207" t="inlineStr">
        <is>
          <t>KATRINEHOLM</t>
        </is>
      </c>
      <c r="G207" t="n">
        <v>3.6</v>
      </c>
      <c r="H207" t="n">
        <v>0</v>
      </c>
      <c r="I207" t="n">
        <v>0</v>
      </c>
      <c r="J207" t="n">
        <v>0</v>
      </c>
      <c r="K207" t="n">
        <v>0</v>
      </c>
      <c r="L207" t="n">
        <v>0</v>
      </c>
      <c r="M207" t="n">
        <v>0</v>
      </c>
      <c r="N207" t="n">
        <v>0</v>
      </c>
      <c r="O207" t="n">
        <v>0</v>
      </c>
      <c r="P207" t="n">
        <v>0</v>
      </c>
      <c r="Q207" t="n">
        <v>0</v>
      </c>
      <c r="R207" s="2" t="inlineStr"/>
    </row>
    <row r="208" ht="15" customHeight="1">
      <c r="A208" t="inlineStr">
        <is>
          <t>A 53722-2023</t>
        </is>
      </c>
      <c r="B208" s="1" t="n">
        <v>45230</v>
      </c>
      <c r="C208" s="1" t="n">
        <v>46082</v>
      </c>
      <c r="D208" t="inlineStr">
        <is>
          <t>SÖDERMANLANDS LÄN</t>
        </is>
      </c>
      <c r="E208" t="inlineStr">
        <is>
          <t>KATRINEHOLM</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42015-2022</t>
        </is>
      </c>
      <c r="B209" s="1" t="n">
        <v>44830.4649074074</v>
      </c>
      <c r="C209" s="1" t="n">
        <v>46082</v>
      </c>
      <c r="D209" t="inlineStr">
        <is>
          <t>SÖDERMANLANDS LÄN</t>
        </is>
      </c>
      <c r="E209" t="inlineStr">
        <is>
          <t>KATRINEHOLM</t>
        </is>
      </c>
      <c r="G209" t="n">
        <v>3.8</v>
      </c>
      <c r="H209" t="n">
        <v>0</v>
      </c>
      <c r="I209" t="n">
        <v>0</v>
      </c>
      <c r="J209" t="n">
        <v>0</v>
      </c>
      <c r="K209" t="n">
        <v>0</v>
      </c>
      <c r="L209" t="n">
        <v>0</v>
      </c>
      <c r="M209" t="n">
        <v>0</v>
      </c>
      <c r="N209" t="n">
        <v>0</v>
      </c>
      <c r="O209" t="n">
        <v>0</v>
      </c>
      <c r="P209" t="n">
        <v>0</v>
      </c>
      <c r="Q209" t="n">
        <v>0</v>
      </c>
      <c r="R209" s="2" t="inlineStr"/>
    </row>
    <row r="210" ht="15" customHeight="1">
      <c r="A210" t="inlineStr">
        <is>
          <t>A 42020-2022</t>
        </is>
      </c>
      <c r="B210" s="1" t="n">
        <v>44830.46849537037</v>
      </c>
      <c r="C210" s="1" t="n">
        <v>46082</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55846-2022</t>
        </is>
      </c>
      <c r="B211" s="1" t="n">
        <v>44888</v>
      </c>
      <c r="C211" s="1" t="n">
        <v>46082</v>
      </c>
      <c r="D211" t="inlineStr">
        <is>
          <t>SÖDERMANLANDS LÄN</t>
        </is>
      </c>
      <c r="E211" t="inlineStr">
        <is>
          <t>KATRINEHOLM</t>
        </is>
      </c>
      <c r="G211" t="n">
        <v>6.5</v>
      </c>
      <c r="H211" t="n">
        <v>0</v>
      </c>
      <c r="I211" t="n">
        <v>0</v>
      </c>
      <c r="J211" t="n">
        <v>0</v>
      </c>
      <c r="K211" t="n">
        <v>0</v>
      </c>
      <c r="L211" t="n">
        <v>0</v>
      </c>
      <c r="M211" t="n">
        <v>0</v>
      </c>
      <c r="N211" t="n">
        <v>0</v>
      </c>
      <c r="O211" t="n">
        <v>0</v>
      </c>
      <c r="P211" t="n">
        <v>0</v>
      </c>
      <c r="Q211" t="n">
        <v>0</v>
      </c>
      <c r="R211" s="2" t="inlineStr"/>
    </row>
    <row r="212" ht="15" customHeight="1">
      <c r="A212" t="inlineStr">
        <is>
          <t>A 48520-2023</t>
        </is>
      </c>
      <c r="B212" s="1" t="n">
        <v>45208</v>
      </c>
      <c r="C212" s="1" t="n">
        <v>46082</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55863-2022</t>
        </is>
      </c>
      <c r="B213" s="1" t="n">
        <v>44888</v>
      </c>
      <c r="C213" s="1" t="n">
        <v>46082</v>
      </c>
      <c r="D213" t="inlineStr">
        <is>
          <t>SÖDERMANLANDS LÄN</t>
        </is>
      </c>
      <c r="E213" t="inlineStr">
        <is>
          <t>KATRINEHOLM</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55865-2022</t>
        </is>
      </c>
      <c r="B214" s="1" t="n">
        <v>44888</v>
      </c>
      <c r="C214" s="1" t="n">
        <v>46082</v>
      </c>
      <c r="D214" t="inlineStr">
        <is>
          <t>SÖDERMANLANDS LÄN</t>
        </is>
      </c>
      <c r="E214" t="inlineStr">
        <is>
          <t>KATRINEHOLM</t>
        </is>
      </c>
      <c r="G214" t="n">
        <v>9.1</v>
      </c>
      <c r="H214" t="n">
        <v>0</v>
      </c>
      <c r="I214" t="n">
        <v>0</v>
      </c>
      <c r="J214" t="n">
        <v>0</v>
      </c>
      <c r="K214" t="n">
        <v>0</v>
      </c>
      <c r="L214" t="n">
        <v>0</v>
      </c>
      <c r="M214" t="n">
        <v>0</v>
      </c>
      <c r="N214" t="n">
        <v>0</v>
      </c>
      <c r="O214" t="n">
        <v>0</v>
      </c>
      <c r="P214" t="n">
        <v>0</v>
      </c>
      <c r="Q214" t="n">
        <v>0</v>
      </c>
      <c r="R214" s="2" t="inlineStr"/>
    </row>
    <row r="215" ht="15" customHeight="1">
      <c r="A215" t="inlineStr">
        <is>
          <t>A 56661-2021</t>
        </is>
      </c>
      <c r="B215" s="1" t="n">
        <v>44481.24327546296</v>
      </c>
      <c r="C215" s="1" t="n">
        <v>46082</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28394-2023</t>
        </is>
      </c>
      <c r="B216" s="1" t="n">
        <v>45100</v>
      </c>
      <c r="C216" s="1" t="n">
        <v>46082</v>
      </c>
      <c r="D216" t="inlineStr">
        <is>
          <t>SÖDERMANLANDS LÄN</t>
        </is>
      </c>
      <c r="E216" t="inlineStr">
        <is>
          <t>KATRINEHOLM</t>
        </is>
      </c>
      <c r="G216" t="n">
        <v>4.2</v>
      </c>
      <c r="H216" t="n">
        <v>0</v>
      </c>
      <c r="I216" t="n">
        <v>0</v>
      </c>
      <c r="J216" t="n">
        <v>0</v>
      </c>
      <c r="K216" t="n">
        <v>0</v>
      </c>
      <c r="L216" t="n">
        <v>0</v>
      </c>
      <c r="M216" t="n">
        <v>0</v>
      </c>
      <c r="N216" t="n">
        <v>0</v>
      </c>
      <c r="O216" t="n">
        <v>0</v>
      </c>
      <c r="P216" t="n">
        <v>0</v>
      </c>
      <c r="Q216" t="n">
        <v>0</v>
      </c>
      <c r="R216" s="2" t="inlineStr"/>
    </row>
    <row r="217" ht="15" customHeight="1">
      <c r="A217" t="inlineStr">
        <is>
          <t>A 4122-2023</t>
        </is>
      </c>
      <c r="B217" s="1" t="n">
        <v>44952</v>
      </c>
      <c r="C217" s="1" t="n">
        <v>46082</v>
      </c>
      <c r="D217" t="inlineStr">
        <is>
          <t>SÖDERMANLANDS LÄN</t>
        </is>
      </c>
      <c r="E217" t="inlineStr">
        <is>
          <t>KATRINEHOLM</t>
        </is>
      </c>
      <c r="G217" t="n">
        <v>9</v>
      </c>
      <c r="H217" t="n">
        <v>0</v>
      </c>
      <c r="I217" t="n">
        <v>0</v>
      </c>
      <c r="J217" t="n">
        <v>0</v>
      </c>
      <c r="K217" t="n">
        <v>0</v>
      </c>
      <c r="L217" t="n">
        <v>0</v>
      </c>
      <c r="M217" t="n">
        <v>0</v>
      </c>
      <c r="N217" t="n">
        <v>0</v>
      </c>
      <c r="O217" t="n">
        <v>0</v>
      </c>
      <c r="P217" t="n">
        <v>0</v>
      </c>
      <c r="Q217" t="n">
        <v>0</v>
      </c>
      <c r="R217" s="2" t="inlineStr"/>
    </row>
    <row r="218" ht="15" customHeight="1">
      <c r="A218" t="inlineStr">
        <is>
          <t>A 55795-2023</t>
        </is>
      </c>
      <c r="B218" s="1" t="n">
        <v>45239.54861111111</v>
      </c>
      <c r="C218" s="1" t="n">
        <v>46082</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29502-2023</t>
        </is>
      </c>
      <c r="B219" s="1" t="n">
        <v>45106</v>
      </c>
      <c r="C219" s="1" t="n">
        <v>46082</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24284-2024</t>
        </is>
      </c>
      <c r="B220" s="1" t="n">
        <v>45457</v>
      </c>
      <c r="C220" s="1" t="n">
        <v>46082</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42111-2022</t>
        </is>
      </c>
      <c r="B221" s="1" t="n">
        <v>44830</v>
      </c>
      <c r="C221" s="1" t="n">
        <v>46082</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46082</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33712-2022</t>
        </is>
      </c>
      <c r="B223" s="1" t="n">
        <v>44789</v>
      </c>
      <c r="C223" s="1" t="n">
        <v>46082</v>
      </c>
      <c r="D223" t="inlineStr">
        <is>
          <t>SÖDERMANLANDS LÄN</t>
        </is>
      </c>
      <c r="E223" t="inlineStr">
        <is>
          <t>KATRINEHOLM</t>
        </is>
      </c>
      <c r="G223" t="n">
        <v>4.3</v>
      </c>
      <c r="H223" t="n">
        <v>0</v>
      </c>
      <c r="I223" t="n">
        <v>0</v>
      </c>
      <c r="J223" t="n">
        <v>0</v>
      </c>
      <c r="K223" t="n">
        <v>0</v>
      </c>
      <c r="L223" t="n">
        <v>0</v>
      </c>
      <c r="M223" t="n">
        <v>0</v>
      </c>
      <c r="N223" t="n">
        <v>0</v>
      </c>
      <c r="O223" t="n">
        <v>0</v>
      </c>
      <c r="P223" t="n">
        <v>0</v>
      </c>
      <c r="Q223" t="n">
        <v>0</v>
      </c>
      <c r="R223" s="2" t="inlineStr"/>
    </row>
    <row r="224" ht="15" customHeight="1">
      <c r="A224" t="inlineStr">
        <is>
          <t>A 55034-2021</t>
        </is>
      </c>
      <c r="B224" s="1" t="n">
        <v>44474</v>
      </c>
      <c r="C224" s="1" t="n">
        <v>46082</v>
      </c>
      <c r="D224" t="inlineStr">
        <is>
          <t>SÖDERMANLANDS LÄN</t>
        </is>
      </c>
      <c r="E224" t="inlineStr">
        <is>
          <t>KATRINEHOLM</t>
        </is>
      </c>
      <c r="G224" t="n">
        <v>5</v>
      </c>
      <c r="H224" t="n">
        <v>0</v>
      </c>
      <c r="I224" t="n">
        <v>0</v>
      </c>
      <c r="J224" t="n">
        <v>0</v>
      </c>
      <c r="K224" t="n">
        <v>0</v>
      </c>
      <c r="L224" t="n">
        <v>0</v>
      </c>
      <c r="M224" t="n">
        <v>0</v>
      </c>
      <c r="N224" t="n">
        <v>0</v>
      </c>
      <c r="O224" t="n">
        <v>0</v>
      </c>
      <c r="P224" t="n">
        <v>0</v>
      </c>
      <c r="Q224" t="n">
        <v>0</v>
      </c>
      <c r="R224" s="2" t="inlineStr"/>
    </row>
    <row r="225" ht="15" customHeight="1">
      <c r="A225" t="inlineStr">
        <is>
          <t>A 33717-2022</t>
        </is>
      </c>
      <c r="B225" s="1" t="n">
        <v>44789</v>
      </c>
      <c r="C225" s="1" t="n">
        <v>46082</v>
      </c>
      <c r="D225" t="inlineStr">
        <is>
          <t>SÖDERMANLANDS LÄN</t>
        </is>
      </c>
      <c r="E225" t="inlineStr">
        <is>
          <t>KATRINEHOLM</t>
        </is>
      </c>
      <c r="G225" t="n">
        <v>4.4</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46082</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46082</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36767-2022</t>
        </is>
      </c>
      <c r="B228" s="1" t="n">
        <v>44805</v>
      </c>
      <c r="C228" s="1" t="n">
        <v>46082</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33752-2023</t>
        </is>
      </c>
      <c r="B229" s="1" t="n">
        <v>45120</v>
      </c>
      <c r="C229" s="1" t="n">
        <v>46082</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24179-2024</t>
        </is>
      </c>
      <c r="B230" s="1" t="n">
        <v>45456.83059027778</v>
      </c>
      <c r="C230" s="1" t="n">
        <v>46082</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51264-2021</t>
        </is>
      </c>
      <c r="B231" s="1" t="n">
        <v>44461</v>
      </c>
      <c r="C231" s="1" t="n">
        <v>46082</v>
      </c>
      <c r="D231" t="inlineStr">
        <is>
          <t>SÖDERMANLANDS LÄN</t>
        </is>
      </c>
      <c r="E231" t="inlineStr">
        <is>
          <t>KATRINEHOLM</t>
        </is>
      </c>
      <c r="G231" t="n">
        <v>3.1</v>
      </c>
      <c r="H231" t="n">
        <v>0</v>
      </c>
      <c r="I231" t="n">
        <v>0</v>
      </c>
      <c r="J231" t="n">
        <v>0</v>
      </c>
      <c r="K231" t="n">
        <v>0</v>
      </c>
      <c r="L231" t="n">
        <v>0</v>
      </c>
      <c r="M231" t="n">
        <v>0</v>
      </c>
      <c r="N231" t="n">
        <v>0</v>
      </c>
      <c r="O231" t="n">
        <v>0</v>
      </c>
      <c r="P231" t="n">
        <v>0</v>
      </c>
      <c r="Q231" t="n">
        <v>0</v>
      </c>
      <c r="R231" s="2" t="inlineStr"/>
    </row>
    <row r="232" ht="15" customHeight="1">
      <c r="A232" t="inlineStr">
        <is>
          <t>A 45376-2022</t>
        </is>
      </c>
      <c r="B232" s="1" t="n">
        <v>44844</v>
      </c>
      <c r="C232" s="1" t="n">
        <v>46082</v>
      </c>
      <c r="D232" t="inlineStr">
        <is>
          <t>SÖDERMANLANDS LÄN</t>
        </is>
      </c>
      <c r="E232" t="inlineStr">
        <is>
          <t>KATRINEHOLM</t>
        </is>
      </c>
      <c r="G232" t="n">
        <v>4.7</v>
      </c>
      <c r="H232" t="n">
        <v>0</v>
      </c>
      <c r="I232" t="n">
        <v>0</v>
      </c>
      <c r="J232" t="n">
        <v>0</v>
      </c>
      <c r="K232" t="n">
        <v>0</v>
      </c>
      <c r="L232" t="n">
        <v>0</v>
      </c>
      <c r="M232" t="n">
        <v>0</v>
      </c>
      <c r="N232" t="n">
        <v>0</v>
      </c>
      <c r="O232" t="n">
        <v>0</v>
      </c>
      <c r="P232" t="n">
        <v>0</v>
      </c>
      <c r="Q232" t="n">
        <v>0</v>
      </c>
      <c r="R232" s="2" t="inlineStr"/>
    </row>
    <row r="233" ht="15" customHeight="1">
      <c r="A233" t="inlineStr">
        <is>
          <t>A 51128-2021</t>
        </is>
      </c>
      <c r="B233" s="1" t="n">
        <v>44460</v>
      </c>
      <c r="C233" s="1" t="n">
        <v>46082</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64605-2023</t>
        </is>
      </c>
      <c r="B234" s="1" t="n">
        <v>45281</v>
      </c>
      <c r="C234" s="1" t="n">
        <v>46082</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28582-2024</t>
        </is>
      </c>
      <c r="B235" s="1" t="n">
        <v>45478.40751157407</v>
      </c>
      <c r="C235" s="1" t="n">
        <v>46082</v>
      </c>
      <c r="D235" t="inlineStr">
        <is>
          <t>SÖDERMANLANDS LÄN</t>
        </is>
      </c>
      <c r="E235" t="inlineStr">
        <is>
          <t>KATRINEHOLM</t>
        </is>
      </c>
      <c r="F235" t="inlineStr">
        <is>
          <t>Övriga Aktiebolag</t>
        </is>
      </c>
      <c r="G235" t="n">
        <v>4</v>
      </c>
      <c r="H235" t="n">
        <v>0</v>
      </c>
      <c r="I235" t="n">
        <v>0</v>
      </c>
      <c r="J235" t="n">
        <v>0</v>
      </c>
      <c r="K235" t="n">
        <v>0</v>
      </c>
      <c r="L235" t="n">
        <v>0</v>
      </c>
      <c r="M235" t="n">
        <v>0</v>
      </c>
      <c r="N235" t="n">
        <v>0</v>
      </c>
      <c r="O235" t="n">
        <v>0</v>
      </c>
      <c r="P235" t="n">
        <v>0</v>
      </c>
      <c r="Q235" t="n">
        <v>0</v>
      </c>
      <c r="R235" s="2" t="inlineStr"/>
    </row>
    <row r="236" ht="15" customHeight="1">
      <c r="A236" t="inlineStr">
        <is>
          <t>A 26081-2024</t>
        </is>
      </c>
      <c r="B236" s="1" t="n">
        <v>45462</v>
      </c>
      <c r="C236" s="1" t="n">
        <v>46082</v>
      </c>
      <c r="D236" t="inlineStr">
        <is>
          <t>SÖDERMANLANDS LÄN</t>
        </is>
      </c>
      <c r="E236" t="inlineStr">
        <is>
          <t>KATRINEHOLM</t>
        </is>
      </c>
      <c r="G236" t="n">
        <v>4.1</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46082</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30242-2023</t>
        </is>
      </c>
      <c r="B238" s="1" t="n">
        <v>45099</v>
      </c>
      <c r="C238" s="1" t="n">
        <v>46082</v>
      </c>
      <c r="D238" t="inlineStr">
        <is>
          <t>SÖDERMANLANDS LÄN</t>
        </is>
      </c>
      <c r="E238" t="inlineStr">
        <is>
          <t>KATRINEHOLM</t>
        </is>
      </c>
      <c r="G238" t="n">
        <v>3</v>
      </c>
      <c r="H238" t="n">
        <v>0</v>
      </c>
      <c r="I238" t="n">
        <v>0</v>
      </c>
      <c r="J238" t="n">
        <v>0</v>
      </c>
      <c r="K238" t="n">
        <v>0</v>
      </c>
      <c r="L238" t="n">
        <v>0</v>
      </c>
      <c r="M238" t="n">
        <v>0</v>
      </c>
      <c r="N238" t="n">
        <v>0</v>
      </c>
      <c r="O238" t="n">
        <v>0</v>
      </c>
      <c r="P238" t="n">
        <v>0</v>
      </c>
      <c r="Q238" t="n">
        <v>0</v>
      </c>
      <c r="R238" s="2" t="inlineStr"/>
    </row>
    <row r="239" ht="15" customHeight="1">
      <c r="A239" t="inlineStr">
        <is>
          <t>A 38308-2021</t>
        </is>
      </c>
      <c r="B239" s="1" t="n">
        <v>44406</v>
      </c>
      <c r="C239" s="1" t="n">
        <v>46082</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55172-2022</t>
        </is>
      </c>
      <c r="B240" s="1" t="n">
        <v>44886</v>
      </c>
      <c r="C240" s="1" t="n">
        <v>46082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43837-2022</t>
        </is>
      </c>
      <c r="B241" s="1" t="n">
        <v>44838</v>
      </c>
      <c r="C241" s="1" t="n">
        <v>46082</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67337-2021</t>
        </is>
      </c>
      <c r="B242" s="1" t="n">
        <v>44523</v>
      </c>
      <c r="C242" s="1" t="n">
        <v>46082</v>
      </c>
      <c r="D242" t="inlineStr">
        <is>
          <t>SÖDERMANLANDS LÄN</t>
        </is>
      </c>
      <c r="E242" t="inlineStr">
        <is>
          <t>KATRINEHOLM</t>
        </is>
      </c>
      <c r="G242" t="n">
        <v>5.2</v>
      </c>
      <c r="H242" t="n">
        <v>0</v>
      </c>
      <c r="I242" t="n">
        <v>0</v>
      </c>
      <c r="J242" t="n">
        <v>0</v>
      </c>
      <c r="K242" t="n">
        <v>0</v>
      </c>
      <c r="L242" t="n">
        <v>0</v>
      </c>
      <c r="M242" t="n">
        <v>0</v>
      </c>
      <c r="N242" t="n">
        <v>0</v>
      </c>
      <c r="O242" t="n">
        <v>0</v>
      </c>
      <c r="P242" t="n">
        <v>0</v>
      </c>
      <c r="Q242" t="n">
        <v>0</v>
      </c>
      <c r="R242" s="2" t="inlineStr"/>
    </row>
    <row r="243" ht="15" customHeight="1">
      <c r="A243" t="inlineStr">
        <is>
          <t>A 57510-2021</t>
        </is>
      </c>
      <c r="B243" s="1" t="n">
        <v>44483</v>
      </c>
      <c r="C243" s="1" t="n">
        <v>46082</v>
      </c>
      <c r="D243" t="inlineStr">
        <is>
          <t>SÖDERMANLANDS LÄN</t>
        </is>
      </c>
      <c r="E243" t="inlineStr">
        <is>
          <t>KATRINEHOLM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29394-2024</t>
        </is>
      </c>
      <c r="B244" s="1" t="n">
        <v>45483</v>
      </c>
      <c r="C244" s="1" t="n">
        <v>46082</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64713-2023</t>
        </is>
      </c>
      <c r="B245" s="1" t="n">
        <v>45281</v>
      </c>
      <c r="C245" s="1" t="n">
        <v>46082</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50032-2022</t>
        </is>
      </c>
      <c r="B246" s="1" t="n">
        <v>44860</v>
      </c>
      <c r="C246" s="1" t="n">
        <v>46082</v>
      </c>
      <c r="D246" t="inlineStr">
        <is>
          <t>SÖDERMANLANDS LÄN</t>
        </is>
      </c>
      <c r="E246" t="inlineStr">
        <is>
          <t>KATRINEHOLM</t>
        </is>
      </c>
      <c r="G246" t="n">
        <v>7.5</v>
      </c>
      <c r="H246" t="n">
        <v>0</v>
      </c>
      <c r="I246" t="n">
        <v>0</v>
      </c>
      <c r="J246" t="n">
        <v>0</v>
      </c>
      <c r="K246" t="n">
        <v>0</v>
      </c>
      <c r="L246" t="n">
        <v>0</v>
      </c>
      <c r="M246" t="n">
        <v>0</v>
      </c>
      <c r="N246" t="n">
        <v>0</v>
      </c>
      <c r="O246" t="n">
        <v>0</v>
      </c>
      <c r="P246" t="n">
        <v>0</v>
      </c>
      <c r="Q246" t="n">
        <v>0</v>
      </c>
      <c r="R246" s="2" t="inlineStr"/>
    </row>
    <row r="247" ht="15" customHeight="1">
      <c r="A247" t="inlineStr">
        <is>
          <t>A 26713-2024</t>
        </is>
      </c>
      <c r="B247" s="1" t="n">
        <v>45470</v>
      </c>
      <c r="C247" s="1" t="n">
        <v>46082</v>
      </c>
      <c r="D247" t="inlineStr">
        <is>
          <t>SÖDERMANLANDS LÄN</t>
        </is>
      </c>
      <c r="E247" t="inlineStr">
        <is>
          <t>KATRINEHOLM</t>
        </is>
      </c>
      <c r="G247" t="n">
        <v>0.7</v>
      </c>
      <c r="H247" t="n">
        <v>0</v>
      </c>
      <c r="I247" t="n">
        <v>0</v>
      </c>
      <c r="J247" t="n">
        <v>0</v>
      </c>
      <c r="K247" t="n">
        <v>0</v>
      </c>
      <c r="L247" t="n">
        <v>0</v>
      </c>
      <c r="M247" t="n">
        <v>0</v>
      </c>
      <c r="N247" t="n">
        <v>0</v>
      </c>
      <c r="O247" t="n">
        <v>0</v>
      </c>
      <c r="P247" t="n">
        <v>0</v>
      </c>
      <c r="Q247" t="n">
        <v>0</v>
      </c>
      <c r="R247" s="2" t="inlineStr"/>
    </row>
    <row r="248" ht="15" customHeight="1">
      <c r="A248" t="inlineStr">
        <is>
          <t>A 40159-2023</t>
        </is>
      </c>
      <c r="B248" s="1" t="n">
        <v>45169</v>
      </c>
      <c r="C248" s="1" t="n">
        <v>46082</v>
      </c>
      <c r="D248" t="inlineStr">
        <is>
          <t>SÖDERMANLANDS LÄN</t>
        </is>
      </c>
      <c r="E248" t="inlineStr">
        <is>
          <t>KATRINEHOLM</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69117-2021</t>
        </is>
      </c>
      <c r="B249" s="1" t="n">
        <v>44530.82445601852</v>
      </c>
      <c r="C249" s="1" t="n">
        <v>46082</v>
      </c>
      <c r="D249" t="inlineStr">
        <is>
          <t>SÖDERMANLANDS LÄN</t>
        </is>
      </c>
      <c r="E249" t="inlineStr">
        <is>
          <t>KATRINEHOLM</t>
        </is>
      </c>
      <c r="G249" t="n">
        <v>1.7</v>
      </c>
      <c r="H249" t="n">
        <v>0</v>
      </c>
      <c r="I249" t="n">
        <v>0</v>
      </c>
      <c r="J249" t="n">
        <v>0</v>
      </c>
      <c r="K249" t="n">
        <v>0</v>
      </c>
      <c r="L249" t="n">
        <v>0</v>
      </c>
      <c r="M249" t="n">
        <v>0</v>
      </c>
      <c r="N249" t="n">
        <v>0</v>
      </c>
      <c r="O249" t="n">
        <v>0</v>
      </c>
      <c r="P249" t="n">
        <v>0</v>
      </c>
      <c r="Q249" t="n">
        <v>0</v>
      </c>
      <c r="R249" s="2" t="inlineStr"/>
    </row>
    <row r="250" ht="15" customHeight="1">
      <c r="A250" t="inlineStr">
        <is>
          <t>A 55732-2023</t>
        </is>
      </c>
      <c r="B250" s="1" t="n">
        <v>45239</v>
      </c>
      <c r="C250" s="1" t="n">
        <v>46082</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28675-2024</t>
        </is>
      </c>
      <c r="B251" s="1" t="n">
        <v>45478</v>
      </c>
      <c r="C251" s="1" t="n">
        <v>46082</v>
      </c>
      <c r="D251" t="inlineStr">
        <is>
          <t>SÖDERMANLANDS LÄN</t>
        </is>
      </c>
      <c r="E251" t="inlineStr">
        <is>
          <t>KATRINEHOLM</t>
        </is>
      </c>
      <c r="F251" t="inlineStr">
        <is>
          <t>Övriga Aktiebolag</t>
        </is>
      </c>
      <c r="G251" t="n">
        <v>3.5</v>
      </c>
      <c r="H251" t="n">
        <v>0</v>
      </c>
      <c r="I251" t="n">
        <v>0</v>
      </c>
      <c r="J251" t="n">
        <v>0</v>
      </c>
      <c r="K251" t="n">
        <v>0</v>
      </c>
      <c r="L251" t="n">
        <v>0</v>
      </c>
      <c r="M251" t="n">
        <v>0</v>
      </c>
      <c r="N251" t="n">
        <v>0</v>
      </c>
      <c r="O251" t="n">
        <v>0</v>
      </c>
      <c r="P251" t="n">
        <v>0</v>
      </c>
      <c r="Q251" t="n">
        <v>0</v>
      </c>
      <c r="R251" s="2" t="inlineStr"/>
    </row>
    <row r="252" ht="15" customHeight="1">
      <c r="A252" t="inlineStr">
        <is>
          <t>A 28992-2024</t>
        </is>
      </c>
      <c r="B252" s="1" t="n">
        <v>45481.49289351852</v>
      </c>
      <c r="C252" s="1" t="n">
        <v>46082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28995-2024</t>
        </is>
      </c>
      <c r="B253" s="1" t="n">
        <v>45481.49899305555</v>
      </c>
      <c r="C253" s="1" t="n">
        <v>46082</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27875-2024</t>
        </is>
      </c>
      <c r="B254" s="1" t="n">
        <v>45475</v>
      </c>
      <c r="C254" s="1" t="n">
        <v>46082</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44989-2022</t>
        </is>
      </c>
      <c r="B255" s="1" t="n">
        <v>44840</v>
      </c>
      <c r="C255" s="1" t="n">
        <v>46082</v>
      </c>
      <c r="D255" t="inlineStr">
        <is>
          <t>SÖDERMANLANDS LÄN</t>
        </is>
      </c>
      <c r="E255" t="inlineStr">
        <is>
          <t>KATRINEHOLM</t>
        </is>
      </c>
      <c r="G255" t="n">
        <v>6</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46082</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46082</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48259-2022</t>
        </is>
      </c>
      <c r="B258" s="1" t="n">
        <v>44858</v>
      </c>
      <c r="C258" s="1" t="n">
        <v>46082</v>
      </c>
      <c r="D258" t="inlineStr">
        <is>
          <t>SÖDERMANLANDS LÄN</t>
        </is>
      </c>
      <c r="E258" t="inlineStr">
        <is>
          <t>KATRINEHOLM</t>
        </is>
      </c>
      <c r="G258" t="n">
        <v>3.5</v>
      </c>
      <c r="H258" t="n">
        <v>0</v>
      </c>
      <c r="I258" t="n">
        <v>0</v>
      </c>
      <c r="J258" t="n">
        <v>0</v>
      </c>
      <c r="K258" t="n">
        <v>0</v>
      </c>
      <c r="L258" t="n">
        <v>0</v>
      </c>
      <c r="M258" t="n">
        <v>0</v>
      </c>
      <c r="N258" t="n">
        <v>0</v>
      </c>
      <c r="O258" t="n">
        <v>0</v>
      </c>
      <c r="P258" t="n">
        <v>0</v>
      </c>
      <c r="Q258" t="n">
        <v>0</v>
      </c>
      <c r="R258" s="2" t="inlineStr"/>
    </row>
    <row r="259" ht="15" customHeight="1">
      <c r="A259" t="inlineStr">
        <is>
          <t>A 27376-2024</t>
        </is>
      </c>
      <c r="B259" s="1" t="n">
        <v>45473.88313657408</v>
      </c>
      <c r="C259" s="1" t="n">
        <v>46082</v>
      </c>
      <c r="D259" t="inlineStr">
        <is>
          <t>SÖDERMANLANDS LÄN</t>
        </is>
      </c>
      <c r="E259" t="inlineStr">
        <is>
          <t>KATRINEHOLM</t>
        </is>
      </c>
      <c r="F259" t="inlineStr">
        <is>
          <t>Kommuner</t>
        </is>
      </c>
      <c r="G259" t="n">
        <v>2.8</v>
      </c>
      <c r="H259" t="n">
        <v>0</v>
      </c>
      <c r="I259" t="n">
        <v>0</v>
      </c>
      <c r="J259" t="n">
        <v>0</v>
      </c>
      <c r="K259" t="n">
        <v>0</v>
      </c>
      <c r="L259" t="n">
        <v>0</v>
      </c>
      <c r="M259" t="n">
        <v>0</v>
      </c>
      <c r="N259" t="n">
        <v>0</v>
      </c>
      <c r="O259" t="n">
        <v>0</v>
      </c>
      <c r="P259" t="n">
        <v>0</v>
      </c>
      <c r="Q259" t="n">
        <v>0</v>
      </c>
      <c r="R259" s="2" t="inlineStr"/>
    </row>
    <row r="260" ht="15" customHeight="1">
      <c r="A260" t="inlineStr">
        <is>
          <t>A 60677-2021</t>
        </is>
      </c>
      <c r="B260" s="1" t="n">
        <v>44495</v>
      </c>
      <c r="C260" s="1" t="n">
        <v>46082</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27886-2024</t>
        </is>
      </c>
      <c r="B261" s="1" t="n">
        <v>45475</v>
      </c>
      <c r="C261" s="1" t="n">
        <v>46082</v>
      </c>
      <c r="D261" t="inlineStr">
        <is>
          <t>SÖDERMANLANDS LÄN</t>
        </is>
      </c>
      <c r="E261" t="inlineStr">
        <is>
          <t>KATRINEHOLM</t>
        </is>
      </c>
      <c r="G261" t="n">
        <v>10.3</v>
      </c>
      <c r="H261" t="n">
        <v>0</v>
      </c>
      <c r="I261" t="n">
        <v>0</v>
      </c>
      <c r="J261" t="n">
        <v>0</v>
      </c>
      <c r="K261" t="n">
        <v>0</v>
      </c>
      <c r="L261" t="n">
        <v>0</v>
      </c>
      <c r="M261" t="n">
        <v>0</v>
      </c>
      <c r="N261" t="n">
        <v>0</v>
      </c>
      <c r="O261" t="n">
        <v>0</v>
      </c>
      <c r="P261" t="n">
        <v>0</v>
      </c>
      <c r="Q261" t="n">
        <v>0</v>
      </c>
      <c r="R261" s="2" t="inlineStr"/>
    </row>
    <row r="262" ht="15" customHeight="1">
      <c r="A262" t="inlineStr">
        <is>
          <t>A 25363-2023</t>
        </is>
      </c>
      <c r="B262" s="1" t="n">
        <v>45088.83840277778</v>
      </c>
      <c r="C262" s="1" t="n">
        <v>46082</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43088-2022</t>
        </is>
      </c>
      <c r="B263" s="1" t="n">
        <v>44833</v>
      </c>
      <c r="C263" s="1" t="n">
        <v>46082</v>
      </c>
      <c r="D263" t="inlineStr">
        <is>
          <t>SÖDERMANLANDS LÄN</t>
        </is>
      </c>
      <c r="E263" t="inlineStr">
        <is>
          <t>KATRINEHOLM</t>
        </is>
      </c>
      <c r="G263" t="n">
        <v>6.6</v>
      </c>
      <c r="H263" t="n">
        <v>0</v>
      </c>
      <c r="I263" t="n">
        <v>0</v>
      </c>
      <c r="J263" t="n">
        <v>0</v>
      </c>
      <c r="K263" t="n">
        <v>0</v>
      </c>
      <c r="L263" t="n">
        <v>0</v>
      </c>
      <c r="M263" t="n">
        <v>0</v>
      </c>
      <c r="N263" t="n">
        <v>0</v>
      </c>
      <c r="O263" t="n">
        <v>0</v>
      </c>
      <c r="P263" t="n">
        <v>0</v>
      </c>
      <c r="Q263" t="n">
        <v>0</v>
      </c>
      <c r="R263" s="2" t="inlineStr"/>
    </row>
    <row r="264" ht="15" customHeight="1">
      <c r="A264" t="inlineStr">
        <is>
          <t>A 6722-2022</t>
        </is>
      </c>
      <c r="B264" s="1" t="n">
        <v>44602</v>
      </c>
      <c r="C264" s="1" t="n">
        <v>46082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6763-2022</t>
        </is>
      </c>
      <c r="B265" s="1" t="n">
        <v>44602</v>
      </c>
      <c r="C265" s="1" t="n">
        <v>46082</v>
      </c>
      <c r="D265" t="inlineStr">
        <is>
          <t>SÖDERMANLANDS LÄN</t>
        </is>
      </c>
      <c r="E265" t="inlineStr">
        <is>
          <t>KATRINEHOLM</t>
        </is>
      </c>
      <c r="G265" t="n">
        <v>6.7</v>
      </c>
      <c r="H265" t="n">
        <v>0</v>
      </c>
      <c r="I265" t="n">
        <v>0</v>
      </c>
      <c r="J265" t="n">
        <v>0</v>
      </c>
      <c r="K265" t="n">
        <v>0</v>
      </c>
      <c r="L265" t="n">
        <v>0</v>
      </c>
      <c r="M265" t="n">
        <v>0</v>
      </c>
      <c r="N265" t="n">
        <v>0</v>
      </c>
      <c r="O265" t="n">
        <v>0</v>
      </c>
      <c r="P265" t="n">
        <v>0</v>
      </c>
      <c r="Q265" t="n">
        <v>0</v>
      </c>
      <c r="R265" s="2" t="inlineStr"/>
    </row>
    <row r="266" ht="15" customHeight="1">
      <c r="A266" t="inlineStr">
        <is>
          <t>A 9714-2024</t>
        </is>
      </c>
      <c r="B266" s="1" t="n">
        <v>45362</v>
      </c>
      <c r="C266" s="1" t="n">
        <v>46082</v>
      </c>
      <c r="D266" t="inlineStr">
        <is>
          <t>SÖDERMANLANDS LÄN</t>
        </is>
      </c>
      <c r="E266" t="inlineStr">
        <is>
          <t>KATRINEHOLM</t>
        </is>
      </c>
      <c r="G266" t="n">
        <v>4</v>
      </c>
      <c r="H266" t="n">
        <v>0</v>
      </c>
      <c r="I266" t="n">
        <v>0</v>
      </c>
      <c r="J266" t="n">
        <v>0</v>
      </c>
      <c r="K266" t="n">
        <v>0</v>
      </c>
      <c r="L266" t="n">
        <v>0</v>
      </c>
      <c r="M266" t="n">
        <v>0</v>
      </c>
      <c r="N266" t="n">
        <v>0</v>
      </c>
      <c r="O266" t="n">
        <v>0</v>
      </c>
      <c r="P266" t="n">
        <v>0</v>
      </c>
      <c r="Q266" t="n">
        <v>0</v>
      </c>
      <c r="R266" s="2" t="inlineStr"/>
    </row>
    <row r="267" ht="15" customHeight="1">
      <c r="A267" t="inlineStr">
        <is>
          <t>A 5790-2022</t>
        </is>
      </c>
      <c r="B267" s="1" t="n">
        <v>44596.55368055555</v>
      </c>
      <c r="C267" s="1" t="n">
        <v>46082</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46082</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14313-2024</t>
        </is>
      </c>
      <c r="B269" s="1" t="n">
        <v>45393</v>
      </c>
      <c r="C269" s="1" t="n">
        <v>46082</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29397-2024</t>
        </is>
      </c>
      <c r="B270" s="1" t="n">
        <v>45483</v>
      </c>
      <c r="C270" s="1" t="n">
        <v>46082</v>
      </c>
      <c r="D270" t="inlineStr">
        <is>
          <t>SÖDERMANLANDS LÄN</t>
        </is>
      </c>
      <c r="E270" t="inlineStr">
        <is>
          <t>KATRINEHOLM</t>
        </is>
      </c>
      <c r="G270" t="n">
        <v>3.4</v>
      </c>
      <c r="H270" t="n">
        <v>0</v>
      </c>
      <c r="I270" t="n">
        <v>0</v>
      </c>
      <c r="J270" t="n">
        <v>0</v>
      </c>
      <c r="K270" t="n">
        <v>0</v>
      </c>
      <c r="L270" t="n">
        <v>0</v>
      </c>
      <c r="M270" t="n">
        <v>0</v>
      </c>
      <c r="N270" t="n">
        <v>0</v>
      </c>
      <c r="O270" t="n">
        <v>0</v>
      </c>
      <c r="P270" t="n">
        <v>0</v>
      </c>
      <c r="Q270" t="n">
        <v>0</v>
      </c>
      <c r="R270" s="2" t="inlineStr"/>
    </row>
    <row r="271" ht="15" customHeight="1">
      <c r="A271" t="inlineStr">
        <is>
          <t>A 10932-2023</t>
        </is>
      </c>
      <c r="B271" s="1" t="n">
        <v>44985</v>
      </c>
      <c r="C271" s="1" t="n">
        <v>46082</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59474-2021</t>
        </is>
      </c>
      <c r="B272" s="1" t="n">
        <v>44491</v>
      </c>
      <c r="C272" s="1" t="n">
        <v>46082</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24619-2024</t>
        </is>
      </c>
      <c r="B273" s="1" t="n">
        <v>45460</v>
      </c>
      <c r="C273" s="1" t="n">
        <v>46082</v>
      </c>
      <c r="D273" t="inlineStr">
        <is>
          <t>SÖDERMANLANDS LÄN</t>
        </is>
      </c>
      <c r="E273" t="inlineStr">
        <is>
          <t>KATRINEHOLM</t>
        </is>
      </c>
      <c r="G273" t="n">
        <v>4.7</v>
      </c>
      <c r="H273" t="n">
        <v>0</v>
      </c>
      <c r="I273" t="n">
        <v>0</v>
      </c>
      <c r="J273" t="n">
        <v>0</v>
      </c>
      <c r="K273" t="n">
        <v>0</v>
      </c>
      <c r="L273" t="n">
        <v>0</v>
      </c>
      <c r="M273" t="n">
        <v>0</v>
      </c>
      <c r="N273" t="n">
        <v>0</v>
      </c>
      <c r="O273" t="n">
        <v>0</v>
      </c>
      <c r="P273" t="n">
        <v>0</v>
      </c>
      <c r="Q273" t="n">
        <v>0</v>
      </c>
      <c r="R273" s="2" t="inlineStr"/>
    </row>
    <row r="274" ht="15" customHeight="1">
      <c r="A274" t="inlineStr">
        <is>
          <t>A 9699-2024</t>
        </is>
      </c>
      <c r="B274" s="1" t="n">
        <v>45362</v>
      </c>
      <c r="C274" s="1" t="n">
        <v>46082</v>
      </c>
      <c r="D274" t="inlineStr">
        <is>
          <t>SÖDERMANLANDS LÄN</t>
        </is>
      </c>
      <c r="E274" t="inlineStr">
        <is>
          <t>KATRINEHOLM</t>
        </is>
      </c>
      <c r="G274" t="n">
        <v>7.7</v>
      </c>
      <c r="H274" t="n">
        <v>0</v>
      </c>
      <c r="I274" t="n">
        <v>0</v>
      </c>
      <c r="J274" t="n">
        <v>0</v>
      </c>
      <c r="K274" t="n">
        <v>0</v>
      </c>
      <c r="L274" t="n">
        <v>0</v>
      </c>
      <c r="M274" t="n">
        <v>0</v>
      </c>
      <c r="N274" t="n">
        <v>0</v>
      </c>
      <c r="O274" t="n">
        <v>0</v>
      </c>
      <c r="P274" t="n">
        <v>0</v>
      </c>
      <c r="Q274" t="n">
        <v>0</v>
      </c>
      <c r="R274" s="2" t="inlineStr"/>
    </row>
    <row r="275" ht="15" customHeight="1">
      <c r="A275" t="inlineStr">
        <is>
          <t>A 14239-2024</t>
        </is>
      </c>
      <c r="B275" s="1" t="n">
        <v>45393</v>
      </c>
      <c r="C275" s="1" t="n">
        <v>46082</v>
      </c>
      <c r="D275" t="inlineStr">
        <is>
          <t>SÖDERMANLANDS LÄN</t>
        </is>
      </c>
      <c r="E275" t="inlineStr">
        <is>
          <t>KATRINEHOLM</t>
        </is>
      </c>
      <c r="G275" t="n">
        <v>2.7</v>
      </c>
      <c r="H275" t="n">
        <v>0</v>
      </c>
      <c r="I275" t="n">
        <v>0</v>
      </c>
      <c r="J275" t="n">
        <v>0</v>
      </c>
      <c r="K275" t="n">
        <v>0</v>
      </c>
      <c r="L275" t="n">
        <v>0</v>
      </c>
      <c r="M275" t="n">
        <v>0</v>
      </c>
      <c r="N275" t="n">
        <v>0</v>
      </c>
      <c r="O275" t="n">
        <v>0</v>
      </c>
      <c r="P275" t="n">
        <v>0</v>
      </c>
      <c r="Q275" t="n">
        <v>0</v>
      </c>
      <c r="R275" s="2" t="inlineStr"/>
    </row>
    <row r="276" ht="15" customHeight="1">
      <c r="A276" t="inlineStr">
        <is>
          <t>A 14248-2024</t>
        </is>
      </c>
      <c r="B276" s="1" t="n">
        <v>45393</v>
      </c>
      <c r="C276" s="1" t="n">
        <v>46082</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11635-2023</t>
        </is>
      </c>
      <c r="B277" s="1" t="n">
        <v>44994</v>
      </c>
      <c r="C277" s="1" t="n">
        <v>46082</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25786-2025</t>
        </is>
      </c>
      <c r="B278" s="1" t="n">
        <v>45804.37456018518</v>
      </c>
      <c r="C278" s="1" t="n">
        <v>46082</v>
      </c>
      <c r="D278" t="inlineStr">
        <is>
          <t>SÖDERMANLANDS LÄN</t>
        </is>
      </c>
      <c r="E278" t="inlineStr">
        <is>
          <t>KATRINEHOLM</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35228-2025</t>
        </is>
      </c>
      <c r="B279" s="1" t="n">
        <v>45853</v>
      </c>
      <c r="C279" s="1" t="n">
        <v>46082</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6087-2022</t>
        </is>
      </c>
      <c r="B280" s="1" t="n">
        <v>44599.61034722222</v>
      </c>
      <c r="C280" s="1" t="n">
        <v>46082</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8957-2024</t>
        </is>
      </c>
      <c r="B281" s="1" t="n">
        <v>45357.45089120371</v>
      </c>
      <c r="C281" s="1" t="n">
        <v>46082</v>
      </c>
      <c r="D281" t="inlineStr">
        <is>
          <t>SÖDERMANLANDS LÄN</t>
        </is>
      </c>
      <c r="E281" t="inlineStr">
        <is>
          <t>KATRINEHOLM</t>
        </is>
      </c>
      <c r="G281" t="n">
        <v>3.6</v>
      </c>
      <c r="H281" t="n">
        <v>0</v>
      </c>
      <c r="I281" t="n">
        <v>0</v>
      </c>
      <c r="J281" t="n">
        <v>0</v>
      </c>
      <c r="K281" t="n">
        <v>0</v>
      </c>
      <c r="L281" t="n">
        <v>0</v>
      </c>
      <c r="M281" t="n">
        <v>0</v>
      </c>
      <c r="N281" t="n">
        <v>0</v>
      </c>
      <c r="O281" t="n">
        <v>0</v>
      </c>
      <c r="P281" t="n">
        <v>0</v>
      </c>
      <c r="Q281" t="n">
        <v>0</v>
      </c>
      <c r="R281" s="2" t="inlineStr"/>
    </row>
    <row r="282" ht="15" customHeight="1">
      <c r="A282" t="inlineStr">
        <is>
          <t>A 26154-2025</t>
        </is>
      </c>
      <c r="B282" s="1" t="n">
        <v>45805.43341435185</v>
      </c>
      <c r="C282" s="1" t="n">
        <v>46082</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26156-2025</t>
        </is>
      </c>
      <c r="B283" s="1" t="n">
        <v>45805.43864583333</v>
      </c>
      <c r="C283" s="1" t="n">
        <v>46082</v>
      </c>
      <c r="D283" t="inlineStr">
        <is>
          <t>SÖDERMANLANDS LÄN</t>
        </is>
      </c>
      <c r="E283" t="inlineStr">
        <is>
          <t>KATRINEHOLM</t>
        </is>
      </c>
      <c r="G283" t="n">
        <v>4.1</v>
      </c>
      <c r="H283" t="n">
        <v>0</v>
      </c>
      <c r="I283" t="n">
        <v>0</v>
      </c>
      <c r="J283" t="n">
        <v>0</v>
      </c>
      <c r="K283" t="n">
        <v>0</v>
      </c>
      <c r="L283" t="n">
        <v>0</v>
      </c>
      <c r="M283" t="n">
        <v>0</v>
      </c>
      <c r="N283" t="n">
        <v>0</v>
      </c>
      <c r="O283" t="n">
        <v>0</v>
      </c>
      <c r="P283" t="n">
        <v>0</v>
      </c>
      <c r="Q283" t="n">
        <v>0</v>
      </c>
      <c r="R283" s="2" t="inlineStr"/>
    </row>
    <row r="284" ht="15" customHeight="1">
      <c r="A284" t="inlineStr">
        <is>
          <t>A 42896-2024</t>
        </is>
      </c>
      <c r="B284" s="1" t="n">
        <v>45566.82973379629</v>
      </c>
      <c r="C284" s="1" t="n">
        <v>46082</v>
      </c>
      <c r="D284" t="inlineStr">
        <is>
          <t>SÖDERMANLANDS LÄN</t>
        </is>
      </c>
      <c r="E284" t="inlineStr">
        <is>
          <t>KATRINEHOLM</t>
        </is>
      </c>
      <c r="G284" t="n">
        <v>4.3</v>
      </c>
      <c r="H284" t="n">
        <v>0</v>
      </c>
      <c r="I284" t="n">
        <v>0</v>
      </c>
      <c r="J284" t="n">
        <v>0</v>
      </c>
      <c r="K284" t="n">
        <v>0</v>
      </c>
      <c r="L284" t="n">
        <v>0</v>
      </c>
      <c r="M284" t="n">
        <v>0</v>
      </c>
      <c r="N284" t="n">
        <v>0</v>
      </c>
      <c r="O284" t="n">
        <v>0</v>
      </c>
      <c r="P284" t="n">
        <v>0</v>
      </c>
      <c r="Q284" t="n">
        <v>0</v>
      </c>
      <c r="R284" s="2" t="inlineStr"/>
    </row>
    <row r="285" ht="15" customHeight="1">
      <c r="A285" t="inlineStr">
        <is>
          <t>A 7747-2024</t>
        </is>
      </c>
      <c r="B285" s="1" t="n">
        <v>45348</v>
      </c>
      <c r="C285" s="1" t="n">
        <v>46082</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7753-2024</t>
        </is>
      </c>
      <c r="B286" s="1" t="n">
        <v>45348</v>
      </c>
      <c r="C286" s="1" t="n">
        <v>46082</v>
      </c>
      <c r="D286" t="inlineStr">
        <is>
          <t>SÖDERMANLANDS LÄN</t>
        </is>
      </c>
      <c r="E286" t="inlineStr">
        <is>
          <t>KATRINEHOLM</t>
        </is>
      </c>
      <c r="G286" t="n">
        <v>13.4</v>
      </c>
      <c r="H286" t="n">
        <v>0</v>
      </c>
      <c r="I286" t="n">
        <v>0</v>
      </c>
      <c r="J286" t="n">
        <v>0</v>
      </c>
      <c r="K286" t="n">
        <v>0</v>
      </c>
      <c r="L286" t="n">
        <v>0</v>
      </c>
      <c r="M286" t="n">
        <v>0</v>
      </c>
      <c r="N286" t="n">
        <v>0</v>
      </c>
      <c r="O286" t="n">
        <v>0</v>
      </c>
      <c r="P286" t="n">
        <v>0</v>
      </c>
      <c r="Q286" t="n">
        <v>0</v>
      </c>
      <c r="R286" s="2" t="inlineStr"/>
    </row>
    <row r="287" ht="15" customHeight="1">
      <c r="A287" t="inlineStr">
        <is>
          <t>A 5935-2023</t>
        </is>
      </c>
      <c r="B287" s="1" t="n">
        <v>44963</v>
      </c>
      <c r="C287" s="1" t="n">
        <v>46082</v>
      </c>
      <c r="D287" t="inlineStr">
        <is>
          <t>SÖDERMANLANDS LÄN</t>
        </is>
      </c>
      <c r="E287" t="inlineStr">
        <is>
          <t>KATRINEHOLM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10732-2022</t>
        </is>
      </c>
      <c r="B288" s="1" t="n">
        <v>44627.34033564815</v>
      </c>
      <c r="C288" s="1" t="n">
        <v>46082</v>
      </c>
      <c r="D288" t="inlineStr">
        <is>
          <t>SÖDERMANLANDS LÄN</t>
        </is>
      </c>
      <c r="E288" t="inlineStr">
        <is>
          <t>KATRINEHOLM</t>
        </is>
      </c>
      <c r="G288" t="n">
        <v>2.4</v>
      </c>
      <c r="H288" t="n">
        <v>0</v>
      </c>
      <c r="I288" t="n">
        <v>0</v>
      </c>
      <c r="J288" t="n">
        <v>0</v>
      </c>
      <c r="K288" t="n">
        <v>0</v>
      </c>
      <c r="L288" t="n">
        <v>0</v>
      </c>
      <c r="M288" t="n">
        <v>0</v>
      </c>
      <c r="N288" t="n">
        <v>0</v>
      </c>
      <c r="O288" t="n">
        <v>0</v>
      </c>
      <c r="P288" t="n">
        <v>0</v>
      </c>
      <c r="Q288" t="n">
        <v>0</v>
      </c>
      <c r="R288" s="2" t="inlineStr"/>
    </row>
    <row r="289" ht="15" customHeight="1">
      <c r="A289" t="inlineStr">
        <is>
          <t>A 28427-2024</t>
        </is>
      </c>
      <c r="B289" s="1" t="n">
        <v>45477.64910879629</v>
      </c>
      <c r="C289" s="1" t="n">
        <v>46082</v>
      </c>
      <c r="D289" t="inlineStr">
        <is>
          <t>SÖDERMANLANDS LÄN</t>
        </is>
      </c>
      <c r="E289" t="inlineStr">
        <is>
          <t>KATRINEHOLM</t>
        </is>
      </c>
      <c r="G289" t="n">
        <v>5.9</v>
      </c>
      <c r="H289" t="n">
        <v>0</v>
      </c>
      <c r="I289" t="n">
        <v>0</v>
      </c>
      <c r="J289" t="n">
        <v>0</v>
      </c>
      <c r="K289" t="n">
        <v>0</v>
      </c>
      <c r="L289" t="n">
        <v>0</v>
      </c>
      <c r="M289" t="n">
        <v>0</v>
      </c>
      <c r="N289" t="n">
        <v>0</v>
      </c>
      <c r="O289" t="n">
        <v>0</v>
      </c>
      <c r="P289" t="n">
        <v>0</v>
      </c>
      <c r="Q289" t="n">
        <v>0</v>
      </c>
      <c r="R289" s="2" t="inlineStr"/>
    </row>
    <row r="290" ht="15" customHeight="1">
      <c r="A290" t="inlineStr">
        <is>
          <t>A 3939-2022</t>
        </is>
      </c>
      <c r="B290" s="1" t="n">
        <v>44587</v>
      </c>
      <c r="C290" s="1" t="n">
        <v>46082</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56074-2022</t>
        </is>
      </c>
      <c r="B291" s="1" t="n">
        <v>44889</v>
      </c>
      <c r="C291" s="1" t="n">
        <v>46082</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c r="T291">
        <f>HYPERLINK("https://klasma.github.io/Logging_0483/kartor/A 56074-2022 karta.png", "A 56074-2022")</f>
        <v/>
      </c>
      <c r="V291">
        <f>HYPERLINK("https://klasma.github.io/Logging_0483/klagomål/A 56074-2022 FSC-klagomål.docx", "A 56074-2022")</f>
        <v/>
      </c>
      <c r="W291">
        <f>HYPERLINK("https://klasma.github.io/Logging_0483/klagomålsmail/A 56074-2022 FSC-klagomål mail.docx", "A 56074-2022")</f>
        <v/>
      </c>
      <c r="X291">
        <f>HYPERLINK("https://klasma.github.io/Logging_0483/tillsyn/A 56074-2022 tillsynsbegäran.docx", "A 56074-2022")</f>
        <v/>
      </c>
      <c r="Y291">
        <f>HYPERLINK("https://klasma.github.io/Logging_0483/tillsynsmail/A 56074-2022 tillsynsbegäran mail.docx", "A 56074-2022")</f>
        <v/>
      </c>
    </row>
    <row r="292" ht="15" customHeight="1">
      <c r="A292" t="inlineStr">
        <is>
          <t>A 38708-2025</t>
        </is>
      </c>
      <c r="B292" s="1" t="n">
        <v>45885</v>
      </c>
      <c r="C292" s="1" t="n">
        <v>46082</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61915-2021</t>
        </is>
      </c>
      <c r="B293" s="1" t="n">
        <v>44502.36780092592</v>
      </c>
      <c r="C293" s="1" t="n">
        <v>46082</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39645-2025</t>
        </is>
      </c>
      <c r="B294" s="1" t="n">
        <v>45890</v>
      </c>
      <c r="C294" s="1" t="n">
        <v>46082</v>
      </c>
      <c r="D294" t="inlineStr">
        <is>
          <t>SÖDERMANLANDS LÄN</t>
        </is>
      </c>
      <c r="E294" t="inlineStr">
        <is>
          <t>KATRINEHOLM</t>
        </is>
      </c>
      <c r="G294" t="n">
        <v>0.2</v>
      </c>
      <c r="H294" t="n">
        <v>0</v>
      </c>
      <c r="I294" t="n">
        <v>0</v>
      </c>
      <c r="J294" t="n">
        <v>0</v>
      </c>
      <c r="K294" t="n">
        <v>0</v>
      </c>
      <c r="L294" t="n">
        <v>0</v>
      </c>
      <c r="M294" t="n">
        <v>0</v>
      </c>
      <c r="N294" t="n">
        <v>0</v>
      </c>
      <c r="O294" t="n">
        <v>0</v>
      </c>
      <c r="P294" t="n">
        <v>0</v>
      </c>
      <c r="Q294" t="n">
        <v>0</v>
      </c>
      <c r="R294" s="2" t="inlineStr"/>
    </row>
    <row r="295" ht="15" customHeight="1">
      <c r="A295" t="inlineStr">
        <is>
          <t>A 27534-2025</t>
        </is>
      </c>
      <c r="B295" s="1" t="n">
        <v>45813</v>
      </c>
      <c r="C295" s="1" t="n">
        <v>46082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27552-2025</t>
        </is>
      </c>
      <c r="B296" s="1" t="n">
        <v>45813</v>
      </c>
      <c r="C296" s="1" t="n">
        <v>46082</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27636-2025</t>
        </is>
      </c>
      <c r="B297" s="1" t="n">
        <v>45813.57603009259</v>
      </c>
      <c r="C297" s="1" t="n">
        <v>46082</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46082</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46082</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4656-2023</t>
        </is>
      </c>
      <c r="B300" s="1" t="n">
        <v>44957</v>
      </c>
      <c r="C300" s="1" t="n">
        <v>46082</v>
      </c>
      <c r="D300" t="inlineStr">
        <is>
          <t>SÖDERMANLANDS LÄN</t>
        </is>
      </c>
      <c r="E300" t="inlineStr">
        <is>
          <t>KATRINEHOLM</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24600-2025</t>
        </is>
      </c>
      <c r="B301" s="1" t="n">
        <v>45798.56348379629</v>
      </c>
      <c r="C301" s="1" t="n">
        <v>46082</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59093-2024</t>
        </is>
      </c>
      <c r="B302" s="1" t="n">
        <v>45636</v>
      </c>
      <c r="C302" s="1" t="n">
        <v>46082</v>
      </c>
      <c r="D302" t="inlineStr">
        <is>
          <t>SÖDERMANLANDS LÄN</t>
        </is>
      </c>
      <c r="E302" t="inlineStr">
        <is>
          <t>KATRINEHOLM</t>
        </is>
      </c>
      <c r="G302" t="n">
        <v>2.8</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46082</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38872-2024</t>
        </is>
      </c>
      <c r="B304" s="1" t="n">
        <v>45547</v>
      </c>
      <c r="C304" s="1" t="n">
        <v>46082</v>
      </c>
      <c r="D304" t="inlineStr">
        <is>
          <t>SÖDERMANLANDS LÄN</t>
        </is>
      </c>
      <c r="E304" t="inlineStr">
        <is>
          <t>KATRINEHOLM</t>
        </is>
      </c>
      <c r="G304" t="n">
        <v>5.7</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46082</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39737-2025</t>
        </is>
      </c>
      <c r="B306" s="1" t="n">
        <v>45891</v>
      </c>
      <c r="C306" s="1" t="n">
        <v>46082</v>
      </c>
      <c r="D306" t="inlineStr">
        <is>
          <t>SÖDERMANLANDS LÄN</t>
        </is>
      </c>
      <c r="E306" t="inlineStr">
        <is>
          <t>KATRINEHOLM</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46082</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9932-2023</t>
        </is>
      </c>
      <c r="B308" s="1" t="n">
        <v>44985.46709490741</v>
      </c>
      <c r="C308" s="1" t="n">
        <v>46082</v>
      </c>
      <c r="D308" t="inlineStr">
        <is>
          <t>SÖDERMANLANDS LÄN</t>
        </is>
      </c>
      <c r="E308" t="inlineStr">
        <is>
          <t>KATRINEHOLM</t>
        </is>
      </c>
      <c r="G308" t="n">
        <v>0.3</v>
      </c>
      <c r="H308" t="n">
        <v>0</v>
      </c>
      <c r="I308" t="n">
        <v>0</v>
      </c>
      <c r="J308" t="n">
        <v>0</v>
      </c>
      <c r="K308" t="n">
        <v>0</v>
      </c>
      <c r="L308" t="n">
        <v>0</v>
      </c>
      <c r="M308" t="n">
        <v>0</v>
      </c>
      <c r="N308" t="n">
        <v>0</v>
      </c>
      <c r="O308" t="n">
        <v>0</v>
      </c>
      <c r="P308" t="n">
        <v>0</v>
      </c>
      <c r="Q308" t="n">
        <v>0</v>
      </c>
      <c r="R308" s="2" t="inlineStr"/>
    </row>
    <row r="309" ht="15" customHeight="1">
      <c r="A309" t="inlineStr">
        <is>
          <t>A 29189-2025</t>
        </is>
      </c>
      <c r="B309" s="1" t="n">
        <v>45822</v>
      </c>
      <c r="C309" s="1" t="n">
        <v>46082</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9192-2023</t>
        </is>
      </c>
      <c r="B310" s="1" t="n">
        <v>44980</v>
      </c>
      <c r="C310" s="1" t="n">
        <v>46082</v>
      </c>
      <c r="D310" t="inlineStr">
        <is>
          <t>SÖDERMANLANDS LÄN</t>
        </is>
      </c>
      <c r="E310" t="inlineStr">
        <is>
          <t>KATRINEHOLM</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15399-2022</t>
        </is>
      </c>
      <c r="B311" s="1" t="n">
        <v>44659</v>
      </c>
      <c r="C311" s="1" t="n">
        <v>46082</v>
      </c>
      <c r="D311" t="inlineStr">
        <is>
          <t>SÖDERMANLANDS LÄN</t>
        </is>
      </c>
      <c r="E311" t="inlineStr">
        <is>
          <t>KATRINEHOLM</t>
        </is>
      </c>
      <c r="G311" t="n">
        <v>5.6</v>
      </c>
      <c r="H311" t="n">
        <v>0</v>
      </c>
      <c r="I311" t="n">
        <v>0</v>
      </c>
      <c r="J311" t="n">
        <v>0</v>
      </c>
      <c r="K311" t="n">
        <v>0</v>
      </c>
      <c r="L311" t="n">
        <v>0</v>
      </c>
      <c r="M311" t="n">
        <v>0</v>
      </c>
      <c r="N311" t="n">
        <v>0</v>
      </c>
      <c r="O311" t="n">
        <v>0</v>
      </c>
      <c r="P311" t="n">
        <v>0</v>
      </c>
      <c r="Q311" t="n">
        <v>0</v>
      </c>
      <c r="R311" s="2" t="inlineStr"/>
    </row>
    <row r="312" ht="15" customHeight="1">
      <c r="A312" t="inlineStr">
        <is>
          <t>A 11872-2023</t>
        </is>
      </c>
      <c r="B312" s="1" t="n">
        <v>44995</v>
      </c>
      <c r="C312" s="1" t="n">
        <v>46082</v>
      </c>
      <c r="D312" t="inlineStr">
        <is>
          <t>SÖDERMANLANDS LÄN</t>
        </is>
      </c>
      <c r="E312" t="inlineStr">
        <is>
          <t>KATRINEHOLM</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49092-2024</t>
        </is>
      </c>
      <c r="B313" s="1" t="n">
        <v>45594.63619212963</v>
      </c>
      <c r="C313" s="1" t="n">
        <v>46082</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49095-2024</t>
        </is>
      </c>
      <c r="B314" s="1" t="n">
        <v>45594.63828703704</v>
      </c>
      <c r="C314" s="1" t="n">
        <v>46082</v>
      </c>
      <c r="D314" t="inlineStr">
        <is>
          <t>SÖDERMANLANDS LÄN</t>
        </is>
      </c>
      <c r="E314" t="inlineStr">
        <is>
          <t>KATRINEHOLM</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30050-2025</t>
        </is>
      </c>
      <c r="B315" s="1" t="n">
        <v>45826.59151620371</v>
      </c>
      <c r="C315" s="1" t="n">
        <v>46082</v>
      </c>
      <c r="D315" t="inlineStr">
        <is>
          <t>SÖDERMANLANDS LÄN</t>
        </is>
      </c>
      <c r="E315" t="inlineStr">
        <is>
          <t>KATRINEHOLM</t>
        </is>
      </c>
      <c r="G315" t="n">
        <v>7.9</v>
      </c>
      <c r="H315" t="n">
        <v>0</v>
      </c>
      <c r="I315" t="n">
        <v>0</v>
      </c>
      <c r="J315" t="n">
        <v>0</v>
      </c>
      <c r="K315" t="n">
        <v>0</v>
      </c>
      <c r="L315" t="n">
        <v>0</v>
      </c>
      <c r="M315" t="n">
        <v>0</v>
      </c>
      <c r="N315" t="n">
        <v>0</v>
      </c>
      <c r="O315" t="n">
        <v>0</v>
      </c>
      <c r="P315" t="n">
        <v>0</v>
      </c>
      <c r="Q315" t="n">
        <v>0</v>
      </c>
      <c r="R315" s="2" t="inlineStr"/>
    </row>
    <row r="316" ht="15" customHeight="1">
      <c r="A316" t="inlineStr">
        <is>
          <t>A 30070-2025</t>
        </is>
      </c>
      <c r="B316" s="1" t="n">
        <v>45826.63324074074</v>
      </c>
      <c r="C316" s="1" t="n">
        <v>46082</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46082</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41074-2025</t>
        </is>
      </c>
      <c r="B318" s="1" t="n">
        <v>45898</v>
      </c>
      <c r="C318" s="1" t="n">
        <v>46082</v>
      </c>
      <c r="D318" t="inlineStr">
        <is>
          <t>SÖDERMANLANDS LÄN</t>
        </is>
      </c>
      <c r="E318" t="inlineStr">
        <is>
          <t>KATRINEHOLM</t>
        </is>
      </c>
      <c r="F318" t="inlineStr">
        <is>
          <t>Allmännings- och besparingsskogar</t>
        </is>
      </c>
      <c r="G318" t="n">
        <v>4.8</v>
      </c>
      <c r="H318" t="n">
        <v>0</v>
      </c>
      <c r="I318" t="n">
        <v>0</v>
      </c>
      <c r="J318" t="n">
        <v>0</v>
      </c>
      <c r="K318" t="n">
        <v>0</v>
      </c>
      <c r="L318" t="n">
        <v>0</v>
      </c>
      <c r="M318" t="n">
        <v>0</v>
      </c>
      <c r="N318" t="n">
        <v>0</v>
      </c>
      <c r="O318" t="n">
        <v>0</v>
      </c>
      <c r="P318" t="n">
        <v>0</v>
      </c>
      <c r="Q318" t="n">
        <v>0</v>
      </c>
      <c r="R318" s="2" t="inlineStr"/>
    </row>
    <row r="319" ht="15" customHeight="1">
      <c r="A319" t="inlineStr">
        <is>
          <t>A 10341-2022</t>
        </is>
      </c>
      <c r="B319" s="1" t="n">
        <v>44623</v>
      </c>
      <c r="C319" s="1" t="n">
        <v>46082</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30287-2025</t>
        </is>
      </c>
      <c r="B320" s="1" t="n">
        <v>45827</v>
      </c>
      <c r="C320" s="1" t="n">
        <v>46082</v>
      </c>
      <c r="D320" t="inlineStr">
        <is>
          <t>SÖDERMANLANDS LÄN</t>
        </is>
      </c>
      <c r="E320" t="inlineStr">
        <is>
          <t>KATRINEHOLM</t>
        </is>
      </c>
      <c r="G320" t="n">
        <v>10.2</v>
      </c>
      <c r="H320" t="n">
        <v>0</v>
      </c>
      <c r="I320" t="n">
        <v>0</v>
      </c>
      <c r="J320" t="n">
        <v>0</v>
      </c>
      <c r="K320" t="n">
        <v>0</v>
      </c>
      <c r="L320" t="n">
        <v>0</v>
      </c>
      <c r="M320" t="n">
        <v>0</v>
      </c>
      <c r="N320" t="n">
        <v>0</v>
      </c>
      <c r="O320" t="n">
        <v>0</v>
      </c>
      <c r="P320" t="n">
        <v>0</v>
      </c>
      <c r="Q320" t="n">
        <v>0</v>
      </c>
      <c r="R320" s="2" t="inlineStr"/>
    </row>
    <row r="321" ht="15" customHeight="1">
      <c r="A321" t="inlineStr">
        <is>
          <t>A 30350-2025</t>
        </is>
      </c>
      <c r="B321" s="1" t="n">
        <v>45827.53319444445</v>
      </c>
      <c r="C321" s="1" t="n">
        <v>46082</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30352-2025</t>
        </is>
      </c>
      <c r="B322" s="1" t="n">
        <v>45827</v>
      </c>
      <c r="C322" s="1" t="n">
        <v>46082</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12835-2024</t>
        </is>
      </c>
      <c r="B323" s="1" t="n">
        <v>45384</v>
      </c>
      <c r="C323" s="1" t="n">
        <v>46082</v>
      </c>
      <c r="D323" t="inlineStr">
        <is>
          <t>SÖDERMANLANDS LÄN</t>
        </is>
      </c>
      <c r="E323" t="inlineStr">
        <is>
          <t>KATRINEHOLM</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25716-2022</t>
        </is>
      </c>
      <c r="B324" s="1" t="n">
        <v>44733.39600694444</v>
      </c>
      <c r="C324" s="1" t="n">
        <v>46082</v>
      </c>
      <c r="D324" t="inlineStr">
        <is>
          <t>SÖDERMANLANDS LÄN</t>
        </is>
      </c>
      <c r="E324" t="inlineStr">
        <is>
          <t>KATRINEHOLM</t>
        </is>
      </c>
      <c r="G324" t="n">
        <v>3.4</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46082</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41498-2025</t>
        </is>
      </c>
      <c r="B326" s="1" t="n">
        <v>45901.49755787037</v>
      </c>
      <c r="C326" s="1" t="n">
        <v>46082</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30402-2025</t>
        </is>
      </c>
      <c r="B327" s="1" t="n">
        <v>45827</v>
      </c>
      <c r="C327" s="1" t="n">
        <v>46082</v>
      </c>
      <c r="D327" t="inlineStr">
        <is>
          <t>SÖDERMANLANDS LÄN</t>
        </is>
      </c>
      <c r="E327" t="inlineStr">
        <is>
          <t>KATRINEHOLM</t>
        </is>
      </c>
      <c r="G327" t="n">
        <v>7.1</v>
      </c>
      <c r="H327" t="n">
        <v>0</v>
      </c>
      <c r="I327" t="n">
        <v>0</v>
      </c>
      <c r="J327" t="n">
        <v>0</v>
      </c>
      <c r="K327" t="n">
        <v>0</v>
      </c>
      <c r="L327" t="n">
        <v>0</v>
      </c>
      <c r="M327" t="n">
        <v>0</v>
      </c>
      <c r="N327" t="n">
        <v>0</v>
      </c>
      <c r="O327" t="n">
        <v>0</v>
      </c>
      <c r="P327" t="n">
        <v>0</v>
      </c>
      <c r="Q327" t="n">
        <v>0</v>
      </c>
      <c r="R327" s="2" t="inlineStr"/>
    </row>
    <row r="328" ht="15" customHeight="1">
      <c r="A328" t="inlineStr">
        <is>
          <t>A 6807-2023</t>
        </is>
      </c>
      <c r="B328" s="1" t="n">
        <v>44964</v>
      </c>
      <c r="C328" s="1" t="n">
        <v>46082</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9668-2023</t>
        </is>
      </c>
      <c r="B329" s="1" t="n">
        <v>44984.41238425926</v>
      </c>
      <c r="C329" s="1" t="n">
        <v>46082</v>
      </c>
      <c r="D329" t="inlineStr">
        <is>
          <t>SÖDERMANLANDS LÄN</t>
        </is>
      </c>
      <c r="E329" t="inlineStr">
        <is>
          <t>KATRINEHOLM</t>
        </is>
      </c>
      <c r="G329" t="n">
        <v>4.8</v>
      </c>
      <c r="H329" t="n">
        <v>0</v>
      </c>
      <c r="I329" t="n">
        <v>0</v>
      </c>
      <c r="J329" t="n">
        <v>0</v>
      </c>
      <c r="K329" t="n">
        <v>0</v>
      </c>
      <c r="L329" t="n">
        <v>0</v>
      </c>
      <c r="M329" t="n">
        <v>0</v>
      </c>
      <c r="N329" t="n">
        <v>0</v>
      </c>
      <c r="O329" t="n">
        <v>0</v>
      </c>
      <c r="P329" t="n">
        <v>0</v>
      </c>
      <c r="Q329" t="n">
        <v>0</v>
      </c>
      <c r="R329" s="2" t="inlineStr"/>
    </row>
    <row r="330" ht="15" customHeight="1">
      <c r="A330" t="inlineStr">
        <is>
          <t>A 49341-2024</t>
        </is>
      </c>
      <c r="B330" s="1" t="n">
        <v>45595</v>
      </c>
      <c r="C330" s="1" t="n">
        <v>46082</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41633-2025</t>
        </is>
      </c>
      <c r="B331" s="1" t="n">
        <v>45901</v>
      </c>
      <c r="C331" s="1" t="n">
        <v>46082</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41632-2025</t>
        </is>
      </c>
      <c r="B332" s="1" t="n">
        <v>45901</v>
      </c>
      <c r="C332" s="1" t="n">
        <v>46082</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9044-2022</t>
        </is>
      </c>
      <c r="B333" s="1" t="n">
        <v>44602</v>
      </c>
      <c r="C333" s="1" t="n">
        <v>46082</v>
      </c>
      <c r="D333" t="inlineStr">
        <is>
          <t>SÖDERMANLANDS LÄN</t>
        </is>
      </c>
      <c r="E333" t="inlineStr">
        <is>
          <t>KATRINEHOLM</t>
        </is>
      </c>
      <c r="G333" t="n">
        <v>5.8</v>
      </c>
      <c r="H333" t="n">
        <v>0</v>
      </c>
      <c r="I333" t="n">
        <v>0</v>
      </c>
      <c r="J333" t="n">
        <v>0</v>
      </c>
      <c r="K333" t="n">
        <v>0</v>
      </c>
      <c r="L333" t="n">
        <v>0</v>
      </c>
      <c r="M333" t="n">
        <v>0</v>
      </c>
      <c r="N333" t="n">
        <v>0</v>
      </c>
      <c r="O333" t="n">
        <v>0</v>
      </c>
      <c r="P333" t="n">
        <v>0</v>
      </c>
      <c r="Q333" t="n">
        <v>0</v>
      </c>
      <c r="R333" s="2" t="inlineStr"/>
    </row>
    <row r="334" ht="15" customHeight="1">
      <c r="A334" t="inlineStr">
        <is>
          <t>A 41648-2025</t>
        </is>
      </c>
      <c r="B334" s="1" t="n">
        <v>45902.32601851852</v>
      </c>
      <c r="C334" s="1" t="n">
        <v>46082</v>
      </c>
      <c r="D334" t="inlineStr">
        <is>
          <t>SÖDERMANLANDS LÄN</t>
        </is>
      </c>
      <c r="E334" t="inlineStr">
        <is>
          <t>KATRINEHOLM</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41793-2025</t>
        </is>
      </c>
      <c r="B335" s="1" t="n">
        <v>45902</v>
      </c>
      <c r="C335" s="1" t="n">
        <v>46082</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31376-2025</t>
        </is>
      </c>
      <c r="B336" s="1" t="n">
        <v>45833</v>
      </c>
      <c r="C336" s="1" t="n">
        <v>46082</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48091-2024</t>
        </is>
      </c>
      <c r="B337" s="1" t="n">
        <v>45590</v>
      </c>
      <c r="C337" s="1" t="n">
        <v>46082</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24097-2022</t>
        </is>
      </c>
      <c r="B338" s="1" t="n">
        <v>44725.39371527778</v>
      </c>
      <c r="C338" s="1" t="n">
        <v>46082</v>
      </c>
      <c r="D338" t="inlineStr">
        <is>
          <t>SÖDERMANLANDS LÄN</t>
        </is>
      </c>
      <c r="E338" t="inlineStr">
        <is>
          <t>KATRINEHOLM</t>
        </is>
      </c>
      <c r="G338" t="n">
        <v>6.5</v>
      </c>
      <c r="H338" t="n">
        <v>0</v>
      </c>
      <c r="I338" t="n">
        <v>0</v>
      </c>
      <c r="J338" t="n">
        <v>0</v>
      </c>
      <c r="K338" t="n">
        <v>0</v>
      </c>
      <c r="L338" t="n">
        <v>0</v>
      </c>
      <c r="M338" t="n">
        <v>0</v>
      </c>
      <c r="N338" t="n">
        <v>0</v>
      </c>
      <c r="O338" t="n">
        <v>0</v>
      </c>
      <c r="P338" t="n">
        <v>0</v>
      </c>
      <c r="Q338" t="n">
        <v>0</v>
      </c>
      <c r="R338" s="2" t="inlineStr"/>
    </row>
    <row r="339" ht="15" customHeight="1">
      <c r="A339" t="inlineStr">
        <is>
          <t>A 46670-2021</t>
        </is>
      </c>
      <c r="B339" s="1" t="n">
        <v>44445</v>
      </c>
      <c r="C339" s="1" t="n">
        <v>46082</v>
      </c>
      <c r="D339" t="inlineStr">
        <is>
          <t>SÖDERMANLANDS LÄN</t>
        </is>
      </c>
      <c r="E339" t="inlineStr">
        <is>
          <t>KATRINEHOLM</t>
        </is>
      </c>
      <c r="G339" t="n">
        <v>4.4</v>
      </c>
      <c r="H339" t="n">
        <v>0</v>
      </c>
      <c r="I339" t="n">
        <v>0</v>
      </c>
      <c r="J339" t="n">
        <v>0</v>
      </c>
      <c r="K339" t="n">
        <v>0</v>
      </c>
      <c r="L339" t="n">
        <v>0</v>
      </c>
      <c r="M339" t="n">
        <v>0</v>
      </c>
      <c r="N339" t="n">
        <v>0</v>
      </c>
      <c r="O339" t="n">
        <v>0</v>
      </c>
      <c r="P339" t="n">
        <v>0</v>
      </c>
      <c r="Q339" t="n">
        <v>0</v>
      </c>
      <c r="R339" s="2" t="inlineStr"/>
    </row>
    <row r="340" ht="15" customHeight="1">
      <c r="A340" t="inlineStr">
        <is>
          <t>A 31392-2025</t>
        </is>
      </c>
      <c r="B340" s="1" t="n">
        <v>45833</v>
      </c>
      <c r="C340" s="1" t="n">
        <v>46082</v>
      </c>
      <c r="D340" t="inlineStr">
        <is>
          <t>SÖDERMANLANDS LÄN</t>
        </is>
      </c>
      <c r="E340" t="inlineStr">
        <is>
          <t>KATRINEHOLM</t>
        </is>
      </c>
      <c r="G340" t="n">
        <v>5</v>
      </c>
      <c r="H340" t="n">
        <v>0</v>
      </c>
      <c r="I340" t="n">
        <v>0</v>
      </c>
      <c r="J340" t="n">
        <v>0</v>
      </c>
      <c r="K340" t="n">
        <v>0</v>
      </c>
      <c r="L340" t="n">
        <v>0</v>
      </c>
      <c r="M340" t="n">
        <v>0</v>
      </c>
      <c r="N340" t="n">
        <v>0</v>
      </c>
      <c r="O340" t="n">
        <v>0</v>
      </c>
      <c r="P340" t="n">
        <v>0</v>
      </c>
      <c r="Q340" t="n">
        <v>0</v>
      </c>
      <c r="R340" s="2" t="inlineStr"/>
    </row>
    <row r="341" ht="15" customHeight="1">
      <c r="A341" t="inlineStr">
        <is>
          <t>A 62954-2023</t>
        </is>
      </c>
      <c r="B341" s="1" t="n">
        <v>45272.55362268518</v>
      </c>
      <c r="C341" s="1" t="n">
        <v>46082</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46082</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58651-2023</t>
        </is>
      </c>
      <c r="B343" s="1" t="n">
        <v>45247</v>
      </c>
      <c r="C343" s="1" t="n">
        <v>46082</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12238-2021</t>
        </is>
      </c>
      <c r="B344" s="1" t="n">
        <v>44266</v>
      </c>
      <c r="C344" s="1" t="n">
        <v>46082</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42686-2025</t>
        </is>
      </c>
      <c r="B345" s="1" t="n">
        <v>45908.35550925926</v>
      </c>
      <c r="C345" s="1" t="n">
        <v>46082</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42799-2025</t>
        </is>
      </c>
      <c r="B346" s="1" t="n">
        <v>45907</v>
      </c>
      <c r="C346" s="1" t="n">
        <v>46082</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31990-2025</t>
        </is>
      </c>
      <c r="B347" s="1" t="n">
        <v>45835.36697916667</v>
      </c>
      <c r="C347" s="1" t="n">
        <v>46082</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42474-2025</t>
        </is>
      </c>
      <c r="B348" s="1" t="n">
        <v>45905.46659722222</v>
      </c>
      <c r="C348" s="1" t="n">
        <v>46082</v>
      </c>
      <c r="D348" t="inlineStr">
        <is>
          <t>SÖDERMANLANDS LÄN</t>
        </is>
      </c>
      <c r="E348" t="inlineStr">
        <is>
          <t>KATRINEHOLM</t>
        </is>
      </c>
      <c r="G348" t="n">
        <v>4</v>
      </c>
      <c r="H348" t="n">
        <v>0</v>
      </c>
      <c r="I348" t="n">
        <v>0</v>
      </c>
      <c r="J348" t="n">
        <v>0</v>
      </c>
      <c r="K348" t="n">
        <v>0</v>
      </c>
      <c r="L348" t="n">
        <v>0</v>
      </c>
      <c r="M348" t="n">
        <v>0</v>
      </c>
      <c r="N348" t="n">
        <v>0</v>
      </c>
      <c r="O348" t="n">
        <v>0</v>
      </c>
      <c r="P348" t="n">
        <v>0</v>
      </c>
      <c r="Q348" t="n">
        <v>0</v>
      </c>
      <c r="R348" s="2" t="inlineStr"/>
    </row>
    <row r="349" ht="15" customHeight="1">
      <c r="A349" t="inlineStr">
        <is>
          <t>A 6446-2022</t>
        </is>
      </c>
      <c r="B349" s="1" t="n">
        <v>44600</v>
      </c>
      <c r="C349" s="1" t="n">
        <v>46082</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51923-2023</t>
        </is>
      </c>
      <c r="B350" s="1" t="n">
        <v>45223</v>
      </c>
      <c r="C350" s="1" t="n">
        <v>46082</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33090-2025</t>
        </is>
      </c>
      <c r="B351" s="1" t="n">
        <v>45840.46840277778</v>
      </c>
      <c r="C351" s="1" t="n">
        <v>46082</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33084-2025</t>
        </is>
      </c>
      <c r="B352" s="1" t="n">
        <v>45840.46559027778</v>
      </c>
      <c r="C352" s="1" t="n">
        <v>46082</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18386-2025</t>
        </is>
      </c>
      <c r="B353" s="1" t="n">
        <v>45762</v>
      </c>
      <c r="C353" s="1" t="n">
        <v>46082</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3125-2024</t>
        </is>
      </c>
      <c r="B354" s="1" t="n">
        <v>45316</v>
      </c>
      <c r="C354" s="1" t="n">
        <v>46082</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33577-2025</t>
        </is>
      </c>
      <c r="B355" s="1" t="n">
        <v>45841.59056712963</v>
      </c>
      <c r="C355" s="1" t="n">
        <v>46082</v>
      </c>
      <c r="D355" t="inlineStr">
        <is>
          <t>SÖDERMANLANDS LÄN</t>
        </is>
      </c>
      <c r="E355" t="inlineStr">
        <is>
          <t>KATRINEHOLM</t>
        </is>
      </c>
      <c r="F355" t="inlineStr">
        <is>
          <t>Holmen skog AB</t>
        </is>
      </c>
      <c r="G355" t="n">
        <v>0.3</v>
      </c>
      <c r="H355" t="n">
        <v>0</v>
      </c>
      <c r="I355" t="n">
        <v>0</v>
      </c>
      <c r="J355" t="n">
        <v>0</v>
      </c>
      <c r="K355" t="n">
        <v>0</v>
      </c>
      <c r="L355" t="n">
        <v>0</v>
      </c>
      <c r="M355" t="n">
        <v>0</v>
      </c>
      <c r="N355" t="n">
        <v>0</v>
      </c>
      <c r="O355" t="n">
        <v>0</v>
      </c>
      <c r="P355" t="n">
        <v>0</v>
      </c>
      <c r="Q355" t="n">
        <v>0</v>
      </c>
      <c r="R355" s="2" t="inlineStr"/>
    </row>
    <row r="356" ht="15" customHeight="1">
      <c r="A356" t="inlineStr">
        <is>
          <t>A 35183-2022</t>
        </is>
      </c>
      <c r="B356" s="1" t="n">
        <v>44797</v>
      </c>
      <c r="C356" s="1" t="n">
        <v>46082</v>
      </c>
      <c r="D356" t="inlineStr">
        <is>
          <t>SÖDERMANLANDS LÄN</t>
        </is>
      </c>
      <c r="E356" t="inlineStr">
        <is>
          <t>KATRINEHOLM</t>
        </is>
      </c>
      <c r="G356" t="n">
        <v>4.6</v>
      </c>
      <c r="H356" t="n">
        <v>0</v>
      </c>
      <c r="I356" t="n">
        <v>0</v>
      </c>
      <c r="J356" t="n">
        <v>0</v>
      </c>
      <c r="K356" t="n">
        <v>0</v>
      </c>
      <c r="L356" t="n">
        <v>0</v>
      </c>
      <c r="M356" t="n">
        <v>0</v>
      </c>
      <c r="N356" t="n">
        <v>0</v>
      </c>
      <c r="O356" t="n">
        <v>0</v>
      </c>
      <c r="P356" t="n">
        <v>0</v>
      </c>
      <c r="Q356" t="n">
        <v>0</v>
      </c>
      <c r="R356" s="2" t="inlineStr"/>
    </row>
    <row r="357" ht="15" customHeight="1">
      <c r="A357" t="inlineStr">
        <is>
          <t>A 42519-2024</t>
        </is>
      </c>
      <c r="B357" s="1" t="n">
        <v>45565</v>
      </c>
      <c r="C357" s="1" t="n">
        <v>46082</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20826-2022</t>
        </is>
      </c>
      <c r="B358" s="1" t="n">
        <v>44701.44754629629</v>
      </c>
      <c r="C358" s="1" t="n">
        <v>46082</v>
      </c>
      <c r="D358" t="inlineStr">
        <is>
          <t>SÖDERMANLANDS LÄN</t>
        </is>
      </c>
      <c r="E358" t="inlineStr">
        <is>
          <t>KATRINEHOLM</t>
        </is>
      </c>
      <c r="G358" t="n">
        <v>6.8</v>
      </c>
      <c r="H358" t="n">
        <v>0</v>
      </c>
      <c r="I358" t="n">
        <v>0</v>
      </c>
      <c r="J358" t="n">
        <v>0</v>
      </c>
      <c r="K358" t="n">
        <v>0</v>
      </c>
      <c r="L358" t="n">
        <v>0</v>
      </c>
      <c r="M358" t="n">
        <v>0</v>
      </c>
      <c r="N358" t="n">
        <v>0</v>
      </c>
      <c r="O358" t="n">
        <v>0</v>
      </c>
      <c r="P358" t="n">
        <v>0</v>
      </c>
      <c r="Q358" t="n">
        <v>0</v>
      </c>
      <c r="R358" s="2" t="inlineStr"/>
    </row>
    <row r="359" ht="15" customHeight="1">
      <c r="A359" t="inlineStr">
        <is>
          <t>A 20846-2022</t>
        </is>
      </c>
      <c r="B359" s="1" t="n">
        <v>44701.4744212963</v>
      </c>
      <c r="C359" s="1" t="n">
        <v>46082</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33812-2025</t>
        </is>
      </c>
      <c r="B360" s="1" t="n">
        <v>45842</v>
      </c>
      <c r="C360" s="1" t="n">
        <v>46082</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33815-2025</t>
        </is>
      </c>
      <c r="B361" s="1" t="n">
        <v>45842</v>
      </c>
      <c r="C361" s="1" t="n">
        <v>46082</v>
      </c>
      <c r="D361" t="inlineStr">
        <is>
          <t>SÖDERMANLANDS LÄN</t>
        </is>
      </c>
      <c r="E361" t="inlineStr">
        <is>
          <t>KATRINEHOLM</t>
        </is>
      </c>
      <c r="G361" t="n">
        <v>3.4</v>
      </c>
      <c r="H361" t="n">
        <v>0</v>
      </c>
      <c r="I361" t="n">
        <v>0</v>
      </c>
      <c r="J361" t="n">
        <v>0</v>
      </c>
      <c r="K361" t="n">
        <v>0</v>
      </c>
      <c r="L361" t="n">
        <v>0</v>
      </c>
      <c r="M361" t="n">
        <v>0</v>
      </c>
      <c r="N361" t="n">
        <v>0</v>
      </c>
      <c r="O361" t="n">
        <v>0</v>
      </c>
      <c r="P361" t="n">
        <v>0</v>
      </c>
      <c r="Q361" t="n">
        <v>0</v>
      </c>
      <c r="R361" s="2" t="inlineStr"/>
    </row>
    <row r="362" ht="15" customHeight="1">
      <c r="A362" t="inlineStr">
        <is>
          <t>A 6762-2025</t>
        </is>
      </c>
      <c r="B362" s="1" t="n">
        <v>45700</v>
      </c>
      <c r="C362" s="1" t="n">
        <v>46082</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46082</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49078-2024</t>
        </is>
      </c>
      <c r="B364" s="1" t="n">
        <v>45594.62556712963</v>
      </c>
      <c r="C364" s="1" t="n">
        <v>46082</v>
      </c>
      <c r="D364" t="inlineStr">
        <is>
          <t>SÖDERMANLANDS LÄN</t>
        </is>
      </c>
      <c r="E364" t="inlineStr">
        <is>
          <t>KATRINEHOLM</t>
        </is>
      </c>
      <c r="F364" t="inlineStr">
        <is>
          <t>Övriga Aktiebolag</t>
        </is>
      </c>
      <c r="G364" t="n">
        <v>0.4</v>
      </c>
      <c r="H364" t="n">
        <v>0</v>
      </c>
      <c r="I364" t="n">
        <v>0</v>
      </c>
      <c r="J364" t="n">
        <v>0</v>
      </c>
      <c r="K364" t="n">
        <v>0</v>
      </c>
      <c r="L364" t="n">
        <v>0</v>
      </c>
      <c r="M364" t="n">
        <v>0</v>
      </c>
      <c r="N364" t="n">
        <v>0</v>
      </c>
      <c r="O364" t="n">
        <v>0</v>
      </c>
      <c r="P364" t="n">
        <v>0</v>
      </c>
      <c r="Q364" t="n">
        <v>0</v>
      </c>
      <c r="R364" s="2" t="inlineStr"/>
    </row>
    <row r="365" ht="15" customHeight="1">
      <c r="A365" t="inlineStr">
        <is>
          <t>A 51440-2024</t>
        </is>
      </c>
      <c r="B365" s="1" t="n">
        <v>45604</v>
      </c>
      <c r="C365" s="1" t="n">
        <v>46082</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47879-2023</t>
        </is>
      </c>
      <c r="B366" s="1" t="n">
        <v>45204</v>
      </c>
      <c r="C366" s="1" t="n">
        <v>46082</v>
      </c>
      <c r="D366" t="inlineStr">
        <is>
          <t>SÖDERMANLANDS LÄN</t>
        </is>
      </c>
      <c r="E366" t="inlineStr">
        <is>
          <t>KATRINEHOLM</t>
        </is>
      </c>
      <c r="F366" t="inlineStr">
        <is>
          <t>Övriga Aktiebolag</t>
        </is>
      </c>
      <c r="G366" t="n">
        <v>2.3</v>
      </c>
      <c r="H366" t="n">
        <v>0</v>
      </c>
      <c r="I366" t="n">
        <v>0</v>
      </c>
      <c r="J366" t="n">
        <v>0</v>
      </c>
      <c r="K366" t="n">
        <v>0</v>
      </c>
      <c r="L366" t="n">
        <v>0</v>
      </c>
      <c r="M366" t="n">
        <v>0</v>
      </c>
      <c r="N366" t="n">
        <v>0</v>
      </c>
      <c r="O366" t="n">
        <v>0</v>
      </c>
      <c r="P366" t="n">
        <v>0</v>
      </c>
      <c r="Q366" t="n">
        <v>0</v>
      </c>
      <c r="R366" s="2" t="inlineStr"/>
    </row>
    <row r="367" ht="15" customHeight="1">
      <c r="A367" t="inlineStr">
        <is>
          <t>A 12975-2022</t>
        </is>
      </c>
      <c r="B367" s="1" t="n">
        <v>44643</v>
      </c>
      <c r="C367" s="1" t="n">
        <v>46082</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51260-2021</t>
        </is>
      </c>
      <c r="B368" s="1" t="n">
        <v>44461</v>
      </c>
      <c r="C368" s="1" t="n">
        <v>46082</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53843-2023</t>
        </is>
      </c>
      <c r="B369" s="1" t="n">
        <v>45230</v>
      </c>
      <c r="C369" s="1" t="n">
        <v>46082</v>
      </c>
      <c r="D369" t="inlineStr">
        <is>
          <t>SÖDERMANLANDS LÄN</t>
        </is>
      </c>
      <c r="E369" t="inlineStr">
        <is>
          <t>KATRINEHOLM</t>
        </is>
      </c>
      <c r="G369" t="n">
        <v>14.2</v>
      </c>
      <c r="H369" t="n">
        <v>0</v>
      </c>
      <c r="I369" t="n">
        <v>0</v>
      </c>
      <c r="J369" t="n">
        <v>0</v>
      </c>
      <c r="K369" t="n">
        <v>0</v>
      </c>
      <c r="L369" t="n">
        <v>0</v>
      </c>
      <c r="M369" t="n">
        <v>0</v>
      </c>
      <c r="N369" t="n">
        <v>0</v>
      </c>
      <c r="O369" t="n">
        <v>0</v>
      </c>
      <c r="P369" t="n">
        <v>0</v>
      </c>
      <c r="Q369" t="n">
        <v>0</v>
      </c>
      <c r="R369" s="2" t="inlineStr"/>
    </row>
    <row r="370" ht="15" customHeight="1">
      <c r="A370" t="inlineStr">
        <is>
          <t>A 48763-2024</t>
        </is>
      </c>
      <c r="B370" s="1" t="n">
        <v>45593.60288194445</v>
      </c>
      <c r="C370" s="1" t="n">
        <v>46082</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14478-2023</t>
        </is>
      </c>
      <c r="B371" s="1" t="n">
        <v>45012.66421296296</v>
      </c>
      <c r="C371" s="1" t="n">
        <v>46082</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20921-2023</t>
        </is>
      </c>
      <c r="B372" s="1" t="n">
        <v>45061</v>
      </c>
      <c r="C372" s="1" t="n">
        <v>46082</v>
      </c>
      <c r="D372" t="inlineStr">
        <is>
          <t>SÖDERMANLANDS LÄN</t>
        </is>
      </c>
      <c r="E372" t="inlineStr">
        <is>
          <t>KATRINEHOLM</t>
        </is>
      </c>
      <c r="G372" t="n">
        <v>8.9</v>
      </c>
      <c r="H372" t="n">
        <v>0</v>
      </c>
      <c r="I372" t="n">
        <v>0</v>
      </c>
      <c r="J372" t="n">
        <v>0</v>
      </c>
      <c r="K372" t="n">
        <v>0</v>
      </c>
      <c r="L372" t="n">
        <v>0</v>
      </c>
      <c r="M372" t="n">
        <v>0</v>
      </c>
      <c r="N372" t="n">
        <v>0</v>
      </c>
      <c r="O372" t="n">
        <v>0</v>
      </c>
      <c r="P372" t="n">
        <v>0</v>
      </c>
      <c r="Q372" t="n">
        <v>0</v>
      </c>
      <c r="R372" s="2" t="inlineStr"/>
    </row>
    <row r="373" ht="15" customHeight="1">
      <c r="A373" t="inlineStr">
        <is>
          <t>A 12930-2023</t>
        </is>
      </c>
      <c r="B373" s="1" t="n">
        <v>45001</v>
      </c>
      <c r="C373" s="1" t="n">
        <v>46082</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12938-2023</t>
        </is>
      </c>
      <c r="B374" s="1" t="n">
        <v>45001</v>
      </c>
      <c r="C374" s="1" t="n">
        <v>46082</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12559-2023</t>
        </is>
      </c>
      <c r="B375" s="1" t="n">
        <v>45000.36373842593</v>
      </c>
      <c r="C375" s="1" t="n">
        <v>46082</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7704-2023</t>
        </is>
      </c>
      <c r="B376" s="1" t="n">
        <v>44968</v>
      </c>
      <c r="C376" s="1" t="n">
        <v>46082</v>
      </c>
      <c r="D376" t="inlineStr">
        <is>
          <t>SÖDERMANLANDS LÄN</t>
        </is>
      </c>
      <c r="E376" t="inlineStr">
        <is>
          <t>KATRINEHOLM</t>
        </is>
      </c>
      <c r="G376" t="n">
        <v>7.3</v>
      </c>
      <c r="H376" t="n">
        <v>0</v>
      </c>
      <c r="I376" t="n">
        <v>0</v>
      </c>
      <c r="J376" t="n">
        <v>0</v>
      </c>
      <c r="K376" t="n">
        <v>0</v>
      </c>
      <c r="L376" t="n">
        <v>0</v>
      </c>
      <c r="M376" t="n">
        <v>0</v>
      </c>
      <c r="N376" t="n">
        <v>0</v>
      </c>
      <c r="O376" t="n">
        <v>0</v>
      </c>
      <c r="P376" t="n">
        <v>0</v>
      </c>
      <c r="Q376" t="n">
        <v>0</v>
      </c>
      <c r="R376" s="2" t="inlineStr"/>
    </row>
    <row r="377" ht="15" customHeight="1">
      <c r="A377" t="inlineStr">
        <is>
          <t>A 49122-2024</t>
        </is>
      </c>
      <c r="B377" s="1" t="n">
        <v>45594</v>
      </c>
      <c r="C377" s="1" t="n">
        <v>46082</v>
      </c>
      <c r="D377" t="inlineStr">
        <is>
          <t>SÖDERMANLANDS LÄN</t>
        </is>
      </c>
      <c r="E377" t="inlineStr">
        <is>
          <t>KATRINEHOLM</t>
        </is>
      </c>
      <c r="G377" t="n">
        <v>19.4</v>
      </c>
      <c r="H377" t="n">
        <v>0</v>
      </c>
      <c r="I377" t="n">
        <v>0</v>
      </c>
      <c r="J377" t="n">
        <v>0</v>
      </c>
      <c r="K377" t="n">
        <v>0</v>
      </c>
      <c r="L377" t="n">
        <v>0</v>
      </c>
      <c r="M377" t="n">
        <v>0</v>
      </c>
      <c r="N377" t="n">
        <v>0</v>
      </c>
      <c r="O377" t="n">
        <v>0</v>
      </c>
      <c r="P377" t="n">
        <v>0</v>
      </c>
      <c r="Q377" t="n">
        <v>0</v>
      </c>
      <c r="R377" s="2" t="inlineStr"/>
    </row>
    <row r="378" ht="15" customHeight="1">
      <c r="A378" t="inlineStr">
        <is>
          <t>A 12937-2023</t>
        </is>
      </c>
      <c r="B378" s="1" t="n">
        <v>45001</v>
      </c>
      <c r="C378" s="1" t="n">
        <v>46082</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11127-2023</t>
        </is>
      </c>
      <c r="B379" s="1" t="n">
        <v>44987</v>
      </c>
      <c r="C379" s="1" t="n">
        <v>46082</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35156-2025</t>
        </is>
      </c>
      <c r="B380" s="1" t="n">
        <v>45852</v>
      </c>
      <c r="C380" s="1" t="n">
        <v>46082</v>
      </c>
      <c r="D380" t="inlineStr">
        <is>
          <t>SÖDERMANLANDS LÄN</t>
        </is>
      </c>
      <c r="E380" t="inlineStr">
        <is>
          <t>KATRINEHOLM</t>
        </is>
      </c>
      <c r="G380" t="n">
        <v>5.7</v>
      </c>
      <c r="H380" t="n">
        <v>0</v>
      </c>
      <c r="I380" t="n">
        <v>0</v>
      </c>
      <c r="J380" t="n">
        <v>0</v>
      </c>
      <c r="K380" t="n">
        <v>0</v>
      </c>
      <c r="L380" t="n">
        <v>0</v>
      </c>
      <c r="M380" t="n">
        <v>0</v>
      </c>
      <c r="N380" t="n">
        <v>0</v>
      </c>
      <c r="O380" t="n">
        <v>0</v>
      </c>
      <c r="P380" t="n">
        <v>0</v>
      </c>
      <c r="Q380" t="n">
        <v>0</v>
      </c>
      <c r="R380" s="2" t="inlineStr"/>
    </row>
    <row r="381" ht="15" customHeight="1">
      <c r="A381" t="inlineStr">
        <is>
          <t>A 35152-2025</t>
        </is>
      </c>
      <c r="B381" s="1" t="n">
        <v>45852</v>
      </c>
      <c r="C381" s="1" t="n">
        <v>46082</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35165-2025</t>
        </is>
      </c>
      <c r="B382" s="1" t="n">
        <v>45852.72320601852</v>
      </c>
      <c r="C382" s="1" t="n">
        <v>46082</v>
      </c>
      <c r="D382" t="inlineStr">
        <is>
          <t>SÖDERMANLANDS LÄN</t>
        </is>
      </c>
      <c r="E382" t="inlineStr">
        <is>
          <t>KATRINEHOLM</t>
        </is>
      </c>
      <c r="F382" t="inlineStr">
        <is>
          <t>Övriga Aktiebolag</t>
        </is>
      </c>
      <c r="G382" t="n">
        <v>20.7</v>
      </c>
      <c r="H382" t="n">
        <v>0</v>
      </c>
      <c r="I382" t="n">
        <v>0</v>
      </c>
      <c r="J382" t="n">
        <v>0</v>
      </c>
      <c r="K382" t="n">
        <v>0</v>
      </c>
      <c r="L382" t="n">
        <v>0</v>
      </c>
      <c r="M382" t="n">
        <v>0</v>
      </c>
      <c r="N382" t="n">
        <v>0</v>
      </c>
      <c r="O382" t="n">
        <v>0</v>
      </c>
      <c r="P382" t="n">
        <v>0</v>
      </c>
      <c r="Q382" t="n">
        <v>0</v>
      </c>
      <c r="R382" s="2" t="inlineStr"/>
    </row>
    <row r="383" ht="15" customHeight="1">
      <c r="A383" t="inlineStr">
        <is>
          <t>A 35149-2025</t>
        </is>
      </c>
      <c r="B383" s="1" t="n">
        <v>45852</v>
      </c>
      <c r="C383" s="1" t="n">
        <v>46082</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35161-2025</t>
        </is>
      </c>
      <c r="B384" s="1" t="n">
        <v>45852.70716435185</v>
      </c>
      <c r="C384" s="1" t="n">
        <v>46082</v>
      </c>
      <c r="D384" t="inlineStr">
        <is>
          <t>SÖDERMANLANDS LÄN</t>
        </is>
      </c>
      <c r="E384" t="inlineStr">
        <is>
          <t>KATRINEHOLM</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27345-2023</t>
        </is>
      </c>
      <c r="B385" s="1" t="n">
        <v>45096</v>
      </c>
      <c r="C385" s="1" t="n">
        <v>46082</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35084-2025</t>
        </is>
      </c>
      <c r="B386" s="1" t="n">
        <v>45852</v>
      </c>
      <c r="C386" s="1" t="n">
        <v>46082</v>
      </c>
      <c r="D386" t="inlineStr">
        <is>
          <t>SÖDERMANLANDS LÄN</t>
        </is>
      </c>
      <c r="E386" t="inlineStr">
        <is>
          <t>KATRINEHOLM</t>
        </is>
      </c>
      <c r="G386" t="n">
        <v>3.2</v>
      </c>
      <c r="H386" t="n">
        <v>0</v>
      </c>
      <c r="I386" t="n">
        <v>0</v>
      </c>
      <c r="J386" t="n">
        <v>0</v>
      </c>
      <c r="K386" t="n">
        <v>0</v>
      </c>
      <c r="L386" t="n">
        <v>0</v>
      </c>
      <c r="M386" t="n">
        <v>0</v>
      </c>
      <c r="N386" t="n">
        <v>0</v>
      </c>
      <c r="O386" t="n">
        <v>0</v>
      </c>
      <c r="P386" t="n">
        <v>0</v>
      </c>
      <c r="Q386" t="n">
        <v>0</v>
      </c>
      <c r="R386" s="2" t="inlineStr"/>
    </row>
    <row r="387" ht="15" customHeight="1">
      <c r="A387" t="inlineStr">
        <is>
          <t>A 35145-2025</t>
        </is>
      </c>
      <c r="B387" s="1" t="n">
        <v>45852</v>
      </c>
      <c r="C387" s="1" t="n">
        <v>46082</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34439-2025</t>
        </is>
      </c>
      <c r="B388" s="1" t="n">
        <v>45845</v>
      </c>
      <c r="C388" s="1" t="n">
        <v>46082</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35157-2025</t>
        </is>
      </c>
      <c r="B389" s="1" t="n">
        <v>45852</v>
      </c>
      <c r="C389" s="1" t="n">
        <v>46082</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35158-2025</t>
        </is>
      </c>
      <c r="B390" s="1" t="n">
        <v>45852</v>
      </c>
      <c r="C390" s="1" t="n">
        <v>46082</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1151-2025</t>
        </is>
      </c>
      <c r="B391" s="1" t="n">
        <v>45666</v>
      </c>
      <c r="C391" s="1" t="n">
        <v>46082</v>
      </c>
      <c r="D391" t="inlineStr">
        <is>
          <t>SÖDERMANLANDS LÄN</t>
        </is>
      </c>
      <c r="E391" t="inlineStr">
        <is>
          <t>KATRINEHOLM</t>
        </is>
      </c>
      <c r="G391" t="n">
        <v>1.9</v>
      </c>
      <c r="H391" t="n">
        <v>0</v>
      </c>
      <c r="I391" t="n">
        <v>0</v>
      </c>
      <c r="J391" t="n">
        <v>0</v>
      </c>
      <c r="K391" t="n">
        <v>0</v>
      </c>
      <c r="L391" t="n">
        <v>0</v>
      </c>
      <c r="M391" t="n">
        <v>0</v>
      </c>
      <c r="N391" t="n">
        <v>0</v>
      </c>
      <c r="O391" t="n">
        <v>0</v>
      </c>
      <c r="P391" t="n">
        <v>0</v>
      </c>
      <c r="Q391" t="n">
        <v>0</v>
      </c>
      <c r="R391" s="2" t="inlineStr"/>
    </row>
    <row r="392" ht="15" customHeight="1">
      <c r="A392" t="inlineStr">
        <is>
          <t>A 6808-2023</t>
        </is>
      </c>
      <c r="B392" s="1" t="n">
        <v>44964</v>
      </c>
      <c r="C392" s="1" t="n">
        <v>46082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44071-2025</t>
        </is>
      </c>
      <c r="B393" s="1" t="n">
        <v>45915</v>
      </c>
      <c r="C393" s="1" t="n">
        <v>46082</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46082</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43975-2025</t>
        </is>
      </c>
      <c r="B395" s="1" t="n">
        <v>45915.41148148148</v>
      </c>
      <c r="C395" s="1" t="n">
        <v>46082</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34176-2025</t>
        </is>
      </c>
      <c r="B396" s="1" t="n">
        <v>45845</v>
      </c>
      <c r="C396" s="1" t="n">
        <v>46082</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44024-2021</t>
        </is>
      </c>
      <c r="B397" s="1" t="n">
        <v>44434</v>
      </c>
      <c r="C397" s="1" t="n">
        <v>46082</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18339-2023</t>
        </is>
      </c>
      <c r="B398" s="1" t="n">
        <v>45041</v>
      </c>
      <c r="C398" s="1" t="n">
        <v>46082</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58522-2024</t>
        </is>
      </c>
      <c r="B399" s="1" t="n">
        <v>45635.43770833333</v>
      </c>
      <c r="C399" s="1" t="n">
        <v>46082</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47889-2023</t>
        </is>
      </c>
      <c r="B400" s="1" t="n">
        <v>45204</v>
      </c>
      <c r="C400" s="1" t="n">
        <v>46082</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34732-2022</t>
        </is>
      </c>
      <c r="B401" s="1" t="n">
        <v>44795</v>
      </c>
      <c r="C401" s="1" t="n">
        <v>46082</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46288-2025</t>
        </is>
      </c>
      <c r="B402" s="1" t="n">
        <v>45925.38545138889</v>
      </c>
      <c r="C402" s="1" t="n">
        <v>46082</v>
      </c>
      <c r="D402" t="inlineStr">
        <is>
          <t>SÖDERMANLANDS LÄN</t>
        </is>
      </c>
      <c r="E402" t="inlineStr">
        <is>
          <t>KATRINEHOLM</t>
        </is>
      </c>
      <c r="G402" t="n">
        <v>0.4</v>
      </c>
      <c r="H402" t="n">
        <v>0</v>
      </c>
      <c r="I402" t="n">
        <v>0</v>
      </c>
      <c r="J402" t="n">
        <v>0</v>
      </c>
      <c r="K402" t="n">
        <v>0</v>
      </c>
      <c r="L402" t="n">
        <v>0</v>
      </c>
      <c r="M402" t="n">
        <v>0</v>
      </c>
      <c r="N402" t="n">
        <v>0</v>
      </c>
      <c r="O402" t="n">
        <v>0</v>
      </c>
      <c r="P402" t="n">
        <v>0</v>
      </c>
      <c r="Q402" t="n">
        <v>0</v>
      </c>
      <c r="R402" s="2" t="inlineStr"/>
    </row>
    <row r="403" ht="15" customHeight="1">
      <c r="A403" t="inlineStr">
        <is>
          <t>A 36590-2025</t>
        </is>
      </c>
      <c r="B403" s="1" t="n">
        <v>45870</v>
      </c>
      <c r="C403" s="1" t="n">
        <v>46082</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26684-2025</t>
        </is>
      </c>
      <c r="B404" s="1" t="n">
        <v>45810</v>
      </c>
      <c r="C404" s="1" t="n">
        <v>46082</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46524-2025</t>
        </is>
      </c>
      <c r="B405" s="1" t="n">
        <v>45926</v>
      </c>
      <c r="C405" s="1" t="n">
        <v>46082</v>
      </c>
      <c r="D405" t="inlineStr">
        <is>
          <t>SÖDERMANLANDS LÄN</t>
        </is>
      </c>
      <c r="E405" t="inlineStr">
        <is>
          <t>KATRINEHOLM</t>
        </is>
      </c>
      <c r="G405" t="n">
        <v>5.7</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46082</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32169-2022</t>
        </is>
      </c>
      <c r="B407" s="1" t="n">
        <v>44781</v>
      </c>
      <c r="C407" s="1" t="n">
        <v>46082</v>
      </c>
      <c r="D407" t="inlineStr">
        <is>
          <t>SÖDERMANLANDS LÄN</t>
        </is>
      </c>
      <c r="E407" t="inlineStr">
        <is>
          <t>KATRINEHOLM</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35864-2023</t>
        </is>
      </c>
      <c r="B408" s="1" t="n">
        <v>45147</v>
      </c>
      <c r="C408" s="1" t="n">
        <v>46082</v>
      </c>
      <c r="D408" t="inlineStr">
        <is>
          <t>SÖDERMANLANDS LÄN</t>
        </is>
      </c>
      <c r="E408" t="inlineStr">
        <is>
          <t>KATRINEHOLM</t>
        </is>
      </c>
      <c r="F408" t="inlineStr">
        <is>
          <t>Övriga Aktiebolag</t>
        </is>
      </c>
      <c r="G408" t="n">
        <v>4.7</v>
      </c>
      <c r="H408" t="n">
        <v>0</v>
      </c>
      <c r="I408" t="n">
        <v>0</v>
      </c>
      <c r="J408" t="n">
        <v>0</v>
      </c>
      <c r="K408" t="n">
        <v>0</v>
      </c>
      <c r="L408" t="n">
        <v>0</v>
      </c>
      <c r="M408" t="n">
        <v>0</v>
      </c>
      <c r="N408" t="n">
        <v>0</v>
      </c>
      <c r="O408" t="n">
        <v>0</v>
      </c>
      <c r="P408" t="n">
        <v>0</v>
      </c>
      <c r="Q408" t="n">
        <v>0</v>
      </c>
      <c r="R408" s="2" t="inlineStr"/>
    </row>
    <row r="409" ht="15" customHeight="1">
      <c r="A409" t="inlineStr">
        <is>
          <t>A 12227-2025</t>
        </is>
      </c>
      <c r="B409" s="1" t="n">
        <v>45729.56836805555</v>
      </c>
      <c r="C409" s="1" t="n">
        <v>46082</v>
      </c>
      <c r="D409" t="inlineStr">
        <is>
          <t>SÖDERMANLANDS LÄN</t>
        </is>
      </c>
      <c r="E409" t="inlineStr">
        <is>
          <t>KATRINEHOLM</t>
        </is>
      </c>
      <c r="G409" t="n">
        <v>7</v>
      </c>
      <c r="H409" t="n">
        <v>0</v>
      </c>
      <c r="I409" t="n">
        <v>0</v>
      </c>
      <c r="J409" t="n">
        <v>0</v>
      </c>
      <c r="K409" t="n">
        <v>0</v>
      </c>
      <c r="L409" t="n">
        <v>0</v>
      </c>
      <c r="M409" t="n">
        <v>0</v>
      </c>
      <c r="N409" t="n">
        <v>0</v>
      </c>
      <c r="O409" t="n">
        <v>0</v>
      </c>
      <c r="P409" t="n">
        <v>0</v>
      </c>
      <c r="Q409" t="n">
        <v>0</v>
      </c>
      <c r="R409" s="2" t="inlineStr"/>
    </row>
    <row r="410" ht="15" customHeight="1">
      <c r="A410" t="inlineStr">
        <is>
          <t>A 44637-2023</t>
        </is>
      </c>
      <c r="B410" s="1" t="n">
        <v>45189</v>
      </c>
      <c r="C410" s="1" t="n">
        <v>46082</v>
      </c>
      <c r="D410" t="inlineStr">
        <is>
          <t>SÖDERMANLANDS LÄN</t>
        </is>
      </c>
      <c r="E410" t="inlineStr">
        <is>
          <t>KATRINEHOLM</t>
        </is>
      </c>
      <c r="G410" t="n">
        <v>5.1</v>
      </c>
      <c r="H410" t="n">
        <v>0</v>
      </c>
      <c r="I410" t="n">
        <v>0</v>
      </c>
      <c r="J410" t="n">
        <v>0</v>
      </c>
      <c r="K410" t="n">
        <v>0</v>
      </c>
      <c r="L410" t="n">
        <v>0</v>
      </c>
      <c r="M410" t="n">
        <v>0</v>
      </c>
      <c r="N410" t="n">
        <v>0</v>
      </c>
      <c r="O410" t="n">
        <v>0</v>
      </c>
      <c r="P410" t="n">
        <v>0</v>
      </c>
      <c r="Q410" t="n">
        <v>0</v>
      </c>
      <c r="R410" s="2" t="inlineStr"/>
    </row>
    <row r="411" ht="15" customHeight="1">
      <c r="A411" t="inlineStr">
        <is>
          <t>A 50021-2023</t>
        </is>
      </c>
      <c r="B411" s="1" t="n">
        <v>45215</v>
      </c>
      <c r="C411" s="1" t="n">
        <v>46082</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37043-2025</t>
        </is>
      </c>
      <c r="B412" s="1" t="n">
        <v>45875.3396412037</v>
      </c>
      <c r="C412" s="1" t="n">
        <v>46082</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39055-2022</t>
        </is>
      </c>
      <c r="B413" s="1" t="n">
        <v>44817</v>
      </c>
      <c r="C413" s="1" t="n">
        <v>46082</v>
      </c>
      <c r="D413" t="inlineStr">
        <is>
          <t>SÖDERMANLANDS LÄN</t>
        </is>
      </c>
      <c r="E413" t="inlineStr">
        <is>
          <t>KATRINEHOLM</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46257-2021</t>
        </is>
      </c>
      <c r="B414" s="1" t="n">
        <v>44442</v>
      </c>
      <c r="C414" s="1" t="n">
        <v>46082</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52769-2023</t>
        </is>
      </c>
      <c r="B415" s="1" t="n">
        <v>45226</v>
      </c>
      <c r="C415" s="1" t="n">
        <v>46082</v>
      </c>
      <c r="D415" t="inlineStr">
        <is>
          <t>SÖDERMANLANDS LÄN</t>
        </is>
      </c>
      <c r="E415" t="inlineStr">
        <is>
          <t>KATRINEHOLM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4758-2025</t>
        </is>
      </c>
      <c r="B416" s="1" t="n">
        <v>45688</v>
      </c>
      <c r="C416" s="1" t="n">
        <v>46082</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27852-2023</t>
        </is>
      </c>
      <c r="B417" s="1" t="n">
        <v>45098</v>
      </c>
      <c r="C417" s="1" t="n">
        <v>46082</v>
      </c>
      <c r="D417" t="inlineStr">
        <is>
          <t>SÖDERMANLANDS LÄN</t>
        </is>
      </c>
      <c r="E417" t="inlineStr">
        <is>
          <t>KATRINEHOLM</t>
        </is>
      </c>
      <c r="G417" t="n">
        <v>7.4</v>
      </c>
      <c r="H417" t="n">
        <v>0</v>
      </c>
      <c r="I417" t="n">
        <v>0</v>
      </c>
      <c r="J417" t="n">
        <v>0</v>
      </c>
      <c r="K417" t="n">
        <v>0</v>
      </c>
      <c r="L417" t="n">
        <v>0</v>
      </c>
      <c r="M417" t="n">
        <v>0</v>
      </c>
      <c r="N417" t="n">
        <v>0</v>
      </c>
      <c r="O417" t="n">
        <v>0</v>
      </c>
      <c r="P417" t="n">
        <v>0</v>
      </c>
      <c r="Q417" t="n">
        <v>0</v>
      </c>
      <c r="R417" s="2" t="inlineStr"/>
    </row>
    <row r="418" ht="15" customHeight="1">
      <c r="A418" t="inlineStr">
        <is>
          <t>A 28304-2024</t>
        </is>
      </c>
      <c r="B418" s="1" t="n">
        <v>45477</v>
      </c>
      <c r="C418" s="1" t="n">
        <v>46082</v>
      </c>
      <c r="D418" t="inlineStr">
        <is>
          <t>SÖDERMANLANDS LÄN</t>
        </is>
      </c>
      <c r="E418" t="inlineStr">
        <is>
          <t>KATRINEHOLM</t>
        </is>
      </c>
      <c r="G418" t="n">
        <v>3.8</v>
      </c>
      <c r="H418" t="n">
        <v>0</v>
      </c>
      <c r="I418" t="n">
        <v>0</v>
      </c>
      <c r="J418" t="n">
        <v>0</v>
      </c>
      <c r="K418" t="n">
        <v>0</v>
      </c>
      <c r="L418" t="n">
        <v>0</v>
      </c>
      <c r="M418" t="n">
        <v>0</v>
      </c>
      <c r="N418" t="n">
        <v>0</v>
      </c>
      <c r="O418" t="n">
        <v>0</v>
      </c>
      <c r="P418" t="n">
        <v>0</v>
      </c>
      <c r="Q418" t="n">
        <v>0</v>
      </c>
      <c r="R418" s="2" t="inlineStr"/>
    </row>
    <row r="419" ht="15" customHeight="1">
      <c r="A419" t="inlineStr">
        <is>
          <t>A 61911-2021</t>
        </is>
      </c>
      <c r="B419" s="1" t="n">
        <v>44502.35746527778</v>
      </c>
      <c r="C419" s="1" t="n">
        <v>46082</v>
      </c>
      <c r="D419" t="inlineStr">
        <is>
          <t>SÖDERMANLANDS LÄN</t>
        </is>
      </c>
      <c r="E419" t="inlineStr">
        <is>
          <t>KATRINEHOLM</t>
        </is>
      </c>
      <c r="G419" t="n">
        <v>3.8</v>
      </c>
      <c r="H419" t="n">
        <v>0</v>
      </c>
      <c r="I419" t="n">
        <v>0</v>
      </c>
      <c r="J419" t="n">
        <v>0</v>
      </c>
      <c r="K419" t="n">
        <v>0</v>
      </c>
      <c r="L419" t="n">
        <v>0</v>
      </c>
      <c r="M419" t="n">
        <v>0</v>
      </c>
      <c r="N419" t="n">
        <v>0</v>
      </c>
      <c r="O419" t="n">
        <v>0</v>
      </c>
      <c r="P419" t="n">
        <v>0</v>
      </c>
      <c r="Q419" t="n">
        <v>0</v>
      </c>
      <c r="R419" s="2" t="inlineStr"/>
    </row>
    <row r="420" ht="15" customHeight="1">
      <c r="A420" t="inlineStr">
        <is>
          <t>A 42945-2023</t>
        </is>
      </c>
      <c r="B420" s="1" t="n">
        <v>45182.5793287037</v>
      </c>
      <c r="C420" s="1" t="n">
        <v>46082</v>
      </c>
      <c r="D420" t="inlineStr">
        <is>
          <t>SÖDERMANLANDS LÄN</t>
        </is>
      </c>
      <c r="E420" t="inlineStr">
        <is>
          <t>KATRINEHOLM</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42962-2023</t>
        </is>
      </c>
      <c r="B421" s="1" t="n">
        <v>45182</v>
      </c>
      <c r="C421" s="1" t="n">
        <v>46082</v>
      </c>
      <c r="D421" t="inlineStr">
        <is>
          <t>SÖDERMANLANDS LÄN</t>
        </is>
      </c>
      <c r="E421" t="inlineStr">
        <is>
          <t>KATRINEHOLM</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11543-2025</t>
        </is>
      </c>
      <c r="B422" s="1" t="n">
        <v>45727.34248842593</v>
      </c>
      <c r="C422" s="1" t="n">
        <v>46082</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44915-2022</t>
        </is>
      </c>
      <c r="B423" s="1" t="n">
        <v>44840</v>
      </c>
      <c r="C423" s="1" t="n">
        <v>46082</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37827-2025</t>
        </is>
      </c>
      <c r="B424" s="1" t="n">
        <v>45881.40907407407</v>
      </c>
      <c r="C424" s="1" t="n">
        <v>46082</v>
      </c>
      <c r="D424" t="inlineStr">
        <is>
          <t>SÖDERMANLANDS LÄN</t>
        </is>
      </c>
      <c r="E424" t="inlineStr">
        <is>
          <t>KATRINEHOLM</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48097-2023</t>
        </is>
      </c>
      <c r="B425" s="1" t="n">
        <v>45205.31987268518</v>
      </c>
      <c r="C425" s="1" t="n">
        <v>46082</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45793-2022</t>
        </is>
      </c>
      <c r="B426" s="1" t="n">
        <v>44844</v>
      </c>
      <c r="C426" s="1" t="n">
        <v>46082</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40393-2022</t>
        </is>
      </c>
      <c r="B427" s="1" t="n">
        <v>44823</v>
      </c>
      <c r="C427" s="1" t="n">
        <v>46082</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48685-2022</t>
        </is>
      </c>
      <c r="B428" s="1" t="n">
        <v>44859</v>
      </c>
      <c r="C428" s="1" t="n">
        <v>46082</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36133-2021</t>
        </is>
      </c>
      <c r="B429" s="1" t="n">
        <v>44386</v>
      </c>
      <c r="C429" s="1" t="n">
        <v>46082</v>
      </c>
      <c r="D429" t="inlineStr">
        <is>
          <t>SÖDERMANLANDS LÄN</t>
        </is>
      </c>
      <c r="E429" t="inlineStr">
        <is>
          <t>KATRINEHOLM</t>
        </is>
      </c>
      <c r="F429" t="inlineStr">
        <is>
          <t>Övriga Aktiebolag</t>
        </is>
      </c>
      <c r="G429" t="n">
        <v>8.9</v>
      </c>
      <c r="H429" t="n">
        <v>0</v>
      </c>
      <c r="I429" t="n">
        <v>0</v>
      </c>
      <c r="J429" t="n">
        <v>0</v>
      </c>
      <c r="K429" t="n">
        <v>0</v>
      </c>
      <c r="L429" t="n">
        <v>0</v>
      </c>
      <c r="M429" t="n">
        <v>0</v>
      </c>
      <c r="N429" t="n">
        <v>0</v>
      </c>
      <c r="O429" t="n">
        <v>0</v>
      </c>
      <c r="P429" t="n">
        <v>0</v>
      </c>
      <c r="Q429" t="n">
        <v>0</v>
      </c>
      <c r="R429" s="2" t="inlineStr"/>
    </row>
    <row r="430" ht="15" customHeight="1">
      <c r="A430" t="inlineStr">
        <is>
          <t>A 49700-2022</t>
        </is>
      </c>
      <c r="B430" s="1" t="n">
        <v>44862</v>
      </c>
      <c r="C430" s="1" t="n">
        <v>46082</v>
      </c>
      <c r="D430" t="inlineStr">
        <is>
          <t>SÖDERMANLANDS LÄN</t>
        </is>
      </c>
      <c r="E430" t="inlineStr">
        <is>
          <t>KATRINEHOLM</t>
        </is>
      </c>
      <c r="G430" t="n">
        <v>19.5</v>
      </c>
      <c r="H430" t="n">
        <v>0</v>
      </c>
      <c r="I430" t="n">
        <v>0</v>
      </c>
      <c r="J430" t="n">
        <v>0</v>
      </c>
      <c r="K430" t="n">
        <v>0</v>
      </c>
      <c r="L430" t="n">
        <v>0</v>
      </c>
      <c r="M430" t="n">
        <v>0</v>
      </c>
      <c r="N430" t="n">
        <v>0</v>
      </c>
      <c r="O430" t="n">
        <v>0</v>
      </c>
      <c r="P430" t="n">
        <v>0</v>
      </c>
      <c r="Q430" t="n">
        <v>0</v>
      </c>
      <c r="R430" s="2" t="inlineStr"/>
    </row>
    <row r="431" ht="15" customHeight="1">
      <c r="A431" t="inlineStr">
        <is>
          <t>A 30276-2023</t>
        </is>
      </c>
      <c r="B431" s="1" t="n">
        <v>45110</v>
      </c>
      <c r="C431" s="1" t="n">
        <v>46082</v>
      </c>
      <c r="D431" t="inlineStr">
        <is>
          <t>SÖDERMANLANDS LÄN</t>
        </is>
      </c>
      <c r="E431" t="inlineStr">
        <is>
          <t>KATRINEHOLM</t>
        </is>
      </c>
      <c r="G431" t="n">
        <v>2.3</v>
      </c>
      <c r="H431" t="n">
        <v>0</v>
      </c>
      <c r="I431" t="n">
        <v>0</v>
      </c>
      <c r="J431" t="n">
        <v>0</v>
      </c>
      <c r="K431" t="n">
        <v>0</v>
      </c>
      <c r="L431" t="n">
        <v>0</v>
      </c>
      <c r="M431" t="n">
        <v>0</v>
      </c>
      <c r="N431" t="n">
        <v>0</v>
      </c>
      <c r="O431" t="n">
        <v>0</v>
      </c>
      <c r="P431" t="n">
        <v>0</v>
      </c>
      <c r="Q431" t="n">
        <v>0</v>
      </c>
      <c r="R431" s="2" t="inlineStr"/>
    </row>
    <row r="432" ht="15" customHeight="1">
      <c r="A432" t="inlineStr">
        <is>
          <t>A 57265-2022</t>
        </is>
      </c>
      <c r="B432" s="1" t="n">
        <v>44895</v>
      </c>
      <c r="C432" s="1" t="n">
        <v>46082</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50316-2023</t>
        </is>
      </c>
      <c r="B433" s="1" t="n">
        <v>45209</v>
      </c>
      <c r="C433" s="1" t="n">
        <v>46082</v>
      </c>
      <c r="D433" t="inlineStr">
        <is>
          <t>SÖDERMANLANDS LÄN</t>
        </is>
      </c>
      <c r="E433" t="inlineStr">
        <is>
          <t>KATRINEHOLM</t>
        </is>
      </c>
      <c r="G433" t="n">
        <v>1.9</v>
      </c>
      <c r="H433" t="n">
        <v>0</v>
      </c>
      <c r="I433" t="n">
        <v>0</v>
      </c>
      <c r="J433" t="n">
        <v>0</v>
      </c>
      <c r="K433" t="n">
        <v>0</v>
      </c>
      <c r="L433" t="n">
        <v>0</v>
      </c>
      <c r="M433" t="n">
        <v>0</v>
      </c>
      <c r="N433" t="n">
        <v>0</v>
      </c>
      <c r="O433" t="n">
        <v>0</v>
      </c>
      <c r="P433" t="n">
        <v>0</v>
      </c>
      <c r="Q433" t="n">
        <v>0</v>
      </c>
      <c r="R433" s="2" t="inlineStr"/>
    </row>
    <row r="434" ht="15" customHeight="1">
      <c r="A434" t="inlineStr">
        <is>
          <t>A 52857-2021</t>
        </is>
      </c>
      <c r="B434" s="1" t="n">
        <v>44466</v>
      </c>
      <c r="C434" s="1" t="n">
        <v>46082</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60160-2022</t>
        </is>
      </c>
      <c r="B435" s="1" t="n">
        <v>44909</v>
      </c>
      <c r="C435" s="1" t="n">
        <v>46082</v>
      </c>
      <c r="D435" t="inlineStr">
        <is>
          <t>SÖDERMANLANDS LÄN</t>
        </is>
      </c>
      <c r="E435" t="inlineStr">
        <is>
          <t>KATRINEHOLM</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19442-2023</t>
        </is>
      </c>
      <c r="B436" s="1" t="n">
        <v>45050</v>
      </c>
      <c r="C436" s="1" t="n">
        <v>46082</v>
      </c>
      <c r="D436" t="inlineStr">
        <is>
          <t>SÖDERMANLANDS LÄN</t>
        </is>
      </c>
      <c r="E436" t="inlineStr">
        <is>
          <t>KATRINEHOLM</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49743-2025</t>
        </is>
      </c>
      <c r="B437" s="1" t="n">
        <v>45940</v>
      </c>
      <c r="C437" s="1" t="n">
        <v>46082</v>
      </c>
      <c r="D437" t="inlineStr">
        <is>
          <t>SÖDERMANLANDS LÄN</t>
        </is>
      </c>
      <c r="E437" t="inlineStr">
        <is>
          <t>KATRINEHOLM</t>
        </is>
      </c>
      <c r="G437" t="n">
        <v>1.1</v>
      </c>
      <c r="H437" t="n">
        <v>0</v>
      </c>
      <c r="I437" t="n">
        <v>0</v>
      </c>
      <c r="J437" t="n">
        <v>0</v>
      </c>
      <c r="K437" t="n">
        <v>0</v>
      </c>
      <c r="L437" t="n">
        <v>0</v>
      </c>
      <c r="M437" t="n">
        <v>0</v>
      </c>
      <c r="N437" t="n">
        <v>0</v>
      </c>
      <c r="O437" t="n">
        <v>0</v>
      </c>
      <c r="P437" t="n">
        <v>0</v>
      </c>
      <c r="Q437" t="n">
        <v>0</v>
      </c>
      <c r="R437" s="2" t="inlineStr"/>
    </row>
    <row r="438" ht="15" customHeight="1">
      <c r="A438" t="inlineStr">
        <is>
          <t>A 50840-2022</t>
        </is>
      </c>
      <c r="B438" s="1" t="n">
        <v>44862</v>
      </c>
      <c r="C438" s="1" t="n">
        <v>46082</v>
      </c>
      <c r="D438" t="inlineStr">
        <is>
          <t>SÖDERMANLANDS LÄN</t>
        </is>
      </c>
      <c r="E438" t="inlineStr">
        <is>
          <t>KATRINEHOLM</t>
        </is>
      </c>
      <c r="G438" t="n">
        <v>4.2</v>
      </c>
      <c r="H438" t="n">
        <v>0</v>
      </c>
      <c r="I438" t="n">
        <v>0</v>
      </c>
      <c r="J438" t="n">
        <v>0</v>
      </c>
      <c r="K438" t="n">
        <v>0</v>
      </c>
      <c r="L438" t="n">
        <v>0</v>
      </c>
      <c r="M438" t="n">
        <v>0</v>
      </c>
      <c r="N438" t="n">
        <v>0</v>
      </c>
      <c r="O438" t="n">
        <v>0</v>
      </c>
      <c r="P438" t="n">
        <v>0</v>
      </c>
      <c r="Q438" t="n">
        <v>0</v>
      </c>
      <c r="R438" s="2" t="inlineStr"/>
    </row>
    <row r="439" ht="15" customHeight="1">
      <c r="A439" t="inlineStr">
        <is>
          <t>A 3060-2022</t>
        </is>
      </c>
      <c r="B439" s="1" t="n">
        <v>44582.40109953703</v>
      </c>
      <c r="C439" s="1" t="n">
        <v>46082</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6611-2023</t>
        </is>
      </c>
      <c r="B440" s="1" t="n">
        <v>44963</v>
      </c>
      <c r="C440" s="1" t="n">
        <v>46082</v>
      </c>
      <c r="D440" t="inlineStr">
        <is>
          <t>SÖDERMANLANDS LÄN</t>
        </is>
      </c>
      <c r="E440" t="inlineStr">
        <is>
          <t>KATRINEHOLM</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50804-2023</t>
        </is>
      </c>
      <c r="B441" s="1" t="n">
        <v>45211</v>
      </c>
      <c r="C441" s="1" t="n">
        <v>46082</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20533-2023</t>
        </is>
      </c>
      <c r="B442" s="1" t="n">
        <v>45057</v>
      </c>
      <c r="C442" s="1" t="n">
        <v>46082</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c r="T442">
        <f>HYPERLINK("https://klasma.github.io/Logging_0483/kartor/A 20533-2023 karta.png", "A 20533-2023")</f>
        <v/>
      </c>
      <c r="V442">
        <f>HYPERLINK("https://klasma.github.io/Logging_0483/klagomål/A 20533-2023 FSC-klagomål.docx", "A 20533-2023")</f>
        <v/>
      </c>
      <c r="W442">
        <f>HYPERLINK("https://klasma.github.io/Logging_0483/klagomålsmail/A 20533-2023 FSC-klagomål mail.docx", "A 20533-2023")</f>
        <v/>
      </c>
      <c r="X442">
        <f>HYPERLINK("https://klasma.github.io/Logging_0483/tillsyn/A 20533-2023 tillsynsbegäran.docx", "A 20533-2023")</f>
        <v/>
      </c>
      <c r="Y442">
        <f>HYPERLINK("https://klasma.github.io/Logging_0483/tillsynsmail/A 20533-2023 tillsynsbegäran mail.docx", "A 20533-2023")</f>
        <v/>
      </c>
      <c r="Z442">
        <f>HYPERLINK("https://klasma.github.io/Logging_0483/fåglar/A 20533-2023 prioriterade fågelarter.docx", "A 20533-2023")</f>
        <v/>
      </c>
    </row>
    <row r="443" ht="15" customHeight="1">
      <c r="A443" t="inlineStr">
        <is>
          <t>A 43499-2021</t>
        </is>
      </c>
      <c r="B443" s="1" t="n">
        <v>44433</v>
      </c>
      <c r="C443" s="1" t="n">
        <v>46082</v>
      </c>
      <c r="D443" t="inlineStr">
        <is>
          <t>SÖDERMANLANDS LÄN</t>
        </is>
      </c>
      <c r="E443" t="inlineStr">
        <is>
          <t>KATRINEHOLM</t>
        </is>
      </c>
      <c r="F443" t="inlineStr">
        <is>
          <t>Övriga Aktiebolag</t>
        </is>
      </c>
      <c r="G443" t="n">
        <v>1.4</v>
      </c>
      <c r="H443" t="n">
        <v>0</v>
      </c>
      <c r="I443" t="n">
        <v>0</v>
      </c>
      <c r="J443" t="n">
        <v>0</v>
      </c>
      <c r="K443" t="n">
        <v>0</v>
      </c>
      <c r="L443" t="n">
        <v>0</v>
      </c>
      <c r="M443" t="n">
        <v>0</v>
      </c>
      <c r="N443" t="n">
        <v>0</v>
      </c>
      <c r="O443" t="n">
        <v>0</v>
      </c>
      <c r="P443" t="n">
        <v>0</v>
      </c>
      <c r="Q443" t="n">
        <v>0</v>
      </c>
      <c r="R443" s="2" t="inlineStr"/>
    </row>
    <row r="444" ht="15" customHeight="1">
      <c r="A444" t="inlineStr">
        <is>
          <t>A 53996-2023</t>
        </is>
      </c>
      <c r="B444" s="1" t="n">
        <v>45231</v>
      </c>
      <c r="C444" s="1" t="n">
        <v>46082</v>
      </c>
      <c r="D444" t="inlineStr">
        <is>
          <t>SÖDERMANLANDS LÄN</t>
        </is>
      </c>
      <c r="E444" t="inlineStr">
        <is>
          <t>KATRINEHOLM</t>
        </is>
      </c>
      <c r="G444" t="n">
        <v>4.9</v>
      </c>
      <c r="H444" t="n">
        <v>0</v>
      </c>
      <c r="I444" t="n">
        <v>0</v>
      </c>
      <c r="J444" t="n">
        <v>0</v>
      </c>
      <c r="K444" t="n">
        <v>0</v>
      </c>
      <c r="L444" t="n">
        <v>0</v>
      </c>
      <c r="M444" t="n">
        <v>0</v>
      </c>
      <c r="N444" t="n">
        <v>0</v>
      </c>
      <c r="O444" t="n">
        <v>0</v>
      </c>
      <c r="P444" t="n">
        <v>0</v>
      </c>
      <c r="Q444" t="n">
        <v>0</v>
      </c>
      <c r="R444" s="2" t="inlineStr"/>
    </row>
    <row r="445" ht="15" customHeight="1">
      <c r="A445" t="inlineStr">
        <is>
          <t>A 33790-2024</t>
        </is>
      </c>
      <c r="B445" s="1" t="n">
        <v>45520.59179398148</v>
      </c>
      <c r="C445" s="1" t="n">
        <v>46082</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47456-2022</t>
        </is>
      </c>
      <c r="B446" s="1" t="n">
        <v>44852</v>
      </c>
      <c r="C446" s="1" t="n">
        <v>46082</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23347-2023</t>
        </is>
      </c>
      <c r="B447" s="1" t="n">
        <v>45076</v>
      </c>
      <c r="C447" s="1" t="n">
        <v>46082</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74354-2021</t>
        </is>
      </c>
      <c r="B448" s="1" t="n">
        <v>44559.57041666667</v>
      </c>
      <c r="C448" s="1" t="n">
        <v>46082</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50934-2025</t>
        </is>
      </c>
      <c r="B449" s="1" t="n">
        <v>45946.69195601852</v>
      </c>
      <c r="C449" s="1" t="n">
        <v>46082</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44464.49756944444</v>
      </c>
      <c r="C450" s="1" t="n">
        <v>46082</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56628-2021</t>
        </is>
      </c>
      <c r="B451" s="1" t="n">
        <v>44480</v>
      </c>
      <c r="C451" s="1" t="n">
        <v>46082</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45438-2021</t>
        </is>
      </c>
      <c r="B452" s="1" t="n">
        <v>44440</v>
      </c>
      <c r="C452" s="1" t="n">
        <v>46082</v>
      </c>
      <c r="D452" t="inlineStr">
        <is>
          <t>SÖDERMANLANDS LÄN</t>
        </is>
      </c>
      <c r="E452" t="inlineStr">
        <is>
          <t>KATRINEHOLM</t>
        </is>
      </c>
      <c r="F452" t="inlineStr">
        <is>
          <t>Kommuner</t>
        </is>
      </c>
      <c r="G452" t="n">
        <v>1.5</v>
      </c>
      <c r="H452" t="n">
        <v>0</v>
      </c>
      <c r="I452" t="n">
        <v>0</v>
      </c>
      <c r="J452" t="n">
        <v>0</v>
      </c>
      <c r="K452" t="n">
        <v>0</v>
      </c>
      <c r="L452" t="n">
        <v>0</v>
      </c>
      <c r="M452" t="n">
        <v>0</v>
      </c>
      <c r="N452" t="n">
        <v>0</v>
      </c>
      <c r="O452" t="n">
        <v>0</v>
      </c>
      <c r="P452" t="n">
        <v>0</v>
      </c>
      <c r="Q452" t="n">
        <v>0</v>
      </c>
      <c r="R452" s="2" t="inlineStr"/>
    </row>
    <row r="453" ht="15" customHeight="1">
      <c r="A453" t="inlineStr">
        <is>
          <t>A 50061-2022</t>
        </is>
      </c>
      <c r="B453" s="1" t="n">
        <v>44865</v>
      </c>
      <c r="C453" s="1" t="n">
        <v>46082</v>
      </c>
      <c r="D453" t="inlineStr">
        <is>
          <t>SÖDERMANLANDS LÄN</t>
        </is>
      </c>
      <c r="E453" t="inlineStr">
        <is>
          <t>KATRINEHOLM</t>
        </is>
      </c>
      <c r="G453" t="n">
        <v>4.9</v>
      </c>
      <c r="H453" t="n">
        <v>0</v>
      </c>
      <c r="I453" t="n">
        <v>0</v>
      </c>
      <c r="J453" t="n">
        <v>0</v>
      </c>
      <c r="K453" t="n">
        <v>0</v>
      </c>
      <c r="L453" t="n">
        <v>0</v>
      </c>
      <c r="M453" t="n">
        <v>0</v>
      </c>
      <c r="N453" t="n">
        <v>0</v>
      </c>
      <c r="O453" t="n">
        <v>0</v>
      </c>
      <c r="P453" t="n">
        <v>0</v>
      </c>
      <c r="Q453" t="n">
        <v>0</v>
      </c>
      <c r="R453" s="2" t="inlineStr"/>
    </row>
    <row r="454" ht="15" customHeight="1">
      <c r="A454" t="inlineStr">
        <is>
          <t>A 10446-2024</t>
        </is>
      </c>
      <c r="B454" s="1" t="n">
        <v>45366</v>
      </c>
      <c r="C454" s="1" t="n">
        <v>46082</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51367-2025</t>
        </is>
      </c>
      <c r="B455" s="1" t="n">
        <v>45950.44700231482</v>
      </c>
      <c r="C455" s="1" t="n">
        <v>46082</v>
      </c>
      <c r="D455" t="inlineStr">
        <is>
          <t>SÖDERMANLANDS LÄN</t>
        </is>
      </c>
      <c r="E455" t="inlineStr">
        <is>
          <t>KATRINEHOLM</t>
        </is>
      </c>
      <c r="G455" t="n">
        <v>2.7</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46082</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23842-2023</t>
        </is>
      </c>
      <c r="B457" s="1" t="n">
        <v>45075</v>
      </c>
      <c r="C457" s="1" t="n">
        <v>46082</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34263-2023</t>
        </is>
      </c>
      <c r="B458" s="1" t="n">
        <v>45138.60248842592</v>
      </c>
      <c r="C458" s="1" t="n">
        <v>46082</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46899-2022</t>
        </is>
      </c>
      <c r="B459" s="1" t="n">
        <v>44848</v>
      </c>
      <c r="C459" s="1" t="n">
        <v>46082</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55296-2022</t>
        </is>
      </c>
      <c r="B460" s="1" t="n">
        <v>44887</v>
      </c>
      <c r="C460" s="1" t="n">
        <v>46082</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51780-2025</t>
        </is>
      </c>
      <c r="B461" s="1" t="n">
        <v>45951.65725694445</v>
      </c>
      <c r="C461" s="1" t="n">
        <v>46082</v>
      </c>
      <c r="D461" t="inlineStr">
        <is>
          <t>SÖDERMANLANDS LÄN</t>
        </is>
      </c>
      <c r="E461" t="inlineStr">
        <is>
          <t>KATRINEHOLM</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57524-2021</t>
        </is>
      </c>
      <c r="B462" s="1" t="n">
        <v>44483</v>
      </c>
      <c r="C462" s="1" t="n">
        <v>46082</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931-2023</t>
        </is>
      </c>
      <c r="B463" s="1" t="n">
        <v>44932.74261574074</v>
      </c>
      <c r="C463" s="1" t="n">
        <v>46082</v>
      </c>
      <c r="D463" t="inlineStr">
        <is>
          <t>SÖDERMANLANDS LÄN</t>
        </is>
      </c>
      <c r="E463" t="inlineStr">
        <is>
          <t>KATRINEHOLM</t>
        </is>
      </c>
      <c r="G463" t="n">
        <v>4</v>
      </c>
      <c r="H463" t="n">
        <v>0</v>
      </c>
      <c r="I463" t="n">
        <v>0</v>
      </c>
      <c r="J463" t="n">
        <v>0</v>
      </c>
      <c r="K463" t="n">
        <v>0</v>
      </c>
      <c r="L463" t="n">
        <v>0</v>
      </c>
      <c r="M463" t="n">
        <v>0</v>
      </c>
      <c r="N463" t="n">
        <v>0</v>
      </c>
      <c r="O463" t="n">
        <v>0</v>
      </c>
      <c r="P463" t="n">
        <v>0</v>
      </c>
      <c r="Q463" t="n">
        <v>0</v>
      </c>
      <c r="R463" s="2" t="inlineStr"/>
    </row>
    <row r="464" ht="15" customHeight="1">
      <c r="A464" t="inlineStr">
        <is>
          <t>A 55171-2023</t>
        </is>
      </c>
      <c r="B464" s="1" t="n">
        <v>45231</v>
      </c>
      <c r="C464" s="1" t="n">
        <v>46082</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51774-2025</t>
        </is>
      </c>
      <c r="B465" s="1" t="n">
        <v>45951.65359953704</v>
      </c>
      <c r="C465" s="1" t="n">
        <v>46082</v>
      </c>
      <c r="D465" t="inlineStr">
        <is>
          <t>SÖDERMANLANDS LÄN</t>
        </is>
      </c>
      <c r="E465" t="inlineStr">
        <is>
          <t>KATRINEHOLM</t>
        </is>
      </c>
      <c r="F465" t="inlineStr">
        <is>
          <t>Allmännings- och besparingsskogar</t>
        </is>
      </c>
      <c r="G465" t="n">
        <v>3.7</v>
      </c>
      <c r="H465" t="n">
        <v>0</v>
      </c>
      <c r="I465" t="n">
        <v>0</v>
      </c>
      <c r="J465" t="n">
        <v>0</v>
      </c>
      <c r="K465" t="n">
        <v>0</v>
      </c>
      <c r="L465" t="n">
        <v>0</v>
      </c>
      <c r="M465" t="n">
        <v>0</v>
      </c>
      <c r="N465" t="n">
        <v>0</v>
      </c>
      <c r="O465" t="n">
        <v>0</v>
      </c>
      <c r="P465" t="n">
        <v>0</v>
      </c>
      <c r="Q465" t="n">
        <v>0</v>
      </c>
      <c r="R465" s="2" t="inlineStr"/>
    </row>
    <row r="466" ht="15" customHeight="1">
      <c r="A466" t="inlineStr">
        <is>
          <t>A 51783-2025</t>
        </is>
      </c>
      <c r="B466" s="1" t="n">
        <v>45951.67546296296</v>
      </c>
      <c r="C466" s="1" t="n">
        <v>46082</v>
      </c>
      <c r="D466" t="inlineStr">
        <is>
          <t>SÖDERMANLANDS LÄN</t>
        </is>
      </c>
      <c r="E466" t="inlineStr">
        <is>
          <t>KATRINEHOLM</t>
        </is>
      </c>
      <c r="F466" t="inlineStr">
        <is>
          <t>Allmännings- och besparingsskogar</t>
        </is>
      </c>
      <c r="G466" t="n">
        <v>5.8</v>
      </c>
      <c r="H466" t="n">
        <v>0</v>
      </c>
      <c r="I466" t="n">
        <v>0</v>
      </c>
      <c r="J466" t="n">
        <v>0</v>
      </c>
      <c r="K466" t="n">
        <v>0</v>
      </c>
      <c r="L466" t="n">
        <v>0</v>
      </c>
      <c r="M466" t="n">
        <v>0</v>
      </c>
      <c r="N466" t="n">
        <v>0</v>
      </c>
      <c r="O466" t="n">
        <v>0</v>
      </c>
      <c r="P466" t="n">
        <v>0</v>
      </c>
      <c r="Q466" t="n">
        <v>0</v>
      </c>
      <c r="R466" s="2" t="inlineStr"/>
    </row>
    <row r="467" ht="15" customHeight="1">
      <c r="A467" t="inlineStr">
        <is>
          <t>A 53393-2023</t>
        </is>
      </c>
      <c r="B467" s="1" t="n">
        <v>45229</v>
      </c>
      <c r="C467" s="1" t="n">
        <v>46082</v>
      </c>
      <c r="D467" t="inlineStr">
        <is>
          <t>SÖDERMANLANDS LÄN</t>
        </is>
      </c>
      <c r="E467" t="inlineStr">
        <is>
          <t>KATRINEHOLM</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52242-2025</t>
        </is>
      </c>
      <c r="B468" s="1" t="n">
        <v>45953.46886574074</v>
      </c>
      <c r="C468" s="1" t="n">
        <v>46082</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52239-2025</t>
        </is>
      </c>
      <c r="B469" s="1" t="n">
        <v>45953.46193287037</v>
      </c>
      <c r="C469" s="1" t="n">
        <v>46082</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52244-2025</t>
        </is>
      </c>
      <c r="B470" s="1" t="n">
        <v>45953</v>
      </c>
      <c r="C470" s="1" t="n">
        <v>46082</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23031-2024</t>
        </is>
      </c>
      <c r="B471" s="1" t="n">
        <v>45450.38120370371</v>
      </c>
      <c r="C471" s="1" t="n">
        <v>46082</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22506-2023</t>
        </is>
      </c>
      <c r="B472" s="1" t="n">
        <v>45071.37393518518</v>
      </c>
      <c r="C472" s="1" t="n">
        <v>46082</v>
      </c>
      <c r="D472" t="inlineStr">
        <is>
          <t>SÖDERMANLANDS LÄN</t>
        </is>
      </c>
      <c r="E472" t="inlineStr">
        <is>
          <t>KATRINEHOLM</t>
        </is>
      </c>
      <c r="F472" t="inlineStr">
        <is>
          <t>Kyrkan</t>
        </is>
      </c>
      <c r="G472" t="n">
        <v>5.9</v>
      </c>
      <c r="H472" t="n">
        <v>0</v>
      </c>
      <c r="I472" t="n">
        <v>0</v>
      </c>
      <c r="J472" t="n">
        <v>0</v>
      </c>
      <c r="K472" t="n">
        <v>0</v>
      </c>
      <c r="L472" t="n">
        <v>0</v>
      </c>
      <c r="M472" t="n">
        <v>0</v>
      </c>
      <c r="N472" t="n">
        <v>0</v>
      </c>
      <c r="O472" t="n">
        <v>0</v>
      </c>
      <c r="P472" t="n">
        <v>0</v>
      </c>
      <c r="Q472" t="n">
        <v>0</v>
      </c>
      <c r="R472" s="2" t="inlineStr"/>
    </row>
    <row r="473" ht="15" customHeight="1">
      <c r="A473" t="inlineStr">
        <is>
          <t>A 12888-2025</t>
        </is>
      </c>
      <c r="B473" s="1" t="n">
        <v>45733</v>
      </c>
      <c r="C473" s="1" t="n">
        <v>46082</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22345-2023</t>
        </is>
      </c>
      <c r="B474" s="1" t="n">
        <v>45070</v>
      </c>
      <c r="C474" s="1" t="n">
        <v>46082</v>
      </c>
      <c r="D474" t="inlineStr">
        <is>
          <t>SÖDERMANLANDS LÄN</t>
        </is>
      </c>
      <c r="E474" t="inlineStr">
        <is>
          <t>KATRINEHOLM</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48877-2022</t>
        </is>
      </c>
      <c r="B475" s="1" t="n">
        <v>44859</v>
      </c>
      <c r="C475" s="1" t="n">
        <v>46082</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19868-2022</t>
        </is>
      </c>
      <c r="B476" s="1" t="n">
        <v>44696</v>
      </c>
      <c r="C476" s="1" t="n">
        <v>46082</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52744-2025</t>
        </is>
      </c>
      <c r="B477" s="1" t="n">
        <v>45957.38387731482</v>
      </c>
      <c r="C477" s="1" t="n">
        <v>46082</v>
      </c>
      <c r="D477" t="inlineStr">
        <is>
          <t>SÖDERMANLANDS LÄN</t>
        </is>
      </c>
      <c r="E477" t="inlineStr">
        <is>
          <t>KATRINEHOLM</t>
        </is>
      </c>
      <c r="G477" t="n">
        <v>4</v>
      </c>
      <c r="H477" t="n">
        <v>0</v>
      </c>
      <c r="I477" t="n">
        <v>0</v>
      </c>
      <c r="J477" t="n">
        <v>0</v>
      </c>
      <c r="K477" t="n">
        <v>0</v>
      </c>
      <c r="L477" t="n">
        <v>0</v>
      </c>
      <c r="M477" t="n">
        <v>0</v>
      </c>
      <c r="N477" t="n">
        <v>0</v>
      </c>
      <c r="O477" t="n">
        <v>0</v>
      </c>
      <c r="P477" t="n">
        <v>0</v>
      </c>
      <c r="Q477" t="n">
        <v>0</v>
      </c>
      <c r="R477" s="2" t="inlineStr"/>
    </row>
    <row r="478" ht="15" customHeight="1">
      <c r="A478" t="inlineStr">
        <is>
          <t>A 63188-2021</t>
        </is>
      </c>
      <c r="B478" s="1" t="n">
        <v>44507.56865740741</v>
      </c>
      <c r="C478" s="1" t="n">
        <v>46082</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29843-2023</t>
        </is>
      </c>
      <c r="B479" s="1" t="n">
        <v>45107</v>
      </c>
      <c r="C479" s="1" t="n">
        <v>46082</v>
      </c>
      <c r="D479" t="inlineStr">
        <is>
          <t>SÖDERMANLANDS LÄN</t>
        </is>
      </c>
      <c r="E479" t="inlineStr">
        <is>
          <t>KATRINEHOLM</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5834-2025</t>
        </is>
      </c>
      <c r="B480" s="1" t="n">
        <v>45694</v>
      </c>
      <c r="C480" s="1" t="n">
        <v>46082</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53338-2025</t>
        </is>
      </c>
      <c r="B481" s="1" t="n">
        <v>45959.40447916667</v>
      </c>
      <c r="C481" s="1" t="n">
        <v>46082</v>
      </c>
      <c r="D481" t="inlineStr">
        <is>
          <t>SÖDERMANLANDS LÄN</t>
        </is>
      </c>
      <c r="E481" t="inlineStr">
        <is>
          <t>KATRINEHOLM</t>
        </is>
      </c>
      <c r="G481" t="n">
        <v>2.9</v>
      </c>
      <c r="H481" t="n">
        <v>0</v>
      </c>
      <c r="I481" t="n">
        <v>0</v>
      </c>
      <c r="J481" t="n">
        <v>0</v>
      </c>
      <c r="K481" t="n">
        <v>0</v>
      </c>
      <c r="L481" t="n">
        <v>0</v>
      </c>
      <c r="M481" t="n">
        <v>0</v>
      </c>
      <c r="N481" t="n">
        <v>0</v>
      </c>
      <c r="O481" t="n">
        <v>0</v>
      </c>
      <c r="P481" t="n">
        <v>0</v>
      </c>
      <c r="Q481" t="n">
        <v>0</v>
      </c>
      <c r="R481" s="2" t="inlineStr"/>
    </row>
    <row r="482" ht="15" customHeight="1">
      <c r="A482" t="inlineStr">
        <is>
          <t>A 34981-2023</t>
        </is>
      </c>
      <c r="B482" s="1" t="n">
        <v>45142</v>
      </c>
      <c r="C482" s="1" t="n">
        <v>46082</v>
      </c>
      <c r="D482" t="inlineStr">
        <is>
          <t>SÖDERMANLANDS LÄN</t>
        </is>
      </c>
      <c r="E482" t="inlineStr">
        <is>
          <t>KATRINEHOLM</t>
        </is>
      </c>
      <c r="G482" t="n">
        <v>10</v>
      </c>
      <c r="H482" t="n">
        <v>0</v>
      </c>
      <c r="I482" t="n">
        <v>0</v>
      </c>
      <c r="J482" t="n">
        <v>0</v>
      </c>
      <c r="K482" t="n">
        <v>0</v>
      </c>
      <c r="L482" t="n">
        <v>0</v>
      </c>
      <c r="M482" t="n">
        <v>0</v>
      </c>
      <c r="N482" t="n">
        <v>0</v>
      </c>
      <c r="O482" t="n">
        <v>0</v>
      </c>
      <c r="P482" t="n">
        <v>0</v>
      </c>
      <c r="Q482" t="n">
        <v>0</v>
      </c>
      <c r="R482" s="2" t="inlineStr"/>
    </row>
    <row r="483" ht="15" customHeight="1">
      <c r="A483" t="inlineStr">
        <is>
          <t>A 73412-2021</t>
        </is>
      </c>
      <c r="B483" s="1" t="n">
        <v>44551</v>
      </c>
      <c r="C483" s="1" t="n">
        <v>46082</v>
      </c>
      <c r="D483" t="inlineStr">
        <is>
          <t>SÖDERMANLANDS LÄN</t>
        </is>
      </c>
      <c r="E483" t="inlineStr">
        <is>
          <t>KATRINEHOLM</t>
        </is>
      </c>
      <c r="G483" t="n">
        <v>2</v>
      </c>
      <c r="H483" t="n">
        <v>0</v>
      </c>
      <c r="I483" t="n">
        <v>0</v>
      </c>
      <c r="J483" t="n">
        <v>0</v>
      </c>
      <c r="K483" t="n">
        <v>0</v>
      </c>
      <c r="L483" t="n">
        <v>0</v>
      </c>
      <c r="M483" t="n">
        <v>0</v>
      </c>
      <c r="N483" t="n">
        <v>0</v>
      </c>
      <c r="O483" t="n">
        <v>0</v>
      </c>
      <c r="P483" t="n">
        <v>0</v>
      </c>
      <c r="Q483" t="n">
        <v>0</v>
      </c>
      <c r="R483" s="2" t="inlineStr"/>
    </row>
    <row r="484" ht="15" customHeight="1">
      <c r="A484" t="inlineStr">
        <is>
          <t>A 33469-2025</t>
        </is>
      </c>
      <c r="B484" s="1" t="n">
        <v>45841.48686342593</v>
      </c>
      <c r="C484" s="1" t="n">
        <v>46082</v>
      </c>
      <c r="D484" t="inlineStr">
        <is>
          <t>SÖDERMANLANDS LÄN</t>
        </is>
      </c>
      <c r="E484" t="inlineStr">
        <is>
          <t>KATRINEHOLM</t>
        </is>
      </c>
      <c r="G484" t="n">
        <v>2.1</v>
      </c>
      <c r="H484" t="n">
        <v>0</v>
      </c>
      <c r="I484" t="n">
        <v>0</v>
      </c>
      <c r="J484" t="n">
        <v>0</v>
      </c>
      <c r="K484" t="n">
        <v>0</v>
      </c>
      <c r="L484" t="n">
        <v>0</v>
      </c>
      <c r="M484" t="n">
        <v>0</v>
      </c>
      <c r="N484" t="n">
        <v>0</v>
      </c>
      <c r="O484" t="n">
        <v>0</v>
      </c>
      <c r="P484" t="n">
        <v>0</v>
      </c>
      <c r="Q484" t="n">
        <v>0</v>
      </c>
      <c r="R484" s="2" t="inlineStr"/>
    </row>
    <row r="485" ht="15" customHeight="1">
      <c r="A485" t="inlineStr">
        <is>
          <t>A 33129-2025</t>
        </is>
      </c>
      <c r="B485" s="1" t="n">
        <v>45840.50141203704</v>
      </c>
      <c r="C485" s="1" t="n">
        <v>46082</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53750-2022</t>
        </is>
      </c>
      <c r="B486" s="1" t="n">
        <v>44875</v>
      </c>
      <c r="C486" s="1" t="n">
        <v>46082</v>
      </c>
      <c r="D486" t="inlineStr">
        <is>
          <t>SÖDERMANLANDS LÄN</t>
        </is>
      </c>
      <c r="E486" t="inlineStr">
        <is>
          <t>KATRINEHOLM</t>
        </is>
      </c>
      <c r="F486" t="inlineStr">
        <is>
          <t>Övriga Aktiebolag</t>
        </is>
      </c>
      <c r="G486" t="n">
        <v>12.6</v>
      </c>
      <c r="H486" t="n">
        <v>0</v>
      </c>
      <c r="I486" t="n">
        <v>0</v>
      </c>
      <c r="J486" t="n">
        <v>0</v>
      </c>
      <c r="K486" t="n">
        <v>0</v>
      </c>
      <c r="L486" t="n">
        <v>0</v>
      </c>
      <c r="M486" t="n">
        <v>0</v>
      </c>
      <c r="N486" t="n">
        <v>0</v>
      </c>
      <c r="O486" t="n">
        <v>0</v>
      </c>
      <c r="P486" t="n">
        <v>0</v>
      </c>
      <c r="Q486" t="n">
        <v>0</v>
      </c>
      <c r="R486" s="2" t="inlineStr"/>
    </row>
    <row r="487" ht="15" customHeight="1">
      <c r="A487" t="inlineStr">
        <is>
          <t>A 14245-2024</t>
        </is>
      </c>
      <c r="B487" s="1" t="n">
        <v>45393</v>
      </c>
      <c r="C487" s="1" t="n">
        <v>46082</v>
      </c>
      <c r="D487" t="inlineStr">
        <is>
          <t>SÖDERMANLANDS LÄN</t>
        </is>
      </c>
      <c r="E487" t="inlineStr">
        <is>
          <t>KATRINEHOLM</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41548-2025</t>
        </is>
      </c>
      <c r="B488" s="1" t="n">
        <v>45901</v>
      </c>
      <c r="C488" s="1" t="n">
        <v>46082</v>
      </c>
      <c r="D488" t="inlineStr">
        <is>
          <t>SÖDERMANLANDS LÄN</t>
        </is>
      </c>
      <c r="E488" t="inlineStr">
        <is>
          <t>KATRINEHOLM</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33096-2025</t>
        </is>
      </c>
      <c r="B489" s="1" t="n">
        <v>45840.47563657408</v>
      </c>
      <c r="C489" s="1" t="n">
        <v>46082</v>
      </c>
      <c r="D489" t="inlineStr">
        <is>
          <t>SÖDERMANLANDS LÄN</t>
        </is>
      </c>
      <c r="E489" t="inlineStr">
        <is>
          <t>KATRINEHOLM</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33077-2025</t>
        </is>
      </c>
      <c r="B490" s="1" t="n">
        <v>45840.45864583334</v>
      </c>
      <c r="C490" s="1" t="n">
        <v>46082</v>
      </c>
      <c r="D490" t="inlineStr">
        <is>
          <t>SÖDERMANLANDS LÄN</t>
        </is>
      </c>
      <c r="E490" t="inlineStr">
        <is>
          <t>KATRINEHOLM</t>
        </is>
      </c>
      <c r="G490" t="n">
        <v>7</v>
      </c>
      <c r="H490" t="n">
        <v>0</v>
      </c>
      <c r="I490" t="n">
        <v>0</v>
      </c>
      <c r="J490" t="n">
        <v>0</v>
      </c>
      <c r="K490" t="n">
        <v>0</v>
      </c>
      <c r="L490" t="n">
        <v>0</v>
      </c>
      <c r="M490" t="n">
        <v>0</v>
      </c>
      <c r="N490" t="n">
        <v>0</v>
      </c>
      <c r="O490" t="n">
        <v>0</v>
      </c>
      <c r="P490" t="n">
        <v>0</v>
      </c>
      <c r="Q490" t="n">
        <v>0</v>
      </c>
      <c r="R490" s="2" t="inlineStr"/>
    </row>
    <row r="491" ht="15" customHeight="1">
      <c r="A491" t="inlineStr">
        <is>
          <t>A 33101-2025</t>
        </is>
      </c>
      <c r="B491" s="1" t="n">
        <v>45840.47953703703</v>
      </c>
      <c r="C491" s="1" t="n">
        <v>46082</v>
      </c>
      <c r="D491" t="inlineStr">
        <is>
          <t>SÖDERMANLANDS LÄN</t>
        </is>
      </c>
      <c r="E491" t="inlineStr">
        <is>
          <t>KATRINEHOLM</t>
        </is>
      </c>
      <c r="G491" t="n">
        <v>4.4</v>
      </c>
      <c r="H491" t="n">
        <v>0</v>
      </c>
      <c r="I491" t="n">
        <v>0</v>
      </c>
      <c r="J491" t="n">
        <v>0</v>
      </c>
      <c r="K491" t="n">
        <v>0</v>
      </c>
      <c r="L491" t="n">
        <v>0</v>
      </c>
      <c r="M491" t="n">
        <v>0</v>
      </c>
      <c r="N491" t="n">
        <v>0</v>
      </c>
      <c r="O491" t="n">
        <v>0</v>
      </c>
      <c r="P491" t="n">
        <v>0</v>
      </c>
      <c r="Q491" t="n">
        <v>0</v>
      </c>
      <c r="R491" s="2" t="inlineStr"/>
    </row>
    <row r="492" ht="15" customHeight="1">
      <c r="A492" t="inlineStr">
        <is>
          <t>A 54359-2025</t>
        </is>
      </c>
      <c r="B492" s="1" t="n">
        <v>45964</v>
      </c>
      <c r="C492" s="1" t="n">
        <v>46082</v>
      </c>
      <c r="D492" t="inlineStr">
        <is>
          <t>SÖDERMANLANDS LÄN</t>
        </is>
      </c>
      <c r="E492" t="inlineStr">
        <is>
          <t>KATRINEHOLM</t>
        </is>
      </c>
      <c r="G492" t="n">
        <v>2.5</v>
      </c>
      <c r="H492" t="n">
        <v>0</v>
      </c>
      <c r="I492" t="n">
        <v>0</v>
      </c>
      <c r="J492" t="n">
        <v>0</v>
      </c>
      <c r="K492" t="n">
        <v>0</v>
      </c>
      <c r="L492" t="n">
        <v>0</v>
      </c>
      <c r="M492" t="n">
        <v>0</v>
      </c>
      <c r="N492" t="n">
        <v>0</v>
      </c>
      <c r="O492" t="n">
        <v>0</v>
      </c>
      <c r="P492" t="n">
        <v>0</v>
      </c>
      <c r="Q492" t="n">
        <v>0</v>
      </c>
      <c r="R492" s="2" t="inlineStr"/>
    </row>
    <row r="493" ht="15" customHeight="1">
      <c r="A493" t="inlineStr">
        <is>
          <t>A 54395-2025</t>
        </is>
      </c>
      <c r="B493" s="1" t="n">
        <v>45964</v>
      </c>
      <c r="C493" s="1" t="n">
        <v>46082</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11104-2023</t>
        </is>
      </c>
      <c r="B494" s="1" t="n">
        <v>44992</v>
      </c>
      <c r="C494" s="1" t="n">
        <v>46082</v>
      </c>
      <c r="D494" t="inlineStr">
        <is>
          <t>SÖDERMANLANDS LÄN</t>
        </is>
      </c>
      <c r="E494" t="inlineStr">
        <is>
          <t>KATRINEHOLM</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4387-2024</t>
        </is>
      </c>
      <c r="B495" s="1" t="n">
        <v>45327.35068287037</v>
      </c>
      <c r="C495" s="1" t="n">
        <v>46082</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4872-2024</t>
        </is>
      </c>
      <c r="B496" s="1" t="n">
        <v>45329</v>
      </c>
      <c r="C496" s="1" t="n">
        <v>46082</v>
      </c>
      <c r="D496" t="inlineStr">
        <is>
          <t>SÖDERMANLANDS LÄN</t>
        </is>
      </c>
      <c r="E496" t="inlineStr">
        <is>
          <t>KATRINEHOLM</t>
        </is>
      </c>
      <c r="G496" t="n">
        <v>0.5</v>
      </c>
      <c r="H496" t="n">
        <v>0</v>
      </c>
      <c r="I496" t="n">
        <v>0</v>
      </c>
      <c r="J496" t="n">
        <v>0</v>
      </c>
      <c r="K496" t="n">
        <v>0</v>
      </c>
      <c r="L496" t="n">
        <v>0</v>
      </c>
      <c r="M496" t="n">
        <v>0</v>
      </c>
      <c r="N496" t="n">
        <v>0</v>
      </c>
      <c r="O496" t="n">
        <v>0</v>
      </c>
      <c r="P496" t="n">
        <v>0</v>
      </c>
      <c r="Q496" t="n">
        <v>0</v>
      </c>
      <c r="R496" s="2" t="inlineStr"/>
    </row>
    <row r="497" ht="15" customHeight="1">
      <c r="A497" t="inlineStr">
        <is>
          <t>A 29702-2021</t>
        </is>
      </c>
      <c r="B497" s="1" t="n">
        <v>44362</v>
      </c>
      <c r="C497" s="1" t="n">
        <v>46082</v>
      </c>
      <c r="D497" t="inlineStr">
        <is>
          <t>SÖDERMANLANDS LÄN</t>
        </is>
      </c>
      <c r="E497" t="inlineStr">
        <is>
          <t>KATRINEHOLM</t>
        </is>
      </c>
      <c r="F497" t="inlineStr">
        <is>
          <t>Holmen skog AB</t>
        </is>
      </c>
      <c r="G497" t="n">
        <v>0.3</v>
      </c>
      <c r="H497" t="n">
        <v>0</v>
      </c>
      <c r="I497" t="n">
        <v>0</v>
      </c>
      <c r="J497" t="n">
        <v>0</v>
      </c>
      <c r="K497" t="n">
        <v>0</v>
      </c>
      <c r="L497" t="n">
        <v>0</v>
      </c>
      <c r="M497" t="n">
        <v>0</v>
      </c>
      <c r="N497" t="n">
        <v>0</v>
      </c>
      <c r="O497" t="n">
        <v>0</v>
      </c>
      <c r="P497" t="n">
        <v>0</v>
      </c>
      <c r="Q497" t="n">
        <v>0</v>
      </c>
      <c r="R497" s="2" t="inlineStr"/>
    </row>
    <row r="498" ht="15" customHeight="1">
      <c r="A498" t="inlineStr">
        <is>
          <t>A 3986-2024</t>
        </is>
      </c>
      <c r="B498" s="1" t="n">
        <v>45322</v>
      </c>
      <c r="C498" s="1" t="n">
        <v>46082</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row>
    <row r="499" ht="15" customHeight="1">
      <c r="A499" t="inlineStr">
        <is>
          <t>A 55029-2025</t>
        </is>
      </c>
      <c r="B499" s="1" t="n">
        <v>45967.63784722222</v>
      </c>
      <c r="C499" s="1" t="n">
        <v>46082</v>
      </c>
      <c r="D499" t="inlineStr">
        <is>
          <t>SÖDERMANLANDS LÄN</t>
        </is>
      </c>
      <c r="E499" t="inlineStr">
        <is>
          <t>KATRINEHOLM</t>
        </is>
      </c>
      <c r="G499" t="n">
        <v>10.1</v>
      </c>
      <c r="H499" t="n">
        <v>0</v>
      </c>
      <c r="I499" t="n">
        <v>0</v>
      </c>
      <c r="J499" t="n">
        <v>0</v>
      </c>
      <c r="K499" t="n">
        <v>0</v>
      </c>
      <c r="L499" t="n">
        <v>0</v>
      </c>
      <c r="M499" t="n">
        <v>0</v>
      </c>
      <c r="N499" t="n">
        <v>0</v>
      </c>
      <c r="O499" t="n">
        <v>0</v>
      </c>
      <c r="P499" t="n">
        <v>0</v>
      </c>
      <c r="Q499" t="n">
        <v>0</v>
      </c>
      <c r="R499" s="2" t="inlineStr"/>
    </row>
    <row r="500" ht="15" customHeight="1">
      <c r="A500" t="inlineStr">
        <is>
          <t>A 10996-2022</t>
        </is>
      </c>
      <c r="B500" s="1" t="n">
        <v>44628</v>
      </c>
      <c r="C500" s="1" t="n">
        <v>46082</v>
      </c>
      <c r="D500" t="inlineStr">
        <is>
          <t>SÖDERMANLANDS LÄN</t>
        </is>
      </c>
      <c r="E500" t="inlineStr">
        <is>
          <t>KATRINEHOLM</t>
        </is>
      </c>
      <c r="G500" t="n">
        <v>0.3</v>
      </c>
      <c r="H500" t="n">
        <v>0</v>
      </c>
      <c r="I500" t="n">
        <v>0</v>
      </c>
      <c r="J500" t="n">
        <v>0</v>
      </c>
      <c r="K500" t="n">
        <v>0</v>
      </c>
      <c r="L500" t="n">
        <v>0</v>
      </c>
      <c r="M500" t="n">
        <v>0</v>
      </c>
      <c r="N500" t="n">
        <v>0</v>
      </c>
      <c r="O500" t="n">
        <v>0</v>
      </c>
      <c r="P500" t="n">
        <v>0</v>
      </c>
      <c r="Q500" t="n">
        <v>0</v>
      </c>
      <c r="R500" s="2" t="inlineStr"/>
    </row>
    <row r="501" ht="15" customHeight="1">
      <c r="A501" t="inlineStr">
        <is>
          <t>A 42451-2023</t>
        </is>
      </c>
      <c r="B501" s="1" t="n">
        <v>45180</v>
      </c>
      <c r="C501" s="1" t="n">
        <v>46082</v>
      </c>
      <c r="D501" t="inlineStr">
        <is>
          <t>SÖDERMANLANDS LÄN</t>
        </is>
      </c>
      <c r="E501" t="inlineStr">
        <is>
          <t>KATRINEHOLM</t>
        </is>
      </c>
      <c r="G501" t="n">
        <v>3.8</v>
      </c>
      <c r="H501" t="n">
        <v>0</v>
      </c>
      <c r="I501" t="n">
        <v>0</v>
      </c>
      <c r="J501" t="n">
        <v>0</v>
      </c>
      <c r="K501" t="n">
        <v>0</v>
      </c>
      <c r="L501" t="n">
        <v>0</v>
      </c>
      <c r="M501" t="n">
        <v>0</v>
      </c>
      <c r="N501" t="n">
        <v>0</v>
      </c>
      <c r="O501" t="n">
        <v>0</v>
      </c>
      <c r="P501" t="n">
        <v>0</v>
      </c>
      <c r="Q501" t="n">
        <v>0</v>
      </c>
      <c r="R501" s="2" t="inlineStr"/>
    </row>
    <row r="502" ht="15" customHeight="1">
      <c r="A502" t="inlineStr">
        <is>
          <t>A 54999-2025</t>
        </is>
      </c>
      <c r="B502" s="1" t="n">
        <v>45967.59880787037</v>
      </c>
      <c r="C502" s="1" t="n">
        <v>46082</v>
      </c>
      <c r="D502" t="inlineStr">
        <is>
          <t>SÖDERMANLANDS LÄN</t>
        </is>
      </c>
      <c r="E502" t="inlineStr">
        <is>
          <t>KATRINEHOLM</t>
        </is>
      </c>
      <c r="G502" t="n">
        <v>8.5</v>
      </c>
      <c r="H502" t="n">
        <v>0</v>
      </c>
      <c r="I502" t="n">
        <v>0</v>
      </c>
      <c r="J502" t="n">
        <v>0</v>
      </c>
      <c r="K502" t="n">
        <v>0</v>
      </c>
      <c r="L502" t="n">
        <v>0</v>
      </c>
      <c r="M502" t="n">
        <v>0</v>
      </c>
      <c r="N502" t="n">
        <v>0</v>
      </c>
      <c r="O502" t="n">
        <v>0</v>
      </c>
      <c r="P502" t="n">
        <v>0</v>
      </c>
      <c r="Q502" t="n">
        <v>0</v>
      </c>
      <c r="R502" s="2" t="inlineStr"/>
    </row>
    <row r="503" ht="15" customHeight="1">
      <c r="A503" t="inlineStr">
        <is>
          <t>A 13113-2023</t>
        </is>
      </c>
      <c r="B503" s="1" t="n">
        <v>45002</v>
      </c>
      <c r="C503" s="1" t="n">
        <v>46082</v>
      </c>
      <c r="D503" t="inlineStr">
        <is>
          <t>SÖDERMANLANDS LÄN</t>
        </is>
      </c>
      <c r="E503" t="inlineStr">
        <is>
          <t>KATRINEHOLM</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6606-2022</t>
        </is>
      </c>
      <c r="B504" s="1" t="n">
        <v>44601</v>
      </c>
      <c r="C504" s="1" t="n">
        <v>46082</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27646-2023</t>
        </is>
      </c>
      <c r="B505" s="1" t="n">
        <v>45097</v>
      </c>
      <c r="C505" s="1" t="n">
        <v>46082</v>
      </c>
      <c r="D505" t="inlineStr">
        <is>
          <t>SÖDERMANLANDS LÄN</t>
        </is>
      </c>
      <c r="E505" t="inlineStr">
        <is>
          <t>KATRINEHOLM</t>
        </is>
      </c>
      <c r="G505" t="n">
        <v>2.4</v>
      </c>
      <c r="H505" t="n">
        <v>0</v>
      </c>
      <c r="I505" t="n">
        <v>0</v>
      </c>
      <c r="J505" t="n">
        <v>0</v>
      </c>
      <c r="K505" t="n">
        <v>0</v>
      </c>
      <c r="L505" t="n">
        <v>0</v>
      </c>
      <c r="M505" t="n">
        <v>0</v>
      </c>
      <c r="N505" t="n">
        <v>0</v>
      </c>
      <c r="O505" t="n">
        <v>0</v>
      </c>
      <c r="P505" t="n">
        <v>0</v>
      </c>
      <c r="Q505" t="n">
        <v>0</v>
      </c>
      <c r="R505" s="2" t="inlineStr"/>
    </row>
    <row r="506" ht="15" customHeight="1">
      <c r="A506" t="inlineStr">
        <is>
          <t>A 15235-2023</t>
        </is>
      </c>
      <c r="B506" s="1" t="n">
        <v>45019</v>
      </c>
      <c r="C506" s="1" t="n">
        <v>46082</v>
      </c>
      <c r="D506" t="inlineStr">
        <is>
          <t>SÖDERMANLANDS LÄN</t>
        </is>
      </c>
      <c r="E506" t="inlineStr">
        <is>
          <t>KATRINEHOLM</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25433-2024</t>
        </is>
      </c>
      <c r="B507" s="1" t="n">
        <v>45463</v>
      </c>
      <c r="C507" s="1" t="n">
        <v>46082</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22304-2024</t>
        </is>
      </c>
      <c r="B508" s="1" t="n">
        <v>45446.56626157407</v>
      </c>
      <c r="C508" s="1" t="n">
        <v>46082</v>
      </c>
      <c r="D508" t="inlineStr">
        <is>
          <t>SÖDERMANLANDS LÄN</t>
        </is>
      </c>
      <c r="E508" t="inlineStr">
        <is>
          <t>KATRINEHOLM</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46082</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23341-2023</t>
        </is>
      </c>
      <c r="B510" s="1" t="n">
        <v>45076</v>
      </c>
      <c r="C510" s="1" t="n">
        <v>46082</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55829-2025</t>
        </is>
      </c>
      <c r="B511" s="1" t="n">
        <v>45972.79274305556</v>
      </c>
      <c r="C511" s="1" t="n">
        <v>46082</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55832-2025</t>
        </is>
      </c>
      <c r="B512" s="1" t="n">
        <v>45972.81768518518</v>
      </c>
      <c r="C512" s="1" t="n">
        <v>46082</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36366-2023</t>
        </is>
      </c>
      <c r="B513" s="1" t="n">
        <v>45152</v>
      </c>
      <c r="C513" s="1" t="n">
        <v>46082</v>
      </c>
      <c r="D513" t="inlineStr">
        <is>
          <t>SÖDERMANLANDS LÄN</t>
        </is>
      </c>
      <c r="E513" t="inlineStr">
        <is>
          <t>KATRINEHOLM</t>
        </is>
      </c>
      <c r="G513" t="n">
        <v>0.8</v>
      </c>
      <c r="H513" t="n">
        <v>0</v>
      </c>
      <c r="I513" t="n">
        <v>0</v>
      </c>
      <c r="J513" t="n">
        <v>0</v>
      </c>
      <c r="K513" t="n">
        <v>0</v>
      </c>
      <c r="L513" t="n">
        <v>0</v>
      </c>
      <c r="M513" t="n">
        <v>0</v>
      </c>
      <c r="N513" t="n">
        <v>0</v>
      </c>
      <c r="O513" t="n">
        <v>0</v>
      </c>
      <c r="P513" t="n">
        <v>0</v>
      </c>
      <c r="Q513" t="n">
        <v>0</v>
      </c>
      <c r="R513" s="2" t="inlineStr"/>
    </row>
    <row r="514" ht="15" customHeight="1">
      <c r="A514" t="inlineStr">
        <is>
          <t>A 36021-2023</t>
        </is>
      </c>
      <c r="B514" s="1" t="n">
        <v>45148</v>
      </c>
      <c r="C514" s="1" t="n">
        <v>46082</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28597-2024</t>
        </is>
      </c>
      <c r="B515" s="1" t="n">
        <v>45478</v>
      </c>
      <c r="C515" s="1" t="n">
        <v>46082</v>
      </c>
      <c r="D515" t="inlineStr">
        <is>
          <t>SÖDERMANLANDS LÄN</t>
        </is>
      </c>
      <c r="E515" t="inlineStr">
        <is>
          <t>KATRINEHOLM</t>
        </is>
      </c>
      <c r="G515" t="n">
        <v>1.8</v>
      </c>
      <c r="H515" t="n">
        <v>0</v>
      </c>
      <c r="I515" t="n">
        <v>0</v>
      </c>
      <c r="J515" t="n">
        <v>0</v>
      </c>
      <c r="K515" t="n">
        <v>0</v>
      </c>
      <c r="L515" t="n">
        <v>0</v>
      </c>
      <c r="M515" t="n">
        <v>0</v>
      </c>
      <c r="N515" t="n">
        <v>0</v>
      </c>
      <c r="O515" t="n">
        <v>0</v>
      </c>
      <c r="P515" t="n">
        <v>0</v>
      </c>
      <c r="Q515" t="n">
        <v>0</v>
      </c>
      <c r="R515" s="2" t="inlineStr"/>
    </row>
    <row r="516" ht="15" customHeight="1">
      <c r="A516" t="inlineStr">
        <is>
          <t>A 55831-2025</t>
        </is>
      </c>
      <c r="B516" s="1" t="n">
        <v>45972.81034722222</v>
      </c>
      <c r="C516" s="1" t="n">
        <v>46082</v>
      </c>
      <c r="D516" t="inlineStr">
        <is>
          <t>SÖDERMANLANDS LÄN</t>
        </is>
      </c>
      <c r="E516" t="inlineStr">
        <is>
          <t>KATRINEHOLM</t>
        </is>
      </c>
      <c r="G516" t="n">
        <v>6.2</v>
      </c>
      <c r="H516" t="n">
        <v>0</v>
      </c>
      <c r="I516" t="n">
        <v>0</v>
      </c>
      <c r="J516" t="n">
        <v>0</v>
      </c>
      <c r="K516" t="n">
        <v>0</v>
      </c>
      <c r="L516" t="n">
        <v>0</v>
      </c>
      <c r="M516" t="n">
        <v>0</v>
      </c>
      <c r="N516" t="n">
        <v>0</v>
      </c>
      <c r="O516" t="n">
        <v>0</v>
      </c>
      <c r="P516" t="n">
        <v>0</v>
      </c>
      <c r="Q516" t="n">
        <v>0</v>
      </c>
      <c r="R516" s="2" t="inlineStr"/>
    </row>
    <row r="517" ht="15" customHeight="1">
      <c r="A517" t="inlineStr">
        <is>
          <t>A 56330-2025</t>
        </is>
      </c>
      <c r="B517" s="1" t="n">
        <v>45974.64094907408</v>
      </c>
      <c r="C517" s="1" t="n">
        <v>46082</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56597-2025</t>
        </is>
      </c>
      <c r="B518" s="1" t="n">
        <v>45975.57271990741</v>
      </c>
      <c r="C518" s="1" t="n">
        <v>46082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29198-2023</t>
        </is>
      </c>
      <c r="B519" s="1" t="n">
        <v>45105</v>
      </c>
      <c r="C519" s="1" t="n">
        <v>46082</v>
      </c>
      <c r="D519" t="inlineStr">
        <is>
          <t>SÖDERMANLANDS LÄN</t>
        </is>
      </c>
      <c r="E519" t="inlineStr">
        <is>
          <t>KATRINEHOLM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9992-2022</t>
        </is>
      </c>
      <c r="B520" s="1" t="n">
        <v>44621</v>
      </c>
      <c r="C520" s="1" t="n">
        <v>46082</v>
      </c>
      <c r="D520" t="inlineStr">
        <is>
          <t>SÖDERMANLANDS LÄN</t>
        </is>
      </c>
      <c r="E520" t="inlineStr">
        <is>
          <t>KATRINEHOLM</t>
        </is>
      </c>
      <c r="G520" t="n">
        <v>1.6</v>
      </c>
      <c r="H520" t="n">
        <v>0</v>
      </c>
      <c r="I520" t="n">
        <v>0</v>
      </c>
      <c r="J520" t="n">
        <v>0</v>
      </c>
      <c r="K520" t="n">
        <v>0</v>
      </c>
      <c r="L520" t="n">
        <v>0</v>
      </c>
      <c r="M520" t="n">
        <v>0</v>
      </c>
      <c r="N520" t="n">
        <v>0</v>
      </c>
      <c r="O520" t="n">
        <v>0</v>
      </c>
      <c r="P520" t="n">
        <v>0</v>
      </c>
      <c r="Q520" t="n">
        <v>0</v>
      </c>
      <c r="R520" s="2" t="inlineStr"/>
    </row>
    <row r="521" ht="15" customHeight="1">
      <c r="A521" t="inlineStr">
        <is>
          <t>A 41267-2023</t>
        </is>
      </c>
      <c r="B521" s="1" t="n">
        <v>45174</v>
      </c>
      <c r="C521" s="1" t="n">
        <v>46082</v>
      </c>
      <c r="D521" t="inlineStr">
        <is>
          <t>SÖDERMANLANDS LÄN</t>
        </is>
      </c>
      <c r="E521" t="inlineStr">
        <is>
          <t>KATRINEHOLM</t>
        </is>
      </c>
      <c r="F521" t="inlineStr">
        <is>
          <t>Holmen skog AB</t>
        </is>
      </c>
      <c r="G521" t="n">
        <v>4.5</v>
      </c>
      <c r="H521" t="n">
        <v>0</v>
      </c>
      <c r="I521" t="n">
        <v>0</v>
      </c>
      <c r="J521" t="n">
        <v>0</v>
      </c>
      <c r="K521" t="n">
        <v>0</v>
      </c>
      <c r="L521" t="n">
        <v>0</v>
      </c>
      <c r="M521" t="n">
        <v>0</v>
      </c>
      <c r="N521" t="n">
        <v>0</v>
      </c>
      <c r="O521" t="n">
        <v>0</v>
      </c>
      <c r="P521" t="n">
        <v>0</v>
      </c>
      <c r="Q521" t="n">
        <v>0</v>
      </c>
      <c r="R521" s="2" t="inlineStr"/>
    </row>
    <row r="522" ht="15" customHeight="1">
      <c r="A522" t="inlineStr">
        <is>
          <t>A 57323-2025</t>
        </is>
      </c>
      <c r="B522" s="1" t="n">
        <v>45980.32501157407</v>
      </c>
      <c r="C522" s="1" t="n">
        <v>46082</v>
      </c>
      <c r="D522" t="inlineStr">
        <is>
          <t>SÖDERMANLANDS LÄN</t>
        </is>
      </c>
      <c r="E522" t="inlineStr">
        <is>
          <t>KATRINEHOLM</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4650-2024</t>
        </is>
      </c>
      <c r="B523" s="1" t="n">
        <v>45328</v>
      </c>
      <c r="C523" s="1" t="n">
        <v>46082</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4652-2024</t>
        </is>
      </c>
      <c r="B524" s="1" t="n">
        <v>45328</v>
      </c>
      <c r="C524" s="1" t="n">
        <v>46082</v>
      </c>
      <c r="D524" t="inlineStr">
        <is>
          <t>SÖDERMANLANDS LÄN</t>
        </is>
      </c>
      <c r="E524" t="inlineStr">
        <is>
          <t>KATRINEHOLM</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29008-2024</t>
        </is>
      </c>
      <c r="B525" s="1" t="n">
        <v>45481</v>
      </c>
      <c r="C525" s="1" t="n">
        <v>46082</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46082</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4645-2024</t>
        </is>
      </c>
      <c r="B527" s="1" t="n">
        <v>45328</v>
      </c>
      <c r="C527" s="1" t="n">
        <v>46082</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57975-2025</t>
        </is>
      </c>
      <c r="B528" s="1" t="n">
        <v>45981</v>
      </c>
      <c r="C528" s="1" t="n">
        <v>46082</v>
      </c>
      <c r="D528" t="inlineStr">
        <is>
          <t>SÖDERMANLANDS LÄN</t>
        </is>
      </c>
      <c r="E528" t="inlineStr">
        <is>
          <t>KATRINEHOLM</t>
        </is>
      </c>
      <c r="G528" t="n">
        <v>3.1</v>
      </c>
      <c r="H528" t="n">
        <v>0</v>
      </c>
      <c r="I528" t="n">
        <v>0</v>
      </c>
      <c r="J528" t="n">
        <v>0</v>
      </c>
      <c r="K528" t="n">
        <v>0</v>
      </c>
      <c r="L528" t="n">
        <v>0</v>
      </c>
      <c r="M528" t="n">
        <v>0</v>
      </c>
      <c r="N528" t="n">
        <v>0</v>
      </c>
      <c r="O528" t="n">
        <v>0</v>
      </c>
      <c r="P528" t="n">
        <v>0</v>
      </c>
      <c r="Q528" t="n">
        <v>0</v>
      </c>
      <c r="R528" s="2" t="inlineStr"/>
    </row>
    <row r="529" ht="15" customHeight="1">
      <c r="A529" t="inlineStr">
        <is>
          <t>A 36001-2024</t>
        </is>
      </c>
      <c r="B529" s="1" t="n">
        <v>45533.54609953704</v>
      </c>
      <c r="C529" s="1" t="n">
        <v>46082</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36832-2023</t>
        </is>
      </c>
      <c r="B530" s="1" t="n">
        <v>45153</v>
      </c>
      <c r="C530" s="1" t="n">
        <v>46082</v>
      </c>
      <c r="D530" t="inlineStr">
        <is>
          <t>SÖDERMANLANDS LÄN</t>
        </is>
      </c>
      <c r="E530" t="inlineStr">
        <is>
          <t>KATRINEHOLM</t>
        </is>
      </c>
      <c r="F530" t="inlineStr">
        <is>
          <t>Övriga Aktiebolag</t>
        </is>
      </c>
      <c r="G530" t="n">
        <v>9</v>
      </c>
      <c r="H530" t="n">
        <v>0</v>
      </c>
      <c r="I530" t="n">
        <v>0</v>
      </c>
      <c r="J530" t="n">
        <v>0</v>
      </c>
      <c r="K530" t="n">
        <v>0</v>
      </c>
      <c r="L530" t="n">
        <v>0</v>
      </c>
      <c r="M530" t="n">
        <v>0</v>
      </c>
      <c r="N530" t="n">
        <v>0</v>
      </c>
      <c r="O530" t="n">
        <v>0</v>
      </c>
      <c r="P530" t="n">
        <v>0</v>
      </c>
      <c r="Q530" t="n">
        <v>0</v>
      </c>
      <c r="R530" s="2" t="inlineStr"/>
    </row>
    <row r="531" ht="15" customHeight="1">
      <c r="A531" t="inlineStr">
        <is>
          <t>A 28931-2024</t>
        </is>
      </c>
      <c r="B531" s="1" t="n">
        <v>45479</v>
      </c>
      <c r="C531" s="1" t="n">
        <v>46082</v>
      </c>
      <c r="D531" t="inlineStr">
        <is>
          <t>SÖDERMANLANDS LÄN</t>
        </is>
      </c>
      <c r="E531" t="inlineStr">
        <is>
          <t>KATRINEHOLM</t>
        </is>
      </c>
      <c r="G531" t="n">
        <v>7.4</v>
      </c>
      <c r="H531" t="n">
        <v>0</v>
      </c>
      <c r="I531" t="n">
        <v>0</v>
      </c>
      <c r="J531" t="n">
        <v>0</v>
      </c>
      <c r="K531" t="n">
        <v>0</v>
      </c>
      <c r="L531" t="n">
        <v>0</v>
      </c>
      <c r="M531" t="n">
        <v>0</v>
      </c>
      <c r="N531" t="n">
        <v>0</v>
      </c>
      <c r="O531" t="n">
        <v>0</v>
      </c>
      <c r="P531" t="n">
        <v>0</v>
      </c>
      <c r="Q531" t="n">
        <v>0</v>
      </c>
      <c r="R531" s="2" t="inlineStr"/>
    </row>
    <row r="532" ht="15" customHeight="1">
      <c r="A532" t="inlineStr">
        <is>
          <t>A 6810-2023</t>
        </is>
      </c>
      <c r="B532" s="1" t="n">
        <v>44964</v>
      </c>
      <c r="C532" s="1" t="n">
        <v>46082</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32944-2023</t>
        </is>
      </c>
      <c r="B533" s="1" t="n">
        <v>45125</v>
      </c>
      <c r="C533" s="1" t="n">
        <v>46082</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29977-2023</t>
        </is>
      </c>
      <c r="B534" s="1" t="n">
        <v>45108</v>
      </c>
      <c r="C534" s="1" t="n">
        <v>46082</v>
      </c>
      <c r="D534" t="inlineStr">
        <is>
          <t>SÖDERMANLANDS LÄN</t>
        </is>
      </c>
      <c r="E534" t="inlineStr">
        <is>
          <t>KATRINEHOLM</t>
        </is>
      </c>
      <c r="G534" t="n">
        <v>2.4</v>
      </c>
      <c r="H534" t="n">
        <v>0</v>
      </c>
      <c r="I534" t="n">
        <v>0</v>
      </c>
      <c r="J534" t="n">
        <v>0</v>
      </c>
      <c r="K534" t="n">
        <v>0</v>
      </c>
      <c r="L534" t="n">
        <v>0</v>
      </c>
      <c r="M534" t="n">
        <v>0</v>
      </c>
      <c r="N534" t="n">
        <v>0</v>
      </c>
      <c r="O534" t="n">
        <v>0</v>
      </c>
      <c r="P534" t="n">
        <v>0</v>
      </c>
      <c r="Q534" t="n">
        <v>0</v>
      </c>
      <c r="R534" s="2" t="inlineStr"/>
    </row>
    <row r="535" ht="15" customHeight="1">
      <c r="A535" t="inlineStr">
        <is>
          <t>A 5788-2022</t>
        </is>
      </c>
      <c r="B535" s="1" t="n">
        <v>44596.54990740741</v>
      </c>
      <c r="C535" s="1" t="n">
        <v>46082</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20803-2024</t>
        </is>
      </c>
      <c r="B536" s="1" t="n">
        <v>45438</v>
      </c>
      <c r="C536" s="1" t="n">
        <v>46082</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5795-2022</t>
        </is>
      </c>
      <c r="B537" s="1" t="n">
        <v>44596</v>
      </c>
      <c r="C537" s="1" t="n">
        <v>46082</v>
      </c>
      <c r="D537" t="inlineStr">
        <is>
          <t>SÖDERMANLANDS LÄN</t>
        </is>
      </c>
      <c r="E537" t="inlineStr">
        <is>
          <t>KATRINEHOLM</t>
        </is>
      </c>
      <c r="G537" t="n">
        <v>8.1</v>
      </c>
      <c r="H537" t="n">
        <v>0</v>
      </c>
      <c r="I537" t="n">
        <v>0</v>
      </c>
      <c r="J537" t="n">
        <v>0</v>
      </c>
      <c r="K537" t="n">
        <v>0</v>
      </c>
      <c r="L537" t="n">
        <v>0</v>
      </c>
      <c r="M537" t="n">
        <v>0</v>
      </c>
      <c r="N537" t="n">
        <v>0</v>
      </c>
      <c r="O537" t="n">
        <v>0</v>
      </c>
      <c r="P537" t="n">
        <v>0</v>
      </c>
      <c r="Q537" t="n">
        <v>0</v>
      </c>
      <c r="R537" s="2" t="inlineStr"/>
    </row>
    <row r="538" ht="15" customHeight="1">
      <c r="A538" t="inlineStr">
        <is>
          <t>A 3075-2022</t>
        </is>
      </c>
      <c r="B538" s="1" t="n">
        <v>44582</v>
      </c>
      <c r="C538" s="1" t="n">
        <v>46082</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46082</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46082</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8087-2022</t>
        </is>
      </c>
      <c r="B541" s="1" t="n">
        <v>44609.53502314815</v>
      </c>
      <c r="C541" s="1" t="n">
        <v>46082</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50935-2023</t>
        </is>
      </c>
      <c r="B542" s="1" t="n">
        <v>45211</v>
      </c>
      <c r="C542" s="1" t="n">
        <v>46082</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6298-2024</t>
        </is>
      </c>
      <c r="B543" s="1" t="n">
        <v>45338.34245370371</v>
      </c>
      <c r="C543" s="1" t="n">
        <v>46082</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33001-2024</t>
        </is>
      </c>
      <c r="B544" s="1" t="n">
        <v>45517</v>
      </c>
      <c r="C544" s="1" t="n">
        <v>46082</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59967-2025</t>
        </is>
      </c>
      <c r="B545" s="1" t="n">
        <v>45993.48525462963</v>
      </c>
      <c r="C545" s="1" t="n">
        <v>46082</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58175-2024</t>
        </is>
      </c>
      <c r="B546" s="1" t="n">
        <v>45632.46648148148</v>
      </c>
      <c r="C546" s="1" t="n">
        <v>46082</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53715-2023</t>
        </is>
      </c>
      <c r="B547" s="1" t="n">
        <v>45230</v>
      </c>
      <c r="C547" s="1" t="n">
        <v>46082</v>
      </c>
      <c r="D547" t="inlineStr">
        <is>
          <t>SÖDERMANLANDS LÄN</t>
        </is>
      </c>
      <c r="E547" t="inlineStr">
        <is>
          <t>KATRINEHOLM</t>
        </is>
      </c>
      <c r="F547" t="inlineStr">
        <is>
          <t>Allmännings- och besparingsskogar</t>
        </is>
      </c>
      <c r="G547" t="n">
        <v>5.6</v>
      </c>
      <c r="H547" t="n">
        <v>0</v>
      </c>
      <c r="I547" t="n">
        <v>0</v>
      </c>
      <c r="J547" t="n">
        <v>0</v>
      </c>
      <c r="K547" t="n">
        <v>0</v>
      </c>
      <c r="L547" t="n">
        <v>0</v>
      </c>
      <c r="M547" t="n">
        <v>0</v>
      </c>
      <c r="N547" t="n">
        <v>0</v>
      </c>
      <c r="O547" t="n">
        <v>0</v>
      </c>
      <c r="P547" t="n">
        <v>0</v>
      </c>
      <c r="Q547" t="n">
        <v>0</v>
      </c>
      <c r="R547" s="2" t="inlineStr"/>
    </row>
    <row r="548" ht="15" customHeight="1">
      <c r="A548" t="inlineStr">
        <is>
          <t>A 23705-2023</t>
        </is>
      </c>
      <c r="B548" s="1" t="n">
        <v>45077</v>
      </c>
      <c r="C548" s="1" t="n">
        <v>46082</v>
      </c>
      <c r="D548" t="inlineStr">
        <is>
          <t>SÖDERMANLANDS LÄN</t>
        </is>
      </c>
      <c r="E548" t="inlineStr">
        <is>
          <t>KATRINEHOLM</t>
        </is>
      </c>
      <c r="F548" t="inlineStr">
        <is>
          <t>Kyrkan</t>
        </is>
      </c>
      <c r="G548" t="n">
        <v>11.9</v>
      </c>
      <c r="H548" t="n">
        <v>0</v>
      </c>
      <c r="I548" t="n">
        <v>0</v>
      </c>
      <c r="J548" t="n">
        <v>0</v>
      </c>
      <c r="K548" t="n">
        <v>0</v>
      </c>
      <c r="L548" t="n">
        <v>0</v>
      </c>
      <c r="M548" t="n">
        <v>0</v>
      </c>
      <c r="N548" t="n">
        <v>0</v>
      </c>
      <c r="O548" t="n">
        <v>0</v>
      </c>
      <c r="P548" t="n">
        <v>0</v>
      </c>
      <c r="Q548" t="n">
        <v>0</v>
      </c>
      <c r="R548" s="2" t="inlineStr"/>
    </row>
    <row r="549" ht="15" customHeight="1">
      <c r="A549" t="inlineStr">
        <is>
          <t>A 60678-2025</t>
        </is>
      </c>
      <c r="B549" s="1" t="n">
        <v>45996.56251157408</v>
      </c>
      <c r="C549" s="1" t="n">
        <v>46082</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61121-2025</t>
        </is>
      </c>
      <c r="B550" s="1" t="n">
        <v>46000.46746527778</v>
      </c>
      <c r="C550" s="1" t="n">
        <v>46082</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61066-2025</t>
        </is>
      </c>
      <c r="B551" s="1" t="n">
        <v>46000.37695601852</v>
      </c>
      <c r="C551" s="1" t="n">
        <v>46082</v>
      </c>
      <c r="D551" t="inlineStr">
        <is>
          <t>SÖDERMANLANDS LÄN</t>
        </is>
      </c>
      <c r="E551" t="inlineStr">
        <is>
          <t>KATRINEHOLM</t>
        </is>
      </c>
      <c r="F551" t="inlineStr">
        <is>
          <t>Kyrkan</t>
        </is>
      </c>
      <c r="G551" t="n">
        <v>5</v>
      </c>
      <c r="H551" t="n">
        <v>0</v>
      </c>
      <c r="I551" t="n">
        <v>0</v>
      </c>
      <c r="J551" t="n">
        <v>0</v>
      </c>
      <c r="K551" t="n">
        <v>0</v>
      </c>
      <c r="L551" t="n">
        <v>0</v>
      </c>
      <c r="M551" t="n">
        <v>0</v>
      </c>
      <c r="N551" t="n">
        <v>0</v>
      </c>
      <c r="O551" t="n">
        <v>0</v>
      </c>
      <c r="P551" t="n">
        <v>0</v>
      </c>
      <c r="Q551" t="n">
        <v>0</v>
      </c>
      <c r="R551" s="2" t="inlineStr"/>
    </row>
    <row r="552" ht="15" customHeight="1">
      <c r="A552" t="inlineStr">
        <is>
          <t>A 39120-2023</t>
        </is>
      </c>
      <c r="B552" s="1" t="n">
        <v>45165</v>
      </c>
      <c r="C552" s="1" t="n">
        <v>46082</v>
      </c>
      <c r="D552" t="inlineStr">
        <is>
          <t>SÖDERMANLANDS LÄN</t>
        </is>
      </c>
      <c r="E552" t="inlineStr">
        <is>
          <t>KATRINEHOLM</t>
        </is>
      </c>
      <c r="G552" t="n">
        <v>4.4</v>
      </c>
      <c r="H552" t="n">
        <v>0</v>
      </c>
      <c r="I552" t="n">
        <v>0</v>
      </c>
      <c r="J552" t="n">
        <v>0</v>
      </c>
      <c r="K552" t="n">
        <v>0</v>
      </c>
      <c r="L552" t="n">
        <v>0</v>
      </c>
      <c r="M552" t="n">
        <v>0</v>
      </c>
      <c r="N552" t="n">
        <v>0</v>
      </c>
      <c r="O552" t="n">
        <v>0</v>
      </c>
      <c r="P552" t="n">
        <v>0</v>
      </c>
      <c r="Q552" t="n">
        <v>0</v>
      </c>
      <c r="R552" s="2" t="inlineStr"/>
    </row>
    <row r="553" ht="15" customHeight="1">
      <c r="A553" t="inlineStr">
        <is>
          <t>A 51397-2023</t>
        </is>
      </c>
      <c r="B553" s="1" t="n">
        <v>45214</v>
      </c>
      <c r="C553" s="1" t="n">
        <v>46082</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19452-2023</t>
        </is>
      </c>
      <c r="B554" s="1" t="n">
        <v>45050</v>
      </c>
      <c r="C554" s="1" t="n">
        <v>46082</v>
      </c>
      <c r="D554" t="inlineStr">
        <is>
          <t>SÖDERMANLANDS LÄN</t>
        </is>
      </c>
      <c r="E554" t="inlineStr">
        <is>
          <t>KATRINEHOLM</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52658-2023</t>
        </is>
      </c>
      <c r="B555" s="1" t="n">
        <v>45225</v>
      </c>
      <c r="C555" s="1" t="n">
        <v>46082</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61721-2025</t>
        </is>
      </c>
      <c r="B556" s="1" t="n">
        <v>46002.57778935185</v>
      </c>
      <c r="C556" s="1" t="n">
        <v>46082</v>
      </c>
      <c r="D556" t="inlineStr">
        <is>
          <t>SÖDERMANLANDS LÄN</t>
        </is>
      </c>
      <c r="E556" t="inlineStr">
        <is>
          <t>KATRINEHOLM</t>
        </is>
      </c>
      <c r="G556" t="n">
        <v>4.5</v>
      </c>
      <c r="H556" t="n">
        <v>0</v>
      </c>
      <c r="I556" t="n">
        <v>0</v>
      </c>
      <c r="J556" t="n">
        <v>0</v>
      </c>
      <c r="K556" t="n">
        <v>0</v>
      </c>
      <c r="L556" t="n">
        <v>0</v>
      </c>
      <c r="M556" t="n">
        <v>0</v>
      </c>
      <c r="N556" t="n">
        <v>0</v>
      </c>
      <c r="O556" t="n">
        <v>0</v>
      </c>
      <c r="P556" t="n">
        <v>0</v>
      </c>
      <c r="Q556" t="n">
        <v>0</v>
      </c>
      <c r="R556" s="2" t="inlineStr"/>
    </row>
    <row r="557" ht="15" customHeight="1">
      <c r="A557" t="inlineStr">
        <is>
          <t>A 5320-2025</t>
        </is>
      </c>
      <c r="B557" s="1" t="n">
        <v>45692</v>
      </c>
      <c r="C557" s="1" t="n">
        <v>46082</v>
      </c>
      <c r="D557" t="inlineStr">
        <is>
          <t>SÖDERMANLANDS LÄN</t>
        </is>
      </c>
      <c r="E557" t="inlineStr">
        <is>
          <t>KATRINEHOLM</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2606-2025</t>
        </is>
      </c>
      <c r="B558" s="1" t="n">
        <v>45674</v>
      </c>
      <c r="C558" s="1" t="n">
        <v>46082</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39748-2022</t>
        </is>
      </c>
      <c r="B559" s="1" t="n">
        <v>44817</v>
      </c>
      <c r="C559" s="1" t="n">
        <v>46082</v>
      </c>
      <c r="D559" t="inlineStr">
        <is>
          <t>SÖDERMANLANDS LÄN</t>
        </is>
      </c>
      <c r="E559" t="inlineStr">
        <is>
          <t>KATRINEHOLM</t>
        </is>
      </c>
      <c r="G559" t="n">
        <v>10.2</v>
      </c>
      <c r="H559" t="n">
        <v>0</v>
      </c>
      <c r="I559" t="n">
        <v>0</v>
      </c>
      <c r="J559" t="n">
        <v>0</v>
      </c>
      <c r="K559" t="n">
        <v>0</v>
      </c>
      <c r="L559" t="n">
        <v>0</v>
      </c>
      <c r="M559" t="n">
        <v>0</v>
      </c>
      <c r="N559" t="n">
        <v>0</v>
      </c>
      <c r="O559" t="n">
        <v>0</v>
      </c>
      <c r="P559" t="n">
        <v>0</v>
      </c>
      <c r="Q559" t="n">
        <v>0</v>
      </c>
      <c r="R559" s="2" t="inlineStr"/>
    </row>
    <row r="560" ht="15" customHeight="1">
      <c r="A560" t="inlineStr">
        <is>
          <t>A 34731-2023</t>
        </is>
      </c>
      <c r="B560" s="1" t="n">
        <v>45141</v>
      </c>
      <c r="C560" s="1" t="n">
        <v>46082</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34739-2023</t>
        </is>
      </c>
      <c r="B561" s="1" t="n">
        <v>45141</v>
      </c>
      <c r="C561" s="1" t="n">
        <v>46082</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4889-2026</t>
        </is>
      </c>
      <c r="B562" s="1" t="n">
        <v>46048.66766203703</v>
      </c>
      <c r="C562" s="1" t="n">
        <v>46082</v>
      </c>
      <c r="D562" t="inlineStr">
        <is>
          <t>SÖDERMANLANDS LÄN</t>
        </is>
      </c>
      <c r="E562" t="inlineStr">
        <is>
          <t>KATRINEHOLM</t>
        </is>
      </c>
      <c r="F562" t="inlineStr">
        <is>
          <t>Övriga Aktiebolag</t>
        </is>
      </c>
      <c r="G562" t="n">
        <v>2.4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46082</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46082</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46082</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46082</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46082</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46082</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46082</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46082</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46082</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46082</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63945-2025</t>
        </is>
      </c>
      <c r="B573" s="1" t="n">
        <v>46010</v>
      </c>
      <c r="C573" s="1" t="n">
        <v>46082</v>
      </c>
      <c r="D573" t="inlineStr">
        <is>
          <t>SÖDERMANLANDS LÄN</t>
        </is>
      </c>
      <c r="E573" t="inlineStr">
        <is>
          <t>KATRINEHOLM</t>
        </is>
      </c>
      <c r="F573" t="inlineStr">
        <is>
          <t>Allmännings- och besparingsskogar</t>
        </is>
      </c>
      <c r="G573" t="n">
        <v>1.2</v>
      </c>
      <c r="H573" t="n">
        <v>0</v>
      </c>
      <c r="I573" t="n">
        <v>0</v>
      </c>
      <c r="J573" t="n">
        <v>0</v>
      </c>
      <c r="K573" t="n">
        <v>0</v>
      </c>
      <c r="L573" t="n">
        <v>0</v>
      </c>
      <c r="M573" t="n">
        <v>0</v>
      </c>
      <c r="N573" t="n">
        <v>0</v>
      </c>
      <c r="O573" t="n">
        <v>0</v>
      </c>
      <c r="P573" t="n">
        <v>0</v>
      </c>
      <c r="Q573" t="n">
        <v>0</v>
      </c>
      <c r="R573" s="2" t="inlineStr"/>
    </row>
    <row r="574" ht="15" customHeight="1">
      <c r="A574" t="inlineStr">
        <is>
          <t>A 63947-2025</t>
        </is>
      </c>
      <c r="B574" s="1" t="n">
        <v>46010</v>
      </c>
      <c r="C574" s="1" t="n">
        <v>46082</v>
      </c>
      <c r="D574" t="inlineStr">
        <is>
          <t>SÖDERMANLANDS LÄN</t>
        </is>
      </c>
      <c r="E574" t="inlineStr">
        <is>
          <t>KATRINEHOLM</t>
        </is>
      </c>
      <c r="F574" t="inlineStr">
        <is>
          <t>Allmännings- och besparingsskogar</t>
        </is>
      </c>
      <c r="G574" t="n">
        <v>4.8</v>
      </c>
      <c r="H574" t="n">
        <v>0</v>
      </c>
      <c r="I574" t="n">
        <v>0</v>
      </c>
      <c r="J574" t="n">
        <v>0</v>
      </c>
      <c r="K574" t="n">
        <v>0</v>
      </c>
      <c r="L574" t="n">
        <v>0</v>
      </c>
      <c r="M574" t="n">
        <v>0</v>
      </c>
      <c r="N574" t="n">
        <v>0</v>
      </c>
      <c r="O574" t="n">
        <v>0</v>
      </c>
      <c r="P574" t="n">
        <v>0</v>
      </c>
      <c r="Q574" t="n">
        <v>0</v>
      </c>
      <c r="R574" s="2" t="inlineStr"/>
    </row>
    <row r="575" ht="15" customHeight="1">
      <c r="A575" t="inlineStr">
        <is>
          <t>A 63949-2025</t>
        </is>
      </c>
      <c r="B575" s="1" t="n">
        <v>46010</v>
      </c>
      <c r="C575" s="1" t="n">
        <v>46082</v>
      </c>
      <c r="D575" t="inlineStr">
        <is>
          <t>SÖDERMANLANDS LÄN</t>
        </is>
      </c>
      <c r="E575" t="inlineStr">
        <is>
          <t>KATRINEHOLM</t>
        </is>
      </c>
      <c r="F575" t="inlineStr">
        <is>
          <t>Allmännings- och besparingsskogar</t>
        </is>
      </c>
      <c r="G575" t="n">
        <v>5.1</v>
      </c>
      <c r="H575" t="n">
        <v>0</v>
      </c>
      <c r="I575" t="n">
        <v>0</v>
      </c>
      <c r="J575" t="n">
        <v>0</v>
      </c>
      <c r="K575" t="n">
        <v>0</v>
      </c>
      <c r="L575" t="n">
        <v>0</v>
      </c>
      <c r="M575" t="n">
        <v>0</v>
      </c>
      <c r="N575" t="n">
        <v>0</v>
      </c>
      <c r="O575" t="n">
        <v>0</v>
      </c>
      <c r="P575" t="n">
        <v>0</v>
      </c>
      <c r="Q575" t="n">
        <v>0</v>
      </c>
      <c r="R575" s="2" t="inlineStr"/>
    </row>
    <row r="576" ht="15" customHeight="1">
      <c r="A576" t="inlineStr">
        <is>
          <t>A 15898-2022</t>
        </is>
      </c>
      <c r="B576" s="1" t="n">
        <v>44664.55688657407</v>
      </c>
      <c r="C576" s="1" t="n">
        <v>46082</v>
      </c>
      <c r="D576" t="inlineStr">
        <is>
          <t>SÖDERMANLANDS LÄN</t>
        </is>
      </c>
      <c r="E576" t="inlineStr">
        <is>
          <t>KATRINEHOLM</t>
        </is>
      </c>
      <c r="G576" t="n">
        <v>6.5</v>
      </c>
      <c r="H576" t="n">
        <v>0</v>
      </c>
      <c r="I576" t="n">
        <v>0</v>
      </c>
      <c r="J576" t="n">
        <v>0</v>
      </c>
      <c r="K576" t="n">
        <v>0</v>
      </c>
      <c r="L576" t="n">
        <v>0</v>
      </c>
      <c r="M576" t="n">
        <v>0</v>
      </c>
      <c r="N576" t="n">
        <v>0</v>
      </c>
      <c r="O576" t="n">
        <v>0</v>
      </c>
      <c r="P576" t="n">
        <v>0</v>
      </c>
      <c r="Q576" t="n">
        <v>0</v>
      </c>
      <c r="R576" s="2" t="inlineStr"/>
    </row>
    <row r="577" ht="15" customHeight="1">
      <c r="A577" t="inlineStr">
        <is>
          <t>A 15910-2022</t>
        </is>
      </c>
      <c r="B577" s="1" t="n">
        <v>44664</v>
      </c>
      <c r="C577" s="1" t="n">
        <v>46082</v>
      </c>
      <c r="D577" t="inlineStr">
        <is>
          <t>SÖDERMANLANDS LÄN</t>
        </is>
      </c>
      <c r="E577" t="inlineStr">
        <is>
          <t>KATRINEHOLM</t>
        </is>
      </c>
      <c r="G577" t="n">
        <v>5.6</v>
      </c>
      <c r="H577" t="n">
        <v>0</v>
      </c>
      <c r="I577" t="n">
        <v>0</v>
      </c>
      <c r="J577" t="n">
        <v>0</v>
      </c>
      <c r="K577" t="n">
        <v>0</v>
      </c>
      <c r="L577" t="n">
        <v>0</v>
      </c>
      <c r="M577" t="n">
        <v>0</v>
      </c>
      <c r="N577" t="n">
        <v>0</v>
      </c>
      <c r="O577" t="n">
        <v>0</v>
      </c>
      <c r="P577" t="n">
        <v>0</v>
      </c>
      <c r="Q577" t="n">
        <v>0</v>
      </c>
      <c r="R577" s="2" t="inlineStr"/>
    </row>
    <row r="578" ht="15" customHeight="1">
      <c r="A578" t="inlineStr">
        <is>
          <t>A 32818-2023</t>
        </is>
      </c>
      <c r="B578" s="1" t="n">
        <v>45124.55633101852</v>
      </c>
      <c r="C578" s="1" t="n">
        <v>46082</v>
      </c>
      <c r="D578" t="inlineStr">
        <is>
          <t>SÖDERMANLANDS LÄN</t>
        </is>
      </c>
      <c r="E578" t="inlineStr">
        <is>
          <t>KATRINEHOLM</t>
        </is>
      </c>
      <c r="G578" t="n">
        <v>3.4</v>
      </c>
      <c r="H578" t="n">
        <v>0</v>
      </c>
      <c r="I578" t="n">
        <v>0</v>
      </c>
      <c r="J578" t="n">
        <v>0</v>
      </c>
      <c r="K578" t="n">
        <v>0</v>
      </c>
      <c r="L578" t="n">
        <v>0</v>
      </c>
      <c r="M578" t="n">
        <v>0</v>
      </c>
      <c r="N578" t="n">
        <v>0</v>
      </c>
      <c r="O578" t="n">
        <v>0</v>
      </c>
      <c r="P578" t="n">
        <v>0</v>
      </c>
      <c r="Q578" t="n">
        <v>0</v>
      </c>
      <c r="R578" s="2" t="inlineStr"/>
    </row>
    <row r="579" ht="15" customHeight="1">
      <c r="A579" t="inlineStr">
        <is>
          <t>A 20214-2025</t>
        </is>
      </c>
      <c r="B579" s="1" t="n">
        <v>45772.63540509259</v>
      </c>
      <c r="C579" s="1" t="n">
        <v>46082</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5703-2026</t>
        </is>
      </c>
      <c r="B580" s="1" t="n">
        <v>46051.50774305555</v>
      </c>
      <c r="C580" s="1" t="n">
        <v>46082</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63948-2025</t>
        </is>
      </c>
      <c r="B581" s="1" t="n">
        <v>46010</v>
      </c>
      <c r="C581" s="1" t="n">
        <v>46082</v>
      </c>
      <c r="D581" t="inlineStr">
        <is>
          <t>SÖDERMANLANDS LÄN</t>
        </is>
      </c>
      <c r="E581" t="inlineStr">
        <is>
          <t>KATRINEHOLM</t>
        </is>
      </c>
      <c r="F581" t="inlineStr">
        <is>
          <t>Allmännings- och besparingsskogar</t>
        </is>
      </c>
      <c r="G581" t="n">
        <v>4.9</v>
      </c>
      <c r="H581" t="n">
        <v>0</v>
      </c>
      <c r="I581" t="n">
        <v>0</v>
      </c>
      <c r="J581" t="n">
        <v>0</v>
      </c>
      <c r="K581" t="n">
        <v>0</v>
      </c>
      <c r="L581" t="n">
        <v>0</v>
      </c>
      <c r="M581" t="n">
        <v>0</v>
      </c>
      <c r="N581" t="n">
        <v>0</v>
      </c>
      <c r="O581" t="n">
        <v>0</v>
      </c>
      <c r="P581" t="n">
        <v>0</v>
      </c>
      <c r="Q581" t="n">
        <v>0</v>
      </c>
      <c r="R581" s="2" t="inlineStr"/>
    </row>
    <row r="582" ht="15" customHeight="1">
      <c r="A582" t="inlineStr">
        <is>
          <t>A 22272-2022</t>
        </is>
      </c>
      <c r="B582" s="1" t="n">
        <v>44712</v>
      </c>
      <c r="C582" s="1" t="n">
        <v>46082</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46082</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40186-2023</t>
        </is>
      </c>
      <c r="B584" s="1" t="n">
        <v>45169</v>
      </c>
      <c r="C584" s="1" t="n">
        <v>46082</v>
      </c>
      <c r="D584" t="inlineStr">
        <is>
          <t>SÖDERMANLANDS LÄN</t>
        </is>
      </c>
      <c r="E584" t="inlineStr">
        <is>
          <t>KATRINEHOLM</t>
        </is>
      </c>
      <c r="G584" t="n">
        <v>2.1</v>
      </c>
      <c r="H584" t="n">
        <v>0</v>
      </c>
      <c r="I584" t="n">
        <v>0</v>
      </c>
      <c r="J584" t="n">
        <v>0</v>
      </c>
      <c r="K584" t="n">
        <v>0</v>
      </c>
      <c r="L584" t="n">
        <v>0</v>
      </c>
      <c r="M584" t="n">
        <v>0</v>
      </c>
      <c r="N584" t="n">
        <v>0</v>
      </c>
      <c r="O584" t="n">
        <v>0</v>
      </c>
      <c r="P584" t="n">
        <v>0</v>
      </c>
      <c r="Q584" t="n">
        <v>0</v>
      </c>
      <c r="R584" s="2" t="inlineStr"/>
    </row>
    <row r="585" ht="15" customHeight="1">
      <c r="A585" t="inlineStr">
        <is>
          <t>A 47886-2023</t>
        </is>
      </c>
      <c r="B585" s="1" t="n">
        <v>45204</v>
      </c>
      <c r="C585" s="1" t="n">
        <v>46082</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36562-2023</t>
        </is>
      </c>
      <c r="B586" s="1" t="n">
        <v>45153</v>
      </c>
      <c r="C586" s="1" t="n">
        <v>46082</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34539-2022</t>
        </is>
      </c>
      <c r="B587" s="1" t="n">
        <v>44793.50563657407</v>
      </c>
      <c r="C587" s="1" t="n">
        <v>46082</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41205-2021</t>
        </is>
      </c>
      <c r="B588" s="1" t="n">
        <v>44424.38577546296</v>
      </c>
      <c r="C588" s="1" t="n">
        <v>46082</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24748-2024</t>
        </is>
      </c>
      <c r="B589" s="1" t="n">
        <v>45460.66567129629</v>
      </c>
      <c r="C589" s="1" t="n">
        <v>46082</v>
      </c>
      <c r="D589" t="inlineStr">
        <is>
          <t>SÖDERMANLANDS LÄN</t>
        </is>
      </c>
      <c r="E589" t="inlineStr">
        <is>
          <t>KATRINEHOLM</t>
        </is>
      </c>
      <c r="G589" t="n">
        <v>3.3</v>
      </c>
      <c r="H589" t="n">
        <v>0</v>
      </c>
      <c r="I589" t="n">
        <v>0</v>
      </c>
      <c r="J589" t="n">
        <v>0</v>
      </c>
      <c r="K589" t="n">
        <v>0</v>
      </c>
      <c r="L589" t="n">
        <v>0</v>
      </c>
      <c r="M589" t="n">
        <v>0</v>
      </c>
      <c r="N589" t="n">
        <v>0</v>
      </c>
      <c r="O589" t="n">
        <v>0</v>
      </c>
      <c r="P589" t="n">
        <v>0</v>
      </c>
      <c r="Q589" t="n">
        <v>0</v>
      </c>
      <c r="R589" s="2" t="inlineStr"/>
    </row>
    <row r="590" ht="15" customHeight="1">
      <c r="A590" t="inlineStr">
        <is>
          <t>A 40402-2022</t>
        </is>
      </c>
      <c r="B590" s="1" t="n">
        <v>44823.44353009259</v>
      </c>
      <c r="C590" s="1" t="n">
        <v>46082</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17792-2025</t>
        </is>
      </c>
      <c r="B591" s="1" t="n">
        <v>45758</v>
      </c>
      <c r="C591" s="1" t="n">
        <v>46082</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17820-2025</t>
        </is>
      </c>
      <c r="B592" s="1" t="n">
        <v>45758</v>
      </c>
      <c r="C592" s="1" t="n">
        <v>46082</v>
      </c>
      <c r="D592" t="inlineStr">
        <is>
          <t>SÖDERMANLANDS LÄN</t>
        </is>
      </c>
      <c r="E592" t="inlineStr">
        <is>
          <t>KATRINEHOLM</t>
        </is>
      </c>
      <c r="G592" t="n">
        <v>5.9</v>
      </c>
      <c r="H592" t="n">
        <v>0</v>
      </c>
      <c r="I592" t="n">
        <v>0</v>
      </c>
      <c r="J592" t="n">
        <v>0</v>
      </c>
      <c r="K592" t="n">
        <v>0</v>
      </c>
      <c r="L592" t="n">
        <v>0</v>
      </c>
      <c r="M592" t="n">
        <v>0</v>
      </c>
      <c r="N592" t="n">
        <v>0</v>
      </c>
      <c r="O592" t="n">
        <v>0</v>
      </c>
      <c r="P592" t="n">
        <v>0</v>
      </c>
      <c r="Q592" t="n">
        <v>0</v>
      </c>
      <c r="R592" s="2" t="inlineStr"/>
    </row>
    <row r="593" ht="15" customHeight="1">
      <c r="A593" t="inlineStr">
        <is>
          <t>A 30387-2022</t>
        </is>
      </c>
      <c r="B593" s="1" t="n">
        <v>44760</v>
      </c>
      <c r="C593" s="1" t="n">
        <v>46082</v>
      </c>
      <c r="D593" t="inlineStr">
        <is>
          <t>SÖDERMANLANDS LÄN</t>
        </is>
      </c>
      <c r="E593" t="inlineStr">
        <is>
          <t>KATRINEHOLM</t>
        </is>
      </c>
      <c r="G593" t="n">
        <v>1.9</v>
      </c>
      <c r="H593" t="n">
        <v>0</v>
      </c>
      <c r="I593" t="n">
        <v>0</v>
      </c>
      <c r="J593" t="n">
        <v>0</v>
      </c>
      <c r="K593" t="n">
        <v>0</v>
      </c>
      <c r="L593" t="n">
        <v>0</v>
      </c>
      <c r="M593" t="n">
        <v>0</v>
      </c>
      <c r="N593" t="n">
        <v>0</v>
      </c>
      <c r="O593" t="n">
        <v>0</v>
      </c>
      <c r="P593" t="n">
        <v>0</v>
      </c>
      <c r="Q593" t="n">
        <v>0</v>
      </c>
      <c r="R593" s="2" t="inlineStr"/>
    </row>
    <row r="594" ht="15" customHeight="1">
      <c r="A594" t="inlineStr">
        <is>
          <t>A 7513-2026</t>
        </is>
      </c>
      <c r="B594" s="1" t="n">
        <v>46059.59083333334</v>
      </c>
      <c r="C594" s="1" t="n">
        <v>46082</v>
      </c>
      <c r="D594" t="inlineStr">
        <is>
          <t>SÖDERMANLANDS LÄN</t>
        </is>
      </c>
      <c r="E594" t="inlineStr">
        <is>
          <t>KATRINEHOLM</t>
        </is>
      </c>
      <c r="F594" t="inlineStr">
        <is>
          <t>Övriga Aktiebolag</t>
        </is>
      </c>
      <c r="G594" t="n">
        <v>5</v>
      </c>
      <c r="H594" t="n">
        <v>0</v>
      </c>
      <c r="I594" t="n">
        <v>0</v>
      </c>
      <c r="J594" t="n">
        <v>0</v>
      </c>
      <c r="K594" t="n">
        <v>0</v>
      </c>
      <c r="L594" t="n">
        <v>0</v>
      </c>
      <c r="M594" t="n">
        <v>0</v>
      </c>
      <c r="N594" t="n">
        <v>0</v>
      </c>
      <c r="O594" t="n">
        <v>0</v>
      </c>
      <c r="P594" t="n">
        <v>0</v>
      </c>
      <c r="Q594" t="n">
        <v>0</v>
      </c>
      <c r="R594" s="2" t="inlineStr"/>
    </row>
    <row r="595" ht="15" customHeight="1">
      <c r="A595" t="inlineStr">
        <is>
          <t>A 39052-2023</t>
        </is>
      </c>
      <c r="B595" s="1" t="n">
        <v>45163</v>
      </c>
      <c r="C595" s="1" t="n">
        <v>46082</v>
      </c>
      <c r="D595" t="inlineStr">
        <is>
          <t>SÖDERMANLANDS LÄN</t>
        </is>
      </c>
      <c r="E595" t="inlineStr">
        <is>
          <t>KATRINEHOLM</t>
        </is>
      </c>
      <c r="G595" t="n">
        <v>3</v>
      </c>
      <c r="H595" t="n">
        <v>0</v>
      </c>
      <c r="I595" t="n">
        <v>0</v>
      </c>
      <c r="J595" t="n">
        <v>0</v>
      </c>
      <c r="K595" t="n">
        <v>0</v>
      </c>
      <c r="L595" t="n">
        <v>0</v>
      </c>
      <c r="M595" t="n">
        <v>0</v>
      </c>
      <c r="N595" t="n">
        <v>0</v>
      </c>
      <c r="O595" t="n">
        <v>0</v>
      </c>
      <c r="P595" t="n">
        <v>0</v>
      </c>
      <c r="Q595" t="n">
        <v>0</v>
      </c>
      <c r="R595" s="2" t="inlineStr"/>
    </row>
    <row r="596" ht="15" customHeight="1">
      <c r="A596" t="inlineStr">
        <is>
          <t>A 8922-2024</t>
        </is>
      </c>
      <c r="B596" s="1" t="n">
        <v>45357.38601851852</v>
      </c>
      <c r="C596" s="1" t="n">
        <v>46082</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48160-2022</t>
        </is>
      </c>
      <c r="B597" s="1" t="n">
        <v>44853</v>
      </c>
      <c r="C597" s="1" t="n">
        <v>46082</v>
      </c>
      <c r="D597" t="inlineStr">
        <is>
          <t>SÖDERMANLANDS LÄN</t>
        </is>
      </c>
      <c r="E597" t="inlineStr">
        <is>
          <t>KATRINEHOLM</t>
        </is>
      </c>
      <c r="F597" t="inlineStr">
        <is>
          <t>Övriga statliga verk och myndigheter</t>
        </is>
      </c>
      <c r="G597" t="n">
        <v>2.2</v>
      </c>
      <c r="H597" t="n">
        <v>0</v>
      </c>
      <c r="I597" t="n">
        <v>0</v>
      </c>
      <c r="J597" t="n">
        <v>0</v>
      </c>
      <c r="K597" t="n">
        <v>0</v>
      </c>
      <c r="L597" t="n">
        <v>0</v>
      </c>
      <c r="M597" t="n">
        <v>0</v>
      </c>
      <c r="N597" t="n">
        <v>0</v>
      </c>
      <c r="O597" t="n">
        <v>0</v>
      </c>
      <c r="P597" t="n">
        <v>0</v>
      </c>
      <c r="Q597" t="n">
        <v>0</v>
      </c>
      <c r="R597" s="2" t="inlineStr"/>
    </row>
    <row r="598" ht="15" customHeight="1">
      <c r="A598" t="inlineStr">
        <is>
          <t>A 63895-2025</t>
        </is>
      </c>
      <c r="B598" s="1" t="n">
        <v>46020</v>
      </c>
      <c r="C598" s="1" t="n">
        <v>46082</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28317-2024</t>
        </is>
      </c>
      <c r="B599" s="1" t="n">
        <v>45477</v>
      </c>
      <c r="C599" s="1" t="n">
        <v>46082</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66393-2021</t>
        </is>
      </c>
      <c r="B600" s="1" t="n">
        <v>44518</v>
      </c>
      <c r="C600" s="1" t="n">
        <v>46082</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47134-2022</t>
        </is>
      </c>
      <c r="B601" s="1" t="n">
        <v>44851</v>
      </c>
      <c r="C601" s="1" t="n">
        <v>46082</v>
      </c>
      <c r="D601" t="inlineStr">
        <is>
          <t>SÖDERMANLANDS LÄN</t>
        </is>
      </c>
      <c r="E601" t="inlineStr">
        <is>
          <t>KATRINEHOLM</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54873-2025</t>
        </is>
      </c>
      <c r="B602" s="1" t="n">
        <v>45967</v>
      </c>
      <c r="C602" s="1" t="n">
        <v>46082</v>
      </c>
      <c r="D602" t="inlineStr">
        <is>
          <t>SÖDERMANLANDS LÄN</t>
        </is>
      </c>
      <c r="E602" t="inlineStr">
        <is>
          <t>KATRINEHOLM</t>
        </is>
      </c>
      <c r="G602" t="n">
        <v>2.7</v>
      </c>
      <c r="H602" t="n">
        <v>0</v>
      </c>
      <c r="I602" t="n">
        <v>0</v>
      </c>
      <c r="J602" t="n">
        <v>0</v>
      </c>
      <c r="K602" t="n">
        <v>0</v>
      </c>
      <c r="L602" t="n">
        <v>0</v>
      </c>
      <c r="M602" t="n">
        <v>0</v>
      </c>
      <c r="N602" t="n">
        <v>0</v>
      </c>
      <c r="O602" t="n">
        <v>0</v>
      </c>
      <c r="P602" t="n">
        <v>0</v>
      </c>
      <c r="Q602" t="n">
        <v>0</v>
      </c>
      <c r="R602" s="2" t="inlineStr"/>
    </row>
    <row r="603" ht="15" customHeight="1">
      <c r="A603" t="inlineStr">
        <is>
          <t>A 1143-2024</t>
        </is>
      </c>
      <c r="B603" s="1" t="n">
        <v>45302</v>
      </c>
      <c r="C603" s="1" t="n">
        <v>46082</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3982-2024</t>
        </is>
      </c>
      <c r="B604" s="1" t="n">
        <v>45322</v>
      </c>
      <c r="C604" s="1" t="n">
        <v>46082</v>
      </c>
      <c r="D604" t="inlineStr">
        <is>
          <t>SÖDERMANLANDS LÄN</t>
        </is>
      </c>
      <c r="E604" t="inlineStr">
        <is>
          <t>KATRINEHOLM</t>
        </is>
      </c>
      <c r="G604" t="n">
        <v>3.7</v>
      </c>
      <c r="H604" t="n">
        <v>0</v>
      </c>
      <c r="I604" t="n">
        <v>0</v>
      </c>
      <c r="J604" t="n">
        <v>0</v>
      </c>
      <c r="K604" t="n">
        <v>0</v>
      </c>
      <c r="L604" t="n">
        <v>0</v>
      </c>
      <c r="M604" t="n">
        <v>0</v>
      </c>
      <c r="N604" t="n">
        <v>0</v>
      </c>
      <c r="O604" t="n">
        <v>0</v>
      </c>
      <c r="P604" t="n">
        <v>0</v>
      </c>
      <c r="Q604" t="n">
        <v>0</v>
      </c>
      <c r="R604" s="2" t="inlineStr"/>
    </row>
    <row r="605" ht="15" customHeight="1">
      <c r="A605" t="inlineStr">
        <is>
          <t>A 57263-2022</t>
        </is>
      </c>
      <c r="B605" s="1" t="n">
        <v>44895</v>
      </c>
      <c r="C605" s="1" t="n">
        <v>46082</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28431-2024</t>
        </is>
      </c>
      <c r="B606" s="1" t="n">
        <v>45477.65216435185</v>
      </c>
      <c r="C606" s="1" t="n">
        <v>46082</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62418-2023</t>
        </is>
      </c>
      <c r="B607" s="1" t="n">
        <v>45268</v>
      </c>
      <c r="C607" s="1" t="n">
        <v>46082</v>
      </c>
      <c r="D607" t="inlineStr">
        <is>
          <t>SÖDERMANLANDS LÄN</t>
        </is>
      </c>
      <c r="E607" t="inlineStr">
        <is>
          <t>KATRINEHOLM</t>
        </is>
      </c>
      <c r="G607" t="n">
        <v>3</v>
      </c>
      <c r="H607" t="n">
        <v>0</v>
      </c>
      <c r="I607" t="n">
        <v>0</v>
      </c>
      <c r="J607" t="n">
        <v>0</v>
      </c>
      <c r="K607" t="n">
        <v>0</v>
      </c>
      <c r="L607" t="n">
        <v>0</v>
      </c>
      <c r="M607" t="n">
        <v>0</v>
      </c>
      <c r="N607" t="n">
        <v>0</v>
      </c>
      <c r="O607" t="n">
        <v>0</v>
      </c>
      <c r="P607" t="n">
        <v>0</v>
      </c>
      <c r="Q607" t="n">
        <v>0</v>
      </c>
      <c r="R607" s="2" t="inlineStr"/>
    </row>
    <row r="608" ht="15" customHeight="1">
      <c r="A608" t="inlineStr">
        <is>
          <t>A 45142-2021</t>
        </is>
      </c>
      <c r="B608" s="1" t="n">
        <v>44439</v>
      </c>
      <c r="C608" s="1" t="n">
        <v>46082</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7191-2023</t>
        </is>
      </c>
      <c r="B609" s="1" t="n">
        <v>44965</v>
      </c>
      <c r="C609" s="1" t="n">
        <v>46082</v>
      </c>
      <c r="D609" t="inlineStr">
        <is>
          <t>SÖDERMANLANDS LÄN</t>
        </is>
      </c>
      <c r="E609" t="inlineStr">
        <is>
          <t>KATRINEHOLM</t>
        </is>
      </c>
      <c r="G609" t="n">
        <v>14.1</v>
      </c>
      <c r="H609" t="n">
        <v>0</v>
      </c>
      <c r="I609" t="n">
        <v>0</v>
      </c>
      <c r="J609" t="n">
        <v>0</v>
      </c>
      <c r="K609" t="n">
        <v>0</v>
      </c>
      <c r="L609" t="n">
        <v>0</v>
      </c>
      <c r="M609" t="n">
        <v>0</v>
      </c>
      <c r="N609" t="n">
        <v>0</v>
      </c>
      <c r="O609" t="n">
        <v>0</v>
      </c>
      <c r="P609" t="n">
        <v>0</v>
      </c>
      <c r="Q609" t="n">
        <v>0</v>
      </c>
      <c r="R609" s="2" t="inlineStr"/>
    </row>
    <row r="610" ht="15" customHeight="1">
      <c r="A610" t="inlineStr">
        <is>
          <t>A 66540-2021</t>
        </is>
      </c>
      <c r="B610" s="1" t="n">
        <v>44519</v>
      </c>
      <c r="C610" s="1" t="n">
        <v>46082</v>
      </c>
      <c r="D610" t="inlineStr">
        <is>
          <t>SÖDERMANLANDS LÄN</t>
        </is>
      </c>
      <c r="E610" t="inlineStr">
        <is>
          <t>KATRINEHOLM</t>
        </is>
      </c>
      <c r="F610" t="inlineStr">
        <is>
          <t>Holmen skog AB</t>
        </is>
      </c>
      <c r="G610" t="n">
        <v>0.4</v>
      </c>
      <c r="H610" t="n">
        <v>0</v>
      </c>
      <c r="I610" t="n">
        <v>0</v>
      </c>
      <c r="J610" t="n">
        <v>0</v>
      </c>
      <c r="K610" t="n">
        <v>0</v>
      </c>
      <c r="L610" t="n">
        <v>0</v>
      </c>
      <c r="M610" t="n">
        <v>0</v>
      </c>
      <c r="N610" t="n">
        <v>0</v>
      </c>
      <c r="O610" t="n">
        <v>0</v>
      </c>
      <c r="P610" t="n">
        <v>0</v>
      </c>
      <c r="Q610" t="n">
        <v>0</v>
      </c>
      <c r="R610" s="2" t="inlineStr"/>
    </row>
    <row r="611" ht="15" customHeight="1">
      <c r="A611" t="inlineStr">
        <is>
          <t>A 8394-2024</t>
        </is>
      </c>
      <c r="B611" s="1" t="n">
        <v>45352</v>
      </c>
      <c r="C611" s="1" t="n">
        <v>46082</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1098-2026</t>
        </is>
      </c>
      <c r="B612" s="1" t="n">
        <v>46030.66519675926</v>
      </c>
      <c r="C612" s="1" t="n">
        <v>46082</v>
      </c>
      <c r="D612" t="inlineStr">
        <is>
          <t>SÖDERMANLANDS LÄN</t>
        </is>
      </c>
      <c r="E612" t="inlineStr">
        <is>
          <t>KATRINEHOLM</t>
        </is>
      </c>
      <c r="G612" t="n">
        <v>3.4</v>
      </c>
      <c r="H612" t="n">
        <v>0</v>
      </c>
      <c r="I612" t="n">
        <v>0</v>
      </c>
      <c r="J612" t="n">
        <v>0</v>
      </c>
      <c r="K612" t="n">
        <v>0</v>
      </c>
      <c r="L612" t="n">
        <v>0</v>
      </c>
      <c r="M612" t="n">
        <v>0</v>
      </c>
      <c r="N612" t="n">
        <v>0</v>
      </c>
      <c r="O612" t="n">
        <v>0</v>
      </c>
      <c r="P612" t="n">
        <v>0</v>
      </c>
      <c r="Q612" t="n">
        <v>0</v>
      </c>
      <c r="R612" s="2" t="inlineStr"/>
    </row>
    <row r="613" ht="15" customHeight="1">
      <c r="A613" t="inlineStr">
        <is>
          <t>A 1106-2026</t>
        </is>
      </c>
      <c r="B613" s="1" t="n">
        <v>46030.67123842592</v>
      </c>
      <c r="C613" s="1" t="n">
        <v>46082</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13658-2023</t>
        </is>
      </c>
      <c r="B614" s="1" t="n">
        <v>45006</v>
      </c>
      <c r="C614" s="1" t="n">
        <v>46082</v>
      </c>
      <c r="D614" t="inlineStr">
        <is>
          <t>SÖDERMANLANDS LÄN</t>
        </is>
      </c>
      <c r="E614" t="inlineStr">
        <is>
          <t>KATRINEHOLM</t>
        </is>
      </c>
      <c r="F614" t="inlineStr">
        <is>
          <t>Kyrkan</t>
        </is>
      </c>
      <c r="G614" t="n">
        <v>24.3</v>
      </c>
      <c r="H614" t="n">
        <v>0</v>
      </c>
      <c r="I614" t="n">
        <v>0</v>
      </c>
      <c r="J614" t="n">
        <v>0</v>
      </c>
      <c r="K614" t="n">
        <v>0</v>
      </c>
      <c r="L614" t="n">
        <v>0</v>
      </c>
      <c r="M614" t="n">
        <v>0</v>
      </c>
      <c r="N614" t="n">
        <v>0</v>
      </c>
      <c r="O614" t="n">
        <v>0</v>
      </c>
      <c r="P614" t="n">
        <v>0</v>
      </c>
      <c r="Q614" t="n">
        <v>0</v>
      </c>
      <c r="R614" s="2" t="inlineStr"/>
    </row>
    <row r="615" ht="15" customHeight="1">
      <c r="A615" t="inlineStr">
        <is>
          <t>A 61385-2023</t>
        </is>
      </c>
      <c r="B615" s="1" t="n">
        <v>45264.64241898148</v>
      </c>
      <c r="C615" s="1" t="n">
        <v>46082</v>
      </c>
      <c r="D615" t="inlineStr">
        <is>
          <t>SÖDERMANLANDS LÄN</t>
        </is>
      </c>
      <c r="E615" t="inlineStr">
        <is>
          <t>KATRINEHOLM</t>
        </is>
      </c>
      <c r="G615" t="n">
        <v>0.4</v>
      </c>
      <c r="H615" t="n">
        <v>0</v>
      </c>
      <c r="I615" t="n">
        <v>0</v>
      </c>
      <c r="J615" t="n">
        <v>0</v>
      </c>
      <c r="K615" t="n">
        <v>0</v>
      </c>
      <c r="L615" t="n">
        <v>0</v>
      </c>
      <c r="M615" t="n">
        <v>0</v>
      </c>
      <c r="N615" t="n">
        <v>0</v>
      </c>
      <c r="O615" t="n">
        <v>0</v>
      </c>
      <c r="P615" t="n">
        <v>0</v>
      </c>
      <c r="Q615" t="n">
        <v>0</v>
      </c>
      <c r="R615" s="2" t="inlineStr"/>
    </row>
    <row r="616" ht="15" customHeight="1">
      <c r="A616" t="inlineStr">
        <is>
          <t>A 55825-2022</t>
        </is>
      </c>
      <c r="B616" s="1" t="n">
        <v>44886</v>
      </c>
      <c r="C616" s="1" t="n">
        <v>46082</v>
      </c>
      <c r="D616" t="inlineStr">
        <is>
          <t>SÖDERMANLANDS LÄN</t>
        </is>
      </c>
      <c r="E616" t="inlineStr">
        <is>
          <t>KATRINEHOLM</t>
        </is>
      </c>
      <c r="G616" t="n">
        <v>1.3</v>
      </c>
      <c r="H616" t="n">
        <v>0</v>
      </c>
      <c r="I616" t="n">
        <v>0</v>
      </c>
      <c r="J616" t="n">
        <v>0</v>
      </c>
      <c r="K616" t="n">
        <v>0</v>
      </c>
      <c r="L616" t="n">
        <v>0</v>
      </c>
      <c r="M616" t="n">
        <v>0</v>
      </c>
      <c r="N616" t="n">
        <v>0</v>
      </c>
      <c r="O616" t="n">
        <v>0</v>
      </c>
      <c r="P616" t="n">
        <v>0</v>
      </c>
      <c r="Q616" t="n">
        <v>0</v>
      </c>
      <c r="R616" s="2" t="inlineStr"/>
    </row>
    <row r="617" ht="15" customHeight="1">
      <c r="A617" t="inlineStr">
        <is>
          <t>A 55856-2022</t>
        </is>
      </c>
      <c r="B617" s="1" t="n">
        <v>44888</v>
      </c>
      <c r="C617" s="1" t="n">
        <v>46082</v>
      </c>
      <c r="D617" t="inlineStr">
        <is>
          <t>SÖDERMANLANDS LÄN</t>
        </is>
      </c>
      <c r="E617" t="inlineStr">
        <is>
          <t>KATRINEHOLM</t>
        </is>
      </c>
      <c r="G617" t="n">
        <v>5.6</v>
      </c>
      <c r="H617" t="n">
        <v>0</v>
      </c>
      <c r="I617" t="n">
        <v>0</v>
      </c>
      <c r="J617" t="n">
        <v>0</v>
      </c>
      <c r="K617" t="n">
        <v>0</v>
      </c>
      <c r="L617" t="n">
        <v>0</v>
      </c>
      <c r="M617" t="n">
        <v>0</v>
      </c>
      <c r="N617" t="n">
        <v>0</v>
      </c>
      <c r="O617" t="n">
        <v>0</v>
      </c>
      <c r="P617" t="n">
        <v>0</v>
      </c>
      <c r="Q617" t="n">
        <v>0</v>
      </c>
      <c r="R617" s="2" t="inlineStr"/>
    </row>
    <row r="618" ht="15" customHeight="1">
      <c r="A618" t="inlineStr">
        <is>
          <t>A 43513-2023</t>
        </is>
      </c>
      <c r="B618" s="1" t="n">
        <v>45184</v>
      </c>
      <c r="C618" s="1" t="n">
        <v>46082</v>
      </c>
      <c r="D618" t="inlineStr">
        <is>
          <t>SÖDERMANLANDS LÄN</t>
        </is>
      </c>
      <c r="E618" t="inlineStr">
        <is>
          <t>KATRINEHOLM</t>
        </is>
      </c>
      <c r="G618" t="n">
        <v>3.8</v>
      </c>
      <c r="H618" t="n">
        <v>0</v>
      </c>
      <c r="I618" t="n">
        <v>0</v>
      </c>
      <c r="J618" t="n">
        <v>0</v>
      </c>
      <c r="K618" t="n">
        <v>0</v>
      </c>
      <c r="L618" t="n">
        <v>0</v>
      </c>
      <c r="M618" t="n">
        <v>0</v>
      </c>
      <c r="N618" t="n">
        <v>0</v>
      </c>
      <c r="O618" t="n">
        <v>0</v>
      </c>
      <c r="P618" t="n">
        <v>0</v>
      </c>
      <c r="Q618" t="n">
        <v>0</v>
      </c>
      <c r="R618" s="2" t="inlineStr"/>
    </row>
    <row r="619" ht="15" customHeight="1">
      <c r="A619" t="inlineStr">
        <is>
          <t>A 1112-2026</t>
        </is>
      </c>
      <c r="B619" s="1" t="n">
        <v>46030.68107638889</v>
      </c>
      <c r="C619" s="1" t="n">
        <v>46082</v>
      </c>
      <c r="D619" t="inlineStr">
        <is>
          <t>SÖDERMANLANDS LÄN</t>
        </is>
      </c>
      <c r="E619" t="inlineStr">
        <is>
          <t>KATRINEHOLM</t>
        </is>
      </c>
      <c r="G619" t="n">
        <v>3.2</v>
      </c>
      <c r="H619" t="n">
        <v>0</v>
      </c>
      <c r="I619" t="n">
        <v>0</v>
      </c>
      <c r="J619" t="n">
        <v>0</v>
      </c>
      <c r="K619" t="n">
        <v>0</v>
      </c>
      <c r="L619" t="n">
        <v>0</v>
      </c>
      <c r="M619" t="n">
        <v>0</v>
      </c>
      <c r="N619" t="n">
        <v>0</v>
      </c>
      <c r="O619" t="n">
        <v>0</v>
      </c>
      <c r="P619" t="n">
        <v>0</v>
      </c>
      <c r="Q619" t="n">
        <v>0</v>
      </c>
      <c r="R619" s="2" t="inlineStr"/>
    </row>
    <row r="620" ht="15" customHeight="1">
      <c r="A620" t="inlineStr">
        <is>
          <t>A 1114-2026</t>
        </is>
      </c>
      <c r="B620" s="1" t="n">
        <v>46030.684375</v>
      </c>
      <c r="C620" s="1" t="n">
        <v>46082</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8951-2024</t>
        </is>
      </c>
      <c r="B621" s="1" t="n">
        <v>45357.44695601852</v>
      </c>
      <c r="C621" s="1" t="n">
        <v>46082</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8955-2024</t>
        </is>
      </c>
      <c r="B622" s="1" t="n">
        <v>45357.44873842593</v>
      </c>
      <c r="C622" s="1" t="n">
        <v>46082</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15945-2024</t>
        </is>
      </c>
      <c r="B623" s="1" t="n">
        <v>45405.48912037037</v>
      </c>
      <c r="C623" s="1" t="n">
        <v>46082</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4655-2024</t>
        </is>
      </c>
      <c r="B624" s="1" t="n">
        <v>45328</v>
      </c>
      <c r="C624" s="1" t="n">
        <v>46082</v>
      </c>
      <c r="D624" t="inlineStr">
        <is>
          <t>SÖDERMANLANDS LÄN</t>
        </is>
      </c>
      <c r="E624" t="inlineStr">
        <is>
          <t>KATRINEHOLM</t>
        </is>
      </c>
      <c r="G624" t="n">
        <v>17.7</v>
      </c>
      <c r="H624" t="n">
        <v>0</v>
      </c>
      <c r="I624" t="n">
        <v>0</v>
      </c>
      <c r="J624" t="n">
        <v>0</v>
      </c>
      <c r="K624" t="n">
        <v>0</v>
      </c>
      <c r="L624" t="n">
        <v>0</v>
      </c>
      <c r="M624" t="n">
        <v>0</v>
      </c>
      <c r="N624" t="n">
        <v>0</v>
      </c>
      <c r="O624" t="n">
        <v>0</v>
      </c>
      <c r="P624" t="n">
        <v>0</v>
      </c>
      <c r="Q624" t="n">
        <v>0</v>
      </c>
      <c r="R624" s="2" t="inlineStr"/>
    </row>
    <row r="625" ht="15" customHeight="1">
      <c r="A625" t="inlineStr">
        <is>
          <t>A 53387-2023</t>
        </is>
      </c>
      <c r="B625" s="1" t="n">
        <v>45229</v>
      </c>
      <c r="C625" s="1" t="n">
        <v>46082</v>
      </c>
      <c r="D625" t="inlineStr">
        <is>
          <t>SÖDERMANLANDS LÄN</t>
        </is>
      </c>
      <c r="E625" t="inlineStr">
        <is>
          <t>KATRINEHOLM</t>
        </is>
      </c>
      <c r="F625" t="inlineStr">
        <is>
          <t>Kyrkan</t>
        </is>
      </c>
      <c r="G625" t="n">
        <v>7.4</v>
      </c>
      <c r="H625" t="n">
        <v>0</v>
      </c>
      <c r="I625" t="n">
        <v>0</v>
      </c>
      <c r="J625" t="n">
        <v>0</v>
      </c>
      <c r="K625" t="n">
        <v>0</v>
      </c>
      <c r="L625" t="n">
        <v>0</v>
      </c>
      <c r="M625" t="n">
        <v>0</v>
      </c>
      <c r="N625" t="n">
        <v>0</v>
      </c>
      <c r="O625" t="n">
        <v>0</v>
      </c>
      <c r="P625" t="n">
        <v>0</v>
      </c>
      <c r="Q625" t="n">
        <v>0</v>
      </c>
      <c r="R625" s="2" t="inlineStr"/>
    </row>
    <row r="626" ht="15" customHeight="1">
      <c r="A626" t="inlineStr">
        <is>
          <t>A 42590-2022</t>
        </is>
      </c>
      <c r="B626" s="1" t="n">
        <v>44831</v>
      </c>
      <c r="C626" s="1" t="n">
        <v>46082</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10091-2026</t>
        </is>
      </c>
      <c r="B627" s="1" t="n">
        <v>46073.70451388889</v>
      </c>
      <c r="C627" s="1" t="n">
        <v>46082</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38883-2024</t>
        </is>
      </c>
      <c r="B628" s="1" t="n">
        <v>45547</v>
      </c>
      <c r="C628" s="1" t="n">
        <v>46082</v>
      </c>
      <c r="D628" t="inlineStr">
        <is>
          <t>SÖDERMANLANDS LÄN</t>
        </is>
      </c>
      <c r="E628" t="inlineStr">
        <is>
          <t>KATRINEHOLM</t>
        </is>
      </c>
      <c r="G628" t="n">
        <v>3.1</v>
      </c>
      <c r="H628" t="n">
        <v>0</v>
      </c>
      <c r="I628" t="n">
        <v>0</v>
      </c>
      <c r="J628" t="n">
        <v>0</v>
      </c>
      <c r="K628" t="n">
        <v>0</v>
      </c>
      <c r="L628" t="n">
        <v>0</v>
      </c>
      <c r="M628" t="n">
        <v>0</v>
      </c>
      <c r="N628" t="n">
        <v>0</v>
      </c>
      <c r="O628" t="n">
        <v>0</v>
      </c>
      <c r="P628" t="n">
        <v>0</v>
      </c>
      <c r="Q628" t="n">
        <v>0</v>
      </c>
      <c r="R628" s="2" t="inlineStr"/>
    </row>
    <row r="629" ht="15" customHeight="1">
      <c r="A629" t="inlineStr">
        <is>
          <t>A 4667-2024</t>
        </is>
      </c>
      <c r="B629" s="1" t="n">
        <v>45328.47</v>
      </c>
      <c r="C629" s="1" t="n">
        <v>46082</v>
      </c>
      <c r="D629" t="inlineStr">
        <is>
          <t>SÖDERMANLANDS LÄN</t>
        </is>
      </c>
      <c r="E629" t="inlineStr">
        <is>
          <t>KATRINEHOLM</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1668-2026</t>
        </is>
      </c>
      <c r="B630" s="1" t="n">
        <v>46034.55986111111</v>
      </c>
      <c r="C630" s="1" t="n">
        <v>46082</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39704-2023</t>
        </is>
      </c>
      <c r="B631" s="1" t="n">
        <v>45167</v>
      </c>
      <c r="C631" s="1" t="n">
        <v>46082</v>
      </c>
      <c r="D631" t="inlineStr">
        <is>
          <t>SÖDERMANLANDS LÄN</t>
        </is>
      </c>
      <c r="E631" t="inlineStr">
        <is>
          <t>KATRINEHOLM</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16087-2023</t>
        </is>
      </c>
      <c r="B632" s="1" t="n">
        <v>45026</v>
      </c>
      <c r="C632" s="1" t="n">
        <v>46082</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10086-2026</t>
        </is>
      </c>
      <c r="B633" s="1" t="n">
        <v>46073.68959490741</v>
      </c>
      <c r="C633" s="1" t="n">
        <v>46082</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28652-2024</t>
        </is>
      </c>
      <c r="B634" s="1" t="n">
        <v>45478</v>
      </c>
      <c r="C634" s="1" t="n">
        <v>46082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42791-2023</t>
        </is>
      </c>
      <c r="B635" s="1" t="n">
        <v>45181.92876157408</v>
      </c>
      <c r="C635" s="1" t="n">
        <v>46082</v>
      </c>
      <c r="D635" t="inlineStr">
        <is>
          <t>SÖDERMANLANDS LÄN</t>
        </is>
      </c>
      <c r="E635" t="inlineStr">
        <is>
          <t>KATRINEHOLM</t>
        </is>
      </c>
      <c r="G635" t="n">
        <v>4.1</v>
      </c>
      <c r="H635" t="n">
        <v>0</v>
      </c>
      <c r="I635" t="n">
        <v>0</v>
      </c>
      <c r="J635" t="n">
        <v>0</v>
      </c>
      <c r="K635" t="n">
        <v>0</v>
      </c>
      <c r="L635" t="n">
        <v>0</v>
      </c>
      <c r="M635" t="n">
        <v>0</v>
      </c>
      <c r="N635" t="n">
        <v>0</v>
      </c>
      <c r="O635" t="n">
        <v>0</v>
      </c>
      <c r="P635" t="n">
        <v>0</v>
      </c>
      <c r="Q635" t="n">
        <v>0</v>
      </c>
      <c r="R635" s="2" t="inlineStr"/>
    </row>
    <row r="636" ht="15" customHeight="1">
      <c r="A636" t="inlineStr">
        <is>
          <t>A 42792-2023</t>
        </is>
      </c>
      <c r="B636" s="1" t="n">
        <v>45181.95491898148</v>
      </c>
      <c r="C636" s="1" t="n">
        <v>46082</v>
      </c>
      <c r="D636" t="inlineStr">
        <is>
          <t>SÖDERMANLANDS LÄN</t>
        </is>
      </c>
      <c r="E636" t="inlineStr">
        <is>
          <t>KATRINEHOLM</t>
        </is>
      </c>
      <c r="G636" t="n">
        <v>1.3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46082</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10892-2026</t>
        </is>
      </c>
      <c r="B638" s="1" t="n">
        <v>46078.8040625</v>
      </c>
      <c r="C638" s="1" t="n">
        <v>46082</v>
      </c>
      <c r="D638" t="inlineStr">
        <is>
          <t>SÖDERMANLANDS LÄN</t>
        </is>
      </c>
      <c r="E638" t="inlineStr">
        <is>
          <t>KATRINEHOLM</t>
        </is>
      </c>
      <c r="F638" t="inlineStr">
        <is>
          <t>Allmännings- och besparingsskogar</t>
        </is>
      </c>
      <c r="G638" t="n">
        <v>3</v>
      </c>
      <c r="H638" t="n">
        <v>0</v>
      </c>
      <c r="I638" t="n">
        <v>0</v>
      </c>
      <c r="J638" t="n">
        <v>0</v>
      </c>
      <c r="K638" t="n">
        <v>0</v>
      </c>
      <c r="L638" t="n">
        <v>0</v>
      </c>
      <c r="M638" t="n">
        <v>0</v>
      </c>
      <c r="N638" t="n">
        <v>0</v>
      </c>
      <c r="O638" t="n">
        <v>0</v>
      </c>
      <c r="P638" t="n">
        <v>0</v>
      </c>
      <c r="Q638" t="n">
        <v>0</v>
      </c>
      <c r="R638" s="2" t="inlineStr"/>
    </row>
    <row r="639" ht="15" customHeight="1">
      <c r="A639" t="inlineStr">
        <is>
          <t>A 4679-2023</t>
        </is>
      </c>
      <c r="B639" s="1" t="n">
        <v>44957.44885416667</v>
      </c>
      <c r="C639" s="1" t="n">
        <v>46082</v>
      </c>
      <c r="D639" t="inlineStr">
        <is>
          <t>SÖDERMANLANDS LÄN</t>
        </is>
      </c>
      <c r="E639" t="inlineStr">
        <is>
          <t>KATRINEHOLM</t>
        </is>
      </c>
      <c r="G639" t="n">
        <v>5.3</v>
      </c>
      <c r="H639" t="n">
        <v>0</v>
      </c>
      <c r="I639" t="n">
        <v>0</v>
      </c>
      <c r="J639" t="n">
        <v>0</v>
      </c>
      <c r="K639" t="n">
        <v>0</v>
      </c>
      <c r="L639" t="n">
        <v>0</v>
      </c>
      <c r="M639" t="n">
        <v>0</v>
      </c>
      <c r="N639" t="n">
        <v>0</v>
      </c>
      <c r="O639" t="n">
        <v>0</v>
      </c>
      <c r="P639" t="n">
        <v>0</v>
      </c>
      <c r="Q639" t="n">
        <v>0</v>
      </c>
      <c r="R639" s="2" t="inlineStr"/>
    </row>
    <row r="640" ht="15" customHeight="1">
      <c r="A640" t="inlineStr">
        <is>
          <t>A 10721-2026</t>
        </is>
      </c>
      <c r="B640" s="1" t="n">
        <v>46078.46894675926</v>
      </c>
      <c r="C640" s="1" t="n">
        <v>46082</v>
      </c>
      <c r="D640" t="inlineStr">
        <is>
          <t>SÖDERMANLANDS LÄN</t>
        </is>
      </c>
      <c r="E640" t="inlineStr">
        <is>
          <t>KATRINEHOLM</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48528-2021</t>
        </is>
      </c>
      <c r="B641" s="1" t="n">
        <v>44449</v>
      </c>
      <c r="C641" s="1" t="n">
        <v>46082</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48398-2022</t>
        </is>
      </c>
      <c r="B642" s="1" t="n">
        <v>44858.60809027778</v>
      </c>
      <c r="C642" s="1" t="n">
        <v>46082</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6753-2022</t>
        </is>
      </c>
      <c r="B643" s="1" t="n">
        <v>44602</v>
      </c>
      <c r="C643" s="1" t="n">
        <v>46082</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15184-2023</t>
        </is>
      </c>
      <c r="B644" s="1" t="n">
        <v>45016</v>
      </c>
      <c r="C644" s="1" t="n">
        <v>46082</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38826-2021</t>
        </is>
      </c>
      <c r="B645" s="1" t="n">
        <v>44411</v>
      </c>
      <c r="C645" s="1" t="n">
        <v>46082</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10891-2026</t>
        </is>
      </c>
      <c r="B646" s="1" t="n">
        <v>46078.78545138889</v>
      </c>
      <c r="C646" s="1" t="n">
        <v>46082</v>
      </c>
      <c r="D646" t="inlineStr">
        <is>
          <t>SÖDERMANLANDS LÄN</t>
        </is>
      </c>
      <c r="E646" t="inlineStr">
        <is>
          <t>KATRINEHOLM</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10893-2026</t>
        </is>
      </c>
      <c r="B647" s="1" t="n">
        <v>46078.81072916667</v>
      </c>
      <c r="C647" s="1" t="n">
        <v>46082</v>
      </c>
      <c r="D647" t="inlineStr">
        <is>
          <t>SÖDERMANLANDS LÄN</t>
        </is>
      </c>
      <c r="E647" t="inlineStr">
        <is>
          <t>KATRINEHOLM</t>
        </is>
      </c>
      <c r="F647" t="inlineStr">
        <is>
          <t>Allmännings- och besparingsskogar</t>
        </is>
      </c>
      <c r="G647" t="n">
        <v>2</v>
      </c>
      <c r="H647" t="n">
        <v>0</v>
      </c>
      <c r="I647" t="n">
        <v>0</v>
      </c>
      <c r="J647" t="n">
        <v>0</v>
      </c>
      <c r="K647" t="n">
        <v>0</v>
      </c>
      <c r="L647" t="n">
        <v>0</v>
      </c>
      <c r="M647" t="n">
        <v>0</v>
      </c>
      <c r="N647" t="n">
        <v>0</v>
      </c>
      <c r="O647" t="n">
        <v>0</v>
      </c>
      <c r="P647" t="n">
        <v>0</v>
      </c>
      <c r="Q647" t="n">
        <v>0</v>
      </c>
      <c r="R647" s="2" t="inlineStr"/>
    </row>
    <row r="648" ht="15" customHeight="1">
      <c r="A648" t="inlineStr">
        <is>
          <t>A 29830-2023</t>
        </is>
      </c>
      <c r="B648" s="1" t="n">
        <v>45107</v>
      </c>
      <c r="C648" s="1" t="n">
        <v>46082</v>
      </c>
      <c r="D648" t="inlineStr">
        <is>
          <t>SÖDERMANLANDS LÄN</t>
        </is>
      </c>
      <c r="E648" t="inlineStr">
        <is>
          <t>KATRINEHOLM</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2645-2026</t>
        </is>
      </c>
      <c r="B649" s="1" t="n">
        <v>46037.62321759259</v>
      </c>
      <c r="C649" s="1" t="n">
        <v>46082</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2672-2026</t>
        </is>
      </c>
      <c r="B650" s="1" t="n">
        <v>46037</v>
      </c>
      <c r="C650" s="1" t="n">
        <v>46082</v>
      </c>
      <c r="D650" t="inlineStr">
        <is>
          <t>SÖDERMANLANDS LÄN</t>
        </is>
      </c>
      <c r="E650" t="inlineStr">
        <is>
          <t>KATRINEHOLM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2913-2026</t>
        </is>
      </c>
      <c r="B651" s="1" t="n">
        <v>46038.56913194444</v>
      </c>
      <c r="C651" s="1" t="n">
        <v>46082</v>
      </c>
      <c r="D651" t="inlineStr">
        <is>
          <t>SÖDERMANLANDS LÄN</t>
        </is>
      </c>
      <c r="E651" t="inlineStr">
        <is>
          <t>KATRINEHOLM</t>
        </is>
      </c>
      <c r="F651" t="inlineStr">
        <is>
          <t>Övriga Aktiebolag</t>
        </is>
      </c>
      <c r="G651" t="n">
        <v>6.2</v>
      </c>
      <c r="H651" t="n">
        <v>0</v>
      </c>
      <c r="I651" t="n">
        <v>0</v>
      </c>
      <c r="J651" t="n">
        <v>0</v>
      </c>
      <c r="K651" t="n">
        <v>0</v>
      </c>
      <c r="L651" t="n">
        <v>0</v>
      </c>
      <c r="M651" t="n">
        <v>0</v>
      </c>
      <c r="N651" t="n">
        <v>0</v>
      </c>
      <c r="O651" t="n">
        <v>0</v>
      </c>
      <c r="P651" t="n">
        <v>0</v>
      </c>
      <c r="Q651" t="n">
        <v>0</v>
      </c>
      <c r="R651" s="2" t="inlineStr"/>
    </row>
    <row r="652" ht="15" customHeight="1">
      <c r="A652" t="inlineStr">
        <is>
          <t>A 19098-2022</t>
        </is>
      </c>
      <c r="B652" s="1" t="n">
        <v>44691.52616898148</v>
      </c>
      <c r="C652" s="1" t="n">
        <v>46082</v>
      </c>
      <c r="D652" t="inlineStr">
        <is>
          <t>SÖDERMANLANDS LÄN</t>
        </is>
      </c>
      <c r="E652" t="inlineStr">
        <is>
          <t>KATRINEHOLM</t>
        </is>
      </c>
      <c r="G652" t="n">
        <v>5.5</v>
      </c>
      <c r="H652" t="n">
        <v>0</v>
      </c>
      <c r="I652" t="n">
        <v>0</v>
      </c>
      <c r="J652" t="n">
        <v>0</v>
      </c>
      <c r="K652" t="n">
        <v>0</v>
      </c>
      <c r="L652" t="n">
        <v>0</v>
      </c>
      <c r="M652" t="n">
        <v>0</v>
      </c>
      <c r="N652" t="n">
        <v>0</v>
      </c>
      <c r="O652" t="n">
        <v>0</v>
      </c>
      <c r="P652" t="n">
        <v>0</v>
      </c>
      <c r="Q652" t="n">
        <v>0</v>
      </c>
      <c r="R652" s="2" t="inlineStr"/>
    </row>
    <row r="653" ht="15" customHeight="1">
      <c r="A653" t="inlineStr">
        <is>
          <t>A 6628-2022</t>
        </is>
      </c>
      <c r="B653" s="1" t="n">
        <v>44601.78850694445</v>
      </c>
      <c r="C653" s="1" t="n">
        <v>46082</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46082</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2473-2026</t>
        </is>
      </c>
      <c r="B655" s="1" t="n">
        <v>46037.37704861111</v>
      </c>
      <c r="C655" s="1" t="n">
        <v>46082</v>
      </c>
      <c r="D655" t="inlineStr">
        <is>
          <t>SÖDERMANLANDS LÄN</t>
        </is>
      </c>
      <c r="E655" t="inlineStr">
        <is>
          <t>KATRINEHOLM</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2325-2023</t>
        </is>
      </c>
      <c r="B656" s="1" t="n">
        <v>44942</v>
      </c>
      <c r="C656" s="1" t="n">
        <v>46082</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46011-2021</t>
        </is>
      </c>
      <c r="B657" s="1" t="n">
        <v>44441.88092592593</v>
      </c>
      <c r="C657" s="1" t="n">
        <v>46082</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62140-2022</t>
        </is>
      </c>
      <c r="B658" s="1" t="n">
        <v>44922</v>
      </c>
      <c r="C658" s="1" t="n">
        <v>46082</v>
      </c>
      <c r="D658" t="inlineStr">
        <is>
          <t>SÖDERMANLANDS LÄN</t>
        </is>
      </c>
      <c r="E658" t="inlineStr">
        <is>
          <t>KATRINEHOLM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33934-2022</t>
        </is>
      </c>
      <c r="B659" s="1" t="n">
        <v>44790</v>
      </c>
      <c r="C659" s="1" t="n">
        <v>46082</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13171-2024</t>
        </is>
      </c>
      <c r="B660" s="1" t="n">
        <v>45386</v>
      </c>
      <c r="C660" s="1" t="n">
        <v>46082</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59384-2022</t>
        </is>
      </c>
      <c r="B661" s="1" t="n">
        <v>44905</v>
      </c>
      <c r="C661" s="1" t="n">
        <v>46082</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11130-2026</t>
        </is>
      </c>
      <c r="B662" s="1" t="n">
        <v>46079.70384259259</v>
      </c>
      <c r="C662" s="1" t="n">
        <v>46082</v>
      </c>
      <c r="D662" t="inlineStr">
        <is>
          <t>SÖDERMANLANDS LÄN</t>
        </is>
      </c>
      <c r="E662" t="inlineStr">
        <is>
          <t>KATRINEHOLM</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13086-2023</t>
        </is>
      </c>
      <c r="B663" s="1" t="n">
        <v>45002.42188657408</v>
      </c>
      <c r="C663" s="1" t="n">
        <v>46082</v>
      </c>
      <c r="D663" t="inlineStr">
        <is>
          <t>SÖDERMANLANDS LÄN</t>
        </is>
      </c>
      <c r="E663" t="inlineStr">
        <is>
          <t>KATRINEHOLM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19670-2022</t>
        </is>
      </c>
      <c r="B664" s="1" t="n">
        <v>44694</v>
      </c>
      <c r="C664" s="1" t="n">
        <v>46082</v>
      </c>
      <c r="D664" t="inlineStr">
        <is>
          <t>SÖDERMANLANDS LÄN</t>
        </is>
      </c>
      <c r="E664" t="inlineStr">
        <is>
          <t>KATRINEHOLM</t>
        </is>
      </c>
      <c r="G664" t="n">
        <v>13.6</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46082</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30333-2023</t>
        </is>
      </c>
      <c r="B666" s="1" t="n">
        <v>45111</v>
      </c>
      <c r="C666" s="1" t="n">
        <v>46082</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6175-2023</t>
        </is>
      </c>
      <c r="B667" s="1" t="n">
        <v>44964</v>
      </c>
      <c r="C667" s="1" t="n">
        <v>46082</v>
      </c>
      <c r="D667" t="inlineStr">
        <is>
          <t>SÖDERMANLANDS LÄN</t>
        </is>
      </c>
      <c r="E667" t="inlineStr">
        <is>
          <t>KATRINEHOLM</t>
        </is>
      </c>
      <c r="G667" t="n">
        <v>11.2</v>
      </c>
      <c r="H667" t="n">
        <v>0</v>
      </c>
      <c r="I667" t="n">
        <v>0</v>
      </c>
      <c r="J667" t="n">
        <v>0</v>
      </c>
      <c r="K667" t="n">
        <v>0</v>
      </c>
      <c r="L667" t="n">
        <v>0</v>
      </c>
      <c r="M667" t="n">
        <v>0</v>
      </c>
      <c r="N667" t="n">
        <v>0</v>
      </c>
      <c r="O667" t="n">
        <v>0</v>
      </c>
      <c r="P667" t="n">
        <v>0</v>
      </c>
      <c r="Q667" t="n">
        <v>0</v>
      </c>
      <c r="R667" s="2" t="inlineStr"/>
    </row>
    <row r="668" ht="15" customHeight="1">
      <c r="A668" t="inlineStr">
        <is>
          <t>A 11875-2023</t>
        </is>
      </c>
      <c r="B668" s="1" t="n">
        <v>44995</v>
      </c>
      <c r="C668" s="1" t="n">
        <v>46082</v>
      </c>
      <c r="D668" t="inlineStr">
        <is>
          <t>SÖDERMANLANDS LÄN</t>
        </is>
      </c>
      <c r="E668" t="inlineStr">
        <is>
          <t>KATRINEHOLM</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6796-2022</t>
        </is>
      </c>
      <c r="B669" s="1" t="n">
        <v>44602</v>
      </c>
      <c r="C669" s="1" t="n">
        <v>46082</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13612-2023</t>
        </is>
      </c>
      <c r="B670" s="1" t="n">
        <v>45006</v>
      </c>
      <c r="C670" s="1" t="n">
        <v>46082</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39068-2022</t>
        </is>
      </c>
      <c r="B671" s="1" t="n">
        <v>44816</v>
      </c>
      <c r="C671" s="1" t="n">
        <v>46082</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8765-2023</t>
        </is>
      </c>
      <c r="B672" s="1" t="n">
        <v>44978.52131944444</v>
      </c>
      <c r="C672" s="1" t="n">
        <v>46082</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57154-2023</t>
        </is>
      </c>
      <c r="B673" s="1" t="n">
        <v>45245</v>
      </c>
      <c r="C673" s="1" t="n">
        <v>46082</v>
      </c>
      <c r="D673" t="inlineStr">
        <is>
          <t>SÖDERMANLANDS LÄN</t>
        </is>
      </c>
      <c r="E673" t="inlineStr">
        <is>
          <t>KATRINEHOLM</t>
        </is>
      </c>
      <c r="F673" t="inlineStr">
        <is>
          <t>Allmännings- och besparingsskogar</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21959-2022</t>
        </is>
      </c>
      <c r="B674" s="1" t="n">
        <v>44708</v>
      </c>
      <c r="C674" s="1" t="n">
        <v>46082</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51530-2023</t>
        </is>
      </c>
      <c r="B675" s="1" t="n">
        <v>45222</v>
      </c>
      <c r="C675" s="1" t="n">
        <v>46082</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23916-2023</t>
        </is>
      </c>
      <c r="B676" s="1" t="n">
        <v>45075</v>
      </c>
      <c r="C676" s="1" t="n">
        <v>46082</v>
      </c>
      <c r="D676" t="inlineStr">
        <is>
          <t>SÖDERMANLANDS LÄN</t>
        </is>
      </c>
      <c r="E676" t="inlineStr">
        <is>
          <t>KATRINEHOLM</t>
        </is>
      </c>
      <c r="G676" t="n">
        <v>8</v>
      </c>
      <c r="H676" t="n">
        <v>0</v>
      </c>
      <c r="I676" t="n">
        <v>0</v>
      </c>
      <c r="J676" t="n">
        <v>0</v>
      </c>
      <c r="K676" t="n">
        <v>0</v>
      </c>
      <c r="L676" t="n">
        <v>0</v>
      </c>
      <c r="M676" t="n">
        <v>0</v>
      </c>
      <c r="N676" t="n">
        <v>0</v>
      </c>
      <c r="O676" t="n">
        <v>0</v>
      </c>
      <c r="P676" t="n">
        <v>0</v>
      </c>
      <c r="Q676" t="n">
        <v>0</v>
      </c>
      <c r="R676" s="2" t="inlineStr"/>
    </row>
    <row r="677" ht="15" customHeight="1">
      <c r="A677" t="inlineStr">
        <is>
          <t>A 38879-2024</t>
        </is>
      </c>
      <c r="B677" s="1" t="n">
        <v>45547</v>
      </c>
      <c r="C677" s="1" t="n">
        <v>46082</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9437-2022</t>
        </is>
      </c>
      <c r="B678" s="1" t="n">
        <v>44616.69246527777</v>
      </c>
      <c r="C678" s="1" t="n">
        <v>46082</v>
      </c>
      <c r="D678" t="inlineStr">
        <is>
          <t>SÖDERMANLANDS LÄN</t>
        </is>
      </c>
      <c r="E678" t="inlineStr">
        <is>
          <t>KATRINEHOLM</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25362-2023</t>
        </is>
      </c>
      <c r="B679" s="1" t="n">
        <v>45088.83430555555</v>
      </c>
      <c r="C679" s="1" t="n">
        <v>46082</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4662-2023</t>
        </is>
      </c>
      <c r="B680" s="1" t="n">
        <v>44957</v>
      </c>
      <c r="C680" s="1" t="n">
        <v>46082</v>
      </c>
      <c r="D680" t="inlineStr">
        <is>
          <t>SÖDERMANLANDS LÄN</t>
        </is>
      </c>
      <c r="E680" t="inlineStr">
        <is>
          <t>KATRINEHOLM</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19685-2022</t>
        </is>
      </c>
      <c r="B681" s="1" t="n">
        <v>44694</v>
      </c>
      <c r="C681" s="1" t="n">
        <v>46082</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62419-2023</t>
        </is>
      </c>
      <c r="B682" s="1" t="n">
        <v>45268</v>
      </c>
      <c r="C682" s="1" t="n">
        <v>46082</v>
      </c>
      <c r="D682" t="inlineStr">
        <is>
          <t>SÖDERMANLANDS LÄN</t>
        </is>
      </c>
      <c r="E682" t="inlineStr">
        <is>
          <t>KATRINEHOLM</t>
        </is>
      </c>
      <c r="G682" t="n">
        <v>9</v>
      </c>
      <c r="H682" t="n">
        <v>0</v>
      </c>
      <c r="I682" t="n">
        <v>0</v>
      </c>
      <c r="J682" t="n">
        <v>0</v>
      </c>
      <c r="K682" t="n">
        <v>0</v>
      </c>
      <c r="L682" t="n">
        <v>0</v>
      </c>
      <c r="M682" t="n">
        <v>0</v>
      </c>
      <c r="N682" t="n">
        <v>0</v>
      </c>
      <c r="O682" t="n">
        <v>0</v>
      </c>
      <c r="P682" t="n">
        <v>0</v>
      </c>
      <c r="Q682" t="n">
        <v>0</v>
      </c>
      <c r="R682" s="2" t="inlineStr"/>
    </row>
    <row r="683" ht="15" customHeight="1">
      <c r="A683" t="inlineStr">
        <is>
          <t>A 39897-2023</t>
        </is>
      </c>
      <c r="B683" s="1" t="n">
        <v>45168</v>
      </c>
      <c r="C683" s="1" t="n">
        <v>46082</v>
      </c>
      <c r="D683" t="inlineStr">
        <is>
          <t>SÖDERMANLANDS LÄN</t>
        </is>
      </c>
      <c r="E683" t="inlineStr">
        <is>
          <t>KATRINEHOLM</t>
        </is>
      </c>
      <c r="G683" t="n">
        <v>15.6</v>
      </c>
      <c r="H683" t="n">
        <v>0</v>
      </c>
      <c r="I683" t="n">
        <v>0</v>
      </c>
      <c r="J683" t="n">
        <v>0</v>
      </c>
      <c r="K683" t="n">
        <v>0</v>
      </c>
      <c r="L683" t="n">
        <v>0</v>
      </c>
      <c r="M683" t="n">
        <v>0</v>
      </c>
      <c r="N683" t="n">
        <v>0</v>
      </c>
      <c r="O683" t="n">
        <v>0</v>
      </c>
      <c r="P683" t="n">
        <v>0</v>
      </c>
      <c r="Q683" t="n">
        <v>0</v>
      </c>
      <c r="R683" s="2" t="inlineStr"/>
    </row>
    <row r="684" ht="15" customHeight="1">
      <c r="A684" t="inlineStr">
        <is>
          <t>A 23207-2023</t>
        </is>
      </c>
      <c r="B684" s="1" t="n">
        <v>45071</v>
      </c>
      <c r="C684" s="1" t="n">
        <v>46082</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42025-2022</t>
        </is>
      </c>
      <c r="B685" s="1" t="n">
        <v>44830.47399305556</v>
      </c>
      <c r="C685" s="1" t="n">
        <v>46082</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8791-2023</t>
        </is>
      </c>
      <c r="B686" s="1" t="n">
        <v>44978</v>
      </c>
      <c r="C686" s="1" t="n">
        <v>46082</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48253-2022</t>
        </is>
      </c>
      <c r="B687" s="1" t="n">
        <v>44858</v>
      </c>
      <c r="C687" s="1" t="n">
        <v>46082</v>
      </c>
      <c r="D687" t="inlineStr">
        <is>
          <t>SÖDERMANLANDS LÄN</t>
        </is>
      </c>
      <c r="E687" t="inlineStr">
        <is>
          <t>KATRINEHOLM</t>
        </is>
      </c>
      <c r="G687" t="n">
        <v>4.7</v>
      </c>
      <c r="H687" t="n">
        <v>0</v>
      </c>
      <c r="I687" t="n">
        <v>0</v>
      </c>
      <c r="J687" t="n">
        <v>0</v>
      </c>
      <c r="K687" t="n">
        <v>0</v>
      </c>
      <c r="L687" t="n">
        <v>0</v>
      </c>
      <c r="M687" t="n">
        <v>0</v>
      </c>
      <c r="N687" t="n">
        <v>0</v>
      </c>
      <c r="O687" t="n">
        <v>0</v>
      </c>
      <c r="P687" t="n">
        <v>0</v>
      </c>
      <c r="Q687" t="n">
        <v>0</v>
      </c>
      <c r="R687" s="2" t="inlineStr"/>
    </row>
    <row r="688" ht="15" customHeight="1">
      <c r="A688" t="inlineStr">
        <is>
          <t>A 53809-2021</t>
        </is>
      </c>
      <c r="B688" s="1" t="n">
        <v>44467</v>
      </c>
      <c r="C688" s="1" t="n">
        <v>46082</v>
      </c>
      <c r="D688" t="inlineStr">
        <is>
          <t>SÖDERMANLANDS LÄN</t>
        </is>
      </c>
      <c r="E688" t="inlineStr">
        <is>
          <t>KATRINEHOLM</t>
        </is>
      </c>
      <c r="G688" t="n">
        <v>7</v>
      </c>
      <c r="H688" t="n">
        <v>0</v>
      </c>
      <c r="I688" t="n">
        <v>0</v>
      </c>
      <c r="J688" t="n">
        <v>0</v>
      </c>
      <c r="K688" t="n">
        <v>0</v>
      </c>
      <c r="L688" t="n">
        <v>0</v>
      </c>
      <c r="M688" t="n">
        <v>0</v>
      </c>
      <c r="N688" t="n">
        <v>0</v>
      </c>
      <c r="O688" t="n">
        <v>0</v>
      </c>
      <c r="P688" t="n">
        <v>0</v>
      </c>
      <c r="Q688" t="n">
        <v>0</v>
      </c>
      <c r="R688" s="2" t="inlineStr"/>
    </row>
    <row r="689" ht="15" customHeight="1">
      <c r="A689" t="inlineStr">
        <is>
          <t>A 31719-2024</t>
        </is>
      </c>
      <c r="B689" s="1" t="n">
        <v>45509</v>
      </c>
      <c r="C689" s="1" t="n">
        <v>46082</v>
      </c>
      <c r="D689" t="inlineStr">
        <is>
          <t>SÖDERMANLANDS LÄN</t>
        </is>
      </c>
      <c r="E689" t="inlineStr">
        <is>
          <t>KATRINEHOLM</t>
        </is>
      </c>
      <c r="F689" t="inlineStr">
        <is>
          <t>Kyrkan</t>
        </is>
      </c>
      <c r="G689" t="n">
        <v>11.9</v>
      </c>
      <c r="H689" t="n">
        <v>0</v>
      </c>
      <c r="I689" t="n">
        <v>0</v>
      </c>
      <c r="J689" t="n">
        <v>0</v>
      </c>
      <c r="K689" t="n">
        <v>0</v>
      </c>
      <c r="L689" t="n">
        <v>0</v>
      </c>
      <c r="M689" t="n">
        <v>0</v>
      </c>
      <c r="N689" t="n">
        <v>0</v>
      </c>
      <c r="O689" t="n">
        <v>0</v>
      </c>
      <c r="P689" t="n">
        <v>0</v>
      </c>
      <c r="Q689" t="n">
        <v>0</v>
      </c>
      <c r="R689" s="2" t="inlineStr"/>
    </row>
    <row r="690" ht="15" customHeight="1">
      <c r="A690" t="inlineStr">
        <is>
          <t>A 13175-2024</t>
        </is>
      </c>
      <c r="B690" s="1" t="n">
        <v>45386</v>
      </c>
      <c r="C690" s="1" t="n">
        <v>46082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40744-2022</t>
        </is>
      </c>
      <c r="B691" s="1" t="n">
        <v>44824.55655092592</v>
      </c>
      <c r="C691" s="1" t="n">
        <v>46082</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8761-2023</t>
        </is>
      </c>
      <c r="B692" s="1" t="n">
        <v>44978.49685185185</v>
      </c>
      <c r="C692" s="1" t="n">
        <v>46082</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8778-2023</t>
        </is>
      </c>
      <c r="B693" s="1" t="n">
        <v>44978.5737037037</v>
      </c>
      <c r="C693" s="1" t="n">
        <v>46082</v>
      </c>
      <c r="D693" t="inlineStr">
        <is>
          <t>SÖDERMANLANDS LÄN</t>
        </is>
      </c>
      <c r="E693" t="inlineStr">
        <is>
          <t>KATRINEHOLM</t>
        </is>
      </c>
      <c r="G693" t="n">
        <v>4.5</v>
      </c>
      <c r="H693" t="n">
        <v>0</v>
      </c>
      <c r="I693" t="n">
        <v>0</v>
      </c>
      <c r="J693" t="n">
        <v>0</v>
      </c>
      <c r="K693" t="n">
        <v>0</v>
      </c>
      <c r="L693" t="n">
        <v>0</v>
      </c>
      <c r="M693" t="n">
        <v>0</v>
      </c>
      <c r="N693" t="n">
        <v>0</v>
      </c>
      <c r="O693" t="n">
        <v>0</v>
      </c>
      <c r="P693" t="n">
        <v>0</v>
      </c>
      <c r="Q693" t="n">
        <v>0</v>
      </c>
      <c r="R693" s="2" t="inlineStr"/>
    </row>
    <row r="694" ht="15" customHeight="1">
      <c r="A694" t="inlineStr">
        <is>
          <t>A 8457-2023</t>
        </is>
      </c>
      <c r="B694" s="1" t="n">
        <v>44977</v>
      </c>
      <c r="C694" s="1" t="n">
        <v>46082</v>
      </c>
      <c r="D694" t="inlineStr">
        <is>
          <t>SÖDERMANLANDS LÄN</t>
        </is>
      </c>
      <c r="E694" t="inlineStr">
        <is>
          <t>KATRINEHOLM</t>
        </is>
      </c>
      <c r="F694" t="inlineStr">
        <is>
          <t>Allmännings- och besparingsskogar</t>
        </is>
      </c>
      <c r="G694" t="n">
        <v>16.1</v>
      </c>
      <c r="H694" t="n">
        <v>0</v>
      </c>
      <c r="I694" t="n">
        <v>0</v>
      </c>
      <c r="J694" t="n">
        <v>0</v>
      </c>
      <c r="K694" t="n">
        <v>0</v>
      </c>
      <c r="L694" t="n">
        <v>0</v>
      </c>
      <c r="M694" t="n">
        <v>0</v>
      </c>
      <c r="N694" t="n">
        <v>0</v>
      </c>
      <c r="O694" t="n">
        <v>0</v>
      </c>
      <c r="P694" t="n">
        <v>0</v>
      </c>
      <c r="Q694" t="n">
        <v>0</v>
      </c>
      <c r="R694" s="2" t="inlineStr"/>
    </row>
    <row r="695" ht="15" customHeight="1">
      <c r="A695" t="inlineStr">
        <is>
          <t>A 7056-2022</t>
        </is>
      </c>
      <c r="B695" s="1" t="n">
        <v>44603</v>
      </c>
      <c r="C695" s="1" t="n">
        <v>46082</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32786-2022</t>
        </is>
      </c>
      <c r="B696" s="1" t="n">
        <v>44784</v>
      </c>
      <c r="C696" s="1" t="n">
        <v>46082</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7223-2022</t>
        </is>
      </c>
      <c r="B697" s="1" t="n">
        <v>44603</v>
      </c>
      <c r="C697" s="1" t="n">
        <v>46082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7459-2022</t>
        </is>
      </c>
      <c r="B698" s="1" t="n">
        <v>44607.35009259259</v>
      </c>
      <c r="C698" s="1" t="n">
        <v>46082</v>
      </c>
      <c r="D698" t="inlineStr">
        <is>
          <t>SÖDERMANLANDS LÄN</t>
        </is>
      </c>
      <c r="E698" t="inlineStr">
        <is>
          <t>KATRINEHOLM</t>
        </is>
      </c>
      <c r="G698" t="n">
        <v>2</v>
      </c>
      <c r="H698" t="n">
        <v>0</v>
      </c>
      <c r="I698" t="n">
        <v>0</v>
      </c>
      <c r="J698" t="n">
        <v>0</v>
      </c>
      <c r="K698" t="n">
        <v>0</v>
      </c>
      <c r="L698" t="n">
        <v>0</v>
      </c>
      <c r="M698" t="n">
        <v>0</v>
      </c>
      <c r="N698" t="n">
        <v>0</v>
      </c>
      <c r="O698" t="n">
        <v>0</v>
      </c>
      <c r="P698" t="n">
        <v>0</v>
      </c>
      <c r="Q698" t="n">
        <v>0</v>
      </c>
      <c r="R698" s="2" t="inlineStr"/>
    </row>
    <row r="699" ht="15" customHeight="1">
      <c r="A699" t="inlineStr">
        <is>
          <t>A 27375-2024</t>
        </is>
      </c>
      <c r="B699" s="1" t="n">
        <v>45473.87645833333</v>
      </c>
      <c r="C699" s="1" t="n">
        <v>46082</v>
      </c>
      <c r="D699" t="inlineStr">
        <is>
          <t>SÖDERMANLANDS LÄN</t>
        </is>
      </c>
      <c r="E699" t="inlineStr">
        <is>
          <t>KATRINEHOLM</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20768-2022</t>
        </is>
      </c>
      <c r="B700" s="1" t="n">
        <v>44701.36431712963</v>
      </c>
      <c r="C700" s="1" t="n">
        <v>46082</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15284-2023</t>
        </is>
      </c>
      <c r="B701" s="1" t="n">
        <v>45019</v>
      </c>
      <c r="C701" s="1" t="n">
        <v>46082</v>
      </c>
      <c r="D701" t="inlineStr">
        <is>
          <t>SÖDERMANLANDS LÄN</t>
        </is>
      </c>
      <c r="E701" t="inlineStr">
        <is>
          <t>KATRINEHOLM</t>
        </is>
      </c>
      <c r="F701" t="inlineStr">
        <is>
          <t>Allmännings- och besparingsskogar</t>
        </is>
      </c>
      <c r="G701" t="n">
        <v>17.4</v>
      </c>
      <c r="H701" t="n">
        <v>0</v>
      </c>
      <c r="I701" t="n">
        <v>0</v>
      </c>
      <c r="J701" t="n">
        <v>0</v>
      </c>
      <c r="K701" t="n">
        <v>0</v>
      </c>
      <c r="L701" t="n">
        <v>0</v>
      </c>
      <c r="M701" t="n">
        <v>0</v>
      </c>
      <c r="N701" t="n">
        <v>0</v>
      </c>
      <c r="O701" t="n">
        <v>0</v>
      </c>
      <c r="P701" t="n">
        <v>0</v>
      </c>
      <c r="Q701" t="n">
        <v>0</v>
      </c>
      <c r="R701" s="2" t="inlineStr"/>
    </row>
    <row r="702" ht="15" customHeight="1">
      <c r="A702" t="inlineStr">
        <is>
          <t>A 51613-2022</t>
        </is>
      </c>
      <c r="B702" s="1" t="n">
        <v>44871</v>
      </c>
      <c r="C702" s="1" t="n">
        <v>46082</v>
      </c>
      <c r="D702" t="inlineStr">
        <is>
          <t>SÖDERMANLANDS LÄN</t>
        </is>
      </c>
      <c r="E702" t="inlineStr">
        <is>
          <t>KATRINEHOLM</t>
        </is>
      </c>
      <c r="G702" t="n">
        <v>3</v>
      </c>
      <c r="H702" t="n">
        <v>0</v>
      </c>
      <c r="I702" t="n">
        <v>0</v>
      </c>
      <c r="J702" t="n">
        <v>0</v>
      </c>
      <c r="K702" t="n">
        <v>0</v>
      </c>
      <c r="L702" t="n">
        <v>0</v>
      </c>
      <c r="M702" t="n">
        <v>0</v>
      </c>
      <c r="N702" t="n">
        <v>0</v>
      </c>
      <c r="O702" t="n">
        <v>0</v>
      </c>
      <c r="P702" t="n">
        <v>0</v>
      </c>
      <c r="Q702" t="n">
        <v>0</v>
      </c>
      <c r="R702" s="2" t="inlineStr"/>
    </row>
    <row r="703" ht="15" customHeight="1">
      <c r="A703" t="inlineStr">
        <is>
          <t>A 37834-2023</t>
        </is>
      </c>
      <c r="B703" s="1" t="n">
        <v>45160</v>
      </c>
      <c r="C703" s="1" t="n">
        <v>46082</v>
      </c>
      <c r="D703" t="inlineStr">
        <is>
          <t>SÖDERMANLANDS LÄN</t>
        </is>
      </c>
      <c r="E703" t="inlineStr">
        <is>
          <t>KATRINEHOLM</t>
        </is>
      </c>
      <c r="F703" t="inlineStr">
        <is>
          <t>Kyrkan</t>
        </is>
      </c>
      <c r="G703" t="n">
        <v>2.8</v>
      </c>
      <c r="H703" t="n">
        <v>0</v>
      </c>
      <c r="I703" t="n">
        <v>0</v>
      </c>
      <c r="J703" t="n">
        <v>0</v>
      </c>
      <c r="K703" t="n">
        <v>0</v>
      </c>
      <c r="L703" t="n">
        <v>0</v>
      </c>
      <c r="M703" t="n">
        <v>0</v>
      </c>
      <c r="N703" t="n">
        <v>0</v>
      </c>
      <c r="O703" t="n">
        <v>0</v>
      </c>
      <c r="P703" t="n">
        <v>0</v>
      </c>
      <c r="Q703" t="n">
        <v>0</v>
      </c>
      <c r="R703" s="2" t="inlineStr"/>
    </row>
    <row r="704" ht="15" customHeight="1">
      <c r="A704" t="inlineStr">
        <is>
          <t>A 8475-2023</t>
        </is>
      </c>
      <c r="B704" s="1" t="n">
        <v>44977</v>
      </c>
      <c r="C704" s="1" t="n">
        <v>46082</v>
      </c>
      <c r="D704" t="inlineStr">
        <is>
          <t>SÖDERMANLANDS LÄN</t>
        </is>
      </c>
      <c r="E704" t="inlineStr">
        <is>
          <t>KATRINEHOLM</t>
        </is>
      </c>
      <c r="F704" t="inlineStr">
        <is>
          <t>Allmännings- och besparingsskogar</t>
        </is>
      </c>
      <c r="G704" t="n">
        <v>8.1</v>
      </c>
      <c r="H704" t="n">
        <v>0</v>
      </c>
      <c r="I704" t="n">
        <v>0</v>
      </c>
      <c r="J704" t="n">
        <v>0</v>
      </c>
      <c r="K704" t="n">
        <v>0</v>
      </c>
      <c r="L704" t="n">
        <v>0</v>
      </c>
      <c r="M704" t="n">
        <v>0</v>
      </c>
      <c r="N704" t="n">
        <v>0</v>
      </c>
      <c r="O704" t="n">
        <v>0</v>
      </c>
      <c r="P704" t="n">
        <v>0</v>
      </c>
      <c r="Q704" t="n">
        <v>0</v>
      </c>
      <c r="R704" s="2" t="inlineStr"/>
    </row>
    <row r="705" ht="15" customHeight="1">
      <c r="A705" t="inlineStr">
        <is>
          <t>A 32890-2024</t>
        </is>
      </c>
      <c r="B705" s="1" t="n">
        <v>45516</v>
      </c>
      <c r="C705" s="1" t="n">
        <v>46082</v>
      </c>
      <c r="D705" t="inlineStr">
        <is>
          <t>SÖDERMANLANDS LÄN</t>
        </is>
      </c>
      <c r="E705" t="inlineStr">
        <is>
          <t>KATRINEHOLM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2320-2023</t>
        </is>
      </c>
      <c r="B706" s="1" t="n">
        <v>44942.58850694444</v>
      </c>
      <c r="C706" s="1" t="n">
        <v>46082</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59898-2022</t>
        </is>
      </c>
      <c r="B707" s="1" t="n">
        <v>44908</v>
      </c>
      <c r="C707" s="1" t="n">
        <v>46082</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20326-2023</t>
        </is>
      </c>
      <c r="B708" s="1" t="n">
        <v>45056.46821759259</v>
      </c>
      <c r="C708" s="1" t="n">
        <v>46082</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15392-2023</t>
        </is>
      </c>
      <c r="B709" s="1" t="n">
        <v>45016</v>
      </c>
      <c r="C709" s="1" t="n">
        <v>46082</v>
      </c>
      <c r="D709" t="inlineStr">
        <is>
          <t>SÖDERMANLANDS LÄN</t>
        </is>
      </c>
      <c r="E709" t="inlineStr">
        <is>
          <t>KATRINEHOLM</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45246-2023</t>
        </is>
      </c>
      <c r="B710" s="1" t="n">
        <v>45191</v>
      </c>
      <c r="C710" s="1" t="n">
        <v>46082</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2735-2025</t>
        </is>
      </c>
      <c r="B711" s="1" t="n">
        <v>45677</v>
      </c>
      <c r="C711" s="1" t="n">
        <v>46082</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49914-2023</t>
        </is>
      </c>
      <c r="B712" s="1" t="n">
        <v>45214</v>
      </c>
      <c r="C712" s="1" t="n">
        <v>46082</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17335-2023</t>
        </is>
      </c>
      <c r="B713" s="1" t="n">
        <v>45033</v>
      </c>
      <c r="C713" s="1" t="n">
        <v>46082</v>
      </c>
      <c r="D713" t="inlineStr">
        <is>
          <t>SÖDERMANLANDS LÄN</t>
        </is>
      </c>
      <c r="E713" t="inlineStr">
        <is>
          <t>KATRINEHOLM</t>
        </is>
      </c>
      <c r="G713" t="n">
        <v>3.3</v>
      </c>
      <c r="H713" t="n">
        <v>0</v>
      </c>
      <c r="I713" t="n">
        <v>0</v>
      </c>
      <c r="J713" t="n">
        <v>0</v>
      </c>
      <c r="K713" t="n">
        <v>0</v>
      </c>
      <c r="L713" t="n">
        <v>0</v>
      </c>
      <c r="M713" t="n">
        <v>0</v>
      </c>
      <c r="N713" t="n">
        <v>0</v>
      </c>
      <c r="O713" t="n">
        <v>0</v>
      </c>
      <c r="P713" t="n">
        <v>0</v>
      </c>
      <c r="Q713" t="n">
        <v>0</v>
      </c>
      <c r="R713" s="2" t="inlineStr"/>
    </row>
    <row r="714" ht="15" customHeight="1">
      <c r="A714" t="inlineStr">
        <is>
          <t>A 16605-2025</t>
        </is>
      </c>
      <c r="B714" s="1" t="n">
        <v>45753.61614583333</v>
      </c>
      <c r="C714" s="1" t="n">
        <v>46082</v>
      </c>
      <c r="D714" t="inlineStr">
        <is>
          <t>SÖDERMANLANDS LÄN</t>
        </is>
      </c>
      <c r="E714" t="inlineStr">
        <is>
          <t>KATRINEHOLM</t>
        </is>
      </c>
      <c r="G714" t="n">
        <v>5.2</v>
      </c>
      <c r="H714" t="n">
        <v>0</v>
      </c>
      <c r="I714" t="n">
        <v>0</v>
      </c>
      <c r="J714" t="n">
        <v>0</v>
      </c>
      <c r="K714" t="n">
        <v>0</v>
      </c>
      <c r="L714" t="n">
        <v>0</v>
      </c>
      <c r="M714" t="n">
        <v>0</v>
      </c>
      <c r="N714" t="n">
        <v>0</v>
      </c>
      <c r="O714" t="n">
        <v>0</v>
      </c>
      <c r="P714" t="n">
        <v>0</v>
      </c>
      <c r="Q714" t="n">
        <v>0</v>
      </c>
      <c r="R714" s="2" t="inlineStr"/>
    </row>
    <row r="715" ht="15" customHeight="1">
      <c r="A715" t="inlineStr">
        <is>
          <t>A 33141-2023</t>
        </is>
      </c>
      <c r="B715" s="1" t="n">
        <v>45126.65491898148</v>
      </c>
      <c r="C715" s="1" t="n">
        <v>46082</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58528-2024</t>
        </is>
      </c>
      <c r="B716" s="1" t="n">
        <v>45635.44527777778</v>
      </c>
      <c r="C716" s="1" t="n">
        <v>46082</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9899-2023</t>
        </is>
      </c>
      <c r="B717" s="1" t="n">
        <v>44985</v>
      </c>
      <c r="C717" s="1" t="n">
        <v>46082</v>
      </c>
      <c r="D717" t="inlineStr">
        <is>
          <t>SÖDERMANLANDS LÄN</t>
        </is>
      </c>
      <c r="E717" t="inlineStr">
        <is>
          <t>KATRINEHOLM</t>
        </is>
      </c>
      <c r="F717" t="inlineStr">
        <is>
          <t>Allmännings- och besparingsskogar</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8288-2023</t>
        </is>
      </c>
      <c r="B718" s="1" t="n">
        <v>44974</v>
      </c>
      <c r="C718" s="1" t="n">
        <v>46082</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46082</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37185-2023</t>
        </is>
      </c>
      <c r="B720" s="1" t="n">
        <v>45154</v>
      </c>
      <c r="C720" s="1" t="n">
        <v>46082</v>
      </c>
      <c r="D720" t="inlineStr">
        <is>
          <t>SÖDERMANLANDS LÄN</t>
        </is>
      </c>
      <c r="E720" t="inlineStr">
        <is>
          <t>KATRINEHOLM</t>
        </is>
      </c>
      <c r="G720" t="n">
        <v>3</v>
      </c>
      <c r="H720" t="n">
        <v>0</v>
      </c>
      <c r="I720" t="n">
        <v>0</v>
      </c>
      <c r="J720" t="n">
        <v>0</v>
      </c>
      <c r="K720" t="n">
        <v>0</v>
      </c>
      <c r="L720" t="n">
        <v>0</v>
      </c>
      <c r="M720" t="n">
        <v>0</v>
      </c>
      <c r="N720" t="n">
        <v>0</v>
      </c>
      <c r="O720" t="n">
        <v>0</v>
      </c>
      <c r="P720" t="n">
        <v>0</v>
      </c>
      <c r="Q720" t="n">
        <v>0</v>
      </c>
      <c r="R720" s="2" t="inlineStr"/>
    </row>
    <row r="721" ht="15" customHeight="1">
      <c r="A721" t="inlineStr">
        <is>
          <t>A 51848-2022</t>
        </is>
      </c>
      <c r="B721" s="1" t="n">
        <v>44872.57752314815</v>
      </c>
      <c r="C721" s="1" t="n">
        <v>46082</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49218-2023</t>
        </is>
      </c>
      <c r="B722" s="1" t="n">
        <v>45205</v>
      </c>
      <c r="C722" s="1" t="n">
        <v>46082</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55169-2022</t>
        </is>
      </c>
      <c r="B723" s="1" t="n">
        <v>44886</v>
      </c>
      <c r="C723" s="1" t="n">
        <v>46082</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1329-2025</t>
        </is>
      </c>
      <c r="B724" s="1" t="n">
        <v>45667</v>
      </c>
      <c r="C724" s="1" t="n">
        <v>46082</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46082</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24287-2024</t>
        </is>
      </c>
      <c r="B726" s="1" t="n">
        <v>45457</v>
      </c>
      <c r="C726" s="1" t="n">
        <v>46082</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8518-2023</t>
        </is>
      </c>
      <c r="B727" s="1" t="n">
        <v>44977</v>
      </c>
      <c r="C727" s="1" t="n">
        <v>46082</v>
      </c>
      <c r="D727" t="inlineStr">
        <is>
          <t>SÖDERMANLANDS LÄN</t>
        </is>
      </c>
      <c r="E727" t="inlineStr">
        <is>
          <t>KATRINEHOLM</t>
        </is>
      </c>
      <c r="F727" t="inlineStr">
        <is>
          <t>Allmännings- och besparingsskogar</t>
        </is>
      </c>
      <c r="G727" t="n">
        <v>35.3</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46082</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46082</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37542-2022</t>
        </is>
      </c>
      <c r="B730" s="1" t="n">
        <v>44809</v>
      </c>
      <c r="C730" s="1" t="n">
        <v>46082</v>
      </c>
      <c r="D730" t="inlineStr">
        <is>
          <t>SÖDERMANLANDS LÄN</t>
        </is>
      </c>
      <c r="E730" t="inlineStr">
        <is>
          <t>KATRINEHOLM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41229-2022</t>
        </is>
      </c>
      <c r="B731" s="1" t="n">
        <v>44825</v>
      </c>
      <c r="C731" s="1" t="n">
        <v>46082</v>
      </c>
      <c r="D731" t="inlineStr">
        <is>
          <t>SÖDERMANLANDS LÄN</t>
        </is>
      </c>
      <c r="E731" t="inlineStr">
        <is>
          <t>KATRINEHOLM</t>
        </is>
      </c>
      <c r="G731" t="n">
        <v>3.8</v>
      </c>
      <c r="H731" t="n">
        <v>0</v>
      </c>
      <c r="I731" t="n">
        <v>0</v>
      </c>
      <c r="J731" t="n">
        <v>0</v>
      </c>
      <c r="K731" t="n">
        <v>0</v>
      </c>
      <c r="L731" t="n">
        <v>0</v>
      </c>
      <c r="M731" t="n">
        <v>0</v>
      </c>
      <c r="N731" t="n">
        <v>0</v>
      </c>
      <c r="O731" t="n">
        <v>0</v>
      </c>
      <c r="P731" t="n">
        <v>0</v>
      </c>
      <c r="Q731" t="n">
        <v>0</v>
      </c>
      <c r="R731" s="2" t="inlineStr"/>
    </row>
    <row r="732" ht="15" customHeight="1">
      <c r="A732" t="inlineStr">
        <is>
          <t>A 64652-2023</t>
        </is>
      </c>
      <c r="B732" s="1" t="n">
        <v>45281</v>
      </c>
      <c r="C732" s="1" t="n">
        <v>46082</v>
      </c>
      <c r="D732" t="inlineStr">
        <is>
          <t>SÖDERMANLANDS LÄN</t>
        </is>
      </c>
      <c r="E732" t="inlineStr">
        <is>
          <t>KATRINEHOLM</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51404-2023</t>
        </is>
      </c>
      <c r="B733" s="1" t="n">
        <v>45214</v>
      </c>
      <c r="C733" s="1" t="n">
        <v>46082</v>
      </c>
      <c r="D733" t="inlineStr">
        <is>
          <t>SÖDERMANLANDS LÄN</t>
        </is>
      </c>
      <c r="E733" t="inlineStr">
        <is>
          <t>KATRINEHOLM</t>
        </is>
      </c>
      <c r="G733" t="n">
        <v>9</v>
      </c>
      <c r="H733" t="n">
        <v>0</v>
      </c>
      <c r="I733" t="n">
        <v>0</v>
      </c>
      <c r="J733" t="n">
        <v>0</v>
      </c>
      <c r="K733" t="n">
        <v>0</v>
      </c>
      <c r="L733" t="n">
        <v>0</v>
      </c>
      <c r="M733" t="n">
        <v>0</v>
      </c>
      <c r="N733" t="n">
        <v>0</v>
      </c>
      <c r="O733" t="n">
        <v>0</v>
      </c>
      <c r="P733" t="n">
        <v>0</v>
      </c>
      <c r="Q733" t="n">
        <v>0</v>
      </c>
      <c r="R733" s="2" t="inlineStr"/>
    </row>
    <row r="734" ht="15" customHeight="1">
      <c r="A734" t="inlineStr">
        <is>
          <t>A 41946-2022</t>
        </is>
      </c>
      <c r="B734" s="1" t="n">
        <v>44830.38502314815</v>
      </c>
      <c r="C734" s="1" t="n">
        <v>46082</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3115-2024</t>
        </is>
      </c>
      <c r="B735" s="1" t="n">
        <v>45316.49630787037</v>
      </c>
      <c r="C735" s="1" t="n">
        <v>46082</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61431-2024</t>
        </is>
      </c>
      <c r="B736" s="1" t="n">
        <v>45646.45950231481</v>
      </c>
      <c r="C736" s="1" t="n">
        <v>46082</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44659-2023</t>
        </is>
      </c>
      <c r="B737" s="1" t="n">
        <v>45189</v>
      </c>
      <c r="C737" s="1" t="n">
        <v>46082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51446-2023</t>
        </is>
      </c>
      <c r="B738" s="1" t="n">
        <v>45220.48068287037</v>
      </c>
      <c r="C738" s="1" t="n">
        <v>46082</v>
      </c>
      <c r="D738" t="inlineStr">
        <is>
          <t>SÖDERMANLANDS LÄN</t>
        </is>
      </c>
      <c r="E738" t="inlineStr">
        <is>
          <t>KATRINEHOLM</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27955-2023</t>
        </is>
      </c>
      <c r="B739" s="1" t="n">
        <v>45098</v>
      </c>
      <c r="C739" s="1" t="n">
        <v>46082</v>
      </c>
      <c r="D739" t="inlineStr">
        <is>
          <t>SÖDERMANLANDS LÄN</t>
        </is>
      </c>
      <c r="E739" t="inlineStr">
        <is>
          <t>KATRINEHOLM</t>
        </is>
      </c>
      <c r="G739" t="n">
        <v>5.9</v>
      </c>
      <c r="H739" t="n">
        <v>0</v>
      </c>
      <c r="I739" t="n">
        <v>0</v>
      </c>
      <c r="J739" t="n">
        <v>0</v>
      </c>
      <c r="K739" t="n">
        <v>0</v>
      </c>
      <c r="L739" t="n">
        <v>0</v>
      </c>
      <c r="M739" t="n">
        <v>0</v>
      </c>
      <c r="N739" t="n">
        <v>0</v>
      </c>
      <c r="O739" t="n">
        <v>0</v>
      </c>
      <c r="P739" t="n">
        <v>0</v>
      </c>
      <c r="Q739" t="n">
        <v>0</v>
      </c>
      <c r="R739" s="2" t="inlineStr"/>
    </row>
    <row r="740" ht="15" customHeight="1">
      <c r="A740" t="inlineStr">
        <is>
          <t>A 4669-2023</t>
        </is>
      </c>
      <c r="B740" s="1" t="n">
        <v>44957</v>
      </c>
      <c r="C740" s="1" t="n">
        <v>46082</v>
      </c>
      <c r="D740" t="inlineStr">
        <is>
          <t>SÖDERMANLANDS LÄN</t>
        </is>
      </c>
      <c r="E740" t="inlineStr">
        <is>
          <t>KATRINEHOLM</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4724-2023</t>
        </is>
      </c>
      <c r="B741" s="1" t="n">
        <v>44957</v>
      </c>
      <c r="C741" s="1" t="n">
        <v>46082</v>
      </c>
      <c r="D741" t="inlineStr">
        <is>
          <t>SÖDERMANLANDS LÄN</t>
        </is>
      </c>
      <c r="E741" t="inlineStr">
        <is>
          <t>KATRINEHOLM</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7197-2023</t>
        </is>
      </c>
      <c r="B742" s="1" t="n">
        <v>44965</v>
      </c>
      <c r="C742" s="1" t="n">
        <v>46082</v>
      </c>
      <c r="D742" t="inlineStr">
        <is>
          <t>SÖDERMANLANDS LÄN</t>
        </is>
      </c>
      <c r="E742" t="inlineStr">
        <is>
          <t>KATRINEHOLM</t>
        </is>
      </c>
      <c r="G742" t="n">
        <v>5.3</v>
      </c>
      <c r="H742" t="n">
        <v>0</v>
      </c>
      <c r="I742" t="n">
        <v>0</v>
      </c>
      <c r="J742" t="n">
        <v>0</v>
      </c>
      <c r="K742" t="n">
        <v>0</v>
      </c>
      <c r="L742" t="n">
        <v>0</v>
      </c>
      <c r="M742" t="n">
        <v>0</v>
      </c>
      <c r="N742" t="n">
        <v>0</v>
      </c>
      <c r="O742" t="n">
        <v>0</v>
      </c>
      <c r="P742" t="n">
        <v>0</v>
      </c>
      <c r="Q742" t="n">
        <v>0</v>
      </c>
      <c r="R742" s="2" t="inlineStr"/>
    </row>
    <row r="743" ht="15" customHeight="1">
      <c r="A743" t="inlineStr">
        <is>
          <t>A 6092-2025</t>
        </is>
      </c>
      <c r="B743" s="1" t="n">
        <v>45697</v>
      </c>
      <c r="C743" s="1" t="n">
        <v>46082</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5327-2025</t>
        </is>
      </c>
      <c r="B744" s="1" t="n">
        <v>45692</v>
      </c>
      <c r="C744" s="1" t="n">
        <v>46082</v>
      </c>
      <c r="D744" t="inlineStr">
        <is>
          <t>SÖDERMANLANDS LÄN</t>
        </is>
      </c>
      <c r="E744" t="inlineStr">
        <is>
          <t>KATRINEHOLM</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12929-2023</t>
        </is>
      </c>
      <c r="B745" s="1" t="n">
        <v>45001</v>
      </c>
      <c r="C745" s="1" t="n">
        <v>46082</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12932-2023</t>
        </is>
      </c>
      <c r="B746" s="1" t="n">
        <v>45001</v>
      </c>
      <c r="C746" s="1" t="n">
        <v>46082</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50626-2024</t>
        </is>
      </c>
      <c r="B747" s="1" t="n">
        <v>45601</v>
      </c>
      <c r="C747" s="1" t="n">
        <v>46082</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7398-2024</t>
        </is>
      </c>
      <c r="B748" s="1" t="n">
        <v>45345</v>
      </c>
      <c r="C748" s="1" t="n">
        <v>46082</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14629-2023</t>
        </is>
      </c>
      <c r="B749" s="1" t="n">
        <v>45013</v>
      </c>
      <c r="C749" s="1" t="n">
        <v>46082</v>
      </c>
      <c r="D749" t="inlineStr">
        <is>
          <t>SÖDERMANLANDS LÄN</t>
        </is>
      </c>
      <c r="E749" t="inlineStr">
        <is>
          <t>KATRINEHOLM</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49116-2024</t>
        </is>
      </c>
      <c r="B750" s="1" t="n">
        <v>45594.6605787037</v>
      </c>
      <c r="C750" s="1" t="n">
        <v>46082</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2683-2025</t>
        </is>
      </c>
      <c r="B751" s="1" t="n">
        <v>45677</v>
      </c>
      <c r="C751" s="1" t="n">
        <v>46082</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61410-2024</t>
        </is>
      </c>
      <c r="B752" s="1" t="n">
        <v>45646.43950231482</v>
      </c>
      <c r="C752" s="1" t="n">
        <v>46082</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3315-2023</t>
        </is>
      </c>
      <c r="B753" s="1" t="n">
        <v>44945</v>
      </c>
      <c r="C753" s="1" t="n">
        <v>46082</v>
      </c>
      <c r="D753" t="inlineStr">
        <is>
          <t>SÖDERMANLANDS LÄN</t>
        </is>
      </c>
      <c r="E753" t="inlineStr">
        <is>
          <t>KATRINEHOLM</t>
        </is>
      </c>
      <c r="G753" t="n">
        <v>0.8</v>
      </c>
      <c r="H753" t="n">
        <v>0</v>
      </c>
      <c r="I753" t="n">
        <v>0</v>
      </c>
      <c r="J753" t="n">
        <v>0</v>
      </c>
      <c r="K753" t="n">
        <v>0</v>
      </c>
      <c r="L753" t="n">
        <v>0</v>
      </c>
      <c r="M753" t="n">
        <v>0</v>
      </c>
      <c r="N753" t="n">
        <v>0</v>
      </c>
      <c r="O753" t="n">
        <v>0</v>
      </c>
      <c r="P753" t="n">
        <v>0</v>
      </c>
      <c r="Q753" t="n">
        <v>0</v>
      </c>
      <c r="R753" s="2" t="inlineStr"/>
    </row>
    <row r="754" ht="15" customHeight="1">
      <c r="A754" t="inlineStr">
        <is>
          <t>A 7867-2024</t>
        </is>
      </c>
      <c r="B754" s="1" t="n">
        <v>45350.32991898148</v>
      </c>
      <c r="C754" s="1" t="n">
        <v>46082</v>
      </c>
      <c r="D754" t="inlineStr">
        <is>
          <t>SÖDERMANLANDS LÄN</t>
        </is>
      </c>
      <c r="E754" t="inlineStr">
        <is>
          <t>KATRINEHOLM</t>
        </is>
      </c>
      <c r="F754" t="inlineStr">
        <is>
          <t>Kyrkan</t>
        </is>
      </c>
      <c r="G754" t="n">
        <v>3.3</v>
      </c>
      <c r="H754" t="n">
        <v>0</v>
      </c>
      <c r="I754" t="n">
        <v>0</v>
      </c>
      <c r="J754" t="n">
        <v>0</v>
      </c>
      <c r="K754" t="n">
        <v>0</v>
      </c>
      <c r="L754" t="n">
        <v>0</v>
      </c>
      <c r="M754" t="n">
        <v>0</v>
      </c>
      <c r="N754" t="n">
        <v>0</v>
      </c>
      <c r="O754" t="n">
        <v>0</v>
      </c>
      <c r="P754" t="n">
        <v>0</v>
      </c>
      <c r="Q754" t="n">
        <v>0</v>
      </c>
      <c r="R754" s="2" t="inlineStr"/>
    </row>
    <row r="755" ht="15" customHeight="1">
      <c r="A755" t="inlineStr">
        <is>
          <t>A 38869-2024</t>
        </is>
      </c>
      <c r="B755" s="1" t="n">
        <v>45547</v>
      </c>
      <c r="C755" s="1" t="n">
        <v>46082</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39010-2021</t>
        </is>
      </c>
      <c r="B756" s="1" t="n">
        <v>44412</v>
      </c>
      <c r="C756" s="1" t="n">
        <v>46082</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1091-2025</t>
        </is>
      </c>
      <c r="B757" s="1" t="n">
        <v>45666</v>
      </c>
      <c r="C757" s="1" t="n">
        <v>46082</v>
      </c>
      <c r="D757" t="inlineStr">
        <is>
          <t>SÖDERMANLANDS LÄN</t>
        </is>
      </c>
      <c r="E757" t="inlineStr">
        <is>
          <t>KATRINEHOLM</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6311-2025</t>
        </is>
      </c>
      <c r="B758" s="1" t="n">
        <v>45698</v>
      </c>
      <c r="C758" s="1" t="n">
        <v>46082</v>
      </c>
      <c r="D758" t="inlineStr">
        <is>
          <t>SÖDERMANLANDS LÄN</t>
        </is>
      </c>
      <c r="E758" t="inlineStr">
        <is>
          <t>KATRINEHOLM</t>
        </is>
      </c>
      <c r="G758" t="n">
        <v>0.3</v>
      </c>
      <c r="H758" t="n">
        <v>0</v>
      </c>
      <c r="I758" t="n">
        <v>0</v>
      </c>
      <c r="J758" t="n">
        <v>0</v>
      </c>
      <c r="K758" t="n">
        <v>0</v>
      </c>
      <c r="L758" t="n">
        <v>0</v>
      </c>
      <c r="M758" t="n">
        <v>0</v>
      </c>
      <c r="N758" t="n">
        <v>0</v>
      </c>
      <c r="O758" t="n">
        <v>0</v>
      </c>
      <c r="P758" t="n">
        <v>0</v>
      </c>
      <c r="Q758" t="n">
        <v>0</v>
      </c>
      <c r="R758" s="2" t="inlineStr"/>
    </row>
    <row r="759" ht="15" customHeight="1">
      <c r="A759" t="inlineStr">
        <is>
          <t>A 23838-2021</t>
        </is>
      </c>
      <c r="B759" s="1" t="n">
        <v>44335</v>
      </c>
      <c r="C759" s="1" t="n">
        <v>46082</v>
      </c>
      <c r="D759" t="inlineStr">
        <is>
          <t>SÖDERMANLANDS LÄN</t>
        </is>
      </c>
      <c r="E759" t="inlineStr">
        <is>
          <t>KATRINEHOLM</t>
        </is>
      </c>
      <c r="G759" t="n">
        <v>12</v>
      </c>
      <c r="H759" t="n">
        <v>0</v>
      </c>
      <c r="I759" t="n">
        <v>0</v>
      </c>
      <c r="J759" t="n">
        <v>0</v>
      </c>
      <c r="K759" t="n">
        <v>0</v>
      </c>
      <c r="L759" t="n">
        <v>0</v>
      </c>
      <c r="M759" t="n">
        <v>0</v>
      </c>
      <c r="N759" t="n">
        <v>0</v>
      </c>
      <c r="O759" t="n">
        <v>0</v>
      </c>
      <c r="P759" t="n">
        <v>0</v>
      </c>
      <c r="Q759" t="n">
        <v>0</v>
      </c>
      <c r="R759" s="2" t="inlineStr"/>
    </row>
    <row r="760" ht="15" customHeight="1">
      <c r="A760" t="inlineStr">
        <is>
          <t>A 32943-2024</t>
        </is>
      </c>
      <c r="B760" s="1" t="n">
        <v>45517</v>
      </c>
      <c r="C760" s="1" t="n">
        <v>46082</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22119-2025</t>
        </is>
      </c>
      <c r="B761" s="1" t="n">
        <v>45785</v>
      </c>
      <c r="C761" s="1" t="n">
        <v>46082</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46082</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24983-2024</t>
        </is>
      </c>
      <c r="B763" s="1" t="n">
        <v>45461</v>
      </c>
      <c r="C763" s="1" t="n">
        <v>46082</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22476-2025</t>
        </is>
      </c>
      <c r="B764" s="1" t="n">
        <v>45786</v>
      </c>
      <c r="C764" s="1" t="n">
        <v>46082</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46082</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23050-2025</t>
        </is>
      </c>
      <c r="B766" s="1" t="n">
        <v>45790.69971064815</v>
      </c>
      <c r="C766" s="1" t="n">
        <v>46082</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24902-2024</t>
        </is>
      </c>
      <c r="B767" s="1" t="n">
        <v>45461</v>
      </c>
      <c r="C767" s="1" t="n">
        <v>46082</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2603-2025</t>
        </is>
      </c>
      <c r="B768" s="1" t="n">
        <v>45674</v>
      </c>
      <c r="C768" s="1" t="n">
        <v>46082</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24566-2025</t>
        </is>
      </c>
      <c r="B769" s="1" t="n">
        <v>45798.46452546296</v>
      </c>
      <c r="C769" s="1" t="n">
        <v>46082</v>
      </c>
      <c r="D769" t="inlineStr">
        <is>
          <t>SÖDERMANLANDS LÄN</t>
        </is>
      </c>
      <c r="E769" t="inlineStr">
        <is>
          <t>KATRINEHOLM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24605-2025</t>
        </is>
      </c>
      <c r="B770" s="1" t="n">
        <v>45798.57403935185</v>
      </c>
      <c r="C770" s="1" t="n">
        <v>46082</v>
      </c>
      <c r="D770" t="inlineStr">
        <is>
          <t>SÖDERMANLANDS LÄN</t>
        </is>
      </c>
      <c r="E770" t="inlineStr">
        <is>
          <t>KATRINEHOLM</t>
        </is>
      </c>
      <c r="G770" t="n">
        <v>7</v>
      </c>
      <c r="H770" t="n">
        <v>0</v>
      </c>
      <c r="I770" t="n">
        <v>0</v>
      </c>
      <c r="J770" t="n">
        <v>0</v>
      </c>
      <c r="K770" t="n">
        <v>0</v>
      </c>
      <c r="L770" t="n">
        <v>0</v>
      </c>
      <c r="M770" t="n">
        <v>0</v>
      </c>
      <c r="N770" t="n">
        <v>0</v>
      </c>
      <c r="O770" t="n">
        <v>0</v>
      </c>
      <c r="P770" t="n">
        <v>0</v>
      </c>
      <c r="Q770" t="n">
        <v>0</v>
      </c>
      <c r="R770" s="2" t="inlineStr"/>
    </row>
    <row r="771" ht="15" customHeight="1">
      <c r="A771" t="inlineStr">
        <is>
          <t>A 56086-2023</t>
        </is>
      </c>
      <c r="B771" s="1" t="n">
        <v>45240</v>
      </c>
      <c r="C771" s="1" t="n">
        <v>46082</v>
      </c>
      <c r="D771" t="inlineStr">
        <is>
          <t>SÖDERMANLANDS LÄN</t>
        </is>
      </c>
      <c r="E771" t="inlineStr">
        <is>
          <t>KATRINEHOLM</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46082</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41727-2024</t>
        </is>
      </c>
      <c r="B773" s="1" t="n">
        <v>45560</v>
      </c>
      <c r="C773" s="1" t="n">
        <v>46082</v>
      </c>
      <c r="D773" t="inlineStr">
        <is>
          <t>SÖDERMANLANDS LÄN</t>
        </is>
      </c>
      <c r="E773" t="inlineStr">
        <is>
          <t>KATRINEHOLM</t>
        </is>
      </c>
      <c r="G773" t="n">
        <v>3.9</v>
      </c>
      <c r="H773" t="n">
        <v>0</v>
      </c>
      <c r="I773" t="n">
        <v>0</v>
      </c>
      <c r="J773" t="n">
        <v>0</v>
      </c>
      <c r="K773" t="n">
        <v>0</v>
      </c>
      <c r="L773" t="n">
        <v>0</v>
      </c>
      <c r="M773" t="n">
        <v>0</v>
      </c>
      <c r="N773" t="n">
        <v>0</v>
      </c>
      <c r="O773" t="n">
        <v>0</v>
      </c>
      <c r="P773" t="n">
        <v>0</v>
      </c>
      <c r="Q773" t="n">
        <v>0</v>
      </c>
      <c r="R773" s="2" t="inlineStr"/>
    </row>
    <row r="774" ht="15" customHeight="1">
      <c r="A774" t="inlineStr">
        <is>
          <t>A 24717-2025</t>
        </is>
      </c>
      <c r="B774" s="1" t="n">
        <v>45799.27168981481</v>
      </c>
      <c r="C774" s="1" t="n">
        <v>46082</v>
      </c>
      <c r="D774" t="inlineStr">
        <is>
          <t>SÖDERMANLANDS LÄN</t>
        </is>
      </c>
      <c r="E774" t="inlineStr">
        <is>
          <t>KATRINEHOLM</t>
        </is>
      </c>
      <c r="G774" t="n">
        <v>24.5</v>
      </c>
      <c r="H774" t="n">
        <v>0</v>
      </c>
      <c r="I774" t="n">
        <v>0</v>
      </c>
      <c r="J774" t="n">
        <v>0</v>
      </c>
      <c r="K774" t="n">
        <v>0</v>
      </c>
      <c r="L774" t="n">
        <v>0</v>
      </c>
      <c r="M774" t="n">
        <v>0</v>
      </c>
      <c r="N774" t="n">
        <v>0</v>
      </c>
      <c r="O774" t="n">
        <v>0</v>
      </c>
      <c r="P774" t="n">
        <v>0</v>
      </c>
      <c r="Q774" t="n">
        <v>0</v>
      </c>
      <c r="R774" s="2" t="inlineStr"/>
    </row>
    <row r="775" ht="15" customHeight="1">
      <c r="A775" t="inlineStr">
        <is>
          <t>A 53999-2023</t>
        </is>
      </c>
      <c r="B775" s="1" t="n">
        <v>45231</v>
      </c>
      <c r="C775" s="1" t="n">
        <v>46082</v>
      </c>
      <c r="D775" t="inlineStr">
        <is>
          <t>SÖDERMANLANDS LÄN</t>
        </is>
      </c>
      <c r="E775" t="inlineStr">
        <is>
          <t>KATRINEHOLM</t>
        </is>
      </c>
      <c r="G775" t="n">
        <v>5.4</v>
      </c>
      <c r="H775" t="n">
        <v>0</v>
      </c>
      <c r="I775" t="n">
        <v>0</v>
      </c>
      <c r="J775" t="n">
        <v>0</v>
      </c>
      <c r="K775" t="n">
        <v>0</v>
      </c>
      <c r="L775" t="n">
        <v>0</v>
      </c>
      <c r="M775" t="n">
        <v>0</v>
      </c>
      <c r="N775" t="n">
        <v>0</v>
      </c>
      <c r="O775" t="n">
        <v>0</v>
      </c>
      <c r="P775" t="n">
        <v>0</v>
      </c>
      <c r="Q775" t="n">
        <v>0</v>
      </c>
      <c r="R775" s="2" t="inlineStr"/>
    </row>
    <row r="776">
      <c r="A776" t="inlineStr">
        <is>
          <t>A 24719-2025</t>
        </is>
      </c>
      <c r="B776" s="1" t="n">
        <v>45799</v>
      </c>
      <c r="C776" s="1" t="n">
        <v>46082</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2026-03-01T11:11:25Z</dcterms:created>
  <dcterms:modified xmlns:dcterms="http://purl.org/dc/terms/" xmlns:xsi="http://www.w3.org/2001/XMLSchema-instance" xsi:type="dcterms:W3CDTF">2026-03-01T11:11:26Z</dcterms:modified>
</cp:coreProperties>
</file>