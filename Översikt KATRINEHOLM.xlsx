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46053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46053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46053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46053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46053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46053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46053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46053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7247-2021</t>
        </is>
      </c>
      <c r="B11" s="1" t="n">
        <v>44238</v>
      </c>
      <c r="C11" s="1" t="n">
        <v>46053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46053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46053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46053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188-2025</t>
        </is>
      </c>
      <c r="B15" s="1" t="n">
        <v>45649</v>
      </c>
      <c r="C15" s="1" t="n">
        <v>46053</v>
      </c>
      <c r="D15" t="inlineStr">
        <is>
          <t>SÖDERMANLANDS LÄN</t>
        </is>
      </c>
      <c r="E15" t="inlineStr">
        <is>
          <t>KATRINEHOLM</t>
        </is>
      </c>
      <c r="G15" t="n">
        <v>8.9</v>
      </c>
      <c r="H15" t="n">
        <v>1</v>
      </c>
      <c r="I15" t="n">
        <v>2</v>
      </c>
      <c r="J15" t="n">
        <v>0</v>
      </c>
      <c r="K15" t="n">
        <v>0</v>
      </c>
      <c r="L15" t="n">
        <v>0</v>
      </c>
      <c r="M15" t="n">
        <v>0</v>
      </c>
      <c r="N15" t="n">
        <v>0</v>
      </c>
      <c r="O15" t="n">
        <v>0</v>
      </c>
      <c r="P15" t="n">
        <v>0</v>
      </c>
      <c r="Q15" t="n">
        <v>3</v>
      </c>
      <c r="R15" s="2" t="inlineStr">
        <is>
          <t>Blomkålssvamp
Blåmossa
Blåsippa</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46053</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46053</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46053</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46053</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46053</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46053</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46053</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14858-2023</t>
        </is>
      </c>
      <c r="B23" s="1" t="n">
        <v>45014</v>
      </c>
      <c r="C23" s="1" t="n">
        <v>46053</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46053</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46053</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1150-2025</t>
        </is>
      </c>
      <c r="B26" s="1" t="n">
        <v>45666</v>
      </c>
      <c r="C26" s="1" t="n">
        <v>46053</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46053</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65184-2021</t>
        </is>
      </c>
      <c r="B28" s="1" t="n">
        <v>44512</v>
      </c>
      <c r="C28" s="1" t="n">
        <v>46053</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46053</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46053</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46053</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46053</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11890-2023</t>
        </is>
      </c>
      <c r="B33" s="1" t="n">
        <v>44995</v>
      </c>
      <c r="C33" s="1" t="n">
        <v>46053</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22474-2025</t>
        </is>
      </c>
      <c r="B34" s="1" t="n">
        <v>45786.62152777778</v>
      </c>
      <c r="C34" s="1" t="n">
        <v>46053</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48199-2025</t>
        </is>
      </c>
      <c r="B35" s="1" t="n">
        <v>45933.47856481482</v>
      </c>
      <c r="C35" s="1" t="n">
        <v>46053</v>
      </c>
      <c r="D35" t="inlineStr">
        <is>
          <t>SÖDERMANLANDS LÄN</t>
        </is>
      </c>
      <c r="E35" t="inlineStr">
        <is>
          <t>KATRINEHOLM</t>
        </is>
      </c>
      <c r="G35" t="n">
        <v>4.4</v>
      </c>
      <c r="H35" t="n">
        <v>1</v>
      </c>
      <c r="I35" t="n">
        <v>0</v>
      </c>
      <c r="J35" t="n">
        <v>0</v>
      </c>
      <c r="K35" t="n">
        <v>0</v>
      </c>
      <c r="L35" t="n">
        <v>0</v>
      </c>
      <c r="M35" t="n">
        <v>0</v>
      </c>
      <c r="N35" t="n">
        <v>0</v>
      </c>
      <c r="O35" t="n">
        <v>0</v>
      </c>
      <c r="P35" t="n">
        <v>0</v>
      </c>
      <c r="Q35" t="n">
        <v>1</v>
      </c>
      <c r="R35" s="2" t="inlineStr">
        <is>
          <t>Gröngöling</t>
        </is>
      </c>
      <c r="S35">
        <f>HYPERLINK("https://klasma.github.io/Logging_0483/artfynd/A 48199-2025 artfynd.xlsx", "A 48199-2025")</f>
        <v/>
      </c>
      <c r="T35">
        <f>HYPERLINK("https://klasma.github.io/Logging_0483/kartor/A 48199-2025 karta.png", "A 48199-2025")</f>
        <v/>
      </c>
      <c r="V35">
        <f>HYPERLINK("https://klasma.github.io/Logging_0483/klagomål/A 48199-2025 FSC-klagomål.docx", "A 48199-2025")</f>
        <v/>
      </c>
      <c r="W35">
        <f>HYPERLINK("https://klasma.github.io/Logging_0483/klagomålsmail/A 48199-2025 FSC-klagomål mail.docx", "A 48199-2025")</f>
        <v/>
      </c>
      <c r="X35">
        <f>HYPERLINK("https://klasma.github.io/Logging_0483/tillsyn/A 48199-2025 tillsynsbegäran.docx", "A 48199-2025")</f>
        <v/>
      </c>
      <c r="Y35">
        <f>HYPERLINK("https://klasma.github.io/Logging_0483/tillsynsmail/A 48199-2025 tillsynsbegäran mail.docx", "A 48199-2025")</f>
        <v/>
      </c>
      <c r="Z35">
        <f>HYPERLINK("https://klasma.github.io/Logging_0483/fåglar/A 48199-2025 prioriterade fågelarter.docx", "A 48199-2025")</f>
        <v/>
      </c>
    </row>
    <row r="36" ht="15" customHeight="1">
      <c r="A36" t="inlineStr">
        <is>
          <t>A 56074-2022</t>
        </is>
      </c>
      <c r="B36" s="1" t="n">
        <v>44889</v>
      </c>
      <c r="C36" s="1" t="n">
        <v>46053</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46053</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41980-2025</t>
        </is>
      </c>
      <c r="B38" s="1" t="n">
        <v>45903</v>
      </c>
      <c r="C38" s="1" t="n">
        <v>46053</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27926-2025</t>
        </is>
      </c>
      <c r="B39" s="1" t="n">
        <v>45814</v>
      </c>
      <c r="C39" s="1" t="n">
        <v>46053</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8917-2024</t>
        </is>
      </c>
      <c r="B40" s="1" t="n">
        <v>45357.37618055556</v>
      </c>
      <c r="C40" s="1" t="n">
        <v>46053</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46053</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46053</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35163-2025</t>
        </is>
      </c>
      <c r="B43" s="1" t="n">
        <v>45852.71136574074</v>
      </c>
      <c r="C43" s="1" t="n">
        <v>46053</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57519-2021</t>
        </is>
      </c>
      <c r="B44" s="1" t="n">
        <v>44483</v>
      </c>
      <c r="C44" s="1" t="n">
        <v>46053</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46053</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46053</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46053</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46053</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1260-2026</t>
        </is>
      </c>
      <c r="B49" s="1" t="n">
        <v>46031.45652777778</v>
      </c>
      <c r="C49" s="1" t="n">
        <v>46053</v>
      </c>
      <c r="D49" t="inlineStr">
        <is>
          <t>SÖDERMANLANDS LÄN</t>
        </is>
      </c>
      <c r="E49" t="inlineStr">
        <is>
          <t>KATRINEHOLM</t>
        </is>
      </c>
      <c r="G49" t="n">
        <v>9.1</v>
      </c>
      <c r="H49" t="n">
        <v>1</v>
      </c>
      <c r="I49" t="n">
        <v>0</v>
      </c>
      <c r="J49" t="n">
        <v>1</v>
      </c>
      <c r="K49" t="n">
        <v>0</v>
      </c>
      <c r="L49" t="n">
        <v>0</v>
      </c>
      <c r="M49" t="n">
        <v>0</v>
      </c>
      <c r="N49" t="n">
        <v>0</v>
      </c>
      <c r="O49" t="n">
        <v>1</v>
      </c>
      <c r="P49" t="n">
        <v>0</v>
      </c>
      <c r="Q49" t="n">
        <v>1</v>
      </c>
      <c r="R49" s="2" t="inlineStr">
        <is>
          <t>Spillkråka</t>
        </is>
      </c>
      <c r="S49">
        <f>HYPERLINK("https://klasma.github.io/Logging_0483/artfynd/A 1260-2026 artfynd.xlsx", "A 1260-2026")</f>
        <v/>
      </c>
      <c r="T49">
        <f>HYPERLINK("https://klasma.github.io/Logging_0483/kartor/A 1260-2026 karta.png", "A 1260-2026")</f>
        <v/>
      </c>
      <c r="V49">
        <f>HYPERLINK("https://klasma.github.io/Logging_0483/klagomål/A 1260-2026 FSC-klagomål.docx", "A 1260-2026")</f>
        <v/>
      </c>
      <c r="W49">
        <f>HYPERLINK("https://klasma.github.io/Logging_0483/klagomålsmail/A 1260-2026 FSC-klagomål mail.docx", "A 1260-2026")</f>
        <v/>
      </c>
      <c r="X49">
        <f>HYPERLINK("https://klasma.github.io/Logging_0483/tillsyn/A 1260-2026 tillsynsbegäran.docx", "A 1260-2026")</f>
        <v/>
      </c>
      <c r="Y49">
        <f>HYPERLINK("https://klasma.github.io/Logging_0483/tillsynsmail/A 1260-2026 tillsynsbegäran mail.docx", "A 1260-2026")</f>
        <v/>
      </c>
      <c r="Z49">
        <f>HYPERLINK("https://klasma.github.io/Logging_0483/fåglar/A 1260-2026 prioriterade fågelarter.docx", "A 1260-2026")</f>
        <v/>
      </c>
    </row>
    <row r="50" ht="15" customHeight="1">
      <c r="A50" t="inlineStr">
        <is>
          <t>A 36220-2022</t>
        </is>
      </c>
      <c r="B50" s="1" t="n">
        <v>44803</v>
      </c>
      <c r="C50" s="1" t="n">
        <v>46053</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46053</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46053</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46053</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46053</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46053</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46053</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46053</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46053</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46053</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46053</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46053</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46053</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40289-2021</t>
        </is>
      </c>
      <c r="B63" s="1" t="n">
        <v>44419</v>
      </c>
      <c r="C63" s="1" t="n">
        <v>46053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36856-2021</t>
        </is>
      </c>
      <c r="B64" s="1" t="n">
        <v>44393</v>
      </c>
      <c r="C64" s="1" t="n">
        <v>46053</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46053</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46053</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46053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46053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46053</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46053</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46053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46053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46053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46053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46053</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46053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46053</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46053</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46053</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46053</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46053</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46053</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46053</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46053</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46053</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46053</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46053</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46053</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46053</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46053</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46053</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46053</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46053</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46053</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46053</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46053</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46053</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46053</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46053</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46053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46053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46053</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46053</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46053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46053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46053</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46053</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46053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46053</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46053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46053</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46053</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46053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46053</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46053</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46053</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46053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46053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46053</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46053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46053</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46053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46053</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46053</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46053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46053</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46053</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46053</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46053</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46053</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46053</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46053</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46053</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46053</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46053</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46053</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46053</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46053</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46053</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46053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46053</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46053</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46053</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46053</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46053</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46053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46053</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46053</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46053</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46053</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46053</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46053</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46053</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46053</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46053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46053</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46053</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46053</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46053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46053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46053</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46053</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46053</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46053</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46053</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46053</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46053</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46053</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46053</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46053</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46053</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46053</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46053</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46053</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46053</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46053</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46053</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46053</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46053</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46053</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46053</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51885-2022</t>
        </is>
      </c>
      <c r="B182" s="1" t="n">
        <v>44872.60384259259</v>
      </c>
      <c r="C182" s="1" t="n">
        <v>46053</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46053</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46053</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46053</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46053</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46053</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46053</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46053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46053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46053</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46053</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46053</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46053</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12760-2021</t>
        </is>
      </c>
      <c r="B195" s="1" t="n">
        <v>44270</v>
      </c>
      <c r="C195" s="1" t="n">
        <v>46053</v>
      </c>
      <c r="D195" t="inlineStr">
        <is>
          <t>SÖDERMANLANDS LÄN</t>
        </is>
      </c>
      <c r="E195" t="inlineStr">
        <is>
          <t>KATRINEHOLM</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46053</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58473-2021</t>
        </is>
      </c>
      <c r="B197" s="1" t="n">
        <v>44488</v>
      </c>
      <c r="C197" s="1" t="n">
        <v>46053</v>
      </c>
      <c r="D197" t="inlineStr">
        <is>
          <t>SÖDERMANLANDS LÄN</t>
        </is>
      </c>
      <c r="E197" t="inlineStr">
        <is>
          <t>KATRINEHOLM</t>
        </is>
      </c>
      <c r="G197" t="n">
        <v>0.5</v>
      </c>
      <c r="H197" t="n">
        <v>0</v>
      </c>
      <c r="I197" t="n">
        <v>0</v>
      </c>
      <c r="J197" t="n">
        <v>0</v>
      </c>
      <c r="K197" t="n">
        <v>0</v>
      </c>
      <c r="L197" t="n">
        <v>0</v>
      </c>
      <c r="M197" t="n">
        <v>0</v>
      </c>
      <c r="N197" t="n">
        <v>0</v>
      </c>
      <c r="O197" t="n">
        <v>0</v>
      </c>
      <c r="P197" t="n">
        <v>0</v>
      </c>
      <c r="Q197" t="n">
        <v>0</v>
      </c>
      <c r="R197" s="2" t="inlineStr"/>
    </row>
    <row r="198" ht="15" customHeight="1">
      <c r="A198" t="inlineStr">
        <is>
          <t>A 7705-2021</t>
        </is>
      </c>
      <c r="B198" s="1" t="n">
        <v>44242</v>
      </c>
      <c r="C198" s="1" t="n">
        <v>46053</v>
      </c>
      <c r="D198" t="inlineStr">
        <is>
          <t>SÖDERMANLANDS LÄN</t>
        </is>
      </c>
      <c r="E198" t="inlineStr">
        <is>
          <t>KATRINEHOLM</t>
        </is>
      </c>
      <c r="F198" t="inlineStr">
        <is>
          <t>Allmännings- och besparingsskogar</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33538-2022</t>
        </is>
      </c>
      <c r="B199" s="1" t="n">
        <v>44789</v>
      </c>
      <c r="C199" s="1" t="n">
        <v>46053</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35188-2022</t>
        </is>
      </c>
      <c r="B200" s="1" t="n">
        <v>44797</v>
      </c>
      <c r="C200" s="1" t="n">
        <v>46053</v>
      </c>
      <c r="D200" t="inlineStr">
        <is>
          <t>SÖDERMANLANDS LÄN</t>
        </is>
      </c>
      <c r="E200" t="inlineStr">
        <is>
          <t>KATRINEHOLM</t>
        </is>
      </c>
      <c r="G200" t="n">
        <v>3</v>
      </c>
      <c r="H200" t="n">
        <v>0</v>
      </c>
      <c r="I200" t="n">
        <v>0</v>
      </c>
      <c r="J200" t="n">
        <v>0</v>
      </c>
      <c r="K200" t="n">
        <v>0</v>
      </c>
      <c r="L200" t="n">
        <v>0</v>
      </c>
      <c r="M200" t="n">
        <v>0</v>
      </c>
      <c r="N200" t="n">
        <v>0</v>
      </c>
      <c r="O200" t="n">
        <v>0</v>
      </c>
      <c r="P200" t="n">
        <v>0</v>
      </c>
      <c r="Q200" t="n">
        <v>0</v>
      </c>
      <c r="R200" s="2" t="inlineStr"/>
    </row>
    <row r="201" ht="15" customHeight="1">
      <c r="A201" t="inlineStr">
        <is>
          <t>A 20949-2021</t>
        </is>
      </c>
      <c r="B201" s="1" t="n">
        <v>44319</v>
      </c>
      <c r="C201" s="1" t="n">
        <v>46053</v>
      </c>
      <c r="D201" t="inlineStr">
        <is>
          <t>SÖDERMANLANDS LÄN</t>
        </is>
      </c>
      <c r="E201" t="inlineStr">
        <is>
          <t>KATRINEHOLM</t>
        </is>
      </c>
      <c r="G201" t="n">
        <v>0.9</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46053</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46053</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41966-2023</t>
        </is>
      </c>
      <c r="B204" s="1" t="n">
        <v>45177</v>
      </c>
      <c r="C204" s="1" t="n">
        <v>46053</v>
      </c>
      <c r="D204" t="inlineStr">
        <is>
          <t>SÖDERMANLANDS LÄN</t>
        </is>
      </c>
      <c r="E204" t="inlineStr">
        <is>
          <t>KATRINEHOLM</t>
        </is>
      </c>
      <c r="G204" t="n">
        <v>36.9</v>
      </c>
      <c r="H204" t="n">
        <v>0</v>
      </c>
      <c r="I204" t="n">
        <v>0</v>
      </c>
      <c r="J204" t="n">
        <v>0</v>
      </c>
      <c r="K204" t="n">
        <v>0</v>
      </c>
      <c r="L204" t="n">
        <v>0</v>
      </c>
      <c r="M204" t="n">
        <v>0</v>
      </c>
      <c r="N204" t="n">
        <v>0</v>
      </c>
      <c r="O204" t="n">
        <v>0</v>
      </c>
      <c r="P204" t="n">
        <v>0</v>
      </c>
      <c r="Q204" t="n">
        <v>0</v>
      </c>
      <c r="R204" s="2" t="inlineStr"/>
    </row>
    <row r="205" ht="15" customHeight="1">
      <c r="A205" t="inlineStr">
        <is>
          <t>A 36210-2022</t>
        </is>
      </c>
      <c r="B205" s="1" t="n">
        <v>44803.47950231482</v>
      </c>
      <c r="C205" s="1" t="n">
        <v>46053</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48682-2022</t>
        </is>
      </c>
      <c r="B206" s="1" t="n">
        <v>44859</v>
      </c>
      <c r="C206" s="1" t="n">
        <v>46053</v>
      </c>
      <c r="D206" t="inlineStr">
        <is>
          <t>SÖDERMANLANDS LÄN</t>
        </is>
      </c>
      <c r="E206" t="inlineStr">
        <is>
          <t>KATRINEHOLM</t>
        </is>
      </c>
      <c r="G206" t="n">
        <v>2</v>
      </c>
      <c r="H206" t="n">
        <v>0</v>
      </c>
      <c r="I206" t="n">
        <v>0</v>
      </c>
      <c r="J206" t="n">
        <v>0</v>
      </c>
      <c r="K206" t="n">
        <v>0</v>
      </c>
      <c r="L206" t="n">
        <v>0</v>
      </c>
      <c r="M206" t="n">
        <v>0</v>
      </c>
      <c r="N206" t="n">
        <v>0</v>
      </c>
      <c r="O206" t="n">
        <v>0</v>
      </c>
      <c r="P206" t="n">
        <v>0</v>
      </c>
      <c r="Q206" t="n">
        <v>0</v>
      </c>
      <c r="R206" s="2" t="inlineStr"/>
    </row>
    <row r="207" ht="15" customHeight="1">
      <c r="A207" t="inlineStr">
        <is>
          <t>A 3090-2025</t>
        </is>
      </c>
      <c r="B207" s="1" t="n">
        <v>45678</v>
      </c>
      <c r="C207" s="1" t="n">
        <v>46053</v>
      </c>
      <c r="D207" t="inlineStr">
        <is>
          <t>SÖDERMANLANDS LÄN</t>
        </is>
      </c>
      <c r="E207" t="inlineStr">
        <is>
          <t>KATRINEHOLM</t>
        </is>
      </c>
      <c r="F207" t="inlineStr">
        <is>
          <t>Kyrkan</t>
        </is>
      </c>
      <c r="G207" t="n">
        <v>6.9</v>
      </c>
      <c r="H207" t="n">
        <v>0</v>
      </c>
      <c r="I207" t="n">
        <v>0</v>
      </c>
      <c r="J207" t="n">
        <v>0</v>
      </c>
      <c r="K207" t="n">
        <v>0</v>
      </c>
      <c r="L207" t="n">
        <v>0</v>
      </c>
      <c r="M207" t="n">
        <v>0</v>
      </c>
      <c r="N207" t="n">
        <v>0</v>
      </c>
      <c r="O207" t="n">
        <v>0</v>
      </c>
      <c r="P207" t="n">
        <v>0</v>
      </c>
      <c r="Q207" t="n">
        <v>0</v>
      </c>
      <c r="R207" s="2" t="inlineStr"/>
    </row>
    <row r="208" ht="15" customHeight="1">
      <c r="A208" t="inlineStr">
        <is>
          <t>A 46569-2022</t>
        </is>
      </c>
      <c r="B208" s="1" t="n">
        <v>44847</v>
      </c>
      <c r="C208" s="1" t="n">
        <v>46053</v>
      </c>
      <c r="D208" t="inlineStr">
        <is>
          <t>SÖDERMANLANDS LÄN</t>
        </is>
      </c>
      <c r="E208" t="inlineStr">
        <is>
          <t>KATRINEHOLM</t>
        </is>
      </c>
      <c r="G208" t="n">
        <v>1.7</v>
      </c>
      <c r="H208" t="n">
        <v>0</v>
      </c>
      <c r="I208" t="n">
        <v>0</v>
      </c>
      <c r="J208" t="n">
        <v>0</v>
      </c>
      <c r="K208" t="n">
        <v>0</v>
      </c>
      <c r="L208" t="n">
        <v>0</v>
      </c>
      <c r="M208" t="n">
        <v>0</v>
      </c>
      <c r="N208" t="n">
        <v>0</v>
      </c>
      <c r="O208" t="n">
        <v>0</v>
      </c>
      <c r="P208" t="n">
        <v>0</v>
      </c>
      <c r="Q208" t="n">
        <v>0</v>
      </c>
      <c r="R208" s="2" t="inlineStr"/>
    </row>
    <row r="209" ht="15" customHeight="1">
      <c r="A209" t="inlineStr">
        <is>
          <t>A 2683-2025</t>
        </is>
      </c>
      <c r="B209" s="1" t="n">
        <v>45677</v>
      </c>
      <c r="C209" s="1" t="n">
        <v>46053</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46053</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61410-2024</t>
        </is>
      </c>
      <c r="B211" s="1" t="n">
        <v>45646.43950231482</v>
      </c>
      <c r="C211" s="1" t="n">
        <v>46053</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20460-2025</t>
        </is>
      </c>
      <c r="B212" s="1" t="n">
        <v>45775.52854166667</v>
      </c>
      <c r="C212" s="1" t="n">
        <v>46053</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3315-2023</t>
        </is>
      </c>
      <c r="B213" s="1" t="n">
        <v>44945</v>
      </c>
      <c r="C213" s="1" t="n">
        <v>46053</v>
      </c>
      <c r="D213" t="inlineStr">
        <is>
          <t>SÖDERMANLANDS LÄN</t>
        </is>
      </c>
      <c r="E213" t="inlineStr">
        <is>
          <t>KATRINEHOLM</t>
        </is>
      </c>
      <c r="G213" t="n">
        <v>0.8</v>
      </c>
      <c r="H213" t="n">
        <v>0</v>
      </c>
      <c r="I213" t="n">
        <v>0</v>
      </c>
      <c r="J213" t="n">
        <v>0</v>
      </c>
      <c r="K213" t="n">
        <v>0</v>
      </c>
      <c r="L213" t="n">
        <v>0</v>
      </c>
      <c r="M213" t="n">
        <v>0</v>
      </c>
      <c r="N213" t="n">
        <v>0</v>
      </c>
      <c r="O213" t="n">
        <v>0</v>
      </c>
      <c r="P213" t="n">
        <v>0</v>
      </c>
      <c r="Q213" t="n">
        <v>0</v>
      </c>
      <c r="R213" s="2" t="inlineStr"/>
    </row>
    <row r="214" ht="15" customHeight="1">
      <c r="A214" t="inlineStr">
        <is>
          <t>A 7867-2024</t>
        </is>
      </c>
      <c r="B214" s="1" t="n">
        <v>45350.32991898148</v>
      </c>
      <c r="C214" s="1" t="n">
        <v>46053</v>
      </c>
      <c r="D214" t="inlineStr">
        <is>
          <t>SÖDERMANLANDS LÄN</t>
        </is>
      </c>
      <c r="E214" t="inlineStr">
        <is>
          <t>KATRINEHOLM</t>
        </is>
      </c>
      <c r="F214" t="inlineStr">
        <is>
          <t>Kyrkan</t>
        </is>
      </c>
      <c r="G214" t="n">
        <v>3.3</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46053</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9693-2024</t>
        </is>
      </c>
      <c r="B216" s="1" t="n">
        <v>45362</v>
      </c>
      <c r="C216" s="1" t="n">
        <v>46053</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43964-2022</t>
        </is>
      </c>
      <c r="B217" s="1" t="n">
        <v>44837</v>
      </c>
      <c r="C217" s="1" t="n">
        <v>46053</v>
      </c>
      <c r="D217" t="inlineStr">
        <is>
          <t>SÖDERMANLANDS LÄN</t>
        </is>
      </c>
      <c r="E217" t="inlineStr">
        <is>
          <t>KATRINEHOLM</t>
        </is>
      </c>
      <c r="G217" t="n">
        <v>3.6</v>
      </c>
      <c r="H217" t="n">
        <v>0</v>
      </c>
      <c r="I217" t="n">
        <v>0</v>
      </c>
      <c r="J217" t="n">
        <v>0</v>
      </c>
      <c r="K217" t="n">
        <v>0</v>
      </c>
      <c r="L217" t="n">
        <v>0</v>
      </c>
      <c r="M217" t="n">
        <v>0</v>
      </c>
      <c r="N217" t="n">
        <v>0</v>
      </c>
      <c r="O217" t="n">
        <v>0</v>
      </c>
      <c r="P217" t="n">
        <v>0</v>
      </c>
      <c r="Q217" t="n">
        <v>0</v>
      </c>
      <c r="R217" s="2" t="inlineStr"/>
    </row>
    <row r="218" ht="15" customHeight="1">
      <c r="A218" t="inlineStr">
        <is>
          <t>A 38869-2024</t>
        </is>
      </c>
      <c r="B218" s="1" t="n">
        <v>45547</v>
      </c>
      <c r="C218" s="1" t="n">
        <v>46053</v>
      </c>
      <c r="D218" t="inlineStr">
        <is>
          <t>SÖDERMANLANDS LÄN</t>
        </is>
      </c>
      <c r="E218" t="inlineStr">
        <is>
          <t>KATRINEHOLM</t>
        </is>
      </c>
      <c r="G218" t="n">
        <v>2.2</v>
      </c>
      <c r="H218" t="n">
        <v>0</v>
      </c>
      <c r="I218" t="n">
        <v>0</v>
      </c>
      <c r="J218" t="n">
        <v>0</v>
      </c>
      <c r="K218" t="n">
        <v>0</v>
      </c>
      <c r="L218" t="n">
        <v>0</v>
      </c>
      <c r="M218" t="n">
        <v>0</v>
      </c>
      <c r="N218" t="n">
        <v>0</v>
      </c>
      <c r="O218" t="n">
        <v>0</v>
      </c>
      <c r="P218" t="n">
        <v>0</v>
      </c>
      <c r="Q218" t="n">
        <v>0</v>
      </c>
      <c r="R218" s="2" t="inlineStr"/>
    </row>
    <row r="219" ht="15" customHeight="1">
      <c r="A219" t="inlineStr">
        <is>
          <t>A 42015-2022</t>
        </is>
      </c>
      <c r="B219" s="1" t="n">
        <v>44830.4649074074</v>
      </c>
      <c r="C219" s="1" t="n">
        <v>46053</v>
      </c>
      <c r="D219" t="inlineStr">
        <is>
          <t>SÖDERMANLANDS LÄN</t>
        </is>
      </c>
      <c r="E219" t="inlineStr">
        <is>
          <t>KATRINEHOLM</t>
        </is>
      </c>
      <c r="G219" t="n">
        <v>3.8</v>
      </c>
      <c r="H219" t="n">
        <v>0</v>
      </c>
      <c r="I219" t="n">
        <v>0</v>
      </c>
      <c r="J219" t="n">
        <v>0</v>
      </c>
      <c r="K219" t="n">
        <v>0</v>
      </c>
      <c r="L219" t="n">
        <v>0</v>
      </c>
      <c r="M219" t="n">
        <v>0</v>
      </c>
      <c r="N219" t="n">
        <v>0</v>
      </c>
      <c r="O219" t="n">
        <v>0</v>
      </c>
      <c r="P219" t="n">
        <v>0</v>
      </c>
      <c r="Q219" t="n">
        <v>0</v>
      </c>
      <c r="R219" s="2" t="inlineStr"/>
    </row>
    <row r="220" ht="15" customHeight="1">
      <c r="A220" t="inlineStr">
        <is>
          <t>A 42020-2022</t>
        </is>
      </c>
      <c r="B220" s="1" t="n">
        <v>44830.46849537037</v>
      </c>
      <c r="C220" s="1" t="n">
        <v>46053</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55846-2022</t>
        </is>
      </c>
      <c r="B221" s="1" t="n">
        <v>44888</v>
      </c>
      <c r="C221" s="1" t="n">
        <v>46053</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39010-2021</t>
        </is>
      </c>
      <c r="B222" s="1" t="n">
        <v>44412</v>
      </c>
      <c r="C222" s="1" t="n">
        <v>46053</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1091-2025</t>
        </is>
      </c>
      <c r="B223" s="1" t="n">
        <v>45666</v>
      </c>
      <c r="C223" s="1" t="n">
        <v>46053</v>
      </c>
      <c r="D223" t="inlineStr">
        <is>
          <t>SÖDERMANLANDS LÄN</t>
        </is>
      </c>
      <c r="E223" t="inlineStr">
        <is>
          <t>KATRINEHOLM</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53722-2023</t>
        </is>
      </c>
      <c r="B224" s="1" t="n">
        <v>45230</v>
      </c>
      <c r="C224" s="1" t="n">
        <v>46053</v>
      </c>
      <c r="D224" t="inlineStr">
        <is>
          <t>SÖDERMANLANDS LÄN</t>
        </is>
      </c>
      <c r="E224" t="inlineStr">
        <is>
          <t>KATRINEHOLM</t>
        </is>
      </c>
      <c r="F224" t="inlineStr">
        <is>
          <t>Allmännings- och besparingsskogar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46053</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46053</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48520-2023</t>
        </is>
      </c>
      <c r="B227" s="1" t="n">
        <v>45208</v>
      </c>
      <c r="C227" s="1" t="n">
        <v>46053</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56661-2021</t>
        </is>
      </c>
      <c r="B228" s="1" t="n">
        <v>44481.24327546296</v>
      </c>
      <c r="C228" s="1" t="n">
        <v>46053</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28394-2023</t>
        </is>
      </c>
      <c r="B229" s="1" t="n">
        <v>45100</v>
      </c>
      <c r="C229" s="1" t="n">
        <v>46053</v>
      </c>
      <c r="D229" t="inlineStr">
        <is>
          <t>SÖDERMANLANDS LÄN</t>
        </is>
      </c>
      <c r="E229" t="inlineStr">
        <is>
          <t>KATRINEHOLM</t>
        </is>
      </c>
      <c r="G229" t="n">
        <v>4.2</v>
      </c>
      <c r="H229" t="n">
        <v>0</v>
      </c>
      <c r="I229" t="n">
        <v>0</v>
      </c>
      <c r="J229" t="n">
        <v>0</v>
      </c>
      <c r="K229" t="n">
        <v>0</v>
      </c>
      <c r="L229" t="n">
        <v>0</v>
      </c>
      <c r="M229" t="n">
        <v>0</v>
      </c>
      <c r="N229" t="n">
        <v>0</v>
      </c>
      <c r="O229" t="n">
        <v>0</v>
      </c>
      <c r="P229" t="n">
        <v>0</v>
      </c>
      <c r="Q229" t="n">
        <v>0</v>
      </c>
      <c r="R229" s="2" t="inlineStr"/>
    </row>
    <row r="230" ht="15" customHeight="1">
      <c r="A230" t="inlineStr">
        <is>
          <t>A 4122-2023</t>
        </is>
      </c>
      <c r="B230" s="1" t="n">
        <v>44952</v>
      </c>
      <c r="C230" s="1" t="n">
        <v>46053</v>
      </c>
      <c r="D230" t="inlineStr">
        <is>
          <t>SÖDERMANLANDS LÄN</t>
        </is>
      </c>
      <c r="E230" t="inlineStr">
        <is>
          <t>KATRINEHOLM</t>
        </is>
      </c>
      <c r="G230" t="n">
        <v>9</v>
      </c>
      <c r="H230" t="n">
        <v>0</v>
      </c>
      <c r="I230" t="n">
        <v>0</v>
      </c>
      <c r="J230" t="n">
        <v>0</v>
      </c>
      <c r="K230" t="n">
        <v>0</v>
      </c>
      <c r="L230" t="n">
        <v>0</v>
      </c>
      <c r="M230" t="n">
        <v>0</v>
      </c>
      <c r="N230" t="n">
        <v>0</v>
      </c>
      <c r="O230" t="n">
        <v>0</v>
      </c>
      <c r="P230" t="n">
        <v>0</v>
      </c>
      <c r="Q230" t="n">
        <v>0</v>
      </c>
      <c r="R230" s="2" t="inlineStr"/>
    </row>
    <row r="231" ht="15" customHeight="1">
      <c r="A231" t="inlineStr">
        <is>
          <t>A 6311-2025</t>
        </is>
      </c>
      <c r="B231" s="1" t="n">
        <v>45698</v>
      </c>
      <c r="C231" s="1" t="n">
        <v>46053</v>
      </c>
      <c r="D231" t="inlineStr">
        <is>
          <t>SÖDERMANLANDS LÄN</t>
        </is>
      </c>
      <c r="E231" t="inlineStr">
        <is>
          <t>KATRINEHOLM</t>
        </is>
      </c>
      <c r="G231" t="n">
        <v>0.3</v>
      </c>
      <c r="H231" t="n">
        <v>0</v>
      </c>
      <c r="I231" t="n">
        <v>0</v>
      </c>
      <c r="J231" t="n">
        <v>0</v>
      </c>
      <c r="K231" t="n">
        <v>0</v>
      </c>
      <c r="L231" t="n">
        <v>0</v>
      </c>
      <c r="M231" t="n">
        <v>0</v>
      </c>
      <c r="N231" t="n">
        <v>0</v>
      </c>
      <c r="O231" t="n">
        <v>0</v>
      </c>
      <c r="P231" t="n">
        <v>0</v>
      </c>
      <c r="Q231" t="n">
        <v>0</v>
      </c>
      <c r="R231" s="2" t="inlineStr"/>
    </row>
    <row r="232" ht="15" customHeight="1">
      <c r="A232" t="inlineStr">
        <is>
          <t>A 55795-2023</t>
        </is>
      </c>
      <c r="B232" s="1" t="n">
        <v>45239.54861111111</v>
      </c>
      <c r="C232" s="1" t="n">
        <v>46053</v>
      </c>
      <c r="D232" t="inlineStr">
        <is>
          <t>SÖDERMANLANDS LÄN</t>
        </is>
      </c>
      <c r="E232" t="inlineStr">
        <is>
          <t>KATRINEHOLM</t>
        </is>
      </c>
      <c r="G232" t="n">
        <v>7</v>
      </c>
      <c r="H232" t="n">
        <v>0</v>
      </c>
      <c r="I232" t="n">
        <v>0</v>
      </c>
      <c r="J232" t="n">
        <v>0</v>
      </c>
      <c r="K232" t="n">
        <v>0</v>
      </c>
      <c r="L232" t="n">
        <v>0</v>
      </c>
      <c r="M232" t="n">
        <v>0</v>
      </c>
      <c r="N232" t="n">
        <v>0</v>
      </c>
      <c r="O232" t="n">
        <v>0</v>
      </c>
      <c r="P232" t="n">
        <v>0</v>
      </c>
      <c r="Q232" t="n">
        <v>0</v>
      </c>
      <c r="R232" s="2" t="inlineStr"/>
    </row>
    <row r="233" ht="15" customHeight="1">
      <c r="A233" t="inlineStr">
        <is>
          <t>A 28427-2024</t>
        </is>
      </c>
      <c r="B233" s="1" t="n">
        <v>45477.64910879629</v>
      </c>
      <c r="C233" s="1" t="n">
        <v>46053</v>
      </c>
      <c r="D233" t="inlineStr">
        <is>
          <t>SÖDERMANLANDS LÄN</t>
        </is>
      </c>
      <c r="E233" t="inlineStr">
        <is>
          <t>KATRINEHOLM</t>
        </is>
      </c>
      <c r="G233" t="n">
        <v>5.9</v>
      </c>
      <c r="H233" t="n">
        <v>0</v>
      </c>
      <c r="I233" t="n">
        <v>0</v>
      </c>
      <c r="J233" t="n">
        <v>0</v>
      </c>
      <c r="K233" t="n">
        <v>0</v>
      </c>
      <c r="L233" t="n">
        <v>0</v>
      </c>
      <c r="M233" t="n">
        <v>0</v>
      </c>
      <c r="N233" t="n">
        <v>0</v>
      </c>
      <c r="O233" t="n">
        <v>0</v>
      </c>
      <c r="P233" t="n">
        <v>0</v>
      </c>
      <c r="Q233" t="n">
        <v>0</v>
      </c>
      <c r="R233" s="2" t="inlineStr"/>
    </row>
    <row r="234" ht="15" customHeight="1">
      <c r="A234" t="inlineStr">
        <is>
          <t>A 24284-2024</t>
        </is>
      </c>
      <c r="B234" s="1" t="n">
        <v>45457</v>
      </c>
      <c r="C234" s="1" t="n">
        <v>46053</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38708-2025</t>
        </is>
      </c>
      <c r="B235" s="1" t="n">
        <v>45885</v>
      </c>
      <c r="C235" s="1" t="n">
        <v>46053</v>
      </c>
      <c r="D235" t="inlineStr">
        <is>
          <t>SÖDERMANLANDS LÄN</t>
        </is>
      </c>
      <c r="E235" t="inlineStr">
        <is>
          <t>KATRINEHOLM</t>
        </is>
      </c>
      <c r="G235" t="n">
        <v>1.9</v>
      </c>
      <c r="H235" t="n">
        <v>0</v>
      </c>
      <c r="I235" t="n">
        <v>0</v>
      </c>
      <c r="J235" t="n">
        <v>0</v>
      </c>
      <c r="K235" t="n">
        <v>0</v>
      </c>
      <c r="L235" t="n">
        <v>0</v>
      </c>
      <c r="M235" t="n">
        <v>0</v>
      </c>
      <c r="N235" t="n">
        <v>0</v>
      </c>
      <c r="O235" t="n">
        <v>0</v>
      </c>
      <c r="P235" t="n">
        <v>0</v>
      </c>
      <c r="Q235" t="n">
        <v>0</v>
      </c>
      <c r="R235" s="2" t="inlineStr"/>
    </row>
    <row r="236" ht="15" customHeight="1">
      <c r="A236" t="inlineStr">
        <is>
          <t>A 29502-2023</t>
        </is>
      </c>
      <c r="B236" s="1" t="n">
        <v>45106</v>
      </c>
      <c r="C236" s="1" t="n">
        <v>46053</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23838-2021</t>
        </is>
      </c>
      <c r="B237" s="1" t="n">
        <v>44335</v>
      </c>
      <c r="C237" s="1" t="n">
        <v>46053</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42111-2022</t>
        </is>
      </c>
      <c r="B238" s="1" t="n">
        <v>44830</v>
      </c>
      <c r="C238" s="1" t="n">
        <v>46053</v>
      </c>
      <c r="D238" t="inlineStr">
        <is>
          <t>SÖDERMANLANDS LÄN</t>
        </is>
      </c>
      <c r="E238" t="inlineStr">
        <is>
          <t>KATRINEHOLM</t>
        </is>
      </c>
      <c r="G238" t="n">
        <v>2.5</v>
      </c>
      <c r="H238" t="n">
        <v>0</v>
      </c>
      <c r="I238" t="n">
        <v>0</v>
      </c>
      <c r="J238" t="n">
        <v>0</v>
      </c>
      <c r="K238" t="n">
        <v>0</v>
      </c>
      <c r="L238" t="n">
        <v>0</v>
      </c>
      <c r="M238" t="n">
        <v>0</v>
      </c>
      <c r="N238" t="n">
        <v>0</v>
      </c>
      <c r="O238" t="n">
        <v>0</v>
      </c>
      <c r="P238" t="n">
        <v>0</v>
      </c>
      <c r="Q238" t="n">
        <v>0</v>
      </c>
      <c r="R238" s="2" t="inlineStr"/>
    </row>
    <row r="239" ht="15" customHeight="1">
      <c r="A239" t="inlineStr">
        <is>
          <t>A 36767-2022</t>
        </is>
      </c>
      <c r="B239" s="1" t="n">
        <v>44805</v>
      </c>
      <c r="C239" s="1" t="n">
        <v>46053</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32943-2024</t>
        </is>
      </c>
      <c r="B240" s="1" t="n">
        <v>45517</v>
      </c>
      <c r="C240" s="1" t="n">
        <v>46053</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33712-2022</t>
        </is>
      </c>
      <c r="B241" s="1" t="n">
        <v>44789</v>
      </c>
      <c r="C241" s="1" t="n">
        <v>46053</v>
      </c>
      <c r="D241" t="inlineStr">
        <is>
          <t>SÖDERMANLANDS LÄN</t>
        </is>
      </c>
      <c r="E241" t="inlineStr">
        <is>
          <t>KATRINEHOLM</t>
        </is>
      </c>
      <c r="G241" t="n">
        <v>4.3</v>
      </c>
      <c r="H241" t="n">
        <v>0</v>
      </c>
      <c r="I241" t="n">
        <v>0</v>
      </c>
      <c r="J241" t="n">
        <v>0</v>
      </c>
      <c r="K241" t="n">
        <v>0</v>
      </c>
      <c r="L241" t="n">
        <v>0</v>
      </c>
      <c r="M241" t="n">
        <v>0</v>
      </c>
      <c r="N241" t="n">
        <v>0</v>
      </c>
      <c r="O241" t="n">
        <v>0</v>
      </c>
      <c r="P241" t="n">
        <v>0</v>
      </c>
      <c r="Q241" t="n">
        <v>0</v>
      </c>
      <c r="R241" s="2" t="inlineStr"/>
    </row>
    <row r="242" ht="15" customHeight="1">
      <c r="A242" t="inlineStr">
        <is>
          <t>A 55034-2021</t>
        </is>
      </c>
      <c r="B242" s="1" t="n">
        <v>44474</v>
      </c>
      <c r="C242" s="1" t="n">
        <v>46053</v>
      </c>
      <c r="D242" t="inlineStr">
        <is>
          <t>SÖDERMANLANDS LÄN</t>
        </is>
      </c>
      <c r="E242" t="inlineStr">
        <is>
          <t>KATRINEHOLM</t>
        </is>
      </c>
      <c r="G242" t="n">
        <v>5</v>
      </c>
      <c r="H242" t="n">
        <v>0</v>
      </c>
      <c r="I242" t="n">
        <v>0</v>
      </c>
      <c r="J242" t="n">
        <v>0</v>
      </c>
      <c r="K242" t="n">
        <v>0</v>
      </c>
      <c r="L242" t="n">
        <v>0</v>
      </c>
      <c r="M242" t="n">
        <v>0</v>
      </c>
      <c r="N242" t="n">
        <v>0</v>
      </c>
      <c r="O242" t="n">
        <v>0</v>
      </c>
      <c r="P242" t="n">
        <v>0</v>
      </c>
      <c r="Q242" t="n">
        <v>0</v>
      </c>
      <c r="R242" s="2" t="inlineStr"/>
    </row>
    <row r="243" ht="15" customHeight="1">
      <c r="A243" t="inlineStr">
        <is>
          <t>A 33717-2022</t>
        </is>
      </c>
      <c r="B243" s="1" t="n">
        <v>44789</v>
      </c>
      <c r="C243" s="1" t="n">
        <v>46053</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39645-2025</t>
        </is>
      </c>
      <c r="B244" s="1" t="n">
        <v>45890</v>
      </c>
      <c r="C244" s="1" t="n">
        <v>46053</v>
      </c>
      <c r="D244" t="inlineStr">
        <is>
          <t>SÖDERMANLANDS LÄN</t>
        </is>
      </c>
      <c r="E244" t="inlineStr">
        <is>
          <t>KATRINEHOLM</t>
        </is>
      </c>
      <c r="G244" t="n">
        <v>0.2</v>
      </c>
      <c r="H244" t="n">
        <v>0</v>
      </c>
      <c r="I244" t="n">
        <v>0</v>
      </c>
      <c r="J244" t="n">
        <v>0</v>
      </c>
      <c r="K244" t="n">
        <v>0</v>
      </c>
      <c r="L244" t="n">
        <v>0</v>
      </c>
      <c r="M244" t="n">
        <v>0</v>
      </c>
      <c r="N244" t="n">
        <v>0</v>
      </c>
      <c r="O244" t="n">
        <v>0</v>
      </c>
      <c r="P244" t="n">
        <v>0</v>
      </c>
      <c r="Q244" t="n">
        <v>0</v>
      </c>
      <c r="R244" s="2" t="inlineStr"/>
    </row>
    <row r="245" ht="15" customHeight="1">
      <c r="A245" t="inlineStr">
        <is>
          <t>A 33752-2023</t>
        </is>
      </c>
      <c r="B245" s="1" t="n">
        <v>45120</v>
      </c>
      <c r="C245" s="1" t="n">
        <v>46053</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22119-2025</t>
        </is>
      </c>
      <c r="B246" s="1" t="n">
        <v>45785</v>
      </c>
      <c r="C246" s="1" t="n">
        <v>46053</v>
      </c>
      <c r="D246" t="inlineStr">
        <is>
          <t>SÖDERMANLANDS LÄN</t>
        </is>
      </c>
      <c r="E246" t="inlineStr">
        <is>
          <t>KATRINEHOLM</t>
        </is>
      </c>
      <c r="G246" t="n">
        <v>0.8</v>
      </c>
      <c r="H246" t="n">
        <v>0</v>
      </c>
      <c r="I246" t="n">
        <v>0</v>
      </c>
      <c r="J246" t="n">
        <v>0</v>
      </c>
      <c r="K246" t="n">
        <v>0</v>
      </c>
      <c r="L246" t="n">
        <v>0</v>
      </c>
      <c r="M246" t="n">
        <v>0</v>
      </c>
      <c r="N246" t="n">
        <v>0</v>
      </c>
      <c r="O246" t="n">
        <v>0</v>
      </c>
      <c r="P246" t="n">
        <v>0</v>
      </c>
      <c r="Q246" t="n">
        <v>0</v>
      </c>
      <c r="R246" s="2" t="inlineStr"/>
    </row>
    <row r="247" ht="15" customHeight="1">
      <c r="A247" t="inlineStr">
        <is>
          <t>A 45376-2022</t>
        </is>
      </c>
      <c r="B247" s="1" t="n">
        <v>44844</v>
      </c>
      <c r="C247" s="1" t="n">
        <v>46053</v>
      </c>
      <c r="D247" t="inlineStr">
        <is>
          <t>SÖDERMANLANDS LÄN</t>
        </is>
      </c>
      <c r="E247" t="inlineStr">
        <is>
          <t>KATRINEHOLM</t>
        </is>
      </c>
      <c r="G247" t="n">
        <v>4.7</v>
      </c>
      <c r="H247" t="n">
        <v>0</v>
      </c>
      <c r="I247" t="n">
        <v>0</v>
      </c>
      <c r="J247" t="n">
        <v>0</v>
      </c>
      <c r="K247" t="n">
        <v>0</v>
      </c>
      <c r="L247" t="n">
        <v>0</v>
      </c>
      <c r="M247" t="n">
        <v>0</v>
      </c>
      <c r="N247" t="n">
        <v>0</v>
      </c>
      <c r="O247" t="n">
        <v>0</v>
      </c>
      <c r="P247" t="n">
        <v>0</v>
      </c>
      <c r="Q247" t="n">
        <v>0</v>
      </c>
      <c r="R247" s="2" t="inlineStr"/>
    </row>
    <row r="248" ht="15" customHeight="1">
      <c r="A248" t="inlineStr">
        <is>
          <t>A 55122-2022</t>
        </is>
      </c>
      <c r="B248" s="1" t="n">
        <v>44886.65092592593</v>
      </c>
      <c r="C248" s="1" t="n">
        <v>46053</v>
      </c>
      <c r="D248" t="inlineStr">
        <is>
          <t>SÖDERMANLANDS LÄN</t>
        </is>
      </c>
      <c r="E248" t="inlineStr">
        <is>
          <t>KATRINEHOLM</t>
        </is>
      </c>
      <c r="G248" t="n">
        <v>6.5</v>
      </c>
      <c r="H248" t="n">
        <v>0</v>
      </c>
      <c r="I248" t="n">
        <v>0</v>
      </c>
      <c r="J248" t="n">
        <v>0</v>
      </c>
      <c r="K248" t="n">
        <v>0</v>
      </c>
      <c r="L248" t="n">
        <v>0</v>
      </c>
      <c r="M248" t="n">
        <v>0</v>
      </c>
      <c r="N248" t="n">
        <v>0</v>
      </c>
      <c r="O248" t="n">
        <v>0</v>
      </c>
      <c r="P248" t="n">
        <v>0</v>
      </c>
      <c r="Q248" t="n">
        <v>0</v>
      </c>
      <c r="R248" s="2" t="inlineStr"/>
    </row>
    <row r="249" ht="15" customHeight="1">
      <c r="A249" t="inlineStr">
        <is>
          <t>A 17746-2024</t>
        </is>
      </c>
      <c r="B249" s="1" t="n">
        <v>45415</v>
      </c>
      <c r="C249" s="1" t="n">
        <v>46053</v>
      </c>
      <c r="D249" t="inlineStr">
        <is>
          <t>SÖDERMANLANDS LÄN</t>
        </is>
      </c>
      <c r="E249" t="inlineStr">
        <is>
          <t>KATRINEHOLM</t>
        </is>
      </c>
      <c r="G249" t="n">
        <v>7.8</v>
      </c>
      <c r="H249" t="n">
        <v>0</v>
      </c>
      <c r="I249" t="n">
        <v>0</v>
      </c>
      <c r="J249" t="n">
        <v>0</v>
      </c>
      <c r="K249" t="n">
        <v>0</v>
      </c>
      <c r="L249" t="n">
        <v>0</v>
      </c>
      <c r="M249" t="n">
        <v>0</v>
      </c>
      <c r="N249" t="n">
        <v>0</v>
      </c>
      <c r="O249" t="n">
        <v>0</v>
      </c>
      <c r="P249" t="n">
        <v>0</v>
      </c>
      <c r="Q249" t="n">
        <v>0</v>
      </c>
      <c r="R249" s="2" t="inlineStr"/>
    </row>
    <row r="250" ht="15" customHeight="1">
      <c r="A250" t="inlineStr">
        <is>
          <t>A 39663-2025</t>
        </is>
      </c>
      <c r="B250" s="1" t="n">
        <v>45890</v>
      </c>
      <c r="C250" s="1" t="n">
        <v>46053</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39668-2025</t>
        </is>
      </c>
      <c r="B251" s="1" t="n">
        <v>45890</v>
      </c>
      <c r="C251" s="1" t="n">
        <v>46053</v>
      </c>
      <c r="D251" t="inlineStr">
        <is>
          <t>SÖDERMANLANDS LÄN</t>
        </is>
      </c>
      <c r="E251" t="inlineStr">
        <is>
          <t>KATRINEHOLM</t>
        </is>
      </c>
      <c r="G251" t="n">
        <v>2.9</v>
      </c>
      <c r="H251" t="n">
        <v>0</v>
      </c>
      <c r="I251" t="n">
        <v>0</v>
      </c>
      <c r="J251" t="n">
        <v>0</v>
      </c>
      <c r="K251" t="n">
        <v>0</v>
      </c>
      <c r="L251" t="n">
        <v>0</v>
      </c>
      <c r="M251" t="n">
        <v>0</v>
      </c>
      <c r="N251" t="n">
        <v>0</v>
      </c>
      <c r="O251" t="n">
        <v>0</v>
      </c>
      <c r="P251" t="n">
        <v>0</v>
      </c>
      <c r="Q251" t="n">
        <v>0</v>
      </c>
      <c r="R251" s="2" t="inlineStr"/>
    </row>
    <row r="252" ht="15" customHeight="1">
      <c r="A252" t="inlineStr">
        <is>
          <t>A 24179-2024</t>
        </is>
      </c>
      <c r="B252" s="1" t="n">
        <v>45456.83059027778</v>
      </c>
      <c r="C252" s="1" t="n">
        <v>46053</v>
      </c>
      <c r="D252" t="inlineStr">
        <is>
          <t>SÖDERMANLANDS LÄN</t>
        </is>
      </c>
      <c r="E252" t="inlineStr">
        <is>
          <t>KATRINEHOLM</t>
        </is>
      </c>
      <c r="G252" t="n">
        <v>1.3</v>
      </c>
      <c r="H252" t="n">
        <v>0</v>
      </c>
      <c r="I252" t="n">
        <v>0</v>
      </c>
      <c r="J252" t="n">
        <v>0</v>
      </c>
      <c r="K252" t="n">
        <v>0</v>
      </c>
      <c r="L252" t="n">
        <v>0</v>
      </c>
      <c r="M252" t="n">
        <v>0</v>
      </c>
      <c r="N252" t="n">
        <v>0</v>
      </c>
      <c r="O252" t="n">
        <v>0</v>
      </c>
      <c r="P252" t="n">
        <v>0</v>
      </c>
      <c r="Q252" t="n">
        <v>0</v>
      </c>
      <c r="R252" s="2" t="inlineStr"/>
    </row>
    <row r="253" ht="15" customHeight="1">
      <c r="A253" t="inlineStr">
        <is>
          <t>A 51264-2021</t>
        </is>
      </c>
      <c r="B253" s="1" t="n">
        <v>44461</v>
      </c>
      <c r="C253" s="1" t="n">
        <v>46053</v>
      </c>
      <c r="D253" t="inlineStr">
        <is>
          <t>SÖDERMANLANDS LÄN</t>
        </is>
      </c>
      <c r="E253" t="inlineStr">
        <is>
          <t>KATRINEHOLM</t>
        </is>
      </c>
      <c r="G253" t="n">
        <v>3.1</v>
      </c>
      <c r="H253" t="n">
        <v>0</v>
      </c>
      <c r="I253" t="n">
        <v>0</v>
      </c>
      <c r="J253" t="n">
        <v>0</v>
      </c>
      <c r="K253" t="n">
        <v>0</v>
      </c>
      <c r="L253" t="n">
        <v>0</v>
      </c>
      <c r="M253" t="n">
        <v>0</v>
      </c>
      <c r="N253" t="n">
        <v>0</v>
      </c>
      <c r="O253" t="n">
        <v>0</v>
      </c>
      <c r="P253" t="n">
        <v>0</v>
      </c>
      <c r="Q253" t="n">
        <v>0</v>
      </c>
      <c r="R253" s="2" t="inlineStr"/>
    </row>
    <row r="254" ht="15" customHeight="1">
      <c r="A254" t="inlineStr">
        <is>
          <t>A 22113-2025</t>
        </is>
      </c>
      <c r="B254" s="1" t="n">
        <v>45785</v>
      </c>
      <c r="C254" s="1" t="n">
        <v>46053</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51128-2021</t>
        </is>
      </c>
      <c r="B255" s="1" t="n">
        <v>44460</v>
      </c>
      <c r="C255" s="1" t="n">
        <v>46053</v>
      </c>
      <c r="D255" t="inlineStr">
        <is>
          <t>SÖDERMANLANDS LÄN</t>
        </is>
      </c>
      <c r="E255" t="inlineStr">
        <is>
          <t>KATRINEHOLM</t>
        </is>
      </c>
      <c r="G255" t="n">
        <v>7.8</v>
      </c>
      <c r="H255" t="n">
        <v>0</v>
      </c>
      <c r="I255" t="n">
        <v>0</v>
      </c>
      <c r="J255" t="n">
        <v>0</v>
      </c>
      <c r="K255" t="n">
        <v>0</v>
      </c>
      <c r="L255" t="n">
        <v>0</v>
      </c>
      <c r="M255" t="n">
        <v>0</v>
      </c>
      <c r="N255" t="n">
        <v>0</v>
      </c>
      <c r="O255" t="n">
        <v>0</v>
      </c>
      <c r="P255" t="n">
        <v>0</v>
      </c>
      <c r="Q255" t="n">
        <v>0</v>
      </c>
      <c r="R255" s="2" t="inlineStr"/>
    </row>
    <row r="256" ht="15" customHeight="1">
      <c r="A256" t="inlineStr">
        <is>
          <t>A 24983-2024</t>
        </is>
      </c>
      <c r="B256" s="1" t="n">
        <v>45461</v>
      </c>
      <c r="C256" s="1" t="n">
        <v>46053</v>
      </c>
      <c r="D256" t="inlineStr">
        <is>
          <t>SÖDERMANLANDS LÄN</t>
        </is>
      </c>
      <c r="E256" t="inlineStr">
        <is>
          <t>KATRINEHOLM</t>
        </is>
      </c>
      <c r="G256" t="n">
        <v>2.6</v>
      </c>
      <c r="H256" t="n">
        <v>0</v>
      </c>
      <c r="I256" t="n">
        <v>0</v>
      </c>
      <c r="J256" t="n">
        <v>0</v>
      </c>
      <c r="K256" t="n">
        <v>0</v>
      </c>
      <c r="L256" t="n">
        <v>0</v>
      </c>
      <c r="M256" t="n">
        <v>0</v>
      </c>
      <c r="N256" t="n">
        <v>0</v>
      </c>
      <c r="O256" t="n">
        <v>0</v>
      </c>
      <c r="P256" t="n">
        <v>0</v>
      </c>
      <c r="Q256" t="n">
        <v>0</v>
      </c>
      <c r="R256" s="2" t="inlineStr"/>
    </row>
    <row r="257" ht="15" customHeight="1">
      <c r="A257" t="inlineStr">
        <is>
          <t>A 3980-2024</t>
        </is>
      </c>
      <c r="B257" s="1" t="n">
        <v>45322</v>
      </c>
      <c r="C257" s="1" t="n">
        <v>46053</v>
      </c>
      <c r="D257" t="inlineStr">
        <is>
          <t>SÖDERMANLANDS LÄN</t>
        </is>
      </c>
      <c r="E257" t="inlineStr">
        <is>
          <t>KATRINEHOLM</t>
        </is>
      </c>
      <c r="G257" t="n">
        <v>0.4</v>
      </c>
      <c r="H257" t="n">
        <v>0</v>
      </c>
      <c r="I257" t="n">
        <v>0</v>
      </c>
      <c r="J257" t="n">
        <v>0</v>
      </c>
      <c r="K257" t="n">
        <v>0</v>
      </c>
      <c r="L257" t="n">
        <v>0</v>
      </c>
      <c r="M257" t="n">
        <v>0</v>
      </c>
      <c r="N257" t="n">
        <v>0</v>
      </c>
      <c r="O257" t="n">
        <v>0</v>
      </c>
      <c r="P257" t="n">
        <v>0</v>
      </c>
      <c r="Q257" t="n">
        <v>0</v>
      </c>
      <c r="R257" s="2" t="inlineStr"/>
    </row>
    <row r="258" ht="15" customHeight="1">
      <c r="A258" t="inlineStr">
        <is>
          <t>A 64713-2023</t>
        </is>
      </c>
      <c r="B258" s="1" t="n">
        <v>45281</v>
      </c>
      <c r="C258" s="1" t="n">
        <v>46053</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22476-2025</t>
        </is>
      </c>
      <c r="B259" s="1" t="n">
        <v>45786</v>
      </c>
      <c r="C259" s="1" t="n">
        <v>46053</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39737-2025</t>
        </is>
      </c>
      <c r="B260" s="1" t="n">
        <v>45891</v>
      </c>
      <c r="C260" s="1" t="n">
        <v>46053</v>
      </c>
      <c r="D260" t="inlineStr">
        <is>
          <t>SÖDERMANLANDS LÄN</t>
        </is>
      </c>
      <c r="E260" t="inlineStr">
        <is>
          <t>KATRINEHOLM</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39847-2025</t>
        </is>
      </c>
      <c r="B261" s="1" t="n">
        <v>45891.58381944444</v>
      </c>
      <c r="C261" s="1" t="n">
        <v>46053</v>
      </c>
      <c r="D261" t="inlineStr">
        <is>
          <t>SÖDERMANLANDS LÄN</t>
        </is>
      </c>
      <c r="E261" t="inlineStr">
        <is>
          <t>KATRINEHOLM</t>
        </is>
      </c>
      <c r="F261" t="inlineStr">
        <is>
          <t>Holmen skog AB</t>
        </is>
      </c>
      <c r="G261" t="n">
        <v>2.5</v>
      </c>
      <c r="H261" t="n">
        <v>0</v>
      </c>
      <c r="I261" t="n">
        <v>0</v>
      </c>
      <c r="J261" t="n">
        <v>0</v>
      </c>
      <c r="K261" t="n">
        <v>0</v>
      </c>
      <c r="L261" t="n">
        <v>0</v>
      </c>
      <c r="M261" t="n">
        <v>0</v>
      </c>
      <c r="N261" t="n">
        <v>0</v>
      </c>
      <c r="O261" t="n">
        <v>0</v>
      </c>
      <c r="P261" t="n">
        <v>0</v>
      </c>
      <c r="Q261" t="n">
        <v>0</v>
      </c>
      <c r="R261" s="2" t="inlineStr"/>
    </row>
    <row r="262" ht="15" customHeight="1">
      <c r="A262" t="inlineStr">
        <is>
          <t>A 22336-2025</t>
        </is>
      </c>
      <c r="B262" s="1" t="n">
        <v>45786.44217592593</v>
      </c>
      <c r="C262" s="1" t="n">
        <v>46053</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60677-2021</t>
        </is>
      </c>
      <c r="B263" s="1" t="n">
        <v>44495</v>
      </c>
      <c r="C263" s="1" t="n">
        <v>46053</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43088-2022</t>
        </is>
      </c>
      <c r="B264" s="1" t="n">
        <v>44833</v>
      </c>
      <c r="C264" s="1" t="n">
        <v>46053</v>
      </c>
      <c r="D264" t="inlineStr">
        <is>
          <t>SÖDERMANLANDS LÄN</t>
        </is>
      </c>
      <c r="E264" t="inlineStr">
        <is>
          <t>KATRINEHOLM</t>
        </is>
      </c>
      <c r="G264" t="n">
        <v>6.6</v>
      </c>
      <c r="H264" t="n">
        <v>0</v>
      </c>
      <c r="I264" t="n">
        <v>0</v>
      </c>
      <c r="J264" t="n">
        <v>0</v>
      </c>
      <c r="K264" t="n">
        <v>0</v>
      </c>
      <c r="L264" t="n">
        <v>0</v>
      </c>
      <c r="M264" t="n">
        <v>0</v>
      </c>
      <c r="N264" t="n">
        <v>0</v>
      </c>
      <c r="O264" t="n">
        <v>0</v>
      </c>
      <c r="P264" t="n">
        <v>0</v>
      </c>
      <c r="Q264" t="n">
        <v>0</v>
      </c>
      <c r="R264" s="2" t="inlineStr"/>
    </row>
    <row r="265" ht="15" customHeight="1">
      <c r="A265" t="inlineStr">
        <is>
          <t>A 23050-2025</t>
        </is>
      </c>
      <c r="B265" s="1" t="n">
        <v>45790.69971064815</v>
      </c>
      <c r="C265" s="1" t="n">
        <v>46053</v>
      </c>
      <c r="D265" t="inlineStr">
        <is>
          <t>SÖDERMANLANDS LÄN</t>
        </is>
      </c>
      <c r="E265" t="inlineStr">
        <is>
          <t>KATRINEHOLM</t>
        </is>
      </c>
      <c r="G265" t="n">
        <v>3.7</v>
      </c>
      <c r="H265" t="n">
        <v>0</v>
      </c>
      <c r="I265" t="n">
        <v>0</v>
      </c>
      <c r="J265" t="n">
        <v>0</v>
      </c>
      <c r="K265" t="n">
        <v>0</v>
      </c>
      <c r="L265" t="n">
        <v>0</v>
      </c>
      <c r="M265" t="n">
        <v>0</v>
      </c>
      <c r="N265" t="n">
        <v>0</v>
      </c>
      <c r="O265" t="n">
        <v>0</v>
      </c>
      <c r="P265" t="n">
        <v>0</v>
      </c>
      <c r="Q265" t="n">
        <v>0</v>
      </c>
      <c r="R265" s="2" t="inlineStr"/>
    </row>
    <row r="266" ht="15" customHeight="1">
      <c r="A266" t="inlineStr">
        <is>
          <t>A 64605-2023</t>
        </is>
      </c>
      <c r="B266" s="1" t="n">
        <v>45281</v>
      </c>
      <c r="C266" s="1" t="n">
        <v>46053</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28582-2024</t>
        </is>
      </c>
      <c r="B267" s="1" t="n">
        <v>45478.40751157407</v>
      </c>
      <c r="C267" s="1" t="n">
        <v>46053</v>
      </c>
      <c r="D267" t="inlineStr">
        <is>
          <t>SÖDERMANLANDS LÄN</t>
        </is>
      </c>
      <c r="E267" t="inlineStr">
        <is>
          <t>KATRINEHOLM</t>
        </is>
      </c>
      <c r="F267" t="inlineStr">
        <is>
          <t>Övriga Aktiebolag</t>
        </is>
      </c>
      <c r="G267" t="n">
        <v>4</v>
      </c>
      <c r="H267" t="n">
        <v>0</v>
      </c>
      <c r="I267" t="n">
        <v>0</v>
      </c>
      <c r="J267" t="n">
        <v>0</v>
      </c>
      <c r="K267" t="n">
        <v>0</v>
      </c>
      <c r="L267" t="n">
        <v>0</v>
      </c>
      <c r="M267" t="n">
        <v>0</v>
      </c>
      <c r="N267" t="n">
        <v>0</v>
      </c>
      <c r="O267" t="n">
        <v>0</v>
      </c>
      <c r="P267" t="n">
        <v>0</v>
      </c>
      <c r="Q267" t="n">
        <v>0</v>
      </c>
      <c r="R267" s="2" t="inlineStr"/>
    </row>
    <row r="268" ht="15" customHeight="1">
      <c r="A268" t="inlineStr">
        <is>
          <t>A 26081-2024</t>
        </is>
      </c>
      <c r="B268" s="1" t="n">
        <v>45462</v>
      </c>
      <c r="C268" s="1" t="n">
        <v>46053</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30242-2023</t>
        </is>
      </c>
      <c r="B269" s="1" t="n">
        <v>45099</v>
      </c>
      <c r="C269" s="1" t="n">
        <v>46053</v>
      </c>
      <c r="D269" t="inlineStr">
        <is>
          <t>SÖDERMANLANDS LÄN</t>
        </is>
      </c>
      <c r="E269" t="inlineStr">
        <is>
          <t>KATRINEHOLM</t>
        </is>
      </c>
      <c r="G269" t="n">
        <v>3</v>
      </c>
      <c r="H269" t="n">
        <v>0</v>
      </c>
      <c r="I269" t="n">
        <v>0</v>
      </c>
      <c r="J269" t="n">
        <v>0</v>
      </c>
      <c r="K269" t="n">
        <v>0</v>
      </c>
      <c r="L269" t="n">
        <v>0</v>
      </c>
      <c r="M269" t="n">
        <v>0</v>
      </c>
      <c r="N269" t="n">
        <v>0</v>
      </c>
      <c r="O269" t="n">
        <v>0</v>
      </c>
      <c r="P269" t="n">
        <v>0</v>
      </c>
      <c r="Q269" t="n">
        <v>0</v>
      </c>
      <c r="R269" s="2" t="inlineStr"/>
    </row>
    <row r="270" ht="15" customHeight="1">
      <c r="A270" t="inlineStr">
        <is>
          <t>A 41074-2025</t>
        </is>
      </c>
      <c r="B270" s="1" t="n">
        <v>45898</v>
      </c>
      <c r="C270" s="1" t="n">
        <v>46053</v>
      </c>
      <c r="D270" t="inlineStr">
        <is>
          <t>SÖDERMANLANDS LÄN</t>
        </is>
      </c>
      <c r="E270" t="inlineStr">
        <is>
          <t>KATRINEHOLM</t>
        </is>
      </c>
      <c r="F270" t="inlineStr">
        <is>
          <t>Allmännings- och besparingsskogar</t>
        </is>
      </c>
      <c r="G270" t="n">
        <v>4.8</v>
      </c>
      <c r="H270" t="n">
        <v>0</v>
      </c>
      <c r="I270" t="n">
        <v>0</v>
      </c>
      <c r="J270" t="n">
        <v>0</v>
      </c>
      <c r="K270" t="n">
        <v>0</v>
      </c>
      <c r="L270" t="n">
        <v>0</v>
      </c>
      <c r="M270" t="n">
        <v>0</v>
      </c>
      <c r="N270" t="n">
        <v>0</v>
      </c>
      <c r="O270" t="n">
        <v>0</v>
      </c>
      <c r="P270" t="n">
        <v>0</v>
      </c>
      <c r="Q270" t="n">
        <v>0</v>
      </c>
      <c r="R270" s="2" t="inlineStr"/>
    </row>
    <row r="271" ht="15" customHeight="1">
      <c r="A271" t="inlineStr">
        <is>
          <t>A 24902-2024</t>
        </is>
      </c>
      <c r="B271" s="1" t="n">
        <v>45461</v>
      </c>
      <c r="C271" s="1" t="n">
        <v>46053</v>
      </c>
      <c r="D271" t="inlineStr">
        <is>
          <t>SÖDERMANLANDS LÄN</t>
        </is>
      </c>
      <c r="E271" t="inlineStr">
        <is>
          <t>KATRINEHOLM</t>
        </is>
      </c>
      <c r="G271" t="n">
        <v>3.5</v>
      </c>
      <c r="H271" t="n">
        <v>0</v>
      </c>
      <c r="I271" t="n">
        <v>0</v>
      </c>
      <c r="J271" t="n">
        <v>0</v>
      </c>
      <c r="K271" t="n">
        <v>0</v>
      </c>
      <c r="L271" t="n">
        <v>0</v>
      </c>
      <c r="M271" t="n">
        <v>0</v>
      </c>
      <c r="N271" t="n">
        <v>0</v>
      </c>
      <c r="O271" t="n">
        <v>0</v>
      </c>
      <c r="P271" t="n">
        <v>0</v>
      </c>
      <c r="Q271" t="n">
        <v>0</v>
      </c>
      <c r="R271" s="2" t="inlineStr"/>
    </row>
    <row r="272" ht="15" customHeight="1">
      <c r="A272" t="inlineStr">
        <is>
          <t>A 69117-2021</t>
        </is>
      </c>
      <c r="B272" s="1" t="n">
        <v>44530.82445601852</v>
      </c>
      <c r="C272" s="1" t="n">
        <v>46053</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41498-2025</t>
        </is>
      </c>
      <c r="B273" s="1" t="n">
        <v>45901.49755787037</v>
      </c>
      <c r="C273" s="1" t="n">
        <v>46053</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38308-2021</t>
        </is>
      </c>
      <c r="B274" s="1" t="n">
        <v>44406</v>
      </c>
      <c r="C274" s="1" t="n">
        <v>46053</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55172-2022</t>
        </is>
      </c>
      <c r="B275" s="1" t="n">
        <v>44886</v>
      </c>
      <c r="C275" s="1" t="n">
        <v>46053</v>
      </c>
      <c r="D275" t="inlineStr">
        <is>
          <t>SÖDERMANLANDS LÄN</t>
        </is>
      </c>
      <c r="E275" t="inlineStr">
        <is>
          <t>KATRINEHOLM</t>
        </is>
      </c>
      <c r="G275" t="n">
        <v>1.3</v>
      </c>
      <c r="H275" t="n">
        <v>0</v>
      </c>
      <c r="I275" t="n">
        <v>0</v>
      </c>
      <c r="J275" t="n">
        <v>0</v>
      </c>
      <c r="K275" t="n">
        <v>0</v>
      </c>
      <c r="L275" t="n">
        <v>0</v>
      </c>
      <c r="M275" t="n">
        <v>0</v>
      </c>
      <c r="N275" t="n">
        <v>0</v>
      </c>
      <c r="O275" t="n">
        <v>0</v>
      </c>
      <c r="P275" t="n">
        <v>0</v>
      </c>
      <c r="Q275" t="n">
        <v>0</v>
      </c>
      <c r="R275" s="2" t="inlineStr"/>
    </row>
    <row r="276" ht="15" customHeight="1">
      <c r="A276" t="inlineStr">
        <is>
          <t>A 67337-2021</t>
        </is>
      </c>
      <c r="B276" s="1" t="n">
        <v>44523</v>
      </c>
      <c r="C276" s="1" t="n">
        <v>46053</v>
      </c>
      <c r="D276" t="inlineStr">
        <is>
          <t>SÖDERMANLANDS LÄN</t>
        </is>
      </c>
      <c r="E276" t="inlineStr">
        <is>
          <t>KATRINEHOLM</t>
        </is>
      </c>
      <c r="G276" t="n">
        <v>5.2</v>
      </c>
      <c r="H276" t="n">
        <v>0</v>
      </c>
      <c r="I276" t="n">
        <v>0</v>
      </c>
      <c r="J276" t="n">
        <v>0</v>
      </c>
      <c r="K276" t="n">
        <v>0</v>
      </c>
      <c r="L276" t="n">
        <v>0</v>
      </c>
      <c r="M276" t="n">
        <v>0</v>
      </c>
      <c r="N276" t="n">
        <v>0</v>
      </c>
      <c r="O276" t="n">
        <v>0</v>
      </c>
      <c r="P276" t="n">
        <v>0</v>
      </c>
      <c r="Q276" t="n">
        <v>0</v>
      </c>
      <c r="R276" s="2" t="inlineStr"/>
    </row>
    <row r="277" ht="15" customHeight="1">
      <c r="A277" t="inlineStr">
        <is>
          <t>A 29394-2024</t>
        </is>
      </c>
      <c r="B277" s="1" t="n">
        <v>45483</v>
      </c>
      <c r="C277" s="1" t="n">
        <v>46053</v>
      </c>
      <c r="D277" t="inlineStr">
        <is>
          <t>SÖDERMANLANDS LÄN</t>
        </is>
      </c>
      <c r="E277" t="inlineStr">
        <is>
          <t>KATRINEHOLM</t>
        </is>
      </c>
      <c r="G277" t="n">
        <v>0.9</v>
      </c>
      <c r="H277" t="n">
        <v>0</v>
      </c>
      <c r="I277" t="n">
        <v>0</v>
      </c>
      <c r="J277" t="n">
        <v>0</v>
      </c>
      <c r="K277" t="n">
        <v>0</v>
      </c>
      <c r="L277" t="n">
        <v>0</v>
      </c>
      <c r="M277" t="n">
        <v>0</v>
      </c>
      <c r="N277" t="n">
        <v>0</v>
      </c>
      <c r="O277" t="n">
        <v>0</v>
      </c>
      <c r="P277" t="n">
        <v>0</v>
      </c>
      <c r="Q277" t="n">
        <v>0</v>
      </c>
      <c r="R277" s="2" t="inlineStr"/>
    </row>
    <row r="278" ht="15" customHeight="1">
      <c r="A278" t="inlineStr">
        <is>
          <t>A 50032-2022</t>
        </is>
      </c>
      <c r="B278" s="1" t="n">
        <v>44860</v>
      </c>
      <c r="C278" s="1" t="n">
        <v>46053</v>
      </c>
      <c r="D278" t="inlineStr">
        <is>
          <t>SÖDERMANLANDS LÄN</t>
        </is>
      </c>
      <c r="E278" t="inlineStr">
        <is>
          <t>KATRINEHOLM</t>
        </is>
      </c>
      <c r="G278" t="n">
        <v>7.5</v>
      </c>
      <c r="H278" t="n">
        <v>0</v>
      </c>
      <c r="I278" t="n">
        <v>0</v>
      </c>
      <c r="J278" t="n">
        <v>0</v>
      </c>
      <c r="K278" t="n">
        <v>0</v>
      </c>
      <c r="L278" t="n">
        <v>0</v>
      </c>
      <c r="M278" t="n">
        <v>0</v>
      </c>
      <c r="N278" t="n">
        <v>0</v>
      </c>
      <c r="O278" t="n">
        <v>0</v>
      </c>
      <c r="P278" t="n">
        <v>0</v>
      </c>
      <c r="Q278" t="n">
        <v>0</v>
      </c>
      <c r="R278" s="2" t="inlineStr"/>
    </row>
    <row r="279" ht="15" customHeight="1">
      <c r="A279" t="inlineStr">
        <is>
          <t>A 26713-2024</t>
        </is>
      </c>
      <c r="B279" s="1" t="n">
        <v>45470</v>
      </c>
      <c r="C279" s="1" t="n">
        <v>46053</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43837-2022</t>
        </is>
      </c>
      <c r="B280" s="1" t="n">
        <v>44838</v>
      </c>
      <c r="C280" s="1" t="n">
        <v>46053</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49341-2024</t>
        </is>
      </c>
      <c r="B281" s="1" t="n">
        <v>45595</v>
      </c>
      <c r="C281" s="1" t="n">
        <v>46053</v>
      </c>
      <c r="D281" t="inlineStr">
        <is>
          <t>SÖDERMANLANDS LÄN</t>
        </is>
      </c>
      <c r="E281" t="inlineStr">
        <is>
          <t>KATRINEHOLM</t>
        </is>
      </c>
      <c r="G281" t="n">
        <v>10</v>
      </c>
      <c r="H281" t="n">
        <v>0</v>
      </c>
      <c r="I281" t="n">
        <v>0</v>
      </c>
      <c r="J281" t="n">
        <v>0</v>
      </c>
      <c r="K281" t="n">
        <v>0</v>
      </c>
      <c r="L281" t="n">
        <v>0</v>
      </c>
      <c r="M281" t="n">
        <v>0</v>
      </c>
      <c r="N281" t="n">
        <v>0</v>
      </c>
      <c r="O281" t="n">
        <v>0</v>
      </c>
      <c r="P281" t="n">
        <v>0</v>
      </c>
      <c r="Q281" t="n">
        <v>0</v>
      </c>
      <c r="R281" s="2" t="inlineStr"/>
    </row>
    <row r="282" ht="15" customHeight="1">
      <c r="A282" t="inlineStr">
        <is>
          <t>A 57510-2021</t>
        </is>
      </c>
      <c r="B282" s="1" t="n">
        <v>44483</v>
      </c>
      <c r="C282" s="1" t="n">
        <v>46053</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41633-2025</t>
        </is>
      </c>
      <c r="B283" s="1" t="n">
        <v>45901</v>
      </c>
      <c r="C283" s="1" t="n">
        <v>46053</v>
      </c>
      <c r="D283" t="inlineStr">
        <is>
          <t>SÖDERMANLANDS LÄN</t>
        </is>
      </c>
      <c r="E283" t="inlineStr">
        <is>
          <t>KATRINEHOLM</t>
        </is>
      </c>
      <c r="G283" t="n">
        <v>2.1</v>
      </c>
      <c r="H283" t="n">
        <v>0</v>
      </c>
      <c r="I283" t="n">
        <v>0</v>
      </c>
      <c r="J283" t="n">
        <v>0</v>
      </c>
      <c r="K283" t="n">
        <v>0</v>
      </c>
      <c r="L283" t="n">
        <v>0</v>
      </c>
      <c r="M283" t="n">
        <v>0</v>
      </c>
      <c r="N283" t="n">
        <v>0</v>
      </c>
      <c r="O283" t="n">
        <v>0</v>
      </c>
      <c r="P283" t="n">
        <v>0</v>
      </c>
      <c r="Q283" t="n">
        <v>0</v>
      </c>
      <c r="R283" s="2" t="inlineStr"/>
    </row>
    <row r="284" ht="15" customHeight="1">
      <c r="A284" t="inlineStr">
        <is>
          <t>A 41632-2025</t>
        </is>
      </c>
      <c r="B284" s="1" t="n">
        <v>45901</v>
      </c>
      <c r="C284" s="1" t="n">
        <v>46053</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46053</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46053</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46053</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40159-2023</t>
        </is>
      </c>
      <c r="B288" s="1" t="n">
        <v>45169</v>
      </c>
      <c r="C288" s="1" t="n">
        <v>46053</v>
      </c>
      <c r="D288" t="inlineStr">
        <is>
          <t>SÖDERMANLANDS LÄN</t>
        </is>
      </c>
      <c r="E288" t="inlineStr">
        <is>
          <t>KATRINEHOLM</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28675-2024</t>
        </is>
      </c>
      <c r="B289" s="1" t="n">
        <v>45478</v>
      </c>
      <c r="C289" s="1" t="n">
        <v>46053</v>
      </c>
      <c r="D289" t="inlineStr">
        <is>
          <t>SÖDERMANLANDS LÄN</t>
        </is>
      </c>
      <c r="E289" t="inlineStr">
        <is>
          <t>KATRINEHOLM</t>
        </is>
      </c>
      <c r="F289" t="inlineStr">
        <is>
          <t>Övriga Aktiebolag</t>
        </is>
      </c>
      <c r="G289" t="n">
        <v>3.5</v>
      </c>
      <c r="H289" t="n">
        <v>0</v>
      </c>
      <c r="I289" t="n">
        <v>0</v>
      </c>
      <c r="J289" t="n">
        <v>0</v>
      </c>
      <c r="K289" t="n">
        <v>0</v>
      </c>
      <c r="L289" t="n">
        <v>0</v>
      </c>
      <c r="M289" t="n">
        <v>0</v>
      </c>
      <c r="N289" t="n">
        <v>0</v>
      </c>
      <c r="O289" t="n">
        <v>0</v>
      </c>
      <c r="P289" t="n">
        <v>0</v>
      </c>
      <c r="Q289" t="n">
        <v>0</v>
      </c>
      <c r="R289" s="2" t="inlineStr"/>
    </row>
    <row r="290" ht="15" customHeight="1">
      <c r="A290" t="inlineStr">
        <is>
          <t>A 2603-2025</t>
        </is>
      </c>
      <c r="B290" s="1" t="n">
        <v>45674</v>
      </c>
      <c r="C290" s="1" t="n">
        <v>46053</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27875-2024</t>
        </is>
      </c>
      <c r="B291" s="1" t="n">
        <v>45475</v>
      </c>
      <c r="C291" s="1" t="n">
        <v>46053</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27376-2024</t>
        </is>
      </c>
      <c r="B292" s="1" t="n">
        <v>45473.88313657408</v>
      </c>
      <c r="C292" s="1" t="n">
        <v>46053</v>
      </c>
      <c r="D292" t="inlineStr">
        <is>
          <t>SÖDERMANLANDS LÄN</t>
        </is>
      </c>
      <c r="E292" t="inlineStr">
        <is>
          <t>KATRINEHOLM</t>
        </is>
      </c>
      <c r="F292" t="inlineStr">
        <is>
          <t>Kommuner</t>
        </is>
      </c>
      <c r="G292" t="n">
        <v>2.8</v>
      </c>
      <c r="H292" t="n">
        <v>0</v>
      </c>
      <c r="I292" t="n">
        <v>0</v>
      </c>
      <c r="J292" t="n">
        <v>0</v>
      </c>
      <c r="K292" t="n">
        <v>0</v>
      </c>
      <c r="L292" t="n">
        <v>0</v>
      </c>
      <c r="M292" t="n">
        <v>0</v>
      </c>
      <c r="N292" t="n">
        <v>0</v>
      </c>
      <c r="O292" t="n">
        <v>0</v>
      </c>
      <c r="P292" t="n">
        <v>0</v>
      </c>
      <c r="Q292" t="n">
        <v>0</v>
      </c>
      <c r="R292" s="2" t="inlineStr"/>
    </row>
    <row r="293" ht="15" customHeight="1">
      <c r="A293" t="inlineStr">
        <is>
          <t>A 24566-2025</t>
        </is>
      </c>
      <c r="B293" s="1" t="n">
        <v>45798.46452546296</v>
      </c>
      <c r="C293" s="1" t="n">
        <v>46053</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28995-2024</t>
        </is>
      </c>
      <c r="B294" s="1" t="n">
        <v>45481.49899305555</v>
      </c>
      <c r="C294" s="1" t="n">
        <v>46053</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24605-2025</t>
        </is>
      </c>
      <c r="B295" s="1" t="n">
        <v>45798.57403935185</v>
      </c>
      <c r="C295" s="1" t="n">
        <v>46053</v>
      </c>
      <c r="D295" t="inlineStr">
        <is>
          <t>SÖDERMANLANDS LÄN</t>
        </is>
      </c>
      <c r="E295" t="inlineStr">
        <is>
          <t>KATRINEHOLM</t>
        </is>
      </c>
      <c r="G295" t="n">
        <v>7</v>
      </c>
      <c r="H295" t="n">
        <v>0</v>
      </c>
      <c r="I295" t="n">
        <v>0</v>
      </c>
      <c r="J295" t="n">
        <v>0</v>
      </c>
      <c r="K295" t="n">
        <v>0</v>
      </c>
      <c r="L295" t="n">
        <v>0</v>
      </c>
      <c r="M295" t="n">
        <v>0</v>
      </c>
      <c r="N295" t="n">
        <v>0</v>
      </c>
      <c r="O295" t="n">
        <v>0</v>
      </c>
      <c r="P295" t="n">
        <v>0</v>
      </c>
      <c r="Q295" t="n">
        <v>0</v>
      </c>
      <c r="R295" s="2" t="inlineStr"/>
    </row>
    <row r="296" ht="15" customHeight="1">
      <c r="A296" t="inlineStr">
        <is>
          <t>A 44989-2022</t>
        </is>
      </c>
      <c r="B296" s="1" t="n">
        <v>44840</v>
      </c>
      <c r="C296" s="1" t="n">
        <v>46053</v>
      </c>
      <c r="D296" t="inlineStr">
        <is>
          <t>SÖDERMANLANDS LÄN</t>
        </is>
      </c>
      <c r="E296" t="inlineStr">
        <is>
          <t>KATRINEHOLM</t>
        </is>
      </c>
      <c r="G296" t="n">
        <v>6</v>
      </c>
      <c r="H296" t="n">
        <v>0</v>
      </c>
      <c r="I296" t="n">
        <v>0</v>
      </c>
      <c r="J296" t="n">
        <v>0</v>
      </c>
      <c r="K296" t="n">
        <v>0</v>
      </c>
      <c r="L296" t="n">
        <v>0</v>
      </c>
      <c r="M296" t="n">
        <v>0</v>
      </c>
      <c r="N296" t="n">
        <v>0</v>
      </c>
      <c r="O296" t="n">
        <v>0</v>
      </c>
      <c r="P296" t="n">
        <v>0</v>
      </c>
      <c r="Q296" t="n">
        <v>0</v>
      </c>
      <c r="R296" s="2" t="inlineStr"/>
    </row>
    <row r="297" ht="15" customHeight="1">
      <c r="A297" t="inlineStr">
        <is>
          <t>A 48259-2022</t>
        </is>
      </c>
      <c r="B297" s="1" t="n">
        <v>44858</v>
      </c>
      <c r="C297" s="1" t="n">
        <v>46053</v>
      </c>
      <c r="D297" t="inlineStr">
        <is>
          <t>SÖDERMANLANDS LÄN</t>
        </is>
      </c>
      <c r="E297" t="inlineStr">
        <is>
          <t>KATRINEHOLM</t>
        </is>
      </c>
      <c r="G297" t="n">
        <v>3.5</v>
      </c>
      <c r="H297" t="n">
        <v>0</v>
      </c>
      <c r="I297" t="n">
        <v>0</v>
      </c>
      <c r="J297" t="n">
        <v>0</v>
      </c>
      <c r="K297" t="n">
        <v>0</v>
      </c>
      <c r="L297" t="n">
        <v>0</v>
      </c>
      <c r="M297" t="n">
        <v>0</v>
      </c>
      <c r="N297" t="n">
        <v>0</v>
      </c>
      <c r="O297" t="n">
        <v>0</v>
      </c>
      <c r="P297" t="n">
        <v>0</v>
      </c>
      <c r="Q297" t="n">
        <v>0</v>
      </c>
      <c r="R297" s="2" t="inlineStr"/>
    </row>
    <row r="298" ht="15" customHeight="1">
      <c r="A298" t="inlineStr">
        <is>
          <t>A 28992-2024</t>
        </is>
      </c>
      <c r="B298" s="1" t="n">
        <v>45481.49289351852</v>
      </c>
      <c r="C298" s="1" t="n">
        <v>46053</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56086-2023</t>
        </is>
      </c>
      <c r="B299" s="1" t="n">
        <v>45240</v>
      </c>
      <c r="C299" s="1" t="n">
        <v>46053</v>
      </c>
      <c r="D299" t="inlineStr">
        <is>
          <t>SÖDERMANLANDS LÄN</t>
        </is>
      </c>
      <c r="E299" t="inlineStr">
        <is>
          <t>KATRINEHOLM</t>
        </is>
      </c>
      <c r="F299" t="inlineStr">
        <is>
          <t>Kyrkan</t>
        </is>
      </c>
      <c r="G299" t="n">
        <v>17</v>
      </c>
      <c r="H299" t="n">
        <v>0</v>
      </c>
      <c r="I299" t="n">
        <v>0</v>
      </c>
      <c r="J299" t="n">
        <v>0</v>
      </c>
      <c r="K299" t="n">
        <v>0</v>
      </c>
      <c r="L299" t="n">
        <v>0</v>
      </c>
      <c r="M299" t="n">
        <v>0</v>
      </c>
      <c r="N299" t="n">
        <v>0</v>
      </c>
      <c r="O299" t="n">
        <v>0</v>
      </c>
      <c r="P299" t="n">
        <v>0</v>
      </c>
      <c r="Q299" t="n">
        <v>0</v>
      </c>
      <c r="R299" s="2" t="inlineStr"/>
    </row>
    <row r="300" ht="15" customHeight="1">
      <c r="A300" t="inlineStr">
        <is>
          <t>A 7322-2023</t>
        </is>
      </c>
      <c r="B300" s="1" t="n">
        <v>44970</v>
      </c>
      <c r="C300" s="1" t="n">
        <v>46053</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2093-2025</t>
        </is>
      </c>
      <c r="B301" s="1" t="n">
        <v>45672</v>
      </c>
      <c r="C301" s="1" t="n">
        <v>46053</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49743-2025</t>
        </is>
      </c>
      <c r="B302" s="1" t="n">
        <v>45940</v>
      </c>
      <c r="C302" s="1" t="n">
        <v>46053</v>
      </c>
      <c r="D302" t="inlineStr">
        <is>
          <t>SÖDERMANLANDS LÄN</t>
        </is>
      </c>
      <c r="E302" t="inlineStr">
        <is>
          <t>KATRINEHOLM</t>
        </is>
      </c>
      <c r="G302" t="n">
        <v>1.1</v>
      </c>
      <c r="H302" t="n">
        <v>0</v>
      </c>
      <c r="I302" t="n">
        <v>0</v>
      </c>
      <c r="J302" t="n">
        <v>0</v>
      </c>
      <c r="K302" t="n">
        <v>0</v>
      </c>
      <c r="L302" t="n">
        <v>0</v>
      </c>
      <c r="M302" t="n">
        <v>0</v>
      </c>
      <c r="N302" t="n">
        <v>0</v>
      </c>
      <c r="O302" t="n">
        <v>0</v>
      </c>
      <c r="P302" t="n">
        <v>0</v>
      </c>
      <c r="Q302" t="n">
        <v>0</v>
      </c>
      <c r="R302" s="2" t="inlineStr"/>
    </row>
    <row r="303" ht="15" customHeight="1">
      <c r="A303" t="inlineStr">
        <is>
          <t>A 27886-2024</t>
        </is>
      </c>
      <c r="B303" s="1" t="n">
        <v>45475</v>
      </c>
      <c r="C303" s="1" t="n">
        <v>46053</v>
      </c>
      <c r="D303" t="inlineStr">
        <is>
          <t>SÖDERMANLANDS LÄN</t>
        </is>
      </c>
      <c r="E303" t="inlineStr">
        <is>
          <t>KATRINEHOLM</t>
        </is>
      </c>
      <c r="G303" t="n">
        <v>10.3</v>
      </c>
      <c r="H303" t="n">
        <v>0</v>
      </c>
      <c r="I303" t="n">
        <v>0</v>
      </c>
      <c r="J303" t="n">
        <v>0</v>
      </c>
      <c r="K303" t="n">
        <v>0</v>
      </c>
      <c r="L303" t="n">
        <v>0</v>
      </c>
      <c r="M303" t="n">
        <v>0</v>
      </c>
      <c r="N303" t="n">
        <v>0</v>
      </c>
      <c r="O303" t="n">
        <v>0</v>
      </c>
      <c r="P303" t="n">
        <v>0</v>
      </c>
      <c r="Q303" t="n">
        <v>0</v>
      </c>
      <c r="R303" s="2" t="inlineStr"/>
    </row>
    <row r="304" ht="15" customHeight="1">
      <c r="A304" t="inlineStr">
        <is>
          <t>A 61423-2024</t>
        </is>
      </c>
      <c r="B304" s="1" t="n">
        <v>45646.45209490741</v>
      </c>
      <c r="C304" s="1" t="n">
        <v>46053</v>
      </c>
      <c r="D304" t="inlineStr">
        <is>
          <t>SÖDERMANLANDS LÄN</t>
        </is>
      </c>
      <c r="E304" t="inlineStr">
        <is>
          <t>KATRINEHOLM</t>
        </is>
      </c>
      <c r="G304" t="n">
        <v>1.2</v>
      </c>
      <c r="H304" t="n">
        <v>0</v>
      </c>
      <c r="I304" t="n">
        <v>0</v>
      </c>
      <c r="J304" t="n">
        <v>0</v>
      </c>
      <c r="K304" t="n">
        <v>0</v>
      </c>
      <c r="L304" t="n">
        <v>0</v>
      </c>
      <c r="M304" t="n">
        <v>0</v>
      </c>
      <c r="N304" t="n">
        <v>0</v>
      </c>
      <c r="O304" t="n">
        <v>0</v>
      </c>
      <c r="P304" t="n">
        <v>0</v>
      </c>
      <c r="Q304" t="n">
        <v>0</v>
      </c>
      <c r="R304" s="2" t="inlineStr"/>
    </row>
    <row r="305" ht="15" customHeight="1">
      <c r="A305" t="inlineStr">
        <is>
          <t>A 41727-2024</t>
        </is>
      </c>
      <c r="B305" s="1" t="n">
        <v>45560</v>
      </c>
      <c r="C305" s="1" t="n">
        <v>46053</v>
      </c>
      <c r="D305" t="inlineStr">
        <is>
          <t>SÖDERMANLANDS LÄN</t>
        </is>
      </c>
      <c r="E305" t="inlineStr">
        <is>
          <t>KATRINEHOLM</t>
        </is>
      </c>
      <c r="G305" t="n">
        <v>3.9</v>
      </c>
      <c r="H305" t="n">
        <v>0</v>
      </c>
      <c r="I305" t="n">
        <v>0</v>
      </c>
      <c r="J305" t="n">
        <v>0</v>
      </c>
      <c r="K305" t="n">
        <v>0</v>
      </c>
      <c r="L305" t="n">
        <v>0</v>
      </c>
      <c r="M305" t="n">
        <v>0</v>
      </c>
      <c r="N305" t="n">
        <v>0</v>
      </c>
      <c r="O305" t="n">
        <v>0</v>
      </c>
      <c r="P305" t="n">
        <v>0</v>
      </c>
      <c r="Q305" t="n">
        <v>0</v>
      </c>
      <c r="R305" s="2" t="inlineStr"/>
    </row>
    <row r="306" ht="15" customHeight="1">
      <c r="A306" t="inlineStr">
        <is>
          <t>A 42686-2025</t>
        </is>
      </c>
      <c r="B306" s="1" t="n">
        <v>45908.35550925926</v>
      </c>
      <c r="C306" s="1" t="n">
        <v>46053</v>
      </c>
      <c r="D306" t="inlineStr">
        <is>
          <t>SÖDERMANLANDS LÄN</t>
        </is>
      </c>
      <c r="E306" t="inlineStr">
        <is>
          <t>KATRINEHOLM</t>
        </is>
      </c>
      <c r="G306" t="n">
        <v>0.9</v>
      </c>
      <c r="H306" t="n">
        <v>0</v>
      </c>
      <c r="I306" t="n">
        <v>0</v>
      </c>
      <c r="J306" t="n">
        <v>0</v>
      </c>
      <c r="K306" t="n">
        <v>0</v>
      </c>
      <c r="L306" t="n">
        <v>0</v>
      </c>
      <c r="M306" t="n">
        <v>0</v>
      </c>
      <c r="N306" t="n">
        <v>0</v>
      </c>
      <c r="O306" t="n">
        <v>0</v>
      </c>
      <c r="P306" t="n">
        <v>0</v>
      </c>
      <c r="Q306" t="n">
        <v>0</v>
      </c>
      <c r="R306" s="2" t="inlineStr"/>
    </row>
    <row r="307" ht="15" customHeight="1">
      <c r="A307" t="inlineStr">
        <is>
          <t>A 42799-2025</t>
        </is>
      </c>
      <c r="B307" s="1" t="n">
        <v>45907</v>
      </c>
      <c r="C307" s="1" t="n">
        <v>46053</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42474-2025</t>
        </is>
      </c>
      <c r="B308" s="1" t="n">
        <v>45905.46659722222</v>
      </c>
      <c r="C308" s="1" t="n">
        <v>46053</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25363-2023</t>
        </is>
      </c>
      <c r="B309" s="1" t="n">
        <v>45088.83840277778</v>
      </c>
      <c r="C309" s="1" t="n">
        <v>46053</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6722-2022</t>
        </is>
      </c>
      <c r="B310" s="1" t="n">
        <v>44602</v>
      </c>
      <c r="C310" s="1" t="n">
        <v>46053</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6763-2022</t>
        </is>
      </c>
      <c r="B311" s="1" t="n">
        <v>44602</v>
      </c>
      <c r="C311" s="1" t="n">
        <v>46053</v>
      </c>
      <c r="D311" t="inlineStr">
        <is>
          <t>SÖDERMANLANDS LÄN</t>
        </is>
      </c>
      <c r="E311" t="inlineStr">
        <is>
          <t>KATRINEHOLM</t>
        </is>
      </c>
      <c r="G311" t="n">
        <v>6.7</v>
      </c>
      <c r="H311" t="n">
        <v>0</v>
      </c>
      <c r="I311" t="n">
        <v>0</v>
      </c>
      <c r="J311" t="n">
        <v>0</v>
      </c>
      <c r="K311" t="n">
        <v>0</v>
      </c>
      <c r="L311" t="n">
        <v>0</v>
      </c>
      <c r="M311" t="n">
        <v>0</v>
      </c>
      <c r="N311" t="n">
        <v>0</v>
      </c>
      <c r="O311" t="n">
        <v>0</v>
      </c>
      <c r="P311" t="n">
        <v>0</v>
      </c>
      <c r="Q311" t="n">
        <v>0</v>
      </c>
      <c r="R311" s="2" t="inlineStr"/>
    </row>
    <row r="312" ht="15" customHeight="1">
      <c r="A312" t="inlineStr">
        <is>
          <t>A 5790-2022</t>
        </is>
      </c>
      <c r="B312" s="1" t="n">
        <v>44596.55368055555</v>
      </c>
      <c r="C312" s="1" t="n">
        <v>46053</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14313-2024</t>
        </is>
      </c>
      <c r="B313" s="1" t="n">
        <v>45393</v>
      </c>
      <c r="C313" s="1" t="n">
        <v>46053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24717-2025</t>
        </is>
      </c>
      <c r="B314" s="1" t="n">
        <v>45799.27168981481</v>
      </c>
      <c r="C314" s="1" t="n">
        <v>46053</v>
      </c>
      <c r="D314" t="inlineStr">
        <is>
          <t>SÖDERMANLANDS LÄN</t>
        </is>
      </c>
      <c r="E314" t="inlineStr">
        <is>
          <t>KATRINEHOLM</t>
        </is>
      </c>
      <c r="G314" t="n">
        <v>24.5</v>
      </c>
      <c r="H314" t="n">
        <v>0</v>
      </c>
      <c r="I314" t="n">
        <v>0</v>
      </c>
      <c r="J314" t="n">
        <v>0</v>
      </c>
      <c r="K314" t="n">
        <v>0</v>
      </c>
      <c r="L314" t="n">
        <v>0</v>
      </c>
      <c r="M314" t="n">
        <v>0</v>
      </c>
      <c r="N314" t="n">
        <v>0</v>
      </c>
      <c r="O314" t="n">
        <v>0</v>
      </c>
      <c r="P314" t="n">
        <v>0</v>
      </c>
      <c r="Q314" t="n">
        <v>0</v>
      </c>
      <c r="R314" s="2" t="inlineStr"/>
    </row>
    <row r="315" ht="15" customHeight="1">
      <c r="A315" t="inlineStr">
        <is>
          <t>A 29397-2024</t>
        </is>
      </c>
      <c r="B315" s="1" t="n">
        <v>45483</v>
      </c>
      <c r="C315" s="1" t="n">
        <v>46053</v>
      </c>
      <c r="D315" t="inlineStr">
        <is>
          <t>SÖDERMANLANDS LÄN</t>
        </is>
      </c>
      <c r="E315" t="inlineStr">
        <is>
          <t>KATRINEHOLM</t>
        </is>
      </c>
      <c r="G315" t="n">
        <v>3.4</v>
      </c>
      <c r="H315" t="n">
        <v>0</v>
      </c>
      <c r="I315" t="n">
        <v>0</v>
      </c>
      <c r="J315" t="n">
        <v>0</v>
      </c>
      <c r="K315" t="n">
        <v>0</v>
      </c>
      <c r="L315" t="n">
        <v>0</v>
      </c>
      <c r="M315" t="n">
        <v>0</v>
      </c>
      <c r="N315" t="n">
        <v>0</v>
      </c>
      <c r="O315" t="n">
        <v>0</v>
      </c>
      <c r="P315" t="n">
        <v>0</v>
      </c>
      <c r="Q315" t="n">
        <v>0</v>
      </c>
      <c r="R315" s="2" t="inlineStr"/>
    </row>
    <row r="316" ht="15" customHeight="1">
      <c r="A316" t="inlineStr">
        <is>
          <t>A 53999-2023</t>
        </is>
      </c>
      <c r="B316" s="1" t="n">
        <v>45231</v>
      </c>
      <c r="C316" s="1" t="n">
        <v>46053</v>
      </c>
      <c r="D316" t="inlineStr">
        <is>
          <t>SÖDERMANLANDS LÄN</t>
        </is>
      </c>
      <c r="E316" t="inlineStr">
        <is>
          <t>KATRINEHOLM</t>
        </is>
      </c>
      <c r="G316" t="n">
        <v>5.4</v>
      </c>
      <c r="H316" t="n">
        <v>0</v>
      </c>
      <c r="I316" t="n">
        <v>0</v>
      </c>
      <c r="J316" t="n">
        <v>0</v>
      </c>
      <c r="K316" t="n">
        <v>0</v>
      </c>
      <c r="L316" t="n">
        <v>0</v>
      </c>
      <c r="M316" t="n">
        <v>0</v>
      </c>
      <c r="N316" t="n">
        <v>0</v>
      </c>
      <c r="O316" t="n">
        <v>0</v>
      </c>
      <c r="P316" t="n">
        <v>0</v>
      </c>
      <c r="Q316" t="n">
        <v>0</v>
      </c>
      <c r="R316" s="2" t="inlineStr"/>
    </row>
    <row r="317" ht="15" customHeight="1">
      <c r="A317" t="inlineStr">
        <is>
          <t>A 24719-2025</t>
        </is>
      </c>
      <c r="B317" s="1" t="n">
        <v>45799</v>
      </c>
      <c r="C317" s="1" t="n">
        <v>46053</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33278-2024</t>
        </is>
      </c>
      <c r="B318" s="1" t="n">
        <v>45518</v>
      </c>
      <c r="C318" s="1" t="n">
        <v>46053</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9714-2024</t>
        </is>
      </c>
      <c r="B319" s="1" t="n">
        <v>45362</v>
      </c>
      <c r="C319" s="1" t="n">
        <v>46053</v>
      </c>
      <c r="D319" t="inlineStr">
        <is>
          <t>SÖDERMANLANDS LÄN</t>
        </is>
      </c>
      <c r="E319" t="inlineStr">
        <is>
          <t>KATRINEHOLM</t>
        </is>
      </c>
      <c r="G319" t="n">
        <v>4</v>
      </c>
      <c r="H319" t="n">
        <v>0</v>
      </c>
      <c r="I319" t="n">
        <v>0</v>
      </c>
      <c r="J319" t="n">
        <v>0</v>
      </c>
      <c r="K319" t="n">
        <v>0</v>
      </c>
      <c r="L319" t="n">
        <v>0</v>
      </c>
      <c r="M319" t="n">
        <v>0</v>
      </c>
      <c r="N319" t="n">
        <v>0</v>
      </c>
      <c r="O319" t="n">
        <v>0</v>
      </c>
      <c r="P319" t="n">
        <v>0</v>
      </c>
      <c r="Q319" t="n">
        <v>0</v>
      </c>
      <c r="R319" s="2" t="inlineStr"/>
    </row>
    <row r="320" ht="15" customHeight="1">
      <c r="A320" t="inlineStr">
        <is>
          <t>A 24619-2024</t>
        </is>
      </c>
      <c r="B320" s="1" t="n">
        <v>45460</v>
      </c>
      <c r="C320" s="1" t="n">
        <v>46053</v>
      </c>
      <c r="D320" t="inlineStr">
        <is>
          <t>SÖDERMANLANDS LÄN</t>
        </is>
      </c>
      <c r="E320" t="inlineStr">
        <is>
          <t>KATRINEHOLM</t>
        </is>
      </c>
      <c r="G320" t="n">
        <v>4.7</v>
      </c>
      <c r="H320" t="n">
        <v>0</v>
      </c>
      <c r="I320" t="n">
        <v>0</v>
      </c>
      <c r="J320" t="n">
        <v>0</v>
      </c>
      <c r="K320" t="n">
        <v>0</v>
      </c>
      <c r="L320" t="n">
        <v>0</v>
      </c>
      <c r="M320" t="n">
        <v>0</v>
      </c>
      <c r="N320" t="n">
        <v>0</v>
      </c>
      <c r="O320" t="n">
        <v>0</v>
      </c>
      <c r="P320" t="n">
        <v>0</v>
      </c>
      <c r="Q320" t="n">
        <v>0</v>
      </c>
      <c r="R320" s="2" t="inlineStr"/>
    </row>
    <row r="321" ht="15" customHeight="1">
      <c r="A321" t="inlineStr">
        <is>
          <t>A 25786-2025</t>
        </is>
      </c>
      <c r="B321" s="1" t="n">
        <v>45804.37456018518</v>
      </c>
      <c r="C321" s="1" t="n">
        <v>46053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9699-2024</t>
        </is>
      </c>
      <c r="B322" s="1" t="n">
        <v>45362</v>
      </c>
      <c r="C322" s="1" t="n">
        <v>46053</v>
      </c>
      <c r="D322" t="inlineStr">
        <is>
          <t>SÖDERMANLANDS LÄN</t>
        </is>
      </c>
      <c r="E322" t="inlineStr">
        <is>
          <t>KATRINEHOLM</t>
        </is>
      </c>
      <c r="G322" t="n">
        <v>7.7</v>
      </c>
      <c r="H322" t="n">
        <v>0</v>
      </c>
      <c r="I322" t="n">
        <v>0</v>
      </c>
      <c r="J322" t="n">
        <v>0</v>
      </c>
      <c r="K322" t="n">
        <v>0</v>
      </c>
      <c r="L322" t="n">
        <v>0</v>
      </c>
      <c r="M322" t="n">
        <v>0</v>
      </c>
      <c r="N322" t="n">
        <v>0</v>
      </c>
      <c r="O322" t="n">
        <v>0</v>
      </c>
      <c r="P322" t="n">
        <v>0</v>
      </c>
      <c r="Q322" t="n">
        <v>0</v>
      </c>
      <c r="R322" s="2" t="inlineStr"/>
    </row>
    <row r="323" ht="15" customHeight="1">
      <c r="A323" t="inlineStr">
        <is>
          <t>A 26154-2025</t>
        </is>
      </c>
      <c r="B323" s="1" t="n">
        <v>45805.43341435185</v>
      </c>
      <c r="C323" s="1" t="n">
        <v>46053</v>
      </c>
      <c r="D323" t="inlineStr">
        <is>
          <t>SÖDERMANLANDS LÄN</t>
        </is>
      </c>
      <c r="E323" t="inlineStr">
        <is>
          <t>KATRINEHOLM</t>
        </is>
      </c>
      <c r="G323" t="n">
        <v>4.5</v>
      </c>
      <c r="H323" t="n">
        <v>0</v>
      </c>
      <c r="I323" t="n">
        <v>0</v>
      </c>
      <c r="J323" t="n">
        <v>0</v>
      </c>
      <c r="K323" t="n">
        <v>0</v>
      </c>
      <c r="L323" t="n">
        <v>0</v>
      </c>
      <c r="M323" t="n">
        <v>0</v>
      </c>
      <c r="N323" t="n">
        <v>0</v>
      </c>
      <c r="O323" t="n">
        <v>0</v>
      </c>
      <c r="P323" t="n">
        <v>0</v>
      </c>
      <c r="Q323" t="n">
        <v>0</v>
      </c>
      <c r="R323" s="2" t="inlineStr"/>
    </row>
    <row r="324" ht="15" customHeight="1">
      <c r="A324" t="inlineStr">
        <is>
          <t>A 26156-2025</t>
        </is>
      </c>
      <c r="B324" s="1" t="n">
        <v>45805.43864583333</v>
      </c>
      <c r="C324" s="1" t="n">
        <v>46053</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59474-2021</t>
        </is>
      </c>
      <c r="B325" s="1" t="n">
        <v>44491</v>
      </c>
      <c r="C325" s="1" t="n">
        <v>46053</v>
      </c>
      <c r="D325" t="inlineStr">
        <is>
          <t>SÖDERMANLANDS LÄN</t>
        </is>
      </c>
      <c r="E325" t="inlineStr">
        <is>
          <t>KATRINEHOLM</t>
        </is>
      </c>
      <c r="G325" t="n">
        <v>2.7</v>
      </c>
      <c r="H325" t="n">
        <v>0</v>
      </c>
      <c r="I325" t="n">
        <v>0</v>
      </c>
      <c r="J325" t="n">
        <v>0</v>
      </c>
      <c r="K325" t="n">
        <v>0</v>
      </c>
      <c r="L325" t="n">
        <v>0</v>
      </c>
      <c r="M325" t="n">
        <v>0</v>
      </c>
      <c r="N325" t="n">
        <v>0</v>
      </c>
      <c r="O325" t="n">
        <v>0</v>
      </c>
      <c r="P325" t="n">
        <v>0</v>
      </c>
      <c r="Q325" t="n">
        <v>0</v>
      </c>
      <c r="R325" s="2" t="inlineStr"/>
    </row>
    <row r="326" ht="15" customHeight="1">
      <c r="A326" t="inlineStr">
        <is>
          <t>A 14239-2024</t>
        </is>
      </c>
      <c r="B326" s="1" t="n">
        <v>45393</v>
      </c>
      <c r="C326" s="1" t="n">
        <v>46053</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14248-2024</t>
        </is>
      </c>
      <c r="B327" s="1" t="n">
        <v>45393</v>
      </c>
      <c r="C327" s="1" t="n">
        <v>46053</v>
      </c>
      <c r="D327" t="inlineStr">
        <is>
          <t>SÖDERMANLANDS LÄN</t>
        </is>
      </c>
      <c r="E327" t="inlineStr">
        <is>
          <t>KATRINEHOLM</t>
        </is>
      </c>
      <c r="G327" t="n">
        <v>1.4</v>
      </c>
      <c r="H327" t="n">
        <v>0</v>
      </c>
      <c r="I327" t="n">
        <v>0</v>
      </c>
      <c r="J327" t="n">
        <v>0</v>
      </c>
      <c r="K327" t="n">
        <v>0</v>
      </c>
      <c r="L327" t="n">
        <v>0</v>
      </c>
      <c r="M327" t="n">
        <v>0</v>
      </c>
      <c r="N327" t="n">
        <v>0</v>
      </c>
      <c r="O327" t="n">
        <v>0</v>
      </c>
      <c r="P327" t="n">
        <v>0</v>
      </c>
      <c r="Q327" t="n">
        <v>0</v>
      </c>
      <c r="R327" s="2" t="inlineStr"/>
    </row>
    <row r="328" ht="15" customHeight="1">
      <c r="A328" t="inlineStr">
        <is>
          <t>A 11635-2023</t>
        </is>
      </c>
      <c r="B328" s="1" t="n">
        <v>44994</v>
      </c>
      <c r="C328" s="1" t="n">
        <v>46053</v>
      </c>
      <c r="D328" t="inlineStr">
        <is>
          <t>SÖDERMANLANDS LÄN</t>
        </is>
      </c>
      <c r="E328" t="inlineStr">
        <is>
          <t>KATRINEHOLM</t>
        </is>
      </c>
      <c r="G328" t="n">
        <v>4.3</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46053</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10932-2023</t>
        </is>
      </c>
      <c r="B330" s="1" t="n">
        <v>44985</v>
      </c>
      <c r="C330" s="1" t="n">
        <v>46053</v>
      </c>
      <c r="D330" t="inlineStr">
        <is>
          <t>SÖDERMANLANDS LÄN</t>
        </is>
      </c>
      <c r="E330" t="inlineStr">
        <is>
          <t>KATRINEHOLM</t>
        </is>
      </c>
      <c r="G330" t="n">
        <v>1.8</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46053</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6087-2022</t>
        </is>
      </c>
      <c r="B332" s="1" t="n">
        <v>44599.61034722222</v>
      </c>
      <c r="C332" s="1" t="n">
        <v>46053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8957-2024</t>
        </is>
      </c>
      <c r="B333" s="1" t="n">
        <v>45357.45089120371</v>
      </c>
      <c r="C333" s="1" t="n">
        <v>46053</v>
      </c>
      <c r="D333" t="inlineStr">
        <is>
          <t>SÖDERMANLANDS LÄN</t>
        </is>
      </c>
      <c r="E333" t="inlineStr">
        <is>
          <t>KATRINEHOLM</t>
        </is>
      </c>
      <c r="G333" t="n">
        <v>3.6</v>
      </c>
      <c r="H333" t="n">
        <v>0</v>
      </c>
      <c r="I333" t="n">
        <v>0</v>
      </c>
      <c r="J333" t="n">
        <v>0</v>
      </c>
      <c r="K333" t="n">
        <v>0</v>
      </c>
      <c r="L333" t="n">
        <v>0</v>
      </c>
      <c r="M333" t="n">
        <v>0</v>
      </c>
      <c r="N333" t="n">
        <v>0</v>
      </c>
      <c r="O333" t="n">
        <v>0</v>
      </c>
      <c r="P333" t="n">
        <v>0</v>
      </c>
      <c r="Q333" t="n">
        <v>0</v>
      </c>
      <c r="R333" s="2" t="inlineStr"/>
    </row>
    <row r="334" ht="15" customHeight="1">
      <c r="A334" t="inlineStr">
        <is>
          <t>A 42896-2024</t>
        </is>
      </c>
      <c r="B334" s="1" t="n">
        <v>45566.82973379629</v>
      </c>
      <c r="C334" s="1" t="n">
        <v>46053</v>
      </c>
      <c r="D334" t="inlineStr">
        <is>
          <t>SÖDERMANLANDS LÄN</t>
        </is>
      </c>
      <c r="E334" t="inlineStr">
        <is>
          <t>KATRINEHOLM</t>
        </is>
      </c>
      <c r="G334" t="n">
        <v>4.3</v>
      </c>
      <c r="H334" t="n">
        <v>0</v>
      </c>
      <c r="I334" t="n">
        <v>0</v>
      </c>
      <c r="J334" t="n">
        <v>0</v>
      </c>
      <c r="K334" t="n">
        <v>0</v>
      </c>
      <c r="L334" t="n">
        <v>0</v>
      </c>
      <c r="M334" t="n">
        <v>0</v>
      </c>
      <c r="N334" t="n">
        <v>0</v>
      </c>
      <c r="O334" t="n">
        <v>0</v>
      </c>
      <c r="P334" t="n">
        <v>0</v>
      </c>
      <c r="Q334" t="n">
        <v>0</v>
      </c>
      <c r="R334" s="2" t="inlineStr"/>
    </row>
    <row r="335" ht="15" customHeight="1">
      <c r="A335" t="inlineStr">
        <is>
          <t>A 7747-2024</t>
        </is>
      </c>
      <c r="B335" s="1" t="n">
        <v>45348</v>
      </c>
      <c r="C335" s="1" t="n">
        <v>46053</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7753-2024</t>
        </is>
      </c>
      <c r="B336" s="1" t="n">
        <v>45348</v>
      </c>
      <c r="C336" s="1" t="n">
        <v>46053</v>
      </c>
      <c r="D336" t="inlineStr">
        <is>
          <t>SÖDERMANLANDS LÄN</t>
        </is>
      </c>
      <c r="E336" t="inlineStr">
        <is>
          <t>KATRINEHOLM</t>
        </is>
      </c>
      <c r="G336" t="n">
        <v>13.4</v>
      </c>
      <c r="H336" t="n">
        <v>0</v>
      </c>
      <c r="I336" t="n">
        <v>0</v>
      </c>
      <c r="J336" t="n">
        <v>0</v>
      </c>
      <c r="K336" t="n">
        <v>0</v>
      </c>
      <c r="L336" t="n">
        <v>0</v>
      </c>
      <c r="M336" t="n">
        <v>0</v>
      </c>
      <c r="N336" t="n">
        <v>0</v>
      </c>
      <c r="O336" t="n">
        <v>0</v>
      </c>
      <c r="P336" t="n">
        <v>0</v>
      </c>
      <c r="Q336" t="n">
        <v>0</v>
      </c>
      <c r="R336" s="2" t="inlineStr"/>
    </row>
    <row r="337" ht="15" customHeight="1">
      <c r="A337" t="inlineStr">
        <is>
          <t>A 5935-2023</t>
        </is>
      </c>
      <c r="B337" s="1" t="n">
        <v>44963</v>
      </c>
      <c r="C337" s="1" t="n">
        <v>46053</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10732-2022</t>
        </is>
      </c>
      <c r="B338" s="1" t="n">
        <v>44627.34033564815</v>
      </c>
      <c r="C338" s="1" t="n">
        <v>46053</v>
      </c>
      <c r="D338" t="inlineStr">
        <is>
          <t>SÖDERMANLANDS LÄN</t>
        </is>
      </c>
      <c r="E338" t="inlineStr">
        <is>
          <t>KATRINEHOLM</t>
        </is>
      </c>
      <c r="G338" t="n">
        <v>2.4</v>
      </c>
      <c r="H338" t="n">
        <v>0</v>
      </c>
      <c r="I338" t="n">
        <v>0</v>
      </c>
      <c r="J338" t="n">
        <v>0</v>
      </c>
      <c r="K338" t="n">
        <v>0</v>
      </c>
      <c r="L338" t="n">
        <v>0</v>
      </c>
      <c r="M338" t="n">
        <v>0</v>
      </c>
      <c r="N338" t="n">
        <v>0</v>
      </c>
      <c r="O338" t="n">
        <v>0</v>
      </c>
      <c r="P338" t="n">
        <v>0</v>
      </c>
      <c r="Q338" t="n">
        <v>0</v>
      </c>
      <c r="R338" s="2" t="inlineStr"/>
    </row>
    <row r="339" ht="15" customHeight="1">
      <c r="A339" t="inlineStr">
        <is>
          <t>A 3939-2022</t>
        </is>
      </c>
      <c r="B339" s="1" t="n">
        <v>44587</v>
      </c>
      <c r="C339" s="1" t="n">
        <v>46053</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56074-2022</t>
        </is>
      </c>
      <c r="B340" s="1" t="n">
        <v>44889</v>
      </c>
      <c r="C340" s="1" t="n">
        <v>46053</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c r="T340">
        <f>HYPERLINK("https://klasma.github.io/Logging_0483/kartor/A 56074-2022 karta.png", "A 56074-2022")</f>
        <v/>
      </c>
      <c r="V340">
        <f>HYPERLINK("https://klasma.github.io/Logging_0483/klagomål/A 56074-2022 FSC-klagomål.docx", "A 56074-2022")</f>
        <v/>
      </c>
      <c r="W340">
        <f>HYPERLINK("https://klasma.github.io/Logging_0483/klagomålsmail/A 56074-2022 FSC-klagomål mail.docx", "A 56074-2022")</f>
        <v/>
      </c>
      <c r="X340">
        <f>HYPERLINK("https://klasma.github.io/Logging_0483/tillsyn/A 56074-2022 tillsynsbegäran.docx", "A 56074-2022")</f>
        <v/>
      </c>
      <c r="Y340">
        <f>HYPERLINK("https://klasma.github.io/Logging_0483/tillsynsmail/A 56074-2022 tillsynsbegäran mail.docx", "A 56074-2022")</f>
        <v/>
      </c>
    </row>
    <row r="341" ht="15" customHeight="1">
      <c r="A341" t="inlineStr">
        <is>
          <t>A 46288-2025</t>
        </is>
      </c>
      <c r="B341" s="1" t="n">
        <v>45925.38545138889</v>
      </c>
      <c r="C341" s="1" t="n">
        <v>46053</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27534-2025</t>
        </is>
      </c>
      <c r="B342" s="1" t="n">
        <v>45813</v>
      </c>
      <c r="C342" s="1" t="n">
        <v>46053</v>
      </c>
      <c r="D342" t="inlineStr">
        <is>
          <t>SÖDERMANLANDS LÄN</t>
        </is>
      </c>
      <c r="E342" t="inlineStr">
        <is>
          <t>KATRINEHOLM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27552-2025</t>
        </is>
      </c>
      <c r="B343" s="1" t="n">
        <v>45813</v>
      </c>
      <c r="C343" s="1" t="n">
        <v>46053</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27636-2025</t>
        </is>
      </c>
      <c r="B344" s="1" t="n">
        <v>45813.57603009259</v>
      </c>
      <c r="C344" s="1" t="n">
        <v>46053</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61915-2021</t>
        </is>
      </c>
      <c r="B345" s="1" t="n">
        <v>44502.36780092592</v>
      </c>
      <c r="C345" s="1" t="n">
        <v>46053</v>
      </c>
      <c r="D345" t="inlineStr">
        <is>
          <t>SÖDERMANLANDS LÄN</t>
        </is>
      </c>
      <c r="E345" t="inlineStr">
        <is>
          <t>KATRINEHOLM</t>
        </is>
      </c>
      <c r="G345" t="n">
        <v>2.6</v>
      </c>
      <c r="H345" t="n">
        <v>0</v>
      </c>
      <c r="I345" t="n">
        <v>0</v>
      </c>
      <c r="J345" t="n">
        <v>0</v>
      </c>
      <c r="K345" t="n">
        <v>0</v>
      </c>
      <c r="L345" t="n">
        <v>0</v>
      </c>
      <c r="M345" t="n">
        <v>0</v>
      </c>
      <c r="N345" t="n">
        <v>0</v>
      </c>
      <c r="O345" t="n">
        <v>0</v>
      </c>
      <c r="P345" t="n">
        <v>0</v>
      </c>
      <c r="Q345" t="n">
        <v>0</v>
      </c>
      <c r="R345" s="2" t="inlineStr"/>
    </row>
    <row r="346" ht="15" customHeight="1">
      <c r="A346" t="inlineStr">
        <is>
          <t>A 24600-2025</t>
        </is>
      </c>
      <c r="B346" s="1" t="n">
        <v>45798.56348379629</v>
      </c>
      <c r="C346" s="1" t="n">
        <v>46053</v>
      </c>
      <c r="D346" t="inlineStr">
        <is>
          <t>SÖDERMANLANDS LÄN</t>
        </is>
      </c>
      <c r="E346" t="inlineStr">
        <is>
          <t>KATRINEHOLM</t>
        </is>
      </c>
      <c r="G346" t="n">
        <v>1.7</v>
      </c>
      <c r="H346" t="n">
        <v>0</v>
      </c>
      <c r="I346" t="n">
        <v>0</v>
      </c>
      <c r="J346" t="n">
        <v>0</v>
      </c>
      <c r="K346" t="n">
        <v>0</v>
      </c>
      <c r="L346" t="n">
        <v>0</v>
      </c>
      <c r="M346" t="n">
        <v>0</v>
      </c>
      <c r="N346" t="n">
        <v>0</v>
      </c>
      <c r="O346" t="n">
        <v>0</v>
      </c>
      <c r="P346" t="n">
        <v>0</v>
      </c>
      <c r="Q346" t="n">
        <v>0</v>
      </c>
      <c r="R346" s="2" t="inlineStr"/>
    </row>
    <row r="347" ht="15" customHeight="1">
      <c r="A347" t="inlineStr">
        <is>
          <t>A 50934-2025</t>
        </is>
      </c>
      <c r="B347" s="1" t="n">
        <v>45946.69195601852</v>
      </c>
      <c r="C347" s="1" t="n">
        <v>46053</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35608-2024</t>
        </is>
      </c>
      <c r="B348" s="1" t="n">
        <v>45531</v>
      </c>
      <c r="C348" s="1" t="n">
        <v>46053</v>
      </c>
      <c r="D348" t="inlineStr">
        <is>
          <t>SÖDERMANLANDS LÄN</t>
        </is>
      </c>
      <c r="E348" t="inlineStr">
        <is>
          <t>KATRINEHOLM</t>
        </is>
      </c>
      <c r="G348" t="n">
        <v>2</v>
      </c>
      <c r="H348" t="n">
        <v>0</v>
      </c>
      <c r="I348" t="n">
        <v>0</v>
      </c>
      <c r="J348" t="n">
        <v>0</v>
      </c>
      <c r="K348" t="n">
        <v>0</v>
      </c>
      <c r="L348" t="n">
        <v>0</v>
      </c>
      <c r="M348" t="n">
        <v>0</v>
      </c>
      <c r="N348" t="n">
        <v>0</v>
      </c>
      <c r="O348" t="n">
        <v>0</v>
      </c>
      <c r="P348" t="n">
        <v>0</v>
      </c>
      <c r="Q348" t="n">
        <v>0</v>
      </c>
      <c r="R348" s="2" t="inlineStr"/>
    </row>
    <row r="349" ht="15" customHeight="1">
      <c r="A349" t="inlineStr">
        <is>
          <t>A 46524-2025</t>
        </is>
      </c>
      <c r="B349" s="1" t="n">
        <v>45926</v>
      </c>
      <c r="C349" s="1" t="n">
        <v>46053</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4656-2023</t>
        </is>
      </c>
      <c r="B350" s="1" t="n">
        <v>44957</v>
      </c>
      <c r="C350" s="1" t="n">
        <v>46053</v>
      </c>
      <c r="D350" t="inlineStr">
        <is>
          <t>SÖDERMANLANDS LÄN</t>
        </is>
      </c>
      <c r="E350" t="inlineStr">
        <is>
          <t>KATRINEHOLM</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12633-2022</t>
        </is>
      </c>
      <c r="B351" s="1" t="n">
        <v>44638</v>
      </c>
      <c r="C351" s="1" t="n">
        <v>46053</v>
      </c>
      <c r="D351" t="inlineStr">
        <is>
          <t>SÖDERMANLANDS LÄN</t>
        </is>
      </c>
      <c r="E351" t="inlineStr">
        <is>
          <t>KATRINEHOLM</t>
        </is>
      </c>
      <c r="G351" t="n">
        <v>6.4</v>
      </c>
      <c r="H351" t="n">
        <v>0</v>
      </c>
      <c r="I351" t="n">
        <v>0</v>
      </c>
      <c r="J351" t="n">
        <v>0</v>
      </c>
      <c r="K351" t="n">
        <v>0</v>
      </c>
      <c r="L351" t="n">
        <v>0</v>
      </c>
      <c r="M351" t="n">
        <v>0</v>
      </c>
      <c r="N351" t="n">
        <v>0</v>
      </c>
      <c r="O351" t="n">
        <v>0</v>
      </c>
      <c r="P351" t="n">
        <v>0</v>
      </c>
      <c r="Q351" t="n">
        <v>0</v>
      </c>
      <c r="R351" s="2" t="inlineStr"/>
    </row>
    <row r="352" ht="15" customHeight="1">
      <c r="A352" t="inlineStr">
        <is>
          <t>A 59093-2024</t>
        </is>
      </c>
      <c r="B352" s="1" t="n">
        <v>45636</v>
      </c>
      <c r="C352" s="1" t="n">
        <v>46053</v>
      </c>
      <c r="D352" t="inlineStr">
        <is>
          <t>SÖDERMANLANDS LÄN</t>
        </is>
      </c>
      <c r="E352" t="inlineStr">
        <is>
          <t>KATRINEHOLM</t>
        </is>
      </c>
      <c r="G352" t="n">
        <v>2.8</v>
      </c>
      <c r="H352" t="n">
        <v>0</v>
      </c>
      <c r="I352" t="n">
        <v>0</v>
      </c>
      <c r="J352" t="n">
        <v>0</v>
      </c>
      <c r="K352" t="n">
        <v>0</v>
      </c>
      <c r="L352" t="n">
        <v>0</v>
      </c>
      <c r="M352" t="n">
        <v>0</v>
      </c>
      <c r="N352" t="n">
        <v>0</v>
      </c>
      <c r="O352" t="n">
        <v>0</v>
      </c>
      <c r="P352" t="n">
        <v>0</v>
      </c>
      <c r="Q352" t="n">
        <v>0</v>
      </c>
      <c r="R352" s="2" t="inlineStr"/>
    </row>
    <row r="353" ht="15" customHeight="1">
      <c r="A353" t="inlineStr">
        <is>
          <t>A 38872-2024</t>
        </is>
      </c>
      <c r="B353" s="1" t="n">
        <v>45547</v>
      </c>
      <c r="C353" s="1" t="n">
        <v>46053</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29189-2025</t>
        </is>
      </c>
      <c r="B354" s="1" t="n">
        <v>45822</v>
      </c>
      <c r="C354" s="1" t="n">
        <v>46053</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51367-2025</t>
        </is>
      </c>
      <c r="B355" s="1" t="n">
        <v>45950.44700231482</v>
      </c>
      <c r="C355" s="1" t="n">
        <v>46053</v>
      </c>
      <c r="D355" t="inlineStr">
        <is>
          <t>SÖDERMANLANDS LÄN</t>
        </is>
      </c>
      <c r="E355" t="inlineStr">
        <is>
          <t>KATRINEHOLM</t>
        </is>
      </c>
      <c r="G355" t="n">
        <v>2.7</v>
      </c>
      <c r="H355" t="n">
        <v>0</v>
      </c>
      <c r="I355" t="n">
        <v>0</v>
      </c>
      <c r="J355" t="n">
        <v>0</v>
      </c>
      <c r="K355" t="n">
        <v>0</v>
      </c>
      <c r="L355" t="n">
        <v>0</v>
      </c>
      <c r="M355" t="n">
        <v>0</v>
      </c>
      <c r="N355" t="n">
        <v>0</v>
      </c>
      <c r="O355" t="n">
        <v>0</v>
      </c>
      <c r="P355" t="n">
        <v>0</v>
      </c>
      <c r="Q355" t="n">
        <v>0</v>
      </c>
      <c r="R355" s="2" t="inlineStr"/>
    </row>
    <row r="356" ht="15" customHeight="1">
      <c r="A356" t="inlineStr">
        <is>
          <t>A 9932-2023</t>
        </is>
      </c>
      <c r="B356" s="1" t="n">
        <v>44985.46709490741</v>
      </c>
      <c r="C356" s="1" t="n">
        <v>46053</v>
      </c>
      <c r="D356" t="inlineStr">
        <is>
          <t>SÖDERMANLANDS LÄN</t>
        </is>
      </c>
      <c r="E356" t="inlineStr">
        <is>
          <t>KATRINEHOLM</t>
        </is>
      </c>
      <c r="G356" t="n">
        <v>0.3</v>
      </c>
      <c r="H356" t="n">
        <v>0</v>
      </c>
      <c r="I356" t="n">
        <v>0</v>
      </c>
      <c r="J356" t="n">
        <v>0</v>
      </c>
      <c r="K356" t="n">
        <v>0</v>
      </c>
      <c r="L356" t="n">
        <v>0</v>
      </c>
      <c r="M356" t="n">
        <v>0</v>
      </c>
      <c r="N356" t="n">
        <v>0</v>
      </c>
      <c r="O356" t="n">
        <v>0</v>
      </c>
      <c r="P356" t="n">
        <v>0</v>
      </c>
      <c r="Q356" t="n">
        <v>0</v>
      </c>
      <c r="R356" s="2" t="inlineStr"/>
    </row>
    <row r="357" ht="15" customHeight="1">
      <c r="A357" t="inlineStr">
        <is>
          <t>A 30050-2025</t>
        </is>
      </c>
      <c r="B357" s="1" t="n">
        <v>45826.59151620371</v>
      </c>
      <c r="C357" s="1" t="n">
        <v>46053</v>
      </c>
      <c r="D357" t="inlineStr">
        <is>
          <t>SÖDERMANLANDS LÄN</t>
        </is>
      </c>
      <c r="E357" t="inlineStr">
        <is>
          <t>KATRINEHOLM</t>
        </is>
      </c>
      <c r="G357" t="n">
        <v>7.9</v>
      </c>
      <c r="H357" t="n">
        <v>0</v>
      </c>
      <c r="I357" t="n">
        <v>0</v>
      </c>
      <c r="J357" t="n">
        <v>0</v>
      </c>
      <c r="K357" t="n">
        <v>0</v>
      </c>
      <c r="L357" t="n">
        <v>0</v>
      </c>
      <c r="M357" t="n">
        <v>0</v>
      </c>
      <c r="N357" t="n">
        <v>0</v>
      </c>
      <c r="O357" t="n">
        <v>0</v>
      </c>
      <c r="P357" t="n">
        <v>0</v>
      </c>
      <c r="Q357" t="n">
        <v>0</v>
      </c>
      <c r="R357" s="2" t="inlineStr"/>
    </row>
    <row r="358" ht="15" customHeight="1">
      <c r="A358" t="inlineStr">
        <is>
          <t>A 30070-2025</t>
        </is>
      </c>
      <c r="B358" s="1" t="n">
        <v>45826.63324074074</v>
      </c>
      <c r="C358" s="1" t="n">
        <v>46053</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9192-2023</t>
        </is>
      </c>
      <c r="B359" s="1" t="n">
        <v>44980</v>
      </c>
      <c r="C359" s="1" t="n">
        <v>46053</v>
      </c>
      <c r="D359" t="inlineStr">
        <is>
          <t>SÖDERMANLANDS LÄN</t>
        </is>
      </c>
      <c r="E359" t="inlineStr">
        <is>
          <t>KATRINEHOLM</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15399-2022</t>
        </is>
      </c>
      <c r="B360" s="1" t="n">
        <v>44659</v>
      </c>
      <c r="C360" s="1" t="n">
        <v>46053</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11872-2023</t>
        </is>
      </c>
      <c r="B361" s="1" t="n">
        <v>44995</v>
      </c>
      <c r="C361" s="1" t="n">
        <v>46053</v>
      </c>
      <c r="D361" t="inlineStr">
        <is>
          <t>SÖDERMANLANDS LÄN</t>
        </is>
      </c>
      <c r="E361" t="inlineStr">
        <is>
          <t>KATRINEHOLM</t>
        </is>
      </c>
      <c r="F361" t="inlineStr">
        <is>
          <t>Kommuner</t>
        </is>
      </c>
      <c r="G361" t="n">
        <v>0.9</v>
      </c>
      <c r="H361" t="n">
        <v>0</v>
      </c>
      <c r="I361" t="n">
        <v>0</v>
      </c>
      <c r="J361" t="n">
        <v>0</v>
      </c>
      <c r="K361" t="n">
        <v>0</v>
      </c>
      <c r="L361" t="n">
        <v>0</v>
      </c>
      <c r="M361" t="n">
        <v>0</v>
      </c>
      <c r="N361" t="n">
        <v>0</v>
      </c>
      <c r="O361" t="n">
        <v>0</v>
      </c>
      <c r="P361" t="n">
        <v>0</v>
      </c>
      <c r="Q361" t="n">
        <v>0</v>
      </c>
      <c r="R361" s="2" t="inlineStr"/>
    </row>
    <row r="362" ht="15" customHeight="1">
      <c r="A362" t="inlineStr">
        <is>
          <t>A 49092-2024</t>
        </is>
      </c>
      <c r="B362" s="1" t="n">
        <v>45594.63619212963</v>
      </c>
      <c r="C362" s="1" t="n">
        <v>46053</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49095-2024</t>
        </is>
      </c>
      <c r="B363" s="1" t="n">
        <v>45594.63828703704</v>
      </c>
      <c r="C363" s="1" t="n">
        <v>46053</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30287-2025</t>
        </is>
      </c>
      <c r="B364" s="1" t="n">
        <v>45827</v>
      </c>
      <c r="C364" s="1" t="n">
        <v>46053</v>
      </c>
      <c r="D364" t="inlineStr">
        <is>
          <t>SÖDERMANLANDS LÄN</t>
        </is>
      </c>
      <c r="E364" t="inlineStr">
        <is>
          <t>KATRINEHOLM</t>
        </is>
      </c>
      <c r="G364" t="n">
        <v>10.2</v>
      </c>
      <c r="H364" t="n">
        <v>0</v>
      </c>
      <c r="I364" t="n">
        <v>0</v>
      </c>
      <c r="J364" t="n">
        <v>0</v>
      </c>
      <c r="K364" t="n">
        <v>0</v>
      </c>
      <c r="L364" t="n">
        <v>0</v>
      </c>
      <c r="M364" t="n">
        <v>0</v>
      </c>
      <c r="N364" t="n">
        <v>0</v>
      </c>
      <c r="O364" t="n">
        <v>0</v>
      </c>
      <c r="P364" t="n">
        <v>0</v>
      </c>
      <c r="Q364" t="n">
        <v>0</v>
      </c>
      <c r="R364" s="2" t="inlineStr"/>
    </row>
    <row r="365" ht="15" customHeight="1">
      <c r="A365" t="inlineStr">
        <is>
          <t>A 30350-2025</t>
        </is>
      </c>
      <c r="B365" s="1" t="n">
        <v>45827.53319444445</v>
      </c>
      <c r="C365" s="1" t="n">
        <v>46053</v>
      </c>
      <c r="D365" t="inlineStr">
        <is>
          <t>SÖDERMANLANDS LÄN</t>
        </is>
      </c>
      <c r="E365" t="inlineStr">
        <is>
          <t>KATRINEHOLM</t>
        </is>
      </c>
      <c r="G365" t="n">
        <v>1.2</v>
      </c>
      <c r="H365" t="n">
        <v>0</v>
      </c>
      <c r="I365" t="n">
        <v>0</v>
      </c>
      <c r="J365" t="n">
        <v>0</v>
      </c>
      <c r="K365" t="n">
        <v>0</v>
      </c>
      <c r="L365" t="n">
        <v>0</v>
      </c>
      <c r="M365" t="n">
        <v>0</v>
      </c>
      <c r="N365" t="n">
        <v>0</v>
      </c>
      <c r="O365" t="n">
        <v>0</v>
      </c>
      <c r="P365" t="n">
        <v>0</v>
      </c>
      <c r="Q365" t="n">
        <v>0</v>
      </c>
      <c r="R365" s="2" t="inlineStr"/>
    </row>
    <row r="366" ht="15" customHeight="1">
      <c r="A366" t="inlineStr">
        <is>
          <t>A 7254-2021</t>
        </is>
      </c>
      <c r="B366" s="1" t="n">
        <v>44238</v>
      </c>
      <c r="C366" s="1" t="n">
        <v>46053</v>
      </c>
      <c r="D366" t="inlineStr">
        <is>
          <t>SÖDERMANLANDS LÄN</t>
        </is>
      </c>
      <c r="E366" t="inlineStr">
        <is>
          <t>KATRINEHOLM</t>
        </is>
      </c>
      <c r="G366" t="n">
        <v>3.6</v>
      </c>
      <c r="H366" t="n">
        <v>0</v>
      </c>
      <c r="I366" t="n">
        <v>0</v>
      </c>
      <c r="J366" t="n">
        <v>0</v>
      </c>
      <c r="K366" t="n">
        <v>0</v>
      </c>
      <c r="L366" t="n">
        <v>0</v>
      </c>
      <c r="M366" t="n">
        <v>0</v>
      </c>
      <c r="N366" t="n">
        <v>0</v>
      </c>
      <c r="O366" t="n">
        <v>0</v>
      </c>
      <c r="P366" t="n">
        <v>0</v>
      </c>
      <c r="Q366" t="n">
        <v>0</v>
      </c>
      <c r="R366" s="2" t="inlineStr"/>
    </row>
    <row r="367" ht="15" customHeight="1">
      <c r="A367" t="inlineStr">
        <is>
          <t>A 30352-2025</t>
        </is>
      </c>
      <c r="B367" s="1" t="n">
        <v>45827</v>
      </c>
      <c r="C367" s="1" t="n">
        <v>46053</v>
      </c>
      <c r="D367" t="inlineStr">
        <is>
          <t>SÖDERMANLANDS LÄN</t>
        </is>
      </c>
      <c r="E367" t="inlineStr">
        <is>
          <t>KATRINEHOLM</t>
        </is>
      </c>
      <c r="G367" t="n">
        <v>1.6</v>
      </c>
      <c r="H367" t="n">
        <v>0</v>
      </c>
      <c r="I367" t="n">
        <v>0</v>
      </c>
      <c r="J367" t="n">
        <v>0</v>
      </c>
      <c r="K367" t="n">
        <v>0</v>
      </c>
      <c r="L367" t="n">
        <v>0</v>
      </c>
      <c r="M367" t="n">
        <v>0</v>
      </c>
      <c r="N367" t="n">
        <v>0</v>
      </c>
      <c r="O367" t="n">
        <v>0</v>
      </c>
      <c r="P367" t="n">
        <v>0</v>
      </c>
      <c r="Q367" t="n">
        <v>0</v>
      </c>
      <c r="R367" s="2" t="inlineStr"/>
    </row>
    <row r="368" ht="15" customHeight="1">
      <c r="A368" t="inlineStr">
        <is>
          <t>A 30386-2025</t>
        </is>
      </c>
      <c r="B368" s="1" t="n">
        <v>45827</v>
      </c>
      <c r="C368" s="1" t="n">
        <v>46053</v>
      </c>
      <c r="D368" t="inlineStr">
        <is>
          <t>SÖDERMANLANDS LÄN</t>
        </is>
      </c>
      <c r="E368" t="inlineStr">
        <is>
          <t>KATRINEHOLM</t>
        </is>
      </c>
      <c r="G368" t="n">
        <v>5.6</v>
      </c>
      <c r="H368" t="n">
        <v>0</v>
      </c>
      <c r="I368" t="n">
        <v>0</v>
      </c>
      <c r="J368" t="n">
        <v>0</v>
      </c>
      <c r="K368" t="n">
        <v>0</v>
      </c>
      <c r="L368" t="n">
        <v>0</v>
      </c>
      <c r="M368" t="n">
        <v>0</v>
      </c>
      <c r="N368" t="n">
        <v>0</v>
      </c>
      <c r="O368" t="n">
        <v>0</v>
      </c>
      <c r="P368" t="n">
        <v>0</v>
      </c>
      <c r="Q368" t="n">
        <v>0</v>
      </c>
      <c r="R368" s="2" t="inlineStr"/>
    </row>
    <row r="369" ht="15" customHeight="1">
      <c r="A369" t="inlineStr">
        <is>
          <t>A 30402-2025</t>
        </is>
      </c>
      <c r="B369" s="1" t="n">
        <v>45827</v>
      </c>
      <c r="C369" s="1" t="n">
        <v>46053</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36-2023</t>
        </is>
      </c>
      <c r="B370" s="1" t="n">
        <v>44928.36578703704</v>
      </c>
      <c r="C370" s="1" t="n">
        <v>46053</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51780-2025</t>
        </is>
      </c>
      <c r="B371" s="1" t="n">
        <v>45951.65725694445</v>
      </c>
      <c r="C371" s="1" t="n">
        <v>46053</v>
      </c>
      <c r="D371" t="inlineStr">
        <is>
          <t>SÖDERMANLANDS LÄN</t>
        </is>
      </c>
      <c r="E371" t="inlineStr">
        <is>
          <t>KATRINEHOLM</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10341-2022</t>
        </is>
      </c>
      <c r="B372" s="1" t="n">
        <v>44623</v>
      </c>
      <c r="C372" s="1" t="n">
        <v>46053</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12835-2024</t>
        </is>
      </c>
      <c r="B373" s="1" t="n">
        <v>45384</v>
      </c>
      <c r="C373" s="1" t="n">
        <v>46053</v>
      </c>
      <c r="D373" t="inlineStr">
        <is>
          <t>SÖDERMANLANDS LÄN</t>
        </is>
      </c>
      <c r="E373" t="inlineStr">
        <is>
          <t>KATRINEHOLM</t>
        </is>
      </c>
      <c r="F373" t="inlineStr">
        <is>
          <t>Allmännings- och besparingsskogar</t>
        </is>
      </c>
      <c r="G373" t="n">
        <v>0.5</v>
      </c>
      <c r="H373" t="n">
        <v>0</v>
      </c>
      <c r="I373" t="n">
        <v>0</v>
      </c>
      <c r="J373" t="n">
        <v>0</v>
      </c>
      <c r="K373" t="n">
        <v>0</v>
      </c>
      <c r="L373" t="n">
        <v>0</v>
      </c>
      <c r="M373" t="n">
        <v>0</v>
      </c>
      <c r="N373" t="n">
        <v>0</v>
      </c>
      <c r="O373" t="n">
        <v>0</v>
      </c>
      <c r="P373" t="n">
        <v>0</v>
      </c>
      <c r="Q373" t="n">
        <v>0</v>
      </c>
      <c r="R373" s="2" t="inlineStr"/>
    </row>
    <row r="374" ht="15" customHeight="1">
      <c r="A374" t="inlineStr">
        <is>
          <t>A 25716-2022</t>
        </is>
      </c>
      <c r="B374" s="1" t="n">
        <v>44733.39600694444</v>
      </c>
      <c r="C374" s="1" t="n">
        <v>46053</v>
      </c>
      <c r="D374" t="inlineStr">
        <is>
          <t>SÖDERMANLANDS LÄN</t>
        </is>
      </c>
      <c r="E374" t="inlineStr">
        <is>
          <t>KATRINEHOLM</t>
        </is>
      </c>
      <c r="G374" t="n">
        <v>3.4</v>
      </c>
      <c r="H374" t="n">
        <v>0</v>
      </c>
      <c r="I374" t="n">
        <v>0</v>
      </c>
      <c r="J374" t="n">
        <v>0</v>
      </c>
      <c r="K374" t="n">
        <v>0</v>
      </c>
      <c r="L374" t="n">
        <v>0</v>
      </c>
      <c r="M374" t="n">
        <v>0</v>
      </c>
      <c r="N374" t="n">
        <v>0</v>
      </c>
      <c r="O374" t="n">
        <v>0</v>
      </c>
      <c r="P374" t="n">
        <v>0</v>
      </c>
      <c r="Q374" t="n">
        <v>0</v>
      </c>
      <c r="R374" s="2" t="inlineStr"/>
    </row>
    <row r="375" ht="15" customHeight="1">
      <c r="A375" t="inlineStr">
        <is>
          <t>A 6807-2023</t>
        </is>
      </c>
      <c r="B375" s="1" t="n">
        <v>44964</v>
      </c>
      <c r="C375" s="1" t="n">
        <v>46053</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9668-2023</t>
        </is>
      </c>
      <c r="B376" s="1" t="n">
        <v>44984.41238425926</v>
      </c>
      <c r="C376" s="1" t="n">
        <v>46053</v>
      </c>
      <c r="D376" t="inlineStr">
        <is>
          <t>SÖDERMANLANDS LÄN</t>
        </is>
      </c>
      <c r="E376" t="inlineStr">
        <is>
          <t>KATRINEHOLM</t>
        </is>
      </c>
      <c r="G376" t="n">
        <v>4.8</v>
      </c>
      <c r="H376" t="n">
        <v>0</v>
      </c>
      <c r="I376" t="n">
        <v>0</v>
      </c>
      <c r="J376" t="n">
        <v>0</v>
      </c>
      <c r="K376" t="n">
        <v>0</v>
      </c>
      <c r="L376" t="n">
        <v>0</v>
      </c>
      <c r="M376" t="n">
        <v>0</v>
      </c>
      <c r="N376" t="n">
        <v>0</v>
      </c>
      <c r="O376" t="n">
        <v>0</v>
      </c>
      <c r="P376" t="n">
        <v>0</v>
      </c>
      <c r="Q376" t="n">
        <v>0</v>
      </c>
      <c r="R376" s="2" t="inlineStr"/>
    </row>
    <row r="377" ht="15" customHeight="1">
      <c r="A377" t="inlineStr">
        <is>
          <t>A 51774-2025</t>
        </is>
      </c>
      <c r="B377" s="1" t="n">
        <v>45951.65359953704</v>
      </c>
      <c r="C377" s="1" t="n">
        <v>46053</v>
      </c>
      <c r="D377" t="inlineStr">
        <is>
          <t>SÖDERMANLANDS LÄN</t>
        </is>
      </c>
      <c r="E377" t="inlineStr">
        <is>
          <t>KATRINEHOLM</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51783-2025</t>
        </is>
      </c>
      <c r="B378" s="1" t="n">
        <v>45951.67546296296</v>
      </c>
      <c r="C378" s="1" t="n">
        <v>46053</v>
      </c>
      <c r="D378" t="inlineStr">
        <is>
          <t>SÖDERMANLANDS LÄN</t>
        </is>
      </c>
      <c r="E378" t="inlineStr">
        <is>
          <t>KATRINEHOLM</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31376-2025</t>
        </is>
      </c>
      <c r="B379" s="1" t="n">
        <v>45833</v>
      </c>
      <c r="C379" s="1" t="n">
        <v>46053</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9044-2022</t>
        </is>
      </c>
      <c r="B380" s="1" t="n">
        <v>44602</v>
      </c>
      <c r="C380" s="1" t="n">
        <v>46053</v>
      </c>
      <c r="D380" t="inlineStr">
        <is>
          <t>SÖDERMANLANDS LÄN</t>
        </is>
      </c>
      <c r="E380" t="inlineStr">
        <is>
          <t>KATRINEHOLM</t>
        </is>
      </c>
      <c r="G380" t="n">
        <v>5.8</v>
      </c>
      <c r="H380" t="n">
        <v>0</v>
      </c>
      <c r="I380" t="n">
        <v>0</v>
      </c>
      <c r="J380" t="n">
        <v>0</v>
      </c>
      <c r="K380" t="n">
        <v>0</v>
      </c>
      <c r="L380" t="n">
        <v>0</v>
      </c>
      <c r="M380" t="n">
        <v>0</v>
      </c>
      <c r="N380" t="n">
        <v>0</v>
      </c>
      <c r="O380" t="n">
        <v>0</v>
      </c>
      <c r="P380" t="n">
        <v>0</v>
      </c>
      <c r="Q380" t="n">
        <v>0</v>
      </c>
      <c r="R380" s="2" t="inlineStr"/>
    </row>
    <row r="381" ht="15" customHeight="1">
      <c r="A381" t="inlineStr">
        <is>
          <t>A 31392-2025</t>
        </is>
      </c>
      <c r="B381" s="1" t="n">
        <v>45833</v>
      </c>
      <c r="C381" s="1" t="n">
        <v>46053</v>
      </c>
      <c r="D381" t="inlineStr">
        <is>
          <t>SÖDERMANLANDS LÄN</t>
        </is>
      </c>
      <c r="E381" t="inlineStr">
        <is>
          <t>KATRINEHOLM</t>
        </is>
      </c>
      <c r="G381" t="n">
        <v>5</v>
      </c>
      <c r="H381" t="n">
        <v>0</v>
      </c>
      <c r="I381" t="n">
        <v>0</v>
      </c>
      <c r="J381" t="n">
        <v>0</v>
      </c>
      <c r="K381" t="n">
        <v>0</v>
      </c>
      <c r="L381" t="n">
        <v>0</v>
      </c>
      <c r="M381" t="n">
        <v>0</v>
      </c>
      <c r="N381" t="n">
        <v>0</v>
      </c>
      <c r="O381" t="n">
        <v>0</v>
      </c>
      <c r="P381" t="n">
        <v>0</v>
      </c>
      <c r="Q381" t="n">
        <v>0</v>
      </c>
      <c r="R381" s="2" t="inlineStr"/>
    </row>
    <row r="382" ht="15" customHeight="1">
      <c r="A382" t="inlineStr">
        <is>
          <t>A 52242-2025</t>
        </is>
      </c>
      <c r="B382" s="1" t="n">
        <v>45953.46886574074</v>
      </c>
      <c r="C382" s="1" t="n">
        <v>46053</v>
      </c>
      <c r="D382" t="inlineStr">
        <is>
          <t>SÖDERMANLANDS LÄN</t>
        </is>
      </c>
      <c r="E382" t="inlineStr">
        <is>
          <t>KATRINEHOLM</t>
        </is>
      </c>
      <c r="G382" t="n">
        <v>5.3</v>
      </c>
      <c r="H382" t="n">
        <v>0</v>
      </c>
      <c r="I382" t="n">
        <v>0</v>
      </c>
      <c r="J382" t="n">
        <v>0</v>
      </c>
      <c r="K382" t="n">
        <v>0</v>
      </c>
      <c r="L382" t="n">
        <v>0</v>
      </c>
      <c r="M382" t="n">
        <v>0</v>
      </c>
      <c r="N382" t="n">
        <v>0</v>
      </c>
      <c r="O382" t="n">
        <v>0</v>
      </c>
      <c r="P382" t="n">
        <v>0</v>
      </c>
      <c r="Q382" t="n">
        <v>0</v>
      </c>
      <c r="R382" s="2" t="inlineStr"/>
    </row>
    <row r="383" ht="15" customHeight="1">
      <c r="A383" t="inlineStr">
        <is>
          <t>A 31386-2025</t>
        </is>
      </c>
      <c r="B383" s="1" t="n">
        <v>45833.45259259259</v>
      </c>
      <c r="C383" s="1" t="n">
        <v>46053</v>
      </c>
      <c r="D383" t="inlineStr">
        <is>
          <t>SÖDERMANLANDS LÄN</t>
        </is>
      </c>
      <c r="E383" t="inlineStr">
        <is>
          <t>KATRINEHOLM</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52239-2025</t>
        </is>
      </c>
      <c r="B384" s="1" t="n">
        <v>45953.46193287037</v>
      </c>
      <c r="C384" s="1" t="n">
        <v>46053</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52244-2025</t>
        </is>
      </c>
      <c r="B385" s="1" t="n">
        <v>45953</v>
      </c>
      <c r="C385" s="1" t="n">
        <v>46053</v>
      </c>
      <c r="D385" t="inlineStr">
        <is>
          <t>SÖDERMANLANDS LÄN</t>
        </is>
      </c>
      <c r="E385" t="inlineStr">
        <is>
          <t>KATRINEHOLM</t>
        </is>
      </c>
      <c r="G385" t="n">
        <v>1.3</v>
      </c>
      <c r="H385" t="n">
        <v>0</v>
      </c>
      <c r="I385" t="n">
        <v>0</v>
      </c>
      <c r="J385" t="n">
        <v>0</v>
      </c>
      <c r="K385" t="n">
        <v>0</v>
      </c>
      <c r="L385" t="n">
        <v>0</v>
      </c>
      <c r="M385" t="n">
        <v>0</v>
      </c>
      <c r="N385" t="n">
        <v>0</v>
      </c>
      <c r="O385" t="n">
        <v>0</v>
      </c>
      <c r="P385" t="n">
        <v>0</v>
      </c>
      <c r="Q385" t="n">
        <v>0</v>
      </c>
      <c r="R385" s="2" t="inlineStr"/>
    </row>
    <row r="386" ht="15" customHeight="1">
      <c r="A386" t="inlineStr">
        <is>
          <t>A 48091-2024</t>
        </is>
      </c>
      <c r="B386" s="1" t="n">
        <v>45590</v>
      </c>
      <c r="C386" s="1" t="n">
        <v>46053</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24097-2022</t>
        </is>
      </c>
      <c r="B387" s="1" t="n">
        <v>44725.39371527778</v>
      </c>
      <c r="C387" s="1" t="n">
        <v>46053</v>
      </c>
      <c r="D387" t="inlineStr">
        <is>
          <t>SÖDERMANLANDS LÄN</t>
        </is>
      </c>
      <c r="E387" t="inlineStr">
        <is>
          <t>KATRINEHOLM</t>
        </is>
      </c>
      <c r="G387" t="n">
        <v>6.5</v>
      </c>
      <c r="H387" t="n">
        <v>0</v>
      </c>
      <c r="I387" t="n">
        <v>0</v>
      </c>
      <c r="J387" t="n">
        <v>0</v>
      </c>
      <c r="K387" t="n">
        <v>0</v>
      </c>
      <c r="L387" t="n">
        <v>0</v>
      </c>
      <c r="M387" t="n">
        <v>0</v>
      </c>
      <c r="N387" t="n">
        <v>0</v>
      </c>
      <c r="O387" t="n">
        <v>0</v>
      </c>
      <c r="P387" t="n">
        <v>0</v>
      </c>
      <c r="Q387" t="n">
        <v>0</v>
      </c>
      <c r="R387" s="2" t="inlineStr"/>
    </row>
    <row r="388" ht="15" customHeight="1">
      <c r="A388" t="inlineStr">
        <is>
          <t>A 46670-2021</t>
        </is>
      </c>
      <c r="B388" s="1" t="n">
        <v>44445</v>
      </c>
      <c r="C388" s="1" t="n">
        <v>46053</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31990-2025</t>
        </is>
      </c>
      <c r="B389" s="1" t="n">
        <v>45835.36697916667</v>
      </c>
      <c r="C389" s="1" t="n">
        <v>46053</v>
      </c>
      <c r="D389" t="inlineStr">
        <is>
          <t>SÖDERMANLANDS LÄN</t>
        </is>
      </c>
      <c r="E389" t="inlineStr">
        <is>
          <t>KATRINEHOLM</t>
        </is>
      </c>
      <c r="G389" t="n">
        <v>0.5</v>
      </c>
      <c r="H389" t="n">
        <v>0</v>
      </c>
      <c r="I389" t="n">
        <v>0</v>
      </c>
      <c r="J389" t="n">
        <v>0</v>
      </c>
      <c r="K389" t="n">
        <v>0</v>
      </c>
      <c r="L389" t="n">
        <v>0</v>
      </c>
      <c r="M389" t="n">
        <v>0</v>
      </c>
      <c r="N389" t="n">
        <v>0</v>
      </c>
      <c r="O389" t="n">
        <v>0</v>
      </c>
      <c r="P389" t="n">
        <v>0</v>
      </c>
      <c r="Q389" t="n">
        <v>0</v>
      </c>
      <c r="R389" s="2" t="inlineStr"/>
    </row>
    <row r="390" ht="15" customHeight="1">
      <c r="A390" t="inlineStr">
        <is>
          <t>A 62954-2023</t>
        </is>
      </c>
      <c r="B390" s="1" t="n">
        <v>45272.55362268518</v>
      </c>
      <c r="C390" s="1" t="n">
        <v>46053</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58651-2023</t>
        </is>
      </c>
      <c r="B391" s="1" t="n">
        <v>45247</v>
      </c>
      <c r="C391" s="1" t="n">
        <v>46053</v>
      </c>
      <c r="D391" t="inlineStr">
        <is>
          <t>SÖDERMANLANDS LÄN</t>
        </is>
      </c>
      <c r="E391" t="inlineStr">
        <is>
          <t>KATRINEHOLM</t>
        </is>
      </c>
      <c r="G391" t="n">
        <v>2.7</v>
      </c>
      <c r="H391" t="n">
        <v>0</v>
      </c>
      <c r="I391" t="n">
        <v>0</v>
      </c>
      <c r="J391" t="n">
        <v>0</v>
      </c>
      <c r="K391" t="n">
        <v>0</v>
      </c>
      <c r="L391" t="n">
        <v>0</v>
      </c>
      <c r="M391" t="n">
        <v>0</v>
      </c>
      <c r="N391" t="n">
        <v>0</v>
      </c>
      <c r="O391" t="n">
        <v>0</v>
      </c>
      <c r="P391" t="n">
        <v>0</v>
      </c>
      <c r="Q391" t="n">
        <v>0</v>
      </c>
      <c r="R391" s="2" t="inlineStr"/>
    </row>
    <row r="392" ht="15" customHeight="1">
      <c r="A392" t="inlineStr">
        <is>
          <t>A 12238-2021</t>
        </is>
      </c>
      <c r="B392" s="1" t="n">
        <v>44266</v>
      </c>
      <c r="C392" s="1" t="n">
        <v>46053</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33090-2025</t>
        </is>
      </c>
      <c r="B393" s="1" t="n">
        <v>45840.46840277778</v>
      </c>
      <c r="C393" s="1" t="n">
        <v>46053</v>
      </c>
      <c r="D393" t="inlineStr">
        <is>
          <t>SÖDERMANLANDS LÄN</t>
        </is>
      </c>
      <c r="E393" t="inlineStr">
        <is>
          <t>KATRINEHOLM</t>
        </is>
      </c>
      <c r="G393" t="n">
        <v>0.6</v>
      </c>
      <c r="H393" t="n">
        <v>0</v>
      </c>
      <c r="I393" t="n">
        <v>0</v>
      </c>
      <c r="J393" t="n">
        <v>0</v>
      </c>
      <c r="K393" t="n">
        <v>0</v>
      </c>
      <c r="L393" t="n">
        <v>0</v>
      </c>
      <c r="M393" t="n">
        <v>0</v>
      </c>
      <c r="N393" t="n">
        <v>0</v>
      </c>
      <c r="O393" t="n">
        <v>0</v>
      </c>
      <c r="P393" t="n">
        <v>0</v>
      </c>
      <c r="Q393" t="n">
        <v>0</v>
      </c>
      <c r="R393" s="2" t="inlineStr"/>
    </row>
    <row r="394" ht="15" customHeight="1">
      <c r="A394" t="inlineStr">
        <is>
          <t>A 33084-2025</t>
        </is>
      </c>
      <c r="B394" s="1" t="n">
        <v>45840.46559027778</v>
      </c>
      <c r="C394" s="1" t="n">
        <v>46053</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6446-2022</t>
        </is>
      </c>
      <c r="B395" s="1" t="n">
        <v>44600</v>
      </c>
      <c r="C395" s="1" t="n">
        <v>46053</v>
      </c>
      <c r="D395" t="inlineStr">
        <is>
          <t>SÖDERMANLANDS LÄN</t>
        </is>
      </c>
      <c r="E395" t="inlineStr">
        <is>
          <t>KATRINEHOLM</t>
        </is>
      </c>
      <c r="G395" t="n">
        <v>1.5</v>
      </c>
      <c r="H395" t="n">
        <v>0</v>
      </c>
      <c r="I395" t="n">
        <v>0</v>
      </c>
      <c r="J395" t="n">
        <v>0</v>
      </c>
      <c r="K395" t="n">
        <v>0</v>
      </c>
      <c r="L395" t="n">
        <v>0</v>
      </c>
      <c r="M395" t="n">
        <v>0</v>
      </c>
      <c r="N395" t="n">
        <v>0</v>
      </c>
      <c r="O395" t="n">
        <v>0</v>
      </c>
      <c r="P395" t="n">
        <v>0</v>
      </c>
      <c r="Q395" t="n">
        <v>0</v>
      </c>
      <c r="R395" s="2" t="inlineStr"/>
    </row>
    <row r="396" ht="15" customHeight="1">
      <c r="A396" t="inlineStr">
        <is>
          <t>A 33577-2025</t>
        </is>
      </c>
      <c r="B396" s="1" t="n">
        <v>45841.59056712963</v>
      </c>
      <c r="C396" s="1" t="n">
        <v>46053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52744-2025</t>
        </is>
      </c>
      <c r="B397" s="1" t="n">
        <v>45957.38387731482</v>
      </c>
      <c r="C397" s="1" t="n">
        <v>46053</v>
      </c>
      <c r="D397" t="inlineStr">
        <is>
          <t>SÖDERMANLANDS LÄN</t>
        </is>
      </c>
      <c r="E397" t="inlineStr">
        <is>
          <t>KATRINEHOLM</t>
        </is>
      </c>
      <c r="G397" t="n">
        <v>4</v>
      </c>
      <c r="H397" t="n">
        <v>0</v>
      </c>
      <c r="I397" t="n">
        <v>0</v>
      </c>
      <c r="J397" t="n">
        <v>0</v>
      </c>
      <c r="K397" t="n">
        <v>0</v>
      </c>
      <c r="L397" t="n">
        <v>0</v>
      </c>
      <c r="M397" t="n">
        <v>0</v>
      </c>
      <c r="N397" t="n">
        <v>0</v>
      </c>
      <c r="O397" t="n">
        <v>0</v>
      </c>
      <c r="P397" t="n">
        <v>0</v>
      </c>
      <c r="Q397" t="n">
        <v>0</v>
      </c>
      <c r="R397" s="2" t="inlineStr"/>
    </row>
    <row r="398" ht="15" customHeight="1">
      <c r="A398" t="inlineStr">
        <is>
          <t>A 51923-2023</t>
        </is>
      </c>
      <c r="B398" s="1" t="n">
        <v>45223</v>
      </c>
      <c r="C398" s="1" t="n">
        <v>46053</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33812-2025</t>
        </is>
      </c>
      <c r="B399" s="1" t="n">
        <v>45842</v>
      </c>
      <c r="C399" s="1" t="n">
        <v>46053</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33815-2025</t>
        </is>
      </c>
      <c r="B400" s="1" t="n">
        <v>45842</v>
      </c>
      <c r="C400" s="1" t="n">
        <v>46053</v>
      </c>
      <c r="D400" t="inlineStr">
        <is>
          <t>SÖDERMANLANDS LÄN</t>
        </is>
      </c>
      <c r="E400" t="inlineStr">
        <is>
          <t>KATRINEHOLM</t>
        </is>
      </c>
      <c r="G400" t="n">
        <v>3.4</v>
      </c>
      <c r="H400" t="n">
        <v>0</v>
      </c>
      <c r="I400" t="n">
        <v>0</v>
      </c>
      <c r="J400" t="n">
        <v>0</v>
      </c>
      <c r="K400" t="n">
        <v>0</v>
      </c>
      <c r="L400" t="n">
        <v>0</v>
      </c>
      <c r="M400" t="n">
        <v>0</v>
      </c>
      <c r="N400" t="n">
        <v>0</v>
      </c>
      <c r="O400" t="n">
        <v>0</v>
      </c>
      <c r="P400" t="n">
        <v>0</v>
      </c>
      <c r="Q400" t="n">
        <v>0</v>
      </c>
      <c r="R400" s="2" t="inlineStr"/>
    </row>
    <row r="401" ht="15" customHeight="1">
      <c r="A401" t="inlineStr">
        <is>
          <t>A 6762-2025</t>
        </is>
      </c>
      <c r="B401" s="1" t="n">
        <v>45700</v>
      </c>
      <c r="C401" s="1" t="n">
        <v>46053</v>
      </c>
      <c r="D401" t="inlineStr">
        <is>
          <t>SÖDERMANLANDS LÄN</t>
        </is>
      </c>
      <c r="E401" t="inlineStr">
        <is>
          <t>KATRINEHOLM</t>
        </is>
      </c>
      <c r="G401" t="n">
        <v>1</v>
      </c>
      <c r="H401" t="n">
        <v>0</v>
      </c>
      <c r="I401" t="n">
        <v>0</v>
      </c>
      <c r="J401" t="n">
        <v>0</v>
      </c>
      <c r="K401" t="n">
        <v>0</v>
      </c>
      <c r="L401" t="n">
        <v>0</v>
      </c>
      <c r="M401" t="n">
        <v>0</v>
      </c>
      <c r="N401" t="n">
        <v>0</v>
      </c>
      <c r="O401" t="n">
        <v>0</v>
      </c>
      <c r="P401" t="n">
        <v>0</v>
      </c>
      <c r="Q401" t="n">
        <v>0</v>
      </c>
      <c r="R401" s="2" t="inlineStr"/>
    </row>
    <row r="402" ht="15" customHeight="1">
      <c r="A402" t="inlineStr">
        <is>
          <t>A 20213-2025</t>
        </is>
      </c>
      <c r="B402" s="1" t="n">
        <v>45772.63453703704</v>
      </c>
      <c r="C402" s="1" t="n">
        <v>46053</v>
      </c>
      <c r="D402" t="inlineStr">
        <is>
          <t>SÖDERMANLANDS LÄN</t>
        </is>
      </c>
      <c r="E402" t="inlineStr">
        <is>
          <t>KATRINEHOLM</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18386-2025</t>
        </is>
      </c>
      <c r="B403" s="1" t="n">
        <v>45762</v>
      </c>
      <c r="C403" s="1" t="n">
        <v>46053</v>
      </c>
      <c r="D403" t="inlineStr">
        <is>
          <t>SÖDERMANLANDS LÄN</t>
        </is>
      </c>
      <c r="E403" t="inlineStr">
        <is>
          <t>KATRINEHOLM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3125-2024</t>
        </is>
      </c>
      <c r="B404" s="1" t="n">
        <v>45316</v>
      </c>
      <c r="C404" s="1" t="n">
        <v>46053</v>
      </c>
      <c r="D404" t="inlineStr">
        <is>
          <t>SÖDERMANLANDS LÄN</t>
        </is>
      </c>
      <c r="E404" t="inlineStr">
        <is>
          <t>KATRINEHOLM</t>
        </is>
      </c>
      <c r="G404" t="n">
        <v>3.4</v>
      </c>
      <c r="H404" t="n">
        <v>0</v>
      </c>
      <c r="I404" t="n">
        <v>0</v>
      </c>
      <c r="J404" t="n">
        <v>0</v>
      </c>
      <c r="K404" t="n">
        <v>0</v>
      </c>
      <c r="L404" t="n">
        <v>0</v>
      </c>
      <c r="M404" t="n">
        <v>0</v>
      </c>
      <c r="N404" t="n">
        <v>0</v>
      </c>
      <c r="O404" t="n">
        <v>0</v>
      </c>
      <c r="P404" t="n">
        <v>0</v>
      </c>
      <c r="Q404" t="n">
        <v>0</v>
      </c>
      <c r="R404" s="2" t="inlineStr"/>
    </row>
    <row r="405" ht="15" customHeight="1">
      <c r="A405" t="inlineStr">
        <is>
          <t>A 35183-2022</t>
        </is>
      </c>
      <c r="B405" s="1" t="n">
        <v>44797</v>
      </c>
      <c r="C405" s="1" t="n">
        <v>46053</v>
      </c>
      <c r="D405" t="inlineStr">
        <is>
          <t>SÖDERMANLANDS LÄN</t>
        </is>
      </c>
      <c r="E405" t="inlineStr">
        <is>
          <t>KATRINEHOLM</t>
        </is>
      </c>
      <c r="G405" t="n">
        <v>4.6</v>
      </c>
      <c r="H405" t="n">
        <v>0</v>
      </c>
      <c r="I405" t="n">
        <v>0</v>
      </c>
      <c r="J405" t="n">
        <v>0</v>
      </c>
      <c r="K405" t="n">
        <v>0</v>
      </c>
      <c r="L405" t="n">
        <v>0</v>
      </c>
      <c r="M405" t="n">
        <v>0</v>
      </c>
      <c r="N405" t="n">
        <v>0</v>
      </c>
      <c r="O405" t="n">
        <v>0</v>
      </c>
      <c r="P405" t="n">
        <v>0</v>
      </c>
      <c r="Q405" t="n">
        <v>0</v>
      </c>
      <c r="R405" s="2" t="inlineStr"/>
    </row>
    <row r="406" ht="15" customHeight="1">
      <c r="A406" t="inlineStr">
        <is>
          <t>A 53338-2025</t>
        </is>
      </c>
      <c r="B406" s="1" t="n">
        <v>45959.40447916667</v>
      </c>
      <c r="C406" s="1" t="n">
        <v>46053</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42519-2024</t>
        </is>
      </c>
      <c r="B407" s="1" t="n">
        <v>45565</v>
      </c>
      <c r="C407" s="1" t="n">
        <v>46053</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20826-2022</t>
        </is>
      </c>
      <c r="B408" s="1" t="n">
        <v>44701.44754629629</v>
      </c>
      <c r="C408" s="1" t="n">
        <v>46053</v>
      </c>
      <c r="D408" t="inlineStr">
        <is>
          <t>SÖDERMANLANDS LÄN</t>
        </is>
      </c>
      <c r="E408" t="inlineStr">
        <is>
          <t>KATRINEHOLM</t>
        </is>
      </c>
      <c r="G408" t="n">
        <v>6.8</v>
      </c>
      <c r="H408" t="n">
        <v>0</v>
      </c>
      <c r="I408" t="n">
        <v>0</v>
      </c>
      <c r="J408" t="n">
        <v>0</v>
      </c>
      <c r="K408" t="n">
        <v>0</v>
      </c>
      <c r="L408" t="n">
        <v>0</v>
      </c>
      <c r="M408" t="n">
        <v>0</v>
      </c>
      <c r="N408" t="n">
        <v>0</v>
      </c>
      <c r="O408" t="n">
        <v>0</v>
      </c>
      <c r="P408" t="n">
        <v>0</v>
      </c>
      <c r="Q408" t="n">
        <v>0</v>
      </c>
      <c r="R408" s="2" t="inlineStr"/>
    </row>
    <row r="409" ht="15" customHeight="1">
      <c r="A409" t="inlineStr">
        <is>
          <t>A 20846-2022</t>
        </is>
      </c>
      <c r="B409" s="1" t="n">
        <v>44701.4744212963</v>
      </c>
      <c r="C409" s="1" t="n">
        <v>46053</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35156-2025</t>
        </is>
      </c>
      <c r="B410" s="1" t="n">
        <v>45852</v>
      </c>
      <c r="C410" s="1" t="n">
        <v>46053</v>
      </c>
      <c r="D410" t="inlineStr">
        <is>
          <t>SÖDERMANLANDS LÄN</t>
        </is>
      </c>
      <c r="E410" t="inlineStr">
        <is>
          <t>KATRINEHOLM</t>
        </is>
      </c>
      <c r="G410" t="n">
        <v>5.7</v>
      </c>
      <c r="H410" t="n">
        <v>0</v>
      </c>
      <c r="I410" t="n">
        <v>0</v>
      </c>
      <c r="J410" t="n">
        <v>0</v>
      </c>
      <c r="K410" t="n">
        <v>0</v>
      </c>
      <c r="L410" t="n">
        <v>0</v>
      </c>
      <c r="M410" t="n">
        <v>0</v>
      </c>
      <c r="N410" t="n">
        <v>0</v>
      </c>
      <c r="O410" t="n">
        <v>0</v>
      </c>
      <c r="P410" t="n">
        <v>0</v>
      </c>
      <c r="Q410" t="n">
        <v>0</v>
      </c>
      <c r="R410" s="2" t="inlineStr"/>
    </row>
    <row r="411" ht="15" customHeight="1">
      <c r="A411" t="inlineStr">
        <is>
          <t>A 49078-2024</t>
        </is>
      </c>
      <c r="B411" s="1" t="n">
        <v>45594.62556712963</v>
      </c>
      <c r="C411" s="1" t="n">
        <v>46053</v>
      </c>
      <c r="D411" t="inlineStr">
        <is>
          <t>SÖDERMANLANDS LÄN</t>
        </is>
      </c>
      <c r="E411" t="inlineStr">
        <is>
          <t>KATRINEHOLM</t>
        </is>
      </c>
      <c r="F411" t="inlineStr">
        <is>
          <t>Övriga Aktiebolag</t>
        </is>
      </c>
      <c r="G411" t="n">
        <v>0.4</v>
      </c>
      <c r="H411" t="n">
        <v>0</v>
      </c>
      <c r="I411" t="n">
        <v>0</v>
      </c>
      <c r="J411" t="n">
        <v>0</v>
      </c>
      <c r="K411" t="n">
        <v>0</v>
      </c>
      <c r="L411" t="n">
        <v>0</v>
      </c>
      <c r="M411" t="n">
        <v>0</v>
      </c>
      <c r="N411" t="n">
        <v>0</v>
      </c>
      <c r="O411" t="n">
        <v>0</v>
      </c>
      <c r="P411" t="n">
        <v>0</v>
      </c>
      <c r="Q411" t="n">
        <v>0</v>
      </c>
      <c r="R411" s="2" t="inlineStr"/>
    </row>
    <row r="412" ht="15" customHeight="1">
      <c r="A412" t="inlineStr">
        <is>
          <t>A 33469-2025</t>
        </is>
      </c>
      <c r="B412" s="1" t="n">
        <v>45841.48686342593</v>
      </c>
      <c r="C412" s="1" t="n">
        <v>46053</v>
      </c>
      <c r="D412" t="inlineStr">
        <is>
          <t>SÖDERMANLANDS LÄN</t>
        </is>
      </c>
      <c r="E412" t="inlineStr">
        <is>
          <t>KATRINEHOLM</t>
        </is>
      </c>
      <c r="G412" t="n">
        <v>2.1</v>
      </c>
      <c r="H412" t="n">
        <v>0</v>
      </c>
      <c r="I412" t="n">
        <v>0</v>
      </c>
      <c r="J412" t="n">
        <v>0</v>
      </c>
      <c r="K412" t="n">
        <v>0</v>
      </c>
      <c r="L412" t="n">
        <v>0</v>
      </c>
      <c r="M412" t="n">
        <v>0</v>
      </c>
      <c r="N412" t="n">
        <v>0</v>
      </c>
      <c r="O412" t="n">
        <v>0</v>
      </c>
      <c r="P412" t="n">
        <v>0</v>
      </c>
      <c r="Q412" t="n">
        <v>0</v>
      </c>
      <c r="R412" s="2" t="inlineStr"/>
    </row>
    <row r="413" ht="15" customHeight="1">
      <c r="A413" t="inlineStr">
        <is>
          <t>A 51440-2024</t>
        </is>
      </c>
      <c r="B413" s="1" t="n">
        <v>45604</v>
      </c>
      <c r="C413" s="1" t="n">
        <v>46053</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33129-2025</t>
        </is>
      </c>
      <c r="B414" s="1" t="n">
        <v>45840.50141203704</v>
      </c>
      <c r="C414" s="1" t="n">
        <v>46053</v>
      </c>
      <c r="D414" t="inlineStr">
        <is>
          <t>SÖDERMANLANDS LÄN</t>
        </is>
      </c>
      <c r="E414" t="inlineStr">
        <is>
          <t>KATRINEHOLM</t>
        </is>
      </c>
      <c r="G414" t="n">
        <v>2.6</v>
      </c>
      <c r="H414" t="n">
        <v>0</v>
      </c>
      <c r="I414" t="n">
        <v>0</v>
      </c>
      <c r="J414" t="n">
        <v>0</v>
      </c>
      <c r="K414" t="n">
        <v>0</v>
      </c>
      <c r="L414" t="n">
        <v>0</v>
      </c>
      <c r="M414" t="n">
        <v>0</v>
      </c>
      <c r="N414" t="n">
        <v>0</v>
      </c>
      <c r="O414" t="n">
        <v>0</v>
      </c>
      <c r="P414" t="n">
        <v>0</v>
      </c>
      <c r="Q414" t="n">
        <v>0</v>
      </c>
      <c r="R414" s="2" t="inlineStr"/>
    </row>
    <row r="415" ht="15" customHeight="1">
      <c r="A415" t="inlineStr">
        <is>
          <t>A 35152-2025</t>
        </is>
      </c>
      <c r="B415" s="1" t="n">
        <v>45852</v>
      </c>
      <c r="C415" s="1" t="n">
        <v>46053</v>
      </c>
      <c r="D415" t="inlineStr">
        <is>
          <t>SÖDERMANLANDS LÄN</t>
        </is>
      </c>
      <c r="E415" t="inlineStr">
        <is>
          <t>KATRINEHOLM</t>
        </is>
      </c>
      <c r="G415" t="n">
        <v>4.6</v>
      </c>
      <c r="H415" t="n">
        <v>0</v>
      </c>
      <c r="I415" t="n">
        <v>0</v>
      </c>
      <c r="J415" t="n">
        <v>0</v>
      </c>
      <c r="K415" t="n">
        <v>0</v>
      </c>
      <c r="L415" t="n">
        <v>0</v>
      </c>
      <c r="M415" t="n">
        <v>0</v>
      </c>
      <c r="N415" t="n">
        <v>0</v>
      </c>
      <c r="O415" t="n">
        <v>0</v>
      </c>
      <c r="P415" t="n">
        <v>0</v>
      </c>
      <c r="Q415" t="n">
        <v>0</v>
      </c>
      <c r="R415" s="2" t="inlineStr"/>
    </row>
    <row r="416" ht="15" customHeight="1">
      <c r="A416" t="inlineStr">
        <is>
          <t>A 35165-2025</t>
        </is>
      </c>
      <c r="B416" s="1" t="n">
        <v>45852.72320601852</v>
      </c>
      <c r="C416" s="1" t="n">
        <v>46053</v>
      </c>
      <c r="D416" t="inlineStr">
        <is>
          <t>SÖDERMANLANDS LÄN</t>
        </is>
      </c>
      <c r="E416" t="inlineStr">
        <is>
          <t>KATRINEHOLM</t>
        </is>
      </c>
      <c r="F416" t="inlineStr">
        <is>
          <t>Övriga Aktiebolag</t>
        </is>
      </c>
      <c r="G416" t="n">
        <v>20.7</v>
      </c>
      <c r="H416" t="n">
        <v>0</v>
      </c>
      <c r="I416" t="n">
        <v>0</v>
      </c>
      <c r="J416" t="n">
        <v>0</v>
      </c>
      <c r="K416" t="n">
        <v>0</v>
      </c>
      <c r="L416" t="n">
        <v>0</v>
      </c>
      <c r="M416" t="n">
        <v>0</v>
      </c>
      <c r="N416" t="n">
        <v>0</v>
      </c>
      <c r="O416" t="n">
        <v>0</v>
      </c>
      <c r="P416" t="n">
        <v>0</v>
      </c>
      <c r="Q416" t="n">
        <v>0</v>
      </c>
      <c r="R416" s="2" t="inlineStr"/>
    </row>
    <row r="417" ht="15" customHeight="1">
      <c r="A417" t="inlineStr">
        <is>
          <t>A 47879-2023</t>
        </is>
      </c>
      <c r="B417" s="1" t="n">
        <v>45204</v>
      </c>
      <c r="C417" s="1" t="n">
        <v>46053</v>
      </c>
      <c r="D417" t="inlineStr">
        <is>
          <t>SÖDERMANLANDS LÄN</t>
        </is>
      </c>
      <c r="E417" t="inlineStr">
        <is>
          <t>KATRINEHOLM</t>
        </is>
      </c>
      <c r="F417" t="inlineStr">
        <is>
          <t>Övriga Aktiebolag</t>
        </is>
      </c>
      <c r="G417" t="n">
        <v>2.3</v>
      </c>
      <c r="H417" t="n">
        <v>0</v>
      </c>
      <c r="I417" t="n">
        <v>0</v>
      </c>
      <c r="J417" t="n">
        <v>0</v>
      </c>
      <c r="K417" t="n">
        <v>0</v>
      </c>
      <c r="L417" t="n">
        <v>0</v>
      </c>
      <c r="M417" t="n">
        <v>0</v>
      </c>
      <c r="N417" t="n">
        <v>0</v>
      </c>
      <c r="O417" t="n">
        <v>0</v>
      </c>
      <c r="P417" t="n">
        <v>0</v>
      </c>
      <c r="Q417" t="n">
        <v>0</v>
      </c>
      <c r="R417" s="2" t="inlineStr"/>
    </row>
    <row r="418" ht="15" customHeight="1">
      <c r="A418" t="inlineStr">
        <is>
          <t>A 12975-2022</t>
        </is>
      </c>
      <c r="B418" s="1" t="n">
        <v>44643</v>
      </c>
      <c r="C418" s="1" t="n">
        <v>46053</v>
      </c>
      <c r="D418" t="inlineStr">
        <is>
          <t>SÖDERMANLANDS LÄN</t>
        </is>
      </c>
      <c r="E418" t="inlineStr">
        <is>
          <t>KATRINEHOLM</t>
        </is>
      </c>
      <c r="G418" t="n">
        <v>2.4</v>
      </c>
      <c r="H418" t="n">
        <v>0</v>
      </c>
      <c r="I418" t="n">
        <v>0</v>
      </c>
      <c r="J418" t="n">
        <v>0</v>
      </c>
      <c r="K418" t="n">
        <v>0</v>
      </c>
      <c r="L418" t="n">
        <v>0</v>
      </c>
      <c r="M418" t="n">
        <v>0</v>
      </c>
      <c r="N418" t="n">
        <v>0</v>
      </c>
      <c r="O418" t="n">
        <v>0</v>
      </c>
      <c r="P418" t="n">
        <v>0</v>
      </c>
      <c r="Q418" t="n">
        <v>0</v>
      </c>
      <c r="R418" s="2" t="inlineStr"/>
    </row>
    <row r="419" ht="15" customHeight="1">
      <c r="A419" t="inlineStr">
        <is>
          <t>A 51260-2021</t>
        </is>
      </c>
      <c r="B419" s="1" t="n">
        <v>44461</v>
      </c>
      <c r="C419" s="1" t="n">
        <v>46053</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46053</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46053</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46053</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46053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46053</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53843-2023</t>
        </is>
      </c>
      <c r="B425" s="1" t="n">
        <v>45230</v>
      </c>
      <c r="C425" s="1" t="n">
        <v>46053</v>
      </c>
      <c r="D425" t="inlineStr">
        <is>
          <t>SÖDERMANLANDS LÄN</t>
        </is>
      </c>
      <c r="E425" t="inlineStr">
        <is>
          <t>KATRINEHOLM</t>
        </is>
      </c>
      <c r="G425" t="n">
        <v>14.2</v>
      </c>
      <c r="H425" t="n">
        <v>0</v>
      </c>
      <c r="I425" t="n">
        <v>0</v>
      </c>
      <c r="J425" t="n">
        <v>0</v>
      </c>
      <c r="K425" t="n">
        <v>0</v>
      </c>
      <c r="L425" t="n">
        <v>0</v>
      </c>
      <c r="M425" t="n">
        <v>0</v>
      </c>
      <c r="N425" t="n">
        <v>0</v>
      </c>
      <c r="O425" t="n">
        <v>0</v>
      </c>
      <c r="P425" t="n">
        <v>0</v>
      </c>
      <c r="Q425" t="n">
        <v>0</v>
      </c>
      <c r="R425" s="2" t="inlineStr"/>
    </row>
    <row r="426" ht="15" customHeight="1">
      <c r="A426" t="inlineStr">
        <is>
          <t>A 35157-2025</t>
        </is>
      </c>
      <c r="B426" s="1" t="n">
        <v>45852</v>
      </c>
      <c r="C426" s="1" t="n">
        <v>46053</v>
      </c>
      <c r="D426" t="inlineStr">
        <is>
          <t>SÖDERMANLANDS LÄN</t>
        </is>
      </c>
      <c r="E426" t="inlineStr">
        <is>
          <t>KATRINEHOLM</t>
        </is>
      </c>
      <c r="G426" t="n">
        <v>3.7</v>
      </c>
      <c r="H426" t="n">
        <v>0</v>
      </c>
      <c r="I426" t="n">
        <v>0</v>
      </c>
      <c r="J426" t="n">
        <v>0</v>
      </c>
      <c r="K426" t="n">
        <v>0</v>
      </c>
      <c r="L426" t="n">
        <v>0</v>
      </c>
      <c r="M426" t="n">
        <v>0</v>
      </c>
      <c r="N426" t="n">
        <v>0</v>
      </c>
      <c r="O426" t="n">
        <v>0</v>
      </c>
      <c r="P426" t="n">
        <v>0</v>
      </c>
      <c r="Q426" t="n">
        <v>0</v>
      </c>
      <c r="R426" s="2" t="inlineStr"/>
    </row>
    <row r="427" ht="15" customHeight="1">
      <c r="A427" t="inlineStr">
        <is>
          <t>A 35158-2025</t>
        </is>
      </c>
      <c r="B427" s="1" t="n">
        <v>45852</v>
      </c>
      <c r="C427" s="1" t="n">
        <v>46053</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48763-2024</t>
        </is>
      </c>
      <c r="B428" s="1" t="n">
        <v>45593.60288194445</v>
      </c>
      <c r="C428" s="1" t="n">
        <v>46053</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41548-2025</t>
        </is>
      </c>
      <c r="B429" s="1" t="n">
        <v>45901</v>
      </c>
      <c r="C429" s="1" t="n">
        <v>46053</v>
      </c>
      <c r="D429" t="inlineStr">
        <is>
          <t>SÖDERMANLANDS LÄN</t>
        </is>
      </c>
      <c r="E429" t="inlineStr">
        <is>
          <t>KATRINEHOLM</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33096-2025</t>
        </is>
      </c>
      <c r="B430" s="1" t="n">
        <v>45840.47563657408</v>
      </c>
      <c r="C430" s="1" t="n">
        <v>46053</v>
      </c>
      <c r="D430" t="inlineStr">
        <is>
          <t>SÖDERMANLANDS LÄN</t>
        </is>
      </c>
      <c r="E430" t="inlineStr">
        <is>
          <t>KATRINEHOLM</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14478-2023</t>
        </is>
      </c>
      <c r="B431" s="1" t="n">
        <v>45012.66421296296</v>
      </c>
      <c r="C431" s="1" t="n">
        <v>46053</v>
      </c>
      <c r="D431" t="inlineStr">
        <is>
          <t>SÖDERMANLANDS LÄN</t>
        </is>
      </c>
      <c r="E431" t="inlineStr">
        <is>
          <t>KATRINEHOLM</t>
        </is>
      </c>
      <c r="G431" t="n">
        <v>3.9</v>
      </c>
      <c r="H431" t="n">
        <v>0</v>
      </c>
      <c r="I431" t="n">
        <v>0</v>
      </c>
      <c r="J431" t="n">
        <v>0</v>
      </c>
      <c r="K431" t="n">
        <v>0</v>
      </c>
      <c r="L431" t="n">
        <v>0</v>
      </c>
      <c r="M431" t="n">
        <v>0</v>
      </c>
      <c r="N431" t="n">
        <v>0</v>
      </c>
      <c r="O431" t="n">
        <v>0</v>
      </c>
      <c r="P431" t="n">
        <v>0</v>
      </c>
      <c r="Q431" t="n">
        <v>0</v>
      </c>
      <c r="R431" s="2" t="inlineStr"/>
    </row>
    <row r="432" ht="15" customHeight="1">
      <c r="A432" t="inlineStr">
        <is>
          <t>A 20921-2023</t>
        </is>
      </c>
      <c r="B432" s="1" t="n">
        <v>45061</v>
      </c>
      <c r="C432" s="1" t="n">
        <v>46053</v>
      </c>
      <c r="D432" t="inlineStr">
        <is>
          <t>SÖDERMANLANDS LÄN</t>
        </is>
      </c>
      <c r="E432" t="inlineStr">
        <is>
          <t>KATRINEHOLM</t>
        </is>
      </c>
      <c r="G432" t="n">
        <v>8.9</v>
      </c>
      <c r="H432" t="n">
        <v>0</v>
      </c>
      <c r="I432" t="n">
        <v>0</v>
      </c>
      <c r="J432" t="n">
        <v>0</v>
      </c>
      <c r="K432" t="n">
        <v>0</v>
      </c>
      <c r="L432" t="n">
        <v>0</v>
      </c>
      <c r="M432" t="n">
        <v>0</v>
      </c>
      <c r="N432" t="n">
        <v>0</v>
      </c>
      <c r="O432" t="n">
        <v>0</v>
      </c>
      <c r="P432" t="n">
        <v>0</v>
      </c>
      <c r="Q432" t="n">
        <v>0</v>
      </c>
      <c r="R432" s="2" t="inlineStr"/>
    </row>
    <row r="433" ht="15" customHeight="1">
      <c r="A433" t="inlineStr">
        <is>
          <t>A 12930-2023</t>
        </is>
      </c>
      <c r="B433" s="1" t="n">
        <v>45001</v>
      </c>
      <c r="C433" s="1" t="n">
        <v>46053</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12938-2023</t>
        </is>
      </c>
      <c r="B434" s="1" t="n">
        <v>45001</v>
      </c>
      <c r="C434" s="1" t="n">
        <v>46053</v>
      </c>
      <c r="D434" t="inlineStr">
        <is>
          <t>SÖDERMANLANDS LÄN</t>
        </is>
      </c>
      <c r="E434" t="inlineStr">
        <is>
          <t>KATRINEHOLM</t>
        </is>
      </c>
      <c r="G434" t="n">
        <v>0.4</v>
      </c>
      <c r="H434" t="n">
        <v>0</v>
      </c>
      <c r="I434" t="n">
        <v>0</v>
      </c>
      <c r="J434" t="n">
        <v>0</v>
      </c>
      <c r="K434" t="n">
        <v>0</v>
      </c>
      <c r="L434" t="n">
        <v>0</v>
      </c>
      <c r="M434" t="n">
        <v>0</v>
      </c>
      <c r="N434" t="n">
        <v>0</v>
      </c>
      <c r="O434" t="n">
        <v>0</v>
      </c>
      <c r="P434" t="n">
        <v>0</v>
      </c>
      <c r="Q434" t="n">
        <v>0</v>
      </c>
      <c r="R434" s="2" t="inlineStr"/>
    </row>
    <row r="435" ht="15" customHeight="1">
      <c r="A435" t="inlineStr">
        <is>
          <t>A 33077-2025</t>
        </is>
      </c>
      <c r="B435" s="1" t="n">
        <v>45840.45864583334</v>
      </c>
      <c r="C435" s="1" t="n">
        <v>46053</v>
      </c>
      <c r="D435" t="inlineStr">
        <is>
          <t>SÖDERMANLANDS LÄN</t>
        </is>
      </c>
      <c r="E435" t="inlineStr">
        <is>
          <t>KATRINEHOLM</t>
        </is>
      </c>
      <c r="G435" t="n">
        <v>7</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46053</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12559-2023</t>
        </is>
      </c>
      <c r="B437" s="1" t="n">
        <v>45000.36373842593</v>
      </c>
      <c r="C437" s="1" t="n">
        <v>46053</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7704-2023</t>
        </is>
      </c>
      <c r="B438" s="1" t="n">
        <v>44968</v>
      </c>
      <c r="C438" s="1" t="n">
        <v>46053</v>
      </c>
      <c r="D438" t="inlineStr">
        <is>
          <t>SÖDERMANLANDS LÄN</t>
        </is>
      </c>
      <c r="E438" t="inlineStr">
        <is>
          <t>KATRINEHOLM</t>
        </is>
      </c>
      <c r="G438" t="n">
        <v>7.3</v>
      </c>
      <c r="H438" t="n">
        <v>0</v>
      </c>
      <c r="I438" t="n">
        <v>0</v>
      </c>
      <c r="J438" t="n">
        <v>0</v>
      </c>
      <c r="K438" t="n">
        <v>0</v>
      </c>
      <c r="L438" t="n">
        <v>0</v>
      </c>
      <c r="M438" t="n">
        <v>0</v>
      </c>
      <c r="N438" t="n">
        <v>0</v>
      </c>
      <c r="O438" t="n">
        <v>0</v>
      </c>
      <c r="P438" t="n">
        <v>0</v>
      </c>
      <c r="Q438" t="n">
        <v>0</v>
      </c>
      <c r="R438" s="2" t="inlineStr"/>
    </row>
    <row r="439" ht="15" customHeight="1">
      <c r="A439" t="inlineStr">
        <is>
          <t>A 49122-2024</t>
        </is>
      </c>
      <c r="B439" s="1" t="n">
        <v>45594</v>
      </c>
      <c r="C439" s="1" t="n">
        <v>46053</v>
      </c>
      <c r="D439" t="inlineStr">
        <is>
          <t>SÖDERMANLANDS LÄN</t>
        </is>
      </c>
      <c r="E439" t="inlineStr">
        <is>
          <t>KATRINEHOLM</t>
        </is>
      </c>
      <c r="G439" t="n">
        <v>19.4</v>
      </c>
      <c r="H439" t="n">
        <v>0</v>
      </c>
      <c r="I439" t="n">
        <v>0</v>
      </c>
      <c r="J439" t="n">
        <v>0</v>
      </c>
      <c r="K439" t="n">
        <v>0</v>
      </c>
      <c r="L439" t="n">
        <v>0</v>
      </c>
      <c r="M439" t="n">
        <v>0</v>
      </c>
      <c r="N439" t="n">
        <v>0</v>
      </c>
      <c r="O439" t="n">
        <v>0</v>
      </c>
      <c r="P439" t="n">
        <v>0</v>
      </c>
      <c r="Q439" t="n">
        <v>0</v>
      </c>
      <c r="R439" s="2" t="inlineStr"/>
    </row>
    <row r="440" ht="15" customHeight="1">
      <c r="A440" t="inlineStr">
        <is>
          <t>A 54359-2025</t>
        </is>
      </c>
      <c r="B440" s="1" t="n">
        <v>45964</v>
      </c>
      <c r="C440" s="1" t="n">
        <v>46053</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54395-2025</t>
        </is>
      </c>
      <c r="B441" s="1" t="n">
        <v>45964</v>
      </c>
      <c r="C441" s="1" t="n">
        <v>46053</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12937-2023</t>
        </is>
      </c>
      <c r="B442" s="1" t="n">
        <v>45001</v>
      </c>
      <c r="C442" s="1" t="n">
        <v>46053</v>
      </c>
      <c r="D442" t="inlineStr">
        <is>
          <t>SÖDERMANLANDS LÄN</t>
        </is>
      </c>
      <c r="E442" t="inlineStr">
        <is>
          <t>KATRINEHOLM</t>
        </is>
      </c>
      <c r="G442" t="n">
        <v>0.9</v>
      </c>
      <c r="H442" t="n">
        <v>0</v>
      </c>
      <c r="I442" t="n">
        <v>0</v>
      </c>
      <c r="J442" t="n">
        <v>0</v>
      </c>
      <c r="K442" t="n">
        <v>0</v>
      </c>
      <c r="L442" t="n">
        <v>0</v>
      </c>
      <c r="M442" t="n">
        <v>0</v>
      </c>
      <c r="N442" t="n">
        <v>0</v>
      </c>
      <c r="O442" t="n">
        <v>0</v>
      </c>
      <c r="P442" t="n">
        <v>0</v>
      </c>
      <c r="Q442" t="n">
        <v>0</v>
      </c>
      <c r="R442" s="2" t="inlineStr"/>
    </row>
    <row r="443" ht="15" customHeight="1">
      <c r="A443" t="inlineStr">
        <is>
          <t>A 11127-2023</t>
        </is>
      </c>
      <c r="B443" s="1" t="n">
        <v>44987</v>
      </c>
      <c r="C443" s="1" t="n">
        <v>46053</v>
      </c>
      <c r="D443" t="inlineStr">
        <is>
          <t>SÖDERMANLANDS LÄN</t>
        </is>
      </c>
      <c r="E443" t="inlineStr">
        <is>
          <t>KATRINEHOLM</t>
        </is>
      </c>
      <c r="G443" t="n">
        <v>4.3</v>
      </c>
      <c r="H443" t="n">
        <v>0</v>
      </c>
      <c r="I443" t="n">
        <v>0</v>
      </c>
      <c r="J443" t="n">
        <v>0</v>
      </c>
      <c r="K443" t="n">
        <v>0</v>
      </c>
      <c r="L443" t="n">
        <v>0</v>
      </c>
      <c r="M443" t="n">
        <v>0</v>
      </c>
      <c r="N443" t="n">
        <v>0</v>
      </c>
      <c r="O443" t="n">
        <v>0</v>
      </c>
      <c r="P443" t="n">
        <v>0</v>
      </c>
      <c r="Q443" t="n">
        <v>0</v>
      </c>
      <c r="R443" s="2" t="inlineStr"/>
    </row>
    <row r="444" ht="15" customHeight="1">
      <c r="A444" t="inlineStr">
        <is>
          <t>A 34176-2025</t>
        </is>
      </c>
      <c r="B444" s="1" t="n">
        <v>45845</v>
      </c>
      <c r="C444" s="1" t="n">
        <v>46053</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27345-2023</t>
        </is>
      </c>
      <c r="B445" s="1" t="n">
        <v>45096</v>
      </c>
      <c r="C445" s="1" t="n">
        <v>46053</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1151-2025</t>
        </is>
      </c>
      <c r="B446" s="1" t="n">
        <v>45666</v>
      </c>
      <c r="C446" s="1" t="n">
        <v>46053</v>
      </c>
      <c r="D446" t="inlineStr">
        <is>
          <t>SÖDERMANLANDS LÄN</t>
        </is>
      </c>
      <c r="E446" t="inlineStr">
        <is>
          <t>KATRINEHOLM</t>
        </is>
      </c>
      <c r="G446" t="n">
        <v>1.9</v>
      </c>
      <c r="H446" t="n">
        <v>0</v>
      </c>
      <c r="I446" t="n">
        <v>0</v>
      </c>
      <c r="J446" t="n">
        <v>0</v>
      </c>
      <c r="K446" t="n">
        <v>0</v>
      </c>
      <c r="L446" t="n">
        <v>0</v>
      </c>
      <c r="M446" t="n">
        <v>0</v>
      </c>
      <c r="N446" t="n">
        <v>0</v>
      </c>
      <c r="O446" t="n">
        <v>0</v>
      </c>
      <c r="P446" t="n">
        <v>0</v>
      </c>
      <c r="Q446" t="n">
        <v>0</v>
      </c>
      <c r="R446" s="2" t="inlineStr"/>
    </row>
    <row r="447" ht="15" customHeight="1">
      <c r="A447" t="inlineStr">
        <is>
          <t>A 6808-2023</t>
        </is>
      </c>
      <c r="B447" s="1" t="n">
        <v>44964</v>
      </c>
      <c r="C447" s="1" t="n">
        <v>46053</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61394-2024</t>
        </is>
      </c>
      <c r="B448" s="1" t="n">
        <v>45646.42061342593</v>
      </c>
      <c r="C448" s="1" t="n">
        <v>46053</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44024-2021</t>
        </is>
      </c>
      <c r="B449" s="1" t="n">
        <v>44434</v>
      </c>
      <c r="C449" s="1" t="n">
        <v>46053</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55029-2025</t>
        </is>
      </c>
      <c r="B450" s="1" t="n">
        <v>45967.63784722222</v>
      </c>
      <c r="C450" s="1" t="n">
        <v>46053</v>
      </c>
      <c r="D450" t="inlineStr">
        <is>
          <t>SÖDERMANLANDS LÄN</t>
        </is>
      </c>
      <c r="E450" t="inlineStr">
        <is>
          <t>KATRINEHOLM</t>
        </is>
      </c>
      <c r="G450" t="n">
        <v>10.1</v>
      </c>
      <c r="H450" t="n">
        <v>0</v>
      </c>
      <c r="I450" t="n">
        <v>0</v>
      </c>
      <c r="J450" t="n">
        <v>0</v>
      </c>
      <c r="K450" t="n">
        <v>0</v>
      </c>
      <c r="L450" t="n">
        <v>0</v>
      </c>
      <c r="M450" t="n">
        <v>0</v>
      </c>
      <c r="N450" t="n">
        <v>0</v>
      </c>
      <c r="O450" t="n">
        <v>0</v>
      </c>
      <c r="P450" t="n">
        <v>0</v>
      </c>
      <c r="Q450" t="n">
        <v>0</v>
      </c>
      <c r="R450" s="2" t="inlineStr"/>
    </row>
    <row r="451" ht="15" customHeight="1">
      <c r="A451" t="inlineStr">
        <is>
          <t>A 54999-2025</t>
        </is>
      </c>
      <c r="B451" s="1" t="n">
        <v>45967.59880787037</v>
      </c>
      <c r="C451" s="1" t="n">
        <v>46053</v>
      </c>
      <c r="D451" t="inlineStr">
        <is>
          <t>SÖDERMANLANDS LÄN</t>
        </is>
      </c>
      <c r="E451" t="inlineStr">
        <is>
          <t>KATRINEHOLM</t>
        </is>
      </c>
      <c r="G451" t="n">
        <v>8.5</v>
      </c>
      <c r="H451" t="n">
        <v>0</v>
      </c>
      <c r="I451" t="n">
        <v>0</v>
      </c>
      <c r="J451" t="n">
        <v>0</v>
      </c>
      <c r="K451" t="n">
        <v>0</v>
      </c>
      <c r="L451" t="n">
        <v>0</v>
      </c>
      <c r="M451" t="n">
        <v>0</v>
      </c>
      <c r="N451" t="n">
        <v>0</v>
      </c>
      <c r="O451" t="n">
        <v>0</v>
      </c>
      <c r="P451" t="n">
        <v>0</v>
      </c>
      <c r="Q451" t="n">
        <v>0</v>
      </c>
      <c r="R451" s="2" t="inlineStr"/>
    </row>
    <row r="452" ht="15" customHeight="1">
      <c r="A452" t="inlineStr">
        <is>
          <t>A 18339-2023</t>
        </is>
      </c>
      <c r="B452" s="1" t="n">
        <v>45041</v>
      </c>
      <c r="C452" s="1" t="n">
        <v>46053</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36590-2025</t>
        </is>
      </c>
      <c r="B453" s="1" t="n">
        <v>45870</v>
      </c>
      <c r="C453" s="1" t="n">
        <v>46053</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58522-2024</t>
        </is>
      </c>
      <c r="B454" s="1" t="n">
        <v>45635.43770833333</v>
      </c>
      <c r="C454" s="1" t="n">
        <v>46053</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26684-2025</t>
        </is>
      </c>
      <c r="B455" s="1" t="n">
        <v>45810</v>
      </c>
      <c r="C455" s="1" t="n">
        <v>46053</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12227-2025</t>
        </is>
      </c>
      <c r="B456" s="1" t="n">
        <v>45729.56836805555</v>
      </c>
      <c r="C456" s="1" t="n">
        <v>46053</v>
      </c>
      <c r="D456" t="inlineStr">
        <is>
          <t>SÖDERMANLANDS LÄN</t>
        </is>
      </c>
      <c r="E456" t="inlineStr">
        <is>
          <t>KATRINEHOLM</t>
        </is>
      </c>
      <c r="G456" t="n">
        <v>7</v>
      </c>
      <c r="H456" t="n">
        <v>0</v>
      </c>
      <c r="I456" t="n">
        <v>0</v>
      </c>
      <c r="J456" t="n">
        <v>0</v>
      </c>
      <c r="K456" t="n">
        <v>0</v>
      </c>
      <c r="L456" t="n">
        <v>0</v>
      </c>
      <c r="M456" t="n">
        <v>0</v>
      </c>
      <c r="N456" t="n">
        <v>0</v>
      </c>
      <c r="O456" t="n">
        <v>0</v>
      </c>
      <c r="P456" t="n">
        <v>0</v>
      </c>
      <c r="Q456" t="n">
        <v>0</v>
      </c>
      <c r="R456" s="2" t="inlineStr"/>
    </row>
    <row r="457" ht="15" customHeight="1">
      <c r="A457" t="inlineStr">
        <is>
          <t>A 47889-2023</t>
        </is>
      </c>
      <c r="B457" s="1" t="n">
        <v>45204</v>
      </c>
      <c r="C457" s="1" t="n">
        <v>46053</v>
      </c>
      <c r="D457" t="inlineStr">
        <is>
          <t>SÖDERMANLANDS LÄN</t>
        </is>
      </c>
      <c r="E457" t="inlineStr">
        <is>
          <t>KATRINEHOLM</t>
        </is>
      </c>
      <c r="G457" t="n">
        <v>2.1</v>
      </c>
      <c r="H457" t="n">
        <v>0</v>
      </c>
      <c r="I457" t="n">
        <v>0</v>
      </c>
      <c r="J457" t="n">
        <v>0</v>
      </c>
      <c r="K457" t="n">
        <v>0</v>
      </c>
      <c r="L457" t="n">
        <v>0</v>
      </c>
      <c r="M457" t="n">
        <v>0</v>
      </c>
      <c r="N457" t="n">
        <v>0</v>
      </c>
      <c r="O457" t="n">
        <v>0</v>
      </c>
      <c r="P457" t="n">
        <v>0</v>
      </c>
      <c r="Q457" t="n">
        <v>0</v>
      </c>
      <c r="R457" s="2" t="inlineStr"/>
    </row>
    <row r="458" ht="15" customHeight="1">
      <c r="A458" t="inlineStr">
        <is>
          <t>A 34732-2022</t>
        </is>
      </c>
      <c r="B458" s="1" t="n">
        <v>44795</v>
      </c>
      <c r="C458" s="1" t="n">
        <v>46053</v>
      </c>
      <c r="D458" t="inlineStr">
        <is>
          <t>SÖDERMANLANDS LÄN</t>
        </is>
      </c>
      <c r="E458" t="inlineStr">
        <is>
          <t>KATRINEHOLM</t>
        </is>
      </c>
      <c r="G458" t="n">
        <v>3</v>
      </c>
      <c r="H458" t="n">
        <v>0</v>
      </c>
      <c r="I458" t="n">
        <v>0</v>
      </c>
      <c r="J458" t="n">
        <v>0</v>
      </c>
      <c r="K458" t="n">
        <v>0</v>
      </c>
      <c r="L458" t="n">
        <v>0</v>
      </c>
      <c r="M458" t="n">
        <v>0</v>
      </c>
      <c r="N458" t="n">
        <v>0</v>
      </c>
      <c r="O458" t="n">
        <v>0</v>
      </c>
      <c r="P458" t="n">
        <v>0</v>
      </c>
      <c r="Q458" t="n">
        <v>0</v>
      </c>
      <c r="R458" s="2" t="inlineStr"/>
    </row>
    <row r="459" ht="15" customHeight="1">
      <c r="A459" t="inlineStr">
        <is>
          <t>A 50021-2023</t>
        </is>
      </c>
      <c r="B459" s="1" t="n">
        <v>45215</v>
      </c>
      <c r="C459" s="1" t="n">
        <v>46053</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37043-2025</t>
        </is>
      </c>
      <c r="B460" s="1" t="n">
        <v>45875.3396412037</v>
      </c>
      <c r="C460" s="1" t="n">
        <v>46053</v>
      </c>
      <c r="D460" t="inlineStr">
        <is>
          <t>SÖDERMANLANDS LÄN</t>
        </is>
      </c>
      <c r="E460" t="inlineStr">
        <is>
          <t>KATRINEHOLM</t>
        </is>
      </c>
      <c r="G460" t="n">
        <v>2.2</v>
      </c>
      <c r="H460" t="n">
        <v>0</v>
      </c>
      <c r="I460" t="n">
        <v>0</v>
      </c>
      <c r="J460" t="n">
        <v>0</v>
      </c>
      <c r="K460" t="n">
        <v>0</v>
      </c>
      <c r="L460" t="n">
        <v>0</v>
      </c>
      <c r="M460" t="n">
        <v>0</v>
      </c>
      <c r="N460" t="n">
        <v>0</v>
      </c>
      <c r="O460" t="n">
        <v>0</v>
      </c>
      <c r="P460" t="n">
        <v>0</v>
      </c>
      <c r="Q460" t="n">
        <v>0</v>
      </c>
      <c r="R460" s="2" t="inlineStr"/>
    </row>
    <row r="461" ht="15" customHeight="1">
      <c r="A461" t="inlineStr">
        <is>
          <t>A 32166-2022</t>
        </is>
      </c>
      <c r="B461" s="1" t="n">
        <v>44781</v>
      </c>
      <c r="C461" s="1" t="n">
        <v>46053</v>
      </c>
      <c r="D461" t="inlineStr">
        <is>
          <t>SÖDERMANLANDS LÄN</t>
        </is>
      </c>
      <c r="E461" t="inlineStr">
        <is>
          <t>KATRINEHOLM</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32169-2022</t>
        </is>
      </c>
      <c r="B462" s="1" t="n">
        <v>44781</v>
      </c>
      <c r="C462" s="1" t="n">
        <v>46053</v>
      </c>
      <c r="D462" t="inlineStr">
        <is>
          <t>SÖDERMANLANDS LÄN</t>
        </is>
      </c>
      <c r="E462" t="inlineStr">
        <is>
          <t>KATRINEHOLM</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35864-2023</t>
        </is>
      </c>
      <c r="B463" s="1" t="n">
        <v>45147</v>
      </c>
      <c r="C463" s="1" t="n">
        <v>46053</v>
      </c>
      <c r="D463" t="inlineStr">
        <is>
          <t>SÖDERMANLANDS LÄN</t>
        </is>
      </c>
      <c r="E463" t="inlineStr">
        <is>
          <t>KATRINEHOLM</t>
        </is>
      </c>
      <c r="F463" t="inlineStr">
        <is>
          <t>Övriga Aktiebolag</t>
        </is>
      </c>
      <c r="G463" t="n">
        <v>4.7</v>
      </c>
      <c r="H463" t="n">
        <v>0</v>
      </c>
      <c r="I463" t="n">
        <v>0</v>
      </c>
      <c r="J463" t="n">
        <v>0</v>
      </c>
      <c r="K463" t="n">
        <v>0</v>
      </c>
      <c r="L463" t="n">
        <v>0</v>
      </c>
      <c r="M463" t="n">
        <v>0</v>
      </c>
      <c r="N463" t="n">
        <v>0</v>
      </c>
      <c r="O463" t="n">
        <v>0</v>
      </c>
      <c r="P463" t="n">
        <v>0</v>
      </c>
      <c r="Q463" t="n">
        <v>0</v>
      </c>
      <c r="R463" s="2" t="inlineStr"/>
    </row>
    <row r="464" ht="15" customHeight="1">
      <c r="A464" t="inlineStr">
        <is>
          <t>A 44637-2023</t>
        </is>
      </c>
      <c r="B464" s="1" t="n">
        <v>45189</v>
      </c>
      <c r="C464" s="1" t="n">
        <v>46053</v>
      </c>
      <c r="D464" t="inlineStr">
        <is>
          <t>SÖDERMANLANDS LÄN</t>
        </is>
      </c>
      <c r="E464" t="inlineStr">
        <is>
          <t>KATRINEHOLM</t>
        </is>
      </c>
      <c r="G464" t="n">
        <v>5.1</v>
      </c>
      <c r="H464" t="n">
        <v>0</v>
      </c>
      <c r="I464" t="n">
        <v>0</v>
      </c>
      <c r="J464" t="n">
        <v>0</v>
      </c>
      <c r="K464" t="n">
        <v>0</v>
      </c>
      <c r="L464" t="n">
        <v>0</v>
      </c>
      <c r="M464" t="n">
        <v>0</v>
      </c>
      <c r="N464" t="n">
        <v>0</v>
      </c>
      <c r="O464" t="n">
        <v>0</v>
      </c>
      <c r="P464" t="n">
        <v>0</v>
      </c>
      <c r="Q464" t="n">
        <v>0</v>
      </c>
      <c r="R464" s="2" t="inlineStr"/>
    </row>
    <row r="465" ht="15" customHeight="1">
      <c r="A465" t="inlineStr">
        <is>
          <t>A 11543-2025</t>
        </is>
      </c>
      <c r="B465" s="1" t="n">
        <v>45727.34248842593</v>
      </c>
      <c r="C465" s="1" t="n">
        <v>46053</v>
      </c>
      <c r="D465" t="inlineStr">
        <is>
          <t>SÖDERMANLANDS LÄN</t>
        </is>
      </c>
      <c r="E465" t="inlineStr">
        <is>
          <t>KATRINEHOLM</t>
        </is>
      </c>
      <c r="G465" t="n">
        <v>3.6</v>
      </c>
      <c r="H465" t="n">
        <v>0</v>
      </c>
      <c r="I465" t="n">
        <v>0</v>
      </c>
      <c r="J465" t="n">
        <v>0</v>
      </c>
      <c r="K465" t="n">
        <v>0</v>
      </c>
      <c r="L465" t="n">
        <v>0</v>
      </c>
      <c r="M465" t="n">
        <v>0</v>
      </c>
      <c r="N465" t="n">
        <v>0</v>
      </c>
      <c r="O465" t="n">
        <v>0</v>
      </c>
      <c r="P465" t="n">
        <v>0</v>
      </c>
      <c r="Q465" t="n">
        <v>0</v>
      </c>
      <c r="R465" s="2" t="inlineStr"/>
    </row>
    <row r="466" ht="15" customHeight="1">
      <c r="A466" t="inlineStr">
        <is>
          <t>A 37827-2025</t>
        </is>
      </c>
      <c r="B466" s="1" t="n">
        <v>45881.40907407407</v>
      </c>
      <c r="C466" s="1" t="n">
        <v>46053</v>
      </c>
      <c r="D466" t="inlineStr">
        <is>
          <t>SÖDERMANLANDS LÄN</t>
        </is>
      </c>
      <c r="E466" t="inlineStr">
        <is>
          <t>KATRINEHOLM</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55829-2025</t>
        </is>
      </c>
      <c r="B467" s="1" t="n">
        <v>45972.79274305556</v>
      </c>
      <c r="C467" s="1" t="n">
        <v>46053</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55832-2025</t>
        </is>
      </c>
      <c r="B468" s="1" t="n">
        <v>45972.81768518518</v>
      </c>
      <c r="C468" s="1" t="n">
        <v>46053</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39055-2022</t>
        </is>
      </c>
      <c r="B469" s="1" t="n">
        <v>44817</v>
      </c>
      <c r="C469" s="1" t="n">
        <v>46053</v>
      </c>
      <c r="D469" t="inlineStr">
        <is>
          <t>SÖDERMANLANDS LÄN</t>
        </is>
      </c>
      <c r="E469" t="inlineStr">
        <is>
          <t>KATRINEHOLM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46257-2021</t>
        </is>
      </c>
      <c r="B470" s="1" t="n">
        <v>44442</v>
      </c>
      <c r="C470" s="1" t="n">
        <v>46053</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52769-2023</t>
        </is>
      </c>
      <c r="B471" s="1" t="n">
        <v>45226</v>
      </c>
      <c r="C471" s="1" t="n">
        <v>46053</v>
      </c>
      <c r="D471" t="inlineStr">
        <is>
          <t>SÖDERMANLANDS LÄN</t>
        </is>
      </c>
      <c r="E471" t="inlineStr">
        <is>
          <t>KATRINEHOLM</t>
        </is>
      </c>
      <c r="G471" t="n">
        <v>0.5</v>
      </c>
      <c r="H471" t="n">
        <v>0</v>
      </c>
      <c r="I471" t="n">
        <v>0</v>
      </c>
      <c r="J471" t="n">
        <v>0</v>
      </c>
      <c r="K471" t="n">
        <v>0</v>
      </c>
      <c r="L471" t="n">
        <v>0</v>
      </c>
      <c r="M471" t="n">
        <v>0</v>
      </c>
      <c r="N471" t="n">
        <v>0</v>
      </c>
      <c r="O471" t="n">
        <v>0</v>
      </c>
      <c r="P471" t="n">
        <v>0</v>
      </c>
      <c r="Q471" t="n">
        <v>0</v>
      </c>
      <c r="R471" s="2" t="inlineStr"/>
    </row>
    <row r="472" ht="15" customHeight="1">
      <c r="A472" t="inlineStr">
        <is>
          <t>A 55831-2025</t>
        </is>
      </c>
      <c r="B472" s="1" t="n">
        <v>45972.81034722222</v>
      </c>
      <c r="C472" s="1" t="n">
        <v>46053</v>
      </c>
      <c r="D472" t="inlineStr">
        <is>
          <t>SÖDERMANLANDS LÄN</t>
        </is>
      </c>
      <c r="E472" t="inlineStr">
        <is>
          <t>KATRINEHOLM</t>
        </is>
      </c>
      <c r="G472" t="n">
        <v>6.2</v>
      </c>
      <c r="H472" t="n">
        <v>0</v>
      </c>
      <c r="I472" t="n">
        <v>0</v>
      </c>
      <c r="J472" t="n">
        <v>0</v>
      </c>
      <c r="K472" t="n">
        <v>0</v>
      </c>
      <c r="L472" t="n">
        <v>0</v>
      </c>
      <c r="M472" t="n">
        <v>0</v>
      </c>
      <c r="N472" t="n">
        <v>0</v>
      </c>
      <c r="O472" t="n">
        <v>0</v>
      </c>
      <c r="P472" t="n">
        <v>0</v>
      </c>
      <c r="Q472" t="n">
        <v>0</v>
      </c>
      <c r="R472" s="2" t="inlineStr"/>
    </row>
    <row r="473" ht="15" customHeight="1">
      <c r="A473" t="inlineStr">
        <is>
          <t>A 4758-2025</t>
        </is>
      </c>
      <c r="B473" s="1" t="n">
        <v>45688</v>
      </c>
      <c r="C473" s="1" t="n">
        <v>46053</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56330-2025</t>
        </is>
      </c>
      <c r="B474" s="1" t="n">
        <v>45974.64094907408</v>
      </c>
      <c r="C474" s="1" t="n">
        <v>46053</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27852-2023</t>
        </is>
      </c>
      <c r="B475" s="1" t="n">
        <v>45098</v>
      </c>
      <c r="C475" s="1" t="n">
        <v>46053</v>
      </c>
      <c r="D475" t="inlineStr">
        <is>
          <t>SÖDERMANLANDS LÄN</t>
        </is>
      </c>
      <c r="E475" t="inlineStr">
        <is>
          <t>KATRINEHOLM</t>
        </is>
      </c>
      <c r="G475" t="n">
        <v>7.4</v>
      </c>
      <c r="H475" t="n">
        <v>0</v>
      </c>
      <c r="I475" t="n">
        <v>0</v>
      </c>
      <c r="J475" t="n">
        <v>0</v>
      </c>
      <c r="K475" t="n">
        <v>0</v>
      </c>
      <c r="L475" t="n">
        <v>0</v>
      </c>
      <c r="M475" t="n">
        <v>0</v>
      </c>
      <c r="N475" t="n">
        <v>0</v>
      </c>
      <c r="O475" t="n">
        <v>0</v>
      </c>
      <c r="P475" t="n">
        <v>0</v>
      </c>
      <c r="Q475" t="n">
        <v>0</v>
      </c>
      <c r="R475" s="2" t="inlineStr"/>
    </row>
    <row r="476" ht="15" customHeight="1">
      <c r="A476" t="inlineStr">
        <is>
          <t>A 28304-2024</t>
        </is>
      </c>
      <c r="B476" s="1" t="n">
        <v>45477</v>
      </c>
      <c r="C476" s="1" t="n">
        <v>46053</v>
      </c>
      <c r="D476" t="inlineStr">
        <is>
          <t>SÖDERMANLANDS LÄN</t>
        </is>
      </c>
      <c r="E476" t="inlineStr">
        <is>
          <t>KATRINEHOLM</t>
        </is>
      </c>
      <c r="G476" t="n">
        <v>3.8</v>
      </c>
      <c r="H476" t="n">
        <v>0</v>
      </c>
      <c r="I476" t="n">
        <v>0</v>
      </c>
      <c r="J476" t="n">
        <v>0</v>
      </c>
      <c r="K476" t="n">
        <v>0</v>
      </c>
      <c r="L476" t="n">
        <v>0</v>
      </c>
      <c r="M476" t="n">
        <v>0</v>
      </c>
      <c r="N476" t="n">
        <v>0</v>
      </c>
      <c r="O476" t="n">
        <v>0</v>
      </c>
      <c r="P476" t="n">
        <v>0</v>
      </c>
      <c r="Q476" t="n">
        <v>0</v>
      </c>
      <c r="R476" s="2" t="inlineStr"/>
    </row>
    <row r="477" ht="15" customHeight="1">
      <c r="A477" t="inlineStr">
        <is>
          <t>A 61911-2021</t>
        </is>
      </c>
      <c r="B477" s="1" t="n">
        <v>44502.35746527778</v>
      </c>
      <c r="C477" s="1" t="n">
        <v>46053</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42945-2023</t>
        </is>
      </c>
      <c r="B478" s="1" t="n">
        <v>45182.5793287037</v>
      </c>
      <c r="C478" s="1" t="n">
        <v>46053</v>
      </c>
      <c r="D478" t="inlineStr">
        <is>
          <t>SÖDERMANLANDS LÄN</t>
        </is>
      </c>
      <c r="E478" t="inlineStr">
        <is>
          <t>KATRINEHOLM</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42962-2023</t>
        </is>
      </c>
      <c r="B479" s="1" t="n">
        <v>45182</v>
      </c>
      <c r="C479" s="1" t="n">
        <v>46053</v>
      </c>
      <c r="D479" t="inlineStr">
        <is>
          <t>SÖDERMANLANDS LÄN</t>
        </is>
      </c>
      <c r="E479" t="inlineStr">
        <is>
          <t>KATRINEHOLM</t>
        </is>
      </c>
      <c r="F479" t="inlineStr">
        <is>
          <t>Övriga Aktiebolag</t>
        </is>
      </c>
      <c r="G479" t="n">
        <v>10.6</v>
      </c>
      <c r="H479" t="n">
        <v>0</v>
      </c>
      <c r="I479" t="n">
        <v>0</v>
      </c>
      <c r="J479" t="n">
        <v>0</v>
      </c>
      <c r="K479" t="n">
        <v>0</v>
      </c>
      <c r="L479" t="n">
        <v>0</v>
      </c>
      <c r="M479" t="n">
        <v>0</v>
      </c>
      <c r="N479" t="n">
        <v>0</v>
      </c>
      <c r="O479" t="n">
        <v>0</v>
      </c>
      <c r="P479" t="n">
        <v>0</v>
      </c>
      <c r="Q479" t="n">
        <v>0</v>
      </c>
      <c r="R479" s="2" t="inlineStr"/>
    </row>
    <row r="480" ht="15" customHeight="1">
      <c r="A480" t="inlineStr">
        <is>
          <t>A 44915-2022</t>
        </is>
      </c>
      <c r="B480" s="1" t="n">
        <v>44840</v>
      </c>
      <c r="C480" s="1" t="n">
        <v>46053</v>
      </c>
      <c r="D480" t="inlineStr">
        <is>
          <t>SÖDERMANLANDS LÄN</t>
        </is>
      </c>
      <c r="E480" t="inlineStr">
        <is>
          <t>KATRINEHOLM</t>
        </is>
      </c>
      <c r="G480" t="n">
        <v>6.3</v>
      </c>
      <c r="H480" t="n">
        <v>0</v>
      </c>
      <c r="I480" t="n">
        <v>0</v>
      </c>
      <c r="J480" t="n">
        <v>0</v>
      </c>
      <c r="K480" t="n">
        <v>0</v>
      </c>
      <c r="L480" t="n">
        <v>0</v>
      </c>
      <c r="M480" t="n">
        <v>0</v>
      </c>
      <c r="N480" t="n">
        <v>0</v>
      </c>
      <c r="O480" t="n">
        <v>0</v>
      </c>
      <c r="P480" t="n">
        <v>0</v>
      </c>
      <c r="Q480" t="n">
        <v>0</v>
      </c>
      <c r="R480" s="2" t="inlineStr"/>
    </row>
    <row r="481" ht="15" customHeight="1">
      <c r="A481" t="inlineStr">
        <is>
          <t>A 56597-2025</t>
        </is>
      </c>
      <c r="B481" s="1" t="n">
        <v>45975.57271990741</v>
      </c>
      <c r="C481" s="1" t="n">
        <v>46053</v>
      </c>
      <c r="D481" t="inlineStr">
        <is>
          <t>SÖDERMANLANDS LÄN</t>
        </is>
      </c>
      <c r="E481" t="inlineStr">
        <is>
          <t>KATRINEHOLM</t>
        </is>
      </c>
      <c r="G481" t="n">
        <v>1.7</v>
      </c>
      <c r="H481" t="n">
        <v>0</v>
      </c>
      <c r="I481" t="n">
        <v>0</v>
      </c>
      <c r="J481" t="n">
        <v>0</v>
      </c>
      <c r="K481" t="n">
        <v>0</v>
      </c>
      <c r="L481" t="n">
        <v>0</v>
      </c>
      <c r="M481" t="n">
        <v>0</v>
      </c>
      <c r="N481" t="n">
        <v>0</v>
      </c>
      <c r="O481" t="n">
        <v>0</v>
      </c>
      <c r="P481" t="n">
        <v>0</v>
      </c>
      <c r="Q481" t="n">
        <v>0</v>
      </c>
      <c r="R481" s="2" t="inlineStr"/>
    </row>
    <row r="482" ht="15" customHeight="1">
      <c r="A482" t="inlineStr">
        <is>
          <t>A 5953-2021</t>
        </is>
      </c>
      <c r="B482" s="1" t="n">
        <v>44231</v>
      </c>
      <c r="C482" s="1" t="n">
        <v>46053</v>
      </c>
      <c r="D482" t="inlineStr">
        <is>
          <t>SÖDERMANLANDS LÄN</t>
        </is>
      </c>
      <c r="E482" t="inlineStr">
        <is>
          <t>KATRINEHOLM</t>
        </is>
      </c>
      <c r="G482" t="n">
        <v>3.1</v>
      </c>
      <c r="H482" t="n">
        <v>0</v>
      </c>
      <c r="I482" t="n">
        <v>0</v>
      </c>
      <c r="J482" t="n">
        <v>0</v>
      </c>
      <c r="K482" t="n">
        <v>0</v>
      </c>
      <c r="L482" t="n">
        <v>0</v>
      </c>
      <c r="M482" t="n">
        <v>0</v>
      </c>
      <c r="N482" t="n">
        <v>0</v>
      </c>
      <c r="O482" t="n">
        <v>0</v>
      </c>
      <c r="P482" t="n">
        <v>0</v>
      </c>
      <c r="Q482" t="n">
        <v>0</v>
      </c>
      <c r="R482" s="2" t="inlineStr"/>
    </row>
    <row r="483" ht="15" customHeight="1">
      <c r="A483" t="inlineStr">
        <is>
          <t>A 48097-2023</t>
        </is>
      </c>
      <c r="B483" s="1" t="n">
        <v>45205.31987268518</v>
      </c>
      <c r="C483" s="1" t="n">
        <v>46053</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45793-2022</t>
        </is>
      </c>
      <c r="B484" s="1" t="n">
        <v>44844</v>
      </c>
      <c r="C484" s="1" t="n">
        <v>46053</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40393-2022</t>
        </is>
      </c>
      <c r="B485" s="1" t="n">
        <v>44823</v>
      </c>
      <c r="C485" s="1" t="n">
        <v>46053</v>
      </c>
      <c r="D485" t="inlineStr">
        <is>
          <t>SÖDERMANLANDS LÄN</t>
        </is>
      </c>
      <c r="E485" t="inlineStr">
        <is>
          <t>KATRINEHOLM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48685-2022</t>
        </is>
      </c>
      <c r="B486" s="1" t="n">
        <v>44859</v>
      </c>
      <c r="C486" s="1" t="n">
        <v>46053</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36133-2021</t>
        </is>
      </c>
      <c r="B487" s="1" t="n">
        <v>44386</v>
      </c>
      <c r="C487" s="1" t="n">
        <v>46053</v>
      </c>
      <c r="D487" t="inlineStr">
        <is>
          <t>SÖDERMANLANDS LÄN</t>
        </is>
      </c>
      <c r="E487" t="inlineStr">
        <is>
          <t>KATRINEHOLM</t>
        </is>
      </c>
      <c r="F487" t="inlineStr">
        <is>
          <t>Övriga Aktiebolag</t>
        </is>
      </c>
      <c r="G487" t="n">
        <v>8.9</v>
      </c>
      <c r="H487" t="n">
        <v>0</v>
      </c>
      <c r="I487" t="n">
        <v>0</v>
      </c>
      <c r="J487" t="n">
        <v>0</v>
      </c>
      <c r="K487" t="n">
        <v>0</v>
      </c>
      <c r="L487" t="n">
        <v>0</v>
      </c>
      <c r="M487" t="n">
        <v>0</v>
      </c>
      <c r="N487" t="n">
        <v>0</v>
      </c>
      <c r="O487" t="n">
        <v>0</v>
      </c>
      <c r="P487" t="n">
        <v>0</v>
      </c>
      <c r="Q487" t="n">
        <v>0</v>
      </c>
      <c r="R487" s="2" t="inlineStr"/>
    </row>
    <row r="488" ht="15" customHeight="1">
      <c r="A488" t="inlineStr">
        <is>
          <t>A 49700-2022</t>
        </is>
      </c>
      <c r="B488" s="1" t="n">
        <v>44862</v>
      </c>
      <c r="C488" s="1" t="n">
        <v>46053</v>
      </c>
      <c r="D488" t="inlineStr">
        <is>
          <t>SÖDERMANLANDS LÄN</t>
        </is>
      </c>
      <c r="E488" t="inlineStr">
        <is>
          <t>KATRINEHOLM</t>
        </is>
      </c>
      <c r="G488" t="n">
        <v>19.5</v>
      </c>
      <c r="H488" t="n">
        <v>0</v>
      </c>
      <c r="I488" t="n">
        <v>0</v>
      </c>
      <c r="J488" t="n">
        <v>0</v>
      </c>
      <c r="K488" t="n">
        <v>0</v>
      </c>
      <c r="L488" t="n">
        <v>0</v>
      </c>
      <c r="M488" t="n">
        <v>0</v>
      </c>
      <c r="N488" t="n">
        <v>0</v>
      </c>
      <c r="O488" t="n">
        <v>0</v>
      </c>
      <c r="P488" t="n">
        <v>0</v>
      </c>
      <c r="Q488" t="n">
        <v>0</v>
      </c>
      <c r="R488" s="2" t="inlineStr"/>
    </row>
    <row r="489" ht="15" customHeight="1">
      <c r="A489" t="inlineStr">
        <is>
          <t>A 57323-2025</t>
        </is>
      </c>
      <c r="B489" s="1" t="n">
        <v>45980.32501157407</v>
      </c>
      <c r="C489" s="1" t="n">
        <v>46053</v>
      </c>
      <c r="D489" t="inlineStr">
        <is>
          <t>SÖDERMANLANDS LÄN</t>
        </is>
      </c>
      <c r="E489" t="inlineStr">
        <is>
          <t>KATRINEHOLM</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30276-2023</t>
        </is>
      </c>
      <c r="B490" s="1" t="n">
        <v>45110</v>
      </c>
      <c r="C490" s="1" t="n">
        <v>46053</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57265-2022</t>
        </is>
      </c>
      <c r="B491" s="1" t="n">
        <v>44895</v>
      </c>
      <c r="C491" s="1" t="n">
        <v>46053</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50316-2023</t>
        </is>
      </c>
      <c r="B492" s="1" t="n">
        <v>45209</v>
      </c>
      <c r="C492" s="1" t="n">
        <v>46053</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52857-2021</t>
        </is>
      </c>
      <c r="B493" s="1" t="n">
        <v>44466</v>
      </c>
      <c r="C493" s="1" t="n">
        <v>46053</v>
      </c>
      <c r="D493" t="inlineStr">
        <is>
          <t>SÖDERMANLANDS LÄN</t>
        </is>
      </c>
      <c r="E493" t="inlineStr">
        <is>
          <t>KATRINEHOLM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57975-2025</t>
        </is>
      </c>
      <c r="B494" s="1" t="n">
        <v>45981</v>
      </c>
      <c r="C494" s="1" t="n">
        <v>46053</v>
      </c>
      <c r="D494" t="inlineStr">
        <is>
          <t>SÖDERMANLANDS LÄN</t>
        </is>
      </c>
      <c r="E494" t="inlineStr">
        <is>
          <t>KATRINEHOLM</t>
        </is>
      </c>
      <c r="G494" t="n">
        <v>3.1</v>
      </c>
      <c r="H494" t="n">
        <v>0</v>
      </c>
      <c r="I494" t="n">
        <v>0</v>
      </c>
      <c r="J494" t="n">
        <v>0</v>
      </c>
      <c r="K494" t="n">
        <v>0</v>
      </c>
      <c r="L494" t="n">
        <v>0</v>
      </c>
      <c r="M494" t="n">
        <v>0</v>
      </c>
      <c r="N494" t="n">
        <v>0</v>
      </c>
      <c r="O494" t="n">
        <v>0</v>
      </c>
      <c r="P494" t="n">
        <v>0</v>
      </c>
      <c r="Q494" t="n">
        <v>0</v>
      </c>
      <c r="R494" s="2" t="inlineStr"/>
    </row>
    <row r="495" ht="15" customHeight="1">
      <c r="A495" t="inlineStr">
        <is>
          <t>A 60160-2022</t>
        </is>
      </c>
      <c r="B495" s="1" t="n">
        <v>44909</v>
      </c>
      <c r="C495" s="1" t="n">
        <v>46053</v>
      </c>
      <c r="D495" t="inlineStr">
        <is>
          <t>SÖDERMANLANDS LÄN</t>
        </is>
      </c>
      <c r="E495" t="inlineStr">
        <is>
          <t>KATRINEHOLM</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19442-2023</t>
        </is>
      </c>
      <c r="B496" s="1" t="n">
        <v>45050</v>
      </c>
      <c r="C496" s="1" t="n">
        <v>46053</v>
      </c>
      <c r="D496" t="inlineStr">
        <is>
          <t>SÖDERMANLANDS LÄN</t>
        </is>
      </c>
      <c r="E496" t="inlineStr">
        <is>
          <t>KATRINEHOLM</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50840-2022</t>
        </is>
      </c>
      <c r="B497" s="1" t="n">
        <v>44862</v>
      </c>
      <c r="C497" s="1" t="n">
        <v>46053</v>
      </c>
      <c r="D497" t="inlineStr">
        <is>
          <t>SÖDERMANLANDS LÄN</t>
        </is>
      </c>
      <c r="E497" t="inlineStr">
        <is>
          <t>KATRINEHOLM</t>
        </is>
      </c>
      <c r="G497" t="n">
        <v>4.2</v>
      </c>
      <c r="H497" t="n">
        <v>0</v>
      </c>
      <c r="I497" t="n">
        <v>0</v>
      </c>
      <c r="J497" t="n">
        <v>0</v>
      </c>
      <c r="K497" t="n">
        <v>0</v>
      </c>
      <c r="L497" t="n">
        <v>0</v>
      </c>
      <c r="M497" t="n">
        <v>0</v>
      </c>
      <c r="N497" t="n">
        <v>0</v>
      </c>
      <c r="O497" t="n">
        <v>0</v>
      </c>
      <c r="P497" t="n">
        <v>0</v>
      </c>
      <c r="Q497" t="n">
        <v>0</v>
      </c>
      <c r="R497" s="2" t="inlineStr"/>
    </row>
    <row r="498" ht="15" customHeight="1">
      <c r="A498" t="inlineStr">
        <is>
          <t>A 3060-2022</t>
        </is>
      </c>
      <c r="B498" s="1" t="n">
        <v>44582.40109953703</v>
      </c>
      <c r="C498" s="1" t="n">
        <v>46053</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6611-2023</t>
        </is>
      </c>
      <c r="B499" s="1" t="n">
        <v>44963</v>
      </c>
      <c r="C499" s="1" t="n">
        <v>46053</v>
      </c>
      <c r="D499" t="inlineStr">
        <is>
          <t>SÖDERMANLANDS LÄN</t>
        </is>
      </c>
      <c r="E499" t="inlineStr">
        <is>
          <t>KATRINEHOLM</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1106-2026</t>
        </is>
      </c>
      <c r="B500" s="1" t="n">
        <v>46030.67123842592</v>
      </c>
      <c r="C500" s="1" t="n">
        <v>46053</v>
      </c>
      <c r="D500" t="inlineStr">
        <is>
          <t>SÖDERMANLANDS LÄN</t>
        </is>
      </c>
      <c r="E500" t="inlineStr">
        <is>
          <t>KATRINEHOLM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1114-2026</t>
        </is>
      </c>
      <c r="B501" s="1" t="n">
        <v>46030.684375</v>
      </c>
      <c r="C501" s="1" t="n">
        <v>46053</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50804-2023</t>
        </is>
      </c>
      <c r="B502" s="1" t="n">
        <v>45211</v>
      </c>
      <c r="C502" s="1" t="n">
        <v>46053</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20533-2023</t>
        </is>
      </c>
      <c r="B503" s="1" t="n">
        <v>45057</v>
      </c>
      <c r="C503" s="1" t="n">
        <v>46053</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c r="T503">
        <f>HYPERLINK("https://klasma.github.io/Logging_0483/kartor/A 20533-2023 karta.png", "A 20533-2023")</f>
        <v/>
      </c>
      <c r="V503">
        <f>HYPERLINK("https://klasma.github.io/Logging_0483/klagomål/A 20533-2023 FSC-klagomål.docx", "A 20533-2023")</f>
        <v/>
      </c>
      <c r="W503">
        <f>HYPERLINK("https://klasma.github.io/Logging_0483/klagomålsmail/A 20533-2023 FSC-klagomål mail.docx", "A 20533-2023")</f>
        <v/>
      </c>
      <c r="X503">
        <f>HYPERLINK("https://klasma.github.io/Logging_0483/tillsyn/A 20533-2023 tillsynsbegäran.docx", "A 20533-2023")</f>
        <v/>
      </c>
      <c r="Y503">
        <f>HYPERLINK("https://klasma.github.io/Logging_0483/tillsynsmail/A 20533-2023 tillsynsbegäran mail.docx", "A 20533-2023")</f>
        <v/>
      </c>
      <c r="Z503">
        <f>HYPERLINK("https://klasma.github.io/Logging_0483/fåglar/A 20533-2023 prioriterade fågelarter.docx", "A 20533-2023")</f>
        <v/>
      </c>
    </row>
    <row r="504" ht="15" customHeight="1">
      <c r="A504" t="inlineStr">
        <is>
          <t>A 1098-2026</t>
        </is>
      </c>
      <c r="B504" s="1" t="n">
        <v>46030.66519675926</v>
      </c>
      <c r="C504" s="1" t="n">
        <v>46053</v>
      </c>
      <c r="D504" t="inlineStr">
        <is>
          <t>SÖDERMANLANDS LÄN</t>
        </is>
      </c>
      <c r="E504" t="inlineStr">
        <is>
          <t>KATRINEHOLM</t>
        </is>
      </c>
      <c r="G504" t="n">
        <v>3.4</v>
      </c>
      <c r="H504" t="n">
        <v>0</v>
      </c>
      <c r="I504" t="n">
        <v>0</v>
      </c>
      <c r="J504" t="n">
        <v>0</v>
      </c>
      <c r="K504" t="n">
        <v>0</v>
      </c>
      <c r="L504" t="n">
        <v>0</v>
      </c>
      <c r="M504" t="n">
        <v>0</v>
      </c>
      <c r="N504" t="n">
        <v>0</v>
      </c>
      <c r="O504" t="n">
        <v>0</v>
      </c>
      <c r="P504" t="n">
        <v>0</v>
      </c>
      <c r="Q504" t="n">
        <v>0</v>
      </c>
      <c r="R504" s="2" t="inlineStr"/>
    </row>
    <row r="505" ht="15" customHeight="1">
      <c r="A505" t="inlineStr">
        <is>
          <t>A 43499-2021</t>
        </is>
      </c>
      <c r="B505" s="1" t="n">
        <v>44433</v>
      </c>
      <c r="C505" s="1" t="n">
        <v>46053</v>
      </c>
      <c r="D505" t="inlineStr">
        <is>
          <t>SÖDERMANLANDS LÄN</t>
        </is>
      </c>
      <c r="E505" t="inlineStr">
        <is>
          <t>KATRINEHOLM</t>
        </is>
      </c>
      <c r="F505" t="inlineStr">
        <is>
          <t>Övriga Aktiebolag</t>
        </is>
      </c>
      <c r="G505" t="n">
        <v>1.4</v>
      </c>
      <c r="H505" t="n">
        <v>0</v>
      </c>
      <c r="I505" t="n">
        <v>0</v>
      </c>
      <c r="J505" t="n">
        <v>0</v>
      </c>
      <c r="K505" t="n">
        <v>0</v>
      </c>
      <c r="L505" t="n">
        <v>0</v>
      </c>
      <c r="M505" t="n">
        <v>0</v>
      </c>
      <c r="N505" t="n">
        <v>0</v>
      </c>
      <c r="O505" t="n">
        <v>0</v>
      </c>
      <c r="P505" t="n">
        <v>0</v>
      </c>
      <c r="Q505" t="n">
        <v>0</v>
      </c>
      <c r="R505" s="2" t="inlineStr"/>
    </row>
    <row r="506" ht="15" customHeight="1">
      <c r="A506" t="inlineStr">
        <is>
          <t>A 1112-2026</t>
        </is>
      </c>
      <c r="B506" s="1" t="n">
        <v>46030.68107638889</v>
      </c>
      <c r="C506" s="1" t="n">
        <v>46053</v>
      </c>
      <c r="D506" t="inlineStr">
        <is>
          <t>SÖDERMANLANDS LÄN</t>
        </is>
      </c>
      <c r="E506" t="inlineStr">
        <is>
          <t>KATRINEHOLM</t>
        </is>
      </c>
      <c r="G506" t="n">
        <v>3.2</v>
      </c>
      <c r="H506" t="n">
        <v>0</v>
      </c>
      <c r="I506" t="n">
        <v>0</v>
      </c>
      <c r="J506" t="n">
        <v>0</v>
      </c>
      <c r="K506" t="n">
        <v>0</v>
      </c>
      <c r="L506" t="n">
        <v>0</v>
      </c>
      <c r="M506" t="n">
        <v>0</v>
      </c>
      <c r="N506" t="n">
        <v>0</v>
      </c>
      <c r="O506" t="n">
        <v>0</v>
      </c>
      <c r="P506" t="n">
        <v>0</v>
      </c>
      <c r="Q506" t="n">
        <v>0</v>
      </c>
      <c r="R506" s="2" t="inlineStr"/>
    </row>
    <row r="507" ht="15" customHeight="1">
      <c r="A507" t="inlineStr">
        <is>
          <t>A 53996-2023</t>
        </is>
      </c>
      <c r="B507" s="1" t="n">
        <v>45231</v>
      </c>
      <c r="C507" s="1" t="n">
        <v>46053</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33790-2024</t>
        </is>
      </c>
      <c r="B508" s="1" t="n">
        <v>45520.59179398148</v>
      </c>
      <c r="C508" s="1" t="n">
        <v>46053</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47456-2022</t>
        </is>
      </c>
      <c r="B509" s="1" t="n">
        <v>44852</v>
      </c>
      <c r="C509" s="1" t="n">
        <v>46053</v>
      </c>
      <c r="D509" t="inlineStr">
        <is>
          <t>SÖDERMANLANDS LÄN</t>
        </is>
      </c>
      <c r="E509" t="inlineStr">
        <is>
          <t>KATRINEHOLM</t>
        </is>
      </c>
      <c r="G509" t="n">
        <v>3.7</v>
      </c>
      <c r="H509" t="n">
        <v>0</v>
      </c>
      <c r="I509" t="n">
        <v>0</v>
      </c>
      <c r="J509" t="n">
        <v>0</v>
      </c>
      <c r="K509" t="n">
        <v>0</v>
      </c>
      <c r="L509" t="n">
        <v>0</v>
      </c>
      <c r="M509" t="n">
        <v>0</v>
      </c>
      <c r="N509" t="n">
        <v>0</v>
      </c>
      <c r="O509" t="n">
        <v>0</v>
      </c>
      <c r="P509" t="n">
        <v>0</v>
      </c>
      <c r="Q509" t="n">
        <v>0</v>
      </c>
      <c r="R509" s="2" t="inlineStr"/>
    </row>
    <row r="510" ht="15" customHeight="1">
      <c r="A510" t="inlineStr">
        <is>
          <t>A 23347-2023</t>
        </is>
      </c>
      <c r="B510" s="1" t="n">
        <v>45076</v>
      </c>
      <c r="C510" s="1" t="n">
        <v>46053</v>
      </c>
      <c r="D510" t="inlineStr">
        <is>
          <t>SÖDERMANLANDS LÄN</t>
        </is>
      </c>
      <c r="E510" t="inlineStr">
        <is>
          <t>KATRINEHOLM</t>
        </is>
      </c>
      <c r="G510" t="n">
        <v>4.3</v>
      </c>
      <c r="H510" t="n">
        <v>0</v>
      </c>
      <c r="I510" t="n">
        <v>0</v>
      </c>
      <c r="J510" t="n">
        <v>0</v>
      </c>
      <c r="K510" t="n">
        <v>0</v>
      </c>
      <c r="L510" t="n">
        <v>0</v>
      </c>
      <c r="M510" t="n">
        <v>0</v>
      </c>
      <c r="N510" t="n">
        <v>0</v>
      </c>
      <c r="O510" t="n">
        <v>0</v>
      </c>
      <c r="P510" t="n">
        <v>0</v>
      </c>
      <c r="Q510" t="n">
        <v>0</v>
      </c>
      <c r="R510" s="2" t="inlineStr"/>
    </row>
    <row r="511" ht="15" customHeight="1">
      <c r="A511" t="inlineStr">
        <is>
          <t>A 74354-2021</t>
        </is>
      </c>
      <c r="B511" s="1" t="n">
        <v>44559.57041666667</v>
      </c>
      <c r="C511" s="1" t="n">
        <v>46053</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52348-2021</t>
        </is>
      </c>
      <c r="B512" s="1" t="n">
        <v>44464.49756944444</v>
      </c>
      <c r="C512" s="1" t="n">
        <v>46053</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56628-2021</t>
        </is>
      </c>
      <c r="B513" s="1" t="n">
        <v>44480</v>
      </c>
      <c r="C513" s="1" t="n">
        <v>46053</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45438-2021</t>
        </is>
      </c>
      <c r="B514" s="1" t="n">
        <v>44440</v>
      </c>
      <c r="C514" s="1" t="n">
        <v>46053</v>
      </c>
      <c r="D514" t="inlineStr">
        <is>
          <t>SÖDERMANLANDS LÄN</t>
        </is>
      </c>
      <c r="E514" t="inlineStr">
        <is>
          <t>KATRINEHOLM</t>
        </is>
      </c>
      <c r="F514" t="inlineStr">
        <is>
          <t>Kommuner</t>
        </is>
      </c>
      <c r="G514" t="n">
        <v>1.5</v>
      </c>
      <c r="H514" t="n">
        <v>0</v>
      </c>
      <c r="I514" t="n">
        <v>0</v>
      </c>
      <c r="J514" t="n">
        <v>0</v>
      </c>
      <c r="K514" t="n">
        <v>0</v>
      </c>
      <c r="L514" t="n">
        <v>0</v>
      </c>
      <c r="M514" t="n">
        <v>0</v>
      </c>
      <c r="N514" t="n">
        <v>0</v>
      </c>
      <c r="O514" t="n">
        <v>0</v>
      </c>
      <c r="P514" t="n">
        <v>0</v>
      </c>
      <c r="Q514" t="n">
        <v>0</v>
      </c>
      <c r="R514" s="2" t="inlineStr"/>
    </row>
    <row r="515" ht="15" customHeight="1">
      <c r="A515" t="inlineStr">
        <is>
          <t>A 50061-2022</t>
        </is>
      </c>
      <c r="B515" s="1" t="n">
        <v>44865</v>
      </c>
      <c r="C515" s="1" t="n">
        <v>46053</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10446-2024</t>
        </is>
      </c>
      <c r="B516" s="1" t="n">
        <v>45366</v>
      </c>
      <c r="C516" s="1" t="n">
        <v>46053</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53860-2021</t>
        </is>
      </c>
      <c r="B517" s="1" t="n">
        <v>44467</v>
      </c>
      <c r="C517" s="1" t="n">
        <v>46053</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23842-2023</t>
        </is>
      </c>
      <c r="B518" s="1" t="n">
        <v>45075</v>
      </c>
      <c r="C518" s="1" t="n">
        <v>46053</v>
      </c>
      <c r="D518" t="inlineStr">
        <is>
          <t>SÖDERMANLANDS LÄN</t>
        </is>
      </c>
      <c r="E518" t="inlineStr">
        <is>
          <t>KATRINEHOLM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34263-2023</t>
        </is>
      </c>
      <c r="B519" s="1" t="n">
        <v>45138.60248842592</v>
      </c>
      <c r="C519" s="1" t="n">
        <v>46053</v>
      </c>
      <c r="D519" t="inlineStr">
        <is>
          <t>SÖDERMANLANDS LÄN</t>
        </is>
      </c>
      <c r="E519" t="inlineStr">
        <is>
          <t>KATRINEHOLM</t>
        </is>
      </c>
      <c r="G519" t="n">
        <v>0.7</v>
      </c>
      <c r="H519" t="n">
        <v>0</v>
      </c>
      <c r="I519" t="n">
        <v>0</v>
      </c>
      <c r="J519" t="n">
        <v>0</v>
      </c>
      <c r="K519" t="n">
        <v>0</v>
      </c>
      <c r="L519" t="n">
        <v>0</v>
      </c>
      <c r="M519" t="n">
        <v>0</v>
      </c>
      <c r="N519" t="n">
        <v>0</v>
      </c>
      <c r="O519" t="n">
        <v>0</v>
      </c>
      <c r="P519" t="n">
        <v>0</v>
      </c>
      <c r="Q519" t="n">
        <v>0</v>
      </c>
      <c r="R519" s="2" t="inlineStr"/>
    </row>
    <row r="520" ht="15" customHeight="1">
      <c r="A520" t="inlineStr">
        <is>
          <t>A 46899-2022</t>
        </is>
      </c>
      <c r="B520" s="1" t="n">
        <v>44848</v>
      </c>
      <c r="C520" s="1" t="n">
        <v>46053</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55296-2022</t>
        </is>
      </c>
      <c r="B521" s="1" t="n">
        <v>44887</v>
      </c>
      <c r="C521" s="1" t="n">
        <v>46053</v>
      </c>
      <c r="D521" t="inlineStr">
        <is>
          <t>SÖDERMANLANDS LÄN</t>
        </is>
      </c>
      <c r="E521" t="inlineStr">
        <is>
          <t>KATRINEHOLM</t>
        </is>
      </c>
      <c r="G521" t="n">
        <v>1.4</v>
      </c>
      <c r="H521" t="n">
        <v>0</v>
      </c>
      <c r="I521" t="n">
        <v>0</v>
      </c>
      <c r="J521" t="n">
        <v>0</v>
      </c>
      <c r="K521" t="n">
        <v>0</v>
      </c>
      <c r="L521" t="n">
        <v>0</v>
      </c>
      <c r="M521" t="n">
        <v>0</v>
      </c>
      <c r="N521" t="n">
        <v>0</v>
      </c>
      <c r="O521" t="n">
        <v>0</v>
      </c>
      <c r="P521" t="n">
        <v>0</v>
      </c>
      <c r="Q521" t="n">
        <v>0</v>
      </c>
      <c r="R521" s="2" t="inlineStr"/>
    </row>
    <row r="522" ht="15" customHeight="1">
      <c r="A522" t="inlineStr">
        <is>
          <t>A 1668-2026</t>
        </is>
      </c>
      <c r="B522" s="1" t="n">
        <v>46034.55986111111</v>
      </c>
      <c r="C522" s="1" t="n">
        <v>46053</v>
      </c>
      <c r="D522" t="inlineStr">
        <is>
          <t>SÖDERMANLANDS LÄN</t>
        </is>
      </c>
      <c r="E522" t="inlineStr">
        <is>
          <t>KATRINEHOLM</t>
        </is>
      </c>
      <c r="G522" t="n">
        <v>4.1</v>
      </c>
      <c r="H522" t="n">
        <v>0</v>
      </c>
      <c r="I522" t="n">
        <v>0</v>
      </c>
      <c r="J522" t="n">
        <v>0</v>
      </c>
      <c r="K522" t="n">
        <v>0</v>
      </c>
      <c r="L522" t="n">
        <v>0</v>
      </c>
      <c r="M522" t="n">
        <v>0</v>
      </c>
      <c r="N522" t="n">
        <v>0</v>
      </c>
      <c r="O522" t="n">
        <v>0</v>
      </c>
      <c r="P522" t="n">
        <v>0</v>
      </c>
      <c r="Q522" t="n">
        <v>0</v>
      </c>
      <c r="R522" s="2" t="inlineStr"/>
    </row>
    <row r="523" ht="15" customHeight="1">
      <c r="A523" t="inlineStr">
        <is>
          <t>A 57524-2021</t>
        </is>
      </c>
      <c r="B523" s="1" t="n">
        <v>44483</v>
      </c>
      <c r="C523" s="1" t="n">
        <v>46053</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931-2023</t>
        </is>
      </c>
      <c r="B524" s="1" t="n">
        <v>44932.74261574074</v>
      </c>
      <c r="C524" s="1" t="n">
        <v>46053</v>
      </c>
      <c r="D524" t="inlineStr">
        <is>
          <t>SÖDERMANLANDS LÄN</t>
        </is>
      </c>
      <c r="E524" t="inlineStr">
        <is>
          <t>KATRINEHOLM</t>
        </is>
      </c>
      <c r="G524" t="n">
        <v>4</v>
      </c>
      <c r="H524" t="n">
        <v>0</v>
      </c>
      <c r="I524" t="n">
        <v>0</v>
      </c>
      <c r="J524" t="n">
        <v>0</v>
      </c>
      <c r="K524" t="n">
        <v>0</v>
      </c>
      <c r="L524" t="n">
        <v>0</v>
      </c>
      <c r="M524" t="n">
        <v>0</v>
      </c>
      <c r="N524" t="n">
        <v>0</v>
      </c>
      <c r="O524" t="n">
        <v>0</v>
      </c>
      <c r="P524" t="n">
        <v>0</v>
      </c>
      <c r="Q524" t="n">
        <v>0</v>
      </c>
      <c r="R524" s="2" t="inlineStr"/>
    </row>
    <row r="525" ht="15" customHeight="1">
      <c r="A525" t="inlineStr">
        <is>
          <t>A 55171-2023</t>
        </is>
      </c>
      <c r="B525" s="1" t="n">
        <v>45231</v>
      </c>
      <c r="C525" s="1" t="n">
        <v>46053</v>
      </c>
      <c r="D525" t="inlineStr">
        <is>
          <t>SÖDERMANLANDS LÄN</t>
        </is>
      </c>
      <c r="E525" t="inlineStr">
        <is>
          <t>KATRINEHOLM</t>
        </is>
      </c>
      <c r="G525" t="n">
        <v>4.2</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46053</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23031-2024</t>
        </is>
      </c>
      <c r="B527" s="1" t="n">
        <v>45450.38120370371</v>
      </c>
      <c r="C527" s="1" t="n">
        <v>46053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59967-2025</t>
        </is>
      </c>
      <c r="B528" s="1" t="n">
        <v>45993.48525462963</v>
      </c>
      <c r="C528" s="1" t="n">
        <v>46053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22506-2023</t>
        </is>
      </c>
      <c r="B529" s="1" t="n">
        <v>45071.37393518518</v>
      </c>
      <c r="C529" s="1" t="n">
        <v>46053</v>
      </c>
      <c r="D529" t="inlineStr">
        <is>
          <t>SÖDERMANLANDS LÄN</t>
        </is>
      </c>
      <c r="E529" t="inlineStr">
        <is>
          <t>KATRINEHOLM</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12888-2025</t>
        </is>
      </c>
      <c r="B530" s="1" t="n">
        <v>45733</v>
      </c>
      <c r="C530" s="1" t="n">
        <v>46053</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22345-2023</t>
        </is>
      </c>
      <c r="B531" s="1" t="n">
        <v>45070</v>
      </c>
      <c r="C531" s="1" t="n">
        <v>46053</v>
      </c>
      <c r="D531" t="inlineStr">
        <is>
          <t>SÖDERMANLANDS LÄN</t>
        </is>
      </c>
      <c r="E531" t="inlineStr">
        <is>
          <t>KATRINEHOLM</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48877-2022</t>
        </is>
      </c>
      <c r="B532" s="1" t="n">
        <v>44859</v>
      </c>
      <c r="C532" s="1" t="n">
        <v>46053</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19868-2022</t>
        </is>
      </c>
      <c r="B533" s="1" t="n">
        <v>44696</v>
      </c>
      <c r="C533" s="1" t="n">
        <v>46053</v>
      </c>
      <c r="D533" t="inlineStr">
        <is>
          <t>SÖDERMANLANDS LÄN</t>
        </is>
      </c>
      <c r="E533" t="inlineStr">
        <is>
          <t>KATRINEHOLM</t>
        </is>
      </c>
      <c r="G533" t="n">
        <v>13</v>
      </c>
      <c r="H533" t="n">
        <v>0</v>
      </c>
      <c r="I533" t="n">
        <v>0</v>
      </c>
      <c r="J533" t="n">
        <v>0</v>
      </c>
      <c r="K533" t="n">
        <v>0</v>
      </c>
      <c r="L533" t="n">
        <v>0</v>
      </c>
      <c r="M533" t="n">
        <v>0</v>
      </c>
      <c r="N533" t="n">
        <v>0</v>
      </c>
      <c r="O533" t="n">
        <v>0</v>
      </c>
      <c r="P533" t="n">
        <v>0</v>
      </c>
      <c r="Q533" t="n">
        <v>0</v>
      </c>
      <c r="R533" s="2" t="inlineStr"/>
    </row>
    <row r="534" ht="15" customHeight="1">
      <c r="A534" t="inlineStr">
        <is>
          <t>A 63188-2021</t>
        </is>
      </c>
      <c r="B534" s="1" t="n">
        <v>44507.56865740741</v>
      </c>
      <c r="C534" s="1" t="n">
        <v>46053</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29843-2023</t>
        </is>
      </c>
      <c r="B535" s="1" t="n">
        <v>45107</v>
      </c>
      <c r="C535" s="1" t="n">
        <v>46053</v>
      </c>
      <c r="D535" t="inlineStr">
        <is>
          <t>SÖDERMANLANDS LÄN</t>
        </is>
      </c>
      <c r="E535" t="inlineStr">
        <is>
          <t>KATRINEHOLM</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60678-2025</t>
        </is>
      </c>
      <c r="B536" s="1" t="n">
        <v>45996.56251157408</v>
      </c>
      <c r="C536" s="1" t="n">
        <v>46053</v>
      </c>
      <c r="D536" t="inlineStr">
        <is>
          <t>SÖDERMANLANDS LÄN</t>
        </is>
      </c>
      <c r="E536" t="inlineStr">
        <is>
          <t>KATRINEHOLM</t>
        </is>
      </c>
      <c r="G536" t="n">
        <v>2</v>
      </c>
      <c r="H536" t="n">
        <v>0</v>
      </c>
      <c r="I536" t="n">
        <v>0</v>
      </c>
      <c r="J536" t="n">
        <v>0</v>
      </c>
      <c r="K536" t="n">
        <v>0</v>
      </c>
      <c r="L536" t="n">
        <v>0</v>
      </c>
      <c r="M536" t="n">
        <v>0</v>
      </c>
      <c r="N536" t="n">
        <v>0</v>
      </c>
      <c r="O536" t="n">
        <v>0</v>
      </c>
      <c r="P536" t="n">
        <v>0</v>
      </c>
      <c r="Q536" t="n">
        <v>0</v>
      </c>
      <c r="R536" s="2" t="inlineStr"/>
    </row>
    <row r="537" ht="15" customHeight="1">
      <c r="A537" t="inlineStr">
        <is>
          <t>A 5834-2025</t>
        </is>
      </c>
      <c r="B537" s="1" t="n">
        <v>45694</v>
      </c>
      <c r="C537" s="1" t="n">
        <v>46053</v>
      </c>
      <c r="D537" t="inlineStr">
        <is>
          <t>SÖDERMANLANDS LÄN</t>
        </is>
      </c>
      <c r="E537" t="inlineStr">
        <is>
          <t>KATRINEHOLM</t>
        </is>
      </c>
      <c r="G537" t="n">
        <v>3.3</v>
      </c>
      <c r="H537" t="n">
        <v>0</v>
      </c>
      <c r="I537" t="n">
        <v>0</v>
      </c>
      <c r="J537" t="n">
        <v>0</v>
      </c>
      <c r="K537" t="n">
        <v>0</v>
      </c>
      <c r="L537" t="n">
        <v>0</v>
      </c>
      <c r="M537" t="n">
        <v>0</v>
      </c>
      <c r="N537" t="n">
        <v>0</v>
      </c>
      <c r="O537" t="n">
        <v>0</v>
      </c>
      <c r="P537" t="n">
        <v>0</v>
      </c>
      <c r="Q537" t="n">
        <v>0</v>
      </c>
      <c r="R537" s="2" t="inlineStr"/>
    </row>
    <row r="538" ht="15" customHeight="1">
      <c r="A538" t="inlineStr">
        <is>
          <t>A 2672-2026</t>
        </is>
      </c>
      <c r="B538" s="1" t="n">
        <v>46037</v>
      </c>
      <c r="C538" s="1" t="n">
        <v>46053</v>
      </c>
      <c r="D538" t="inlineStr">
        <is>
          <t>SÖDERMANLANDS LÄN</t>
        </is>
      </c>
      <c r="E538" t="inlineStr">
        <is>
          <t>KATRINEHOLM</t>
        </is>
      </c>
      <c r="G538" t="n">
        <v>2.1</v>
      </c>
      <c r="H538" t="n">
        <v>0</v>
      </c>
      <c r="I538" t="n">
        <v>0</v>
      </c>
      <c r="J538" t="n">
        <v>0</v>
      </c>
      <c r="K538" t="n">
        <v>0</v>
      </c>
      <c r="L538" t="n">
        <v>0</v>
      </c>
      <c r="M538" t="n">
        <v>0</v>
      </c>
      <c r="N538" t="n">
        <v>0</v>
      </c>
      <c r="O538" t="n">
        <v>0</v>
      </c>
      <c r="P538" t="n">
        <v>0</v>
      </c>
      <c r="Q538" t="n">
        <v>0</v>
      </c>
      <c r="R538" s="2" t="inlineStr"/>
    </row>
    <row r="539" ht="15" customHeight="1">
      <c r="A539" t="inlineStr">
        <is>
          <t>A 2473-2026</t>
        </is>
      </c>
      <c r="B539" s="1" t="n">
        <v>46037.37704861111</v>
      </c>
      <c r="C539" s="1" t="n">
        <v>46053</v>
      </c>
      <c r="D539" t="inlineStr">
        <is>
          <t>SÖDERMANLANDS LÄN</t>
        </is>
      </c>
      <c r="E539" t="inlineStr">
        <is>
          <t>KATRINEHOLM</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34981-2023</t>
        </is>
      </c>
      <c r="B540" s="1" t="n">
        <v>45142</v>
      </c>
      <c r="C540" s="1" t="n">
        <v>46053</v>
      </c>
      <c r="D540" t="inlineStr">
        <is>
          <t>SÖDERMANLANDS LÄN</t>
        </is>
      </c>
      <c r="E540" t="inlineStr">
        <is>
          <t>KATRINEHOLM</t>
        </is>
      </c>
      <c r="G540" t="n">
        <v>10</v>
      </c>
      <c r="H540" t="n">
        <v>0</v>
      </c>
      <c r="I540" t="n">
        <v>0</v>
      </c>
      <c r="J540" t="n">
        <v>0</v>
      </c>
      <c r="K540" t="n">
        <v>0</v>
      </c>
      <c r="L540" t="n">
        <v>0</v>
      </c>
      <c r="M540" t="n">
        <v>0</v>
      </c>
      <c r="N540" t="n">
        <v>0</v>
      </c>
      <c r="O540" t="n">
        <v>0</v>
      </c>
      <c r="P540" t="n">
        <v>0</v>
      </c>
      <c r="Q540" t="n">
        <v>0</v>
      </c>
      <c r="R540" s="2" t="inlineStr"/>
    </row>
    <row r="541" ht="15" customHeight="1">
      <c r="A541" t="inlineStr">
        <is>
          <t>A 2913-2026</t>
        </is>
      </c>
      <c r="B541" s="1" t="n">
        <v>46038.56913194444</v>
      </c>
      <c r="C541" s="1" t="n">
        <v>46053</v>
      </c>
      <c r="D541" t="inlineStr">
        <is>
          <t>SÖDERMANLANDS LÄN</t>
        </is>
      </c>
      <c r="E541" t="inlineStr">
        <is>
          <t>KATRINEHOLM</t>
        </is>
      </c>
      <c r="F541" t="inlineStr">
        <is>
          <t>Övriga Aktiebolag</t>
        </is>
      </c>
      <c r="G541" t="n">
        <v>6.2</v>
      </c>
      <c r="H541" t="n">
        <v>0</v>
      </c>
      <c r="I541" t="n">
        <v>0</v>
      </c>
      <c r="J541" t="n">
        <v>0</v>
      </c>
      <c r="K541" t="n">
        <v>0</v>
      </c>
      <c r="L541" t="n">
        <v>0</v>
      </c>
      <c r="M541" t="n">
        <v>0</v>
      </c>
      <c r="N541" t="n">
        <v>0</v>
      </c>
      <c r="O541" t="n">
        <v>0</v>
      </c>
      <c r="P541" t="n">
        <v>0</v>
      </c>
      <c r="Q541" t="n">
        <v>0</v>
      </c>
      <c r="R541" s="2" t="inlineStr"/>
    </row>
    <row r="542" ht="15" customHeight="1">
      <c r="A542" t="inlineStr">
        <is>
          <t>A 73412-2021</t>
        </is>
      </c>
      <c r="B542" s="1" t="n">
        <v>44551</v>
      </c>
      <c r="C542" s="1" t="n">
        <v>46053</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2645-2026</t>
        </is>
      </c>
      <c r="B543" s="1" t="n">
        <v>46037.62321759259</v>
      </c>
      <c r="C543" s="1" t="n">
        <v>46053</v>
      </c>
      <c r="D543" t="inlineStr">
        <is>
          <t>SÖDERMANLANDS LÄN</t>
        </is>
      </c>
      <c r="E543" t="inlineStr">
        <is>
          <t>KATRINEHOLM</t>
        </is>
      </c>
      <c r="G543" t="n">
        <v>2.1</v>
      </c>
      <c r="H543" t="n">
        <v>0</v>
      </c>
      <c r="I543" t="n">
        <v>0</v>
      </c>
      <c r="J543" t="n">
        <v>0</v>
      </c>
      <c r="K543" t="n">
        <v>0</v>
      </c>
      <c r="L543" t="n">
        <v>0</v>
      </c>
      <c r="M543" t="n">
        <v>0</v>
      </c>
      <c r="N543" t="n">
        <v>0</v>
      </c>
      <c r="O543" t="n">
        <v>0</v>
      </c>
      <c r="P543" t="n">
        <v>0</v>
      </c>
      <c r="Q543" t="n">
        <v>0</v>
      </c>
      <c r="R543" s="2" t="inlineStr"/>
    </row>
    <row r="544" ht="15" customHeight="1">
      <c r="A544" t="inlineStr">
        <is>
          <t>A 53750-2022</t>
        </is>
      </c>
      <c r="B544" s="1" t="n">
        <v>44875</v>
      </c>
      <c r="C544" s="1" t="n">
        <v>46053</v>
      </c>
      <c r="D544" t="inlineStr">
        <is>
          <t>SÖDERMANLANDS LÄN</t>
        </is>
      </c>
      <c r="E544" t="inlineStr">
        <is>
          <t>KATRINEHOLM</t>
        </is>
      </c>
      <c r="F544" t="inlineStr">
        <is>
          <t>Övriga Aktiebolag</t>
        </is>
      </c>
      <c r="G544" t="n">
        <v>12.6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46053</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11104-2023</t>
        </is>
      </c>
      <c r="B546" s="1" t="n">
        <v>44992</v>
      </c>
      <c r="C546" s="1" t="n">
        <v>46053</v>
      </c>
      <c r="D546" t="inlineStr">
        <is>
          <t>SÖDERMANLANDS LÄN</t>
        </is>
      </c>
      <c r="E546" t="inlineStr">
        <is>
          <t>KATRINEHOLM</t>
        </is>
      </c>
      <c r="F546" t="inlineStr">
        <is>
          <t>Allmännings- och besparingsskogar</t>
        </is>
      </c>
      <c r="G546" t="n">
        <v>7.8</v>
      </c>
      <c r="H546" t="n">
        <v>0</v>
      </c>
      <c r="I546" t="n">
        <v>0</v>
      </c>
      <c r="J546" t="n">
        <v>0</v>
      </c>
      <c r="K546" t="n">
        <v>0</v>
      </c>
      <c r="L546" t="n">
        <v>0</v>
      </c>
      <c r="M546" t="n">
        <v>0</v>
      </c>
      <c r="N546" t="n">
        <v>0</v>
      </c>
      <c r="O546" t="n">
        <v>0</v>
      </c>
      <c r="P546" t="n">
        <v>0</v>
      </c>
      <c r="Q546" t="n">
        <v>0</v>
      </c>
      <c r="R546" s="2" t="inlineStr"/>
    </row>
    <row r="547" ht="15" customHeight="1">
      <c r="A547" t="inlineStr">
        <is>
          <t>A 61121-2025</t>
        </is>
      </c>
      <c r="B547" s="1" t="n">
        <v>46000.46746527778</v>
      </c>
      <c r="C547" s="1" t="n">
        <v>46053</v>
      </c>
      <c r="D547" t="inlineStr">
        <is>
          <t>SÖDERMANLANDS LÄN</t>
        </is>
      </c>
      <c r="E547" t="inlineStr">
        <is>
          <t>KATRINEHOLM</t>
        </is>
      </c>
      <c r="G547" t="n">
        <v>0.2</v>
      </c>
      <c r="H547" t="n">
        <v>0</v>
      </c>
      <c r="I547" t="n">
        <v>0</v>
      </c>
      <c r="J547" t="n">
        <v>0</v>
      </c>
      <c r="K547" t="n">
        <v>0</v>
      </c>
      <c r="L547" t="n">
        <v>0</v>
      </c>
      <c r="M547" t="n">
        <v>0</v>
      </c>
      <c r="N547" t="n">
        <v>0</v>
      </c>
      <c r="O547" t="n">
        <v>0</v>
      </c>
      <c r="P547" t="n">
        <v>0</v>
      </c>
      <c r="Q547" t="n">
        <v>0</v>
      </c>
      <c r="R547" s="2" t="inlineStr"/>
    </row>
    <row r="548" ht="15" customHeight="1">
      <c r="A548" t="inlineStr">
        <is>
          <t>A 4387-2024</t>
        </is>
      </c>
      <c r="B548" s="1" t="n">
        <v>45327.35068287037</v>
      </c>
      <c r="C548" s="1" t="n">
        <v>46053</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4872-2024</t>
        </is>
      </c>
      <c r="B549" s="1" t="n">
        <v>45329</v>
      </c>
      <c r="C549" s="1" t="n">
        <v>46053</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29702-2021</t>
        </is>
      </c>
      <c r="B550" s="1" t="n">
        <v>44362</v>
      </c>
      <c r="C550" s="1" t="n">
        <v>46053</v>
      </c>
      <c r="D550" t="inlineStr">
        <is>
          <t>SÖDERMANLANDS LÄN</t>
        </is>
      </c>
      <c r="E550" t="inlineStr">
        <is>
          <t>KATRINEHOLM</t>
        </is>
      </c>
      <c r="F550" t="inlineStr">
        <is>
          <t>Holmen skog AB</t>
        </is>
      </c>
      <c r="G550" t="n">
        <v>0.3</v>
      </c>
      <c r="H550" t="n">
        <v>0</v>
      </c>
      <c r="I550" t="n">
        <v>0</v>
      </c>
      <c r="J550" t="n">
        <v>0</v>
      </c>
      <c r="K550" t="n">
        <v>0</v>
      </c>
      <c r="L550" t="n">
        <v>0</v>
      </c>
      <c r="M550" t="n">
        <v>0</v>
      </c>
      <c r="N550" t="n">
        <v>0</v>
      </c>
      <c r="O550" t="n">
        <v>0</v>
      </c>
      <c r="P550" t="n">
        <v>0</v>
      </c>
      <c r="Q550" t="n">
        <v>0</v>
      </c>
      <c r="R550" s="2" t="inlineStr"/>
    </row>
    <row r="551" ht="15" customHeight="1">
      <c r="A551" t="inlineStr">
        <is>
          <t>A 61066-2025</t>
        </is>
      </c>
      <c r="B551" s="1" t="n">
        <v>46000.37695601852</v>
      </c>
      <c r="C551" s="1" t="n">
        <v>46053</v>
      </c>
      <c r="D551" t="inlineStr">
        <is>
          <t>SÖDERMANLANDS LÄN</t>
        </is>
      </c>
      <c r="E551" t="inlineStr">
        <is>
          <t>KATRINEHOLM</t>
        </is>
      </c>
      <c r="F551" t="inlineStr">
        <is>
          <t>Kyrkan</t>
        </is>
      </c>
      <c r="G551" t="n">
        <v>5</v>
      </c>
      <c r="H551" t="n">
        <v>0</v>
      </c>
      <c r="I551" t="n">
        <v>0</v>
      </c>
      <c r="J551" t="n">
        <v>0</v>
      </c>
      <c r="K551" t="n">
        <v>0</v>
      </c>
      <c r="L551" t="n">
        <v>0</v>
      </c>
      <c r="M551" t="n">
        <v>0</v>
      </c>
      <c r="N551" t="n">
        <v>0</v>
      </c>
      <c r="O551" t="n">
        <v>0</v>
      </c>
      <c r="P551" t="n">
        <v>0</v>
      </c>
      <c r="Q551" t="n">
        <v>0</v>
      </c>
      <c r="R551" s="2" t="inlineStr"/>
    </row>
    <row r="552" ht="15" customHeight="1">
      <c r="A552" t="inlineStr">
        <is>
          <t>A 3986-2024</t>
        </is>
      </c>
      <c r="B552" s="1" t="n">
        <v>45322</v>
      </c>
      <c r="C552" s="1" t="n">
        <v>46053</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10996-2022</t>
        </is>
      </c>
      <c r="B553" s="1" t="n">
        <v>44628</v>
      </c>
      <c r="C553" s="1" t="n">
        <v>46053</v>
      </c>
      <c r="D553" t="inlineStr">
        <is>
          <t>SÖDERMANLANDS LÄN</t>
        </is>
      </c>
      <c r="E553" t="inlineStr">
        <is>
          <t>KATRINEHOLM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42451-2023</t>
        </is>
      </c>
      <c r="B554" s="1" t="n">
        <v>45180</v>
      </c>
      <c r="C554" s="1" t="n">
        <v>46053</v>
      </c>
      <c r="D554" t="inlineStr">
        <is>
          <t>SÖDERMANLANDS LÄN</t>
        </is>
      </c>
      <c r="E554" t="inlineStr">
        <is>
          <t>KATRINEHOLM</t>
        </is>
      </c>
      <c r="G554" t="n">
        <v>3.8</v>
      </c>
      <c r="H554" t="n">
        <v>0</v>
      </c>
      <c r="I554" t="n">
        <v>0</v>
      </c>
      <c r="J554" t="n">
        <v>0</v>
      </c>
      <c r="K554" t="n">
        <v>0</v>
      </c>
      <c r="L554" t="n">
        <v>0</v>
      </c>
      <c r="M554" t="n">
        <v>0</v>
      </c>
      <c r="N554" t="n">
        <v>0</v>
      </c>
      <c r="O554" t="n">
        <v>0</v>
      </c>
      <c r="P554" t="n">
        <v>0</v>
      </c>
      <c r="Q554" t="n">
        <v>0</v>
      </c>
      <c r="R554" s="2" t="inlineStr"/>
    </row>
    <row r="555" ht="15" customHeight="1">
      <c r="A555" t="inlineStr">
        <is>
          <t>A 13113-2023</t>
        </is>
      </c>
      <c r="B555" s="1" t="n">
        <v>45002</v>
      </c>
      <c r="C555" s="1" t="n">
        <v>46053</v>
      </c>
      <c r="D555" t="inlineStr">
        <is>
          <t>SÖDERMANLANDS LÄN</t>
        </is>
      </c>
      <c r="E555" t="inlineStr">
        <is>
          <t>KATRINEHOLM</t>
        </is>
      </c>
      <c r="F555" t="inlineStr">
        <is>
          <t>Allmännings- och besparingsskogar</t>
        </is>
      </c>
      <c r="G555" t="n">
        <v>3.6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46053</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27646-2023</t>
        </is>
      </c>
      <c r="B557" s="1" t="n">
        <v>45097</v>
      </c>
      <c r="C557" s="1" t="n">
        <v>46053</v>
      </c>
      <c r="D557" t="inlineStr">
        <is>
          <t>SÖDERMANLANDS LÄN</t>
        </is>
      </c>
      <c r="E557" t="inlineStr">
        <is>
          <t>KATRINEHOLM</t>
        </is>
      </c>
      <c r="G557" t="n">
        <v>2.4</v>
      </c>
      <c r="H557" t="n">
        <v>0</v>
      </c>
      <c r="I557" t="n">
        <v>0</v>
      </c>
      <c r="J557" t="n">
        <v>0</v>
      </c>
      <c r="K557" t="n">
        <v>0</v>
      </c>
      <c r="L557" t="n">
        <v>0</v>
      </c>
      <c r="M557" t="n">
        <v>0</v>
      </c>
      <c r="N557" t="n">
        <v>0</v>
      </c>
      <c r="O557" t="n">
        <v>0</v>
      </c>
      <c r="P557" t="n">
        <v>0</v>
      </c>
      <c r="Q557" t="n">
        <v>0</v>
      </c>
      <c r="R557" s="2" t="inlineStr"/>
    </row>
    <row r="558" ht="15" customHeight="1">
      <c r="A558" t="inlineStr">
        <is>
          <t>A 15235-2023</t>
        </is>
      </c>
      <c r="B558" s="1" t="n">
        <v>45019</v>
      </c>
      <c r="C558" s="1" t="n">
        <v>46053</v>
      </c>
      <c r="D558" t="inlineStr">
        <is>
          <t>SÖDERMANLANDS LÄN</t>
        </is>
      </c>
      <c r="E558" t="inlineStr">
        <is>
          <t>KATRINEHOLM</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25433-2024</t>
        </is>
      </c>
      <c r="B559" s="1" t="n">
        <v>45463</v>
      </c>
      <c r="C559" s="1" t="n">
        <v>46053</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22304-2024</t>
        </is>
      </c>
      <c r="B560" s="1" t="n">
        <v>45446.56626157407</v>
      </c>
      <c r="C560" s="1" t="n">
        <v>46053</v>
      </c>
      <c r="D560" t="inlineStr">
        <is>
          <t>SÖDERMANLANDS LÄN</t>
        </is>
      </c>
      <c r="E560" t="inlineStr">
        <is>
          <t>KATRINEHOLM</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14224-2024</t>
        </is>
      </c>
      <c r="B561" s="1" t="n">
        <v>45393</v>
      </c>
      <c r="C561" s="1" t="n">
        <v>46053</v>
      </c>
      <c r="D561" t="inlineStr">
        <is>
          <t>SÖDERMANLANDS LÄN</t>
        </is>
      </c>
      <c r="E561" t="inlineStr">
        <is>
          <t>KATRINEHOLM</t>
        </is>
      </c>
      <c r="F561" t="inlineStr">
        <is>
          <t>Sveaskog</t>
        </is>
      </c>
      <c r="G561" t="n">
        <v>7.6</v>
      </c>
      <c r="H561" t="n">
        <v>0</v>
      </c>
      <c r="I561" t="n">
        <v>0</v>
      </c>
      <c r="J561" t="n">
        <v>0</v>
      </c>
      <c r="K561" t="n">
        <v>0</v>
      </c>
      <c r="L561" t="n">
        <v>0</v>
      </c>
      <c r="M561" t="n">
        <v>0</v>
      </c>
      <c r="N561" t="n">
        <v>0</v>
      </c>
      <c r="O561" t="n">
        <v>0</v>
      </c>
      <c r="P561" t="n">
        <v>0</v>
      </c>
      <c r="Q561" t="n">
        <v>0</v>
      </c>
      <c r="R561" s="2" t="inlineStr"/>
    </row>
    <row r="562" ht="15" customHeight="1">
      <c r="A562" t="inlineStr">
        <is>
          <t>A 23341-2023</t>
        </is>
      </c>
      <c r="B562" s="1" t="n">
        <v>45076</v>
      </c>
      <c r="C562" s="1" t="n">
        <v>46053</v>
      </c>
      <c r="D562" t="inlineStr">
        <is>
          <t>SÖDERMANLANDS LÄN</t>
        </is>
      </c>
      <c r="E562" t="inlineStr">
        <is>
          <t>KATRINEHOLM</t>
        </is>
      </c>
      <c r="G562" t="n">
        <v>3.5</v>
      </c>
      <c r="H562" t="n">
        <v>0</v>
      </c>
      <c r="I562" t="n">
        <v>0</v>
      </c>
      <c r="J562" t="n">
        <v>0</v>
      </c>
      <c r="K562" t="n">
        <v>0</v>
      </c>
      <c r="L562" t="n">
        <v>0</v>
      </c>
      <c r="M562" t="n">
        <v>0</v>
      </c>
      <c r="N562" t="n">
        <v>0</v>
      </c>
      <c r="O562" t="n">
        <v>0</v>
      </c>
      <c r="P562" t="n">
        <v>0</v>
      </c>
      <c r="Q562" t="n">
        <v>0</v>
      </c>
      <c r="R562" s="2" t="inlineStr"/>
    </row>
    <row r="563" ht="15" customHeight="1">
      <c r="A563" t="inlineStr">
        <is>
          <t>A 36366-2023</t>
        </is>
      </c>
      <c r="B563" s="1" t="n">
        <v>45152</v>
      </c>
      <c r="C563" s="1" t="n">
        <v>46053</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36021-2023</t>
        </is>
      </c>
      <c r="B564" s="1" t="n">
        <v>45148</v>
      </c>
      <c r="C564" s="1" t="n">
        <v>46053</v>
      </c>
      <c r="D564" t="inlineStr">
        <is>
          <t>SÖDERMANLANDS LÄN</t>
        </is>
      </c>
      <c r="E564" t="inlineStr">
        <is>
          <t>KATRINEHOLM</t>
        </is>
      </c>
      <c r="G564" t="n">
        <v>1.8</v>
      </c>
      <c r="H564" t="n">
        <v>0</v>
      </c>
      <c r="I564" t="n">
        <v>0</v>
      </c>
      <c r="J564" t="n">
        <v>0</v>
      </c>
      <c r="K564" t="n">
        <v>0</v>
      </c>
      <c r="L564" t="n">
        <v>0</v>
      </c>
      <c r="M564" t="n">
        <v>0</v>
      </c>
      <c r="N564" t="n">
        <v>0</v>
      </c>
      <c r="O564" t="n">
        <v>0</v>
      </c>
      <c r="P564" t="n">
        <v>0</v>
      </c>
      <c r="Q564" t="n">
        <v>0</v>
      </c>
      <c r="R564" s="2" t="inlineStr"/>
    </row>
    <row r="565" ht="15" customHeight="1">
      <c r="A565" t="inlineStr">
        <is>
          <t>A 61721-2025</t>
        </is>
      </c>
      <c r="B565" s="1" t="n">
        <v>46002.57778935185</v>
      </c>
      <c r="C565" s="1" t="n">
        <v>46053</v>
      </c>
      <c r="D565" t="inlineStr">
        <is>
          <t>SÖDERMANLANDS LÄN</t>
        </is>
      </c>
      <c r="E565" t="inlineStr">
        <is>
          <t>KATRINEHOLM</t>
        </is>
      </c>
      <c r="G565" t="n">
        <v>4.5</v>
      </c>
      <c r="H565" t="n">
        <v>0</v>
      </c>
      <c r="I565" t="n">
        <v>0</v>
      </c>
      <c r="J565" t="n">
        <v>0</v>
      </c>
      <c r="K565" t="n">
        <v>0</v>
      </c>
      <c r="L565" t="n">
        <v>0</v>
      </c>
      <c r="M565" t="n">
        <v>0</v>
      </c>
      <c r="N565" t="n">
        <v>0</v>
      </c>
      <c r="O565" t="n">
        <v>0</v>
      </c>
      <c r="P565" t="n">
        <v>0</v>
      </c>
      <c r="Q565" t="n">
        <v>0</v>
      </c>
      <c r="R565" s="2" t="inlineStr"/>
    </row>
    <row r="566" ht="15" customHeight="1">
      <c r="A566" t="inlineStr">
        <is>
          <t>A 28597-2024</t>
        </is>
      </c>
      <c r="B566" s="1" t="n">
        <v>45478</v>
      </c>
      <c r="C566" s="1" t="n">
        <v>46053</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63895-2025</t>
        </is>
      </c>
      <c r="B567" s="1" t="n">
        <v>46020</v>
      </c>
      <c r="C567" s="1" t="n">
        <v>46053</v>
      </c>
      <c r="D567" t="inlineStr">
        <is>
          <t>SÖDERMANLANDS LÄN</t>
        </is>
      </c>
      <c r="E567" t="inlineStr">
        <is>
          <t>KATRINEHOLM</t>
        </is>
      </c>
      <c r="G567" t="n">
        <v>1.5</v>
      </c>
      <c r="H567" t="n">
        <v>0</v>
      </c>
      <c r="I567" t="n">
        <v>0</v>
      </c>
      <c r="J567" t="n">
        <v>0</v>
      </c>
      <c r="K567" t="n">
        <v>0</v>
      </c>
      <c r="L567" t="n">
        <v>0</v>
      </c>
      <c r="M567" t="n">
        <v>0</v>
      </c>
      <c r="N567" t="n">
        <v>0</v>
      </c>
      <c r="O567" t="n">
        <v>0</v>
      </c>
      <c r="P567" t="n">
        <v>0</v>
      </c>
      <c r="Q567" t="n">
        <v>0</v>
      </c>
      <c r="R567" s="2" t="inlineStr"/>
    </row>
    <row r="568" ht="15" customHeight="1">
      <c r="A568" t="inlineStr">
        <is>
          <t>A 29198-2023</t>
        </is>
      </c>
      <c r="B568" s="1" t="n">
        <v>45105</v>
      </c>
      <c r="C568" s="1" t="n">
        <v>46053</v>
      </c>
      <c r="D568" t="inlineStr">
        <is>
          <t>SÖDERMANLANDS LÄN</t>
        </is>
      </c>
      <c r="E568" t="inlineStr">
        <is>
          <t>KATRINEHOLM</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9992-2022</t>
        </is>
      </c>
      <c r="B569" s="1" t="n">
        <v>44621</v>
      </c>
      <c r="C569" s="1" t="n">
        <v>46053</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41267-2023</t>
        </is>
      </c>
      <c r="B570" s="1" t="n">
        <v>45174</v>
      </c>
      <c r="C570" s="1" t="n">
        <v>46053</v>
      </c>
      <c r="D570" t="inlineStr">
        <is>
          <t>SÖDERMANLANDS LÄN</t>
        </is>
      </c>
      <c r="E570" t="inlineStr">
        <is>
          <t>KATRINEHOLM</t>
        </is>
      </c>
      <c r="F570" t="inlineStr">
        <is>
          <t>Holmen skog AB</t>
        </is>
      </c>
      <c r="G570" t="n">
        <v>4.5</v>
      </c>
      <c r="H570" t="n">
        <v>0</v>
      </c>
      <c r="I570" t="n">
        <v>0</v>
      </c>
      <c r="J570" t="n">
        <v>0</v>
      </c>
      <c r="K570" t="n">
        <v>0</v>
      </c>
      <c r="L570" t="n">
        <v>0</v>
      </c>
      <c r="M570" t="n">
        <v>0</v>
      </c>
      <c r="N570" t="n">
        <v>0</v>
      </c>
      <c r="O570" t="n">
        <v>0</v>
      </c>
      <c r="P570" t="n">
        <v>0</v>
      </c>
      <c r="Q570" t="n">
        <v>0</v>
      </c>
      <c r="R570" s="2" t="inlineStr"/>
    </row>
    <row r="571" ht="15" customHeight="1">
      <c r="A571" t="inlineStr">
        <is>
          <t>A 4889-2026</t>
        </is>
      </c>
      <c r="B571" s="1" t="n">
        <v>46048.66766203703</v>
      </c>
      <c r="C571" s="1" t="n">
        <v>46053</v>
      </c>
      <c r="D571" t="inlineStr">
        <is>
          <t>SÖDERMANLANDS LÄN</t>
        </is>
      </c>
      <c r="E571" t="inlineStr">
        <is>
          <t>KATRINEHOLM</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4650-2024</t>
        </is>
      </c>
      <c r="B572" s="1" t="n">
        <v>45328</v>
      </c>
      <c r="C572" s="1" t="n">
        <v>46053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4652-2024</t>
        </is>
      </c>
      <c r="B573" s="1" t="n">
        <v>45328</v>
      </c>
      <c r="C573" s="1" t="n">
        <v>46053</v>
      </c>
      <c r="D573" t="inlineStr">
        <is>
          <t>SÖDERMANLANDS LÄN</t>
        </is>
      </c>
      <c r="E573" t="inlineStr">
        <is>
          <t>KATRINEHOLM</t>
        </is>
      </c>
      <c r="F573" t="inlineStr">
        <is>
          <t>Övriga Aktiebolag</t>
        </is>
      </c>
      <c r="G573" t="n">
        <v>6.1</v>
      </c>
      <c r="H573" t="n">
        <v>0</v>
      </c>
      <c r="I573" t="n">
        <v>0</v>
      </c>
      <c r="J573" t="n">
        <v>0</v>
      </c>
      <c r="K573" t="n">
        <v>0</v>
      </c>
      <c r="L573" t="n">
        <v>0</v>
      </c>
      <c r="M573" t="n">
        <v>0</v>
      </c>
      <c r="N573" t="n">
        <v>0</v>
      </c>
      <c r="O573" t="n">
        <v>0</v>
      </c>
      <c r="P573" t="n">
        <v>0</v>
      </c>
      <c r="Q573" t="n">
        <v>0</v>
      </c>
      <c r="R573" s="2" t="inlineStr"/>
    </row>
    <row r="574" ht="15" customHeight="1">
      <c r="A574" t="inlineStr">
        <is>
          <t>A 29008-2024</t>
        </is>
      </c>
      <c r="B574" s="1" t="n">
        <v>45481</v>
      </c>
      <c r="C574" s="1" t="n">
        <v>46053</v>
      </c>
      <c r="D574" t="inlineStr">
        <is>
          <t>SÖDERMANLANDS LÄN</t>
        </is>
      </c>
      <c r="E574" t="inlineStr">
        <is>
          <t>KATRINEHOLM</t>
        </is>
      </c>
      <c r="G574" t="n">
        <v>1.7</v>
      </c>
      <c r="H574" t="n">
        <v>0</v>
      </c>
      <c r="I574" t="n">
        <v>0</v>
      </c>
      <c r="J574" t="n">
        <v>0</v>
      </c>
      <c r="K574" t="n">
        <v>0</v>
      </c>
      <c r="L574" t="n">
        <v>0</v>
      </c>
      <c r="M574" t="n">
        <v>0</v>
      </c>
      <c r="N574" t="n">
        <v>0</v>
      </c>
      <c r="O574" t="n">
        <v>0</v>
      </c>
      <c r="P574" t="n">
        <v>0</v>
      </c>
      <c r="Q574" t="n">
        <v>0</v>
      </c>
      <c r="R574" s="2" t="inlineStr"/>
    </row>
    <row r="575" ht="15" customHeight="1">
      <c r="A575" t="inlineStr">
        <is>
          <t>A 9936-2023</t>
        </is>
      </c>
      <c r="B575" s="1" t="n">
        <v>44985.47086805556</v>
      </c>
      <c r="C575" s="1" t="n">
        <v>46053</v>
      </c>
      <c r="D575" t="inlineStr">
        <is>
          <t>SÖDERMANLANDS LÄN</t>
        </is>
      </c>
      <c r="E575" t="inlineStr">
        <is>
          <t>KATRINEHOLM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4645-2024</t>
        </is>
      </c>
      <c r="B576" s="1" t="n">
        <v>45328</v>
      </c>
      <c r="C576" s="1" t="n">
        <v>46053</v>
      </c>
      <c r="D576" t="inlineStr">
        <is>
          <t>SÖDERMANLANDS LÄN</t>
        </is>
      </c>
      <c r="E576" t="inlineStr">
        <is>
          <t>KATRINEHOLM</t>
        </is>
      </c>
      <c r="G576" t="n">
        <v>2.3</v>
      </c>
      <c r="H576" t="n">
        <v>0</v>
      </c>
      <c r="I576" t="n">
        <v>0</v>
      </c>
      <c r="J576" t="n">
        <v>0</v>
      </c>
      <c r="K576" t="n">
        <v>0</v>
      </c>
      <c r="L576" t="n">
        <v>0</v>
      </c>
      <c r="M576" t="n">
        <v>0</v>
      </c>
      <c r="N576" t="n">
        <v>0</v>
      </c>
      <c r="O576" t="n">
        <v>0</v>
      </c>
      <c r="P576" t="n">
        <v>0</v>
      </c>
      <c r="Q576" t="n">
        <v>0</v>
      </c>
      <c r="R576" s="2" t="inlineStr"/>
    </row>
    <row r="577" ht="15" customHeight="1">
      <c r="A577" t="inlineStr">
        <is>
          <t>A 36001-2024</t>
        </is>
      </c>
      <c r="B577" s="1" t="n">
        <v>45533.54609953704</v>
      </c>
      <c r="C577" s="1" t="n">
        <v>46053</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36832-2023</t>
        </is>
      </c>
      <c r="B578" s="1" t="n">
        <v>45153</v>
      </c>
      <c r="C578" s="1" t="n">
        <v>46053</v>
      </c>
      <c r="D578" t="inlineStr">
        <is>
          <t>SÖDERMANLANDS LÄN</t>
        </is>
      </c>
      <c r="E578" t="inlineStr">
        <is>
          <t>KATRINEHOLM</t>
        </is>
      </c>
      <c r="F578" t="inlineStr">
        <is>
          <t>Övriga Aktiebolag</t>
        </is>
      </c>
      <c r="G578" t="n">
        <v>9</v>
      </c>
      <c r="H578" t="n">
        <v>0</v>
      </c>
      <c r="I578" t="n">
        <v>0</v>
      </c>
      <c r="J578" t="n">
        <v>0</v>
      </c>
      <c r="K578" t="n">
        <v>0</v>
      </c>
      <c r="L578" t="n">
        <v>0</v>
      </c>
      <c r="M578" t="n">
        <v>0</v>
      </c>
      <c r="N578" t="n">
        <v>0</v>
      </c>
      <c r="O578" t="n">
        <v>0</v>
      </c>
      <c r="P578" t="n">
        <v>0</v>
      </c>
      <c r="Q578" t="n">
        <v>0</v>
      </c>
      <c r="R578" s="2" t="inlineStr"/>
    </row>
    <row r="579" ht="15" customHeight="1">
      <c r="A579" t="inlineStr">
        <is>
          <t>A 54873-2025</t>
        </is>
      </c>
      <c r="B579" s="1" t="n">
        <v>45967.30731481482</v>
      </c>
      <c r="C579" s="1" t="n">
        <v>46053</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28931-2024</t>
        </is>
      </c>
      <c r="B580" s="1" t="n">
        <v>45479</v>
      </c>
      <c r="C580" s="1" t="n">
        <v>46053</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6810-2023</t>
        </is>
      </c>
      <c r="B581" s="1" t="n">
        <v>44964</v>
      </c>
      <c r="C581" s="1" t="n">
        <v>46053</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32944-2023</t>
        </is>
      </c>
      <c r="B582" s="1" t="n">
        <v>45125</v>
      </c>
      <c r="C582" s="1" t="n">
        <v>46053</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29977-2023</t>
        </is>
      </c>
      <c r="B583" s="1" t="n">
        <v>45108</v>
      </c>
      <c r="C583" s="1" t="n">
        <v>46053</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5788-2022</t>
        </is>
      </c>
      <c r="B584" s="1" t="n">
        <v>44596.54990740741</v>
      </c>
      <c r="C584" s="1" t="n">
        <v>46053</v>
      </c>
      <c r="D584" t="inlineStr">
        <is>
          <t>SÖDERMANLANDS LÄN</t>
        </is>
      </c>
      <c r="E584" t="inlineStr">
        <is>
          <t>KATRINEHOLM</t>
        </is>
      </c>
      <c r="G584" t="n">
        <v>4.1</v>
      </c>
      <c r="H584" t="n">
        <v>0</v>
      </c>
      <c r="I584" t="n">
        <v>0</v>
      </c>
      <c r="J584" t="n">
        <v>0</v>
      </c>
      <c r="K584" t="n">
        <v>0</v>
      </c>
      <c r="L584" t="n">
        <v>0</v>
      </c>
      <c r="M584" t="n">
        <v>0</v>
      </c>
      <c r="N584" t="n">
        <v>0</v>
      </c>
      <c r="O584" t="n">
        <v>0</v>
      </c>
      <c r="P584" t="n">
        <v>0</v>
      </c>
      <c r="Q584" t="n">
        <v>0</v>
      </c>
      <c r="R584" s="2" t="inlineStr"/>
    </row>
    <row r="585" ht="15" customHeight="1">
      <c r="A585" t="inlineStr">
        <is>
          <t>A 20803-2024</t>
        </is>
      </c>
      <c r="B585" s="1" t="n">
        <v>45438</v>
      </c>
      <c r="C585" s="1" t="n">
        <v>46053</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5795-2022</t>
        </is>
      </c>
      <c r="B586" s="1" t="n">
        <v>44596</v>
      </c>
      <c r="C586" s="1" t="n">
        <v>46053</v>
      </c>
      <c r="D586" t="inlineStr">
        <is>
          <t>SÖDERMANLANDS LÄN</t>
        </is>
      </c>
      <c r="E586" t="inlineStr">
        <is>
          <t>KATRINEHOLM</t>
        </is>
      </c>
      <c r="G586" t="n">
        <v>8.1</v>
      </c>
      <c r="H586" t="n">
        <v>0</v>
      </c>
      <c r="I586" t="n">
        <v>0</v>
      </c>
      <c r="J586" t="n">
        <v>0</v>
      </c>
      <c r="K586" t="n">
        <v>0</v>
      </c>
      <c r="L586" t="n">
        <v>0</v>
      </c>
      <c r="M586" t="n">
        <v>0</v>
      </c>
      <c r="N586" t="n">
        <v>0</v>
      </c>
      <c r="O586" t="n">
        <v>0</v>
      </c>
      <c r="P586" t="n">
        <v>0</v>
      </c>
      <c r="Q586" t="n">
        <v>0</v>
      </c>
      <c r="R586" s="2" t="inlineStr"/>
    </row>
    <row r="587" ht="15" customHeight="1">
      <c r="A587" t="inlineStr">
        <is>
          <t>A 3075-2022</t>
        </is>
      </c>
      <c r="B587" s="1" t="n">
        <v>44582</v>
      </c>
      <c r="C587" s="1" t="n">
        <v>46053</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73409-2021</t>
        </is>
      </c>
      <c r="B588" s="1" t="n">
        <v>44551</v>
      </c>
      <c r="C588" s="1" t="n">
        <v>46053</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73415-2021</t>
        </is>
      </c>
      <c r="B589" s="1" t="n">
        <v>44551</v>
      </c>
      <c r="C589" s="1" t="n">
        <v>46053</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63945-2025</t>
        </is>
      </c>
      <c r="B590" s="1" t="n">
        <v>46010</v>
      </c>
      <c r="C590" s="1" t="n">
        <v>46053</v>
      </c>
      <c r="D590" t="inlineStr">
        <is>
          <t>SÖDERMANLANDS LÄN</t>
        </is>
      </c>
      <c r="E590" t="inlineStr">
        <is>
          <t>KATRINEHOLM</t>
        </is>
      </c>
      <c r="F590" t="inlineStr">
        <is>
          <t>Allmännings- och besparingsskogar</t>
        </is>
      </c>
      <c r="G590" t="n">
        <v>1.2</v>
      </c>
      <c r="H590" t="n">
        <v>0</v>
      </c>
      <c r="I590" t="n">
        <v>0</v>
      </c>
      <c r="J590" t="n">
        <v>0</v>
      </c>
      <c r="K590" t="n">
        <v>0</v>
      </c>
      <c r="L590" t="n">
        <v>0</v>
      </c>
      <c r="M590" t="n">
        <v>0</v>
      </c>
      <c r="N590" t="n">
        <v>0</v>
      </c>
      <c r="O590" t="n">
        <v>0</v>
      </c>
      <c r="P590" t="n">
        <v>0</v>
      </c>
      <c r="Q590" t="n">
        <v>0</v>
      </c>
      <c r="R590" s="2" t="inlineStr"/>
    </row>
    <row r="591" ht="15" customHeight="1">
      <c r="A591" t="inlineStr">
        <is>
          <t>A 63947-2025</t>
        </is>
      </c>
      <c r="B591" s="1" t="n">
        <v>46010</v>
      </c>
      <c r="C591" s="1" t="n">
        <v>46053</v>
      </c>
      <c r="D591" t="inlineStr">
        <is>
          <t>SÖDERMANLANDS LÄN</t>
        </is>
      </c>
      <c r="E591" t="inlineStr">
        <is>
          <t>KATRINEHOLM</t>
        </is>
      </c>
      <c r="F591" t="inlineStr">
        <is>
          <t>Allmännings- och besparingsskogar</t>
        </is>
      </c>
      <c r="G591" t="n">
        <v>4.8</v>
      </c>
      <c r="H591" t="n">
        <v>0</v>
      </c>
      <c r="I591" t="n">
        <v>0</v>
      </c>
      <c r="J591" t="n">
        <v>0</v>
      </c>
      <c r="K591" t="n">
        <v>0</v>
      </c>
      <c r="L591" t="n">
        <v>0</v>
      </c>
      <c r="M591" t="n">
        <v>0</v>
      </c>
      <c r="N591" t="n">
        <v>0</v>
      </c>
      <c r="O591" t="n">
        <v>0</v>
      </c>
      <c r="P591" t="n">
        <v>0</v>
      </c>
      <c r="Q591" t="n">
        <v>0</v>
      </c>
      <c r="R591" s="2" t="inlineStr"/>
    </row>
    <row r="592" ht="15" customHeight="1">
      <c r="A592" t="inlineStr">
        <is>
          <t>A 63949-2025</t>
        </is>
      </c>
      <c r="B592" s="1" t="n">
        <v>46010</v>
      </c>
      <c r="C592" s="1" t="n">
        <v>46053</v>
      </c>
      <c r="D592" t="inlineStr">
        <is>
          <t>SÖDERMANLANDS LÄN</t>
        </is>
      </c>
      <c r="E592" t="inlineStr">
        <is>
          <t>KATRINEHOLM</t>
        </is>
      </c>
      <c r="F592" t="inlineStr">
        <is>
          <t>Allmännings- och besparingsskogar</t>
        </is>
      </c>
      <c r="G592" t="n">
        <v>5.1</v>
      </c>
      <c r="H592" t="n">
        <v>0</v>
      </c>
      <c r="I592" t="n">
        <v>0</v>
      </c>
      <c r="J592" t="n">
        <v>0</v>
      </c>
      <c r="K592" t="n">
        <v>0</v>
      </c>
      <c r="L592" t="n">
        <v>0</v>
      </c>
      <c r="M592" t="n">
        <v>0</v>
      </c>
      <c r="N592" t="n">
        <v>0</v>
      </c>
      <c r="O592" t="n">
        <v>0</v>
      </c>
      <c r="P592" t="n">
        <v>0</v>
      </c>
      <c r="Q592" t="n">
        <v>0</v>
      </c>
      <c r="R592" s="2" t="inlineStr"/>
    </row>
    <row r="593" ht="15" customHeight="1">
      <c r="A593" t="inlineStr">
        <is>
          <t>A 8087-2022</t>
        </is>
      </c>
      <c r="B593" s="1" t="n">
        <v>44609.53502314815</v>
      </c>
      <c r="C593" s="1" t="n">
        <v>46053</v>
      </c>
      <c r="D593" t="inlineStr">
        <is>
          <t>SÖDERMANLANDS LÄN</t>
        </is>
      </c>
      <c r="E593" t="inlineStr">
        <is>
          <t>KATRINEHOLM</t>
        </is>
      </c>
      <c r="G593" t="n">
        <v>0.6</v>
      </c>
      <c r="H593" t="n">
        <v>0</v>
      </c>
      <c r="I593" t="n">
        <v>0</v>
      </c>
      <c r="J593" t="n">
        <v>0</v>
      </c>
      <c r="K593" t="n">
        <v>0</v>
      </c>
      <c r="L593" t="n">
        <v>0</v>
      </c>
      <c r="M593" t="n">
        <v>0</v>
      </c>
      <c r="N593" t="n">
        <v>0</v>
      </c>
      <c r="O593" t="n">
        <v>0</v>
      </c>
      <c r="P593" t="n">
        <v>0</v>
      </c>
      <c r="Q593" t="n">
        <v>0</v>
      </c>
      <c r="R593" s="2" t="inlineStr"/>
    </row>
    <row r="594" ht="15" customHeight="1">
      <c r="A594" t="inlineStr">
        <is>
          <t>A 50935-2023</t>
        </is>
      </c>
      <c r="B594" s="1" t="n">
        <v>45211</v>
      </c>
      <c r="C594" s="1" t="n">
        <v>46053</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6298-2024</t>
        </is>
      </c>
      <c r="B595" s="1" t="n">
        <v>45338.34245370371</v>
      </c>
      <c r="C595" s="1" t="n">
        <v>46053</v>
      </c>
      <c r="D595" t="inlineStr">
        <is>
          <t>SÖDERMANLANDS LÄN</t>
        </is>
      </c>
      <c r="E595" t="inlineStr">
        <is>
          <t>KATRINEHOLM</t>
        </is>
      </c>
      <c r="G595" t="n">
        <v>1.4</v>
      </c>
      <c r="H595" t="n">
        <v>0</v>
      </c>
      <c r="I595" t="n">
        <v>0</v>
      </c>
      <c r="J595" t="n">
        <v>0</v>
      </c>
      <c r="K595" t="n">
        <v>0</v>
      </c>
      <c r="L595" t="n">
        <v>0</v>
      </c>
      <c r="M595" t="n">
        <v>0</v>
      </c>
      <c r="N595" t="n">
        <v>0</v>
      </c>
      <c r="O595" t="n">
        <v>0</v>
      </c>
      <c r="P595" t="n">
        <v>0</v>
      </c>
      <c r="Q595" t="n">
        <v>0</v>
      </c>
      <c r="R595" s="2" t="inlineStr"/>
    </row>
    <row r="596" ht="15" customHeight="1">
      <c r="A596" t="inlineStr">
        <is>
          <t>A 33001-2024</t>
        </is>
      </c>
      <c r="B596" s="1" t="n">
        <v>45517</v>
      </c>
      <c r="C596" s="1" t="n">
        <v>46053</v>
      </c>
      <c r="D596" t="inlineStr">
        <is>
          <t>SÖDERMANLANDS LÄN</t>
        </is>
      </c>
      <c r="E596" t="inlineStr">
        <is>
          <t>KATRINEHOLM</t>
        </is>
      </c>
      <c r="G596" t="n">
        <v>1.5</v>
      </c>
      <c r="H596" t="n">
        <v>0</v>
      </c>
      <c r="I596" t="n">
        <v>0</v>
      </c>
      <c r="J596" t="n">
        <v>0</v>
      </c>
      <c r="K596" t="n">
        <v>0</v>
      </c>
      <c r="L596" t="n">
        <v>0</v>
      </c>
      <c r="M596" t="n">
        <v>0</v>
      </c>
      <c r="N596" t="n">
        <v>0</v>
      </c>
      <c r="O596" t="n">
        <v>0</v>
      </c>
      <c r="P596" t="n">
        <v>0</v>
      </c>
      <c r="Q596" t="n">
        <v>0</v>
      </c>
      <c r="R596" s="2" t="inlineStr"/>
    </row>
    <row r="597" ht="15" customHeight="1">
      <c r="A597" t="inlineStr">
        <is>
          <t>A 5703-2026</t>
        </is>
      </c>
      <c r="B597" s="1" t="n">
        <v>46051.50774305555</v>
      </c>
      <c r="C597" s="1" t="n">
        <v>46053</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63948-2025</t>
        </is>
      </c>
      <c r="B598" s="1" t="n">
        <v>46010</v>
      </c>
      <c r="C598" s="1" t="n">
        <v>46053</v>
      </c>
      <c r="D598" t="inlineStr">
        <is>
          <t>SÖDERMANLANDS LÄN</t>
        </is>
      </c>
      <c r="E598" t="inlineStr">
        <is>
          <t>KATRINEHOLM</t>
        </is>
      </c>
      <c r="F598" t="inlineStr">
        <is>
          <t>Allmännings- och besparingsskogar</t>
        </is>
      </c>
      <c r="G598" t="n">
        <v>4.9</v>
      </c>
      <c r="H598" t="n">
        <v>0</v>
      </c>
      <c r="I598" t="n">
        <v>0</v>
      </c>
      <c r="J598" t="n">
        <v>0</v>
      </c>
      <c r="K598" t="n">
        <v>0</v>
      </c>
      <c r="L598" t="n">
        <v>0</v>
      </c>
      <c r="M598" t="n">
        <v>0</v>
      </c>
      <c r="N598" t="n">
        <v>0</v>
      </c>
      <c r="O598" t="n">
        <v>0</v>
      </c>
      <c r="P598" t="n">
        <v>0</v>
      </c>
      <c r="Q598" t="n">
        <v>0</v>
      </c>
      <c r="R598" s="2" t="inlineStr"/>
    </row>
    <row r="599" ht="15" customHeight="1">
      <c r="A599" t="inlineStr">
        <is>
          <t>A 58175-2024</t>
        </is>
      </c>
      <c r="B599" s="1" t="n">
        <v>45632.46648148148</v>
      </c>
      <c r="C599" s="1" t="n">
        <v>46053</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53715-2023</t>
        </is>
      </c>
      <c r="B600" s="1" t="n">
        <v>45230</v>
      </c>
      <c r="C600" s="1" t="n">
        <v>46053</v>
      </c>
      <c r="D600" t="inlineStr">
        <is>
          <t>SÖDERMANLANDS LÄN</t>
        </is>
      </c>
      <c r="E600" t="inlineStr">
        <is>
          <t>KATRINEHOLM</t>
        </is>
      </c>
      <c r="F600" t="inlineStr">
        <is>
          <t>Allmännings- och besparingsskogar</t>
        </is>
      </c>
      <c r="G600" t="n">
        <v>5.6</v>
      </c>
      <c r="H600" t="n">
        <v>0</v>
      </c>
      <c r="I600" t="n">
        <v>0</v>
      </c>
      <c r="J600" t="n">
        <v>0</v>
      </c>
      <c r="K600" t="n">
        <v>0</v>
      </c>
      <c r="L600" t="n">
        <v>0</v>
      </c>
      <c r="M600" t="n">
        <v>0</v>
      </c>
      <c r="N600" t="n">
        <v>0</v>
      </c>
      <c r="O600" t="n">
        <v>0</v>
      </c>
      <c r="P600" t="n">
        <v>0</v>
      </c>
      <c r="Q600" t="n">
        <v>0</v>
      </c>
      <c r="R600" s="2" t="inlineStr"/>
    </row>
    <row r="601" ht="15" customHeight="1">
      <c r="A601" t="inlineStr">
        <is>
          <t>A 23705-2023</t>
        </is>
      </c>
      <c r="B601" s="1" t="n">
        <v>45077</v>
      </c>
      <c r="C601" s="1" t="n">
        <v>46053</v>
      </c>
      <c r="D601" t="inlineStr">
        <is>
          <t>SÖDERMANLANDS LÄN</t>
        </is>
      </c>
      <c r="E601" t="inlineStr">
        <is>
          <t>KATRINEHOLM</t>
        </is>
      </c>
      <c r="F601" t="inlineStr">
        <is>
          <t>Kyrkan</t>
        </is>
      </c>
      <c r="G601" t="n">
        <v>11.9</v>
      </c>
      <c r="H601" t="n">
        <v>0</v>
      </c>
      <c r="I601" t="n">
        <v>0</v>
      </c>
      <c r="J601" t="n">
        <v>0</v>
      </c>
      <c r="K601" t="n">
        <v>0</v>
      </c>
      <c r="L601" t="n">
        <v>0</v>
      </c>
      <c r="M601" t="n">
        <v>0</v>
      </c>
      <c r="N601" t="n">
        <v>0</v>
      </c>
      <c r="O601" t="n">
        <v>0</v>
      </c>
      <c r="P601" t="n">
        <v>0</v>
      </c>
      <c r="Q601" t="n">
        <v>0</v>
      </c>
      <c r="R601" s="2" t="inlineStr"/>
    </row>
    <row r="602" ht="15" customHeight="1">
      <c r="A602" t="inlineStr">
        <is>
          <t>A 39120-2023</t>
        </is>
      </c>
      <c r="B602" s="1" t="n">
        <v>45165</v>
      </c>
      <c r="C602" s="1" t="n">
        <v>46053</v>
      </c>
      <c r="D602" t="inlineStr">
        <is>
          <t>SÖDERMANLANDS LÄN</t>
        </is>
      </c>
      <c r="E602" t="inlineStr">
        <is>
          <t>KATRINEHOLM</t>
        </is>
      </c>
      <c r="G602" t="n">
        <v>4.4</v>
      </c>
      <c r="H602" t="n">
        <v>0</v>
      </c>
      <c r="I602" t="n">
        <v>0</v>
      </c>
      <c r="J602" t="n">
        <v>0</v>
      </c>
      <c r="K602" t="n">
        <v>0</v>
      </c>
      <c r="L602" t="n">
        <v>0</v>
      </c>
      <c r="M602" t="n">
        <v>0</v>
      </c>
      <c r="N602" t="n">
        <v>0</v>
      </c>
      <c r="O602" t="n">
        <v>0</v>
      </c>
      <c r="P602" t="n">
        <v>0</v>
      </c>
      <c r="Q602" t="n">
        <v>0</v>
      </c>
      <c r="R602" s="2" t="inlineStr"/>
    </row>
    <row r="603" ht="15" customHeight="1">
      <c r="A603" t="inlineStr">
        <is>
          <t>A 51397-2023</t>
        </is>
      </c>
      <c r="B603" s="1" t="n">
        <v>45214</v>
      </c>
      <c r="C603" s="1" t="n">
        <v>46053</v>
      </c>
      <c r="D603" t="inlineStr">
        <is>
          <t>SÖDERMANLANDS LÄN</t>
        </is>
      </c>
      <c r="E603" t="inlineStr">
        <is>
          <t>KATRINEHOLM</t>
        </is>
      </c>
      <c r="G603" t="n">
        <v>4.9</v>
      </c>
      <c r="H603" t="n">
        <v>0</v>
      </c>
      <c r="I603" t="n">
        <v>0</v>
      </c>
      <c r="J603" t="n">
        <v>0</v>
      </c>
      <c r="K603" t="n">
        <v>0</v>
      </c>
      <c r="L603" t="n">
        <v>0</v>
      </c>
      <c r="M603" t="n">
        <v>0</v>
      </c>
      <c r="N603" t="n">
        <v>0</v>
      </c>
      <c r="O603" t="n">
        <v>0</v>
      </c>
      <c r="P603" t="n">
        <v>0</v>
      </c>
      <c r="Q603" t="n">
        <v>0</v>
      </c>
      <c r="R603" s="2" t="inlineStr"/>
    </row>
    <row r="604" ht="15" customHeight="1">
      <c r="A604" t="inlineStr">
        <is>
          <t>A 19452-2023</t>
        </is>
      </c>
      <c r="B604" s="1" t="n">
        <v>45050</v>
      </c>
      <c r="C604" s="1" t="n">
        <v>46053</v>
      </c>
      <c r="D604" t="inlineStr">
        <is>
          <t>SÖDERMANLANDS LÄN</t>
        </is>
      </c>
      <c r="E604" t="inlineStr">
        <is>
          <t>KATRINEHOLM</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52658-2023</t>
        </is>
      </c>
      <c r="B605" s="1" t="n">
        <v>45225</v>
      </c>
      <c r="C605" s="1" t="n">
        <v>46053</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5320-2025</t>
        </is>
      </c>
      <c r="B606" s="1" t="n">
        <v>45692</v>
      </c>
      <c r="C606" s="1" t="n">
        <v>46053</v>
      </c>
      <c r="D606" t="inlineStr">
        <is>
          <t>SÖDERMANLANDS LÄN</t>
        </is>
      </c>
      <c r="E606" t="inlineStr">
        <is>
          <t>KATRINEHOLM</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2606-2025</t>
        </is>
      </c>
      <c r="B607" s="1" t="n">
        <v>45674</v>
      </c>
      <c r="C607" s="1" t="n">
        <v>46053</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39748-2022</t>
        </is>
      </c>
      <c r="B608" s="1" t="n">
        <v>44817</v>
      </c>
      <c r="C608" s="1" t="n">
        <v>46053</v>
      </c>
      <c r="D608" t="inlineStr">
        <is>
          <t>SÖDERMANLANDS LÄN</t>
        </is>
      </c>
      <c r="E608" t="inlineStr">
        <is>
          <t>KATRINEHOLM</t>
        </is>
      </c>
      <c r="G608" t="n">
        <v>10.2</v>
      </c>
      <c r="H608" t="n">
        <v>0</v>
      </c>
      <c r="I608" t="n">
        <v>0</v>
      </c>
      <c r="J608" t="n">
        <v>0</v>
      </c>
      <c r="K608" t="n">
        <v>0</v>
      </c>
      <c r="L608" t="n">
        <v>0</v>
      </c>
      <c r="M608" t="n">
        <v>0</v>
      </c>
      <c r="N608" t="n">
        <v>0</v>
      </c>
      <c r="O608" t="n">
        <v>0</v>
      </c>
      <c r="P608" t="n">
        <v>0</v>
      </c>
      <c r="Q608" t="n">
        <v>0</v>
      </c>
      <c r="R608" s="2" t="inlineStr"/>
    </row>
    <row r="609" ht="15" customHeight="1">
      <c r="A609" t="inlineStr">
        <is>
          <t>A 34731-2023</t>
        </is>
      </c>
      <c r="B609" s="1" t="n">
        <v>45141</v>
      </c>
      <c r="C609" s="1" t="n">
        <v>46053</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34739-2023</t>
        </is>
      </c>
      <c r="B610" s="1" t="n">
        <v>45141</v>
      </c>
      <c r="C610" s="1" t="n">
        <v>46053</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46053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50017-2023</t>
        </is>
      </c>
      <c r="B612" s="1" t="n">
        <v>45215</v>
      </c>
      <c r="C612" s="1" t="n">
        <v>46053</v>
      </c>
      <c r="D612" t="inlineStr">
        <is>
          <t>SÖDERMANLANDS LÄN</t>
        </is>
      </c>
      <c r="E612" t="inlineStr">
        <is>
          <t>KATRINEHOLM</t>
        </is>
      </c>
      <c r="G612" t="n">
        <v>0.9</v>
      </c>
      <c r="H612" t="n">
        <v>0</v>
      </c>
      <c r="I612" t="n">
        <v>0</v>
      </c>
      <c r="J612" t="n">
        <v>0</v>
      </c>
      <c r="K612" t="n">
        <v>0</v>
      </c>
      <c r="L612" t="n">
        <v>0</v>
      </c>
      <c r="M612" t="n">
        <v>0</v>
      </c>
      <c r="N612" t="n">
        <v>0</v>
      </c>
      <c r="O612" t="n">
        <v>0</v>
      </c>
      <c r="P612" t="n">
        <v>0</v>
      </c>
      <c r="Q612" t="n">
        <v>0</v>
      </c>
      <c r="R612" s="2" t="inlineStr"/>
    </row>
    <row r="613" ht="15" customHeight="1">
      <c r="A613" t="inlineStr">
        <is>
          <t>A 50018-2023</t>
        </is>
      </c>
      <c r="B613" s="1" t="n">
        <v>45215</v>
      </c>
      <c r="C613" s="1" t="n">
        <v>46053</v>
      </c>
      <c r="D613" t="inlineStr">
        <is>
          <t>SÖDERMANLANDS LÄN</t>
        </is>
      </c>
      <c r="E613" t="inlineStr">
        <is>
          <t>KATRINEHOLM</t>
        </is>
      </c>
      <c r="G613" t="n">
        <v>2.4</v>
      </c>
      <c r="H613" t="n">
        <v>0</v>
      </c>
      <c r="I613" t="n">
        <v>0</v>
      </c>
      <c r="J613" t="n">
        <v>0</v>
      </c>
      <c r="K613" t="n">
        <v>0</v>
      </c>
      <c r="L613" t="n">
        <v>0</v>
      </c>
      <c r="M613" t="n">
        <v>0</v>
      </c>
      <c r="N613" t="n">
        <v>0</v>
      </c>
      <c r="O613" t="n">
        <v>0</v>
      </c>
      <c r="P613" t="n">
        <v>0</v>
      </c>
      <c r="Q613" t="n">
        <v>0</v>
      </c>
      <c r="R613" s="2" t="inlineStr"/>
    </row>
    <row r="614" ht="15" customHeight="1">
      <c r="A614" t="inlineStr">
        <is>
          <t>A 28508-2023</t>
        </is>
      </c>
      <c r="B614" s="1" t="n">
        <v>45103.46788194445</v>
      </c>
      <c r="C614" s="1" t="n">
        <v>46053</v>
      </c>
      <c r="D614" t="inlineStr">
        <is>
          <t>SÖDERMANLANDS LÄN</t>
        </is>
      </c>
      <c r="E614" t="inlineStr">
        <is>
          <t>KATRINEHOLM</t>
        </is>
      </c>
      <c r="F614" t="inlineStr">
        <is>
          <t>Kyrkan</t>
        </is>
      </c>
      <c r="G614" t="n">
        <v>20.5</v>
      </c>
      <c r="H614" t="n">
        <v>0</v>
      </c>
      <c r="I614" t="n">
        <v>0</v>
      </c>
      <c r="J614" t="n">
        <v>0</v>
      </c>
      <c r="K614" t="n">
        <v>0</v>
      </c>
      <c r="L614" t="n">
        <v>0</v>
      </c>
      <c r="M614" t="n">
        <v>0</v>
      </c>
      <c r="N614" t="n">
        <v>0</v>
      </c>
      <c r="O614" t="n">
        <v>0</v>
      </c>
      <c r="P614" t="n">
        <v>0</v>
      </c>
      <c r="Q614" t="n">
        <v>0</v>
      </c>
      <c r="R614" s="2" t="inlineStr"/>
    </row>
    <row r="615" ht="15" customHeight="1">
      <c r="A615" t="inlineStr">
        <is>
          <t>A 46075-2023</t>
        </is>
      </c>
      <c r="B615" s="1" t="n">
        <v>45196</v>
      </c>
      <c r="C615" s="1" t="n">
        <v>46053</v>
      </c>
      <c r="D615" t="inlineStr">
        <is>
          <t>SÖDERMANLANDS LÄN</t>
        </is>
      </c>
      <c r="E615" t="inlineStr">
        <is>
          <t>KATRINEHOLM</t>
        </is>
      </c>
      <c r="F615" t="inlineStr">
        <is>
          <t>Övriga Aktiebolag</t>
        </is>
      </c>
      <c r="G615" t="n">
        <v>9.5</v>
      </c>
      <c r="H615" t="n">
        <v>0</v>
      </c>
      <c r="I615" t="n">
        <v>0</v>
      </c>
      <c r="J615" t="n">
        <v>0</v>
      </c>
      <c r="K615" t="n">
        <v>0</v>
      </c>
      <c r="L615" t="n">
        <v>0</v>
      </c>
      <c r="M615" t="n">
        <v>0</v>
      </c>
      <c r="N615" t="n">
        <v>0</v>
      </c>
      <c r="O615" t="n">
        <v>0</v>
      </c>
      <c r="P615" t="n">
        <v>0</v>
      </c>
      <c r="Q615" t="n">
        <v>0</v>
      </c>
      <c r="R615" s="2" t="inlineStr"/>
    </row>
    <row r="616" ht="15" customHeight="1">
      <c r="A616" t="inlineStr">
        <is>
          <t>A 25823-2023</t>
        </is>
      </c>
      <c r="B616" s="1" t="n">
        <v>45090.55078703703</v>
      </c>
      <c r="C616" s="1" t="n">
        <v>46053</v>
      </c>
      <c r="D616" t="inlineStr">
        <is>
          <t>SÖDERMANLANDS LÄN</t>
        </is>
      </c>
      <c r="E616" t="inlineStr">
        <is>
          <t>KATRINEHOLM</t>
        </is>
      </c>
      <c r="F616" t="inlineStr">
        <is>
          <t>Kyrkan</t>
        </is>
      </c>
      <c r="G616" t="n">
        <v>10.2</v>
      </c>
      <c r="H616" t="n">
        <v>0</v>
      </c>
      <c r="I616" t="n">
        <v>0</v>
      </c>
      <c r="J616" t="n">
        <v>0</v>
      </c>
      <c r="K616" t="n">
        <v>0</v>
      </c>
      <c r="L616" t="n">
        <v>0</v>
      </c>
      <c r="M616" t="n">
        <v>0</v>
      </c>
      <c r="N616" t="n">
        <v>0</v>
      </c>
      <c r="O616" t="n">
        <v>0</v>
      </c>
      <c r="P616" t="n">
        <v>0</v>
      </c>
      <c r="Q616" t="n">
        <v>0</v>
      </c>
      <c r="R616" s="2" t="inlineStr"/>
    </row>
    <row r="617" ht="15" customHeight="1">
      <c r="A617" t="inlineStr">
        <is>
          <t>A 17360-2022</t>
        </is>
      </c>
      <c r="B617" s="1" t="n">
        <v>44678</v>
      </c>
      <c r="C617" s="1" t="n">
        <v>46053</v>
      </c>
      <c r="D617" t="inlineStr">
        <is>
          <t>SÖDERMANLANDS LÄN</t>
        </is>
      </c>
      <c r="E617" t="inlineStr">
        <is>
          <t>KATRINEHOLM</t>
        </is>
      </c>
      <c r="G617" t="n">
        <v>4.5</v>
      </c>
      <c r="H617" t="n">
        <v>0</v>
      </c>
      <c r="I617" t="n">
        <v>0</v>
      </c>
      <c r="J617" t="n">
        <v>0</v>
      </c>
      <c r="K617" t="n">
        <v>0</v>
      </c>
      <c r="L617" t="n">
        <v>0</v>
      </c>
      <c r="M617" t="n">
        <v>0</v>
      </c>
      <c r="N617" t="n">
        <v>0</v>
      </c>
      <c r="O617" t="n">
        <v>0</v>
      </c>
      <c r="P617" t="n">
        <v>0</v>
      </c>
      <c r="Q617" t="n">
        <v>0</v>
      </c>
      <c r="R617" s="2" t="inlineStr"/>
    </row>
    <row r="618" ht="15" customHeight="1">
      <c r="A618" t="inlineStr">
        <is>
          <t>A 22295-2024</t>
        </is>
      </c>
      <c r="B618" s="1" t="n">
        <v>45446.56141203704</v>
      </c>
      <c r="C618" s="1" t="n">
        <v>46053</v>
      </c>
      <c r="D618" t="inlineStr">
        <is>
          <t>SÖDERMANLANDS LÄN</t>
        </is>
      </c>
      <c r="E618" t="inlineStr">
        <is>
          <t>KATRINEHOLM</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46700-2023</t>
        </is>
      </c>
      <c r="B619" s="1" t="n">
        <v>45194</v>
      </c>
      <c r="C619" s="1" t="n">
        <v>46053</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55590-2023</t>
        </is>
      </c>
      <c r="B620" s="1" t="n">
        <v>45238</v>
      </c>
      <c r="C620" s="1" t="n">
        <v>46053</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15898-2022</t>
        </is>
      </c>
      <c r="B621" s="1" t="n">
        <v>44664.55688657407</v>
      </c>
      <c r="C621" s="1" t="n">
        <v>46053</v>
      </c>
      <c r="D621" t="inlineStr">
        <is>
          <t>SÖDERMANLANDS LÄN</t>
        </is>
      </c>
      <c r="E621" t="inlineStr">
        <is>
          <t>KATRINEHOLM</t>
        </is>
      </c>
      <c r="G621" t="n">
        <v>6.5</v>
      </c>
      <c r="H621" t="n">
        <v>0</v>
      </c>
      <c r="I621" t="n">
        <v>0</v>
      </c>
      <c r="J621" t="n">
        <v>0</v>
      </c>
      <c r="K621" t="n">
        <v>0</v>
      </c>
      <c r="L621" t="n">
        <v>0</v>
      </c>
      <c r="M621" t="n">
        <v>0</v>
      </c>
      <c r="N621" t="n">
        <v>0</v>
      </c>
      <c r="O621" t="n">
        <v>0</v>
      </c>
      <c r="P621" t="n">
        <v>0</v>
      </c>
      <c r="Q621" t="n">
        <v>0</v>
      </c>
      <c r="R621" s="2" t="inlineStr"/>
    </row>
    <row r="622" ht="15" customHeight="1">
      <c r="A622" t="inlineStr">
        <is>
          <t>A 15910-2022</t>
        </is>
      </c>
      <c r="B622" s="1" t="n">
        <v>44664</v>
      </c>
      <c r="C622" s="1" t="n">
        <v>46053</v>
      </c>
      <c r="D622" t="inlineStr">
        <is>
          <t>SÖDERMANLANDS LÄN</t>
        </is>
      </c>
      <c r="E622" t="inlineStr">
        <is>
          <t>KATRINEHOLM</t>
        </is>
      </c>
      <c r="G622" t="n">
        <v>5.6</v>
      </c>
      <c r="H622" t="n">
        <v>0</v>
      </c>
      <c r="I622" t="n">
        <v>0</v>
      </c>
      <c r="J622" t="n">
        <v>0</v>
      </c>
      <c r="K622" t="n">
        <v>0</v>
      </c>
      <c r="L622" t="n">
        <v>0</v>
      </c>
      <c r="M622" t="n">
        <v>0</v>
      </c>
      <c r="N622" t="n">
        <v>0</v>
      </c>
      <c r="O622" t="n">
        <v>0</v>
      </c>
      <c r="P622" t="n">
        <v>0</v>
      </c>
      <c r="Q622" t="n">
        <v>0</v>
      </c>
      <c r="R622" s="2" t="inlineStr"/>
    </row>
    <row r="623" ht="15" customHeight="1">
      <c r="A623" t="inlineStr">
        <is>
          <t>A 32818-2023</t>
        </is>
      </c>
      <c r="B623" s="1" t="n">
        <v>45124.55633101852</v>
      </c>
      <c r="C623" s="1" t="n">
        <v>46053</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20214-2025</t>
        </is>
      </c>
      <c r="B624" s="1" t="n">
        <v>45772.63540509259</v>
      </c>
      <c r="C624" s="1" t="n">
        <v>46053</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22272-2022</t>
        </is>
      </c>
      <c r="B625" s="1" t="n">
        <v>44712</v>
      </c>
      <c r="C625" s="1" t="n">
        <v>46053</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27334-2023</t>
        </is>
      </c>
      <c r="B626" s="1" t="n">
        <v>45096</v>
      </c>
      <c r="C626" s="1" t="n">
        <v>46053</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40186-2023</t>
        </is>
      </c>
      <c r="B627" s="1" t="n">
        <v>45169</v>
      </c>
      <c r="C627" s="1" t="n">
        <v>46053</v>
      </c>
      <c r="D627" t="inlineStr">
        <is>
          <t>SÖDERMANLANDS LÄN</t>
        </is>
      </c>
      <c r="E627" t="inlineStr">
        <is>
          <t>KATRINEHOLM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47886-2023</t>
        </is>
      </c>
      <c r="B628" s="1" t="n">
        <v>45204</v>
      </c>
      <c r="C628" s="1" t="n">
        <v>46053</v>
      </c>
      <c r="D628" t="inlineStr">
        <is>
          <t>SÖDERMANLANDS LÄN</t>
        </is>
      </c>
      <c r="E628" t="inlineStr">
        <is>
          <t>KATRINEHOLM</t>
        </is>
      </c>
      <c r="G628" t="n">
        <v>22</v>
      </c>
      <c r="H628" t="n">
        <v>0</v>
      </c>
      <c r="I628" t="n">
        <v>0</v>
      </c>
      <c r="J628" t="n">
        <v>0</v>
      </c>
      <c r="K628" t="n">
        <v>0</v>
      </c>
      <c r="L628" t="n">
        <v>0</v>
      </c>
      <c r="M628" t="n">
        <v>0</v>
      </c>
      <c r="N628" t="n">
        <v>0</v>
      </c>
      <c r="O628" t="n">
        <v>0</v>
      </c>
      <c r="P628" t="n">
        <v>0</v>
      </c>
      <c r="Q628" t="n">
        <v>0</v>
      </c>
      <c r="R628" s="2" t="inlineStr"/>
    </row>
    <row r="629" ht="15" customHeight="1">
      <c r="A629" t="inlineStr">
        <is>
          <t>A 36562-2023</t>
        </is>
      </c>
      <c r="B629" s="1" t="n">
        <v>45153</v>
      </c>
      <c r="C629" s="1" t="n">
        <v>46053</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34539-2022</t>
        </is>
      </c>
      <c r="B630" s="1" t="n">
        <v>44793.50563657407</v>
      </c>
      <c r="C630" s="1" t="n">
        <v>46053</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41205-2021</t>
        </is>
      </c>
      <c r="B631" s="1" t="n">
        <v>44424.38577546296</v>
      </c>
      <c r="C631" s="1" t="n">
        <v>46053</v>
      </c>
      <c r="D631" t="inlineStr">
        <is>
          <t>SÖDERMANLANDS LÄN</t>
        </is>
      </c>
      <c r="E631" t="inlineStr">
        <is>
          <t>KATRINEHOLM</t>
        </is>
      </c>
      <c r="G631" t="n">
        <v>1.6</v>
      </c>
      <c r="H631" t="n">
        <v>0</v>
      </c>
      <c r="I631" t="n">
        <v>0</v>
      </c>
      <c r="J631" t="n">
        <v>0</v>
      </c>
      <c r="K631" t="n">
        <v>0</v>
      </c>
      <c r="L631" t="n">
        <v>0</v>
      </c>
      <c r="M631" t="n">
        <v>0</v>
      </c>
      <c r="N631" t="n">
        <v>0</v>
      </c>
      <c r="O631" t="n">
        <v>0</v>
      </c>
      <c r="P631" t="n">
        <v>0</v>
      </c>
      <c r="Q631" t="n">
        <v>0</v>
      </c>
      <c r="R631" s="2" t="inlineStr"/>
    </row>
    <row r="632" ht="15" customHeight="1">
      <c r="A632" t="inlineStr">
        <is>
          <t>A 24748-2024</t>
        </is>
      </c>
      <c r="B632" s="1" t="n">
        <v>45460.66567129629</v>
      </c>
      <c r="C632" s="1" t="n">
        <v>46053</v>
      </c>
      <c r="D632" t="inlineStr">
        <is>
          <t>SÖDERMANLANDS LÄN</t>
        </is>
      </c>
      <c r="E632" t="inlineStr">
        <is>
          <t>KATRINEHOLM</t>
        </is>
      </c>
      <c r="G632" t="n">
        <v>3.3</v>
      </c>
      <c r="H632" t="n">
        <v>0</v>
      </c>
      <c r="I632" t="n">
        <v>0</v>
      </c>
      <c r="J632" t="n">
        <v>0</v>
      </c>
      <c r="K632" t="n">
        <v>0</v>
      </c>
      <c r="L632" t="n">
        <v>0</v>
      </c>
      <c r="M632" t="n">
        <v>0</v>
      </c>
      <c r="N632" t="n">
        <v>0</v>
      </c>
      <c r="O632" t="n">
        <v>0</v>
      </c>
      <c r="P632" t="n">
        <v>0</v>
      </c>
      <c r="Q632" t="n">
        <v>0</v>
      </c>
      <c r="R632" s="2" t="inlineStr"/>
    </row>
    <row r="633" ht="15" customHeight="1">
      <c r="A633" t="inlineStr">
        <is>
          <t>A 40402-2022</t>
        </is>
      </c>
      <c r="B633" s="1" t="n">
        <v>44823.44353009259</v>
      </c>
      <c r="C633" s="1" t="n">
        <v>46053</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17792-2025</t>
        </is>
      </c>
      <c r="B634" s="1" t="n">
        <v>45758</v>
      </c>
      <c r="C634" s="1" t="n">
        <v>46053</v>
      </c>
      <c r="D634" t="inlineStr">
        <is>
          <t>SÖDERMANLANDS LÄN</t>
        </is>
      </c>
      <c r="E634" t="inlineStr">
        <is>
          <t>KATRINEHOLM</t>
        </is>
      </c>
      <c r="G634" t="n">
        <v>4.2</v>
      </c>
      <c r="H634" t="n">
        <v>0</v>
      </c>
      <c r="I634" t="n">
        <v>0</v>
      </c>
      <c r="J634" t="n">
        <v>0</v>
      </c>
      <c r="K634" t="n">
        <v>0</v>
      </c>
      <c r="L634" t="n">
        <v>0</v>
      </c>
      <c r="M634" t="n">
        <v>0</v>
      </c>
      <c r="N634" t="n">
        <v>0</v>
      </c>
      <c r="O634" t="n">
        <v>0</v>
      </c>
      <c r="P634" t="n">
        <v>0</v>
      </c>
      <c r="Q634" t="n">
        <v>0</v>
      </c>
      <c r="R634" s="2" t="inlineStr"/>
    </row>
    <row r="635" ht="15" customHeight="1">
      <c r="A635" t="inlineStr">
        <is>
          <t>A 17820-2025</t>
        </is>
      </c>
      <c r="B635" s="1" t="n">
        <v>45758</v>
      </c>
      <c r="C635" s="1" t="n">
        <v>46053</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30387-2022</t>
        </is>
      </c>
      <c r="B636" s="1" t="n">
        <v>44760</v>
      </c>
      <c r="C636" s="1" t="n">
        <v>46053</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39052-2023</t>
        </is>
      </c>
      <c r="B637" s="1" t="n">
        <v>45163</v>
      </c>
      <c r="C637" s="1" t="n">
        <v>46053</v>
      </c>
      <c r="D637" t="inlineStr">
        <is>
          <t>SÖDERMANLANDS LÄN</t>
        </is>
      </c>
      <c r="E637" t="inlineStr">
        <is>
          <t>KATRINEHOLM</t>
        </is>
      </c>
      <c r="G637" t="n">
        <v>3</v>
      </c>
      <c r="H637" t="n">
        <v>0</v>
      </c>
      <c r="I637" t="n">
        <v>0</v>
      </c>
      <c r="J637" t="n">
        <v>0</v>
      </c>
      <c r="K637" t="n">
        <v>0</v>
      </c>
      <c r="L637" t="n">
        <v>0</v>
      </c>
      <c r="M637" t="n">
        <v>0</v>
      </c>
      <c r="N637" t="n">
        <v>0</v>
      </c>
      <c r="O637" t="n">
        <v>0</v>
      </c>
      <c r="P637" t="n">
        <v>0</v>
      </c>
      <c r="Q637" t="n">
        <v>0</v>
      </c>
      <c r="R637" s="2" t="inlineStr"/>
    </row>
    <row r="638" ht="15" customHeight="1">
      <c r="A638" t="inlineStr">
        <is>
          <t>A 8922-2024</t>
        </is>
      </c>
      <c r="B638" s="1" t="n">
        <v>45357.38601851852</v>
      </c>
      <c r="C638" s="1" t="n">
        <v>46053</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46053</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28317-2024</t>
        </is>
      </c>
      <c r="B640" s="1" t="n">
        <v>45477</v>
      </c>
      <c r="C640" s="1" t="n">
        <v>46053</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66393-2021</t>
        </is>
      </c>
      <c r="B641" s="1" t="n">
        <v>44518</v>
      </c>
      <c r="C641" s="1" t="n">
        <v>46053</v>
      </c>
      <c r="D641" t="inlineStr">
        <is>
          <t>SÖDERMANLANDS LÄN</t>
        </is>
      </c>
      <c r="E641" t="inlineStr">
        <is>
          <t>KATRINEHOLM</t>
        </is>
      </c>
      <c r="F641" t="inlineStr">
        <is>
          <t>Holmen skog AB</t>
        </is>
      </c>
      <c r="G641" t="n">
        <v>0.4</v>
      </c>
      <c r="H641" t="n">
        <v>0</v>
      </c>
      <c r="I641" t="n">
        <v>0</v>
      </c>
      <c r="J641" t="n">
        <v>0</v>
      </c>
      <c r="K641" t="n">
        <v>0</v>
      </c>
      <c r="L641" t="n">
        <v>0</v>
      </c>
      <c r="M641" t="n">
        <v>0</v>
      </c>
      <c r="N641" t="n">
        <v>0</v>
      </c>
      <c r="O641" t="n">
        <v>0</v>
      </c>
      <c r="P641" t="n">
        <v>0</v>
      </c>
      <c r="Q641" t="n">
        <v>0</v>
      </c>
      <c r="R641" s="2" t="inlineStr"/>
    </row>
    <row r="642" ht="15" customHeight="1">
      <c r="A642" t="inlineStr">
        <is>
          <t>A 47134-2022</t>
        </is>
      </c>
      <c r="B642" s="1" t="n">
        <v>44851</v>
      </c>
      <c r="C642" s="1" t="n">
        <v>46053</v>
      </c>
      <c r="D642" t="inlineStr">
        <is>
          <t>SÖDERMANLANDS LÄN</t>
        </is>
      </c>
      <c r="E642" t="inlineStr">
        <is>
          <t>KATRINEHOLM</t>
        </is>
      </c>
      <c r="F642" t="inlineStr">
        <is>
          <t>Övriga statliga verk och myndigheter</t>
        </is>
      </c>
      <c r="G642" t="n">
        <v>1.5</v>
      </c>
      <c r="H642" t="n">
        <v>0</v>
      </c>
      <c r="I642" t="n">
        <v>0</v>
      </c>
      <c r="J642" t="n">
        <v>0</v>
      </c>
      <c r="K642" t="n">
        <v>0</v>
      </c>
      <c r="L642" t="n">
        <v>0</v>
      </c>
      <c r="M642" t="n">
        <v>0</v>
      </c>
      <c r="N642" t="n">
        <v>0</v>
      </c>
      <c r="O642" t="n">
        <v>0</v>
      </c>
      <c r="P642" t="n">
        <v>0</v>
      </c>
      <c r="Q642" t="n">
        <v>0</v>
      </c>
      <c r="R642" s="2" t="inlineStr"/>
    </row>
    <row r="643" ht="15" customHeight="1">
      <c r="A643" t="inlineStr">
        <is>
          <t>A 1143-2024</t>
        </is>
      </c>
      <c r="B643" s="1" t="n">
        <v>45302</v>
      </c>
      <c r="C643" s="1" t="n">
        <v>46053</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3982-2024</t>
        </is>
      </c>
      <c r="B644" s="1" t="n">
        <v>45322</v>
      </c>
      <c r="C644" s="1" t="n">
        <v>46053</v>
      </c>
      <c r="D644" t="inlineStr">
        <is>
          <t>SÖDERMANLANDS LÄN</t>
        </is>
      </c>
      <c r="E644" t="inlineStr">
        <is>
          <t>KATRINEHOLM</t>
        </is>
      </c>
      <c r="G644" t="n">
        <v>3.7</v>
      </c>
      <c r="H644" t="n">
        <v>0</v>
      </c>
      <c r="I644" t="n">
        <v>0</v>
      </c>
      <c r="J644" t="n">
        <v>0</v>
      </c>
      <c r="K644" t="n">
        <v>0</v>
      </c>
      <c r="L644" t="n">
        <v>0</v>
      </c>
      <c r="M644" t="n">
        <v>0</v>
      </c>
      <c r="N644" t="n">
        <v>0</v>
      </c>
      <c r="O644" t="n">
        <v>0</v>
      </c>
      <c r="P644" t="n">
        <v>0</v>
      </c>
      <c r="Q644" t="n">
        <v>0</v>
      </c>
      <c r="R644" s="2" t="inlineStr"/>
    </row>
    <row r="645" ht="15" customHeight="1">
      <c r="A645" t="inlineStr">
        <is>
          <t>A 57263-2022</t>
        </is>
      </c>
      <c r="B645" s="1" t="n">
        <v>44895</v>
      </c>
      <c r="C645" s="1" t="n">
        <v>46053</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28431-2024</t>
        </is>
      </c>
      <c r="B646" s="1" t="n">
        <v>45477.65216435185</v>
      </c>
      <c r="C646" s="1" t="n">
        <v>46053</v>
      </c>
      <c r="D646" t="inlineStr">
        <is>
          <t>SÖDERMANLANDS LÄN</t>
        </is>
      </c>
      <c r="E646" t="inlineStr">
        <is>
          <t>KATRINEHOLM</t>
        </is>
      </c>
      <c r="G646" t="n">
        <v>3.5</v>
      </c>
      <c r="H646" t="n">
        <v>0</v>
      </c>
      <c r="I646" t="n">
        <v>0</v>
      </c>
      <c r="J646" t="n">
        <v>0</v>
      </c>
      <c r="K646" t="n">
        <v>0</v>
      </c>
      <c r="L646" t="n">
        <v>0</v>
      </c>
      <c r="M646" t="n">
        <v>0</v>
      </c>
      <c r="N646" t="n">
        <v>0</v>
      </c>
      <c r="O646" t="n">
        <v>0</v>
      </c>
      <c r="P646" t="n">
        <v>0</v>
      </c>
      <c r="Q646" t="n">
        <v>0</v>
      </c>
      <c r="R646" s="2" t="inlineStr"/>
    </row>
    <row r="647" ht="15" customHeight="1">
      <c r="A647" t="inlineStr">
        <is>
          <t>A 62418-2023</t>
        </is>
      </c>
      <c r="B647" s="1" t="n">
        <v>45268</v>
      </c>
      <c r="C647" s="1" t="n">
        <v>46053</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45142-2021</t>
        </is>
      </c>
      <c r="B648" s="1" t="n">
        <v>44439</v>
      </c>
      <c r="C648" s="1" t="n">
        <v>46053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7191-2023</t>
        </is>
      </c>
      <c r="B649" s="1" t="n">
        <v>44965</v>
      </c>
      <c r="C649" s="1" t="n">
        <v>46053</v>
      </c>
      <c r="D649" t="inlineStr">
        <is>
          <t>SÖDERMANLANDS LÄN</t>
        </is>
      </c>
      <c r="E649" t="inlineStr">
        <is>
          <t>KATRINEHOLM</t>
        </is>
      </c>
      <c r="G649" t="n">
        <v>14.1</v>
      </c>
      <c r="H649" t="n">
        <v>0</v>
      </c>
      <c r="I649" t="n">
        <v>0</v>
      </c>
      <c r="J649" t="n">
        <v>0</v>
      </c>
      <c r="K649" t="n">
        <v>0</v>
      </c>
      <c r="L649" t="n">
        <v>0</v>
      </c>
      <c r="M649" t="n">
        <v>0</v>
      </c>
      <c r="N649" t="n">
        <v>0</v>
      </c>
      <c r="O649" t="n">
        <v>0</v>
      </c>
      <c r="P649" t="n">
        <v>0</v>
      </c>
      <c r="Q649" t="n">
        <v>0</v>
      </c>
      <c r="R649" s="2" t="inlineStr"/>
    </row>
    <row r="650" ht="15" customHeight="1">
      <c r="A650" t="inlineStr">
        <is>
          <t>A 66540-2021</t>
        </is>
      </c>
      <c r="B650" s="1" t="n">
        <v>44519</v>
      </c>
      <c r="C650" s="1" t="n">
        <v>46053</v>
      </c>
      <c r="D650" t="inlineStr">
        <is>
          <t>SÖDERMANLANDS LÄN</t>
        </is>
      </c>
      <c r="E650" t="inlineStr">
        <is>
          <t>KATRINEHOLM</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8394-2024</t>
        </is>
      </c>
      <c r="B651" s="1" t="n">
        <v>45352</v>
      </c>
      <c r="C651" s="1" t="n">
        <v>46053</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13658-2023</t>
        </is>
      </c>
      <c r="B652" s="1" t="n">
        <v>45006</v>
      </c>
      <c r="C652" s="1" t="n">
        <v>46053</v>
      </c>
      <c r="D652" t="inlineStr">
        <is>
          <t>SÖDERMANLANDS LÄN</t>
        </is>
      </c>
      <c r="E652" t="inlineStr">
        <is>
          <t>KATRINEHOLM</t>
        </is>
      </c>
      <c r="F652" t="inlineStr">
        <is>
          <t>Kyrkan</t>
        </is>
      </c>
      <c r="G652" t="n">
        <v>24.3</v>
      </c>
      <c r="H652" t="n">
        <v>0</v>
      </c>
      <c r="I652" t="n">
        <v>0</v>
      </c>
      <c r="J652" t="n">
        <v>0</v>
      </c>
      <c r="K652" t="n">
        <v>0</v>
      </c>
      <c r="L652" t="n">
        <v>0</v>
      </c>
      <c r="M652" t="n">
        <v>0</v>
      </c>
      <c r="N652" t="n">
        <v>0</v>
      </c>
      <c r="O652" t="n">
        <v>0</v>
      </c>
      <c r="P652" t="n">
        <v>0</v>
      </c>
      <c r="Q652" t="n">
        <v>0</v>
      </c>
      <c r="R652" s="2" t="inlineStr"/>
    </row>
    <row r="653" ht="15" customHeight="1">
      <c r="A653" t="inlineStr">
        <is>
          <t>A 61385-2023</t>
        </is>
      </c>
      <c r="B653" s="1" t="n">
        <v>45264.64241898148</v>
      </c>
      <c r="C653" s="1" t="n">
        <v>46053</v>
      </c>
      <c r="D653" t="inlineStr">
        <is>
          <t>SÖDERMANLANDS LÄN</t>
        </is>
      </c>
      <c r="E653" t="inlineStr">
        <is>
          <t>KATRINEHOLM</t>
        </is>
      </c>
      <c r="G653" t="n">
        <v>0.4</v>
      </c>
      <c r="H653" t="n">
        <v>0</v>
      </c>
      <c r="I653" t="n">
        <v>0</v>
      </c>
      <c r="J653" t="n">
        <v>0</v>
      </c>
      <c r="K653" t="n">
        <v>0</v>
      </c>
      <c r="L653" t="n">
        <v>0</v>
      </c>
      <c r="M653" t="n">
        <v>0</v>
      </c>
      <c r="N653" t="n">
        <v>0</v>
      </c>
      <c r="O653" t="n">
        <v>0</v>
      </c>
      <c r="P653" t="n">
        <v>0</v>
      </c>
      <c r="Q653" t="n">
        <v>0</v>
      </c>
      <c r="R653" s="2" t="inlineStr"/>
    </row>
    <row r="654" ht="15" customHeight="1">
      <c r="A654" t="inlineStr">
        <is>
          <t>A 55825-2022</t>
        </is>
      </c>
      <c r="B654" s="1" t="n">
        <v>44886</v>
      </c>
      <c r="C654" s="1" t="n">
        <v>46053</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55856-2022</t>
        </is>
      </c>
      <c r="B655" s="1" t="n">
        <v>44888</v>
      </c>
      <c r="C655" s="1" t="n">
        <v>46053</v>
      </c>
      <c r="D655" t="inlineStr">
        <is>
          <t>SÖDERMANLANDS LÄN</t>
        </is>
      </c>
      <c r="E655" t="inlineStr">
        <is>
          <t>KATRINEHOLM</t>
        </is>
      </c>
      <c r="G655" t="n">
        <v>5.6</v>
      </c>
      <c r="H655" t="n">
        <v>0</v>
      </c>
      <c r="I655" t="n">
        <v>0</v>
      </c>
      <c r="J655" t="n">
        <v>0</v>
      </c>
      <c r="K655" t="n">
        <v>0</v>
      </c>
      <c r="L655" t="n">
        <v>0</v>
      </c>
      <c r="M655" t="n">
        <v>0</v>
      </c>
      <c r="N655" t="n">
        <v>0</v>
      </c>
      <c r="O655" t="n">
        <v>0</v>
      </c>
      <c r="P655" t="n">
        <v>0</v>
      </c>
      <c r="Q655" t="n">
        <v>0</v>
      </c>
      <c r="R655" s="2" t="inlineStr"/>
    </row>
    <row r="656" ht="15" customHeight="1">
      <c r="A656" t="inlineStr">
        <is>
          <t>A 43513-2023</t>
        </is>
      </c>
      <c r="B656" s="1" t="n">
        <v>45184</v>
      </c>
      <c r="C656" s="1" t="n">
        <v>46053</v>
      </c>
      <c r="D656" t="inlineStr">
        <is>
          <t>SÖDERMANLANDS LÄN</t>
        </is>
      </c>
      <c r="E656" t="inlineStr">
        <is>
          <t>KATRINEHOLM</t>
        </is>
      </c>
      <c r="G656" t="n">
        <v>3.8</v>
      </c>
      <c r="H656" t="n">
        <v>0</v>
      </c>
      <c r="I656" t="n">
        <v>0</v>
      </c>
      <c r="J656" t="n">
        <v>0</v>
      </c>
      <c r="K656" t="n">
        <v>0</v>
      </c>
      <c r="L656" t="n">
        <v>0</v>
      </c>
      <c r="M656" t="n">
        <v>0</v>
      </c>
      <c r="N656" t="n">
        <v>0</v>
      </c>
      <c r="O656" t="n">
        <v>0</v>
      </c>
      <c r="P656" t="n">
        <v>0</v>
      </c>
      <c r="Q656" t="n">
        <v>0</v>
      </c>
      <c r="R656" s="2" t="inlineStr"/>
    </row>
    <row r="657" ht="15" customHeight="1">
      <c r="A657" t="inlineStr">
        <is>
          <t>A 8951-2024</t>
        </is>
      </c>
      <c r="B657" s="1" t="n">
        <v>45357.44695601852</v>
      </c>
      <c r="C657" s="1" t="n">
        <v>46053</v>
      </c>
      <c r="D657" t="inlineStr">
        <is>
          <t>SÖDERMANLANDS LÄN</t>
        </is>
      </c>
      <c r="E657" t="inlineStr">
        <is>
          <t>KATRINEHOLM</t>
        </is>
      </c>
      <c r="G657" t="n">
        <v>3.3</v>
      </c>
      <c r="H657" t="n">
        <v>0</v>
      </c>
      <c r="I657" t="n">
        <v>0</v>
      </c>
      <c r="J657" t="n">
        <v>0</v>
      </c>
      <c r="K657" t="n">
        <v>0</v>
      </c>
      <c r="L657" t="n">
        <v>0</v>
      </c>
      <c r="M657" t="n">
        <v>0</v>
      </c>
      <c r="N657" t="n">
        <v>0</v>
      </c>
      <c r="O657" t="n">
        <v>0</v>
      </c>
      <c r="P657" t="n">
        <v>0</v>
      </c>
      <c r="Q657" t="n">
        <v>0</v>
      </c>
      <c r="R657" s="2" t="inlineStr"/>
    </row>
    <row r="658" ht="15" customHeight="1">
      <c r="A658" t="inlineStr">
        <is>
          <t>A 8955-2024</t>
        </is>
      </c>
      <c r="B658" s="1" t="n">
        <v>45357.44873842593</v>
      </c>
      <c r="C658" s="1" t="n">
        <v>46053</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15945-2024</t>
        </is>
      </c>
      <c r="B659" s="1" t="n">
        <v>45405.48912037037</v>
      </c>
      <c r="C659" s="1" t="n">
        <v>46053</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4655-2024</t>
        </is>
      </c>
      <c r="B660" s="1" t="n">
        <v>45328</v>
      </c>
      <c r="C660" s="1" t="n">
        <v>46053</v>
      </c>
      <c r="D660" t="inlineStr">
        <is>
          <t>SÖDERMANLANDS LÄN</t>
        </is>
      </c>
      <c r="E660" t="inlineStr">
        <is>
          <t>KATRINEHOLM</t>
        </is>
      </c>
      <c r="G660" t="n">
        <v>17.7</v>
      </c>
      <c r="H660" t="n">
        <v>0</v>
      </c>
      <c r="I660" t="n">
        <v>0</v>
      </c>
      <c r="J660" t="n">
        <v>0</v>
      </c>
      <c r="K660" t="n">
        <v>0</v>
      </c>
      <c r="L660" t="n">
        <v>0</v>
      </c>
      <c r="M660" t="n">
        <v>0</v>
      </c>
      <c r="N660" t="n">
        <v>0</v>
      </c>
      <c r="O660" t="n">
        <v>0</v>
      </c>
      <c r="P660" t="n">
        <v>0</v>
      </c>
      <c r="Q660" t="n">
        <v>0</v>
      </c>
      <c r="R660" s="2" t="inlineStr"/>
    </row>
    <row r="661" ht="15" customHeight="1">
      <c r="A661" t="inlineStr">
        <is>
          <t>A 53387-2023</t>
        </is>
      </c>
      <c r="B661" s="1" t="n">
        <v>45229</v>
      </c>
      <c r="C661" s="1" t="n">
        <v>46053</v>
      </c>
      <c r="D661" t="inlineStr">
        <is>
          <t>SÖDERMANLANDS LÄN</t>
        </is>
      </c>
      <c r="E661" t="inlineStr">
        <is>
          <t>KATRINEHOLM</t>
        </is>
      </c>
      <c r="F661" t="inlineStr">
        <is>
          <t>Kyrkan</t>
        </is>
      </c>
      <c r="G661" t="n">
        <v>7.4</v>
      </c>
      <c r="H661" t="n">
        <v>0</v>
      </c>
      <c r="I661" t="n">
        <v>0</v>
      </c>
      <c r="J661" t="n">
        <v>0</v>
      </c>
      <c r="K661" t="n">
        <v>0</v>
      </c>
      <c r="L661" t="n">
        <v>0</v>
      </c>
      <c r="M661" t="n">
        <v>0</v>
      </c>
      <c r="N661" t="n">
        <v>0</v>
      </c>
      <c r="O661" t="n">
        <v>0</v>
      </c>
      <c r="P661" t="n">
        <v>0</v>
      </c>
      <c r="Q661" t="n">
        <v>0</v>
      </c>
      <c r="R661" s="2" t="inlineStr"/>
    </row>
    <row r="662" ht="15" customHeight="1">
      <c r="A662" t="inlineStr">
        <is>
          <t>A 42590-2022</t>
        </is>
      </c>
      <c r="B662" s="1" t="n">
        <v>44831</v>
      </c>
      <c r="C662" s="1" t="n">
        <v>46053</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38883-2024</t>
        </is>
      </c>
      <c r="B663" s="1" t="n">
        <v>45547</v>
      </c>
      <c r="C663" s="1" t="n">
        <v>46053</v>
      </c>
      <c r="D663" t="inlineStr">
        <is>
          <t>SÖDERMANLANDS LÄN</t>
        </is>
      </c>
      <c r="E663" t="inlineStr">
        <is>
          <t>KATRINEHOLM</t>
        </is>
      </c>
      <c r="G663" t="n">
        <v>3.1</v>
      </c>
      <c r="H663" t="n">
        <v>0</v>
      </c>
      <c r="I663" t="n">
        <v>0</v>
      </c>
      <c r="J663" t="n">
        <v>0</v>
      </c>
      <c r="K663" t="n">
        <v>0</v>
      </c>
      <c r="L663" t="n">
        <v>0</v>
      </c>
      <c r="M663" t="n">
        <v>0</v>
      </c>
      <c r="N663" t="n">
        <v>0</v>
      </c>
      <c r="O663" t="n">
        <v>0</v>
      </c>
      <c r="P663" t="n">
        <v>0</v>
      </c>
      <c r="Q663" t="n">
        <v>0</v>
      </c>
      <c r="R663" s="2" t="inlineStr"/>
    </row>
    <row r="664" ht="15" customHeight="1">
      <c r="A664" t="inlineStr">
        <is>
          <t>A 4667-2024</t>
        </is>
      </c>
      <c r="B664" s="1" t="n">
        <v>45328.47</v>
      </c>
      <c r="C664" s="1" t="n">
        <v>46053</v>
      </c>
      <c r="D664" t="inlineStr">
        <is>
          <t>SÖDERMANLANDS LÄN</t>
        </is>
      </c>
      <c r="E664" t="inlineStr">
        <is>
          <t>KATRINEHOLM</t>
        </is>
      </c>
      <c r="F664" t="inlineStr">
        <is>
          <t>Övriga Aktiebolag</t>
        </is>
      </c>
      <c r="G664" t="n">
        <v>10.2</v>
      </c>
      <c r="H664" t="n">
        <v>0</v>
      </c>
      <c r="I664" t="n">
        <v>0</v>
      </c>
      <c r="J664" t="n">
        <v>0</v>
      </c>
      <c r="K664" t="n">
        <v>0</v>
      </c>
      <c r="L664" t="n">
        <v>0</v>
      </c>
      <c r="M664" t="n">
        <v>0</v>
      </c>
      <c r="N664" t="n">
        <v>0</v>
      </c>
      <c r="O664" t="n">
        <v>0</v>
      </c>
      <c r="P664" t="n">
        <v>0</v>
      </c>
      <c r="Q664" t="n">
        <v>0</v>
      </c>
      <c r="R664" s="2" t="inlineStr"/>
    </row>
    <row r="665" ht="15" customHeight="1">
      <c r="A665" t="inlineStr">
        <is>
          <t>A 39704-2023</t>
        </is>
      </c>
      <c r="B665" s="1" t="n">
        <v>45167</v>
      </c>
      <c r="C665" s="1" t="n">
        <v>46053</v>
      </c>
      <c r="D665" t="inlineStr">
        <is>
          <t>SÖDERMANLANDS LÄN</t>
        </is>
      </c>
      <c r="E665" t="inlineStr">
        <is>
          <t>KATRINEHOLM</t>
        </is>
      </c>
      <c r="F665" t="inlineStr">
        <is>
          <t>Övriga Aktiebolag</t>
        </is>
      </c>
      <c r="G665" t="n">
        <v>3.4</v>
      </c>
      <c r="H665" t="n">
        <v>0</v>
      </c>
      <c r="I665" t="n">
        <v>0</v>
      </c>
      <c r="J665" t="n">
        <v>0</v>
      </c>
      <c r="K665" t="n">
        <v>0</v>
      </c>
      <c r="L665" t="n">
        <v>0</v>
      </c>
      <c r="M665" t="n">
        <v>0</v>
      </c>
      <c r="N665" t="n">
        <v>0</v>
      </c>
      <c r="O665" t="n">
        <v>0</v>
      </c>
      <c r="P665" t="n">
        <v>0</v>
      </c>
      <c r="Q665" t="n">
        <v>0</v>
      </c>
      <c r="R665" s="2" t="inlineStr"/>
    </row>
    <row r="666" ht="15" customHeight="1">
      <c r="A666" t="inlineStr">
        <is>
          <t>A 16087-2023</t>
        </is>
      </c>
      <c r="B666" s="1" t="n">
        <v>45026</v>
      </c>
      <c r="C666" s="1" t="n">
        <v>46053</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28652-2024</t>
        </is>
      </c>
      <c r="B667" s="1" t="n">
        <v>45478</v>
      </c>
      <c r="C667" s="1" t="n">
        <v>46053</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42791-2023</t>
        </is>
      </c>
      <c r="B668" s="1" t="n">
        <v>45181.92876157408</v>
      </c>
      <c r="C668" s="1" t="n">
        <v>46053</v>
      </c>
      <c r="D668" t="inlineStr">
        <is>
          <t>SÖDERMANLANDS LÄN</t>
        </is>
      </c>
      <c r="E668" t="inlineStr">
        <is>
          <t>KATRINEHOLM</t>
        </is>
      </c>
      <c r="G668" t="n">
        <v>4.1</v>
      </c>
      <c r="H668" t="n">
        <v>0</v>
      </c>
      <c r="I668" t="n">
        <v>0</v>
      </c>
      <c r="J668" t="n">
        <v>0</v>
      </c>
      <c r="K668" t="n">
        <v>0</v>
      </c>
      <c r="L668" t="n">
        <v>0</v>
      </c>
      <c r="M668" t="n">
        <v>0</v>
      </c>
      <c r="N668" t="n">
        <v>0</v>
      </c>
      <c r="O668" t="n">
        <v>0</v>
      </c>
      <c r="P668" t="n">
        <v>0</v>
      </c>
      <c r="Q668" t="n">
        <v>0</v>
      </c>
      <c r="R668" s="2" t="inlineStr"/>
    </row>
    <row r="669" ht="15" customHeight="1">
      <c r="A669" t="inlineStr">
        <is>
          <t>A 42792-2023</t>
        </is>
      </c>
      <c r="B669" s="1" t="n">
        <v>45181.95491898148</v>
      </c>
      <c r="C669" s="1" t="n">
        <v>46053</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31740-2022</t>
        </is>
      </c>
      <c r="B670" s="1" t="n">
        <v>44776</v>
      </c>
      <c r="C670" s="1" t="n">
        <v>46053</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4679-2023</t>
        </is>
      </c>
      <c r="B671" s="1" t="n">
        <v>44957.44885416667</v>
      </c>
      <c r="C671" s="1" t="n">
        <v>46053</v>
      </c>
      <c r="D671" t="inlineStr">
        <is>
          <t>SÖDERMANLANDS LÄN</t>
        </is>
      </c>
      <c r="E671" t="inlineStr">
        <is>
          <t>KATRINEHOLM</t>
        </is>
      </c>
      <c r="G671" t="n">
        <v>5.3</v>
      </c>
      <c r="H671" t="n">
        <v>0</v>
      </c>
      <c r="I671" t="n">
        <v>0</v>
      </c>
      <c r="J671" t="n">
        <v>0</v>
      </c>
      <c r="K671" t="n">
        <v>0</v>
      </c>
      <c r="L671" t="n">
        <v>0</v>
      </c>
      <c r="M671" t="n">
        <v>0</v>
      </c>
      <c r="N671" t="n">
        <v>0</v>
      </c>
      <c r="O671" t="n">
        <v>0</v>
      </c>
      <c r="P671" t="n">
        <v>0</v>
      </c>
      <c r="Q671" t="n">
        <v>0</v>
      </c>
      <c r="R671" s="2" t="inlineStr"/>
    </row>
    <row r="672" ht="15" customHeight="1">
      <c r="A672" t="inlineStr">
        <is>
          <t>A 6087-2021</t>
        </is>
      </c>
      <c r="B672" s="1" t="n">
        <v>44232</v>
      </c>
      <c r="C672" s="1" t="n">
        <v>46053</v>
      </c>
      <c r="D672" t="inlineStr">
        <is>
          <t>SÖDERMANLANDS LÄN</t>
        </is>
      </c>
      <c r="E672" t="inlineStr">
        <is>
          <t>KATRINEHOLM</t>
        </is>
      </c>
      <c r="G672" t="n">
        <v>2.6</v>
      </c>
      <c r="H672" t="n">
        <v>0</v>
      </c>
      <c r="I672" t="n">
        <v>0</v>
      </c>
      <c r="J672" t="n">
        <v>0</v>
      </c>
      <c r="K672" t="n">
        <v>0</v>
      </c>
      <c r="L672" t="n">
        <v>0</v>
      </c>
      <c r="M672" t="n">
        <v>0</v>
      </c>
      <c r="N672" t="n">
        <v>0</v>
      </c>
      <c r="O672" t="n">
        <v>0</v>
      </c>
      <c r="P672" t="n">
        <v>0</v>
      </c>
      <c r="Q672" t="n">
        <v>0</v>
      </c>
      <c r="R672" s="2" t="inlineStr"/>
    </row>
    <row r="673" ht="15" customHeight="1">
      <c r="A673" t="inlineStr">
        <is>
          <t>A 48528-2021</t>
        </is>
      </c>
      <c r="B673" s="1" t="n">
        <v>44449</v>
      </c>
      <c r="C673" s="1" t="n">
        <v>46053</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48398-2022</t>
        </is>
      </c>
      <c r="B674" s="1" t="n">
        <v>44858.60809027778</v>
      </c>
      <c r="C674" s="1" t="n">
        <v>46053</v>
      </c>
      <c r="D674" t="inlineStr">
        <is>
          <t>SÖDERMANLANDS LÄN</t>
        </is>
      </c>
      <c r="E674" t="inlineStr">
        <is>
          <t>KATRINEHOLM</t>
        </is>
      </c>
      <c r="G674" t="n">
        <v>1.9</v>
      </c>
      <c r="H674" t="n">
        <v>0</v>
      </c>
      <c r="I674" t="n">
        <v>0</v>
      </c>
      <c r="J674" t="n">
        <v>0</v>
      </c>
      <c r="K674" t="n">
        <v>0</v>
      </c>
      <c r="L674" t="n">
        <v>0</v>
      </c>
      <c r="M674" t="n">
        <v>0</v>
      </c>
      <c r="N674" t="n">
        <v>0</v>
      </c>
      <c r="O674" t="n">
        <v>0</v>
      </c>
      <c r="P674" t="n">
        <v>0</v>
      </c>
      <c r="Q674" t="n">
        <v>0</v>
      </c>
      <c r="R674" s="2" t="inlineStr"/>
    </row>
    <row r="675" ht="15" customHeight="1">
      <c r="A675" t="inlineStr">
        <is>
          <t>A 6753-2022</t>
        </is>
      </c>
      <c r="B675" s="1" t="n">
        <v>44602</v>
      </c>
      <c r="C675" s="1" t="n">
        <v>46053</v>
      </c>
      <c r="D675" t="inlineStr">
        <is>
          <t>SÖDERMANLANDS LÄN</t>
        </is>
      </c>
      <c r="E675" t="inlineStr">
        <is>
          <t>KATRINEHOLM</t>
        </is>
      </c>
      <c r="G675" t="n">
        <v>4.3</v>
      </c>
      <c r="H675" t="n">
        <v>0</v>
      </c>
      <c r="I675" t="n">
        <v>0</v>
      </c>
      <c r="J675" t="n">
        <v>0</v>
      </c>
      <c r="K675" t="n">
        <v>0</v>
      </c>
      <c r="L675" t="n">
        <v>0</v>
      </c>
      <c r="M675" t="n">
        <v>0</v>
      </c>
      <c r="N675" t="n">
        <v>0</v>
      </c>
      <c r="O675" t="n">
        <v>0</v>
      </c>
      <c r="P675" t="n">
        <v>0</v>
      </c>
      <c r="Q675" t="n">
        <v>0</v>
      </c>
      <c r="R675" s="2" t="inlineStr"/>
    </row>
    <row r="676" ht="15" customHeight="1">
      <c r="A676" t="inlineStr">
        <is>
          <t>A 15184-2023</t>
        </is>
      </c>
      <c r="B676" s="1" t="n">
        <v>45016</v>
      </c>
      <c r="C676" s="1" t="n">
        <v>46053</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38826-2021</t>
        </is>
      </c>
      <c r="B677" s="1" t="n">
        <v>44411</v>
      </c>
      <c r="C677" s="1" t="n">
        <v>46053</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9388-2021</t>
        </is>
      </c>
      <c r="B678" s="1" t="n">
        <v>44250</v>
      </c>
      <c r="C678" s="1" t="n">
        <v>46053</v>
      </c>
      <c r="D678" t="inlineStr">
        <is>
          <t>SÖDERMANLANDS LÄN</t>
        </is>
      </c>
      <c r="E678" t="inlineStr">
        <is>
          <t>KATRINEHOLM</t>
        </is>
      </c>
      <c r="G678" t="n">
        <v>5.4</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46053</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46053</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46053</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46053</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46053</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46053</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46053</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46053</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46053</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46053</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46053</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46053</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46053</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46053</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46053</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46053</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46053</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46053</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46053</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46053</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46053</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46053</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46053</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46053</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46053</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46053</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46053</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46053</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46053</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46053</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46053</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46053</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46053</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46053</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46053</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46053</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46053</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46053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46053</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46053</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46053</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46053</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46053</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46053</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46053</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46053</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27375-2024</t>
        </is>
      </c>
      <c r="B725" s="1" t="n">
        <v>45473.87645833333</v>
      </c>
      <c r="C725" s="1" t="n">
        <v>46053</v>
      </c>
      <c r="D725" t="inlineStr">
        <is>
          <t>SÖDERMANLANDS LÄN</t>
        </is>
      </c>
      <c r="E725" t="inlineStr">
        <is>
          <t>KATRINEHOLM</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46053</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46053</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46053</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46053</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46053</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46053</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46053</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46053</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46053</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46053</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46053</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46053</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46053</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46053</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46053</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46053</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46053</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46053</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46053</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46053</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46053</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46053</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46053</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46053</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46053</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46053</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46053</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46053</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46053</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46053</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46053</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46053</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46053</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46053</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46053</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46053</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46053</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46053</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46053</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46053</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46053</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46053</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46053</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46053</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46053</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46053</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46053</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46053</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46053</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46053</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c r="A776" t="inlineStr">
        <is>
          <t>A 49116-2024</t>
        </is>
      </c>
      <c r="B776" s="1" t="n">
        <v>45594.6605787037</v>
      </c>
      <c r="C776" s="1" t="n">
        <v>46053</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2026-01-31T11:01:32Z</dcterms:created>
  <dcterms:modified xmlns:dcterms="http://purl.org/dc/terms/" xmlns:xsi="http://www.w3.org/2001/XMLSchema-instance" xsi:type="dcterms:W3CDTF">2026-01-31T11:01:33Z</dcterms:modified>
</cp:coreProperties>
</file>