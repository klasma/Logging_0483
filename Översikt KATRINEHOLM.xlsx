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46203</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46203</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44206-2021</t>
        </is>
      </c>
      <c r="B4" s="1" t="n">
        <v>44434</v>
      </c>
      <c r="C4" s="1" t="n">
        <v>46203</v>
      </c>
      <c r="D4" t="inlineStr">
        <is>
          <t>SÖDERMANLANDS LÄN</t>
        </is>
      </c>
      <c r="E4" t="inlineStr">
        <is>
          <t>KATRINEHOLM</t>
        </is>
      </c>
      <c r="G4" t="n">
        <v>3.1</v>
      </c>
      <c r="H4" t="n">
        <v>3</v>
      </c>
      <c r="I4" t="n">
        <v>6</v>
      </c>
      <c r="J4" t="n">
        <v>4</v>
      </c>
      <c r="K4" t="n">
        <v>1</v>
      </c>
      <c r="L4" t="n">
        <v>0</v>
      </c>
      <c r="M4" t="n">
        <v>0</v>
      </c>
      <c r="N4" t="n">
        <v>0</v>
      </c>
      <c r="O4" t="n">
        <v>5</v>
      </c>
      <c r="P4" t="n">
        <v>1</v>
      </c>
      <c r="Q4" t="n">
        <v>11</v>
      </c>
      <c r="R4" s="2" t="inlineStr">
        <is>
          <t>Knärot
Dropptaggsvamp
Mellanlummer
Motaggsvamp
Tallticka
Blåmossa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46203</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24362-2026</t>
        </is>
      </c>
      <c r="B6" s="1" t="n">
        <v>46169</v>
      </c>
      <c r="C6" s="1" t="n">
        <v>46203</v>
      </c>
      <c r="D6" t="inlineStr">
        <is>
          <t>SÖDERMANLANDS LÄN</t>
        </is>
      </c>
      <c r="E6" t="inlineStr">
        <is>
          <t>KATRINEHOLM</t>
        </is>
      </c>
      <c r="G6" t="n">
        <v>13.5</v>
      </c>
      <c r="H6" t="n">
        <v>1</v>
      </c>
      <c r="I6" t="n">
        <v>1</v>
      </c>
      <c r="J6" t="n">
        <v>0</v>
      </c>
      <c r="K6" t="n">
        <v>0</v>
      </c>
      <c r="L6" t="n">
        <v>0</v>
      </c>
      <c r="M6" t="n">
        <v>0</v>
      </c>
      <c r="N6" t="n">
        <v>0</v>
      </c>
      <c r="O6" t="n">
        <v>0</v>
      </c>
      <c r="P6" t="n">
        <v>0</v>
      </c>
      <c r="Q6" t="n">
        <v>9</v>
      </c>
      <c r="R6" s="2" t="inlineStr">
        <is>
          <t>Blåmossa
Blåbär
Hultbräken
Kärrviol
Linnea
Majbräken
Skogsstjärna
Ängskovall
Revlummer</t>
        </is>
      </c>
      <c r="S6">
        <f>HYPERLINK("https://klasma.github.io/Logging_0483/artfynd/A 24362-2026 artfynd.xlsx", "A 24362-2026")</f>
        <v/>
      </c>
      <c r="T6">
        <f>HYPERLINK("https://klasma.github.io/Logging_0483/kartor/A 24362-2026 karta.png", "A 24362-2026")</f>
        <v/>
      </c>
      <c r="V6">
        <f>HYPERLINK("https://klasma.github.io/Logging_0483/klagomål/A 24362-2026 FSC-klagomål.docx", "A 24362-2026")</f>
        <v/>
      </c>
      <c r="W6">
        <f>HYPERLINK("https://klasma.github.io/Logging_0483/klagomålsmail/A 24362-2026 FSC-klagomål mail.docx", "A 24362-2026")</f>
        <v/>
      </c>
      <c r="X6">
        <f>HYPERLINK("https://klasma.github.io/Logging_0483/tillsyn/A 24362-2026 tillsynsbegäran.docx", "A 24362-2026")</f>
        <v/>
      </c>
      <c r="Y6">
        <f>HYPERLINK("https://klasma.github.io/Logging_0483/tillsynsmail/A 24362-2026 tillsynsbegäran mail.docx", "A 24362-2026")</f>
        <v/>
      </c>
    </row>
    <row r="7" ht="15" customHeight="1">
      <c r="A7" t="inlineStr">
        <is>
          <t>A 50018-2023</t>
        </is>
      </c>
      <c r="B7" s="1" t="n">
        <v>45215</v>
      </c>
      <c r="C7" s="1" t="n">
        <v>46203</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54002-2022</t>
        </is>
      </c>
      <c r="B8" s="1" t="n">
        <v>44876</v>
      </c>
      <c r="C8" s="1" t="n">
        <v>46203</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46203</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46203</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35137-2025</t>
        </is>
      </c>
      <c r="B11" s="1" t="n">
        <v>45852</v>
      </c>
      <c r="C11" s="1" t="n">
        <v>46203</v>
      </c>
      <c r="D11" t="inlineStr">
        <is>
          <t>SÖDERMANLANDS LÄN</t>
        </is>
      </c>
      <c r="E11" t="inlineStr">
        <is>
          <t>KATRINEHOLM</t>
        </is>
      </c>
      <c r="G11" t="n">
        <v>5.6</v>
      </c>
      <c r="H11" t="n">
        <v>1</v>
      </c>
      <c r="I11" t="n">
        <v>4</v>
      </c>
      <c r="J11" t="n">
        <v>1</v>
      </c>
      <c r="K11" t="n">
        <v>0</v>
      </c>
      <c r="L11" t="n">
        <v>1</v>
      </c>
      <c r="M11" t="n">
        <v>0</v>
      </c>
      <c r="N11" t="n">
        <v>0</v>
      </c>
      <c r="O11" t="n">
        <v>2</v>
      </c>
      <c r="P11" t="n">
        <v>1</v>
      </c>
      <c r="Q11" t="n">
        <v>7</v>
      </c>
      <c r="R11" s="2" t="inlineStr">
        <is>
          <t>Ask
Vippärt
Svart trolldruva
Tibast
Underviol
Vätteros
Blåsippa</t>
        </is>
      </c>
      <c r="S11">
        <f>HYPERLINK("https://klasma.github.io/Logging_0483/artfynd/A 35137-2025 artfynd.xlsx", "A 35137-2025")</f>
        <v/>
      </c>
      <c r="T11">
        <f>HYPERLINK("https://klasma.github.io/Logging_0483/kartor/A 35137-2025 karta.png", "A 35137-2025")</f>
        <v/>
      </c>
      <c r="V11">
        <f>HYPERLINK("https://klasma.github.io/Logging_0483/klagomål/A 35137-2025 FSC-klagomål.docx", "A 35137-2025")</f>
        <v/>
      </c>
      <c r="W11">
        <f>HYPERLINK("https://klasma.github.io/Logging_0483/klagomålsmail/A 35137-2025 FSC-klagomål mail.docx", "A 35137-2025")</f>
        <v/>
      </c>
      <c r="X11">
        <f>HYPERLINK("https://klasma.github.io/Logging_0483/tillsyn/A 35137-2025 tillsynsbegäran.docx", "A 35137-2025")</f>
        <v/>
      </c>
      <c r="Y11">
        <f>HYPERLINK("https://klasma.github.io/Logging_0483/tillsynsmail/A 35137-2025 tillsynsbegäran mail.docx", "A 35137-2025")</f>
        <v/>
      </c>
    </row>
    <row r="12" ht="15" customHeight="1">
      <c r="A12" t="inlineStr">
        <is>
          <t>A 52453-2023</t>
        </is>
      </c>
      <c r="B12" s="1" t="n">
        <v>45225</v>
      </c>
      <c r="C12" s="1" t="n">
        <v>46203</v>
      </c>
      <c r="D12" t="inlineStr">
        <is>
          <t>SÖDERMANLANDS LÄN</t>
        </is>
      </c>
      <c r="E12" t="inlineStr">
        <is>
          <t>KATRINEHOLM</t>
        </is>
      </c>
      <c r="F12" t="inlineStr">
        <is>
          <t>Kyrkan</t>
        </is>
      </c>
      <c r="G12" t="n">
        <v>15.2</v>
      </c>
      <c r="H12" t="n">
        <v>6</v>
      </c>
      <c r="I12" t="n">
        <v>0</v>
      </c>
      <c r="J12" t="n">
        <v>4</v>
      </c>
      <c r="K12" t="n">
        <v>0</v>
      </c>
      <c r="L12" t="n">
        <v>0</v>
      </c>
      <c r="M12" t="n">
        <v>0</v>
      </c>
      <c r="N12" t="n">
        <v>0</v>
      </c>
      <c r="O12" t="n">
        <v>4</v>
      </c>
      <c r="P12" t="n">
        <v>0</v>
      </c>
      <c r="Q12" t="n">
        <v>7</v>
      </c>
      <c r="R12" s="2" t="inlineStr">
        <is>
          <t>Gulsparv
Kungsörn
Talltita
Älg
Havsörn
Röd glada
Skogsduva</t>
        </is>
      </c>
      <c r="S12">
        <f>HYPERLINK("https://klasma.github.io/Logging_0483/artfynd/A 52453-2023 artfynd.xlsx", "A 52453-2023")</f>
        <v/>
      </c>
      <c r="T12">
        <f>HYPERLINK("https://klasma.github.io/Logging_0483/kartor/A 52453-2023 karta.png", "A 52453-2023")</f>
        <v/>
      </c>
      <c r="V12">
        <f>HYPERLINK("https://klasma.github.io/Logging_0483/klagomål/A 52453-2023 FSC-klagomål.docx", "A 52453-2023")</f>
        <v/>
      </c>
      <c r="W12">
        <f>HYPERLINK("https://klasma.github.io/Logging_0483/klagomålsmail/A 52453-2023 FSC-klagomål mail.docx", "A 52453-2023")</f>
        <v/>
      </c>
      <c r="X12">
        <f>HYPERLINK("https://klasma.github.io/Logging_0483/tillsyn/A 52453-2023 tillsynsbegäran.docx", "A 52453-2023")</f>
        <v/>
      </c>
      <c r="Y12">
        <f>HYPERLINK("https://klasma.github.io/Logging_0483/tillsynsmail/A 52453-2023 tillsynsbegäran mail.docx", "A 52453-2023")</f>
        <v/>
      </c>
      <c r="Z12">
        <f>HYPERLINK("https://klasma.github.io/Logging_0483/fåglar/A 52453-2023 prioriterade fågelarter.docx", "A 52453-2023")</f>
        <v/>
      </c>
    </row>
    <row r="13" ht="15" customHeight="1">
      <c r="A13" t="inlineStr">
        <is>
          <t>A 20533-2023</t>
        </is>
      </c>
      <c r="B13" s="1" t="n">
        <v>45057</v>
      </c>
      <c r="C13" s="1" t="n">
        <v>46203</v>
      </c>
      <c r="D13" t="inlineStr">
        <is>
          <t>SÖDERMANLANDS LÄN</t>
        </is>
      </c>
      <c r="E13" t="inlineStr">
        <is>
          <t>KATRINEHOLM</t>
        </is>
      </c>
      <c r="G13" t="n">
        <v>1.2</v>
      </c>
      <c r="H13" t="n">
        <v>7</v>
      </c>
      <c r="I13" t="n">
        <v>0</v>
      </c>
      <c r="J13" t="n">
        <v>3</v>
      </c>
      <c r="K13" t="n">
        <v>1</v>
      </c>
      <c r="L13" t="n">
        <v>0</v>
      </c>
      <c r="M13" t="n">
        <v>0</v>
      </c>
      <c r="N13" t="n">
        <v>0</v>
      </c>
      <c r="O13" t="n">
        <v>4</v>
      </c>
      <c r="P13" t="n">
        <v>1</v>
      </c>
      <c r="Q13" t="n">
        <v>7</v>
      </c>
      <c r="R13" s="2" t="inlineStr">
        <is>
          <t>Blå kärrhök
Bivråk
Mindre hackspett
Sparvuggla
Fiskgjuse
Havsörn
Röd glada</t>
        </is>
      </c>
      <c r="S13">
        <f>HYPERLINK("https://klasma.github.io/Logging_0483/artfynd/A 20533-2023 artfynd.xlsx", "A 20533-2023")</f>
        <v/>
      </c>
      <c r="T13">
        <f>HYPERLINK("https://klasma.github.io/Logging_0483/kartor/A 20533-2023 karta.png", "A 20533-2023")</f>
        <v/>
      </c>
      <c r="V13">
        <f>HYPERLINK("https://klasma.github.io/Logging_0483/klagomål/A 20533-2023 FSC-klagomål.docx", "A 20533-2023")</f>
        <v/>
      </c>
      <c r="W13">
        <f>HYPERLINK("https://klasma.github.io/Logging_0483/klagomålsmail/A 20533-2023 FSC-klagomål mail.docx", "A 20533-2023")</f>
        <v/>
      </c>
      <c r="X13">
        <f>HYPERLINK("https://klasma.github.io/Logging_0483/tillsyn/A 20533-2023 tillsynsbegäran.docx", "A 20533-2023")</f>
        <v/>
      </c>
      <c r="Y13">
        <f>HYPERLINK("https://klasma.github.io/Logging_0483/tillsynsmail/A 20533-2023 tillsynsbegäran mail.docx", "A 20533-2023")</f>
        <v/>
      </c>
      <c r="Z13">
        <f>HYPERLINK("https://klasma.github.io/Logging_0483/fåglar/A 20533-2023 prioriterade fågelarter.docx", "A 20533-2023")</f>
        <v/>
      </c>
    </row>
    <row r="14" ht="15" customHeight="1">
      <c r="A14" t="inlineStr">
        <is>
          <t>A 54614-2021</t>
        </is>
      </c>
      <c r="B14" s="1" t="n">
        <v>44473</v>
      </c>
      <c r="C14" s="1" t="n">
        <v>46203</v>
      </c>
      <c r="D14" t="inlineStr">
        <is>
          <t>SÖDERMANLANDS LÄN</t>
        </is>
      </c>
      <c r="E14" t="inlineStr">
        <is>
          <t>KATRINEHOLM</t>
        </is>
      </c>
      <c r="G14" t="n">
        <v>1.3</v>
      </c>
      <c r="H14" t="n">
        <v>0</v>
      </c>
      <c r="I14" t="n">
        <v>2</v>
      </c>
      <c r="J14" t="n">
        <v>2</v>
      </c>
      <c r="K14" t="n">
        <v>3</v>
      </c>
      <c r="L14" t="n">
        <v>0</v>
      </c>
      <c r="M14" t="n">
        <v>0</v>
      </c>
      <c r="N14" t="n">
        <v>0</v>
      </c>
      <c r="O14" t="n">
        <v>5</v>
      </c>
      <c r="P14" t="n">
        <v>3</v>
      </c>
      <c r="Q14" t="n">
        <v>7</v>
      </c>
      <c r="R14" s="2" t="inlineStr">
        <is>
          <t>Bullspindling
Grangråticka
Kopparspindling
Fjällig taggsvamp s.str.
Persiljespindling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21221-2023</t>
        </is>
      </c>
      <c r="B15" s="1" t="n">
        <v>45062</v>
      </c>
      <c r="C15" s="1" t="n">
        <v>46203</v>
      </c>
      <c r="D15" t="inlineStr">
        <is>
          <t>SÖDERMANLANDS LÄN</t>
        </is>
      </c>
      <c r="E15" t="inlineStr">
        <is>
          <t>KATRINEHOLM</t>
        </is>
      </c>
      <c r="G15" t="n">
        <v>20.2</v>
      </c>
      <c r="H15" t="n">
        <v>1</v>
      </c>
      <c r="I15" t="n">
        <v>3</v>
      </c>
      <c r="J15" t="n">
        <v>2</v>
      </c>
      <c r="K15" t="n">
        <v>0</v>
      </c>
      <c r="L15" t="n">
        <v>1</v>
      </c>
      <c r="M15" t="n">
        <v>0</v>
      </c>
      <c r="N15" t="n">
        <v>0</v>
      </c>
      <c r="O15" t="n">
        <v>3</v>
      </c>
      <c r="P15" t="n">
        <v>1</v>
      </c>
      <c r="Q15" t="n">
        <v>7</v>
      </c>
      <c r="R15" s="2" t="inlineStr">
        <is>
          <t>Ask
Gullpudra
Vårärt
Myskmadra
Svart trolldruva
Tibast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13873-2026</t>
        </is>
      </c>
      <c r="B16" s="1" t="n">
        <v>46098</v>
      </c>
      <c r="C16" s="1" t="n">
        <v>46203</v>
      </c>
      <c r="D16" t="inlineStr">
        <is>
          <t>SÖDERMANLANDS LÄN</t>
        </is>
      </c>
      <c r="E16" t="inlineStr">
        <is>
          <t>KATRINEHOLM</t>
        </is>
      </c>
      <c r="G16" t="n">
        <v>8.199999999999999</v>
      </c>
      <c r="H16" t="n">
        <v>0</v>
      </c>
      <c r="I16" t="n">
        <v>1</v>
      </c>
      <c r="J16" t="n">
        <v>1</v>
      </c>
      <c r="K16" t="n">
        <v>0</v>
      </c>
      <c r="L16" t="n">
        <v>0</v>
      </c>
      <c r="M16" t="n">
        <v>0</v>
      </c>
      <c r="N16" t="n">
        <v>0</v>
      </c>
      <c r="O16" t="n">
        <v>1</v>
      </c>
      <c r="P16" t="n">
        <v>0</v>
      </c>
      <c r="Q16" t="n">
        <v>5</v>
      </c>
      <c r="R16" s="2" t="inlineStr">
        <is>
          <t>Vedskivlav
Blåmossa
Fönsterlav
Grå renlav
Gulvit renlav</t>
        </is>
      </c>
      <c r="S16">
        <f>HYPERLINK("https://klasma.github.io/Logging_0483/artfynd/A 13873-2026 artfynd.xlsx", "A 13873-2026")</f>
        <v/>
      </c>
      <c r="T16">
        <f>HYPERLINK("https://klasma.github.io/Logging_0483/kartor/A 13873-2026 karta.png", "A 13873-2026")</f>
        <v/>
      </c>
      <c r="V16">
        <f>HYPERLINK("https://klasma.github.io/Logging_0483/klagomål/A 13873-2026 FSC-klagomål.docx", "A 13873-2026")</f>
        <v/>
      </c>
      <c r="W16">
        <f>HYPERLINK("https://klasma.github.io/Logging_0483/klagomålsmail/A 13873-2026 FSC-klagomål mail.docx", "A 13873-2026")</f>
        <v/>
      </c>
      <c r="X16">
        <f>HYPERLINK("https://klasma.github.io/Logging_0483/tillsyn/A 13873-2026 tillsynsbegäran.docx", "A 13873-2026")</f>
        <v/>
      </c>
      <c r="Y16">
        <f>HYPERLINK("https://klasma.github.io/Logging_0483/tillsynsmail/A 13873-2026 tillsynsbegäran mail.docx", "A 13873-2026")</f>
        <v/>
      </c>
    </row>
    <row r="17" ht="15" customHeight="1">
      <c r="A17" t="inlineStr">
        <is>
          <t>A 47886-2023</t>
        </is>
      </c>
      <c r="B17" s="1" t="n">
        <v>45204</v>
      </c>
      <c r="C17" s="1" t="n">
        <v>46203</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54704-2021</t>
        </is>
      </c>
      <c r="B18" s="1" t="n">
        <v>44473</v>
      </c>
      <c r="C18" s="1" t="n">
        <v>46203</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188-2025</t>
        </is>
      </c>
      <c r="B19" s="1" t="n">
        <v>45649</v>
      </c>
      <c r="C19" s="1" t="n">
        <v>46203</v>
      </c>
      <c r="D19" t="inlineStr">
        <is>
          <t>SÖDERMANLANDS LÄN</t>
        </is>
      </c>
      <c r="E19" t="inlineStr">
        <is>
          <t>KATRINEHOLM</t>
        </is>
      </c>
      <c r="G19" t="n">
        <v>8.9</v>
      </c>
      <c r="H19" t="n">
        <v>2</v>
      </c>
      <c r="I19" t="n">
        <v>2</v>
      </c>
      <c r="J19" t="n">
        <v>0</v>
      </c>
      <c r="K19" t="n">
        <v>0</v>
      </c>
      <c r="L19" t="n">
        <v>0</v>
      </c>
      <c r="M19" t="n">
        <v>0</v>
      </c>
      <c r="N19" t="n">
        <v>0</v>
      </c>
      <c r="O19" t="n">
        <v>0</v>
      </c>
      <c r="P19" t="n">
        <v>0</v>
      </c>
      <c r="Q19" t="n">
        <v>4</v>
      </c>
      <c r="R19" s="2" t="inlineStr">
        <is>
          <t>Blomkålssvamp
Blåmossa
Blåsippa
Lopplummer (aggregat)</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55700-2025</t>
        </is>
      </c>
      <c r="B20" s="1" t="n">
        <v>45972</v>
      </c>
      <c r="C20" s="1" t="n">
        <v>46203</v>
      </c>
      <c r="D20" t="inlineStr">
        <is>
          <t>SÖDERMANLANDS LÄN</t>
        </is>
      </c>
      <c r="E20" t="inlineStr">
        <is>
          <t>KATRINEHOLM</t>
        </is>
      </c>
      <c r="F20" t="inlineStr">
        <is>
          <t>Kyrkan</t>
        </is>
      </c>
      <c r="G20" t="n">
        <v>6</v>
      </c>
      <c r="H20" t="n">
        <v>0</v>
      </c>
      <c r="I20" t="n">
        <v>0</v>
      </c>
      <c r="J20" t="n">
        <v>3</v>
      </c>
      <c r="K20" t="n">
        <v>1</v>
      </c>
      <c r="L20" t="n">
        <v>0</v>
      </c>
      <c r="M20" t="n">
        <v>0</v>
      </c>
      <c r="N20" t="n">
        <v>0</v>
      </c>
      <c r="O20" t="n">
        <v>4</v>
      </c>
      <c r="P20" t="n">
        <v>1</v>
      </c>
      <c r="Q20" t="n">
        <v>4</v>
      </c>
      <c r="R20" s="2" t="inlineStr">
        <is>
          <t>Ljungsnärja
Backklöver
Gullklöver
Svinrot</t>
        </is>
      </c>
      <c r="S20">
        <f>HYPERLINK("https://klasma.github.io/Logging_0483/artfynd/A 55700-2025 artfynd.xlsx", "A 55700-2025")</f>
        <v/>
      </c>
      <c r="T20">
        <f>HYPERLINK("https://klasma.github.io/Logging_0483/kartor/A 55700-2025 karta.png", "A 55700-2025")</f>
        <v/>
      </c>
      <c r="V20">
        <f>HYPERLINK("https://klasma.github.io/Logging_0483/klagomål/A 55700-2025 FSC-klagomål.docx", "A 55700-2025")</f>
        <v/>
      </c>
      <c r="W20">
        <f>HYPERLINK("https://klasma.github.io/Logging_0483/klagomålsmail/A 55700-2025 FSC-klagomål mail.docx", "A 55700-2025")</f>
        <v/>
      </c>
      <c r="X20">
        <f>HYPERLINK("https://klasma.github.io/Logging_0483/tillsyn/A 55700-2025 tillsynsbegäran.docx", "A 55700-2025")</f>
        <v/>
      </c>
      <c r="Y20">
        <f>HYPERLINK("https://klasma.github.io/Logging_0483/tillsynsmail/A 55700-2025 tillsynsbegäran mail.docx", "A 55700-2025")</f>
        <v/>
      </c>
    </row>
    <row r="21" ht="15" customHeight="1">
      <c r="A21" t="inlineStr">
        <is>
          <t>A 30229-2023</t>
        </is>
      </c>
      <c r="B21" s="1" t="n">
        <v>45099</v>
      </c>
      <c r="C21" s="1" t="n">
        <v>46203</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8917-2024</t>
        </is>
      </c>
      <c r="B22" s="1" t="n">
        <v>45357</v>
      </c>
      <c r="C22" s="1" t="n">
        <v>46203</v>
      </c>
      <c r="D22" t="inlineStr">
        <is>
          <t>SÖDERMANLANDS LÄN</t>
        </is>
      </c>
      <c r="E22" t="inlineStr">
        <is>
          <t>KATRINEHOLM</t>
        </is>
      </c>
      <c r="G22" t="n">
        <v>3</v>
      </c>
      <c r="H22" t="n">
        <v>3</v>
      </c>
      <c r="I22" t="n">
        <v>0</v>
      </c>
      <c r="J22" t="n">
        <v>1</v>
      </c>
      <c r="K22" t="n">
        <v>1</v>
      </c>
      <c r="L22" t="n">
        <v>0</v>
      </c>
      <c r="M22" t="n">
        <v>0</v>
      </c>
      <c r="N22" t="n">
        <v>0</v>
      </c>
      <c r="O22" t="n">
        <v>2</v>
      </c>
      <c r="P22" t="n">
        <v>1</v>
      </c>
      <c r="Q22" t="n">
        <v>4</v>
      </c>
      <c r="R22" s="2" t="inlineStr">
        <is>
          <t>Stare
Skogsklocka
Blåsippa
Gröngöling</t>
        </is>
      </c>
      <c r="S22">
        <f>HYPERLINK("https://klasma.github.io/Logging_0483/artfynd/A 8917-2024 artfynd.xlsx", "A 8917-2024")</f>
        <v/>
      </c>
      <c r="T22">
        <f>HYPERLINK("https://klasma.github.io/Logging_0483/kartor/A 8917-2024 karta.png", "A 8917-2024")</f>
        <v/>
      </c>
      <c r="V22">
        <f>HYPERLINK("https://klasma.github.io/Logging_0483/klagomål/A 8917-2024 FSC-klagomål.docx", "A 8917-2024")</f>
        <v/>
      </c>
      <c r="W22">
        <f>HYPERLINK("https://klasma.github.io/Logging_0483/klagomålsmail/A 8917-2024 FSC-klagomål mail.docx", "A 8917-2024")</f>
        <v/>
      </c>
      <c r="X22">
        <f>HYPERLINK("https://klasma.github.io/Logging_0483/tillsyn/A 8917-2024 tillsynsbegäran.docx", "A 8917-2024")</f>
        <v/>
      </c>
      <c r="Y22">
        <f>HYPERLINK("https://klasma.github.io/Logging_0483/tillsynsmail/A 8917-2024 tillsynsbegäran mail.docx", "A 8917-2024")</f>
        <v/>
      </c>
      <c r="Z22">
        <f>HYPERLINK("https://klasma.github.io/Logging_0483/fåglar/A 8917-2024 prioriterade fågelarter.docx", "A 8917-2024")</f>
        <v/>
      </c>
    </row>
    <row r="23" ht="15" customHeight="1">
      <c r="A23" t="inlineStr">
        <is>
          <t>A 46524-2025</t>
        </is>
      </c>
      <c r="B23" s="1" t="n">
        <v>45926</v>
      </c>
      <c r="C23" s="1" t="n">
        <v>46203</v>
      </c>
      <c r="D23" t="inlineStr">
        <is>
          <t>SÖDERMANLANDS LÄN</t>
        </is>
      </c>
      <c r="E23" t="inlineStr">
        <is>
          <t>KATRINEHOLM</t>
        </is>
      </c>
      <c r="G23" t="n">
        <v>5.7</v>
      </c>
      <c r="H23" t="n">
        <v>2</v>
      </c>
      <c r="I23" t="n">
        <v>0</v>
      </c>
      <c r="J23" t="n">
        <v>2</v>
      </c>
      <c r="K23" t="n">
        <v>0</v>
      </c>
      <c r="L23" t="n">
        <v>0</v>
      </c>
      <c r="M23" t="n">
        <v>0</v>
      </c>
      <c r="N23" t="n">
        <v>0</v>
      </c>
      <c r="O23" t="n">
        <v>2</v>
      </c>
      <c r="P23" t="n">
        <v>0</v>
      </c>
      <c r="Q23" t="n">
        <v>4</v>
      </c>
      <c r="R23" s="2" t="inlineStr">
        <is>
          <t>Svart skogssnigel
Vitfläckig guldvinge
Grönsiska
Kungsfågel</t>
        </is>
      </c>
      <c r="S23">
        <f>HYPERLINK("https://klasma.github.io/Logging_0483/artfynd/A 46524-2025 artfynd.xlsx", "A 46524-2025")</f>
        <v/>
      </c>
      <c r="T23">
        <f>HYPERLINK("https://klasma.github.io/Logging_0483/kartor/A 46524-2025 karta.png", "A 46524-2025")</f>
        <v/>
      </c>
      <c r="V23">
        <f>HYPERLINK("https://klasma.github.io/Logging_0483/klagomål/A 46524-2025 FSC-klagomål.docx", "A 46524-2025")</f>
        <v/>
      </c>
      <c r="W23">
        <f>HYPERLINK("https://klasma.github.io/Logging_0483/klagomålsmail/A 46524-2025 FSC-klagomål mail.docx", "A 46524-2025")</f>
        <v/>
      </c>
      <c r="X23">
        <f>HYPERLINK("https://klasma.github.io/Logging_0483/tillsyn/A 46524-2025 tillsynsbegäran.docx", "A 46524-2025")</f>
        <v/>
      </c>
      <c r="Y23">
        <f>HYPERLINK("https://klasma.github.io/Logging_0483/tillsynsmail/A 46524-2025 tillsynsbegäran mail.docx", "A 46524-2025")</f>
        <v/>
      </c>
    </row>
    <row r="24" ht="15" customHeight="1">
      <c r="A24" t="inlineStr">
        <is>
          <t>A 70501-2021</t>
        </is>
      </c>
      <c r="B24" s="1" t="n">
        <v>44536</v>
      </c>
      <c r="C24" s="1" t="n">
        <v>46203</v>
      </c>
      <c r="D24" t="inlineStr">
        <is>
          <t>SÖDERMANLANDS LÄN</t>
        </is>
      </c>
      <c r="E24" t="inlineStr">
        <is>
          <t>KATRINEHOLM</t>
        </is>
      </c>
      <c r="G24" t="n">
        <v>5.8</v>
      </c>
      <c r="H24" t="n">
        <v>1</v>
      </c>
      <c r="I24" t="n">
        <v>2</v>
      </c>
      <c r="J24" t="n">
        <v>1</v>
      </c>
      <c r="K24" t="n">
        <v>0</v>
      </c>
      <c r="L24" t="n">
        <v>0</v>
      </c>
      <c r="M24" t="n">
        <v>0</v>
      </c>
      <c r="N24" t="n">
        <v>0</v>
      </c>
      <c r="O24" t="n">
        <v>1</v>
      </c>
      <c r="P24" t="n">
        <v>0</v>
      </c>
      <c r="Q24" t="n">
        <v>4</v>
      </c>
      <c r="R24" s="2" t="inlineStr">
        <is>
          <t>Tallticka
Blomkålssvamp
Grovticka
Nattskärra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c r="Z24">
        <f>HYPERLINK("https://klasma.github.io/Logging_0483/fåglar/A 70501-2021 prioriterade fågelarter.docx", "A 70501-2021")</f>
        <v/>
      </c>
    </row>
    <row r="25" ht="15" customHeight="1">
      <c r="A25" t="inlineStr">
        <is>
          <t>A 7585-2023</t>
        </is>
      </c>
      <c r="B25" s="1" t="n">
        <v>44972</v>
      </c>
      <c r="C25" s="1" t="n">
        <v>46203</v>
      </c>
      <c r="D25" t="inlineStr">
        <is>
          <t>SÖDERMANLANDS LÄN</t>
        </is>
      </c>
      <c r="E25" t="inlineStr">
        <is>
          <t>KATRINEHOLM</t>
        </is>
      </c>
      <c r="F25" t="inlineStr">
        <is>
          <t>Kommuner</t>
        </is>
      </c>
      <c r="G25" t="n">
        <v>2.8</v>
      </c>
      <c r="H25" t="n">
        <v>3</v>
      </c>
      <c r="I25" t="n">
        <v>1</v>
      </c>
      <c r="J25" t="n">
        <v>0</v>
      </c>
      <c r="K25" t="n">
        <v>1</v>
      </c>
      <c r="L25" t="n">
        <v>0</v>
      </c>
      <c r="M25" t="n">
        <v>0</v>
      </c>
      <c r="N25" t="n">
        <v>0</v>
      </c>
      <c r="O25" t="n">
        <v>1</v>
      </c>
      <c r="P25" t="n">
        <v>1</v>
      </c>
      <c r="Q25" t="n">
        <v>4</v>
      </c>
      <c r="R25" s="2" t="inlineStr">
        <is>
          <t>Grönfink
Fällmossa
Blåsippa
Grönsiska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56897-2021</t>
        </is>
      </c>
      <c r="B26" s="1" t="n">
        <v>44481</v>
      </c>
      <c r="C26" s="1" t="n">
        <v>46203</v>
      </c>
      <c r="D26" t="inlineStr">
        <is>
          <t>SÖDERMANLANDS LÄN</t>
        </is>
      </c>
      <c r="E26" t="inlineStr">
        <is>
          <t>KATRINEHOLM</t>
        </is>
      </c>
      <c r="F26" t="inlineStr">
        <is>
          <t>Kommuner</t>
        </is>
      </c>
      <c r="G26" t="n">
        <v>9.4</v>
      </c>
      <c r="H26" t="n">
        <v>2</v>
      </c>
      <c r="I26" t="n">
        <v>0</v>
      </c>
      <c r="J26" t="n">
        <v>1</v>
      </c>
      <c r="K26" t="n">
        <v>1</v>
      </c>
      <c r="L26" t="n">
        <v>0</v>
      </c>
      <c r="M26" t="n">
        <v>0</v>
      </c>
      <c r="N26" t="n">
        <v>0</v>
      </c>
      <c r="O26" t="n">
        <v>2</v>
      </c>
      <c r="P26" t="n">
        <v>1</v>
      </c>
      <c r="Q26" t="n">
        <v>3</v>
      </c>
      <c r="R26" s="2" t="inlineStr">
        <is>
          <t>Hökuggla
Tallticka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30242-2023</t>
        </is>
      </c>
      <c r="B27" s="1" t="n">
        <v>45099</v>
      </c>
      <c r="C27" s="1" t="n">
        <v>46203</v>
      </c>
      <c r="D27" t="inlineStr">
        <is>
          <t>SÖDERMANLANDS LÄN</t>
        </is>
      </c>
      <c r="E27" t="inlineStr">
        <is>
          <t>KATRINEHOLM</t>
        </is>
      </c>
      <c r="G27" t="n">
        <v>3</v>
      </c>
      <c r="H27" t="n">
        <v>1</v>
      </c>
      <c r="I27" t="n">
        <v>0</v>
      </c>
      <c r="J27" t="n">
        <v>1</v>
      </c>
      <c r="K27" t="n">
        <v>1</v>
      </c>
      <c r="L27" t="n">
        <v>0</v>
      </c>
      <c r="M27" t="n">
        <v>0</v>
      </c>
      <c r="N27" t="n">
        <v>0</v>
      </c>
      <c r="O27" t="n">
        <v>2</v>
      </c>
      <c r="P27" t="n">
        <v>1</v>
      </c>
      <c r="Q27" t="n">
        <v>3</v>
      </c>
      <c r="R27" s="2" t="inlineStr">
        <is>
          <t>Mindre bastardsvärmare
Skogsklocka
Grönvit nattviol</t>
        </is>
      </c>
      <c r="S27">
        <f>HYPERLINK("https://klasma.github.io/Logging_0483/artfynd/A 30242-2023 artfynd.xlsx", "A 30242-2023")</f>
        <v/>
      </c>
      <c r="T27">
        <f>HYPERLINK("https://klasma.github.io/Logging_0483/kartor/A 30242-2023 karta.png", "A 30242-2023")</f>
        <v/>
      </c>
      <c r="V27">
        <f>HYPERLINK("https://klasma.github.io/Logging_0483/klagomål/A 30242-2023 FSC-klagomål.docx", "A 30242-2023")</f>
        <v/>
      </c>
      <c r="W27">
        <f>HYPERLINK("https://klasma.github.io/Logging_0483/klagomålsmail/A 30242-2023 FSC-klagomål mail.docx", "A 30242-2023")</f>
        <v/>
      </c>
      <c r="X27">
        <f>HYPERLINK("https://klasma.github.io/Logging_0483/tillsyn/A 30242-2023 tillsynsbegäran.docx", "A 30242-2023")</f>
        <v/>
      </c>
      <c r="Y27">
        <f>HYPERLINK("https://klasma.github.io/Logging_0483/tillsynsmail/A 30242-2023 tillsynsbegäran mail.docx", "A 30242-2023")</f>
        <v/>
      </c>
    </row>
    <row r="28" ht="15" customHeight="1">
      <c r="A28" t="inlineStr">
        <is>
          <t>A 7322-2023</t>
        </is>
      </c>
      <c r="B28" s="1" t="n">
        <v>44970</v>
      </c>
      <c r="C28" s="1" t="n">
        <v>46203</v>
      </c>
      <c r="D28" t="inlineStr">
        <is>
          <t>SÖDERMANLANDS LÄN</t>
        </is>
      </c>
      <c r="E28" t="inlineStr">
        <is>
          <t>KATRINEHOLM</t>
        </is>
      </c>
      <c r="G28" t="n">
        <v>2.1</v>
      </c>
      <c r="H28" t="n">
        <v>3</v>
      </c>
      <c r="I28" t="n">
        <v>0</v>
      </c>
      <c r="J28" t="n">
        <v>1</v>
      </c>
      <c r="K28" t="n">
        <v>0</v>
      </c>
      <c r="L28" t="n">
        <v>0</v>
      </c>
      <c r="M28" t="n">
        <v>0</v>
      </c>
      <c r="N28" t="n">
        <v>0</v>
      </c>
      <c r="O28" t="n">
        <v>1</v>
      </c>
      <c r="P28" t="n">
        <v>0</v>
      </c>
      <c r="Q28" t="n">
        <v>3</v>
      </c>
      <c r="R28" s="2" t="inlineStr">
        <is>
          <t>Gulsparv
Spillkråka
Skogsödla</t>
        </is>
      </c>
      <c r="S28">
        <f>HYPERLINK("https://klasma.github.io/Logging_0483/artfynd/A 7322-2023 artfynd.xlsx", "A 7322-2023")</f>
        <v/>
      </c>
      <c r="T28">
        <f>HYPERLINK("https://klasma.github.io/Logging_0483/kartor/A 7322-2023 karta.png", "A 7322-2023")</f>
        <v/>
      </c>
      <c r="V28">
        <f>HYPERLINK("https://klasma.github.io/Logging_0483/klagomål/A 7322-2023 FSC-klagomål.docx", "A 7322-2023")</f>
        <v/>
      </c>
      <c r="W28">
        <f>HYPERLINK("https://klasma.github.io/Logging_0483/klagomålsmail/A 7322-2023 FSC-klagomål mail.docx", "A 7322-2023")</f>
        <v/>
      </c>
      <c r="X28">
        <f>HYPERLINK("https://klasma.github.io/Logging_0483/tillsyn/A 7322-2023 tillsynsbegäran.docx", "A 7322-2023")</f>
        <v/>
      </c>
      <c r="Y28">
        <f>HYPERLINK("https://klasma.github.io/Logging_0483/tillsynsmail/A 7322-2023 tillsynsbegäran mail.docx", "A 7322-2023")</f>
        <v/>
      </c>
      <c r="Z28">
        <f>HYPERLINK("https://klasma.github.io/Logging_0483/fåglar/A 7322-2023 prioriterade fågelarter.docx", "A 7322-2023")</f>
        <v/>
      </c>
    </row>
    <row r="29" ht="15" customHeight="1">
      <c r="A29" t="inlineStr">
        <is>
          <t>A 23568-2023</t>
        </is>
      </c>
      <c r="B29" s="1" t="n">
        <v>45077</v>
      </c>
      <c r="C29" s="1" t="n">
        <v>46203</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14858-2023</t>
        </is>
      </c>
      <c r="B30" s="1" t="n">
        <v>45014</v>
      </c>
      <c r="C30" s="1" t="n">
        <v>46203</v>
      </c>
      <c r="D30" t="inlineStr">
        <is>
          <t>SÖDERMANLANDS LÄN</t>
        </is>
      </c>
      <c r="E30" t="inlineStr">
        <is>
          <t>KATRINEHOLM</t>
        </is>
      </c>
      <c r="G30" t="n">
        <v>1</v>
      </c>
      <c r="H30" t="n">
        <v>3</v>
      </c>
      <c r="I30" t="n">
        <v>0</v>
      </c>
      <c r="J30" t="n">
        <v>0</v>
      </c>
      <c r="K30" t="n">
        <v>0</v>
      </c>
      <c r="L30" t="n">
        <v>0</v>
      </c>
      <c r="M30" t="n">
        <v>0</v>
      </c>
      <c r="N30" t="n">
        <v>0</v>
      </c>
      <c r="O30" t="n">
        <v>0</v>
      </c>
      <c r="P30" t="n">
        <v>0</v>
      </c>
      <c r="Q30" t="n">
        <v>3</v>
      </c>
      <c r="R30" s="2" t="inlineStr">
        <is>
          <t>Blåsippa
Spillkråka
Gullviva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44632-2023</t>
        </is>
      </c>
      <c r="B31" s="1" t="n">
        <v>45184</v>
      </c>
      <c r="C31" s="1" t="n">
        <v>46203</v>
      </c>
      <c r="D31" t="inlineStr">
        <is>
          <t>SÖDERMANLANDS LÄN</t>
        </is>
      </c>
      <c r="E31" t="inlineStr">
        <is>
          <t>KATRINEHOLM</t>
        </is>
      </c>
      <c r="G31" t="n">
        <v>6.2</v>
      </c>
      <c r="H31" t="n">
        <v>0</v>
      </c>
      <c r="I31" t="n">
        <v>1</v>
      </c>
      <c r="J31" t="n">
        <v>2</v>
      </c>
      <c r="K31" t="n">
        <v>0</v>
      </c>
      <c r="L31" t="n">
        <v>0</v>
      </c>
      <c r="M31" t="n">
        <v>0</v>
      </c>
      <c r="N31" t="n">
        <v>0</v>
      </c>
      <c r="O31" t="n">
        <v>2</v>
      </c>
      <c r="P31" t="n">
        <v>0</v>
      </c>
      <c r="Q31" t="n">
        <v>3</v>
      </c>
      <c r="R31" s="2" t="inlineStr">
        <is>
          <t>Dropptaggsvamp
Motaggsvamp
Kambräken</t>
        </is>
      </c>
      <c r="S31">
        <f>HYPERLINK("https://klasma.github.io/Logging_0483/artfynd/A 44632-2023 artfynd.xlsx", "A 44632-2023")</f>
        <v/>
      </c>
      <c r="T31">
        <f>HYPERLINK("https://klasma.github.io/Logging_0483/kartor/A 44632-2023 karta.png", "A 44632-2023")</f>
        <v/>
      </c>
      <c r="V31">
        <f>HYPERLINK("https://klasma.github.io/Logging_0483/klagomål/A 44632-2023 FSC-klagomål.docx", "A 44632-2023")</f>
        <v/>
      </c>
      <c r="W31">
        <f>HYPERLINK("https://klasma.github.io/Logging_0483/klagomålsmail/A 44632-2023 FSC-klagomål mail.docx", "A 44632-2023")</f>
        <v/>
      </c>
      <c r="X31">
        <f>HYPERLINK("https://klasma.github.io/Logging_0483/tillsyn/A 44632-2023 tillsynsbegäran.docx", "A 44632-2023")</f>
        <v/>
      </c>
      <c r="Y31">
        <f>HYPERLINK("https://klasma.github.io/Logging_0483/tillsynsmail/A 44632-2023 tillsynsbegäran mail.docx", "A 44632-2023")</f>
        <v/>
      </c>
    </row>
    <row r="32" ht="15" customHeight="1">
      <c r="A32" t="inlineStr">
        <is>
          <t>A 45530-2023</t>
        </is>
      </c>
      <c r="B32" s="1" t="n">
        <v>45188</v>
      </c>
      <c r="C32" s="1" t="n">
        <v>46203</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27375-2024</t>
        </is>
      </c>
      <c r="B33" s="1" t="n">
        <v>45473</v>
      </c>
      <c r="C33" s="1" t="n">
        <v>46203</v>
      </c>
      <c r="D33" t="inlineStr">
        <is>
          <t>SÖDERMANLANDS LÄN</t>
        </is>
      </c>
      <c r="E33" t="inlineStr">
        <is>
          <t>KATRINEHOLM</t>
        </is>
      </c>
      <c r="F33" t="inlineStr">
        <is>
          <t>Kommuner</t>
        </is>
      </c>
      <c r="G33" t="n">
        <v>1.9</v>
      </c>
      <c r="H33" t="n">
        <v>2</v>
      </c>
      <c r="I33" t="n">
        <v>1</v>
      </c>
      <c r="J33" t="n">
        <v>1</v>
      </c>
      <c r="K33" t="n">
        <v>0</v>
      </c>
      <c r="L33" t="n">
        <v>0</v>
      </c>
      <c r="M33" t="n">
        <v>0</v>
      </c>
      <c r="N33" t="n">
        <v>0</v>
      </c>
      <c r="O33" t="n">
        <v>1</v>
      </c>
      <c r="P33" t="n">
        <v>0</v>
      </c>
      <c r="Q33" t="n">
        <v>3</v>
      </c>
      <c r="R33" s="2" t="inlineStr">
        <is>
          <t>Kricka
Scharlakansvårskål agg.
Åkergroda</t>
        </is>
      </c>
      <c r="S33">
        <f>HYPERLINK("https://klasma.github.io/Logging_0483/artfynd/A 27375-2024 artfynd.xlsx", "A 27375-2024")</f>
        <v/>
      </c>
      <c r="T33">
        <f>HYPERLINK("https://klasma.github.io/Logging_0483/kartor/A 27375-2024 karta.png", "A 27375-2024")</f>
        <v/>
      </c>
      <c r="V33">
        <f>HYPERLINK("https://klasma.github.io/Logging_0483/klagomål/A 27375-2024 FSC-klagomål.docx", "A 27375-2024")</f>
        <v/>
      </c>
      <c r="W33">
        <f>HYPERLINK("https://klasma.github.io/Logging_0483/klagomålsmail/A 27375-2024 FSC-klagomål mail.docx", "A 27375-2024")</f>
        <v/>
      </c>
      <c r="X33">
        <f>HYPERLINK("https://klasma.github.io/Logging_0483/tillsyn/A 27375-2024 tillsynsbegäran.docx", "A 27375-2024")</f>
        <v/>
      </c>
      <c r="Y33">
        <f>HYPERLINK("https://klasma.github.io/Logging_0483/tillsynsmail/A 27375-2024 tillsynsbegäran mail.docx", "A 27375-2024")</f>
        <v/>
      </c>
      <c r="Z33">
        <f>HYPERLINK("https://klasma.github.io/Logging_0483/fåglar/A 27375-2024 prioriterade fågelarter.docx", "A 27375-2024")</f>
        <v/>
      </c>
    </row>
    <row r="34" ht="15" customHeight="1">
      <c r="A34" t="inlineStr">
        <is>
          <t>A 65184-2021</t>
        </is>
      </c>
      <c r="B34" s="1" t="n">
        <v>44512</v>
      </c>
      <c r="C34" s="1" t="n">
        <v>46203</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46203</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46203</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46203</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42055-2025</t>
        </is>
      </c>
      <c r="B38" s="1" t="n">
        <v>45903</v>
      </c>
      <c r="C38" s="1" t="n">
        <v>46203</v>
      </c>
      <c r="D38" t="inlineStr">
        <is>
          <t>SÖDERMANLANDS LÄN</t>
        </is>
      </c>
      <c r="E38" t="inlineStr">
        <is>
          <t>KATRINEHOLM</t>
        </is>
      </c>
      <c r="F38" t="inlineStr">
        <is>
          <t>Allmännings- och besparingsskogar</t>
        </is>
      </c>
      <c r="G38" t="n">
        <v>0.8</v>
      </c>
      <c r="H38" t="n">
        <v>1</v>
      </c>
      <c r="I38" t="n">
        <v>1</v>
      </c>
      <c r="J38" t="n">
        <v>0</v>
      </c>
      <c r="K38" t="n">
        <v>0</v>
      </c>
      <c r="L38" t="n">
        <v>0</v>
      </c>
      <c r="M38" t="n">
        <v>0</v>
      </c>
      <c r="N38" t="n">
        <v>0</v>
      </c>
      <c r="O38" t="n">
        <v>0</v>
      </c>
      <c r="P38" t="n">
        <v>0</v>
      </c>
      <c r="Q38" t="n">
        <v>2</v>
      </c>
      <c r="R38" s="2" t="inlineStr">
        <is>
          <t>Björksplintborre
Revlummer</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14655-2023</t>
        </is>
      </c>
      <c r="B39" s="1" t="n">
        <v>45013</v>
      </c>
      <c r="C39" s="1" t="n">
        <v>46203</v>
      </c>
      <c r="D39" t="inlineStr">
        <is>
          <t>SÖDERMANLANDS LÄN</t>
        </is>
      </c>
      <c r="E39" t="inlineStr">
        <is>
          <t>KATRINEHOLM</t>
        </is>
      </c>
      <c r="G39" t="n">
        <v>4.4</v>
      </c>
      <c r="H39" t="n">
        <v>2</v>
      </c>
      <c r="I39" t="n">
        <v>0</v>
      </c>
      <c r="J39" t="n">
        <v>0</v>
      </c>
      <c r="K39" t="n">
        <v>0</v>
      </c>
      <c r="L39" t="n">
        <v>0</v>
      </c>
      <c r="M39" t="n">
        <v>0</v>
      </c>
      <c r="N39" t="n">
        <v>0</v>
      </c>
      <c r="O39" t="n">
        <v>0</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63946-2025</t>
        </is>
      </c>
      <c r="B40" s="1" t="n">
        <v>46010</v>
      </c>
      <c r="C40" s="1" t="n">
        <v>46203</v>
      </c>
      <c r="D40" t="inlineStr">
        <is>
          <t>SÖDERMANLANDS LÄN</t>
        </is>
      </c>
      <c r="E40" t="inlineStr">
        <is>
          <t>KATRINEHOLM</t>
        </is>
      </c>
      <c r="F40" t="inlineStr">
        <is>
          <t>Allmännings- och besparingsskogar</t>
        </is>
      </c>
      <c r="G40" t="n">
        <v>2.4</v>
      </c>
      <c r="H40" t="n">
        <v>1</v>
      </c>
      <c r="I40" t="n">
        <v>0</v>
      </c>
      <c r="J40" t="n">
        <v>1</v>
      </c>
      <c r="K40" t="n">
        <v>0</v>
      </c>
      <c r="L40" t="n">
        <v>0</v>
      </c>
      <c r="M40" t="n">
        <v>0</v>
      </c>
      <c r="N40" t="n">
        <v>0</v>
      </c>
      <c r="O40" t="n">
        <v>1</v>
      </c>
      <c r="P40" t="n">
        <v>0</v>
      </c>
      <c r="Q40" t="n">
        <v>2</v>
      </c>
      <c r="R40" s="2" t="inlineStr">
        <is>
          <t>Tallticka
Skogsödla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16458-2022</t>
        </is>
      </c>
      <c r="B41" s="1" t="n">
        <v>44671</v>
      </c>
      <c r="C41" s="1" t="n">
        <v>46203</v>
      </c>
      <c r="D41" t="inlineStr">
        <is>
          <t>SÖDERMANLANDS LÄN</t>
        </is>
      </c>
      <c r="E41" t="inlineStr">
        <is>
          <t>KATRINEHOLM</t>
        </is>
      </c>
      <c r="G41" t="n">
        <v>16.4</v>
      </c>
      <c r="H41" t="n">
        <v>2</v>
      </c>
      <c r="I41" t="n">
        <v>0</v>
      </c>
      <c r="J41" t="n">
        <v>1</v>
      </c>
      <c r="K41" t="n">
        <v>0</v>
      </c>
      <c r="L41" t="n">
        <v>0</v>
      </c>
      <c r="M41" t="n">
        <v>0</v>
      </c>
      <c r="N41" t="n">
        <v>0</v>
      </c>
      <c r="O41" t="n">
        <v>1</v>
      </c>
      <c r="P41" t="n">
        <v>0</v>
      </c>
      <c r="Q41" t="n">
        <v>2</v>
      </c>
      <c r="R41" s="2" t="inlineStr">
        <is>
          <t>Duvhök
Gröngöling</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12937-2023</t>
        </is>
      </c>
      <c r="B42" s="1" t="n">
        <v>45001</v>
      </c>
      <c r="C42" s="1" t="n">
        <v>46203</v>
      </c>
      <c r="D42" t="inlineStr">
        <is>
          <t>SÖDERMANLANDS LÄN</t>
        </is>
      </c>
      <c r="E42" t="inlineStr">
        <is>
          <t>KATRINEHOLM</t>
        </is>
      </c>
      <c r="G42" t="n">
        <v>0.9</v>
      </c>
      <c r="H42" t="n">
        <v>0</v>
      </c>
      <c r="I42" t="n">
        <v>0</v>
      </c>
      <c r="J42" t="n">
        <v>0</v>
      </c>
      <c r="K42" t="n">
        <v>2</v>
      </c>
      <c r="L42" t="n">
        <v>0</v>
      </c>
      <c r="M42" t="n">
        <v>0</v>
      </c>
      <c r="N42" t="n">
        <v>0</v>
      </c>
      <c r="O42" t="n">
        <v>2</v>
      </c>
      <c r="P42" t="n">
        <v>2</v>
      </c>
      <c r="Q42" t="n">
        <v>2</v>
      </c>
      <c r="R42" s="2" t="inlineStr">
        <is>
          <t>Mörkstiftig hällfibbla
Norsk fetfibbla</t>
        </is>
      </c>
      <c r="S42">
        <f>HYPERLINK("https://klasma.github.io/Logging_0483/artfynd/A 12937-2023 artfynd.xlsx", "A 12937-2023")</f>
        <v/>
      </c>
      <c r="T42">
        <f>HYPERLINK("https://klasma.github.io/Logging_0483/kartor/A 12937-2023 karta.png", "A 12937-2023")</f>
        <v/>
      </c>
      <c r="V42">
        <f>HYPERLINK("https://klasma.github.io/Logging_0483/klagomål/A 12937-2023 FSC-klagomål.docx", "A 12937-2023")</f>
        <v/>
      </c>
      <c r="W42">
        <f>HYPERLINK("https://klasma.github.io/Logging_0483/klagomålsmail/A 12937-2023 FSC-klagomål mail.docx", "A 12937-2023")</f>
        <v/>
      </c>
      <c r="X42">
        <f>HYPERLINK("https://klasma.github.io/Logging_0483/tillsyn/A 12937-2023 tillsynsbegäran.docx", "A 12937-2023")</f>
        <v/>
      </c>
      <c r="Y42">
        <f>HYPERLINK("https://klasma.github.io/Logging_0483/tillsynsmail/A 12937-2023 tillsynsbegäran mail.docx", "A 12937-2023")</f>
        <v/>
      </c>
    </row>
    <row r="43" ht="15" customHeight="1">
      <c r="A43" t="inlineStr">
        <is>
          <t>A 16435-2026</t>
        </is>
      </c>
      <c r="B43" s="1" t="n">
        <v>46111</v>
      </c>
      <c r="C43" s="1" t="n">
        <v>46203</v>
      </c>
      <c r="D43" t="inlineStr">
        <is>
          <t>SÖDERMANLANDS LÄN</t>
        </is>
      </c>
      <c r="E43" t="inlineStr">
        <is>
          <t>KATRINEHOLM</t>
        </is>
      </c>
      <c r="G43" t="n">
        <v>5.7</v>
      </c>
      <c r="H43" t="n">
        <v>1</v>
      </c>
      <c r="I43" t="n">
        <v>0</v>
      </c>
      <c r="J43" t="n">
        <v>1</v>
      </c>
      <c r="K43" t="n">
        <v>0</v>
      </c>
      <c r="L43" t="n">
        <v>0</v>
      </c>
      <c r="M43" t="n">
        <v>0</v>
      </c>
      <c r="N43" t="n">
        <v>0</v>
      </c>
      <c r="O43" t="n">
        <v>1</v>
      </c>
      <c r="P43" t="n">
        <v>0</v>
      </c>
      <c r="Q43" t="n">
        <v>2</v>
      </c>
      <c r="R43" s="2" t="inlineStr">
        <is>
          <t>Dropptaggsvamp
Mattlummer</t>
        </is>
      </c>
      <c r="S43">
        <f>HYPERLINK("https://klasma.github.io/Logging_0483/artfynd/A 16435-2026 artfynd.xlsx", "A 16435-2026")</f>
        <v/>
      </c>
      <c r="T43">
        <f>HYPERLINK("https://klasma.github.io/Logging_0483/kartor/A 16435-2026 karta.png", "A 16435-2026")</f>
        <v/>
      </c>
      <c r="V43">
        <f>HYPERLINK("https://klasma.github.io/Logging_0483/klagomål/A 16435-2026 FSC-klagomål.docx", "A 16435-2026")</f>
        <v/>
      </c>
      <c r="W43">
        <f>HYPERLINK("https://klasma.github.io/Logging_0483/klagomålsmail/A 16435-2026 FSC-klagomål mail.docx", "A 16435-2026")</f>
        <v/>
      </c>
      <c r="X43">
        <f>HYPERLINK("https://klasma.github.io/Logging_0483/tillsyn/A 16435-2026 tillsynsbegäran.docx", "A 16435-2026")</f>
        <v/>
      </c>
      <c r="Y43">
        <f>HYPERLINK("https://klasma.github.io/Logging_0483/tillsynsmail/A 16435-2026 tillsynsbegäran mail.docx", "A 16435-2026")</f>
        <v/>
      </c>
    </row>
    <row r="44" ht="15" customHeight="1">
      <c r="A44" t="inlineStr">
        <is>
          <t>A 23804-2026</t>
        </is>
      </c>
      <c r="B44" s="1" t="n">
        <v>46164</v>
      </c>
      <c r="C44" s="1" t="n">
        <v>46203</v>
      </c>
      <c r="D44" t="inlineStr">
        <is>
          <t>SÖDERMANLANDS LÄN</t>
        </is>
      </c>
      <c r="E44" t="inlineStr">
        <is>
          <t>KATRINEHOLM</t>
        </is>
      </c>
      <c r="G44" t="n">
        <v>4.6</v>
      </c>
      <c r="H44" t="n">
        <v>1</v>
      </c>
      <c r="I44" t="n">
        <v>0</v>
      </c>
      <c r="J44" t="n">
        <v>1</v>
      </c>
      <c r="K44" t="n">
        <v>0</v>
      </c>
      <c r="L44" t="n">
        <v>0</v>
      </c>
      <c r="M44" t="n">
        <v>0</v>
      </c>
      <c r="N44" t="n">
        <v>0</v>
      </c>
      <c r="O44" t="n">
        <v>1</v>
      </c>
      <c r="P44" t="n">
        <v>0</v>
      </c>
      <c r="Q44" t="n">
        <v>2</v>
      </c>
      <c r="R44" s="2" t="inlineStr">
        <is>
          <t>Tallticka
Revlummer</t>
        </is>
      </c>
      <c r="S44">
        <f>HYPERLINK("https://klasma.github.io/Logging_0483/artfynd/A 23804-2026 artfynd.xlsx", "A 23804-2026")</f>
        <v/>
      </c>
      <c r="T44">
        <f>HYPERLINK("https://klasma.github.io/Logging_0483/kartor/A 23804-2026 karta.png", "A 23804-2026")</f>
        <v/>
      </c>
      <c r="V44">
        <f>HYPERLINK("https://klasma.github.io/Logging_0483/klagomål/A 23804-2026 FSC-klagomål.docx", "A 23804-2026")</f>
        <v/>
      </c>
      <c r="W44">
        <f>HYPERLINK("https://klasma.github.io/Logging_0483/klagomålsmail/A 23804-2026 FSC-klagomål mail.docx", "A 23804-2026")</f>
        <v/>
      </c>
      <c r="X44">
        <f>HYPERLINK("https://klasma.github.io/Logging_0483/tillsyn/A 23804-2026 tillsynsbegäran.docx", "A 23804-2026")</f>
        <v/>
      </c>
      <c r="Y44">
        <f>HYPERLINK("https://klasma.github.io/Logging_0483/tillsynsmail/A 23804-2026 tillsynsbegäran mail.docx", "A 23804-2026")</f>
        <v/>
      </c>
    </row>
    <row r="45" ht="15" customHeight="1">
      <c r="A45" t="inlineStr">
        <is>
          <t>A 11890-2023</t>
        </is>
      </c>
      <c r="B45" s="1" t="n">
        <v>44995</v>
      </c>
      <c r="C45" s="1" t="n">
        <v>46203</v>
      </c>
      <c r="D45" t="inlineStr">
        <is>
          <t>SÖDERMANLANDS LÄN</t>
        </is>
      </c>
      <c r="E45" t="inlineStr">
        <is>
          <t>KATRINEHOLM</t>
        </is>
      </c>
      <c r="F45" t="inlineStr">
        <is>
          <t>Kommuner</t>
        </is>
      </c>
      <c r="G45" t="n">
        <v>6.7</v>
      </c>
      <c r="H45" t="n">
        <v>1</v>
      </c>
      <c r="I45" t="n">
        <v>1</v>
      </c>
      <c r="J45" t="n">
        <v>0</v>
      </c>
      <c r="K45" t="n">
        <v>1</v>
      </c>
      <c r="L45" t="n">
        <v>0</v>
      </c>
      <c r="M45" t="n">
        <v>0</v>
      </c>
      <c r="N45" t="n">
        <v>0</v>
      </c>
      <c r="O45" t="n">
        <v>1</v>
      </c>
      <c r="P45" t="n">
        <v>1</v>
      </c>
      <c r="Q45" t="n">
        <v>2</v>
      </c>
      <c r="R45" s="2" t="inlineStr">
        <is>
          <t>Skrovlig taggsvamp
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11890-2023</t>
        </is>
      </c>
      <c r="B46" s="1" t="n">
        <v>44995</v>
      </c>
      <c r="C46" s="1" t="n">
        <v>46203</v>
      </c>
      <c r="D46" t="inlineStr">
        <is>
          <t>SÖDERMANLANDS LÄN</t>
        </is>
      </c>
      <c r="E46" t="inlineStr">
        <is>
          <t>KATRINEHOLM</t>
        </is>
      </c>
      <c r="F46" t="inlineStr">
        <is>
          <t>Kommuner</t>
        </is>
      </c>
      <c r="G46" t="n">
        <v>6.7</v>
      </c>
      <c r="H46" t="n">
        <v>1</v>
      </c>
      <c r="I46" t="n">
        <v>1</v>
      </c>
      <c r="J46" t="n">
        <v>0</v>
      </c>
      <c r="K46" t="n">
        <v>1</v>
      </c>
      <c r="L46" t="n">
        <v>0</v>
      </c>
      <c r="M46" t="n">
        <v>0</v>
      </c>
      <c r="N46" t="n">
        <v>0</v>
      </c>
      <c r="O46" t="n">
        <v>1</v>
      </c>
      <c r="P46" t="n">
        <v>1</v>
      </c>
      <c r="Q46" t="n">
        <v>2</v>
      </c>
      <c r="R46" s="2" t="inlineStr">
        <is>
          <t>Skrovlig taggsvamp
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40393-2022</t>
        </is>
      </c>
      <c r="B47" s="1" t="n">
        <v>44823</v>
      </c>
      <c r="C47" s="1" t="n">
        <v>46203</v>
      </c>
      <c r="D47" t="inlineStr">
        <is>
          <t>SÖDERMANLANDS LÄN</t>
        </is>
      </c>
      <c r="E47" t="inlineStr">
        <is>
          <t>KATRINEHOLM</t>
        </is>
      </c>
      <c r="G47" t="n">
        <v>1.3</v>
      </c>
      <c r="H47" t="n">
        <v>0</v>
      </c>
      <c r="I47" t="n">
        <v>1</v>
      </c>
      <c r="J47" t="n">
        <v>1</v>
      </c>
      <c r="K47" t="n">
        <v>0</v>
      </c>
      <c r="L47" t="n">
        <v>0</v>
      </c>
      <c r="M47" t="n">
        <v>0</v>
      </c>
      <c r="N47" t="n">
        <v>0</v>
      </c>
      <c r="O47" t="n">
        <v>1</v>
      </c>
      <c r="P47" t="n">
        <v>0</v>
      </c>
      <c r="Q47" t="n">
        <v>2</v>
      </c>
      <c r="R47" s="2" t="inlineStr">
        <is>
          <t>Aspstumpbagge
Spindelbock</t>
        </is>
      </c>
      <c r="S47">
        <f>HYPERLINK("https://klasma.github.io/Logging_0483/artfynd/A 40393-2022 artfynd.xlsx", "A 40393-2022")</f>
        <v/>
      </c>
      <c r="T47">
        <f>HYPERLINK("https://klasma.github.io/Logging_0483/kartor/A 40393-2022 karta.png", "A 40393-2022")</f>
        <v/>
      </c>
      <c r="V47">
        <f>HYPERLINK("https://klasma.github.io/Logging_0483/klagomål/A 40393-2022 FSC-klagomål.docx", "A 40393-2022")</f>
        <v/>
      </c>
      <c r="W47">
        <f>HYPERLINK("https://klasma.github.io/Logging_0483/klagomålsmail/A 40393-2022 FSC-klagomål mail.docx", "A 40393-2022")</f>
        <v/>
      </c>
      <c r="X47">
        <f>HYPERLINK("https://klasma.github.io/Logging_0483/tillsyn/A 40393-2022 tillsynsbegäran.docx", "A 40393-2022")</f>
        <v/>
      </c>
      <c r="Y47">
        <f>HYPERLINK("https://klasma.github.io/Logging_0483/tillsynsmail/A 40393-2022 tillsynsbegäran mail.docx", "A 40393-2022")</f>
        <v/>
      </c>
    </row>
    <row r="48" ht="15" customHeight="1">
      <c r="A48" t="inlineStr">
        <is>
          <t>A 37537-2022</t>
        </is>
      </c>
      <c r="B48" s="1" t="n">
        <v>44809</v>
      </c>
      <c r="C48" s="1" t="n">
        <v>46203</v>
      </c>
      <c r="D48" t="inlineStr">
        <is>
          <t>SÖDERMANLANDS LÄN</t>
        </is>
      </c>
      <c r="E48" t="inlineStr">
        <is>
          <t>KATRINEHOLM</t>
        </is>
      </c>
      <c r="G48" t="n">
        <v>1.4</v>
      </c>
      <c r="H48" t="n">
        <v>0</v>
      </c>
      <c r="I48" t="n">
        <v>2</v>
      </c>
      <c r="J48" t="n">
        <v>0</v>
      </c>
      <c r="K48" t="n">
        <v>0</v>
      </c>
      <c r="L48" t="n">
        <v>0</v>
      </c>
      <c r="M48" t="n">
        <v>0</v>
      </c>
      <c r="N48" t="n">
        <v>0</v>
      </c>
      <c r="O48" t="n">
        <v>0</v>
      </c>
      <c r="P48" t="n">
        <v>0</v>
      </c>
      <c r="Q48" t="n">
        <v>2</v>
      </c>
      <c r="R48" s="2" t="inlineStr">
        <is>
          <t>Myskmadra
Svart trolldruva</t>
        </is>
      </c>
      <c r="S48">
        <f>HYPERLINK("https://klasma.github.io/Logging_0483/artfynd/A 37537-2022 artfynd.xlsx", "A 37537-2022")</f>
        <v/>
      </c>
      <c r="T48">
        <f>HYPERLINK("https://klasma.github.io/Logging_0483/kartor/A 37537-2022 karta.png", "A 37537-2022")</f>
        <v/>
      </c>
      <c r="V48">
        <f>HYPERLINK("https://klasma.github.io/Logging_0483/klagomål/A 37537-2022 FSC-klagomål.docx", "A 37537-2022")</f>
        <v/>
      </c>
      <c r="W48">
        <f>HYPERLINK("https://klasma.github.io/Logging_0483/klagomålsmail/A 37537-2022 FSC-klagomål mail.docx", "A 37537-2022")</f>
        <v/>
      </c>
      <c r="X48">
        <f>HYPERLINK("https://klasma.github.io/Logging_0483/tillsyn/A 37537-2022 tillsynsbegäran.docx", "A 37537-2022")</f>
        <v/>
      </c>
      <c r="Y48">
        <f>HYPERLINK("https://klasma.github.io/Logging_0483/tillsynsmail/A 37537-2022 tillsynsbegäran mail.docx", "A 37537-2022")</f>
        <v/>
      </c>
    </row>
    <row r="49" ht="15" customHeight="1">
      <c r="A49" t="inlineStr">
        <is>
          <t>A 1150-2025</t>
        </is>
      </c>
      <c r="B49" s="1" t="n">
        <v>45666</v>
      </c>
      <c r="C49" s="1" t="n">
        <v>46203</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53471-2024</t>
        </is>
      </c>
      <c r="B50" s="1" t="n">
        <v>45614</v>
      </c>
      <c r="C50" s="1" t="n">
        <v>46203</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53154-2023</t>
        </is>
      </c>
      <c r="B51" s="1" t="n">
        <v>45229</v>
      </c>
      <c r="C51" s="1" t="n">
        <v>46203</v>
      </c>
      <c r="D51" t="inlineStr">
        <is>
          <t>SÖDERMANLANDS LÄN</t>
        </is>
      </c>
      <c r="E51" t="inlineStr">
        <is>
          <t>KATRINEHOLM</t>
        </is>
      </c>
      <c r="G51" t="n">
        <v>2.1</v>
      </c>
      <c r="H51" t="n">
        <v>1</v>
      </c>
      <c r="I51" t="n">
        <v>0</v>
      </c>
      <c r="J51" t="n">
        <v>0</v>
      </c>
      <c r="K51" t="n">
        <v>0</v>
      </c>
      <c r="L51" t="n">
        <v>1</v>
      </c>
      <c r="M51" t="n">
        <v>0</v>
      </c>
      <c r="N51" t="n">
        <v>0</v>
      </c>
      <c r="O51" t="n">
        <v>1</v>
      </c>
      <c r="P51" t="n">
        <v>1</v>
      </c>
      <c r="Q51" t="n">
        <v>2</v>
      </c>
      <c r="R51" s="2" t="inlineStr">
        <is>
          <t>Ask
Skogsduva</t>
        </is>
      </c>
      <c r="S51">
        <f>HYPERLINK("https://klasma.github.io/Logging_0483/artfynd/A 53154-2023 artfynd.xlsx", "A 53154-2023")</f>
        <v/>
      </c>
      <c r="T51">
        <f>HYPERLINK("https://klasma.github.io/Logging_0483/kartor/A 53154-2023 karta.png", "A 53154-2023")</f>
        <v/>
      </c>
      <c r="V51">
        <f>HYPERLINK("https://klasma.github.io/Logging_0483/klagomål/A 53154-2023 FSC-klagomål.docx", "A 53154-2023")</f>
        <v/>
      </c>
      <c r="W51">
        <f>HYPERLINK("https://klasma.github.io/Logging_0483/klagomålsmail/A 53154-2023 FSC-klagomål mail.docx", "A 53154-2023")</f>
        <v/>
      </c>
      <c r="X51">
        <f>HYPERLINK("https://klasma.github.io/Logging_0483/tillsyn/A 53154-2023 tillsynsbegäran.docx", "A 53154-2023")</f>
        <v/>
      </c>
      <c r="Y51">
        <f>HYPERLINK("https://klasma.github.io/Logging_0483/tillsynsmail/A 53154-2023 tillsynsbegäran mail.docx", "A 53154-2023")</f>
        <v/>
      </c>
    </row>
    <row r="52" ht="15" customHeight="1">
      <c r="A52" t="inlineStr">
        <is>
          <t>A 23239-2022</t>
        </is>
      </c>
      <c r="B52" s="1" t="n">
        <v>44719</v>
      </c>
      <c r="C52" s="1" t="n">
        <v>46203</v>
      </c>
      <c r="D52" t="inlineStr">
        <is>
          <t>SÖDERMANLANDS LÄN</t>
        </is>
      </c>
      <c r="E52" t="inlineStr">
        <is>
          <t>KATRINEHOLM</t>
        </is>
      </c>
      <c r="G52" t="n">
        <v>7.4</v>
      </c>
      <c r="H52" t="n">
        <v>0</v>
      </c>
      <c r="I52" t="n">
        <v>0</v>
      </c>
      <c r="J52" t="n">
        <v>1</v>
      </c>
      <c r="K52" t="n">
        <v>0</v>
      </c>
      <c r="L52" t="n">
        <v>0</v>
      </c>
      <c r="M52" t="n">
        <v>0</v>
      </c>
      <c r="N52" t="n">
        <v>0</v>
      </c>
      <c r="O52" t="n">
        <v>1</v>
      </c>
      <c r="P52" t="n">
        <v>0</v>
      </c>
      <c r="Q52" t="n">
        <v>1</v>
      </c>
      <c r="R52" s="2" t="inlineStr">
        <is>
          <t>Bronspraktbagge</t>
        </is>
      </c>
      <c r="S52">
        <f>HYPERLINK("https://klasma.github.io/Logging_0483/artfynd/A 23239-2022 artfynd.xlsx", "A 23239-2022")</f>
        <v/>
      </c>
      <c r="T52">
        <f>HYPERLINK("https://klasma.github.io/Logging_0483/kartor/A 23239-2022 karta.png", "A 23239-2022")</f>
        <v/>
      </c>
      <c r="V52">
        <f>HYPERLINK("https://klasma.github.io/Logging_0483/klagomål/A 23239-2022 FSC-klagomål.docx", "A 23239-2022")</f>
        <v/>
      </c>
      <c r="W52">
        <f>HYPERLINK("https://klasma.github.io/Logging_0483/klagomålsmail/A 23239-2022 FSC-klagomål mail.docx", "A 23239-2022")</f>
        <v/>
      </c>
      <c r="X52">
        <f>HYPERLINK("https://klasma.github.io/Logging_0483/tillsyn/A 23239-2022 tillsynsbegäran.docx", "A 23239-2022")</f>
        <v/>
      </c>
      <c r="Y52">
        <f>HYPERLINK("https://klasma.github.io/Logging_0483/tillsynsmail/A 23239-2022 tillsynsbegäran mail.docx", "A 23239-2022")</f>
        <v/>
      </c>
    </row>
    <row r="53" ht="15" customHeight="1">
      <c r="A53" t="inlineStr">
        <is>
          <t>A 6768-2022</t>
        </is>
      </c>
      <c r="B53" s="1" t="n">
        <v>44602</v>
      </c>
      <c r="C53" s="1" t="n">
        <v>46203</v>
      </c>
      <c r="D53" t="inlineStr">
        <is>
          <t>SÖDERMANLANDS LÄN</t>
        </is>
      </c>
      <c r="E53" t="inlineStr">
        <is>
          <t>KATRINEHOLM</t>
        </is>
      </c>
      <c r="G53" t="n">
        <v>12</v>
      </c>
      <c r="H53" t="n">
        <v>0</v>
      </c>
      <c r="I53" t="n">
        <v>0</v>
      </c>
      <c r="J53" t="n">
        <v>0</v>
      </c>
      <c r="K53" t="n">
        <v>1</v>
      </c>
      <c r="L53" t="n">
        <v>0</v>
      </c>
      <c r="M53" t="n">
        <v>0</v>
      </c>
      <c r="N53" t="n">
        <v>0</v>
      </c>
      <c r="O53" t="n">
        <v>1</v>
      </c>
      <c r="P53" t="n">
        <v>1</v>
      </c>
      <c r="Q53" t="n">
        <v>1</v>
      </c>
      <c r="R53" s="2" t="inlineStr">
        <is>
          <t>Igelkott</t>
        </is>
      </c>
      <c r="S53">
        <f>HYPERLINK("https://klasma.github.io/Logging_0483/artfynd/A 6768-2022 artfynd.xlsx", "A 6768-2022")</f>
        <v/>
      </c>
      <c r="T53">
        <f>HYPERLINK("https://klasma.github.io/Logging_0483/kartor/A 6768-2022 karta.png", "A 6768-2022")</f>
        <v/>
      </c>
      <c r="V53">
        <f>HYPERLINK("https://klasma.github.io/Logging_0483/klagomål/A 6768-2022 FSC-klagomål.docx", "A 6768-2022")</f>
        <v/>
      </c>
      <c r="W53">
        <f>HYPERLINK("https://klasma.github.io/Logging_0483/klagomålsmail/A 6768-2022 FSC-klagomål mail.docx", "A 6768-2022")</f>
        <v/>
      </c>
      <c r="X53">
        <f>HYPERLINK("https://klasma.github.io/Logging_0483/tillsyn/A 6768-2022 tillsynsbegäran.docx", "A 6768-2022")</f>
        <v/>
      </c>
      <c r="Y53">
        <f>HYPERLINK("https://klasma.github.io/Logging_0483/tillsynsmail/A 6768-2022 tillsynsbegäran mail.docx", "A 6768-2022")</f>
        <v/>
      </c>
    </row>
    <row r="54" ht="15" customHeight="1">
      <c r="A54" t="inlineStr">
        <is>
          <t>A 72851-2021</t>
        </is>
      </c>
      <c r="B54" s="1" t="n">
        <v>44546</v>
      </c>
      <c r="C54" s="1" t="n">
        <v>46203</v>
      </c>
      <c r="D54" t="inlineStr">
        <is>
          <t>SÖDERMANLANDS LÄN</t>
        </is>
      </c>
      <c r="E54" t="inlineStr">
        <is>
          <t>KATRINEHOLM</t>
        </is>
      </c>
      <c r="G54" t="n">
        <v>0.7</v>
      </c>
      <c r="H54" t="n">
        <v>0</v>
      </c>
      <c r="I54" t="n">
        <v>0</v>
      </c>
      <c r="J54" t="n">
        <v>1</v>
      </c>
      <c r="K54" t="n">
        <v>0</v>
      </c>
      <c r="L54" t="n">
        <v>0</v>
      </c>
      <c r="M54" t="n">
        <v>0</v>
      </c>
      <c r="N54" t="n">
        <v>0</v>
      </c>
      <c r="O54" t="n">
        <v>1</v>
      </c>
      <c r="P54" t="n">
        <v>0</v>
      </c>
      <c r="Q54" t="n">
        <v>1</v>
      </c>
      <c r="R54" s="2" t="inlineStr">
        <is>
          <t>Klasefibbla</t>
        </is>
      </c>
      <c r="S54">
        <f>HYPERLINK("https://klasma.github.io/Logging_0483/artfynd/A 72851-2021 artfynd.xlsx", "A 72851-2021")</f>
        <v/>
      </c>
      <c r="T54">
        <f>HYPERLINK("https://klasma.github.io/Logging_0483/kartor/A 72851-2021 karta.png", "A 72851-2021")</f>
        <v/>
      </c>
      <c r="V54">
        <f>HYPERLINK("https://klasma.github.io/Logging_0483/klagomål/A 72851-2021 FSC-klagomål.docx", "A 72851-2021")</f>
        <v/>
      </c>
      <c r="W54">
        <f>HYPERLINK("https://klasma.github.io/Logging_0483/klagomålsmail/A 72851-2021 FSC-klagomål mail.docx", "A 72851-2021")</f>
        <v/>
      </c>
      <c r="X54">
        <f>HYPERLINK("https://klasma.github.io/Logging_0483/tillsyn/A 72851-2021 tillsynsbegäran.docx", "A 72851-2021")</f>
        <v/>
      </c>
      <c r="Y54">
        <f>HYPERLINK("https://klasma.github.io/Logging_0483/tillsynsmail/A 72851-2021 tillsynsbegäran mail.docx", "A 72851-2021")</f>
        <v/>
      </c>
    </row>
    <row r="55" ht="15" customHeight="1">
      <c r="A55" t="inlineStr">
        <is>
          <t>A 2877-2022</t>
        </is>
      </c>
      <c r="B55" s="1" t="n">
        <v>44581</v>
      </c>
      <c r="C55" s="1" t="n">
        <v>46203</v>
      </c>
      <c r="D55" t="inlineStr">
        <is>
          <t>SÖDERMANLANDS LÄN</t>
        </is>
      </c>
      <c r="E55" t="inlineStr">
        <is>
          <t>KATRINEHOLM</t>
        </is>
      </c>
      <c r="G55" t="n">
        <v>10.3</v>
      </c>
      <c r="H55" t="n">
        <v>1</v>
      </c>
      <c r="I55" t="n">
        <v>0</v>
      </c>
      <c r="J55" t="n">
        <v>0</v>
      </c>
      <c r="K55" t="n">
        <v>0</v>
      </c>
      <c r="L55" t="n">
        <v>0</v>
      </c>
      <c r="M55" t="n">
        <v>0</v>
      </c>
      <c r="N55" t="n">
        <v>0</v>
      </c>
      <c r="O55" t="n">
        <v>0</v>
      </c>
      <c r="P55" t="n">
        <v>0</v>
      </c>
      <c r="Q55" t="n">
        <v>1</v>
      </c>
      <c r="R55" s="2" t="inlineStr">
        <is>
          <t>Kungsfågel</t>
        </is>
      </c>
      <c r="S55">
        <f>HYPERLINK("https://klasma.github.io/Logging_0483/artfynd/A 2877-2022 artfynd.xlsx", "A 2877-2022")</f>
        <v/>
      </c>
      <c r="T55">
        <f>HYPERLINK("https://klasma.github.io/Logging_0483/kartor/A 2877-2022 karta.png", "A 2877-2022")</f>
        <v/>
      </c>
      <c r="V55">
        <f>HYPERLINK("https://klasma.github.io/Logging_0483/klagomål/A 2877-2022 FSC-klagomål.docx", "A 2877-2022")</f>
        <v/>
      </c>
      <c r="W55">
        <f>HYPERLINK("https://klasma.github.io/Logging_0483/klagomålsmail/A 2877-2022 FSC-klagomål mail.docx", "A 2877-2022")</f>
        <v/>
      </c>
      <c r="X55">
        <f>HYPERLINK("https://klasma.github.io/Logging_0483/tillsyn/A 2877-2022 tillsynsbegäran.docx", "A 2877-2022")</f>
        <v/>
      </c>
      <c r="Y55">
        <f>HYPERLINK("https://klasma.github.io/Logging_0483/tillsynsmail/A 2877-2022 tillsynsbegäran mail.docx", "A 2877-2022")</f>
        <v/>
      </c>
    </row>
    <row r="56" ht="15" customHeight="1">
      <c r="A56" t="inlineStr">
        <is>
          <t>A 1091-2025</t>
        </is>
      </c>
      <c r="B56" s="1" t="n">
        <v>45666</v>
      </c>
      <c r="C56" s="1" t="n">
        <v>46203</v>
      </c>
      <c r="D56" t="inlineStr">
        <is>
          <t>SÖDERMANLANDS LÄN</t>
        </is>
      </c>
      <c r="E56" t="inlineStr">
        <is>
          <t>KATRINEHOLM</t>
        </is>
      </c>
      <c r="F56" t="inlineStr">
        <is>
          <t>Övriga Aktiebolag</t>
        </is>
      </c>
      <c r="G56" t="n">
        <v>0.8</v>
      </c>
      <c r="H56" t="n">
        <v>0</v>
      </c>
      <c r="I56" t="n">
        <v>0</v>
      </c>
      <c r="J56" t="n">
        <v>1</v>
      </c>
      <c r="K56" t="n">
        <v>0</v>
      </c>
      <c r="L56" t="n">
        <v>0</v>
      </c>
      <c r="M56" t="n">
        <v>0</v>
      </c>
      <c r="N56" t="n">
        <v>0</v>
      </c>
      <c r="O56" t="n">
        <v>1</v>
      </c>
      <c r="P56" t="n">
        <v>0</v>
      </c>
      <c r="Q56" t="n">
        <v>1</v>
      </c>
      <c r="R56" s="2" t="inlineStr">
        <is>
          <t>Fjällig taggsvamp s.str.</t>
        </is>
      </c>
      <c r="S56">
        <f>HYPERLINK("https://klasma.github.io/Logging_0483/artfynd/A 1091-2025 artfynd.xlsx", "A 1091-2025")</f>
        <v/>
      </c>
      <c r="T56">
        <f>HYPERLINK("https://klasma.github.io/Logging_0483/kartor/A 1091-2025 karta.png", "A 1091-2025")</f>
        <v/>
      </c>
      <c r="V56">
        <f>HYPERLINK("https://klasma.github.io/Logging_0483/klagomål/A 1091-2025 FSC-klagomål.docx", "A 1091-2025")</f>
        <v/>
      </c>
      <c r="W56">
        <f>HYPERLINK("https://klasma.github.io/Logging_0483/klagomålsmail/A 1091-2025 FSC-klagomål mail.docx", "A 1091-2025")</f>
        <v/>
      </c>
      <c r="X56">
        <f>HYPERLINK("https://klasma.github.io/Logging_0483/tillsyn/A 1091-2025 tillsynsbegäran.docx", "A 1091-2025")</f>
        <v/>
      </c>
      <c r="Y56">
        <f>HYPERLINK("https://klasma.github.io/Logging_0483/tillsynsmail/A 1091-2025 tillsynsbegäran mail.docx", "A 1091-2025")</f>
        <v/>
      </c>
    </row>
    <row r="57" ht="15" customHeight="1">
      <c r="A57" t="inlineStr">
        <is>
          <t>A 41074-2025</t>
        </is>
      </c>
      <c r="B57" s="1" t="n">
        <v>45898</v>
      </c>
      <c r="C57" s="1" t="n">
        <v>46203</v>
      </c>
      <c r="D57" t="inlineStr">
        <is>
          <t>SÖDERMANLANDS LÄN</t>
        </is>
      </c>
      <c r="E57" t="inlineStr">
        <is>
          <t>KATRINEHOLM</t>
        </is>
      </c>
      <c r="F57" t="inlineStr">
        <is>
          <t>Allmännings- och besparingsskogar</t>
        </is>
      </c>
      <c r="G57" t="n">
        <v>4.8</v>
      </c>
      <c r="H57" t="n">
        <v>1</v>
      </c>
      <c r="I57" t="n">
        <v>0</v>
      </c>
      <c r="J57" t="n">
        <v>0</v>
      </c>
      <c r="K57" t="n">
        <v>0</v>
      </c>
      <c r="L57" t="n">
        <v>0</v>
      </c>
      <c r="M57" t="n">
        <v>0</v>
      </c>
      <c r="N57" t="n">
        <v>0</v>
      </c>
      <c r="O57" t="n">
        <v>0</v>
      </c>
      <c r="P57" t="n">
        <v>0</v>
      </c>
      <c r="Q57" t="n">
        <v>1</v>
      </c>
      <c r="R57" s="2" t="inlineStr">
        <is>
          <t>Utter</t>
        </is>
      </c>
      <c r="S57">
        <f>HYPERLINK("https://klasma.github.io/Logging_0483/artfynd/A 41074-2025 artfynd.xlsx", "A 41074-2025")</f>
        <v/>
      </c>
      <c r="T57">
        <f>HYPERLINK("https://klasma.github.io/Logging_0483/kartor/A 41074-2025 karta.png", "A 41074-2025")</f>
        <v/>
      </c>
      <c r="V57">
        <f>HYPERLINK("https://klasma.github.io/Logging_0483/klagomål/A 41074-2025 FSC-klagomål.docx", "A 41074-2025")</f>
        <v/>
      </c>
      <c r="W57">
        <f>HYPERLINK("https://klasma.github.io/Logging_0483/klagomålsmail/A 41074-2025 FSC-klagomål mail.docx", "A 41074-2025")</f>
        <v/>
      </c>
      <c r="X57">
        <f>HYPERLINK("https://klasma.github.io/Logging_0483/tillsyn/A 41074-2025 tillsynsbegäran.docx", "A 41074-2025")</f>
        <v/>
      </c>
      <c r="Y57">
        <f>HYPERLINK("https://klasma.github.io/Logging_0483/tillsynsmail/A 41074-2025 tillsynsbegäran mail.docx", "A 41074-2025")</f>
        <v/>
      </c>
    </row>
    <row r="58" ht="15" customHeight="1">
      <c r="A58" t="inlineStr">
        <is>
          <t>A 3980-2024</t>
        </is>
      </c>
      <c r="B58" s="1" t="n">
        <v>45322</v>
      </c>
      <c r="C58" s="1" t="n">
        <v>46203</v>
      </c>
      <c r="D58" t="inlineStr">
        <is>
          <t>SÖDERMANLANDS LÄN</t>
        </is>
      </c>
      <c r="E58" t="inlineStr">
        <is>
          <t>KATRINEHOLM</t>
        </is>
      </c>
      <c r="G58" t="n">
        <v>0.4</v>
      </c>
      <c r="H58" t="n">
        <v>0</v>
      </c>
      <c r="I58" t="n">
        <v>0</v>
      </c>
      <c r="J58" t="n">
        <v>1</v>
      </c>
      <c r="K58" t="n">
        <v>0</v>
      </c>
      <c r="L58" t="n">
        <v>0</v>
      </c>
      <c r="M58" t="n">
        <v>0</v>
      </c>
      <c r="N58" t="n">
        <v>0</v>
      </c>
      <c r="O58" t="n">
        <v>1</v>
      </c>
      <c r="P58" t="n">
        <v>0</v>
      </c>
      <c r="Q58" t="n">
        <v>1</v>
      </c>
      <c r="R58" s="2" t="inlineStr">
        <is>
          <t>Orange taggsvamp</t>
        </is>
      </c>
      <c r="S58">
        <f>HYPERLINK("https://klasma.github.io/Logging_0483/artfynd/A 3980-2024 artfynd.xlsx", "A 3980-2024")</f>
        <v/>
      </c>
      <c r="T58">
        <f>HYPERLINK("https://klasma.github.io/Logging_0483/kartor/A 3980-2024 karta.png", "A 3980-2024")</f>
        <v/>
      </c>
      <c r="V58">
        <f>HYPERLINK("https://klasma.github.io/Logging_0483/klagomål/A 3980-2024 FSC-klagomål.docx", "A 3980-2024")</f>
        <v/>
      </c>
      <c r="W58">
        <f>HYPERLINK("https://klasma.github.io/Logging_0483/klagomålsmail/A 3980-2024 FSC-klagomål mail.docx", "A 3980-2024")</f>
        <v/>
      </c>
      <c r="X58">
        <f>HYPERLINK("https://klasma.github.io/Logging_0483/tillsyn/A 3980-2024 tillsynsbegäran.docx", "A 3980-2024")</f>
        <v/>
      </c>
      <c r="Y58">
        <f>HYPERLINK("https://klasma.github.io/Logging_0483/tillsynsmail/A 3980-2024 tillsynsbegäran mail.docx", "A 3980-2024")</f>
        <v/>
      </c>
    </row>
    <row r="59" ht="15" customHeight="1">
      <c r="A59" t="inlineStr">
        <is>
          <t>A 64713-2023</t>
        </is>
      </c>
      <c r="B59" s="1" t="n">
        <v>45281</v>
      </c>
      <c r="C59" s="1" t="n">
        <v>46203</v>
      </c>
      <c r="D59" t="inlineStr">
        <is>
          <t>SÖDERMANLANDS LÄN</t>
        </is>
      </c>
      <c r="E59" t="inlineStr">
        <is>
          <t>KATRINEHOLM</t>
        </is>
      </c>
      <c r="G59" t="n">
        <v>4.9</v>
      </c>
      <c r="H59" t="n">
        <v>1</v>
      </c>
      <c r="I59" t="n">
        <v>0</v>
      </c>
      <c r="J59" t="n">
        <v>0</v>
      </c>
      <c r="K59" t="n">
        <v>0</v>
      </c>
      <c r="L59" t="n">
        <v>0</v>
      </c>
      <c r="M59" t="n">
        <v>0</v>
      </c>
      <c r="N59" t="n">
        <v>0</v>
      </c>
      <c r="O59" t="n">
        <v>0</v>
      </c>
      <c r="P59" t="n">
        <v>0</v>
      </c>
      <c r="Q59" t="n">
        <v>1</v>
      </c>
      <c r="R59" s="2" t="inlineStr">
        <is>
          <t>Gröngöling</t>
        </is>
      </c>
      <c r="S59">
        <f>HYPERLINK("https://klasma.github.io/Logging_0483/artfynd/A 64713-2023 artfynd.xlsx", "A 64713-2023")</f>
        <v/>
      </c>
      <c r="T59">
        <f>HYPERLINK("https://klasma.github.io/Logging_0483/kartor/A 64713-2023 karta.png", "A 64713-2023")</f>
        <v/>
      </c>
      <c r="V59">
        <f>HYPERLINK("https://klasma.github.io/Logging_0483/klagomål/A 64713-2023 FSC-klagomål.docx", "A 64713-2023")</f>
        <v/>
      </c>
      <c r="W59">
        <f>HYPERLINK("https://klasma.github.io/Logging_0483/klagomålsmail/A 64713-2023 FSC-klagomål mail.docx", "A 64713-2023")</f>
        <v/>
      </c>
      <c r="X59">
        <f>HYPERLINK("https://klasma.github.io/Logging_0483/tillsyn/A 64713-2023 tillsynsbegäran.docx", "A 64713-2023")</f>
        <v/>
      </c>
      <c r="Y59">
        <f>HYPERLINK("https://klasma.github.io/Logging_0483/tillsynsmail/A 64713-2023 tillsynsbegäran mail.docx", "A 64713-2023")</f>
        <v/>
      </c>
    </row>
    <row r="60" ht="15" customHeight="1">
      <c r="A60" t="inlineStr">
        <is>
          <t>A 56074-2022</t>
        </is>
      </c>
      <c r="B60" s="1" t="n">
        <v>44889</v>
      </c>
      <c r="C60" s="1" t="n">
        <v>46203</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63945-2025</t>
        </is>
      </c>
      <c r="B61" s="1" t="n">
        <v>46010</v>
      </c>
      <c r="C61" s="1" t="n">
        <v>46203</v>
      </c>
      <c r="D61" t="inlineStr">
        <is>
          <t>SÖDERMANLANDS LÄN</t>
        </is>
      </c>
      <c r="E61" t="inlineStr">
        <is>
          <t>KATRINEHOLM</t>
        </is>
      </c>
      <c r="F61" t="inlineStr">
        <is>
          <t>Allmännings- och besparingsskogar</t>
        </is>
      </c>
      <c r="G61" t="n">
        <v>1.2</v>
      </c>
      <c r="H61" t="n">
        <v>1</v>
      </c>
      <c r="I61" t="n">
        <v>0</v>
      </c>
      <c r="J61" t="n">
        <v>0</v>
      </c>
      <c r="K61" t="n">
        <v>0</v>
      </c>
      <c r="L61" t="n">
        <v>0</v>
      </c>
      <c r="M61" t="n">
        <v>0</v>
      </c>
      <c r="N61" t="n">
        <v>0</v>
      </c>
      <c r="O61" t="n">
        <v>0</v>
      </c>
      <c r="P61" t="n">
        <v>0</v>
      </c>
      <c r="Q61" t="n">
        <v>1</v>
      </c>
      <c r="R61" s="2" t="inlineStr">
        <is>
          <t>Tjäder</t>
        </is>
      </c>
      <c r="S61">
        <f>HYPERLINK("https://klasma.github.io/Logging_0483/artfynd/A 63945-2025 artfynd.xlsx", "A 63945-2025")</f>
        <v/>
      </c>
      <c r="T61">
        <f>HYPERLINK("https://klasma.github.io/Logging_0483/kartor/A 63945-2025 karta.png", "A 63945-2025")</f>
        <v/>
      </c>
      <c r="V61">
        <f>HYPERLINK("https://klasma.github.io/Logging_0483/klagomål/A 63945-2025 FSC-klagomål.docx", "A 63945-2025")</f>
        <v/>
      </c>
      <c r="W61">
        <f>HYPERLINK("https://klasma.github.io/Logging_0483/klagomålsmail/A 63945-2025 FSC-klagomål mail.docx", "A 63945-2025")</f>
        <v/>
      </c>
      <c r="X61">
        <f>HYPERLINK("https://klasma.github.io/Logging_0483/tillsyn/A 63945-2025 tillsynsbegäran.docx", "A 63945-2025")</f>
        <v/>
      </c>
      <c r="Y61">
        <f>HYPERLINK("https://klasma.github.io/Logging_0483/tillsynsmail/A 63945-2025 tillsynsbegäran mail.docx", "A 63945-2025")</f>
        <v/>
      </c>
      <c r="Z61">
        <f>HYPERLINK("https://klasma.github.io/Logging_0483/fåglar/A 63945-2025 prioriterade fågelarter.docx", "A 63945-2025")</f>
        <v/>
      </c>
    </row>
    <row r="62" ht="15" customHeight="1">
      <c r="A62" t="inlineStr">
        <is>
          <t>A 27376-2024</t>
        </is>
      </c>
      <c r="B62" s="1" t="n">
        <v>45473</v>
      </c>
      <c r="C62" s="1" t="n">
        <v>46203</v>
      </c>
      <c r="D62" t="inlineStr">
        <is>
          <t>SÖDERMANLANDS LÄN</t>
        </is>
      </c>
      <c r="E62" t="inlineStr">
        <is>
          <t>KATRINEHOLM</t>
        </is>
      </c>
      <c r="F62" t="inlineStr">
        <is>
          <t>Kommuner</t>
        </is>
      </c>
      <c r="G62" t="n">
        <v>2.8</v>
      </c>
      <c r="H62" t="n">
        <v>1</v>
      </c>
      <c r="I62" t="n">
        <v>0</v>
      </c>
      <c r="J62" t="n">
        <v>0</v>
      </c>
      <c r="K62" t="n">
        <v>0</v>
      </c>
      <c r="L62" t="n">
        <v>1</v>
      </c>
      <c r="M62" t="n">
        <v>0</v>
      </c>
      <c r="N62" t="n">
        <v>0</v>
      </c>
      <c r="O62" t="n">
        <v>1</v>
      </c>
      <c r="P62" t="n">
        <v>1</v>
      </c>
      <c r="Q62" t="n">
        <v>1</v>
      </c>
      <c r="R62" s="2" t="inlineStr">
        <is>
          <t>Bombmurkla</t>
        </is>
      </c>
      <c r="S62">
        <f>HYPERLINK("https://klasma.github.io/Logging_0483/artfynd/A 27376-2024 artfynd.xlsx", "A 27376-2024")</f>
        <v/>
      </c>
      <c r="T62">
        <f>HYPERLINK("https://klasma.github.io/Logging_0483/kartor/A 27376-2024 karta.png", "A 27376-2024")</f>
        <v/>
      </c>
      <c r="V62">
        <f>HYPERLINK("https://klasma.github.io/Logging_0483/klagomål/A 27376-2024 FSC-klagomål.docx", "A 27376-2024")</f>
        <v/>
      </c>
      <c r="W62">
        <f>HYPERLINK("https://klasma.github.io/Logging_0483/klagomålsmail/A 27376-2024 FSC-klagomål mail.docx", "A 27376-2024")</f>
        <v/>
      </c>
      <c r="X62">
        <f>HYPERLINK("https://klasma.github.io/Logging_0483/tillsyn/A 27376-2024 tillsynsbegäran.docx", "A 27376-2024")</f>
        <v/>
      </c>
      <c r="Y62">
        <f>HYPERLINK("https://klasma.github.io/Logging_0483/tillsynsmail/A 27376-2024 tillsynsbegäran mail.docx", "A 27376-2024")</f>
        <v/>
      </c>
    </row>
    <row r="63" ht="15" customHeight="1">
      <c r="A63" t="inlineStr">
        <is>
          <t>A 35163-2025</t>
        </is>
      </c>
      <c r="B63" s="1" t="n">
        <v>45852</v>
      </c>
      <c r="C63" s="1" t="n">
        <v>46203</v>
      </c>
      <c r="D63" t="inlineStr">
        <is>
          <t>SÖDERMANLANDS LÄN</t>
        </is>
      </c>
      <c r="E63" t="inlineStr">
        <is>
          <t>KATRINEHOLM</t>
        </is>
      </c>
      <c r="F63" t="inlineStr">
        <is>
          <t>Övriga Aktiebolag</t>
        </is>
      </c>
      <c r="G63" t="n">
        <v>1.1</v>
      </c>
      <c r="H63" t="n">
        <v>0</v>
      </c>
      <c r="I63" t="n">
        <v>0</v>
      </c>
      <c r="J63" t="n">
        <v>1</v>
      </c>
      <c r="K63" t="n">
        <v>0</v>
      </c>
      <c r="L63" t="n">
        <v>0</v>
      </c>
      <c r="M63" t="n">
        <v>0</v>
      </c>
      <c r="N63" t="n">
        <v>0</v>
      </c>
      <c r="O63" t="n">
        <v>1</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62957-2025</t>
        </is>
      </c>
      <c r="B64" s="1" t="n">
        <v>46009</v>
      </c>
      <c r="C64" s="1" t="n">
        <v>46203</v>
      </c>
      <c r="D64" t="inlineStr">
        <is>
          <t>SÖDERMANLANDS LÄN</t>
        </is>
      </c>
      <c r="E64" t="inlineStr">
        <is>
          <t>KATRINEHOLM</t>
        </is>
      </c>
      <c r="F64" t="inlineStr">
        <is>
          <t>Allmännings- och besparingsskogar</t>
        </is>
      </c>
      <c r="G64" t="n">
        <v>1.7</v>
      </c>
      <c r="H64" t="n">
        <v>1</v>
      </c>
      <c r="I64" t="n">
        <v>0</v>
      </c>
      <c r="J64" t="n">
        <v>0</v>
      </c>
      <c r="K64" t="n">
        <v>0</v>
      </c>
      <c r="L64" t="n">
        <v>0</v>
      </c>
      <c r="M64" t="n">
        <v>0</v>
      </c>
      <c r="N64" t="n">
        <v>0</v>
      </c>
      <c r="O64" t="n">
        <v>0</v>
      </c>
      <c r="P64" t="n">
        <v>0</v>
      </c>
      <c r="Q64" t="n">
        <v>1</v>
      </c>
      <c r="R64" s="2" t="inlineStr">
        <is>
          <t>Utter</t>
        </is>
      </c>
      <c r="S64">
        <f>HYPERLINK("https://klasma.github.io/Logging_0483/artfynd/A 62957-2025 artfynd.xlsx", "A 62957-2025")</f>
        <v/>
      </c>
      <c r="T64">
        <f>HYPERLINK("https://klasma.github.io/Logging_0483/kartor/A 62957-2025 karta.png", "A 62957-2025")</f>
        <v/>
      </c>
      <c r="V64">
        <f>HYPERLINK("https://klasma.github.io/Logging_0483/klagomål/A 62957-2025 FSC-klagomål.docx", "A 62957-2025")</f>
        <v/>
      </c>
      <c r="W64">
        <f>HYPERLINK("https://klasma.github.io/Logging_0483/klagomålsmail/A 62957-2025 FSC-klagomål mail.docx", "A 62957-2025")</f>
        <v/>
      </c>
      <c r="X64">
        <f>HYPERLINK("https://klasma.github.io/Logging_0483/tillsyn/A 62957-2025 tillsynsbegäran.docx", "A 62957-2025")</f>
        <v/>
      </c>
      <c r="Y64">
        <f>HYPERLINK("https://klasma.github.io/Logging_0483/tillsynsmail/A 62957-2025 tillsynsbegäran mail.docx", "A 62957-2025")</f>
        <v/>
      </c>
    </row>
    <row r="65" ht="15" customHeight="1">
      <c r="A65" t="inlineStr">
        <is>
          <t>A 35152-2025</t>
        </is>
      </c>
      <c r="B65" s="1" t="n">
        <v>45852</v>
      </c>
      <c r="C65" s="1" t="n">
        <v>46203</v>
      </c>
      <c r="D65" t="inlineStr">
        <is>
          <t>SÖDERMANLANDS LÄN</t>
        </is>
      </c>
      <c r="E65" t="inlineStr">
        <is>
          <t>KATRINEHOLM</t>
        </is>
      </c>
      <c r="G65" t="n">
        <v>4.6</v>
      </c>
      <c r="H65" t="n">
        <v>0</v>
      </c>
      <c r="I65" t="n">
        <v>0</v>
      </c>
      <c r="J65" t="n">
        <v>0</v>
      </c>
      <c r="K65" t="n">
        <v>1</v>
      </c>
      <c r="L65" t="n">
        <v>0</v>
      </c>
      <c r="M65" t="n">
        <v>0</v>
      </c>
      <c r="N65" t="n">
        <v>0</v>
      </c>
      <c r="O65" t="n">
        <v>1</v>
      </c>
      <c r="P65" t="n">
        <v>1</v>
      </c>
      <c r="Q65" t="n">
        <v>1</v>
      </c>
      <c r="R65" s="2" t="inlineStr">
        <is>
          <t>Kopparspindling</t>
        </is>
      </c>
      <c r="S65">
        <f>HYPERLINK("https://klasma.github.io/Logging_0483/artfynd/A 35152-2025 artfynd.xlsx", "A 35152-2025")</f>
        <v/>
      </c>
      <c r="T65">
        <f>HYPERLINK("https://klasma.github.io/Logging_0483/kartor/A 35152-2025 karta.png", "A 35152-2025")</f>
        <v/>
      </c>
      <c r="V65">
        <f>HYPERLINK("https://klasma.github.io/Logging_0483/klagomål/A 35152-2025 FSC-klagomål.docx", "A 35152-2025")</f>
        <v/>
      </c>
      <c r="W65">
        <f>HYPERLINK("https://klasma.github.io/Logging_0483/klagomålsmail/A 35152-2025 FSC-klagomål mail.docx", "A 35152-2025")</f>
        <v/>
      </c>
      <c r="X65">
        <f>HYPERLINK("https://klasma.github.io/Logging_0483/tillsyn/A 35152-2025 tillsynsbegäran.docx", "A 35152-2025")</f>
        <v/>
      </c>
      <c r="Y65">
        <f>HYPERLINK("https://klasma.github.io/Logging_0483/tillsynsmail/A 35152-2025 tillsynsbegäran mail.docx", "A 35152-2025")</f>
        <v/>
      </c>
    </row>
    <row r="66" ht="15" customHeight="1">
      <c r="A66" t="inlineStr">
        <is>
          <t>A 13848-2026</t>
        </is>
      </c>
      <c r="B66" s="1" t="n">
        <v>46098</v>
      </c>
      <c r="C66" s="1" t="n">
        <v>46203</v>
      </c>
      <c r="D66" t="inlineStr">
        <is>
          <t>SÖDERMANLANDS LÄN</t>
        </is>
      </c>
      <c r="E66" t="inlineStr">
        <is>
          <t>KATRINEHOLM</t>
        </is>
      </c>
      <c r="G66" t="n">
        <v>3.1</v>
      </c>
      <c r="H66" t="n">
        <v>1</v>
      </c>
      <c r="I66" t="n">
        <v>0</v>
      </c>
      <c r="J66" t="n">
        <v>0</v>
      </c>
      <c r="K66" t="n">
        <v>0</v>
      </c>
      <c r="L66" t="n">
        <v>0</v>
      </c>
      <c r="M66" t="n">
        <v>0</v>
      </c>
      <c r="N66" t="n">
        <v>0</v>
      </c>
      <c r="O66" t="n">
        <v>0</v>
      </c>
      <c r="P66" t="n">
        <v>0</v>
      </c>
      <c r="Q66" t="n">
        <v>1</v>
      </c>
      <c r="R66" s="2" t="inlineStr">
        <is>
          <t>Gröngöling</t>
        </is>
      </c>
      <c r="S66">
        <f>HYPERLINK("https://klasma.github.io/Logging_0483/artfynd/A 13848-2026 artfynd.xlsx", "A 13848-2026")</f>
        <v/>
      </c>
      <c r="T66">
        <f>HYPERLINK("https://klasma.github.io/Logging_0483/kartor/A 13848-2026 karta.png", "A 13848-2026")</f>
        <v/>
      </c>
      <c r="V66">
        <f>HYPERLINK("https://klasma.github.io/Logging_0483/klagomål/A 13848-2026 FSC-klagomål.docx", "A 13848-2026")</f>
        <v/>
      </c>
      <c r="W66">
        <f>HYPERLINK("https://klasma.github.io/Logging_0483/klagomålsmail/A 13848-2026 FSC-klagomål mail.docx", "A 13848-2026")</f>
        <v/>
      </c>
      <c r="X66">
        <f>HYPERLINK("https://klasma.github.io/Logging_0483/tillsyn/A 13848-2026 tillsynsbegäran.docx", "A 13848-2026")</f>
        <v/>
      </c>
      <c r="Y66">
        <f>HYPERLINK("https://klasma.github.io/Logging_0483/tillsynsmail/A 13848-2026 tillsynsbegäran mail.docx", "A 13848-2026")</f>
        <v/>
      </c>
    </row>
    <row r="67" ht="15" customHeight="1">
      <c r="A67" t="inlineStr">
        <is>
          <t>A 57519-2021</t>
        </is>
      </c>
      <c r="B67" s="1" t="n">
        <v>44483</v>
      </c>
      <c r="C67" s="1" t="n">
        <v>46203</v>
      </c>
      <c r="D67" t="inlineStr">
        <is>
          <t>SÖDERMANLANDS LÄN</t>
        </is>
      </c>
      <c r="E67" t="inlineStr">
        <is>
          <t>KATRINEHOLM</t>
        </is>
      </c>
      <c r="G67" t="n">
        <v>0.7</v>
      </c>
      <c r="H67" t="n">
        <v>1</v>
      </c>
      <c r="I67" t="n">
        <v>0</v>
      </c>
      <c r="J67" t="n">
        <v>0</v>
      </c>
      <c r="K67" t="n">
        <v>0</v>
      </c>
      <c r="L67" t="n">
        <v>0</v>
      </c>
      <c r="M67" t="n">
        <v>0</v>
      </c>
      <c r="N67" t="n">
        <v>0</v>
      </c>
      <c r="O67" t="n">
        <v>0</v>
      </c>
      <c r="P67" t="n">
        <v>0</v>
      </c>
      <c r="Q67" t="n">
        <v>1</v>
      </c>
      <c r="R67" s="2" t="inlineStr">
        <is>
          <t>Blåsippa</t>
        </is>
      </c>
      <c r="S67">
        <f>HYPERLINK("https://klasma.github.io/Logging_0483/artfynd/A 57519-2021 artfynd.xlsx", "A 57519-2021")</f>
        <v/>
      </c>
      <c r="T67">
        <f>HYPERLINK("https://klasma.github.io/Logging_0483/kartor/A 57519-2021 karta.png", "A 57519-2021")</f>
        <v/>
      </c>
      <c r="V67">
        <f>HYPERLINK("https://klasma.github.io/Logging_0483/klagomål/A 57519-2021 FSC-klagomål.docx", "A 57519-2021")</f>
        <v/>
      </c>
      <c r="W67">
        <f>HYPERLINK("https://klasma.github.io/Logging_0483/klagomålsmail/A 57519-2021 FSC-klagomål mail.docx", "A 57519-2021")</f>
        <v/>
      </c>
      <c r="X67">
        <f>HYPERLINK("https://klasma.github.io/Logging_0483/tillsyn/A 57519-2021 tillsynsbegäran.docx", "A 57519-2021")</f>
        <v/>
      </c>
      <c r="Y67">
        <f>HYPERLINK("https://klasma.github.io/Logging_0483/tillsynsmail/A 57519-2021 tillsynsbegäran mail.docx", "A 57519-2021")</f>
        <v/>
      </c>
    </row>
    <row r="68" ht="15" customHeight="1">
      <c r="A68" t="inlineStr">
        <is>
          <t>A 44486-2023</t>
        </is>
      </c>
      <c r="B68" s="1" t="n">
        <v>45183</v>
      </c>
      <c r="C68" s="1" t="n">
        <v>46203</v>
      </c>
      <c r="D68" t="inlineStr">
        <is>
          <t>SÖDERMANLANDS LÄN</t>
        </is>
      </c>
      <c r="E68" t="inlineStr">
        <is>
          <t>KATRINEHOLM</t>
        </is>
      </c>
      <c r="G68" t="n">
        <v>1.7</v>
      </c>
      <c r="H68" t="n">
        <v>0</v>
      </c>
      <c r="I68" t="n">
        <v>0</v>
      </c>
      <c r="J68" t="n">
        <v>1</v>
      </c>
      <c r="K68" t="n">
        <v>0</v>
      </c>
      <c r="L68" t="n">
        <v>0</v>
      </c>
      <c r="M68" t="n">
        <v>0</v>
      </c>
      <c r="N68" t="n">
        <v>0</v>
      </c>
      <c r="O68" t="n">
        <v>1</v>
      </c>
      <c r="P68" t="n">
        <v>0</v>
      </c>
      <c r="Q68" t="n">
        <v>1</v>
      </c>
      <c r="R68" s="2" t="inlineStr">
        <is>
          <t>Svedjenäva</t>
        </is>
      </c>
      <c r="S68">
        <f>HYPERLINK("https://klasma.github.io/Logging_0483/artfynd/A 44486-2023 artfynd.xlsx", "A 44486-2023")</f>
        <v/>
      </c>
      <c r="T68">
        <f>HYPERLINK("https://klasma.github.io/Logging_0483/kartor/A 44486-2023 karta.png", "A 44486-2023")</f>
        <v/>
      </c>
      <c r="V68">
        <f>HYPERLINK("https://klasma.github.io/Logging_0483/klagomål/A 44486-2023 FSC-klagomål.docx", "A 44486-2023")</f>
        <v/>
      </c>
      <c r="W68">
        <f>HYPERLINK("https://klasma.github.io/Logging_0483/klagomålsmail/A 44486-2023 FSC-klagomål mail.docx", "A 44486-2023")</f>
        <v/>
      </c>
      <c r="X68">
        <f>HYPERLINK("https://klasma.github.io/Logging_0483/tillsyn/A 44486-2023 tillsynsbegäran.docx", "A 44486-2023")</f>
        <v/>
      </c>
      <c r="Y68">
        <f>HYPERLINK("https://klasma.github.io/Logging_0483/tillsynsmail/A 44486-2023 tillsynsbegäran mail.docx", "A 44486-2023")</f>
        <v/>
      </c>
    </row>
    <row r="69" ht="15" customHeight="1">
      <c r="A69" t="inlineStr">
        <is>
          <t>A 6808-2023</t>
        </is>
      </c>
      <c r="B69" s="1" t="n">
        <v>44964</v>
      </c>
      <c r="C69" s="1" t="n">
        <v>46203</v>
      </c>
      <c r="D69" t="inlineStr">
        <is>
          <t>SÖDERMANLANDS LÄN</t>
        </is>
      </c>
      <c r="E69" t="inlineStr">
        <is>
          <t>KATRINEHOLM</t>
        </is>
      </c>
      <c r="G69" t="n">
        <v>1.5</v>
      </c>
      <c r="H69" t="n">
        <v>1</v>
      </c>
      <c r="I69" t="n">
        <v>0</v>
      </c>
      <c r="J69" t="n">
        <v>1</v>
      </c>
      <c r="K69" t="n">
        <v>0</v>
      </c>
      <c r="L69" t="n">
        <v>0</v>
      </c>
      <c r="M69" t="n">
        <v>0</v>
      </c>
      <c r="N69" t="n">
        <v>0</v>
      </c>
      <c r="O69" t="n">
        <v>1</v>
      </c>
      <c r="P69" t="n">
        <v>0</v>
      </c>
      <c r="Q69" t="n">
        <v>1</v>
      </c>
      <c r="R69" s="2" t="inlineStr">
        <is>
          <t>Grönsångare</t>
        </is>
      </c>
      <c r="S69">
        <f>HYPERLINK("https://klasma.github.io/Logging_0483/artfynd/A 6808-2023 artfynd.xlsx", "A 6808-2023")</f>
        <v/>
      </c>
      <c r="T69">
        <f>HYPERLINK("https://klasma.github.io/Logging_0483/kartor/A 6808-2023 karta.png", "A 6808-2023")</f>
        <v/>
      </c>
      <c r="V69">
        <f>HYPERLINK("https://klasma.github.io/Logging_0483/klagomål/A 6808-2023 FSC-klagomål.docx", "A 6808-2023")</f>
        <v/>
      </c>
      <c r="W69">
        <f>HYPERLINK("https://klasma.github.io/Logging_0483/klagomålsmail/A 6808-2023 FSC-klagomål mail.docx", "A 6808-2023")</f>
        <v/>
      </c>
      <c r="X69">
        <f>HYPERLINK("https://klasma.github.io/Logging_0483/tillsyn/A 6808-2023 tillsynsbegäran.docx", "A 6808-2023")</f>
        <v/>
      </c>
      <c r="Y69">
        <f>HYPERLINK("https://klasma.github.io/Logging_0483/tillsynsmail/A 6808-2023 tillsynsbegäran mail.docx", "A 6808-2023")</f>
        <v/>
      </c>
      <c r="Z69">
        <f>HYPERLINK("https://klasma.github.io/Logging_0483/fåglar/A 6808-2023 prioriterade fågelarter.docx", "A 6808-2023")</f>
        <v/>
      </c>
    </row>
    <row r="70" ht="15" customHeight="1">
      <c r="A70" t="inlineStr">
        <is>
          <t>A 23077-2026</t>
        </is>
      </c>
      <c r="B70" s="1" t="n">
        <v>46161</v>
      </c>
      <c r="C70" s="1" t="n">
        <v>46203</v>
      </c>
      <c r="D70" t="inlineStr">
        <is>
          <t>SÖDERMANLANDS LÄN</t>
        </is>
      </c>
      <c r="E70" t="inlineStr">
        <is>
          <t>KATRINEHOLM</t>
        </is>
      </c>
      <c r="F70" t="inlineStr">
        <is>
          <t>Kommuner</t>
        </is>
      </c>
      <c r="G70" t="n">
        <v>1.3</v>
      </c>
      <c r="H70" t="n">
        <v>0</v>
      </c>
      <c r="I70" t="n">
        <v>0</v>
      </c>
      <c r="J70" t="n">
        <v>1</v>
      </c>
      <c r="K70" t="n">
        <v>0</v>
      </c>
      <c r="L70" t="n">
        <v>0</v>
      </c>
      <c r="M70" t="n">
        <v>0</v>
      </c>
      <c r="N70" t="n">
        <v>0</v>
      </c>
      <c r="O70" t="n">
        <v>1</v>
      </c>
      <c r="P70" t="n">
        <v>0</v>
      </c>
      <c r="Q70" t="n">
        <v>1</v>
      </c>
      <c r="R70" s="2" t="inlineStr">
        <is>
          <t>Svart skogssnigel</t>
        </is>
      </c>
      <c r="S70">
        <f>HYPERLINK("https://klasma.github.io/Logging_0483/artfynd/A 23077-2026 artfynd.xlsx", "A 23077-2026")</f>
        <v/>
      </c>
      <c r="T70">
        <f>HYPERLINK("https://klasma.github.io/Logging_0483/kartor/A 23077-2026 karta.png", "A 23077-2026")</f>
        <v/>
      </c>
      <c r="V70">
        <f>HYPERLINK("https://klasma.github.io/Logging_0483/klagomål/A 23077-2026 FSC-klagomål.docx", "A 23077-2026")</f>
        <v/>
      </c>
      <c r="W70">
        <f>HYPERLINK("https://klasma.github.io/Logging_0483/klagomålsmail/A 23077-2026 FSC-klagomål mail.docx", "A 23077-2026")</f>
        <v/>
      </c>
      <c r="X70">
        <f>HYPERLINK("https://klasma.github.io/Logging_0483/tillsyn/A 23077-2026 tillsynsbegäran.docx", "A 23077-2026")</f>
        <v/>
      </c>
      <c r="Y70">
        <f>HYPERLINK("https://klasma.github.io/Logging_0483/tillsynsmail/A 23077-2026 tillsynsbegäran mail.docx", "A 23077-2026")</f>
        <v/>
      </c>
    </row>
    <row r="71" ht="15" customHeight="1">
      <c r="A71" t="inlineStr">
        <is>
          <t>A 26491-2026</t>
        </is>
      </c>
      <c r="B71" s="1" t="n">
        <v>46183</v>
      </c>
      <c r="C71" s="1" t="n">
        <v>46203</v>
      </c>
      <c r="D71" t="inlineStr">
        <is>
          <t>SÖDERMANLANDS LÄN</t>
        </is>
      </c>
      <c r="E71" t="inlineStr">
        <is>
          <t>KATRINEHOLM</t>
        </is>
      </c>
      <c r="G71" t="n">
        <v>6.5</v>
      </c>
      <c r="H71" t="n">
        <v>0</v>
      </c>
      <c r="I71" t="n">
        <v>0</v>
      </c>
      <c r="J71" t="n">
        <v>1</v>
      </c>
      <c r="K71" t="n">
        <v>0</v>
      </c>
      <c r="L71" t="n">
        <v>0</v>
      </c>
      <c r="M71" t="n">
        <v>0</v>
      </c>
      <c r="N71" t="n">
        <v>0</v>
      </c>
      <c r="O71" t="n">
        <v>1</v>
      </c>
      <c r="P71" t="n">
        <v>0</v>
      </c>
      <c r="Q71" t="n">
        <v>1</v>
      </c>
      <c r="R71" s="2" t="inlineStr">
        <is>
          <t>Jungfrulinspraktmal</t>
        </is>
      </c>
      <c r="S71">
        <f>HYPERLINK("https://klasma.github.io/Logging_0483/artfynd/A 26491-2026 artfynd.xlsx", "A 26491-2026")</f>
        <v/>
      </c>
      <c r="T71">
        <f>HYPERLINK("https://klasma.github.io/Logging_0483/kartor/A 26491-2026 karta.png", "A 26491-2026")</f>
        <v/>
      </c>
      <c r="V71">
        <f>HYPERLINK("https://klasma.github.io/Logging_0483/klagomål/A 26491-2026 FSC-klagomål.docx", "A 26491-2026")</f>
        <v/>
      </c>
      <c r="W71">
        <f>HYPERLINK("https://klasma.github.io/Logging_0483/klagomålsmail/A 26491-2026 FSC-klagomål mail.docx", "A 26491-2026")</f>
        <v/>
      </c>
      <c r="X71">
        <f>HYPERLINK("https://klasma.github.io/Logging_0483/tillsyn/A 26491-2026 tillsynsbegäran.docx", "A 26491-2026")</f>
        <v/>
      </c>
      <c r="Y71">
        <f>HYPERLINK("https://klasma.github.io/Logging_0483/tillsynsmail/A 26491-2026 tillsynsbegäran mail.docx", "A 26491-2026")</f>
        <v/>
      </c>
    </row>
    <row r="72" ht="15" customHeight="1">
      <c r="A72" t="inlineStr">
        <is>
          <t>A 33801-2023</t>
        </is>
      </c>
      <c r="B72" s="1" t="n">
        <v>45133</v>
      </c>
      <c r="C72" s="1" t="n">
        <v>46203</v>
      </c>
      <c r="D72" t="inlineStr">
        <is>
          <t>SÖDERMANLANDS LÄN</t>
        </is>
      </c>
      <c r="E72" t="inlineStr">
        <is>
          <t>KATRINEHOLM</t>
        </is>
      </c>
      <c r="G72" t="n">
        <v>2.1</v>
      </c>
      <c r="H72" t="n">
        <v>1</v>
      </c>
      <c r="I72" t="n">
        <v>0</v>
      </c>
      <c r="J72" t="n">
        <v>0</v>
      </c>
      <c r="K72" t="n">
        <v>0</v>
      </c>
      <c r="L72" t="n">
        <v>0</v>
      </c>
      <c r="M72" t="n">
        <v>0</v>
      </c>
      <c r="N72" t="n">
        <v>0</v>
      </c>
      <c r="O72" t="n">
        <v>0</v>
      </c>
      <c r="P72" t="n">
        <v>0</v>
      </c>
      <c r="Q72" t="n">
        <v>1</v>
      </c>
      <c r="R72" s="2" t="inlineStr">
        <is>
          <t>Blåsippa</t>
        </is>
      </c>
      <c r="S72">
        <f>HYPERLINK("https://klasma.github.io/Logging_0483/artfynd/A 33801-2023 artfynd.xlsx", "A 33801-2023")</f>
        <v/>
      </c>
      <c r="T72">
        <f>HYPERLINK("https://klasma.github.io/Logging_0483/kartor/A 33801-2023 karta.png", "A 33801-2023")</f>
        <v/>
      </c>
      <c r="V72">
        <f>HYPERLINK("https://klasma.github.io/Logging_0483/klagomål/A 33801-2023 FSC-klagomål.docx", "A 33801-2023")</f>
        <v/>
      </c>
      <c r="W72">
        <f>HYPERLINK("https://klasma.github.io/Logging_0483/klagomålsmail/A 33801-2023 FSC-klagomål mail.docx", "A 33801-2023")</f>
        <v/>
      </c>
      <c r="X72">
        <f>HYPERLINK("https://klasma.github.io/Logging_0483/tillsyn/A 33801-2023 tillsynsbegäran.docx", "A 33801-2023")</f>
        <v/>
      </c>
      <c r="Y72">
        <f>HYPERLINK("https://klasma.github.io/Logging_0483/tillsynsmail/A 33801-2023 tillsynsbegäran mail.docx", "A 33801-2023")</f>
        <v/>
      </c>
    </row>
    <row r="73" ht="15" customHeight="1">
      <c r="A73" t="inlineStr">
        <is>
          <t>A 36220-2022</t>
        </is>
      </c>
      <c r="B73" s="1" t="n">
        <v>44803</v>
      </c>
      <c r="C73" s="1" t="n">
        <v>46203</v>
      </c>
      <c r="D73" t="inlineStr">
        <is>
          <t>SÖDERMANLANDS LÄN</t>
        </is>
      </c>
      <c r="E73" t="inlineStr">
        <is>
          <t>KATRINEHOLM</t>
        </is>
      </c>
      <c r="G73" t="n">
        <v>3.1</v>
      </c>
      <c r="H73" t="n">
        <v>0</v>
      </c>
      <c r="I73" t="n">
        <v>1</v>
      </c>
      <c r="J73" t="n">
        <v>0</v>
      </c>
      <c r="K73" t="n">
        <v>0</v>
      </c>
      <c r="L73" t="n">
        <v>0</v>
      </c>
      <c r="M73" t="n">
        <v>0</v>
      </c>
      <c r="N73" t="n">
        <v>0</v>
      </c>
      <c r="O73" t="n">
        <v>0</v>
      </c>
      <c r="P73" t="n">
        <v>0</v>
      </c>
      <c r="Q73" t="n">
        <v>1</v>
      </c>
      <c r="R73" s="2" t="inlineStr">
        <is>
          <t>Granbräken</t>
        </is>
      </c>
      <c r="S73">
        <f>HYPERLINK("https://klasma.github.io/Logging_0483/artfynd/A 36220-2022 artfynd.xlsx", "A 36220-2022")</f>
        <v/>
      </c>
      <c r="T73">
        <f>HYPERLINK("https://klasma.github.io/Logging_0483/kartor/A 36220-2022 karta.png", "A 36220-2022")</f>
        <v/>
      </c>
      <c r="V73">
        <f>HYPERLINK("https://klasma.github.io/Logging_0483/klagomål/A 36220-2022 FSC-klagomål.docx", "A 36220-2022")</f>
        <v/>
      </c>
      <c r="W73">
        <f>HYPERLINK("https://klasma.github.io/Logging_0483/klagomålsmail/A 36220-2022 FSC-klagomål mail.docx", "A 36220-2022")</f>
        <v/>
      </c>
      <c r="X73">
        <f>HYPERLINK("https://klasma.github.io/Logging_0483/tillsyn/A 36220-2022 tillsynsbegäran.docx", "A 36220-2022")</f>
        <v/>
      </c>
      <c r="Y73">
        <f>HYPERLINK("https://klasma.github.io/Logging_0483/tillsynsmail/A 36220-2022 tillsynsbegäran mail.docx", "A 36220-2022")</f>
        <v/>
      </c>
    </row>
    <row r="74" ht="15" customHeight="1">
      <c r="A74" t="inlineStr">
        <is>
          <t>A 53750-2022</t>
        </is>
      </c>
      <c r="B74" s="1" t="n">
        <v>44875</v>
      </c>
      <c r="C74" s="1" t="n">
        <v>46203</v>
      </c>
      <c r="D74" t="inlineStr">
        <is>
          <t>SÖDERMANLANDS LÄN</t>
        </is>
      </c>
      <c r="E74" t="inlineStr">
        <is>
          <t>KATRINEHOLM</t>
        </is>
      </c>
      <c r="F74" t="inlineStr">
        <is>
          <t>Övriga Aktiebolag</t>
        </is>
      </c>
      <c r="G74" t="n">
        <v>12.6</v>
      </c>
      <c r="H74" t="n">
        <v>1</v>
      </c>
      <c r="I74" t="n">
        <v>0</v>
      </c>
      <c r="J74" t="n">
        <v>0</v>
      </c>
      <c r="K74" t="n">
        <v>0</v>
      </c>
      <c r="L74" t="n">
        <v>0</v>
      </c>
      <c r="M74" t="n">
        <v>0</v>
      </c>
      <c r="N74" t="n">
        <v>0</v>
      </c>
      <c r="O74" t="n">
        <v>0</v>
      </c>
      <c r="P74" t="n">
        <v>0</v>
      </c>
      <c r="Q74" t="n">
        <v>1</v>
      </c>
      <c r="R74" s="2" t="inlineStr">
        <is>
          <t>Kungsfågel</t>
        </is>
      </c>
      <c r="S74">
        <f>HYPERLINK("https://klasma.github.io/Logging_0483/artfynd/A 53750-2022 artfynd.xlsx", "A 53750-2022")</f>
        <v/>
      </c>
      <c r="T74">
        <f>HYPERLINK("https://klasma.github.io/Logging_0483/kartor/A 53750-2022 karta.png", "A 53750-2022")</f>
        <v/>
      </c>
      <c r="V74">
        <f>HYPERLINK("https://klasma.github.io/Logging_0483/klagomål/A 53750-2022 FSC-klagomål.docx", "A 53750-2022")</f>
        <v/>
      </c>
      <c r="W74">
        <f>HYPERLINK("https://klasma.github.io/Logging_0483/klagomålsmail/A 53750-2022 FSC-klagomål mail.docx", "A 53750-2022")</f>
        <v/>
      </c>
      <c r="X74">
        <f>HYPERLINK("https://klasma.github.io/Logging_0483/tillsyn/A 53750-2022 tillsynsbegäran.docx", "A 53750-2022")</f>
        <v/>
      </c>
      <c r="Y74">
        <f>HYPERLINK("https://klasma.github.io/Logging_0483/tillsynsmail/A 53750-2022 tillsynsbegäran mail.docx", "A 53750-2022")</f>
        <v/>
      </c>
    </row>
    <row r="75" ht="15" customHeight="1">
      <c r="A75" t="inlineStr">
        <is>
          <t>A 13113-2023</t>
        </is>
      </c>
      <c r="B75" s="1" t="n">
        <v>45002</v>
      </c>
      <c r="C75" s="1" t="n">
        <v>46203</v>
      </c>
      <c r="D75" t="inlineStr">
        <is>
          <t>SÖDERMANLANDS LÄN</t>
        </is>
      </c>
      <c r="E75" t="inlineStr">
        <is>
          <t>KATRINEHOLM</t>
        </is>
      </c>
      <c r="F75" t="inlineStr">
        <is>
          <t>Allmännings- och besparingsskogar</t>
        </is>
      </c>
      <c r="G75" t="n">
        <v>3.6</v>
      </c>
      <c r="H75" t="n">
        <v>0</v>
      </c>
      <c r="I75" t="n">
        <v>0</v>
      </c>
      <c r="J75" t="n">
        <v>0</v>
      </c>
      <c r="K75" t="n">
        <v>1</v>
      </c>
      <c r="L75" t="n">
        <v>0</v>
      </c>
      <c r="M75" t="n">
        <v>0</v>
      </c>
      <c r="N75" t="n">
        <v>0</v>
      </c>
      <c r="O75" t="n">
        <v>1</v>
      </c>
      <c r="P75" t="n">
        <v>1</v>
      </c>
      <c r="Q75" t="n">
        <v>1</v>
      </c>
      <c r="R75" s="2" t="inlineStr">
        <is>
          <t>Igelkott</t>
        </is>
      </c>
      <c r="S75">
        <f>HYPERLINK("https://klasma.github.io/Logging_0483/artfynd/A 13113-2023 artfynd.xlsx", "A 13113-2023")</f>
        <v/>
      </c>
      <c r="T75">
        <f>HYPERLINK("https://klasma.github.io/Logging_0483/kartor/A 13113-2023 karta.png", "A 13113-2023")</f>
        <v/>
      </c>
      <c r="V75">
        <f>HYPERLINK("https://klasma.github.io/Logging_0483/klagomål/A 13113-2023 FSC-klagomål.docx", "A 13113-2023")</f>
        <v/>
      </c>
      <c r="W75">
        <f>HYPERLINK("https://klasma.github.io/Logging_0483/klagomålsmail/A 13113-2023 FSC-klagomål mail.docx", "A 13113-2023")</f>
        <v/>
      </c>
      <c r="X75">
        <f>HYPERLINK("https://klasma.github.io/Logging_0483/tillsyn/A 13113-2023 tillsynsbegäran.docx", "A 13113-2023")</f>
        <v/>
      </c>
      <c r="Y75">
        <f>HYPERLINK("https://klasma.github.io/Logging_0483/tillsynsmail/A 13113-2023 tillsynsbegäran mail.docx", "A 13113-2023")</f>
        <v/>
      </c>
    </row>
    <row r="76" ht="15" customHeight="1">
      <c r="A76" t="inlineStr">
        <is>
          <t>A 23341-2023</t>
        </is>
      </c>
      <c r="B76" s="1" t="n">
        <v>45076</v>
      </c>
      <c r="C76" s="1" t="n">
        <v>46203</v>
      </c>
      <c r="D76" t="inlineStr">
        <is>
          <t>SÖDERMANLANDS LÄN</t>
        </is>
      </c>
      <c r="E76" t="inlineStr">
        <is>
          <t>KATRINEHOLM</t>
        </is>
      </c>
      <c r="G76" t="n">
        <v>3.5</v>
      </c>
      <c r="H76" t="n">
        <v>0</v>
      </c>
      <c r="I76" t="n">
        <v>1</v>
      </c>
      <c r="J76" t="n">
        <v>0</v>
      </c>
      <c r="K76" t="n">
        <v>0</v>
      </c>
      <c r="L76" t="n">
        <v>0</v>
      </c>
      <c r="M76" t="n">
        <v>0</v>
      </c>
      <c r="N76" t="n">
        <v>0</v>
      </c>
      <c r="O76" t="n">
        <v>0</v>
      </c>
      <c r="P76" t="n">
        <v>0</v>
      </c>
      <c r="Q76" t="n">
        <v>1</v>
      </c>
      <c r="R76" s="2" t="inlineStr">
        <is>
          <t>Grönpyrola</t>
        </is>
      </c>
      <c r="S76">
        <f>HYPERLINK("https://klasma.github.io/Logging_0483/artfynd/A 23341-2023 artfynd.xlsx", "A 23341-2023")</f>
        <v/>
      </c>
      <c r="T76">
        <f>HYPERLINK("https://klasma.github.io/Logging_0483/kartor/A 23341-2023 karta.png", "A 23341-2023")</f>
        <v/>
      </c>
      <c r="V76">
        <f>HYPERLINK("https://klasma.github.io/Logging_0483/klagomål/A 23341-2023 FSC-klagomål.docx", "A 23341-2023")</f>
        <v/>
      </c>
      <c r="W76">
        <f>HYPERLINK("https://klasma.github.io/Logging_0483/klagomålsmail/A 23341-2023 FSC-klagomål mail.docx", "A 23341-2023")</f>
        <v/>
      </c>
      <c r="X76">
        <f>HYPERLINK("https://klasma.github.io/Logging_0483/tillsyn/A 23341-2023 tillsynsbegäran.docx", "A 23341-2023")</f>
        <v/>
      </c>
      <c r="Y76">
        <f>HYPERLINK("https://klasma.github.io/Logging_0483/tillsynsmail/A 23341-2023 tillsynsbegäran mail.docx", "A 23341-2023")</f>
        <v/>
      </c>
    </row>
    <row r="77" ht="15" customHeight="1">
      <c r="A77" t="inlineStr">
        <is>
          <t>A 52658-2023</t>
        </is>
      </c>
      <c r="B77" s="1" t="n">
        <v>45225</v>
      </c>
      <c r="C77" s="1" t="n">
        <v>46203</v>
      </c>
      <c r="D77" t="inlineStr">
        <is>
          <t>SÖDERMANLANDS LÄN</t>
        </is>
      </c>
      <c r="E77" t="inlineStr">
        <is>
          <t>KATRINEHOLM</t>
        </is>
      </c>
      <c r="G77" t="n">
        <v>1.2</v>
      </c>
      <c r="H77" t="n">
        <v>1</v>
      </c>
      <c r="I77" t="n">
        <v>0</v>
      </c>
      <c r="J77" t="n">
        <v>0</v>
      </c>
      <c r="K77" t="n">
        <v>0</v>
      </c>
      <c r="L77" t="n">
        <v>0</v>
      </c>
      <c r="M77" t="n">
        <v>0</v>
      </c>
      <c r="N77" t="n">
        <v>0</v>
      </c>
      <c r="O77" t="n">
        <v>0</v>
      </c>
      <c r="P77" t="n">
        <v>0</v>
      </c>
      <c r="Q77" t="n">
        <v>1</v>
      </c>
      <c r="R77" s="2" t="inlineStr">
        <is>
          <t>Kungsfågel</t>
        </is>
      </c>
      <c r="S77">
        <f>HYPERLINK("https://klasma.github.io/Logging_0483/artfynd/A 52658-2023 artfynd.xlsx", "A 52658-2023")</f>
        <v/>
      </c>
      <c r="T77">
        <f>HYPERLINK("https://klasma.github.io/Logging_0483/kartor/A 52658-2023 karta.png", "A 52658-2023")</f>
        <v/>
      </c>
      <c r="V77">
        <f>HYPERLINK("https://klasma.github.io/Logging_0483/klagomål/A 52658-2023 FSC-klagomål.docx", "A 52658-2023")</f>
        <v/>
      </c>
      <c r="W77">
        <f>HYPERLINK("https://klasma.github.io/Logging_0483/klagomålsmail/A 52658-2023 FSC-klagomål mail.docx", "A 52658-2023")</f>
        <v/>
      </c>
      <c r="X77">
        <f>HYPERLINK("https://klasma.github.io/Logging_0483/tillsyn/A 52658-2023 tillsynsbegäran.docx", "A 52658-2023")</f>
        <v/>
      </c>
      <c r="Y77">
        <f>HYPERLINK("https://klasma.github.io/Logging_0483/tillsynsmail/A 52658-2023 tillsynsbegäran mail.docx", "A 52658-2023")</f>
        <v/>
      </c>
    </row>
    <row r="78" ht="15" customHeight="1">
      <c r="A78" t="inlineStr">
        <is>
          <t>A 53990-2023</t>
        </is>
      </c>
      <c r="B78" s="1" t="n">
        <v>45231</v>
      </c>
      <c r="C78" s="1" t="n">
        <v>46203</v>
      </c>
      <c r="D78" t="inlineStr">
        <is>
          <t>SÖDERMANLANDS LÄN</t>
        </is>
      </c>
      <c r="E78" t="inlineStr">
        <is>
          <t>KATRINEHOLM</t>
        </is>
      </c>
      <c r="G78" t="n">
        <v>6.1</v>
      </c>
      <c r="H78" t="n">
        <v>0</v>
      </c>
      <c r="I78" t="n">
        <v>0</v>
      </c>
      <c r="J78" t="n">
        <v>1</v>
      </c>
      <c r="K78" t="n">
        <v>0</v>
      </c>
      <c r="L78" t="n">
        <v>0</v>
      </c>
      <c r="M78" t="n">
        <v>0</v>
      </c>
      <c r="N78" t="n">
        <v>0</v>
      </c>
      <c r="O78" t="n">
        <v>1</v>
      </c>
      <c r="P78" t="n">
        <v>0</v>
      </c>
      <c r="Q78" t="n">
        <v>1</v>
      </c>
      <c r="R78" s="2" t="inlineStr">
        <is>
          <t>Motaggsvamp</t>
        </is>
      </c>
      <c r="S78">
        <f>HYPERLINK("https://klasma.github.io/Logging_0483/artfynd/A 53990-2023 artfynd.xlsx", "A 53990-2023")</f>
        <v/>
      </c>
      <c r="T78">
        <f>HYPERLINK("https://klasma.github.io/Logging_0483/kartor/A 53990-2023 karta.png", "A 53990-2023")</f>
        <v/>
      </c>
      <c r="V78">
        <f>HYPERLINK("https://klasma.github.io/Logging_0483/klagomål/A 53990-2023 FSC-klagomål.docx", "A 53990-2023")</f>
        <v/>
      </c>
      <c r="W78">
        <f>HYPERLINK("https://klasma.github.io/Logging_0483/klagomålsmail/A 53990-2023 FSC-klagomål mail.docx", "A 53990-2023")</f>
        <v/>
      </c>
      <c r="X78">
        <f>HYPERLINK("https://klasma.github.io/Logging_0483/tillsyn/A 53990-2023 tillsynsbegäran.docx", "A 53990-2023")</f>
        <v/>
      </c>
      <c r="Y78">
        <f>HYPERLINK("https://klasma.github.io/Logging_0483/tillsynsmail/A 53990-2023 tillsynsbegäran mail.docx", "A 53990-2023")</f>
        <v/>
      </c>
    </row>
    <row r="79" ht="15" customHeight="1">
      <c r="A79" t="inlineStr">
        <is>
          <t>A 11875-2023</t>
        </is>
      </c>
      <c r="B79" s="1" t="n">
        <v>44995</v>
      </c>
      <c r="C79" s="1" t="n">
        <v>46203</v>
      </c>
      <c r="D79" t="inlineStr">
        <is>
          <t>SÖDERMANLANDS LÄN</t>
        </is>
      </c>
      <c r="E79" t="inlineStr">
        <is>
          <t>KATRINEHOLM</t>
        </is>
      </c>
      <c r="F79" t="inlineStr">
        <is>
          <t>Kommuner</t>
        </is>
      </c>
      <c r="G79" t="n">
        <v>1.1</v>
      </c>
      <c r="H79" t="n">
        <v>0</v>
      </c>
      <c r="I79" t="n">
        <v>0</v>
      </c>
      <c r="J79" t="n">
        <v>1</v>
      </c>
      <c r="K79" t="n">
        <v>0</v>
      </c>
      <c r="L79" t="n">
        <v>0</v>
      </c>
      <c r="M79" t="n">
        <v>0</v>
      </c>
      <c r="N79" t="n">
        <v>0</v>
      </c>
      <c r="O79" t="n">
        <v>1</v>
      </c>
      <c r="P79" t="n">
        <v>0</v>
      </c>
      <c r="Q79" t="n">
        <v>1</v>
      </c>
      <c r="R79" s="2" t="inlineStr">
        <is>
          <t>Slåtterfibbla</t>
        </is>
      </c>
      <c r="S79">
        <f>HYPERLINK("https://klasma.github.io/Logging_0483/artfynd/A 11875-2023 artfynd.xlsx", "A 11875-2023")</f>
        <v/>
      </c>
      <c r="T79">
        <f>HYPERLINK("https://klasma.github.io/Logging_0483/kartor/A 11875-2023 karta.png", "A 11875-2023")</f>
        <v/>
      </c>
      <c r="V79">
        <f>HYPERLINK("https://klasma.github.io/Logging_0483/klagomål/A 11875-2023 FSC-klagomål.docx", "A 11875-2023")</f>
        <v/>
      </c>
      <c r="W79">
        <f>HYPERLINK("https://klasma.github.io/Logging_0483/klagomålsmail/A 11875-2023 FSC-klagomål mail.docx", "A 11875-2023")</f>
        <v/>
      </c>
      <c r="X79">
        <f>HYPERLINK("https://klasma.github.io/Logging_0483/tillsyn/A 11875-2023 tillsynsbegäran.docx", "A 11875-2023")</f>
        <v/>
      </c>
      <c r="Y79">
        <f>HYPERLINK("https://klasma.github.io/Logging_0483/tillsynsmail/A 11875-2023 tillsynsbegäran mail.docx", "A 11875-2023")</f>
        <v/>
      </c>
    </row>
    <row r="80" ht="15" customHeight="1">
      <c r="A80" t="inlineStr">
        <is>
          <t>A 6076-2022</t>
        </is>
      </c>
      <c r="B80" s="1" t="n">
        <v>44599</v>
      </c>
      <c r="C80" s="1" t="n">
        <v>46203</v>
      </c>
      <c r="D80" t="inlineStr">
        <is>
          <t>SÖDERMANLANDS LÄN</t>
        </is>
      </c>
      <c r="E80" t="inlineStr">
        <is>
          <t>KATRINEHOLM</t>
        </is>
      </c>
      <c r="G80" t="n">
        <v>3.3</v>
      </c>
      <c r="H80" t="n">
        <v>0</v>
      </c>
      <c r="I80" t="n">
        <v>1</v>
      </c>
      <c r="J80" t="n">
        <v>0</v>
      </c>
      <c r="K80" t="n">
        <v>0</v>
      </c>
      <c r="L80" t="n">
        <v>0</v>
      </c>
      <c r="M80" t="n">
        <v>0</v>
      </c>
      <c r="N80" t="n">
        <v>0</v>
      </c>
      <c r="O80" t="n">
        <v>0</v>
      </c>
      <c r="P80" t="n">
        <v>0</v>
      </c>
      <c r="Q80" t="n">
        <v>1</v>
      </c>
      <c r="R80" s="2" t="inlineStr">
        <is>
          <t>Svart trolldruva</t>
        </is>
      </c>
      <c r="S80">
        <f>HYPERLINK("https://klasma.github.io/Logging_0483/artfynd/A 6076-2022 artfynd.xlsx", "A 6076-2022")</f>
        <v/>
      </c>
      <c r="T80">
        <f>HYPERLINK("https://klasma.github.io/Logging_0483/kartor/A 6076-2022 karta.png", "A 6076-2022")</f>
        <v/>
      </c>
      <c r="V80">
        <f>HYPERLINK("https://klasma.github.io/Logging_0483/klagomål/A 6076-2022 FSC-klagomål.docx", "A 6076-2022")</f>
        <v/>
      </c>
      <c r="W80">
        <f>HYPERLINK("https://klasma.github.io/Logging_0483/klagomålsmail/A 6076-2022 FSC-klagomål mail.docx", "A 6076-2022")</f>
        <v/>
      </c>
      <c r="X80">
        <f>HYPERLINK("https://klasma.github.io/Logging_0483/tillsyn/A 6076-2022 tillsynsbegäran.docx", "A 6076-2022")</f>
        <v/>
      </c>
      <c r="Y80">
        <f>HYPERLINK("https://klasma.github.io/Logging_0483/tillsynsmail/A 6076-2022 tillsynsbegäran mail.docx", "A 6076-2022")</f>
        <v/>
      </c>
    </row>
    <row r="81" ht="15" customHeight="1">
      <c r="A81" t="inlineStr">
        <is>
          <t>A 48253-2022</t>
        </is>
      </c>
      <c r="B81" s="1" t="n">
        <v>44858</v>
      </c>
      <c r="C81" s="1" t="n">
        <v>46203</v>
      </c>
      <c r="D81" t="inlineStr">
        <is>
          <t>SÖDERMANLANDS LÄN</t>
        </is>
      </c>
      <c r="E81" t="inlineStr">
        <is>
          <t>KATRINEHOLM</t>
        </is>
      </c>
      <c r="G81" t="n">
        <v>4.7</v>
      </c>
      <c r="H81" t="n">
        <v>1</v>
      </c>
      <c r="I81" t="n">
        <v>0</v>
      </c>
      <c r="J81" t="n">
        <v>0</v>
      </c>
      <c r="K81" t="n">
        <v>0</v>
      </c>
      <c r="L81" t="n">
        <v>0</v>
      </c>
      <c r="M81" t="n">
        <v>0</v>
      </c>
      <c r="N81" t="n">
        <v>0</v>
      </c>
      <c r="O81" t="n">
        <v>0</v>
      </c>
      <c r="P81" t="n">
        <v>0</v>
      </c>
      <c r="Q81" t="n">
        <v>1</v>
      </c>
      <c r="R81" s="2" t="inlineStr">
        <is>
          <t>Spillkråka</t>
        </is>
      </c>
      <c r="S81">
        <f>HYPERLINK("https://klasma.github.io/Logging_0483/artfynd/A 48253-2022 artfynd.xlsx", "A 48253-2022")</f>
        <v/>
      </c>
      <c r="T81">
        <f>HYPERLINK("https://klasma.github.io/Logging_0483/kartor/A 48253-2022 karta.png", "A 48253-2022")</f>
        <v/>
      </c>
      <c r="V81">
        <f>HYPERLINK("https://klasma.github.io/Logging_0483/klagomål/A 48253-2022 FSC-klagomål.docx", "A 48253-2022")</f>
        <v/>
      </c>
      <c r="W81">
        <f>HYPERLINK("https://klasma.github.io/Logging_0483/klagomålsmail/A 48253-2022 FSC-klagomål mail.docx", "A 48253-2022")</f>
        <v/>
      </c>
      <c r="X81">
        <f>HYPERLINK("https://klasma.github.io/Logging_0483/tillsyn/A 48253-2022 tillsynsbegäran.docx", "A 48253-2022")</f>
        <v/>
      </c>
      <c r="Y81">
        <f>HYPERLINK("https://klasma.github.io/Logging_0483/tillsynsmail/A 48253-2022 tillsynsbegäran mail.docx", "A 48253-2022")</f>
        <v/>
      </c>
      <c r="Z81">
        <f>HYPERLINK("https://klasma.github.io/Logging_0483/fåglar/A 48253-2022 prioriterade fågelarter.docx", "A 48253-2022")</f>
        <v/>
      </c>
    </row>
    <row r="82" ht="15" customHeight="1">
      <c r="A82" t="inlineStr">
        <is>
          <t>A 42745-2022</t>
        </is>
      </c>
      <c r="B82" s="1" t="n">
        <v>44831</v>
      </c>
      <c r="C82" s="1" t="n">
        <v>46203</v>
      </c>
      <c r="D82" t="inlineStr">
        <is>
          <t>SÖDERMANLANDS LÄN</t>
        </is>
      </c>
      <c r="E82" t="inlineStr">
        <is>
          <t>KATRINEHOLM</t>
        </is>
      </c>
      <c r="G82" t="n">
        <v>4.6</v>
      </c>
      <c r="H82" t="n">
        <v>0</v>
      </c>
      <c r="I82" t="n">
        <v>0</v>
      </c>
      <c r="J82" t="n">
        <v>1</v>
      </c>
      <c r="K82" t="n">
        <v>0</v>
      </c>
      <c r="L82" t="n">
        <v>0</v>
      </c>
      <c r="M82" t="n">
        <v>0</v>
      </c>
      <c r="N82" t="n">
        <v>0</v>
      </c>
      <c r="O82" t="n">
        <v>1</v>
      </c>
      <c r="P82" t="n">
        <v>0</v>
      </c>
      <c r="Q82" t="n">
        <v>1</v>
      </c>
      <c r="R82" s="2" t="inlineStr">
        <is>
          <t>Svedjenäva</t>
        </is>
      </c>
      <c r="S82">
        <f>HYPERLINK("https://klasma.github.io/Logging_0483/artfynd/A 42745-2022 artfynd.xlsx", "A 42745-2022")</f>
        <v/>
      </c>
      <c r="T82">
        <f>HYPERLINK("https://klasma.github.io/Logging_0483/kartor/A 42745-2022 karta.png", "A 42745-2022")</f>
        <v/>
      </c>
      <c r="V82">
        <f>HYPERLINK("https://klasma.github.io/Logging_0483/klagomål/A 42745-2022 FSC-klagomål.docx", "A 42745-2022")</f>
        <v/>
      </c>
      <c r="W82">
        <f>HYPERLINK("https://klasma.github.io/Logging_0483/klagomålsmail/A 42745-2022 FSC-klagomål mail.docx", "A 42745-2022")</f>
        <v/>
      </c>
      <c r="X82">
        <f>HYPERLINK("https://klasma.github.io/Logging_0483/tillsyn/A 42745-2022 tillsynsbegäran.docx", "A 42745-2022")</f>
        <v/>
      </c>
      <c r="Y82">
        <f>HYPERLINK("https://klasma.github.io/Logging_0483/tillsynsmail/A 42745-2022 tillsynsbegäran mail.docx", "A 42745-2022")</f>
        <v/>
      </c>
    </row>
    <row r="83" ht="15" customHeight="1">
      <c r="A83" t="inlineStr">
        <is>
          <t>A 12238-2023</t>
        </is>
      </c>
      <c r="B83" s="1" t="n">
        <v>44995</v>
      </c>
      <c r="C83" s="1" t="n">
        <v>46203</v>
      </c>
      <c r="D83" t="inlineStr">
        <is>
          <t>SÖDERMANLANDS LÄN</t>
        </is>
      </c>
      <c r="E83" t="inlineStr">
        <is>
          <t>KATRINEHOLM</t>
        </is>
      </c>
      <c r="F83" t="inlineStr">
        <is>
          <t>Övriga Aktiebolag</t>
        </is>
      </c>
      <c r="G83" t="n">
        <v>58</v>
      </c>
      <c r="H83" t="n">
        <v>0</v>
      </c>
      <c r="I83" t="n">
        <v>0</v>
      </c>
      <c r="J83" t="n">
        <v>1</v>
      </c>
      <c r="K83" t="n">
        <v>0</v>
      </c>
      <c r="L83" t="n">
        <v>0</v>
      </c>
      <c r="M83" t="n">
        <v>0</v>
      </c>
      <c r="N83" t="n">
        <v>0</v>
      </c>
      <c r="O83" t="n">
        <v>1</v>
      </c>
      <c r="P83" t="n">
        <v>0</v>
      </c>
      <c r="Q83" t="n">
        <v>1</v>
      </c>
      <c r="R83" s="2" t="inlineStr">
        <is>
          <t>Skogsklocka</t>
        </is>
      </c>
      <c r="S83">
        <f>HYPERLINK("https://klasma.github.io/Logging_0483/artfynd/A 12238-2023 artfynd.xlsx", "A 12238-2023")</f>
        <v/>
      </c>
      <c r="T83">
        <f>HYPERLINK("https://klasma.github.io/Logging_0483/kartor/A 12238-2023 karta.png", "A 12238-2023")</f>
        <v/>
      </c>
      <c r="V83">
        <f>HYPERLINK("https://klasma.github.io/Logging_0483/klagomål/A 12238-2023 FSC-klagomål.docx", "A 12238-2023")</f>
        <v/>
      </c>
      <c r="W83">
        <f>HYPERLINK("https://klasma.github.io/Logging_0483/klagomålsmail/A 12238-2023 FSC-klagomål mail.docx", "A 12238-2023")</f>
        <v/>
      </c>
      <c r="X83">
        <f>HYPERLINK("https://klasma.github.io/Logging_0483/tillsyn/A 12238-2023 tillsynsbegäran.docx", "A 12238-2023")</f>
        <v/>
      </c>
      <c r="Y83">
        <f>HYPERLINK("https://klasma.github.io/Logging_0483/tillsynsmail/A 12238-2023 tillsynsbegäran mail.docx", "A 12238-2023")</f>
        <v/>
      </c>
    </row>
    <row r="84" ht="15" customHeight="1">
      <c r="A84" t="inlineStr">
        <is>
          <t>A 51848-2022</t>
        </is>
      </c>
      <c r="B84" s="1" t="n">
        <v>44872</v>
      </c>
      <c r="C84" s="1" t="n">
        <v>46203</v>
      </c>
      <c r="D84" t="inlineStr">
        <is>
          <t>SÖDERMANLANDS LÄN</t>
        </is>
      </c>
      <c r="E84" t="inlineStr">
        <is>
          <t>KATRINEHOLM</t>
        </is>
      </c>
      <c r="G84" t="n">
        <v>1.8</v>
      </c>
      <c r="H84" t="n">
        <v>0</v>
      </c>
      <c r="I84" t="n">
        <v>0</v>
      </c>
      <c r="J84" t="n">
        <v>1</v>
      </c>
      <c r="K84" t="n">
        <v>0</v>
      </c>
      <c r="L84" t="n">
        <v>0</v>
      </c>
      <c r="M84" t="n">
        <v>0</v>
      </c>
      <c r="N84" t="n">
        <v>0</v>
      </c>
      <c r="O84" t="n">
        <v>1</v>
      </c>
      <c r="P84" t="n">
        <v>0</v>
      </c>
      <c r="Q84" t="n">
        <v>1</v>
      </c>
      <c r="R84" s="2" t="inlineStr">
        <is>
          <t>Svinrot</t>
        </is>
      </c>
      <c r="S84">
        <f>HYPERLINK("https://klasma.github.io/Logging_0483/artfynd/A 51848-2022 artfynd.xlsx", "A 51848-2022")</f>
        <v/>
      </c>
      <c r="T84">
        <f>HYPERLINK("https://klasma.github.io/Logging_0483/kartor/A 51848-2022 karta.png", "A 51848-2022")</f>
        <v/>
      </c>
      <c r="V84">
        <f>HYPERLINK("https://klasma.github.io/Logging_0483/klagomål/A 51848-2022 FSC-klagomål.docx", "A 51848-2022")</f>
        <v/>
      </c>
      <c r="W84">
        <f>HYPERLINK("https://klasma.github.io/Logging_0483/klagomålsmail/A 51848-2022 FSC-klagomål mail.docx", "A 51848-2022")</f>
        <v/>
      </c>
      <c r="X84">
        <f>HYPERLINK("https://klasma.github.io/Logging_0483/tillsyn/A 51848-2022 tillsynsbegäran.docx", "A 51848-2022")</f>
        <v/>
      </c>
      <c r="Y84">
        <f>HYPERLINK("https://klasma.github.io/Logging_0483/tillsynsmail/A 51848-2022 tillsynsbegäran mail.docx", "A 51848-2022")</f>
        <v/>
      </c>
    </row>
    <row r="85" ht="15" customHeight="1">
      <c r="A85" t="inlineStr">
        <is>
          <t>A 28985-2022</t>
        </is>
      </c>
      <c r="B85" s="1" t="n">
        <v>44749</v>
      </c>
      <c r="C85" s="1" t="n">
        <v>46203</v>
      </c>
      <c r="D85" t="inlineStr">
        <is>
          <t>SÖDERMANLANDS LÄN</t>
        </is>
      </c>
      <c r="E85" t="inlineStr">
        <is>
          <t>KATRINEHOLM</t>
        </is>
      </c>
      <c r="G85" t="n">
        <v>6.4</v>
      </c>
      <c r="H85" t="n">
        <v>0</v>
      </c>
      <c r="I85" t="n">
        <v>0</v>
      </c>
      <c r="J85" t="n">
        <v>0</v>
      </c>
      <c r="K85" t="n">
        <v>1</v>
      </c>
      <c r="L85" t="n">
        <v>0</v>
      </c>
      <c r="M85" t="n">
        <v>0</v>
      </c>
      <c r="N85" t="n">
        <v>0</v>
      </c>
      <c r="O85" t="n">
        <v>1</v>
      </c>
      <c r="P85" t="n">
        <v>1</v>
      </c>
      <c r="Q85" t="n">
        <v>1</v>
      </c>
      <c r="R85" s="2" t="inlineStr">
        <is>
          <t>Igelkott</t>
        </is>
      </c>
      <c r="S85">
        <f>HYPERLINK("https://klasma.github.io/Logging_0483/artfynd/A 28985-2022 artfynd.xlsx", "A 28985-2022")</f>
        <v/>
      </c>
      <c r="T85">
        <f>HYPERLINK("https://klasma.github.io/Logging_0483/kartor/A 28985-2022 karta.png", "A 28985-2022")</f>
        <v/>
      </c>
      <c r="V85">
        <f>HYPERLINK("https://klasma.github.io/Logging_0483/klagomål/A 28985-2022 FSC-klagomål.docx", "A 28985-2022")</f>
        <v/>
      </c>
      <c r="W85">
        <f>HYPERLINK("https://klasma.github.io/Logging_0483/klagomålsmail/A 28985-2022 FSC-klagomål mail.docx", "A 28985-2022")</f>
        <v/>
      </c>
      <c r="X85">
        <f>HYPERLINK("https://klasma.github.io/Logging_0483/tillsyn/A 28985-2022 tillsynsbegäran.docx", "A 28985-2022")</f>
        <v/>
      </c>
      <c r="Y85">
        <f>HYPERLINK("https://klasma.github.io/Logging_0483/tillsynsmail/A 28985-2022 tillsynsbegäran mail.docx", "A 28985-2022")</f>
        <v/>
      </c>
    </row>
    <row r="86" ht="15" customHeight="1">
      <c r="A86" t="inlineStr">
        <is>
          <t>A 44413-2024</t>
        </is>
      </c>
      <c r="B86" s="1" t="n">
        <v>45573</v>
      </c>
      <c r="C86" s="1" t="n">
        <v>46203</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36856-2021</t>
        </is>
      </c>
      <c r="B87" s="1" t="n">
        <v>44393</v>
      </c>
      <c r="C87" s="1" t="n">
        <v>46203</v>
      </c>
      <c r="D87" t="inlineStr">
        <is>
          <t>SÖDERMANLANDS LÄN</t>
        </is>
      </c>
      <c r="E87" t="inlineStr">
        <is>
          <t>KATRINEHOLM</t>
        </is>
      </c>
      <c r="G87" t="n">
        <v>3.1</v>
      </c>
      <c r="H87" t="n">
        <v>0</v>
      </c>
      <c r="I87" t="n">
        <v>0</v>
      </c>
      <c r="J87" t="n">
        <v>0</v>
      </c>
      <c r="K87" t="n">
        <v>0</v>
      </c>
      <c r="L87" t="n">
        <v>0</v>
      </c>
      <c r="M87" t="n">
        <v>0</v>
      </c>
      <c r="N87" t="n">
        <v>0</v>
      </c>
      <c r="O87" t="n">
        <v>0</v>
      </c>
      <c r="P87" t="n">
        <v>0</v>
      </c>
      <c r="Q87" t="n">
        <v>0</v>
      </c>
      <c r="R87" s="2" t="inlineStr"/>
    </row>
    <row r="88" ht="15" customHeight="1">
      <c r="A88" t="inlineStr">
        <is>
          <t>A 40289-2021</t>
        </is>
      </c>
      <c r="B88" s="1" t="n">
        <v>44419</v>
      </c>
      <c r="C88" s="1" t="n">
        <v>46203</v>
      </c>
      <c r="D88" t="inlineStr">
        <is>
          <t>SÖDERMANLANDS LÄN</t>
        </is>
      </c>
      <c r="E88" t="inlineStr">
        <is>
          <t>KATRINEHOLM</t>
        </is>
      </c>
      <c r="G88" t="n">
        <v>4.7</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46203</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48166-2022</t>
        </is>
      </c>
      <c r="B90" s="1" t="n">
        <v>44853</v>
      </c>
      <c r="C90" s="1" t="n">
        <v>46203</v>
      </c>
      <c r="D90" t="inlineStr">
        <is>
          <t>SÖDERMANLANDS LÄN</t>
        </is>
      </c>
      <c r="E90" t="inlineStr">
        <is>
          <t>KATRINEHOLM</t>
        </is>
      </c>
      <c r="F90" t="inlineStr">
        <is>
          <t>Övriga statliga verk och myndigheter</t>
        </is>
      </c>
      <c r="G90" t="n">
        <v>0.6</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46203</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73929-2021</t>
        </is>
      </c>
      <c r="B92" s="1" t="n">
        <v>44553</v>
      </c>
      <c r="C92" s="1" t="n">
        <v>46203</v>
      </c>
      <c r="D92" t="inlineStr">
        <is>
          <t>SÖDERMANLANDS LÄN</t>
        </is>
      </c>
      <c r="E92" t="inlineStr">
        <is>
          <t>KATRINEHOLM</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46203</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46203</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46203</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65188-2021</t>
        </is>
      </c>
      <c r="B96" s="1" t="n">
        <v>44512</v>
      </c>
      <c r="C96" s="1" t="n">
        <v>46203</v>
      </c>
      <c r="D96" t="inlineStr">
        <is>
          <t>SÖDERMANLANDS LÄN</t>
        </is>
      </c>
      <c r="E96" t="inlineStr">
        <is>
          <t>KATRINEHOLM</t>
        </is>
      </c>
      <c r="G96" t="n">
        <v>0.6</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46203</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70442-2021</t>
        </is>
      </c>
      <c r="B98" s="1" t="n">
        <v>44536</v>
      </c>
      <c r="C98" s="1" t="n">
        <v>46203</v>
      </c>
      <c r="D98" t="inlineStr">
        <is>
          <t>SÖDERMANLANDS LÄN</t>
        </is>
      </c>
      <c r="E98" t="inlineStr">
        <is>
          <t>KATRINEHOLM</t>
        </is>
      </c>
      <c r="G98" t="n">
        <v>0.9</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46203</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55898-2021</t>
        </is>
      </c>
      <c r="B100" s="1" t="n">
        <v>44476</v>
      </c>
      <c r="C100" s="1" t="n">
        <v>46203</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11024-2022</t>
        </is>
      </c>
      <c r="B101" s="1" t="n">
        <v>44628</v>
      </c>
      <c r="C101" s="1" t="n">
        <v>46203</v>
      </c>
      <c r="D101" t="inlineStr">
        <is>
          <t>SÖDERMANLANDS LÄN</t>
        </is>
      </c>
      <c r="E101" t="inlineStr">
        <is>
          <t>KATRINEHOLM</t>
        </is>
      </c>
      <c r="G101" t="n">
        <v>0.4</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46203</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46203</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53846-2021</t>
        </is>
      </c>
      <c r="B104" s="1" t="n">
        <v>44467</v>
      </c>
      <c r="C104" s="1" t="n">
        <v>46203</v>
      </c>
      <c r="D104" t="inlineStr">
        <is>
          <t>SÖDERMANLANDS LÄN</t>
        </is>
      </c>
      <c r="E104" t="inlineStr">
        <is>
          <t>KATRINEHOLM</t>
        </is>
      </c>
      <c r="G104" t="n">
        <v>1.9</v>
      </c>
      <c r="H104" t="n">
        <v>0</v>
      </c>
      <c r="I104" t="n">
        <v>0</v>
      </c>
      <c r="J104" t="n">
        <v>0</v>
      </c>
      <c r="K104" t="n">
        <v>0</v>
      </c>
      <c r="L104" t="n">
        <v>0</v>
      </c>
      <c r="M104" t="n">
        <v>0</v>
      </c>
      <c r="N104" t="n">
        <v>0</v>
      </c>
      <c r="O104" t="n">
        <v>0</v>
      </c>
      <c r="P104" t="n">
        <v>0</v>
      </c>
      <c r="Q104" t="n">
        <v>0</v>
      </c>
      <c r="R104" s="2" t="inlineStr"/>
    </row>
    <row r="105" ht="15" customHeight="1">
      <c r="A105" t="inlineStr">
        <is>
          <t>A 6695-2022</t>
        </is>
      </c>
      <c r="B105" s="1" t="n">
        <v>44602</v>
      </c>
      <c r="C105" s="1" t="n">
        <v>46203</v>
      </c>
      <c r="D105" t="inlineStr">
        <is>
          <t>SÖDERMANLANDS LÄN</t>
        </is>
      </c>
      <c r="E105" t="inlineStr">
        <is>
          <t>KATRINEHOLM</t>
        </is>
      </c>
      <c r="G105" t="n">
        <v>3.4</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46203</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46203</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36605-2021</t>
        </is>
      </c>
      <c r="B108" s="1" t="n">
        <v>44391</v>
      </c>
      <c r="C108" s="1" t="n">
        <v>46203</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61174-2021</t>
        </is>
      </c>
      <c r="B109" s="1" t="n">
        <v>44466</v>
      </c>
      <c r="C109" s="1" t="n">
        <v>46203</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46203</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56337-2021</t>
        </is>
      </c>
      <c r="B111" s="1" t="n">
        <v>44480</v>
      </c>
      <c r="C111" s="1" t="n">
        <v>46203</v>
      </c>
      <c r="D111" t="inlineStr">
        <is>
          <t>SÖDERMANLANDS LÄN</t>
        </is>
      </c>
      <c r="E111" t="inlineStr">
        <is>
          <t>KATRINEHOLM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60515-2021</t>
        </is>
      </c>
      <c r="B112" s="1" t="n">
        <v>44496</v>
      </c>
      <c r="C112" s="1" t="n">
        <v>46203</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46203</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46203</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34070-2022</t>
        </is>
      </c>
      <c r="B115" s="1" t="n">
        <v>44791</v>
      </c>
      <c r="C115" s="1" t="n">
        <v>46203</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9786-2022</t>
        </is>
      </c>
      <c r="B116" s="1" t="n">
        <v>44619</v>
      </c>
      <c r="C116" s="1" t="n">
        <v>46203</v>
      </c>
      <c r="D116" t="inlineStr">
        <is>
          <t>SÖDERMANLANDS LÄN</t>
        </is>
      </c>
      <c r="E116" t="inlineStr">
        <is>
          <t>KATRINEHOLM</t>
        </is>
      </c>
      <c r="G116" t="n">
        <v>1.4</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46203</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46203</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41876-2021</t>
        </is>
      </c>
      <c r="B119" s="1" t="n">
        <v>44426</v>
      </c>
      <c r="C119" s="1" t="n">
        <v>46203</v>
      </c>
      <c r="D119" t="inlineStr">
        <is>
          <t>SÖDERMANLANDS LÄN</t>
        </is>
      </c>
      <c r="E119" t="inlineStr">
        <is>
          <t>KATRINEHOLM</t>
        </is>
      </c>
      <c r="G119" t="n">
        <v>1</v>
      </c>
      <c r="H119" t="n">
        <v>0</v>
      </c>
      <c r="I119" t="n">
        <v>0</v>
      </c>
      <c r="J119" t="n">
        <v>0</v>
      </c>
      <c r="K119" t="n">
        <v>0</v>
      </c>
      <c r="L119" t="n">
        <v>0</v>
      </c>
      <c r="M119" t="n">
        <v>0</v>
      </c>
      <c r="N119" t="n">
        <v>0</v>
      </c>
      <c r="O119" t="n">
        <v>0</v>
      </c>
      <c r="P119" t="n">
        <v>0</v>
      </c>
      <c r="Q119" t="n">
        <v>0</v>
      </c>
      <c r="R119" s="2" t="inlineStr"/>
    </row>
    <row r="120" ht="15" customHeight="1">
      <c r="A120" t="inlineStr">
        <is>
          <t>A 2636-2022</t>
        </is>
      </c>
      <c r="B120" s="1" t="n">
        <v>44580</v>
      </c>
      <c r="C120" s="1" t="n">
        <v>46203</v>
      </c>
      <c r="D120" t="inlineStr">
        <is>
          <t>SÖDERMANLANDS LÄN</t>
        </is>
      </c>
      <c r="E120" t="inlineStr">
        <is>
          <t>KATRINEHOLM</t>
        </is>
      </c>
      <c r="F120" t="inlineStr">
        <is>
          <t>Övriga Aktiebolag</t>
        </is>
      </c>
      <c r="G120" t="n">
        <v>2.5</v>
      </c>
      <c r="H120" t="n">
        <v>0</v>
      </c>
      <c r="I120" t="n">
        <v>0</v>
      </c>
      <c r="J120" t="n">
        <v>0</v>
      </c>
      <c r="K120" t="n">
        <v>0</v>
      </c>
      <c r="L120" t="n">
        <v>0</v>
      </c>
      <c r="M120" t="n">
        <v>0</v>
      </c>
      <c r="N120" t="n">
        <v>0</v>
      </c>
      <c r="O120" t="n">
        <v>0</v>
      </c>
      <c r="P120" t="n">
        <v>0</v>
      </c>
      <c r="Q120" t="n">
        <v>0</v>
      </c>
      <c r="R120" s="2" t="inlineStr"/>
    </row>
    <row r="121" ht="15" customHeight="1">
      <c r="A121" t="inlineStr">
        <is>
          <t>A 2884-2022</t>
        </is>
      </c>
      <c r="B121" s="1" t="n">
        <v>44581</v>
      </c>
      <c r="C121" s="1" t="n">
        <v>46203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46203</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46203</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46203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32632-2022</t>
        </is>
      </c>
      <c r="B125" s="1" t="n">
        <v>44783</v>
      </c>
      <c r="C125" s="1" t="n">
        <v>46203</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32639-2022</t>
        </is>
      </c>
      <c r="B126" s="1" t="n">
        <v>44783</v>
      </c>
      <c r="C126" s="1" t="n">
        <v>46203</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52063-2021</t>
        </is>
      </c>
      <c r="B127" s="1" t="n">
        <v>44449</v>
      </c>
      <c r="C127" s="1" t="n">
        <v>46203</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46203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46203</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46203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v>
      </c>
      <c r="C131" s="1" t="n">
        <v>46203</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46203</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46203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46203</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46203</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46203</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46203</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46203</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v>
      </c>
      <c r="C139" s="1" t="n">
        <v>46203</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46203</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46203</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17800-2022</t>
        </is>
      </c>
      <c r="B142" s="1" t="n">
        <v>44683</v>
      </c>
      <c r="C142" s="1" t="n">
        <v>46203</v>
      </c>
      <c r="D142" t="inlineStr">
        <is>
          <t>SÖDERMANLANDS LÄN</t>
        </is>
      </c>
      <c r="E142" t="inlineStr">
        <is>
          <t>KATRINEHOLM</t>
        </is>
      </c>
      <c r="G142" t="n">
        <v>8.1</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46203</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v>
      </c>
      <c r="C144" s="1" t="n">
        <v>46203</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46203</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46203</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46203</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v>
      </c>
      <c r="C148" s="1" t="n">
        <v>46203</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46203</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v>
      </c>
      <c r="C150" s="1" t="n">
        <v>46203</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46203</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46203</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46203</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46203</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v>
      </c>
      <c r="C155" s="1" t="n">
        <v>46203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46203</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46203</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46203</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46203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v>
      </c>
      <c r="C160" s="1" t="n">
        <v>46203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46203</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46203</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46203</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46203</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v>
      </c>
      <c r="C165" s="1" t="n">
        <v>46203</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46203</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46203</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v>
      </c>
      <c r="C168" s="1" t="n">
        <v>46203</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53791-2021</t>
        </is>
      </c>
      <c r="B169" s="1" t="n">
        <v>44467</v>
      </c>
      <c r="C169" s="1" t="n">
        <v>46203</v>
      </c>
      <c r="D169" t="inlineStr">
        <is>
          <t>SÖDERMANLANDS LÄN</t>
        </is>
      </c>
      <c r="E169" t="inlineStr">
        <is>
          <t>KATRINEHOLM</t>
        </is>
      </c>
      <c r="G169" t="n">
        <v>2.7</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46203</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46203</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46203</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46203</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46203</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46203</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v>
      </c>
      <c r="C176" s="1" t="n">
        <v>46203</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46203</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46203</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46203</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v>
      </c>
      <c r="C180" s="1" t="n">
        <v>46203</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46203</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46203</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46203</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46203</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46203</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46203</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34040-2022</t>
        </is>
      </c>
      <c r="B187" s="1" t="n">
        <v>44790</v>
      </c>
      <c r="C187" s="1" t="n">
        <v>46203</v>
      </c>
      <c r="D187" t="inlineStr">
        <is>
          <t>SÖDERMANLANDS LÄN</t>
        </is>
      </c>
      <c r="E187" t="inlineStr">
        <is>
          <t>KATRINEHOLM</t>
        </is>
      </c>
      <c r="F187" t="inlineStr">
        <is>
          <t>Allmännings- och besparingsskogar</t>
        </is>
      </c>
      <c r="G187" t="n">
        <v>2.5</v>
      </c>
      <c r="H187" t="n">
        <v>0</v>
      </c>
      <c r="I187" t="n">
        <v>0</v>
      </c>
      <c r="J187" t="n">
        <v>0</v>
      </c>
      <c r="K187" t="n">
        <v>0</v>
      </c>
      <c r="L187" t="n">
        <v>0</v>
      </c>
      <c r="M187" t="n">
        <v>0</v>
      </c>
      <c r="N187" t="n">
        <v>0</v>
      </c>
      <c r="O187" t="n">
        <v>0</v>
      </c>
      <c r="P187" t="n">
        <v>0</v>
      </c>
      <c r="Q187" t="n">
        <v>0</v>
      </c>
      <c r="R187" s="2" t="inlineStr"/>
    </row>
    <row r="188" ht="15" customHeight="1">
      <c r="A188" t="inlineStr">
        <is>
          <t>A 45147-2021</t>
        </is>
      </c>
      <c r="B188" s="1" t="n">
        <v>44439</v>
      </c>
      <c r="C188" s="1" t="n">
        <v>46203</v>
      </c>
      <c r="D188" t="inlineStr">
        <is>
          <t>SÖDERMANLANDS LÄN</t>
        </is>
      </c>
      <c r="E188" t="inlineStr">
        <is>
          <t>KATRINEHOLM</t>
        </is>
      </c>
      <c r="G188" t="n">
        <v>3.2</v>
      </c>
      <c r="H188" t="n">
        <v>0</v>
      </c>
      <c r="I188" t="n">
        <v>0</v>
      </c>
      <c r="J188" t="n">
        <v>0</v>
      </c>
      <c r="K188" t="n">
        <v>0</v>
      </c>
      <c r="L188" t="n">
        <v>0</v>
      </c>
      <c r="M188" t="n">
        <v>0</v>
      </c>
      <c r="N188" t="n">
        <v>0</v>
      </c>
      <c r="O188" t="n">
        <v>0</v>
      </c>
      <c r="P188" t="n">
        <v>0</v>
      </c>
      <c r="Q188" t="n">
        <v>0</v>
      </c>
      <c r="R188" s="2" t="inlineStr"/>
    </row>
    <row r="189" ht="15" customHeight="1">
      <c r="A189" t="inlineStr">
        <is>
          <t>A 71129-2021</t>
        </is>
      </c>
      <c r="B189" s="1" t="n">
        <v>44539</v>
      </c>
      <c r="C189" s="1" t="n">
        <v>46203</v>
      </c>
      <c r="D189" t="inlineStr">
        <is>
          <t>SÖDERMANLANDS LÄN</t>
        </is>
      </c>
      <c r="E189" t="inlineStr">
        <is>
          <t>KATRINEHOLM</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46203</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46203</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33538-2022</t>
        </is>
      </c>
      <c r="B192" s="1" t="n">
        <v>44789</v>
      </c>
      <c r="C192" s="1" t="n">
        <v>46203</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46569-2022</t>
        </is>
      </c>
      <c r="B193" s="1" t="n">
        <v>44847</v>
      </c>
      <c r="C193" s="1" t="n">
        <v>46203</v>
      </c>
      <c r="D193" t="inlineStr">
        <is>
          <t>SÖDERMANLANDS LÄN</t>
        </is>
      </c>
      <c r="E193" t="inlineStr">
        <is>
          <t>KATRINEHOLM</t>
        </is>
      </c>
      <c r="G193" t="n">
        <v>1.7</v>
      </c>
      <c r="H193" t="n">
        <v>0</v>
      </c>
      <c r="I193" t="n">
        <v>0</v>
      </c>
      <c r="J193" t="n">
        <v>0</v>
      </c>
      <c r="K193" t="n">
        <v>0</v>
      </c>
      <c r="L193" t="n">
        <v>0</v>
      </c>
      <c r="M193" t="n">
        <v>0</v>
      </c>
      <c r="N193" t="n">
        <v>0</v>
      </c>
      <c r="O193" t="n">
        <v>0</v>
      </c>
      <c r="P193" t="n">
        <v>0</v>
      </c>
      <c r="Q193" t="n">
        <v>0</v>
      </c>
      <c r="R193" s="2" t="inlineStr"/>
    </row>
    <row r="194" ht="15" customHeight="1">
      <c r="A194" t="inlineStr">
        <is>
          <t>A 35188-2022</t>
        </is>
      </c>
      <c r="B194" s="1" t="n">
        <v>44797</v>
      </c>
      <c r="C194" s="1" t="n">
        <v>46203</v>
      </c>
      <c r="D194" t="inlineStr">
        <is>
          <t>SÖDERMANLANDS LÄN</t>
        </is>
      </c>
      <c r="E194" t="inlineStr">
        <is>
          <t>KATRINEHOLM</t>
        </is>
      </c>
      <c r="G194" t="n">
        <v>3</v>
      </c>
      <c r="H194" t="n">
        <v>0</v>
      </c>
      <c r="I194" t="n">
        <v>0</v>
      </c>
      <c r="J194" t="n">
        <v>0</v>
      </c>
      <c r="K194" t="n">
        <v>0</v>
      </c>
      <c r="L194" t="n">
        <v>0</v>
      </c>
      <c r="M194" t="n">
        <v>0</v>
      </c>
      <c r="N194" t="n">
        <v>0</v>
      </c>
      <c r="O194" t="n">
        <v>0</v>
      </c>
      <c r="P194" t="n">
        <v>0</v>
      </c>
      <c r="Q194" t="n">
        <v>0</v>
      </c>
      <c r="R194" s="2" t="inlineStr"/>
    </row>
    <row r="195" ht="15" customHeight="1">
      <c r="A195" t="inlineStr">
        <is>
          <t>A 41966-2023</t>
        </is>
      </c>
      <c r="B195" s="1" t="n">
        <v>45177</v>
      </c>
      <c r="C195" s="1" t="n">
        <v>46203</v>
      </c>
      <c r="D195" t="inlineStr">
        <is>
          <t>SÖDERMANLANDS LÄN</t>
        </is>
      </c>
      <c r="E195" t="inlineStr">
        <is>
          <t>KATRINEHOLM</t>
        </is>
      </c>
      <c r="G195" t="n">
        <v>36.9</v>
      </c>
      <c r="H195" t="n">
        <v>0</v>
      </c>
      <c r="I195" t="n">
        <v>0</v>
      </c>
      <c r="J195" t="n">
        <v>0</v>
      </c>
      <c r="K195" t="n">
        <v>0</v>
      </c>
      <c r="L195" t="n">
        <v>0</v>
      </c>
      <c r="M195" t="n">
        <v>0</v>
      </c>
      <c r="N195" t="n">
        <v>0</v>
      </c>
      <c r="O195" t="n">
        <v>0</v>
      </c>
      <c r="P195" t="n">
        <v>0</v>
      </c>
      <c r="Q195" t="n">
        <v>0</v>
      </c>
      <c r="R195" s="2" t="inlineStr"/>
    </row>
    <row r="196" ht="15" customHeight="1">
      <c r="A196" t="inlineStr">
        <is>
          <t>A 36210-2022</t>
        </is>
      </c>
      <c r="B196" s="1" t="n">
        <v>44803</v>
      </c>
      <c r="C196" s="1" t="n">
        <v>46203</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2683-2025</t>
        </is>
      </c>
      <c r="B197" s="1" t="n">
        <v>45677</v>
      </c>
      <c r="C197" s="1" t="n">
        <v>46203</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48682-2022</t>
        </is>
      </c>
      <c r="B198" s="1" t="n">
        <v>44859</v>
      </c>
      <c r="C198" s="1" t="n">
        <v>46203</v>
      </c>
      <c r="D198" t="inlineStr">
        <is>
          <t>SÖDERMANLANDS LÄN</t>
        </is>
      </c>
      <c r="E198" t="inlineStr">
        <is>
          <t>KATRINEHOLM</t>
        </is>
      </c>
      <c r="G198" t="n">
        <v>2</v>
      </c>
      <c r="H198" t="n">
        <v>0</v>
      </c>
      <c r="I198" t="n">
        <v>0</v>
      </c>
      <c r="J198" t="n">
        <v>0</v>
      </c>
      <c r="K198" t="n">
        <v>0</v>
      </c>
      <c r="L198" t="n">
        <v>0</v>
      </c>
      <c r="M198" t="n">
        <v>0</v>
      </c>
      <c r="N198" t="n">
        <v>0</v>
      </c>
      <c r="O198" t="n">
        <v>0</v>
      </c>
      <c r="P198" t="n">
        <v>0</v>
      </c>
      <c r="Q198" t="n">
        <v>0</v>
      </c>
      <c r="R198" s="2" t="inlineStr"/>
    </row>
    <row r="199" ht="15" customHeight="1">
      <c r="A199" t="inlineStr">
        <is>
          <t>A 61410-2024</t>
        </is>
      </c>
      <c r="B199" s="1" t="n">
        <v>45646</v>
      </c>
      <c r="C199" s="1" t="n">
        <v>46203</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3315-2023</t>
        </is>
      </c>
      <c r="B200" s="1" t="n">
        <v>44945</v>
      </c>
      <c r="C200" s="1" t="n">
        <v>46203</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7867-2024</t>
        </is>
      </c>
      <c r="B201" s="1" t="n">
        <v>45350</v>
      </c>
      <c r="C201" s="1" t="n">
        <v>46203</v>
      </c>
      <c r="D201" t="inlineStr">
        <is>
          <t>SÖDERMANLANDS LÄN</t>
        </is>
      </c>
      <c r="E201" t="inlineStr">
        <is>
          <t>KATRINEHOLM</t>
        </is>
      </c>
      <c r="F201" t="inlineStr">
        <is>
          <t>Kyrkan</t>
        </is>
      </c>
      <c r="G201" t="n">
        <v>3.3</v>
      </c>
      <c r="H201" t="n">
        <v>0</v>
      </c>
      <c r="I201" t="n">
        <v>0</v>
      </c>
      <c r="J201" t="n">
        <v>0</v>
      </c>
      <c r="K201" t="n">
        <v>0</v>
      </c>
      <c r="L201" t="n">
        <v>0</v>
      </c>
      <c r="M201" t="n">
        <v>0</v>
      </c>
      <c r="N201" t="n">
        <v>0</v>
      </c>
      <c r="O201" t="n">
        <v>0</v>
      </c>
      <c r="P201" t="n">
        <v>0</v>
      </c>
      <c r="Q201" t="n">
        <v>0</v>
      </c>
      <c r="R201" s="2" t="inlineStr"/>
    </row>
    <row r="202" ht="15" customHeight="1">
      <c r="A202" t="inlineStr">
        <is>
          <t>A 38869-2024</t>
        </is>
      </c>
      <c r="B202" s="1" t="n">
        <v>45547</v>
      </c>
      <c r="C202" s="1" t="n">
        <v>46203</v>
      </c>
      <c r="D202" t="inlineStr">
        <is>
          <t>SÖDERMANLANDS LÄN</t>
        </is>
      </c>
      <c r="E202" t="inlineStr">
        <is>
          <t>KATRINEHOLM</t>
        </is>
      </c>
      <c r="G202" t="n">
        <v>2.2</v>
      </c>
      <c r="H202" t="n">
        <v>0</v>
      </c>
      <c r="I202" t="n">
        <v>0</v>
      </c>
      <c r="J202" t="n">
        <v>0</v>
      </c>
      <c r="K202" t="n">
        <v>0</v>
      </c>
      <c r="L202" t="n">
        <v>0</v>
      </c>
      <c r="M202" t="n">
        <v>0</v>
      </c>
      <c r="N202" t="n">
        <v>0</v>
      </c>
      <c r="O202" t="n">
        <v>0</v>
      </c>
      <c r="P202" t="n">
        <v>0</v>
      </c>
      <c r="Q202" t="n">
        <v>0</v>
      </c>
      <c r="R202" s="2" t="inlineStr"/>
    </row>
    <row r="203" ht="15" customHeight="1">
      <c r="A203" t="inlineStr">
        <is>
          <t>A 39010-2021</t>
        </is>
      </c>
      <c r="B203" s="1" t="n">
        <v>44412</v>
      </c>
      <c r="C203" s="1" t="n">
        <v>46203</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35228-2025</t>
        </is>
      </c>
      <c r="B204" s="1" t="n">
        <v>45853</v>
      </c>
      <c r="C204" s="1" t="n">
        <v>46203</v>
      </c>
      <c r="D204" t="inlineStr">
        <is>
          <t>SÖDERMANLANDS LÄN</t>
        </is>
      </c>
      <c r="E204" t="inlineStr">
        <is>
          <t>KATRINEHOLM</t>
        </is>
      </c>
      <c r="G204" t="n">
        <v>1.1</v>
      </c>
      <c r="H204" t="n">
        <v>0</v>
      </c>
      <c r="I204" t="n">
        <v>0</v>
      </c>
      <c r="J204" t="n">
        <v>0</v>
      </c>
      <c r="K204" t="n">
        <v>0</v>
      </c>
      <c r="L204" t="n">
        <v>0</v>
      </c>
      <c r="M204" t="n">
        <v>0</v>
      </c>
      <c r="N204" t="n">
        <v>0</v>
      </c>
      <c r="O204" t="n">
        <v>0</v>
      </c>
      <c r="P204" t="n">
        <v>0</v>
      </c>
      <c r="Q204" t="n">
        <v>0</v>
      </c>
      <c r="R204" s="2" t="inlineStr"/>
    </row>
    <row r="205" ht="15" customHeight="1">
      <c r="A205" t="inlineStr">
        <is>
          <t>A 6311-2025</t>
        </is>
      </c>
      <c r="B205" s="1" t="n">
        <v>45698</v>
      </c>
      <c r="C205" s="1" t="n">
        <v>46203</v>
      </c>
      <c r="D205" t="inlineStr">
        <is>
          <t>SÖDERMANLANDS LÄN</t>
        </is>
      </c>
      <c r="E205" t="inlineStr">
        <is>
          <t>KATRINEHOLM</t>
        </is>
      </c>
      <c r="G205" t="n">
        <v>0.3</v>
      </c>
      <c r="H205" t="n">
        <v>0</v>
      </c>
      <c r="I205" t="n">
        <v>0</v>
      </c>
      <c r="J205" t="n">
        <v>0</v>
      </c>
      <c r="K205" t="n">
        <v>0</v>
      </c>
      <c r="L205" t="n">
        <v>0</v>
      </c>
      <c r="M205" t="n">
        <v>0</v>
      </c>
      <c r="N205" t="n">
        <v>0</v>
      </c>
      <c r="O205" t="n">
        <v>0</v>
      </c>
      <c r="P205" t="n">
        <v>0</v>
      </c>
      <c r="Q205" t="n">
        <v>0</v>
      </c>
      <c r="R205" s="2" t="inlineStr"/>
    </row>
    <row r="206" ht="15" customHeight="1">
      <c r="A206" t="inlineStr">
        <is>
          <t>A 32943-2024</t>
        </is>
      </c>
      <c r="B206" s="1" t="n">
        <v>45517</v>
      </c>
      <c r="C206" s="1" t="n">
        <v>46203</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22119-2025</t>
        </is>
      </c>
      <c r="B207" s="1" t="n">
        <v>45785</v>
      </c>
      <c r="C207" s="1" t="n">
        <v>46203</v>
      </c>
      <c r="D207" t="inlineStr">
        <is>
          <t>SÖDERMANLANDS LÄN</t>
        </is>
      </c>
      <c r="E207" t="inlineStr">
        <is>
          <t>KATRINEHOLM</t>
        </is>
      </c>
      <c r="G207" t="n">
        <v>0.8</v>
      </c>
      <c r="H207" t="n">
        <v>0</v>
      </c>
      <c r="I207" t="n">
        <v>0</v>
      </c>
      <c r="J207" t="n">
        <v>0</v>
      </c>
      <c r="K207" t="n">
        <v>0</v>
      </c>
      <c r="L207" t="n">
        <v>0</v>
      </c>
      <c r="M207" t="n">
        <v>0</v>
      </c>
      <c r="N207" t="n">
        <v>0</v>
      </c>
      <c r="O207" t="n">
        <v>0</v>
      </c>
      <c r="P207" t="n">
        <v>0</v>
      </c>
      <c r="Q207" t="n">
        <v>0</v>
      </c>
      <c r="R207" s="2" t="inlineStr"/>
    </row>
    <row r="208" ht="15" customHeight="1">
      <c r="A208" t="inlineStr">
        <is>
          <t>A 50934-2025</t>
        </is>
      </c>
      <c r="B208" s="1" t="n">
        <v>45946</v>
      </c>
      <c r="C208" s="1" t="n">
        <v>46203</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20460-2025</t>
        </is>
      </c>
      <c r="B209" s="1" t="n">
        <v>45775</v>
      </c>
      <c r="C209" s="1" t="n">
        <v>46203</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9693-2024</t>
        </is>
      </c>
      <c r="B210" s="1" t="n">
        <v>45362</v>
      </c>
      <c r="C210" s="1" t="n">
        <v>46203</v>
      </c>
      <c r="D210" t="inlineStr">
        <is>
          <t>SÖDERMANLANDS LÄN</t>
        </is>
      </c>
      <c r="E210" t="inlineStr">
        <is>
          <t>KATRINEHOLM</t>
        </is>
      </c>
      <c r="G210" t="n">
        <v>5.9</v>
      </c>
      <c r="H210" t="n">
        <v>0</v>
      </c>
      <c r="I210" t="n">
        <v>0</v>
      </c>
      <c r="J210" t="n">
        <v>0</v>
      </c>
      <c r="K210" t="n">
        <v>0</v>
      </c>
      <c r="L210" t="n">
        <v>0</v>
      </c>
      <c r="M210" t="n">
        <v>0</v>
      </c>
      <c r="N210" t="n">
        <v>0</v>
      </c>
      <c r="O210" t="n">
        <v>0</v>
      </c>
      <c r="P210" t="n">
        <v>0</v>
      </c>
      <c r="Q210" t="n">
        <v>0</v>
      </c>
      <c r="R210" s="2" t="inlineStr"/>
    </row>
    <row r="211" ht="15" customHeight="1">
      <c r="A211" t="inlineStr">
        <is>
          <t>A 43964-2022</t>
        </is>
      </c>
      <c r="B211" s="1" t="n">
        <v>44837</v>
      </c>
      <c r="C211" s="1" t="n">
        <v>46203</v>
      </c>
      <c r="D211" t="inlineStr">
        <is>
          <t>SÖDERMANLANDS LÄN</t>
        </is>
      </c>
      <c r="E211" t="inlineStr">
        <is>
          <t>KATRINEHOLM</t>
        </is>
      </c>
      <c r="G211" t="n">
        <v>3.6</v>
      </c>
      <c r="H211" t="n">
        <v>0</v>
      </c>
      <c r="I211" t="n">
        <v>0</v>
      </c>
      <c r="J211" t="n">
        <v>0</v>
      </c>
      <c r="K211" t="n">
        <v>0</v>
      </c>
      <c r="L211" t="n">
        <v>0</v>
      </c>
      <c r="M211" t="n">
        <v>0</v>
      </c>
      <c r="N211" t="n">
        <v>0</v>
      </c>
      <c r="O211" t="n">
        <v>0</v>
      </c>
      <c r="P211" t="n">
        <v>0</v>
      </c>
      <c r="Q211" t="n">
        <v>0</v>
      </c>
      <c r="R211" s="2" t="inlineStr"/>
    </row>
    <row r="212" ht="15" customHeight="1">
      <c r="A212" t="inlineStr">
        <is>
          <t>A 24983-2024</t>
        </is>
      </c>
      <c r="B212" s="1" t="n">
        <v>45461</v>
      </c>
      <c r="C212" s="1" t="n">
        <v>46203</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42015-2022</t>
        </is>
      </c>
      <c r="B213" s="1" t="n">
        <v>44830</v>
      </c>
      <c r="C213" s="1" t="n">
        <v>46203</v>
      </c>
      <c r="D213" t="inlineStr">
        <is>
          <t>SÖDERMANLANDS LÄN</t>
        </is>
      </c>
      <c r="E213" t="inlineStr">
        <is>
          <t>KATRINEHOLM</t>
        </is>
      </c>
      <c r="G213" t="n">
        <v>3.8</v>
      </c>
      <c r="H213" t="n">
        <v>0</v>
      </c>
      <c r="I213" t="n">
        <v>0</v>
      </c>
      <c r="J213" t="n">
        <v>0</v>
      </c>
      <c r="K213" t="n">
        <v>0</v>
      </c>
      <c r="L213" t="n">
        <v>0</v>
      </c>
      <c r="M213" t="n">
        <v>0</v>
      </c>
      <c r="N213" t="n">
        <v>0</v>
      </c>
      <c r="O213" t="n">
        <v>0</v>
      </c>
      <c r="P213" t="n">
        <v>0</v>
      </c>
      <c r="Q213" t="n">
        <v>0</v>
      </c>
      <c r="R213" s="2" t="inlineStr"/>
    </row>
    <row r="214" ht="15" customHeight="1">
      <c r="A214" t="inlineStr">
        <is>
          <t>A 42020-2022</t>
        </is>
      </c>
      <c r="B214" s="1" t="n">
        <v>44830</v>
      </c>
      <c r="C214" s="1" t="n">
        <v>46203</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55846-2022</t>
        </is>
      </c>
      <c r="B215" s="1" t="n">
        <v>44888</v>
      </c>
      <c r="C215" s="1" t="n">
        <v>46203</v>
      </c>
      <c r="D215" t="inlineStr">
        <is>
          <t>SÖDERMANLANDS LÄN</t>
        </is>
      </c>
      <c r="E215" t="inlineStr">
        <is>
          <t>KATRINEHOLM</t>
        </is>
      </c>
      <c r="G215" t="n">
        <v>6.5</v>
      </c>
      <c r="H215" t="n">
        <v>0</v>
      </c>
      <c r="I215" t="n">
        <v>0</v>
      </c>
      <c r="J215" t="n">
        <v>0</v>
      </c>
      <c r="K215" t="n">
        <v>0</v>
      </c>
      <c r="L215" t="n">
        <v>0</v>
      </c>
      <c r="M215" t="n">
        <v>0</v>
      </c>
      <c r="N215" t="n">
        <v>0</v>
      </c>
      <c r="O215" t="n">
        <v>0</v>
      </c>
      <c r="P215" t="n">
        <v>0</v>
      </c>
      <c r="Q215" t="n">
        <v>0</v>
      </c>
      <c r="R215" s="2" t="inlineStr"/>
    </row>
    <row r="216" ht="15" customHeight="1">
      <c r="A216" t="inlineStr">
        <is>
          <t>A 39645-2025</t>
        </is>
      </c>
      <c r="B216" s="1" t="n">
        <v>45890</v>
      </c>
      <c r="C216" s="1" t="n">
        <v>46203</v>
      </c>
      <c r="D216" t="inlineStr">
        <is>
          <t>SÖDERMANLANDS LÄN</t>
        </is>
      </c>
      <c r="E216" t="inlineStr">
        <is>
          <t>KATRINEHOLM</t>
        </is>
      </c>
      <c r="G216" t="n">
        <v>0.2</v>
      </c>
      <c r="H216" t="n">
        <v>0</v>
      </c>
      <c r="I216" t="n">
        <v>0</v>
      </c>
      <c r="J216" t="n">
        <v>0</v>
      </c>
      <c r="K216" t="n">
        <v>0</v>
      </c>
      <c r="L216" t="n">
        <v>0</v>
      </c>
      <c r="M216" t="n">
        <v>0</v>
      </c>
      <c r="N216" t="n">
        <v>0</v>
      </c>
      <c r="O216" t="n">
        <v>0</v>
      </c>
      <c r="P216" t="n">
        <v>0</v>
      </c>
      <c r="Q216" t="n">
        <v>0</v>
      </c>
      <c r="R216" s="2" t="inlineStr"/>
    </row>
    <row r="217" ht="15" customHeight="1">
      <c r="A217" t="inlineStr">
        <is>
          <t>A 39663-2025</t>
        </is>
      </c>
      <c r="B217" s="1" t="n">
        <v>45890</v>
      </c>
      <c r="C217" s="1" t="n">
        <v>46203</v>
      </c>
      <c r="D217" t="inlineStr">
        <is>
          <t>SÖDERMANLANDS LÄN</t>
        </is>
      </c>
      <c r="E217" t="inlineStr">
        <is>
          <t>KATRINEHOLM</t>
        </is>
      </c>
      <c r="G217" t="n">
        <v>0.5</v>
      </c>
      <c r="H217" t="n">
        <v>0</v>
      </c>
      <c r="I217" t="n">
        <v>0</v>
      </c>
      <c r="J217" t="n">
        <v>0</v>
      </c>
      <c r="K217" t="n">
        <v>0</v>
      </c>
      <c r="L217" t="n">
        <v>0</v>
      </c>
      <c r="M217" t="n">
        <v>0</v>
      </c>
      <c r="N217" t="n">
        <v>0</v>
      </c>
      <c r="O217" t="n">
        <v>0</v>
      </c>
      <c r="P217" t="n">
        <v>0</v>
      </c>
      <c r="Q217" t="n">
        <v>0</v>
      </c>
      <c r="R217" s="2" t="inlineStr"/>
    </row>
    <row r="218" ht="15" customHeight="1">
      <c r="A218" t="inlineStr">
        <is>
          <t>A 51367-2025</t>
        </is>
      </c>
      <c r="B218" s="1" t="n">
        <v>45950</v>
      </c>
      <c r="C218" s="1" t="n">
        <v>46203</v>
      </c>
      <c r="D218" t="inlineStr">
        <is>
          <t>SÖDERMANLANDS LÄN</t>
        </is>
      </c>
      <c r="E218" t="inlineStr">
        <is>
          <t>KATRINEHOLM</t>
        </is>
      </c>
      <c r="G218" t="n">
        <v>2.7</v>
      </c>
      <c r="H218" t="n">
        <v>0</v>
      </c>
      <c r="I218" t="n">
        <v>0</v>
      </c>
      <c r="J218" t="n">
        <v>0</v>
      </c>
      <c r="K218" t="n">
        <v>0</v>
      </c>
      <c r="L218" t="n">
        <v>0</v>
      </c>
      <c r="M218" t="n">
        <v>0</v>
      </c>
      <c r="N218" t="n">
        <v>0</v>
      </c>
      <c r="O218" t="n">
        <v>0</v>
      </c>
      <c r="P218" t="n">
        <v>0</v>
      </c>
      <c r="Q218" t="n">
        <v>0</v>
      </c>
      <c r="R218" s="2" t="inlineStr"/>
    </row>
    <row r="219" ht="15" customHeight="1">
      <c r="A219" t="inlineStr">
        <is>
          <t>A 53722-2023</t>
        </is>
      </c>
      <c r="B219" s="1" t="n">
        <v>45230</v>
      </c>
      <c r="C219" s="1" t="n">
        <v>46203</v>
      </c>
      <c r="D219" t="inlineStr">
        <is>
          <t>SÖDERMANLANDS LÄN</t>
        </is>
      </c>
      <c r="E219" t="inlineStr">
        <is>
          <t>KATRINEHOLM</t>
        </is>
      </c>
      <c r="F219" t="inlineStr">
        <is>
          <t>Allmännings- och besparingsskogar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55863-2022</t>
        </is>
      </c>
      <c r="B220" s="1" t="n">
        <v>44888</v>
      </c>
      <c r="C220" s="1" t="n">
        <v>46203</v>
      </c>
      <c r="D220" t="inlineStr">
        <is>
          <t>SÖDERMANLANDS LÄN</t>
        </is>
      </c>
      <c r="E220" t="inlineStr">
        <is>
          <t>KATRINEHOLM</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55865-2022</t>
        </is>
      </c>
      <c r="B221" s="1" t="n">
        <v>44888</v>
      </c>
      <c r="C221" s="1" t="n">
        <v>46203</v>
      </c>
      <c r="D221" t="inlineStr">
        <is>
          <t>SÖDERMANLANDS LÄN</t>
        </is>
      </c>
      <c r="E221" t="inlineStr">
        <is>
          <t>KATRINEHOLM</t>
        </is>
      </c>
      <c r="G221" t="n">
        <v>9.1</v>
      </c>
      <c r="H221" t="n">
        <v>0</v>
      </c>
      <c r="I221" t="n">
        <v>0</v>
      </c>
      <c r="J221" t="n">
        <v>0</v>
      </c>
      <c r="K221" t="n">
        <v>0</v>
      </c>
      <c r="L221" t="n">
        <v>0</v>
      </c>
      <c r="M221" t="n">
        <v>0</v>
      </c>
      <c r="N221" t="n">
        <v>0</v>
      </c>
      <c r="O221" t="n">
        <v>0</v>
      </c>
      <c r="P221" t="n">
        <v>0</v>
      </c>
      <c r="Q221" t="n">
        <v>0</v>
      </c>
      <c r="R221" s="2" t="inlineStr"/>
    </row>
    <row r="222" ht="15" customHeight="1">
      <c r="A222" t="inlineStr">
        <is>
          <t>A 48520-2023</t>
        </is>
      </c>
      <c r="B222" s="1" t="n">
        <v>45208</v>
      </c>
      <c r="C222" s="1" t="n">
        <v>46203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56661-2021</t>
        </is>
      </c>
      <c r="B223" s="1" t="n">
        <v>44481</v>
      </c>
      <c r="C223" s="1" t="n">
        <v>46203</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28394-2023</t>
        </is>
      </c>
      <c r="B224" s="1" t="n">
        <v>45100</v>
      </c>
      <c r="C224" s="1" t="n">
        <v>46203</v>
      </c>
      <c r="D224" t="inlineStr">
        <is>
          <t>SÖDERMANLANDS LÄN</t>
        </is>
      </c>
      <c r="E224" t="inlineStr">
        <is>
          <t>KATRINEHOLM</t>
        </is>
      </c>
      <c r="G224" t="n">
        <v>4.2</v>
      </c>
      <c r="H224" t="n">
        <v>0</v>
      </c>
      <c r="I224" t="n">
        <v>0</v>
      </c>
      <c r="J224" t="n">
        <v>0</v>
      </c>
      <c r="K224" t="n">
        <v>0</v>
      </c>
      <c r="L224" t="n">
        <v>0</v>
      </c>
      <c r="M224" t="n">
        <v>0</v>
      </c>
      <c r="N224" t="n">
        <v>0</v>
      </c>
      <c r="O224" t="n">
        <v>0</v>
      </c>
      <c r="P224" t="n">
        <v>0</v>
      </c>
      <c r="Q224" t="n">
        <v>0</v>
      </c>
      <c r="R224" s="2" t="inlineStr"/>
    </row>
    <row r="225" ht="15" customHeight="1">
      <c r="A225" t="inlineStr">
        <is>
          <t>A 4122-2023</t>
        </is>
      </c>
      <c r="B225" s="1" t="n">
        <v>44952</v>
      </c>
      <c r="C225" s="1" t="n">
        <v>46203</v>
      </c>
      <c r="D225" t="inlineStr">
        <is>
          <t>SÖDERMANLANDS LÄN</t>
        </is>
      </c>
      <c r="E225" t="inlineStr">
        <is>
          <t>KATRINEHOLM</t>
        </is>
      </c>
      <c r="G225" t="n">
        <v>9</v>
      </c>
      <c r="H225" t="n">
        <v>0</v>
      </c>
      <c r="I225" t="n">
        <v>0</v>
      </c>
      <c r="J225" t="n">
        <v>0</v>
      </c>
      <c r="K225" t="n">
        <v>0</v>
      </c>
      <c r="L225" t="n">
        <v>0</v>
      </c>
      <c r="M225" t="n">
        <v>0</v>
      </c>
      <c r="N225" t="n">
        <v>0</v>
      </c>
      <c r="O225" t="n">
        <v>0</v>
      </c>
      <c r="P225" t="n">
        <v>0</v>
      </c>
      <c r="Q225" t="n">
        <v>0</v>
      </c>
      <c r="R225" s="2" t="inlineStr"/>
    </row>
    <row r="226" ht="15" customHeight="1">
      <c r="A226" t="inlineStr">
        <is>
          <t>A 55795-2023</t>
        </is>
      </c>
      <c r="B226" s="1" t="n">
        <v>45239</v>
      </c>
      <c r="C226" s="1" t="n">
        <v>46203</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49341-2024</t>
        </is>
      </c>
      <c r="B227" s="1" t="n">
        <v>45595</v>
      </c>
      <c r="C227" s="1" t="n">
        <v>46203</v>
      </c>
      <c r="D227" t="inlineStr">
        <is>
          <t>SÖDERMANLANDS LÄN</t>
        </is>
      </c>
      <c r="E227" t="inlineStr">
        <is>
          <t>KATRINEHOLM</t>
        </is>
      </c>
      <c r="G227" t="n">
        <v>10</v>
      </c>
      <c r="H227" t="n">
        <v>0</v>
      </c>
      <c r="I227" t="n">
        <v>0</v>
      </c>
      <c r="J227" t="n">
        <v>0</v>
      </c>
      <c r="K227" t="n">
        <v>0</v>
      </c>
      <c r="L227" t="n">
        <v>0</v>
      </c>
      <c r="M227" t="n">
        <v>0</v>
      </c>
      <c r="N227" t="n">
        <v>0</v>
      </c>
      <c r="O227" t="n">
        <v>0</v>
      </c>
      <c r="P227" t="n">
        <v>0</v>
      </c>
      <c r="Q227" t="n">
        <v>0</v>
      </c>
      <c r="R227" s="2" t="inlineStr"/>
    </row>
    <row r="228" ht="15" customHeight="1">
      <c r="A228" t="inlineStr">
        <is>
          <t>A 24284-2024</t>
        </is>
      </c>
      <c r="B228" s="1" t="n">
        <v>45457</v>
      </c>
      <c r="C228" s="1" t="n">
        <v>46203</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29502-2023</t>
        </is>
      </c>
      <c r="B229" s="1" t="n">
        <v>45106</v>
      </c>
      <c r="C229" s="1" t="n">
        <v>46203</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42111-2022</t>
        </is>
      </c>
      <c r="B230" s="1" t="n">
        <v>44830</v>
      </c>
      <c r="C230" s="1" t="n">
        <v>46203</v>
      </c>
      <c r="D230" t="inlineStr">
        <is>
          <t>SÖDERMANLANDS LÄN</t>
        </is>
      </c>
      <c r="E230" t="inlineStr">
        <is>
          <t>KATRINEHOLM</t>
        </is>
      </c>
      <c r="G230" t="n">
        <v>2.5</v>
      </c>
      <c r="H230" t="n">
        <v>0</v>
      </c>
      <c r="I230" t="n">
        <v>0</v>
      </c>
      <c r="J230" t="n">
        <v>0</v>
      </c>
      <c r="K230" t="n">
        <v>0</v>
      </c>
      <c r="L230" t="n">
        <v>0</v>
      </c>
      <c r="M230" t="n">
        <v>0</v>
      </c>
      <c r="N230" t="n">
        <v>0</v>
      </c>
      <c r="O230" t="n">
        <v>0</v>
      </c>
      <c r="P230" t="n">
        <v>0</v>
      </c>
      <c r="Q230" t="n">
        <v>0</v>
      </c>
      <c r="R230" s="2" t="inlineStr"/>
    </row>
    <row r="231" ht="15" customHeight="1">
      <c r="A231" t="inlineStr">
        <is>
          <t>A 2603-2025</t>
        </is>
      </c>
      <c r="B231" s="1" t="n">
        <v>45674</v>
      </c>
      <c r="C231" s="1" t="n">
        <v>46203</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36767-2022</t>
        </is>
      </c>
      <c r="B232" s="1" t="n">
        <v>44805</v>
      </c>
      <c r="C232" s="1" t="n">
        <v>46203</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24566-2025</t>
        </is>
      </c>
      <c r="B233" s="1" t="n">
        <v>45798</v>
      </c>
      <c r="C233" s="1" t="n">
        <v>46203</v>
      </c>
      <c r="D233" t="inlineStr">
        <is>
          <t>SÖDERMANLANDS LÄN</t>
        </is>
      </c>
      <c r="E233" t="inlineStr">
        <is>
          <t>KATRINEHOLM</t>
        </is>
      </c>
      <c r="G233" t="n">
        <v>6.3</v>
      </c>
      <c r="H233" t="n">
        <v>0</v>
      </c>
      <c r="I233" t="n">
        <v>0</v>
      </c>
      <c r="J233" t="n">
        <v>0</v>
      </c>
      <c r="K233" t="n">
        <v>0</v>
      </c>
      <c r="L233" t="n">
        <v>0</v>
      </c>
      <c r="M233" t="n">
        <v>0</v>
      </c>
      <c r="N233" t="n">
        <v>0</v>
      </c>
      <c r="O233" t="n">
        <v>0</v>
      </c>
      <c r="P233" t="n">
        <v>0</v>
      </c>
      <c r="Q233" t="n">
        <v>0</v>
      </c>
      <c r="R233" s="2" t="inlineStr"/>
    </row>
    <row r="234" ht="15" customHeight="1">
      <c r="A234" t="inlineStr">
        <is>
          <t>A 24605-2025</t>
        </is>
      </c>
      <c r="B234" s="1" t="n">
        <v>45798</v>
      </c>
      <c r="C234" s="1" t="n">
        <v>46203</v>
      </c>
      <c r="D234" t="inlineStr">
        <is>
          <t>SÖDERMANLANDS LÄN</t>
        </is>
      </c>
      <c r="E234" t="inlineStr">
        <is>
          <t>KATRINEHOLM</t>
        </is>
      </c>
      <c r="G234" t="n">
        <v>7</v>
      </c>
      <c r="H234" t="n">
        <v>0</v>
      </c>
      <c r="I234" t="n">
        <v>0</v>
      </c>
      <c r="J234" t="n">
        <v>0</v>
      </c>
      <c r="K234" t="n">
        <v>0</v>
      </c>
      <c r="L234" t="n">
        <v>0</v>
      </c>
      <c r="M234" t="n">
        <v>0</v>
      </c>
      <c r="N234" t="n">
        <v>0</v>
      </c>
      <c r="O234" t="n">
        <v>0</v>
      </c>
      <c r="P234" t="n">
        <v>0</v>
      </c>
      <c r="Q234" t="n">
        <v>0</v>
      </c>
      <c r="R234" s="2" t="inlineStr"/>
    </row>
    <row r="235" ht="15" customHeight="1">
      <c r="A235" t="inlineStr">
        <is>
          <t>A 41548-2025</t>
        </is>
      </c>
      <c r="B235" s="1" t="n">
        <v>45901</v>
      </c>
      <c r="C235" s="1" t="n">
        <v>46203</v>
      </c>
      <c r="D235" t="inlineStr">
        <is>
          <t>SÖDERMANLANDS LÄN</t>
        </is>
      </c>
      <c r="E235" t="inlineStr">
        <is>
          <t>KATRINEHOLM</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33712-2022</t>
        </is>
      </c>
      <c r="B236" s="1" t="n">
        <v>44789</v>
      </c>
      <c r="C236" s="1" t="n">
        <v>46203</v>
      </c>
      <c r="D236" t="inlineStr">
        <is>
          <t>SÖDERMANLANDS LÄN</t>
        </is>
      </c>
      <c r="E236" t="inlineStr">
        <is>
          <t>KATRINEHOLM</t>
        </is>
      </c>
      <c r="G236" t="n">
        <v>4.3</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46203</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33717-2022</t>
        </is>
      </c>
      <c r="B238" s="1" t="n">
        <v>44789</v>
      </c>
      <c r="C238" s="1" t="n">
        <v>46203</v>
      </c>
      <c r="D238" t="inlineStr">
        <is>
          <t>SÖDERMANLANDS LÄN</t>
        </is>
      </c>
      <c r="E238" t="inlineStr">
        <is>
          <t>KATRINEHOLM</t>
        </is>
      </c>
      <c r="G238" t="n">
        <v>4.4</v>
      </c>
      <c r="H238" t="n">
        <v>0</v>
      </c>
      <c r="I238" t="n">
        <v>0</v>
      </c>
      <c r="J238" t="n">
        <v>0</v>
      </c>
      <c r="K238" t="n">
        <v>0</v>
      </c>
      <c r="L238" t="n">
        <v>0</v>
      </c>
      <c r="M238" t="n">
        <v>0</v>
      </c>
      <c r="N238" t="n">
        <v>0</v>
      </c>
      <c r="O238" t="n">
        <v>0</v>
      </c>
      <c r="P238" t="n">
        <v>0</v>
      </c>
      <c r="Q238" t="n">
        <v>0</v>
      </c>
      <c r="R238" s="2" t="inlineStr"/>
    </row>
    <row r="239" ht="15" customHeight="1">
      <c r="A239" t="inlineStr">
        <is>
          <t>A 42799-2025</t>
        </is>
      </c>
      <c r="B239" s="1" t="n">
        <v>45907</v>
      </c>
      <c r="C239" s="1" t="n">
        <v>46203</v>
      </c>
      <c r="D239" t="inlineStr">
        <is>
          <t>SÖDERMANLANDS LÄN</t>
        </is>
      </c>
      <c r="E239" t="inlineStr">
        <is>
          <t>KATRINEHOLM</t>
        </is>
      </c>
      <c r="G239" t="n">
        <v>3.9</v>
      </c>
      <c r="H239" t="n">
        <v>0</v>
      </c>
      <c r="I239" t="n">
        <v>0</v>
      </c>
      <c r="J239" t="n">
        <v>0</v>
      </c>
      <c r="K239" t="n">
        <v>0</v>
      </c>
      <c r="L239" t="n">
        <v>0</v>
      </c>
      <c r="M239" t="n">
        <v>0</v>
      </c>
      <c r="N239" t="n">
        <v>0</v>
      </c>
      <c r="O239" t="n">
        <v>0</v>
      </c>
      <c r="P239" t="n">
        <v>0</v>
      </c>
      <c r="Q239" t="n">
        <v>0</v>
      </c>
      <c r="R239" s="2" t="inlineStr"/>
    </row>
    <row r="240" ht="15" customHeight="1">
      <c r="A240" t="inlineStr">
        <is>
          <t>A 33752-2023</t>
        </is>
      </c>
      <c r="B240" s="1" t="n">
        <v>45120</v>
      </c>
      <c r="C240" s="1" t="n">
        <v>46203</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56086-2023</t>
        </is>
      </c>
      <c r="B241" s="1" t="n">
        <v>45240</v>
      </c>
      <c r="C241" s="1" t="n">
        <v>46203</v>
      </c>
      <c r="D241" t="inlineStr">
        <is>
          <t>SÖDERMANLANDS LÄN</t>
        </is>
      </c>
      <c r="E241" t="inlineStr">
        <is>
          <t>KATRINEHOLM</t>
        </is>
      </c>
      <c r="F241" t="inlineStr">
        <is>
          <t>Kyrkan</t>
        </is>
      </c>
      <c r="G241" t="n">
        <v>17</v>
      </c>
      <c r="H241" t="n">
        <v>0</v>
      </c>
      <c r="I241" t="n">
        <v>0</v>
      </c>
      <c r="J241" t="n">
        <v>0</v>
      </c>
      <c r="K241" t="n">
        <v>0</v>
      </c>
      <c r="L241" t="n">
        <v>0</v>
      </c>
      <c r="M241" t="n">
        <v>0</v>
      </c>
      <c r="N241" t="n">
        <v>0</v>
      </c>
      <c r="O241" t="n">
        <v>0</v>
      </c>
      <c r="P241" t="n">
        <v>0</v>
      </c>
      <c r="Q241" t="n">
        <v>0</v>
      </c>
      <c r="R241" s="2" t="inlineStr"/>
    </row>
    <row r="242" ht="15" customHeight="1">
      <c r="A242" t="inlineStr">
        <is>
          <t>A 45376-2022</t>
        </is>
      </c>
      <c r="B242" s="1" t="n">
        <v>44844</v>
      </c>
      <c r="C242" s="1" t="n">
        <v>46203</v>
      </c>
      <c r="D242" t="inlineStr">
        <is>
          <t>SÖDERMANLANDS LÄN</t>
        </is>
      </c>
      <c r="E242" t="inlineStr">
        <is>
          <t>KATRINEHOLM</t>
        </is>
      </c>
      <c r="G242" t="n">
        <v>4.7</v>
      </c>
      <c r="H242" t="n">
        <v>0</v>
      </c>
      <c r="I242" t="n">
        <v>0</v>
      </c>
      <c r="J242" t="n">
        <v>0</v>
      </c>
      <c r="K242" t="n">
        <v>0</v>
      </c>
      <c r="L242" t="n">
        <v>0</v>
      </c>
      <c r="M242" t="n">
        <v>0</v>
      </c>
      <c r="N242" t="n">
        <v>0</v>
      </c>
      <c r="O242" t="n">
        <v>0</v>
      </c>
      <c r="P242" t="n">
        <v>0</v>
      </c>
      <c r="Q242" t="n">
        <v>0</v>
      </c>
      <c r="R242" s="2" t="inlineStr"/>
    </row>
    <row r="243" ht="15" customHeight="1">
      <c r="A243" t="inlineStr">
        <is>
          <t>A 55122-2022</t>
        </is>
      </c>
      <c r="B243" s="1" t="n">
        <v>44886</v>
      </c>
      <c r="C243" s="1" t="n">
        <v>46203</v>
      </c>
      <c r="D243" t="inlineStr">
        <is>
          <t>SÖDERMANLANDS LÄN</t>
        </is>
      </c>
      <c r="E243" t="inlineStr">
        <is>
          <t>KATRINEHOLM</t>
        </is>
      </c>
      <c r="G243" t="n">
        <v>6.5</v>
      </c>
      <c r="H243" t="n">
        <v>0</v>
      </c>
      <c r="I243" t="n">
        <v>0</v>
      </c>
      <c r="J243" t="n">
        <v>0</v>
      </c>
      <c r="K243" t="n">
        <v>0</v>
      </c>
      <c r="L243" t="n">
        <v>0</v>
      </c>
      <c r="M243" t="n">
        <v>0</v>
      </c>
      <c r="N243" t="n">
        <v>0</v>
      </c>
      <c r="O243" t="n">
        <v>0</v>
      </c>
      <c r="P243" t="n">
        <v>0</v>
      </c>
      <c r="Q243" t="n">
        <v>0</v>
      </c>
      <c r="R243" s="2" t="inlineStr"/>
    </row>
    <row r="244" ht="15" customHeight="1">
      <c r="A244" t="inlineStr">
        <is>
          <t>A 17746-2024</t>
        </is>
      </c>
      <c r="B244" s="1" t="n">
        <v>45415</v>
      </c>
      <c r="C244" s="1" t="n">
        <v>46203</v>
      </c>
      <c r="D244" t="inlineStr">
        <is>
          <t>SÖDERMANLANDS LÄN</t>
        </is>
      </c>
      <c r="E244" t="inlineStr">
        <is>
          <t>KATRINEHOLM</t>
        </is>
      </c>
      <c r="G244" t="n">
        <v>7.8</v>
      </c>
      <c r="H244" t="n">
        <v>0</v>
      </c>
      <c r="I244" t="n">
        <v>0</v>
      </c>
      <c r="J244" t="n">
        <v>0</v>
      </c>
      <c r="K244" t="n">
        <v>0</v>
      </c>
      <c r="L244" t="n">
        <v>0</v>
      </c>
      <c r="M244" t="n">
        <v>0</v>
      </c>
      <c r="N244" t="n">
        <v>0</v>
      </c>
      <c r="O244" t="n">
        <v>0</v>
      </c>
      <c r="P244" t="n">
        <v>0</v>
      </c>
      <c r="Q244" t="n">
        <v>0</v>
      </c>
      <c r="R244" s="2" t="inlineStr"/>
    </row>
    <row r="245" ht="15" customHeight="1">
      <c r="A245" t="inlineStr">
        <is>
          <t>A 61423-2024</t>
        </is>
      </c>
      <c r="B245" s="1" t="n">
        <v>45646</v>
      </c>
      <c r="C245" s="1" t="n">
        <v>46203</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41727-2024</t>
        </is>
      </c>
      <c r="B246" s="1" t="n">
        <v>45560</v>
      </c>
      <c r="C246" s="1" t="n">
        <v>46203</v>
      </c>
      <c r="D246" t="inlineStr">
        <is>
          <t>SÖDERMANLANDS LÄN</t>
        </is>
      </c>
      <c r="E246" t="inlineStr">
        <is>
          <t>KATRINEHOLM</t>
        </is>
      </c>
      <c r="G246" t="n">
        <v>3.9</v>
      </c>
      <c r="H246" t="n">
        <v>0</v>
      </c>
      <c r="I246" t="n">
        <v>0</v>
      </c>
      <c r="J246" t="n">
        <v>0</v>
      </c>
      <c r="K246" t="n">
        <v>0</v>
      </c>
      <c r="L246" t="n">
        <v>0</v>
      </c>
      <c r="M246" t="n">
        <v>0</v>
      </c>
      <c r="N246" t="n">
        <v>0</v>
      </c>
      <c r="O246" t="n">
        <v>0</v>
      </c>
      <c r="P246" t="n">
        <v>0</v>
      </c>
      <c r="Q246" t="n">
        <v>0</v>
      </c>
      <c r="R246" s="2" t="inlineStr"/>
    </row>
    <row r="247" ht="15" customHeight="1">
      <c r="A247" t="inlineStr">
        <is>
          <t>A 24179-2024</t>
        </is>
      </c>
      <c r="B247" s="1" t="n">
        <v>45456</v>
      </c>
      <c r="C247" s="1" t="n">
        <v>46203</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51264-2021</t>
        </is>
      </c>
      <c r="B248" s="1" t="n">
        <v>44461</v>
      </c>
      <c r="C248" s="1" t="n">
        <v>46203</v>
      </c>
      <c r="D248" t="inlineStr">
        <is>
          <t>SÖDERMANLANDS LÄN</t>
        </is>
      </c>
      <c r="E248" t="inlineStr">
        <is>
          <t>KATRINEHOLM</t>
        </is>
      </c>
      <c r="G248" t="n">
        <v>3.1</v>
      </c>
      <c r="H248" t="n">
        <v>0</v>
      </c>
      <c r="I248" t="n">
        <v>0</v>
      </c>
      <c r="J248" t="n">
        <v>0</v>
      </c>
      <c r="K248" t="n">
        <v>0</v>
      </c>
      <c r="L248" t="n">
        <v>0</v>
      </c>
      <c r="M248" t="n">
        <v>0</v>
      </c>
      <c r="N248" t="n">
        <v>0</v>
      </c>
      <c r="O248" t="n">
        <v>0</v>
      </c>
      <c r="P248" t="n">
        <v>0</v>
      </c>
      <c r="Q248" t="n">
        <v>0</v>
      </c>
      <c r="R248" s="2" t="inlineStr"/>
    </row>
    <row r="249" ht="15" customHeight="1">
      <c r="A249" t="inlineStr">
        <is>
          <t>A 24717-2025</t>
        </is>
      </c>
      <c r="B249" s="1" t="n">
        <v>45799</v>
      </c>
      <c r="C249" s="1" t="n">
        <v>46203</v>
      </c>
      <c r="D249" t="inlineStr">
        <is>
          <t>SÖDERMANLANDS LÄN</t>
        </is>
      </c>
      <c r="E249" t="inlineStr">
        <is>
          <t>KATRINEHOLM</t>
        </is>
      </c>
      <c r="G249" t="n">
        <v>24.5</v>
      </c>
      <c r="H249" t="n">
        <v>0</v>
      </c>
      <c r="I249" t="n">
        <v>0</v>
      </c>
      <c r="J249" t="n">
        <v>0</v>
      </c>
      <c r="K249" t="n">
        <v>0</v>
      </c>
      <c r="L249" t="n">
        <v>0</v>
      </c>
      <c r="M249" t="n">
        <v>0</v>
      </c>
      <c r="N249" t="n">
        <v>0</v>
      </c>
      <c r="O249" t="n">
        <v>0</v>
      </c>
      <c r="P249" t="n">
        <v>0</v>
      </c>
      <c r="Q249" t="n">
        <v>0</v>
      </c>
      <c r="R249" s="2" t="inlineStr"/>
    </row>
    <row r="250" ht="15" customHeight="1">
      <c r="A250" t="inlineStr">
        <is>
          <t>A 53999-2023</t>
        </is>
      </c>
      <c r="B250" s="1" t="n">
        <v>45231</v>
      </c>
      <c r="C250" s="1" t="n">
        <v>46203</v>
      </c>
      <c r="D250" t="inlineStr">
        <is>
          <t>SÖDERMANLANDS LÄN</t>
        </is>
      </c>
      <c r="E250" t="inlineStr">
        <is>
          <t>KATRINEHOLM</t>
        </is>
      </c>
      <c r="G250" t="n">
        <v>5.4</v>
      </c>
      <c r="H250" t="n">
        <v>0</v>
      </c>
      <c r="I250" t="n">
        <v>0</v>
      </c>
      <c r="J250" t="n">
        <v>0</v>
      </c>
      <c r="K250" t="n">
        <v>0</v>
      </c>
      <c r="L250" t="n">
        <v>0</v>
      </c>
      <c r="M250" t="n">
        <v>0</v>
      </c>
      <c r="N250" t="n">
        <v>0</v>
      </c>
      <c r="O250" t="n">
        <v>0</v>
      </c>
      <c r="P250" t="n">
        <v>0</v>
      </c>
      <c r="Q250" t="n">
        <v>0</v>
      </c>
      <c r="R250" s="2" t="inlineStr"/>
    </row>
    <row r="251" ht="15" customHeight="1">
      <c r="A251" t="inlineStr">
        <is>
          <t>A 24719-2025</t>
        </is>
      </c>
      <c r="B251" s="1" t="n">
        <v>45799</v>
      </c>
      <c r="C251" s="1" t="n">
        <v>46203</v>
      </c>
      <c r="D251" t="inlineStr">
        <is>
          <t>SÖDERMANLANDS LÄN</t>
        </is>
      </c>
      <c r="E251" t="inlineStr">
        <is>
          <t>KATRINEHOLM</t>
        </is>
      </c>
      <c r="G251" t="n">
        <v>1.8</v>
      </c>
      <c r="H251" t="n">
        <v>0</v>
      </c>
      <c r="I251" t="n">
        <v>0</v>
      </c>
      <c r="J251" t="n">
        <v>0</v>
      </c>
      <c r="K251" t="n">
        <v>0</v>
      </c>
      <c r="L251" t="n">
        <v>0</v>
      </c>
      <c r="M251" t="n">
        <v>0</v>
      </c>
      <c r="N251" t="n">
        <v>0</v>
      </c>
      <c r="O251" t="n">
        <v>0</v>
      </c>
      <c r="P251" t="n">
        <v>0</v>
      </c>
      <c r="Q251" t="n">
        <v>0</v>
      </c>
      <c r="R251" s="2" t="inlineStr"/>
    </row>
    <row r="252" ht="15" customHeight="1">
      <c r="A252" t="inlineStr">
        <is>
          <t>A 43975-2025</t>
        </is>
      </c>
      <c r="B252" s="1" t="n">
        <v>45915</v>
      </c>
      <c r="C252" s="1" t="n">
        <v>46203</v>
      </c>
      <c r="D252" t="inlineStr">
        <is>
          <t>SÖDERMANLANDS LÄN</t>
        </is>
      </c>
      <c r="E252" t="inlineStr">
        <is>
          <t>KATRINEHOLM</t>
        </is>
      </c>
      <c r="G252" t="n">
        <v>1.8</v>
      </c>
      <c r="H252" t="n">
        <v>0</v>
      </c>
      <c r="I252" t="n">
        <v>0</v>
      </c>
      <c r="J252" t="n">
        <v>0</v>
      </c>
      <c r="K252" t="n">
        <v>0</v>
      </c>
      <c r="L252" t="n">
        <v>0</v>
      </c>
      <c r="M252" t="n">
        <v>0</v>
      </c>
      <c r="N252" t="n">
        <v>0</v>
      </c>
      <c r="O252" t="n">
        <v>0</v>
      </c>
      <c r="P252" t="n">
        <v>0</v>
      </c>
      <c r="Q252" t="n">
        <v>0</v>
      </c>
      <c r="R252" s="2" t="inlineStr"/>
    </row>
    <row r="253" ht="15" customHeight="1">
      <c r="A253" t="inlineStr">
        <is>
          <t>A 56597-2025</t>
        </is>
      </c>
      <c r="B253" s="1" t="n">
        <v>45975</v>
      </c>
      <c r="C253" s="1" t="n">
        <v>46203</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27534-2025</t>
        </is>
      </c>
      <c r="B254" s="1" t="n">
        <v>45813</v>
      </c>
      <c r="C254" s="1" t="n">
        <v>46203</v>
      </c>
      <c r="D254" t="inlineStr">
        <is>
          <t>SÖDERMANLANDS LÄN</t>
        </is>
      </c>
      <c r="E254" t="inlineStr">
        <is>
          <t>KATRINEHOLM</t>
        </is>
      </c>
      <c r="G254" t="n">
        <v>0.7</v>
      </c>
      <c r="H254" t="n">
        <v>0</v>
      </c>
      <c r="I254" t="n">
        <v>0</v>
      </c>
      <c r="J254" t="n">
        <v>0</v>
      </c>
      <c r="K254" t="n">
        <v>0</v>
      </c>
      <c r="L254" t="n">
        <v>0</v>
      </c>
      <c r="M254" t="n">
        <v>0</v>
      </c>
      <c r="N254" t="n">
        <v>0</v>
      </c>
      <c r="O254" t="n">
        <v>0</v>
      </c>
      <c r="P254" t="n">
        <v>0</v>
      </c>
      <c r="Q254" t="n">
        <v>0</v>
      </c>
      <c r="R254" s="2" t="inlineStr"/>
    </row>
    <row r="255" ht="15" customHeight="1">
      <c r="A255" t="inlineStr">
        <is>
          <t>A 46288-2025</t>
        </is>
      </c>
      <c r="B255" s="1" t="n">
        <v>45925</v>
      </c>
      <c r="C255" s="1" t="n">
        <v>46203</v>
      </c>
      <c r="D255" t="inlineStr">
        <is>
          <t>SÖDERMANLANDS LÄN</t>
        </is>
      </c>
      <c r="E255" t="inlineStr">
        <is>
          <t>KATRINEHOLM</t>
        </is>
      </c>
      <c r="G255" t="n">
        <v>0.4</v>
      </c>
      <c r="H255" t="n">
        <v>0</v>
      </c>
      <c r="I255" t="n">
        <v>0</v>
      </c>
      <c r="J255" t="n">
        <v>0</v>
      </c>
      <c r="K255" t="n">
        <v>0</v>
      </c>
      <c r="L255" t="n">
        <v>0</v>
      </c>
      <c r="M255" t="n">
        <v>0</v>
      </c>
      <c r="N255" t="n">
        <v>0</v>
      </c>
      <c r="O255" t="n">
        <v>0</v>
      </c>
      <c r="P255" t="n">
        <v>0</v>
      </c>
      <c r="Q255" t="n">
        <v>0</v>
      </c>
      <c r="R255" s="2" t="inlineStr"/>
    </row>
    <row r="256" ht="15" customHeight="1">
      <c r="A256" t="inlineStr">
        <is>
          <t>A 27636-2025</t>
        </is>
      </c>
      <c r="B256" s="1" t="n">
        <v>45813</v>
      </c>
      <c r="C256" s="1" t="n">
        <v>46203</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24600-2025</t>
        </is>
      </c>
      <c r="B257" s="1" t="n">
        <v>45798</v>
      </c>
      <c r="C257" s="1" t="n">
        <v>46203</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35608-2024</t>
        </is>
      </c>
      <c r="B258" s="1" t="n">
        <v>45531</v>
      </c>
      <c r="C258" s="1" t="n">
        <v>46203</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51128-2021</t>
        </is>
      </c>
      <c r="B259" s="1" t="n">
        <v>44460</v>
      </c>
      <c r="C259" s="1" t="n">
        <v>46203</v>
      </c>
      <c r="D259" t="inlineStr">
        <is>
          <t>SÖDERMANLANDS LÄN</t>
        </is>
      </c>
      <c r="E259" t="inlineStr">
        <is>
          <t>KATRINEHOLM</t>
        </is>
      </c>
      <c r="G259" t="n">
        <v>7.8</v>
      </c>
      <c r="H259" t="n">
        <v>0</v>
      </c>
      <c r="I259" t="n">
        <v>0</v>
      </c>
      <c r="J259" t="n">
        <v>0</v>
      </c>
      <c r="K259" t="n">
        <v>0</v>
      </c>
      <c r="L259" t="n">
        <v>0</v>
      </c>
      <c r="M259" t="n">
        <v>0</v>
      </c>
      <c r="N259" t="n">
        <v>0</v>
      </c>
      <c r="O259" t="n">
        <v>0</v>
      </c>
      <c r="P259" t="n">
        <v>0</v>
      </c>
      <c r="Q259" t="n">
        <v>0</v>
      </c>
      <c r="R259" s="2" t="inlineStr"/>
    </row>
    <row r="260" ht="15" customHeight="1">
      <c r="A260" t="inlineStr">
        <is>
          <t>A 29189-2025</t>
        </is>
      </c>
      <c r="B260" s="1" t="n">
        <v>45822</v>
      </c>
      <c r="C260" s="1" t="n">
        <v>46203</v>
      </c>
      <c r="D260" t="inlineStr">
        <is>
          <t>SÖDERMANLANDS LÄN</t>
        </is>
      </c>
      <c r="E260" t="inlineStr">
        <is>
          <t>KATRINEHOLM</t>
        </is>
      </c>
      <c r="G260" t="n">
        <v>3.5</v>
      </c>
      <c r="H260" t="n">
        <v>0</v>
      </c>
      <c r="I260" t="n">
        <v>0</v>
      </c>
      <c r="J260" t="n">
        <v>0</v>
      </c>
      <c r="K260" t="n">
        <v>0</v>
      </c>
      <c r="L260" t="n">
        <v>0</v>
      </c>
      <c r="M260" t="n">
        <v>0</v>
      </c>
      <c r="N260" t="n">
        <v>0</v>
      </c>
      <c r="O260" t="n">
        <v>0</v>
      </c>
      <c r="P260" t="n">
        <v>0</v>
      </c>
      <c r="Q260" t="n">
        <v>0</v>
      </c>
      <c r="R260" s="2" t="inlineStr"/>
    </row>
    <row r="261" ht="15" customHeight="1">
      <c r="A261" t="inlineStr">
        <is>
          <t>A 60677-2021</t>
        </is>
      </c>
      <c r="B261" s="1" t="n">
        <v>44495</v>
      </c>
      <c r="C261" s="1" t="n">
        <v>46203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43088-2022</t>
        </is>
      </c>
      <c r="B262" s="1" t="n">
        <v>44833</v>
      </c>
      <c r="C262" s="1" t="n">
        <v>46203</v>
      </c>
      <c r="D262" t="inlineStr">
        <is>
          <t>SÖDERMANLANDS LÄN</t>
        </is>
      </c>
      <c r="E262" t="inlineStr">
        <is>
          <t>KATRINEHOLM</t>
        </is>
      </c>
      <c r="G262" t="n">
        <v>6.6</v>
      </c>
      <c r="H262" t="n">
        <v>0</v>
      </c>
      <c r="I262" t="n">
        <v>0</v>
      </c>
      <c r="J262" t="n">
        <v>0</v>
      </c>
      <c r="K262" t="n">
        <v>0</v>
      </c>
      <c r="L262" t="n">
        <v>0</v>
      </c>
      <c r="M262" t="n">
        <v>0</v>
      </c>
      <c r="N262" t="n">
        <v>0</v>
      </c>
      <c r="O262" t="n">
        <v>0</v>
      </c>
      <c r="P262" t="n">
        <v>0</v>
      </c>
      <c r="Q262" t="n">
        <v>0</v>
      </c>
      <c r="R262" s="2" t="inlineStr"/>
    </row>
    <row r="263" ht="15" customHeight="1">
      <c r="A263" t="inlineStr">
        <is>
          <t>A 64605-2023</t>
        </is>
      </c>
      <c r="B263" s="1" t="n">
        <v>45281</v>
      </c>
      <c r="C263" s="1" t="n">
        <v>46203</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28582-2024</t>
        </is>
      </c>
      <c r="B264" s="1" t="n">
        <v>45478</v>
      </c>
      <c r="C264" s="1" t="n">
        <v>46203</v>
      </c>
      <c r="D264" t="inlineStr">
        <is>
          <t>SÖDERMANLANDS LÄN</t>
        </is>
      </c>
      <c r="E264" t="inlineStr">
        <is>
          <t>KATRINEHOLM</t>
        </is>
      </c>
      <c r="F264" t="inlineStr">
        <is>
          <t>Övriga Aktiebolag</t>
        </is>
      </c>
      <c r="G264" t="n">
        <v>4</v>
      </c>
      <c r="H264" t="n">
        <v>0</v>
      </c>
      <c r="I264" t="n">
        <v>0</v>
      </c>
      <c r="J264" t="n">
        <v>0</v>
      </c>
      <c r="K264" t="n">
        <v>0</v>
      </c>
      <c r="L264" t="n">
        <v>0</v>
      </c>
      <c r="M264" t="n">
        <v>0</v>
      </c>
      <c r="N264" t="n">
        <v>0</v>
      </c>
      <c r="O264" t="n">
        <v>0</v>
      </c>
      <c r="P264" t="n">
        <v>0</v>
      </c>
      <c r="Q264" t="n">
        <v>0</v>
      </c>
      <c r="R264" s="2" t="inlineStr"/>
    </row>
    <row r="265" ht="15" customHeight="1">
      <c r="A265" t="inlineStr">
        <is>
          <t>A 60678-2025</t>
        </is>
      </c>
      <c r="B265" s="1" t="n">
        <v>45996</v>
      </c>
      <c r="C265" s="1" t="n">
        <v>46203</v>
      </c>
      <c r="D265" t="inlineStr">
        <is>
          <t>SÖDERMANLANDS LÄN</t>
        </is>
      </c>
      <c r="E265" t="inlineStr">
        <is>
          <t>KATRINEHOLM</t>
        </is>
      </c>
      <c r="G265" t="n">
        <v>2</v>
      </c>
      <c r="H265" t="n">
        <v>0</v>
      </c>
      <c r="I265" t="n">
        <v>0</v>
      </c>
      <c r="J265" t="n">
        <v>0</v>
      </c>
      <c r="K265" t="n">
        <v>0</v>
      </c>
      <c r="L265" t="n">
        <v>0</v>
      </c>
      <c r="M265" t="n">
        <v>0</v>
      </c>
      <c r="N265" t="n">
        <v>0</v>
      </c>
      <c r="O265" t="n">
        <v>0</v>
      </c>
      <c r="P265" t="n">
        <v>0</v>
      </c>
      <c r="Q265" t="n">
        <v>0</v>
      </c>
      <c r="R265" s="2" t="inlineStr"/>
    </row>
    <row r="266" ht="15" customHeight="1">
      <c r="A266" t="inlineStr">
        <is>
          <t>A 26081-2024</t>
        </is>
      </c>
      <c r="B266" s="1" t="n">
        <v>45462</v>
      </c>
      <c r="C266" s="1" t="n">
        <v>46203</v>
      </c>
      <c r="D266" t="inlineStr">
        <is>
          <t>SÖDERMANLANDS LÄN</t>
        </is>
      </c>
      <c r="E266" t="inlineStr">
        <is>
          <t>KATRINEHOLM</t>
        </is>
      </c>
      <c r="G266" t="n">
        <v>4.1</v>
      </c>
      <c r="H266" t="n">
        <v>0</v>
      </c>
      <c r="I266" t="n">
        <v>0</v>
      </c>
      <c r="J266" t="n">
        <v>0</v>
      </c>
      <c r="K266" t="n">
        <v>0</v>
      </c>
      <c r="L266" t="n">
        <v>0</v>
      </c>
      <c r="M266" t="n">
        <v>0</v>
      </c>
      <c r="N266" t="n">
        <v>0</v>
      </c>
      <c r="O266" t="n">
        <v>0</v>
      </c>
      <c r="P266" t="n">
        <v>0</v>
      </c>
      <c r="Q266" t="n">
        <v>0</v>
      </c>
      <c r="R266" s="2" t="inlineStr"/>
    </row>
    <row r="267" ht="15" customHeight="1">
      <c r="A267" t="inlineStr">
        <is>
          <t>A 61121-2025</t>
        </is>
      </c>
      <c r="B267" s="1" t="n">
        <v>46000</v>
      </c>
      <c r="C267" s="1" t="n">
        <v>46203</v>
      </c>
      <c r="D267" t="inlineStr">
        <is>
          <t>SÖDERMANLANDS LÄN</t>
        </is>
      </c>
      <c r="E267" t="inlineStr">
        <is>
          <t>KATRINEHOLM</t>
        </is>
      </c>
      <c r="G267" t="n">
        <v>0.2</v>
      </c>
      <c r="H267" t="n">
        <v>0</v>
      </c>
      <c r="I267" t="n">
        <v>0</v>
      </c>
      <c r="J267" t="n">
        <v>0</v>
      </c>
      <c r="K267" t="n">
        <v>0</v>
      </c>
      <c r="L267" t="n">
        <v>0</v>
      </c>
      <c r="M267" t="n">
        <v>0</v>
      </c>
      <c r="N267" t="n">
        <v>0</v>
      </c>
      <c r="O267" t="n">
        <v>0</v>
      </c>
      <c r="P267" t="n">
        <v>0</v>
      </c>
      <c r="Q267" t="n">
        <v>0</v>
      </c>
      <c r="R267" s="2" t="inlineStr"/>
    </row>
    <row r="268" ht="15" customHeight="1">
      <c r="A268" t="inlineStr">
        <is>
          <t>A 31990-2025</t>
        </is>
      </c>
      <c r="B268" s="1" t="n">
        <v>45835</v>
      </c>
      <c r="C268" s="1" t="n">
        <v>46203</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61066-2025</t>
        </is>
      </c>
      <c r="B269" s="1" t="n">
        <v>46000</v>
      </c>
      <c r="C269" s="1" t="n">
        <v>46203</v>
      </c>
      <c r="D269" t="inlineStr">
        <is>
          <t>SÖDERMANLANDS LÄN</t>
        </is>
      </c>
      <c r="E269" t="inlineStr">
        <is>
          <t>KATRINEHOLM</t>
        </is>
      </c>
      <c r="F269" t="inlineStr">
        <is>
          <t>Kyrkan</t>
        </is>
      </c>
      <c r="G269" t="n">
        <v>5</v>
      </c>
      <c r="H269" t="n">
        <v>0</v>
      </c>
      <c r="I269" t="n">
        <v>0</v>
      </c>
      <c r="J269" t="n">
        <v>0</v>
      </c>
      <c r="K269" t="n">
        <v>0</v>
      </c>
      <c r="L269" t="n">
        <v>0</v>
      </c>
      <c r="M269" t="n">
        <v>0</v>
      </c>
      <c r="N269" t="n">
        <v>0</v>
      </c>
      <c r="O269" t="n">
        <v>0</v>
      </c>
      <c r="P269" t="n">
        <v>0</v>
      </c>
      <c r="Q269" t="n">
        <v>0</v>
      </c>
      <c r="R269" s="2" t="inlineStr"/>
    </row>
    <row r="270" ht="15" customHeight="1">
      <c r="A270" t="inlineStr">
        <is>
          <t>A 69117-2021</t>
        </is>
      </c>
      <c r="B270" s="1" t="n">
        <v>44530</v>
      </c>
      <c r="C270" s="1" t="n">
        <v>46203</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61721-2025</t>
        </is>
      </c>
      <c r="B271" s="1" t="n">
        <v>46002</v>
      </c>
      <c r="C271" s="1" t="n">
        <v>46203</v>
      </c>
      <c r="D271" t="inlineStr">
        <is>
          <t>SÖDERMANLANDS LÄN</t>
        </is>
      </c>
      <c r="E271" t="inlineStr">
        <is>
          <t>KATRINEHOLM</t>
        </is>
      </c>
      <c r="G271" t="n">
        <v>4.5</v>
      </c>
      <c r="H271" t="n">
        <v>0</v>
      </c>
      <c r="I271" t="n">
        <v>0</v>
      </c>
      <c r="J271" t="n">
        <v>0</v>
      </c>
      <c r="K271" t="n">
        <v>0</v>
      </c>
      <c r="L271" t="n">
        <v>0</v>
      </c>
      <c r="M271" t="n">
        <v>0</v>
      </c>
      <c r="N271" t="n">
        <v>0</v>
      </c>
      <c r="O271" t="n">
        <v>0</v>
      </c>
      <c r="P271" t="n">
        <v>0</v>
      </c>
      <c r="Q271" t="n">
        <v>0</v>
      </c>
      <c r="R271" s="2" t="inlineStr"/>
    </row>
    <row r="272" ht="15" customHeight="1">
      <c r="A272" t="inlineStr">
        <is>
          <t>A 38308-2021</t>
        </is>
      </c>
      <c r="B272" s="1" t="n">
        <v>44406</v>
      </c>
      <c r="C272" s="1" t="n">
        <v>46203</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55172-2022</t>
        </is>
      </c>
      <c r="B273" s="1" t="n">
        <v>44886</v>
      </c>
      <c r="C273" s="1" t="n">
        <v>46203</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67337-2021</t>
        </is>
      </c>
      <c r="B274" s="1" t="n">
        <v>44523</v>
      </c>
      <c r="C274" s="1" t="n">
        <v>46203</v>
      </c>
      <c r="D274" t="inlineStr">
        <is>
          <t>SÖDERMANLANDS LÄN</t>
        </is>
      </c>
      <c r="E274" t="inlineStr">
        <is>
          <t>KATRINEHOLM</t>
        </is>
      </c>
      <c r="G274" t="n">
        <v>5.2</v>
      </c>
      <c r="H274" t="n">
        <v>0</v>
      </c>
      <c r="I274" t="n">
        <v>0</v>
      </c>
      <c r="J274" t="n">
        <v>0</v>
      </c>
      <c r="K274" t="n">
        <v>0</v>
      </c>
      <c r="L274" t="n">
        <v>0</v>
      </c>
      <c r="M274" t="n">
        <v>0</v>
      </c>
      <c r="N274" t="n">
        <v>0</v>
      </c>
      <c r="O274" t="n">
        <v>0</v>
      </c>
      <c r="P274" t="n">
        <v>0</v>
      </c>
      <c r="Q274" t="n">
        <v>0</v>
      </c>
      <c r="R274" s="2" t="inlineStr"/>
    </row>
    <row r="275" ht="15" customHeight="1">
      <c r="A275" t="inlineStr">
        <is>
          <t>A 29394-2024</t>
        </is>
      </c>
      <c r="B275" s="1" t="n">
        <v>45483</v>
      </c>
      <c r="C275" s="1" t="n">
        <v>46203</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50032-2022</t>
        </is>
      </c>
      <c r="B276" s="1" t="n">
        <v>44860</v>
      </c>
      <c r="C276" s="1" t="n">
        <v>46203</v>
      </c>
      <c r="D276" t="inlineStr">
        <is>
          <t>SÖDERMANLANDS LÄN</t>
        </is>
      </c>
      <c r="E276" t="inlineStr">
        <is>
          <t>KATRINEHOLM</t>
        </is>
      </c>
      <c r="G276" t="n">
        <v>7.5</v>
      </c>
      <c r="H276" t="n">
        <v>0</v>
      </c>
      <c r="I276" t="n">
        <v>0</v>
      </c>
      <c r="J276" t="n">
        <v>0</v>
      </c>
      <c r="K276" t="n">
        <v>0</v>
      </c>
      <c r="L276" t="n">
        <v>0</v>
      </c>
      <c r="M276" t="n">
        <v>0</v>
      </c>
      <c r="N276" t="n">
        <v>0</v>
      </c>
      <c r="O276" t="n">
        <v>0</v>
      </c>
      <c r="P276" t="n">
        <v>0</v>
      </c>
      <c r="Q276" t="n">
        <v>0</v>
      </c>
      <c r="R276" s="2" t="inlineStr"/>
    </row>
    <row r="277" ht="15" customHeight="1">
      <c r="A277" t="inlineStr">
        <is>
          <t>A 26713-2024</t>
        </is>
      </c>
      <c r="B277" s="1" t="n">
        <v>45470</v>
      </c>
      <c r="C277" s="1" t="n">
        <v>46203</v>
      </c>
      <c r="D277" t="inlineStr">
        <is>
          <t>SÖDERMANLANDS LÄN</t>
        </is>
      </c>
      <c r="E277" t="inlineStr">
        <is>
          <t>KATRINEHOLM</t>
        </is>
      </c>
      <c r="G277" t="n">
        <v>0.7</v>
      </c>
      <c r="H277" t="n">
        <v>0</v>
      </c>
      <c r="I277" t="n">
        <v>0</v>
      </c>
      <c r="J277" t="n">
        <v>0</v>
      </c>
      <c r="K277" t="n">
        <v>0</v>
      </c>
      <c r="L277" t="n">
        <v>0</v>
      </c>
      <c r="M277" t="n">
        <v>0</v>
      </c>
      <c r="N277" t="n">
        <v>0</v>
      </c>
      <c r="O277" t="n">
        <v>0</v>
      </c>
      <c r="P277" t="n">
        <v>0</v>
      </c>
      <c r="Q277" t="n">
        <v>0</v>
      </c>
      <c r="R277" s="2" t="inlineStr"/>
    </row>
    <row r="278" ht="15" customHeight="1">
      <c r="A278" t="inlineStr">
        <is>
          <t>A 43837-2022</t>
        </is>
      </c>
      <c r="B278" s="1" t="n">
        <v>44838</v>
      </c>
      <c r="C278" s="1" t="n">
        <v>46203</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33577-2025</t>
        </is>
      </c>
      <c r="B279" s="1" t="n">
        <v>45841</v>
      </c>
      <c r="C279" s="1" t="n">
        <v>46203</v>
      </c>
      <c r="D279" t="inlineStr">
        <is>
          <t>SÖDERMANLANDS LÄN</t>
        </is>
      </c>
      <c r="E279" t="inlineStr">
        <is>
          <t>KATRINEHOLM</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57510-2021</t>
        </is>
      </c>
      <c r="B280" s="1" t="n">
        <v>44483</v>
      </c>
      <c r="C280" s="1" t="n">
        <v>46203</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6762-2025</t>
        </is>
      </c>
      <c r="B281" s="1" t="n">
        <v>45700</v>
      </c>
      <c r="C281" s="1" t="n">
        <v>46203</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20213-2025</t>
        </is>
      </c>
      <c r="B282" s="1" t="n">
        <v>45772</v>
      </c>
      <c r="C282" s="1" t="n">
        <v>46203</v>
      </c>
      <c r="D282" t="inlineStr">
        <is>
          <t>SÖDERMANLANDS LÄN</t>
        </is>
      </c>
      <c r="E282" t="inlineStr">
        <is>
          <t>KATRINEHOLM</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55732-2023</t>
        </is>
      </c>
      <c r="B283" s="1" t="n">
        <v>45239</v>
      </c>
      <c r="C283" s="1" t="n">
        <v>46203</v>
      </c>
      <c r="D283" t="inlineStr">
        <is>
          <t>SÖDERMANLANDS LÄN</t>
        </is>
      </c>
      <c r="E283" t="inlineStr">
        <is>
          <t>KATRINEHOLM</t>
        </is>
      </c>
      <c r="G283" t="n">
        <v>0.9</v>
      </c>
      <c r="H283" t="n">
        <v>0</v>
      </c>
      <c r="I283" t="n">
        <v>0</v>
      </c>
      <c r="J283" t="n">
        <v>0</v>
      </c>
      <c r="K283" t="n">
        <v>0</v>
      </c>
      <c r="L283" t="n">
        <v>0</v>
      </c>
      <c r="M283" t="n">
        <v>0</v>
      </c>
      <c r="N283" t="n">
        <v>0</v>
      </c>
      <c r="O283" t="n">
        <v>0</v>
      </c>
      <c r="P283" t="n">
        <v>0</v>
      </c>
      <c r="Q283" t="n">
        <v>0</v>
      </c>
      <c r="R283" s="2" t="inlineStr"/>
    </row>
    <row r="284" ht="15" customHeight="1">
      <c r="A284" t="inlineStr">
        <is>
          <t>A 63947-2025</t>
        </is>
      </c>
      <c r="B284" s="1" t="n">
        <v>46010</v>
      </c>
      <c r="C284" s="1" t="n">
        <v>46203</v>
      </c>
      <c r="D284" t="inlineStr">
        <is>
          <t>SÖDERMANLANDS LÄN</t>
        </is>
      </c>
      <c r="E284" t="inlineStr">
        <is>
          <t>KATRINEHOLM</t>
        </is>
      </c>
      <c r="F284" t="inlineStr">
        <is>
          <t>Allmännings- och besparingsskogar</t>
        </is>
      </c>
      <c r="G284" t="n">
        <v>4.8</v>
      </c>
      <c r="H284" t="n">
        <v>0</v>
      </c>
      <c r="I284" t="n">
        <v>0</v>
      </c>
      <c r="J284" t="n">
        <v>0</v>
      </c>
      <c r="K284" t="n">
        <v>0</v>
      </c>
      <c r="L284" t="n">
        <v>0</v>
      </c>
      <c r="M284" t="n">
        <v>0</v>
      </c>
      <c r="N284" t="n">
        <v>0</v>
      </c>
      <c r="O284" t="n">
        <v>0</v>
      </c>
      <c r="P284" t="n">
        <v>0</v>
      </c>
      <c r="Q284" t="n">
        <v>0</v>
      </c>
      <c r="R284" s="2" t="inlineStr"/>
    </row>
    <row r="285" ht="15" customHeight="1">
      <c r="A285" t="inlineStr">
        <is>
          <t>A 63949-2025</t>
        </is>
      </c>
      <c r="B285" s="1" t="n">
        <v>46010</v>
      </c>
      <c r="C285" s="1" t="n">
        <v>46203</v>
      </c>
      <c r="D285" t="inlineStr">
        <is>
          <t>SÖDERMANLANDS LÄN</t>
        </is>
      </c>
      <c r="E285" t="inlineStr">
        <is>
          <t>KATRINEHOLM</t>
        </is>
      </c>
      <c r="F285" t="inlineStr">
        <is>
          <t>Allmännings- och besparingsskogar</t>
        </is>
      </c>
      <c r="G285" t="n">
        <v>5.1</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46203</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28675-2024</t>
        </is>
      </c>
      <c r="B287" s="1" t="n">
        <v>45478</v>
      </c>
      <c r="C287" s="1" t="n">
        <v>46203</v>
      </c>
      <c r="D287" t="inlineStr">
        <is>
          <t>SÖDERMANLANDS LÄN</t>
        </is>
      </c>
      <c r="E287" t="inlineStr">
        <is>
          <t>KATRINEHOLM</t>
        </is>
      </c>
      <c r="F287" t="inlineStr">
        <is>
          <t>Övriga Aktiebolag</t>
        </is>
      </c>
      <c r="G287" t="n">
        <v>3.5</v>
      </c>
      <c r="H287" t="n">
        <v>0</v>
      </c>
      <c r="I287" t="n">
        <v>0</v>
      </c>
      <c r="J287" t="n">
        <v>0</v>
      </c>
      <c r="K287" t="n">
        <v>0</v>
      </c>
      <c r="L287" t="n">
        <v>0</v>
      </c>
      <c r="M287" t="n">
        <v>0</v>
      </c>
      <c r="N287" t="n">
        <v>0</v>
      </c>
      <c r="O287" t="n">
        <v>0</v>
      </c>
      <c r="P287" t="n">
        <v>0</v>
      </c>
      <c r="Q287" t="n">
        <v>0</v>
      </c>
      <c r="R287" s="2" t="inlineStr"/>
    </row>
    <row r="288" ht="15" customHeight="1">
      <c r="A288" t="inlineStr">
        <is>
          <t>A 27875-2024</t>
        </is>
      </c>
      <c r="B288" s="1" t="n">
        <v>45475</v>
      </c>
      <c r="C288" s="1" t="n">
        <v>46203</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63948-2025</t>
        </is>
      </c>
      <c r="B289" s="1" t="n">
        <v>46010</v>
      </c>
      <c r="C289" s="1" t="n">
        <v>46203</v>
      </c>
      <c r="D289" t="inlineStr">
        <is>
          <t>SÖDERMANLANDS LÄN</t>
        </is>
      </c>
      <c r="E289" t="inlineStr">
        <is>
          <t>KATRINEHOLM</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28995-2024</t>
        </is>
      </c>
      <c r="B290" s="1" t="n">
        <v>45481</v>
      </c>
      <c r="C290" s="1" t="n">
        <v>46203</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44989-2022</t>
        </is>
      </c>
      <c r="B291" s="1" t="n">
        <v>44840</v>
      </c>
      <c r="C291" s="1" t="n">
        <v>46203</v>
      </c>
      <c r="D291" t="inlineStr">
        <is>
          <t>SÖDERMANLANDS LÄN</t>
        </is>
      </c>
      <c r="E291" t="inlineStr">
        <is>
          <t>KATRINEHOLM</t>
        </is>
      </c>
      <c r="G291" t="n">
        <v>6</v>
      </c>
      <c r="H291" t="n">
        <v>0</v>
      </c>
      <c r="I291" t="n">
        <v>0</v>
      </c>
      <c r="J291" t="n">
        <v>0</v>
      </c>
      <c r="K291" t="n">
        <v>0</v>
      </c>
      <c r="L291" t="n">
        <v>0</v>
      </c>
      <c r="M291" t="n">
        <v>0</v>
      </c>
      <c r="N291" t="n">
        <v>0</v>
      </c>
      <c r="O291" t="n">
        <v>0</v>
      </c>
      <c r="P291" t="n">
        <v>0</v>
      </c>
      <c r="Q291" t="n">
        <v>0</v>
      </c>
      <c r="R291" s="2" t="inlineStr"/>
    </row>
    <row r="292" ht="15" customHeight="1">
      <c r="A292" t="inlineStr">
        <is>
          <t>A 48259-2022</t>
        </is>
      </c>
      <c r="B292" s="1" t="n">
        <v>44858</v>
      </c>
      <c r="C292" s="1" t="n">
        <v>46203</v>
      </c>
      <c r="D292" t="inlineStr">
        <is>
          <t>SÖDERMANLANDS LÄN</t>
        </is>
      </c>
      <c r="E292" t="inlineStr">
        <is>
          <t>KATRINEHOLM</t>
        </is>
      </c>
      <c r="G292" t="n">
        <v>3.5</v>
      </c>
      <c r="H292" t="n">
        <v>0</v>
      </c>
      <c r="I292" t="n">
        <v>0</v>
      </c>
      <c r="J292" t="n">
        <v>0</v>
      </c>
      <c r="K292" t="n">
        <v>0</v>
      </c>
      <c r="L292" t="n">
        <v>0</v>
      </c>
      <c r="M292" t="n">
        <v>0</v>
      </c>
      <c r="N292" t="n">
        <v>0</v>
      </c>
      <c r="O292" t="n">
        <v>0</v>
      </c>
      <c r="P292" t="n">
        <v>0</v>
      </c>
      <c r="Q292" t="n">
        <v>0</v>
      </c>
      <c r="R292" s="2" t="inlineStr"/>
    </row>
    <row r="293" ht="15" customHeight="1">
      <c r="A293" t="inlineStr">
        <is>
          <t>A 35165-2025</t>
        </is>
      </c>
      <c r="B293" s="1" t="n">
        <v>45852</v>
      </c>
      <c r="C293" s="1" t="n">
        <v>46203</v>
      </c>
      <c r="D293" t="inlineStr">
        <is>
          <t>SÖDERMANLANDS LÄN</t>
        </is>
      </c>
      <c r="E293" t="inlineStr">
        <is>
          <t>KATRINEHOLM</t>
        </is>
      </c>
      <c r="F293" t="inlineStr">
        <is>
          <t>Övriga Aktiebolag</t>
        </is>
      </c>
      <c r="G293" t="n">
        <v>20.7</v>
      </c>
      <c r="H293" t="n">
        <v>0</v>
      </c>
      <c r="I293" t="n">
        <v>0</v>
      </c>
      <c r="J293" t="n">
        <v>0</v>
      </c>
      <c r="K293" t="n">
        <v>0</v>
      </c>
      <c r="L293" t="n">
        <v>0</v>
      </c>
      <c r="M293" t="n">
        <v>0</v>
      </c>
      <c r="N293" t="n">
        <v>0</v>
      </c>
      <c r="O293" t="n">
        <v>0</v>
      </c>
      <c r="P293" t="n">
        <v>0</v>
      </c>
      <c r="Q293" t="n">
        <v>0</v>
      </c>
      <c r="R293" s="2" t="inlineStr"/>
    </row>
    <row r="294" ht="15" customHeight="1">
      <c r="A294" t="inlineStr">
        <is>
          <t>A 28992-2024</t>
        </is>
      </c>
      <c r="B294" s="1" t="n">
        <v>45481</v>
      </c>
      <c r="C294" s="1" t="n">
        <v>46203</v>
      </c>
      <c r="D294" t="inlineStr">
        <is>
          <t>SÖDERMANLANDS LÄN</t>
        </is>
      </c>
      <c r="E294" t="inlineStr">
        <is>
          <t>KATRINEHOLM</t>
        </is>
      </c>
      <c r="G294" t="n">
        <v>2.3</v>
      </c>
      <c r="H294" t="n">
        <v>0</v>
      </c>
      <c r="I294" t="n">
        <v>0</v>
      </c>
      <c r="J294" t="n">
        <v>0</v>
      </c>
      <c r="K294" t="n">
        <v>0</v>
      </c>
      <c r="L294" t="n">
        <v>0</v>
      </c>
      <c r="M294" t="n">
        <v>0</v>
      </c>
      <c r="N294" t="n">
        <v>0</v>
      </c>
      <c r="O294" t="n">
        <v>0</v>
      </c>
      <c r="P294" t="n">
        <v>0</v>
      </c>
      <c r="Q294" t="n">
        <v>0</v>
      </c>
      <c r="R294" s="2" t="inlineStr"/>
    </row>
    <row r="295" ht="15" customHeight="1">
      <c r="A295" t="inlineStr">
        <is>
          <t>A 34439-2025</t>
        </is>
      </c>
      <c r="B295" s="1" t="n">
        <v>45845</v>
      </c>
      <c r="C295" s="1" t="n">
        <v>46203</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35157-2025</t>
        </is>
      </c>
      <c r="B296" s="1" t="n">
        <v>45852</v>
      </c>
      <c r="C296" s="1" t="n">
        <v>46203</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35158-2025</t>
        </is>
      </c>
      <c r="B297" s="1" t="n">
        <v>45852</v>
      </c>
      <c r="C297" s="1" t="n">
        <v>46203</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2093-2025</t>
        </is>
      </c>
      <c r="B298" s="1" t="n">
        <v>45672</v>
      </c>
      <c r="C298" s="1" t="n">
        <v>46203</v>
      </c>
      <c r="D298" t="inlineStr">
        <is>
          <t>SÖDERMANLANDS LÄN</t>
        </is>
      </c>
      <c r="E298" t="inlineStr">
        <is>
          <t>KATRINEHOLM</t>
        </is>
      </c>
      <c r="G298" t="n">
        <v>1.4</v>
      </c>
      <c r="H298" t="n">
        <v>0</v>
      </c>
      <c r="I298" t="n">
        <v>0</v>
      </c>
      <c r="J298" t="n">
        <v>0</v>
      </c>
      <c r="K298" t="n">
        <v>0</v>
      </c>
      <c r="L298" t="n">
        <v>0</v>
      </c>
      <c r="M298" t="n">
        <v>0</v>
      </c>
      <c r="N298" t="n">
        <v>0</v>
      </c>
      <c r="O298" t="n">
        <v>0</v>
      </c>
      <c r="P298" t="n">
        <v>0</v>
      </c>
      <c r="Q298" t="n">
        <v>0</v>
      </c>
      <c r="R298" s="2" t="inlineStr"/>
    </row>
    <row r="299" ht="15" customHeight="1">
      <c r="A299" t="inlineStr">
        <is>
          <t>A 34176-2025</t>
        </is>
      </c>
      <c r="B299" s="1" t="n">
        <v>45845</v>
      </c>
      <c r="C299" s="1" t="n">
        <v>46203</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54873-2025</t>
        </is>
      </c>
      <c r="B300" s="1" t="n">
        <v>45967</v>
      </c>
      <c r="C300" s="1" t="n">
        <v>46203</v>
      </c>
      <c r="D300" t="inlineStr">
        <is>
          <t>SÖDERMANLANDS LÄN</t>
        </is>
      </c>
      <c r="E300" t="inlineStr">
        <is>
          <t>KATRINEHOLM</t>
        </is>
      </c>
      <c r="G300" t="n">
        <v>2.7</v>
      </c>
      <c r="H300" t="n">
        <v>0</v>
      </c>
      <c r="I300" t="n">
        <v>0</v>
      </c>
      <c r="J300" t="n">
        <v>0</v>
      </c>
      <c r="K300" t="n">
        <v>0</v>
      </c>
      <c r="L300" t="n">
        <v>0</v>
      </c>
      <c r="M300" t="n">
        <v>0</v>
      </c>
      <c r="N300" t="n">
        <v>0</v>
      </c>
      <c r="O300" t="n">
        <v>0</v>
      </c>
      <c r="P300" t="n">
        <v>0</v>
      </c>
      <c r="Q300" t="n">
        <v>0</v>
      </c>
      <c r="R300" s="2" t="inlineStr"/>
    </row>
    <row r="301" ht="15" customHeight="1">
      <c r="A301" t="inlineStr">
        <is>
          <t>A 25363-2023</t>
        </is>
      </c>
      <c r="B301" s="1" t="n">
        <v>45088</v>
      </c>
      <c r="C301" s="1" t="n">
        <v>46203</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6722-2022</t>
        </is>
      </c>
      <c r="B302" s="1" t="n">
        <v>44602</v>
      </c>
      <c r="C302" s="1" t="n">
        <v>46203</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6763-2022</t>
        </is>
      </c>
      <c r="B303" s="1" t="n">
        <v>44602</v>
      </c>
      <c r="C303" s="1" t="n">
        <v>46203</v>
      </c>
      <c r="D303" t="inlineStr">
        <is>
          <t>SÖDERMANLANDS LÄN</t>
        </is>
      </c>
      <c r="E303" t="inlineStr">
        <is>
          <t>KATRINEHOLM</t>
        </is>
      </c>
      <c r="G303" t="n">
        <v>6.7</v>
      </c>
      <c r="H303" t="n">
        <v>0</v>
      </c>
      <c r="I303" t="n">
        <v>0</v>
      </c>
      <c r="J303" t="n">
        <v>0</v>
      </c>
      <c r="K303" t="n">
        <v>0</v>
      </c>
      <c r="L303" t="n">
        <v>0</v>
      </c>
      <c r="M303" t="n">
        <v>0</v>
      </c>
      <c r="N303" t="n">
        <v>0</v>
      </c>
      <c r="O303" t="n">
        <v>0</v>
      </c>
      <c r="P303" t="n">
        <v>0</v>
      </c>
      <c r="Q303" t="n">
        <v>0</v>
      </c>
      <c r="R303" s="2" t="inlineStr"/>
    </row>
    <row r="304" ht="15" customHeight="1">
      <c r="A304" t="inlineStr">
        <is>
          <t>A 5790-2022</t>
        </is>
      </c>
      <c r="B304" s="1" t="n">
        <v>44596</v>
      </c>
      <c r="C304" s="1" t="n">
        <v>46203</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14313-2024</t>
        </is>
      </c>
      <c r="B305" s="1" t="n">
        <v>45393</v>
      </c>
      <c r="C305" s="1" t="n">
        <v>46203</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29397-2024</t>
        </is>
      </c>
      <c r="B306" s="1" t="n">
        <v>45483</v>
      </c>
      <c r="C306" s="1" t="n">
        <v>46203</v>
      </c>
      <c r="D306" t="inlineStr">
        <is>
          <t>SÖDERMANLANDS LÄN</t>
        </is>
      </c>
      <c r="E306" t="inlineStr">
        <is>
          <t>KATRINEHOLM</t>
        </is>
      </c>
      <c r="G306" t="n">
        <v>3.4</v>
      </c>
      <c r="H306" t="n">
        <v>0</v>
      </c>
      <c r="I306" t="n">
        <v>0</v>
      </c>
      <c r="J306" t="n">
        <v>0</v>
      </c>
      <c r="K306" t="n">
        <v>0</v>
      </c>
      <c r="L306" t="n">
        <v>0</v>
      </c>
      <c r="M306" t="n">
        <v>0</v>
      </c>
      <c r="N306" t="n">
        <v>0</v>
      </c>
      <c r="O306" t="n">
        <v>0</v>
      </c>
      <c r="P306" t="n">
        <v>0</v>
      </c>
      <c r="Q306" t="n">
        <v>0</v>
      </c>
      <c r="R306" s="2" t="inlineStr"/>
    </row>
    <row r="307" ht="15" customHeight="1">
      <c r="A307" t="inlineStr">
        <is>
          <t>A 44024-2021</t>
        </is>
      </c>
      <c r="B307" s="1" t="n">
        <v>44434</v>
      </c>
      <c r="C307" s="1" t="n">
        <v>46203</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33278-2024</t>
        </is>
      </c>
      <c r="B308" s="1" t="n">
        <v>45518</v>
      </c>
      <c r="C308" s="1" t="n">
        <v>46203</v>
      </c>
      <c r="D308" t="inlineStr">
        <is>
          <t>SÖDERMANLANDS LÄN</t>
        </is>
      </c>
      <c r="E308" t="inlineStr">
        <is>
          <t>KATRINEHOLM</t>
        </is>
      </c>
      <c r="G308" t="n">
        <v>2.1</v>
      </c>
      <c r="H308" t="n">
        <v>0</v>
      </c>
      <c r="I308" t="n">
        <v>0</v>
      </c>
      <c r="J308" t="n">
        <v>0</v>
      </c>
      <c r="K308" t="n">
        <v>0</v>
      </c>
      <c r="L308" t="n">
        <v>0</v>
      </c>
      <c r="M308" t="n">
        <v>0</v>
      </c>
      <c r="N308" t="n">
        <v>0</v>
      </c>
      <c r="O308" t="n">
        <v>0</v>
      </c>
      <c r="P308" t="n">
        <v>0</v>
      </c>
      <c r="Q308" t="n">
        <v>0</v>
      </c>
      <c r="R308" s="2" t="inlineStr"/>
    </row>
    <row r="309" ht="15" customHeight="1">
      <c r="A309" t="inlineStr">
        <is>
          <t>A 1114-2026</t>
        </is>
      </c>
      <c r="B309" s="1" t="n">
        <v>46030</v>
      </c>
      <c r="C309" s="1" t="n">
        <v>46203</v>
      </c>
      <c r="D309" t="inlineStr">
        <is>
          <t>SÖDERMANLANDS LÄN</t>
        </is>
      </c>
      <c r="E309" t="inlineStr">
        <is>
          <t>KATRINEHOLM</t>
        </is>
      </c>
      <c r="G309" t="n">
        <v>0.9</v>
      </c>
      <c r="H309" t="n">
        <v>0</v>
      </c>
      <c r="I309" t="n">
        <v>0</v>
      </c>
      <c r="J309" t="n">
        <v>0</v>
      </c>
      <c r="K309" t="n">
        <v>0</v>
      </c>
      <c r="L309" t="n">
        <v>0</v>
      </c>
      <c r="M309" t="n">
        <v>0</v>
      </c>
      <c r="N309" t="n">
        <v>0</v>
      </c>
      <c r="O309" t="n">
        <v>0</v>
      </c>
      <c r="P309" t="n">
        <v>0</v>
      </c>
      <c r="Q309" t="n">
        <v>0</v>
      </c>
      <c r="R309" s="2" t="inlineStr"/>
    </row>
    <row r="310" ht="15" customHeight="1">
      <c r="A310" t="inlineStr">
        <is>
          <t>A 26684-2025</t>
        </is>
      </c>
      <c r="B310" s="1" t="n">
        <v>45810</v>
      </c>
      <c r="C310" s="1" t="n">
        <v>46203</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12227-2025</t>
        </is>
      </c>
      <c r="B311" s="1" t="n">
        <v>45729</v>
      </c>
      <c r="C311" s="1" t="n">
        <v>46203</v>
      </c>
      <c r="D311" t="inlineStr">
        <is>
          <t>SÖDERMANLANDS LÄN</t>
        </is>
      </c>
      <c r="E311" t="inlineStr">
        <is>
          <t>KATRINEHOLM</t>
        </is>
      </c>
      <c r="G311" t="n">
        <v>7</v>
      </c>
      <c r="H311" t="n">
        <v>0</v>
      </c>
      <c r="I311" t="n">
        <v>0</v>
      </c>
      <c r="J311" t="n">
        <v>0</v>
      </c>
      <c r="K311" t="n">
        <v>0</v>
      </c>
      <c r="L311" t="n">
        <v>0</v>
      </c>
      <c r="M311" t="n">
        <v>0</v>
      </c>
      <c r="N311" t="n">
        <v>0</v>
      </c>
      <c r="O311" t="n">
        <v>0</v>
      </c>
      <c r="P311" t="n">
        <v>0</v>
      </c>
      <c r="Q311" t="n">
        <v>0</v>
      </c>
      <c r="R311" s="2" t="inlineStr"/>
    </row>
    <row r="312" ht="15" customHeight="1">
      <c r="A312" t="inlineStr">
        <is>
          <t>A 9714-2024</t>
        </is>
      </c>
      <c r="B312" s="1" t="n">
        <v>45362</v>
      </c>
      <c r="C312" s="1" t="n">
        <v>46203</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24619-2024</t>
        </is>
      </c>
      <c r="B313" s="1" t="n">
        <v>45460</v>
      </c>
      <c r="C313" s="1" t="n">
        <v>46203</v>
      </c>
      <c r="D313" t="inlineStr">
        <is>
          <t>SÖDERMANLANDS LÄN</t>
        </is>
      </c>
      <c r="E313" t="inlineStr">
        <is>
          <t>KATRINEHOLM</t>
        </is>
      </c>
      <c r="G313" t="n">
        <v>4.7</v>
      </c>
      <c r="H313" t="n">
        <v>0</v>
      </c>
      <c r="I313" t="n">
        <v>0</v>
      </c>
      <c r="J313" t="n">
        <v>0</v>
      </c>
      <c r="K313" t="n">
        <v>0</v>
      </c>
      <c r="L313" t="n">
        <v>0</v>
      </c>
      <c r="M313" t="n">
        <v>0</v>
      </c>
      <c r="N313" t="n">
        <v>0</v>
      </c>
      <c r="O313" t="n">
        <v>0</v>
      </c>
      <c r="P313" t="n">
        <v>0</v>
      </c>
      <c r="Q313" t="n">
        <v>0</v>
      </c>
      <c r="R313" s="2" t="inlineStr"/>
    </row>
    <row r="314" ht="15" customHeight="1">
      <c r="A314" t="inlineStr">
        <is>
          <t>A 9699-2024</t>
        </is>
      </c>
      <c r="B314" s="1" t="n">
        <v>45362</v>
      </c>
      <c r="C314" s="1" t="n">
        <v>46203</v>
      </c>
      <c r="D314" t="inlineStr">
        <is>
          <t>SÖDERMANLANDS LÄN</t>
        </is>
      </c>
      <c r="E314" t="inlineStr">
        <is>
          <t>KATRINEHOLM</t>
        </is>
      </c>
      <c r="G314" t="n">
        <v>7.7</v>
      </c>
      <c r="H314" t="n">
        <v>0</v>
      </c>
      <c r="I314" t="n">
        <v>0</v>
      </c>
      <c r="J314" t="n">
        <v>0</v>
      </c>
      <c r="K314" t="n">
        <v>0</v>
      </c>
      <c r="L314" t="n">
        <v>0</v>
      </c>
      <c r="M314" t="n">
        <v>0</v>
      </c>
      <c r="N314" t="n">
        <v>0</v>
      </c>
      <c r="O314" t="n">
        <v>0</v>
      </c>
      <c r="P314" t="n">
        <v>0</v>
      </c>
      <c r="Q314" t="n">
        <v>0</v>
      </c>
      <c r="R314" s="2" t="inlineStr"/>
    </row>
    <row r="315" ht="15" customHeight="1">
      <c r="A315" t="inlineStr">
        <is>
          <t>A 2672-2026</t>
        </is>
      </c>
      <c r="B315" s="1" t="n">
        <v>46037</v>
      </c>
      <c r="C315" s="1" t="n">
        <v>46203</v>
      </c>
      <c r="D315" t="inlineStr">
        <is>
          <t>SÖDERMANLANDS LÄN</t>
        </is>
      </c>
      <c r="E315" t="inlineStr">
        <is>
          <t>KATRINEHOLM</t>
        </is>
      </c>
      <c r="G315" t="n">
        <v>2.1</v>
      </c>
      <c r="H315" t="n">
        <v>0</v>
      </c>
      <c r="I315" t="n">
        <v>0</v>
      </c>
      <c r="J315" t="n">
        <v>0</v>
      </c>
      <c r="K315" t="n">
        <v>0</v>
      </c>
      <c r="L315" t="n">
        <v>0</v>
      </c>
      <c r="M315" t="n">
        <v>0</v>
      </c>
      <c r="N315" t="n">
        <v>0</v>
      </c>
      <c r="O315" t="n">
        <v>0</v>
      </c>
      <c r="P315" t="n">
        <v>0</v>
      </c>
      <c r="Q315" t="n">
        <v>0</v>
      </c>
      <c r="R315" s="2" t="inlineStr"/>
    </row>
    <row r="316" ht="15" customHeight="1">
      <c r="A316" t="inlineStr">
        <is>
          <t>A 37043-2025</t>
        </is>
      </c>
      <c r="B316" s="1" t="n">
        <v>45875</v>
      </c>
      <c r="C316" s="1" t="n">
        <v>46203</v>
      </c>
      <c r="D316" t="inlineStr">
        <is>
          <t>SÖDERMANLANDS LÄN</t>
        </is>
      </c>
      <c r="E316" t="inlineStr">
        <is>
          <t>KATRINEHOLM</t>
        </is>
      </c>
      <c r="G316" t="n">
        <v>2.2</v>
      </c>
      <c r="H316" t="n">
        <v>0</v>
      </c>
      <c r="I316" t="n">
        <v>0</v>
      </c>
      <c r="J316" t="n">
        <v>0</v>
      </c>
      <c r="K316" t="n">
        <v>0</v>
      </c>
      <c r="L316" t="n">
        <v>0</v>
      </c>
      <c r="M316" t="n">
        <v>0</v>
      </c>
      <c r="N316" t="n">
        <v>0</v>
      </c>
      <c r="O316" t="n">
        <v>0</v>
      </c>
      <c r="P316" t="n">
        <v>0</v>
      </c>
      <c r="Q316" t="n">
        <v>0</v>
      </c>
      <c r="R316" s="2" t="inlineStr"/>
    </row>
    <row r="317" ht="15" customHeight="1">
      <c r="A317" t="inlineStr">
        <is>
          <t>A 59474-2021</t>
        </is>
      </c>
      <c r="B317" s="1" t="n">
        <v>44491</v>
      </c>
      <c r="C317" s="1" t="n">
        <v>46203</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14239-2024</t>
        </is>
      </c>
      <c r="B318" s="1" t="n">
        <v>45393</v>
      </c>
      <c r="C318" s="1" t="n">
        <v>46203</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14248-2024</t>
        </is>
      </c>
      <c r="B319" s="1" t="n">
        <v>45393</v>
      </c>
      <c r="C319" s="1" t="n">
        <v>46203</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11635-2023</t>
        </is>
      </c>
      <c r="B320" s="1" t="n">
        <v>44994</v>
      </c>
      <c r="C320" s="1" t="n">
        <v>46203</v>
      </c>
      <c r="D320" t="inlineStr">
        <is>
          <t>SÖDERMANLANDS LÄN</t>
        </is>
      </c>
      <c r="E320" t="inlineStr">
        <is>
          <t>KATRINEHOLM</t>
        </is>
      </c>
      <c r="G320" t="n">
        <v>4.3</v>
      </c>
      <c r="H320" t="n">
        <v>0</v>
      </c>
      <c r="I320" t="n">
        <v>0</v>
      </c>
      <c r="J320" t="n">
        <v>0</v>
      </c>
      <c r="K320" t="n">
        <v>0</v>
      </c>
      <c r="L320" t="n">
        <v>0</v>
      </c>
      <c r="M320" t="n">
        <v>0</v>
      </c>
      <c r="N320" t="n">
        <v>0</v>
      </c>
      <c r="O320" t="n">
        <v>0</v>
      </c>
      <c r="P320" t="n">
        <v>0</v>
      </c>
      <c r="Q320" t="n">
        <v>0</v>
      </c>
      <c r="R320" s="2" t="inlineStr"/>
    </row>
    <row r="321" ht="15" customHeight="1">
      <c r="A321" t="inlineStr">
        <is>
          <t>A 10932-2023</t>
        </is>
      </c>
      <c r="B321" s="1" t="n">
        <v>44985</v>
      </c>
      <c r="C321" s="1" t="n">
        <v>46203</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11543-2025</t>
        </is>
      </c>
      <c r="B322" s="1" t="n">
        <v>45727</v>
      </c>
      <c r="C322" s="1" t="n">
        <v>46203</v>
      </c>
      <c r="D322" t="inlineStr">
        <is>
          <t>SÖDERMANLANDS LÄN</t>
        </is>
      </c>
      <c r="E322" t="inlineStr">
        <is>
          <t>KATRINEHOLM</t>
        </is>
      </c>
      <c r="G322" t="n">
        <v>3.6</v>
      </c>
      <c r="H322" t="n">
        <v>0</v>
      </c>
      <c r="I322" t="n">
        <v>0</v>
      </c>
      <c r="J322" t="n">
        <v>0</v>
      </c>
      <c r="K322" t="n">
        <v>0</v>
      </c>
      <c r="L322" t="n">
        <v>0</v>
      </c>
      <c r="M322" t="n">
        <v>0</v>
      </c>
      <c r="N322" t="n">
        <v>0</v>
      </c>
      <c r="O322" t="n">
        <v>0</v>
      </c>
      <c r="P322" t="n">
        <v>0</v>
      </c>
      <c r="Q322" t="n">
        <v>0</v>
      </c>
      <c r="R322" s="2" t="inlineStr"/>
    </row>
    <row r="323" ht="15" customHeight="1">
      <c r="A323" t="inlineStr">
        <is>
          <t>A 37827-2025</t>
        </is>
      </c>
      <c r="B323" s="1" t="n">
        <v>45881</v>
      </c>
      <c r="C323" s="1" t="n">
        <v>46203</v>
      </c>
      <c r="D323" t="inlineStr">
        <is>
          <t>SÖDERMANLANDS LÄN</t>
        </is>
      </c>
      <c r="E323" t="inlineStr">
        <is>
          <t>KATRINEHOLM</t>
        </is>
      </c>
      <c r="F323" t="inlineStr">
        <is>
          <t>Övriga Aktiebolag</t>
        </is>
      </c>
      <c r="G323" t="n">
        <v>2</v>
      </c>
      <c r="H323" t="n">
        <v>0</v>
      </c>
      <c r="I323" t="n">
        <v>0</v>
      </c>
      <c r="J323" t="n">
        <v>0</v>
      </c>
      <c r="K323" t="n">
        <v>0</v>
      </c>
      <c r="L323" t="n">
        <v>0</v>
      </c>
      <c r="M323" t="n">
        <v>0</v>
      </c>
      <c r="N323" t="n">
        <v>0</v>
      </c>
      <c r="O323" t="n">
        <v>0</v>
      </c>
      <c r="P323" t="n">
        <v>0</v>
      </c>
      <c r="Q323" t="n">
        <v>0</v>
      </c>
      <c r="R323" s="2" t="inlineStr"/>
    </row>
    <row r="324" ht="15" customHeight="1">
      <c r="A324" t="inlineStr">
        <is>
          <t>A 6087-2022</t>
        </is>
      </c>
      <c r="B324" s="1" t="n">
        <v>44599</v>
      </c>
      <c r="C324" s="1" t="n">
        <v>46203</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8957-2024</t>
        </is>
      </c>
      <c r="B325" s="1" t="n">
        <v>45357</v>
      </c>
      <c r="C325" s="1" t="n">
        <v>46203</v>
      </c>
      <c r="D325" t="inlineStr">
        <is>
          <t>SÖDERMANLANDS LÄN</t>
        </is>
      </c>
      <c r="E325" t="inlineStr">
        <is>
          <t>KATRINEHOLM</t>
        </is>
      </c>
      <c r="G325" t="n">
        <v>3.6</v>
      </c>
      <c r="H325" t="n">
        <v>0</v>
      </c>
      <c r="I325" t="n">
        <v>0</v>
      </c>
      <c r="J325" t="n">
        <v>0</v>
      </c>
      <c r="K325" t="n">
        <v>0</v>
      </c>
      <c r="L325" t="n">
        <v>0</v>
      </c>
      <c r="M325" t="n">
        <v>0</v>
      </c>
      <c r="N325" t="n">
        <v>0</v>
      </c>
      <c r="O325" t="n">
        <v>0</v>
      </c>
      <c r="P325" t="n">
        <v>0</v>
      </c>
      <c r="Q325" t="n">
        <v>0</v>
      </c>
      <c r="R325" s="2" t="inlineStr"/>
    </row>
    <row r="326" ht="15" customHeight="1">
      <c r="A326" t="inlineStr">
        <is>
          <t>A 42896-2024</t>
        </is>
      </c>
      <c r="B326" s="1" t="n">
        <v>45566</v>
      </c>
      <c r="C326" s="1" t="n">
        <v>46203</v>
      </c>
      <c r="D326" t="inlineStr">
        <is>
          <t>SÖDERMANLANDS LÄN</t>
        </is>
      </c>
      <c r="E326" t="inlineStr">
        <is>
          <t>KATRINEHOLM</t>
        </is>
      </c>
      <c r="G326" t="n">
        <v>4.3</v>
      </c>
      <c r="H326" t="n">
        <v>0</v>
      </c>
      <c r="I326" t="n">
        <v>0</v>
      </c>
      <c r="J326" t="n">
        <v>0</v>
      </c>
      <c r="K326" t="n">
        <v>0</v>
      </c>
      <c r="L326" t="n">
        <v>0</v>
      </c>
      <c r="M326" t="n">
        <v>0</v>
      </c>
      <c r="N326" t="n">
        <v>0</v>
      </c>
      <c r="O326" t="n">
        <v>0</v>
      </c>
      <c r="P326" t="n">
        <v>0</v>
      </c>
      <c r="Q326" t="n">
        <v>0</v>
      </c>
      <c r="R326" s="2" t="inlineStr"/>
    </row>
    <row r="327" ht="15" customHeight="1">
      <c r="A327" t="inlineStr">
        <is>
          <t>A 7747-2024</t>
        </is>
      </c>
      <c r="B327" s="1" t="n">
        <v>45348</v>
      </c>
      <c r="C327" s="1" t="n">
        <v>46203</v>
      </c>
      <c r="D327" t="inlineStr">
        <is>
          <t>SÖDERMANLANDS LÄN</t>
        </is>
      </c>
      <c r="E327" t="inlineStr">
        <is>
          <t>KATRINEHOLM</t>
        </is>
      </c>
      <c r="G327" t="n">
        <v>1.1</v>
      </c>
      <c r="H327" t="n">
        <v>0</v>
      </c>
      <c r="I327" t="n">
        <v>0</v>
      </c>
      <c r="J327" t="n">
        <v>0</v>
      </c>
      <c r="K327" t="n">
        <v>0</v>
      </c>
      <c r="L327" t="n">
        <v>0</v>
      </c>
      <c r="M327" t="n">
        <v>0</v>
      </c>
      <c r="N327" t="n">
        <v>0</v>
      </c>
      <c r="O327" t="n">
        <v>0</v>
      </c>
      <c r="P327" t="n">
        <v>0</v>
      </c>
      <c r="Q327" t="n">
        <v>0</v>
      </c>
      <c r="R327" s="2" t="inlineStr"/>
    </row>
    <row r="328" ht="15" customHeight="1">
      <c r="A328" t="inlineStr">
        <is>
          <t>A 7753-2024</t>
        </is>
      </c>
      <c r="B328" s="1" t="n">
        <v>45348</v>
      </c>
      <c r="C328" s="1" t="n">
        <v>46203</v>
      </c>
      <c r="D328" t="inlineStr">
        <is>
          <t>SÖDERMANLANDS LÄN</t>
        </is>
      </c>
      <c r="E328" t="inlineStr">
        <is>
          <t>KATRINEHOLM</t>
        </is>
      </c>
      <c r="G328" t="n">
        <v>13.4</v>
      </c>
      <c r="H328" t="n">
        <v>0</v>
      </c>
      <c r="I328" t="n">
        <v>0</v>
      </c>
      <c r="J328" t="n">
        <v>0</v>
      </c>
      <c r="K328" t="n">
        <v>0</v>
      </c>
      <c r="L328" t="n">
        <v>0</v>
      </c>
      <c r="M328" t="n">
        <v>0</v>
      </c>
      <c r="N328" t="n">
        <v>0</v>
      </c>
      <c r="O328" t="n">
        <v>0</v>
      </c>
      <c r="P328" t="n">
        <v>0</v>
      </c>
      <c r="Q328" t="n">
        <v>0</v>
      </c>
      <c r="R328" s="2" t="inlineStr"/>
    </row>
    <row r="329" ht="15" customHeight="1">
      <c r="A329" t="inlineStr">
        <is>
          <t>A 4889-2026</t>
        </is>
      </c>
      <c r="B329" s="1" t="n">
        <v>46048</v>
      </c>
      <c r="C329" s="1" t="n">
        <v>46203</v>
      </c>
      <c r="D329" t="inlineStr">
        <is>
          <t>SÖDERMANLANDS LÄN</t>
        </is>
      </c>
      <c r="E329" t="inlineStr">
        <is>
          <t>KATRINEHOLM</t>
        </is>
      </c>
      <c r="F329" t="inlineStr">
        <is>
          <t>Övriga Aktiebolag</t>
        </is>
      </c>
      <c r="G329" t="n">
        <v>2.4</v>
      </c>
      <c r="H329" t="n">
        <v>0</v>
      </c>
      <c r="I329" t="n">
        <v>0</v>
      </c>
      <c r="J329" t="n">
        <v>0</v>
      </c>
      <c r="K329" t="n">
        <v>0</v>
      </c>
      <c r="L329" t="n">
        <v>0</v>
      </c>
      <c r="M329" t="n">
        <v>0</v>
      </c>
      <c r="N329" t="n">
        <v>0</v>
      </c>
      <c r="O329" t="n">
        <v>0</v>
      </c>
      <c r="P329" t="n">
        <v>0</v>
      </c>
      <c r="Q329" t="n">
        <v>0</v>
      </c>
      <c r="R329" s="2" t="inlineStr"/>
    </row>
    <row r="330" ht="15" customHeight="1">
      <c r="A330" t="inlineStr">
        <is>
          <t>A 5935-2023</t>
        </is>
      </c>
      <c r="B330" s="1" t="n">
        <v>44963</v>
      </c>
      <c r="C330" s="1" t="n">
        <v>46203</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10732-2022</t>
        </is>
      </c>
      <c r="B331" s="1" t="n">
        <v>44627</v>
      </c>
      <c r="C331" s="1" t="n">
        <v>46203</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5703-2026</t>
        </is>
      </c>
      <c r="B332" s="1" t="n">
        <v>46051</v>
      </c>
      <c r="C332" s="1" t="n">
        <v>46203</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3939-2022</t>
        </is>
      </c>
      <c r="B333" s="1" t="n">
        <v>44587</v>
      </c>
      <c r="C333" s="1" t="n">
        <v>46203</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56074-2022</t>
        </is>
      </c>
      <c r="B334" s="1" t="n">
        <v>44889</v>
      </c>
      <c r="C334" s="1" t="n">
        <v>46203</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c r="T334">
        <f>HYPERLINK("https://klasma.github.io/Logging_0483/kartor/A 56074-2022 karta.png", "A 56074-2022")</f>
        <v/>
      </c>
      <c r="V334">
        <f>HYPERLINK("https://klasma.github.io/Logging_0483/klagomål/A 56074-2022 FSC-klagomål.docx", "A 56074-2022")</f>
        <v/>
      </c>
      <c r="W334">
        <f>HYPERLINK("https://klasma.github.io/Logging_0483/klagomålsmail/A 56074-2022 FSC-klagomål mail.docx", "A 56074-2022")</f>
        <v/>
      </c>
      <c r="X334">
        <f>HYPERLINK("https://klasma.github.io/Logging_0483/tillsyn/A 56074-2022 tillsynsbegäran.docx", "A 56074-2022")</f>
        <v/>
      </c>
      <c r="Y334">
        <f>HYPERLINK("https://klasma.github.io/Logging_0483/tillsynsmail/A 56074-2022 tillsynsbegäran mail.docx", "A 56074-2022")</f>
        <v/>
      </c>
    </row>
    <row r="335" ht="15" customHeight="1">
      <c r="A335" t="inlineStr">
        <is>
          <t>A 61915-2021</t>
        </is>
      </c>
      <c r="B335" s="1" t="n">
        <v>44502</v>
      </c>
      <c r="C335" s="1" t="n">
        <v>46203</v>
      </c>
      <c r="D335" t="inlineStr">
        <is>
          <t>SÖDERMANLANDS LÄN</t>
        </is>
      </c>
      <c r="E335" t="inlineStr">
        <is>
          <t>KATRINEHOLM</t>
        </is>
      </c>
      <c r="G335" t="n">
        <v>2.6</v>
      </c>
      <c r="H335" t="n">
        <v>0</v>
      </c>
      <c r="I335" t="n">
        <v>0</v>
      </c>
      <c r="J335" t="n">
        <v>0</v>
      </c>
      <c r="K335" t="n">
        <v>0</v>
      </c>
      <c r="L335" t="n">
        <v>0</v>
      </c>
      <c r="M335" t="n">
        <v>0</v>
      </c>
      <c r="N335" t="n">
        <v>0</v>
      </c>
      <c r="O335" t="n">
        <v>0</v>
      </c>
      <c r="P335" t="n">
        <v>0</v>
      </c>
      <c r="Q335" t="n">
        <v>0</v>
      </c>
      <c r="R335" s="2" t="inlineStr"/>
    </row>
    <row r="336" ht="15" customHeight="1">
      <c r="A336" t="inlineStr">
        <is>
          <t>A 4656-2023</t>
        </is>
      </c>
      <c r="B336" s="1" t="n">
        <v>44957</v>
      </c>
      <c r="C336" s="1" t="n">
        <v>46203</v>
      </c>
      <c r="D336" t="inlineStr">
        <is>
          <t>SÖDERMANLANDS LÄN</t>
        </is>
      </c>
      <c r="E336" t="inlineStr">
        <is>
          <t>KATRINEHOLM</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7513-2026</t>
        </is>
      </c>
      <c r="B337" s="1" t="n">
        <v>46059</v>
      </c>
      <c r="C337" s="1" t="n">
        <v>46203</v>
      </c>
      <c r="D337" t="inlineStr">
        <is>
          <t>SÖDERMANLANDS LÄN</t>
        </is>
      </c>
      <c r="E337" t="inlineStr">
        <is>
          <t>KATRINEHOLM</t>
        </is>
      </c>
      <c r="F337" t="inlineStr">
        <is>
          <t>Övriga Aktiebolag</t>
        </is>
      </c>
      <c r="G337" t="n">
        <v>5</v>
      </c>
      <c r="H337" t="n">
        <v>0</v>
      </c>
      <c r="I337" t="n">
        <v>0</v>
      </c>
      <c r="J337" t="n">
        <v>0</v>
      </c>
      <c r="K337" t="n">
        <v>0</v>
      </c>
      <c r="L337" t="n">
        <v>0</v>
      </c>
      <c r="M337" t="n">
        <v>0</v>
      </c>
      <c r="N337" t="n">
        <v>0</v>
      </c>
      <c r="O337" t="n">
        <v>0</v>
      </c>
      <c r="P337" t="n">
        <v>0</v>
      </c>
      <c r="Q337" t="n">
        <v>0</v>
      </c>
      <c r="R337" s="2" t="inlineStr"/>
    </row>
    <row r="338" ht="15" customHeight="1">
      <c r="A338" t="inlineStr">
        <is>
          <t>A 59093-2024</t>
        </is>
      </c>
      <c r="B338" s="1" t="n">
        <v>45636</v>
      </c>
      <c r="C338" s="1" t="n">
        <v>46203</v>
      </c>
      <c r="D338" t="inlineStr">
        <is>
          <t>SÖDERMANLANDS LÄN</t>
        </is>
      </c>
      <c r="E338" t="inlineStr">
        <is>
          <t>KATRINEHOLM</t>
        </is>
      </c>
      <c r="G338" t="n">
        <v>2.8</v>
      </c>
      <c r="H338" t="n">
        <v>0</v>
      </c>
      <c r="I338" t="n">
        <v>0</v>
      </c>
      <c r="J338" t="n">
        <v>0</v>
      </c>
      <c r="K338" t="n">
        <v>0</v>
      </c>
      <c r="L338" t="n">
        <v>0</v>
      </c>
      <c r="M338" t="n">
        <v>0</v>
      </c>
      <c r="N338" t="n">
        <v>0</v>
      </c>
      <c r="O338" t="n">
        <v>0</v>
      </c>
      <c r="P338" t="n">
        <v>0</v>
      </c>
      <c r="Q338" t="n">
        <v>0</v>
      </c>
      <c r="R338" s="2" t="inlineStr"/>
    </row>
    <row r="339" ht="15" customHeight="1">
      <c r="A339" t="inlineStr">
        <is>
          <t>A 9932-2023</t>
        </is>
      </c>
      <c r="B339" s="1" t="n">
        <v>44985</v>
      </c>
      <c r="C339" s="1" t="n">
        <v>46203</v>
      </c>
      <c r="D339" t="inlineStr">
        <is>
          <t>SÖDERMANLANDS LÄN</t>
        </is>
      </c>
      <c r="E339" t="inlineStr">
        <is>
          <t>KATRINEHOLM</t>
        </is>
      </c>
      <c r="G339" t="n">
        <v>0.3</v>
      </c>
      <c r="H339" t="n">
        <v>0</v>
      </c>
      <c r="I339" t="n">
        <v>0</v>
      </c>
      <c r="J339" t="n">
        <v>0</v>
      </c>
      <c r="K339" t="n">
        <v>0</v>
      </c>
      <c r="L339" t="n">
        <v>0</v>
      </c>
      <c r="M339" t="n">
        <v>0</v>
      </c>
      <c r="N339" t="n">
        <v>0</v>
      </c>
      <c r="O339" t="n">
        <v>0</v>
      </c>
      <c r="P339" t="n">
        <v>0</v>
      </c>
      <c r="Q339" t="n">
        <v>0</v>
      </c>
      <c r="R339" s="2" t="inlineStr"/>
    </row>
    <row r="340" ht="15" customHeight="1">
      <c r="A340" t="inlineStr">
        <is>
          <t>A 9192-2023</t>
        </is>
      </c>
      <c r="B340" s="1" t="n">
        <v>44980</v>
      </c>
      <c r="C340" s="1" t="n">
        <v>46203</v>
      </c>
      <c r="D340" t="inlineStr">
        <is>
          <t>SÖDERMANLANDS LÄN</t>
        </is>
      </c>
      <c r="E340" t="inlineStr">
        <is>
          <t>KATRINEHOLM</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15399-2022</t>
        </is>
      </c>
      <c r="B341" s="1" t="n">
        <v>44659</v>
      </c>
      <c r="C341" s="1" t="n">
        <v>46203</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11872-2023</t>
        </is>
      </c>
      <c r="B342" s="1" t="n">
        <v>44995</v>
      </c>
      <c r="C342" s="1" t="n">
        <v>46203</v>
      </c>
      <c r="D342" t="inlineStr">
        <is>
          <t>SÖDERMANLANDS LÄN</t>
        </is>
      </c>
      <c r="E342" t="inlineStr">
        <is>
          <t>KATRINEHOLM</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49092-2024</t>
        </is>
      </c>
      <c r="B343" s="1" t="n">
        <v>45594</v>
      </c>
      <c r="C343" s="1" t="n">
        <v>46203</v>
      </c>
      <c r="D343" t="inlineStr">
        <is>
          <t>SÖDERMANLANDS LÄN</t>
        </is>
      </c>
      <c r="E343" t="inlineStr">
        <is>
          <t>KATRINEHOLM</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49095-2024</t>
        </is>
      </c>
      <c r="B344" s="1" t="n">
        <v>45594</v>
      </c>
      <c r="C344" s="1" t="n">
        <v>46203</v>
      </c>
      <c r="D344" t="inlineStr">
        <is>
          <t>SÖDERMANLANDS LÄN</t>
        </is>
      </c>
      <c r="E344" t="inlineStr">
        <is>
          <t>KATRINEHOLM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36-2023</t>
        </is>
      </c>
      <c r="B345" s="1" t="n">
        <v>44928</v>
      </c>
      <c r="C345" s="1" t="n">
        <v>46203</v>
      </c>
      <c r="D345" t="inlineStr">
        <is>
          <t>SÖDERMANLANDS LÄN</t>
        </is>
      </c>
      <c r="E345" t="inlineStr">
        <is>
          <t>KATRINEHOLM</t>
        </is>
      </c>
      <c r="G345" t="n">
        <v>3.7</v>
      </c>
      <c r="H345" t="n">
        <v>0</v>
      </c>
      <c r="I345" t="n">
        <v>0</v>
      </c>
      <c r="J345" t="n">
        <v>0</v>
      </c>
      <c r="K345" t="n">
        <v>0</v>
      </c>
      <c r="L345" t="n">
        <v>0</v>
      </c>
      <c r="M345" t="n">
        <v>0</v>
      </c>
      <c r="N345" t="n">
        <v>0</v>
      </c>
      <c r="O345" t="n">
        <v>0</v>
      </c>
      <c r="P345" t="n">
        <v>0</v>
      </c>
      <c r="Q345" t="n">
        <v>0</v>
      </c>
      <c r="R345" s="2" t="inlineStr"/>
    </row>
    <row r="346" ht="15" customHeight="1">
      <c r="A346" t="inlineStr">
        <is>
          <t>A 10341-2022</t>
        </is>
      </c>
      <c r="B346" s="1" t="n">
        <v>44623</v>
      </c>
      <c r="C346" s="1" t="n">
        <v>46203</v>
      </c>
      <c r="D346" t="inlineStr">
        <is>
          <t>SÖDERMANLANDS LÄN</t>
        </is>
      </c>
      <c r="E346" t="inlineStr">
        <is>
          <t>KATRINEHOLM</t>
        </is>
      </c>
      <c r="G346" t="n">
        <v>2.3</v>
      </c>
      <c r="H346" t="n">
        <v>0</v>
      </c>
      <c r="I346" t="n">
        <v>0</v>
      </c>
      <c r="J346" t="n">
        <v>0</v>
      </c>
      <c r="K346" t="n">
        <v>0</v>
      </c>
      <c r="L346" t="n">
        <v>0</v>
      </c>
      <c r="M346" t="n">
        <v>0</v>
      </c>
      <c r="N346" t="n">
        <v>0</v>
      </c>
      <c r="O346" t="n">
        <v>0</v>
      </c>
      <c r="P346" t="n">
        <v>0</v>
      </c>
      <c r="Q346" t="n">
        <v>0</v>
      </c>
      <c r="R346" s="2" t="inlineStr"/>
    </row>
    <row r="347" ht="15" customHeight="1">
      <c r="A347" t="inlineStr">
        <is>
          <t>A 10086-2026</t>
        </is>
      </c>
      <c r="B347" s="1" t="n">
        <v>46073</v>
      </c>
      <c r="C347" s="1" t="n">
        <v>46203</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12835-2024</t>
        </is>
      </c>
      <c r="B348" s="1" t="n">
        <v>45384</v>
      </c>
      <c r="C348" s="1" t="n">
        <v>46203</v>
      </c>
      <c r="D348" t="inlineStr">
        <is>
          <t>SÖDERMANLANDS LÄN</t>
        </is>
      </c>
      <c r="E348" t="inlineStr">
        <is>
          <t>KATRINEHOLM</t>
        </is>
      </c>
      <c r="F348" t="inlineStr">
        <is>
          <t>Allmännings- och besparingsskogar</t>
        </is>
      </c>
      <c r="G348" t="n">
        <v>0.5</v>
      </c>
      <c r="H348" t="n">
        <v>0</v>
      </c>
      <c r="I348" t="n">
        <v>0</v>
      </c>
      <c r="J348" t="n">
        <v>0</v>
      </c>
      <c r="K348" t="n">
        <v>0</v>
      </c>
      <c r="L348" t="n">
        <v>0</v>
      </c>
      <c r="M348" t="n">
        <v>0</v>
      </c>
      <c r="N348" t="n">
        <v>0</v>
      </c>
      <c r="O348" t="n">
        <v>0</v>
      </c>
      <c r="P348" t="n">
        <v>0</v>
      </c>
      <c r="Q348" t="n">
        <v>0</v>
      </c>
      <c r="R348" s="2" t="inlineStr"/>
    </row>
    <row r="349" ht="15" customHeight="1">
      <c r="A349" t="inlineStr">
        <is>
          <t>A 11130-2026</t>
        </is>
      </c>
      <c r="B349" s="1" t="n">
        <v>46079</v>
      </c>
      <c r="C349" s="1" t="n">
        <v>46203</v>
      </c>
      <c r="D349" t="inlineStr">
        <is>
          <t>SÖDERMANLANDS LÄN</t>
        </is>
      </c>
      <c r="E349" t="inlineStr">
        <is>
          <t>KATRINEHOLM</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25716-2022</t>
        </is>
      </c>
      <c r="B350" s="1" t="n">
        <v>44733</v>
      </c>
      <c r="C350" s="1" t="n">
        <v>46203</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6807-2023</t>
        </is>
      </c>
      <c r="B351" s="1" t="n">
        <v>44964</v>
      </c>
      <c r="C351" s="1" t="n">
        <v>46203</v>
      </c>
      <c r="D351" t="inlineStr">
        <is>
          <t>SÖDERMANLANDS LÄN</t>
        </is>
      </c>
      <c r="E351" t="inlineStr">
        <is>
          <t>KATRINEHOLM</t>
        </is>
      </c>
      <c r="G351" t="n">
        <v>1.2</v>
      </c>
      <c r="H351" t="n">
        <v>0</v>
      </c>
      <c r="I351" t="n">
        <v>0</v>
      </c>
      <c r="J351" t="n">
        <v>0</v>
      </c>
      <c r="K351" t="n">
        <v>0</v>
      </c>
      <c r="L351" t="n">
        <v>0</v>
      </c>
      <c r="M351" t="n">
        <v>0</v>
      </c>
      <c r="N351" t="n">
        <v>0</v>
      </c>
      <c r="O351" t="n">
        <v>0</v>
      </c>
      <c r="P351" t="n">
        <v>0</v>
      </c>
      <c r="Q351" t="n">
        <v>0</v>
      </c>
      <c r="R351" s="2" t="inlineStr"/>
    </row>
    <row r="352" ht="15" customHeight="1">
      <c r="A352" t="inlineStr">
        <is>
          <t>A 9668-2023</t>
        </is>
      </c>
      <c r="B352" s="1" t="n">
        <v>44984</v>
      </c>
      <c r="C352" s="1" t="n">
        <v>46203</v>
      </c>
      <c r="D352" t="inlineStr">
        <is>
          <t>SÖDERMANLANDS LÄN</t>
        </is>
      </c>
      <c r="E352" t="inlineStr">
        <is>
          <t>KATRINEHOLM</t>
        </is>
      </c>
      <c r="G352" t="n">
        <v>4.8</v>
      </c>
      <c r="H352" t="n">
        <v>0</v>
      </c>
      <c r="I352" t="n">
        <v>0</v>
      </c>
      <c r="J352" t="n">
        <v>0</v>
      </c>
      <c r="K352" t="n">
        <v>0</v>
      </c>
      <c r="L352" t="n">
        <v>0</v>
      </c>
      <c r="M352" t="n">
        <v>0</v>
      </c>
      <c r="N352" t="n">
        <v>0</v>
      </c>
      <c r="O352" t="n">
        <v>0</v>
      </c>
      <c r="P352" t="n">
        <v>0</v>
      </c>
      <c r="Q352" t="n">
        <v>0</v>
      </c>
      <c r="R352" s="2" t="inlineStr"/>
    </row>
    <row r="353" ht="15" customHeight="1">
      <c r="A353" t="inlineStr">
        <is>
          <t>A 9044-2022</t>
        </is>
      </c>
      <c r="B353" s="1" t="n">
        <v>44602</v>
      </c>
      <c r="C353" s="1" t="n">
        <v>46203</v>
      </c>
      <c r="D353" t="inlineStr">
        <is>
          <t>SÖDERMANLANDS LÄN</t>
        </is>
      </c>
      <c r="E353" t="inlineStr">
        <is>
          <t>KATRINEHOLM</t>
        </is>
      </c>
      <c r="G353" t="n">
        <v>5.8</v>
      </c>
      <c r="H353" t="n">
        <v>0</v>
      </c>
      <c r="I353" t="n">
        <v>0</v>
      </c>
      <c r="J353" t="n">
        <v>0</v>
      </c>
      <c r="K353" t="n">
        <v>0</v>
      </c>
      <c r="L353" t="n">
        <v>0</v>
      </c>
      <c r="M353" t="n">
        <v>0</v>
      </c>
      <c r="N353" t="n">
        <v>0</v>
      </c>
      <c r="O353" t="n">
        <v>0</v>
      </c>
      <c r="P353" t="n">
        <v>0</v>
      </c>
      <c r="Q353" t="n">
        <v>0</v>
      </c>
      <c r="R353" s="2" t="inlineStr"/>
    </row>
    <row r="354" ht="15" customHeight="1">
      <c r="A354" t="inlineStr">
        <is>
          <t>A 14622-2026</t>
        </is>
      </c>
      <c r="B354" s="1" t="n">
        <v>46101</v>
      </c>
      <c r="C354" s="1" t="n">
        <v>46203</v>
      </c>
      <c r="D354" t="inlineStr">
        <is>
          <t>SÖDERMANLANDS LÄN</t>
        </is>
      </c>
      <c r="E354" t="inlineStr">
        <is>
          <t>KATRINEHOLM</t>
        </is>
      </c>
      <c r="G354" t="n">
        <v>2.5</v>
      </c>
      <c r="H354" t="n">
        <v>0</v>
      </c>
      <c r="I354" t="n">
        <v>0</v>
      </c>
      <c r="J354" t="n">
        <v>0</v>
      </c>
      <c r="K354" t="n">
        <v>0</v>
      </c>
      <c r="L354" t="n">
        <v>0</v>
      </c>
      <c r="M354" t="n">
        <v>0</v>
      </c>
      <c r="N354" t="n">
        <v>0</v>
      </c>
      <c r="O354" t="n">
        <v>0</v>
      </c>
      <c r="P354" t="n">
        <v>0</v>
      </c>
      <c r="Q354" t="n">
        <v>0</v>
      </c>
      <c r="R354" s="2" t="inlineStr"/>
    </row>
    <row r="355" ht="15" customHeight="1">
      <c r="A355" t="inlineStr">
        <is>
          <t>A 11666-2026</t>
        </is>
      </c>
      <c r="B355" s="1" t="n">
        <v>46084</v>
      </c>
      <c r="C355" s="1" t="n">
        <v>46203</v>
      </c>
      <c r="D355" t="inlineStr">
        <is>
          <t>SÖDERMANLANDS LÄN</t>
        </is>
      </c>
      <c r="E355" t="inlineStr">
        <is>
          <t>KATRINEHOLM</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11621-2026</t>
        </is>
      </c>
      <c r="B356" s="1" t="n">
        <v>46084</v>
      </c>
      <c r="C356" s="1" t="n">
        <v>46203</v>
      </c>
      <c r="D356" t="inlineStr">
        <is>
          <t>SÖDERMANLANDS LÄN</t>
        </is>
      </c>
      <c r="E356" t="inlineStr">
        <is>
          <t>KATRINEHOLM</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48091-2024</t>
        </is>
      </c>
      <c r="B357" s="1" t="n">
        <v>45590</v>
      </c>
      <c r="C357" s="1" t="n">
        <v>46203</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24097-2022</t>
        </is>
      </c>
      <c r="B358" s="1" t="n">
        <v>44725</v>
      </c>
      <c r="C358" s="1" t="n">
        <v>46203</v>
      </c>
      <c r="D358" t="inlineStr">
        <is>
          <t>SÖDERMANLANDS LÄN</t>
        </is>
      </c>
      <c r="E358" t="inlineStr">
        <is>
          <t>KATRINEHOLM</t>
        </is>
      </c>
      <c r="G358" t="n">
        <v>6.5</v>
      </c>
      <c r="H358" t="n">
        <v>0</v>
      </c>
      <c r="I358" t="n">
        <v>0</v>
      </c>
      <c r="J358" t="n">
        <v>0</v>
      </c>
      <c r="K358" t="n">
        <v>0</v>
      </c>
      <c r="L358" t="n">
        <v>0</v>
      </c>
      <c r="M358" t="n">
        <v>0</v>
      </c>
      <c r="N358" t="n">
        <v>0</v>
      </c>
      <c r="O358" t="n">
        <v>0</v>
      </c>
      <c r="P358" t="n">
        <v>0</v>
      </c>
      <c r="Q358" t="n">
        <v>0</v>
      </c>
      <c r="R358" s="2" t="inlineStr"/>
    </row>
    <row r="359" ht="15" customHeight="1">
      <c r="A359" t="inlineStr">
        <is>
          <t>A 46670-2021</t>
        </is>
      </c>
      <c r="B359" s="1" t="n">
        <v>44445</v>
      </c>
      <c r="C359" s="1" t="n">
        <v>46203</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11677-2026</t>
        </is>
      </c>
      <c r="B360" s="1" t="n">
        <v>46084</v>
      </c>
      <c r="C360" s="1" t="n">
        <v>46203</v>
      </c>
      <c r="D360" t="inlineStr">
        <is>
          <t>SÖDERMANLANDS LÄN</t>
        </is>
      </c>
      <c r="E360" t="inlineStr">
        <is>
          <t>KATRINEHOLM</t>
        </is>
      </c>
      <c r="F360" t="inlineStr">
        <is>
          <t>Holmen skog AB</t>
        </is>
      </c>
      <c r="G360" t="n">
        <v>0.7</v>
      </c>
      <c r="H360" t="n">
        <v>0</v>
      </c>
      <c r="I360" t="n">
        <v>0</v>
      </c>
      <c r="J360" t="n">
        <v>0</v>
      </c>
      <c r="K360" t="n">
        <v>0</v>
      </c>
      <c r="L360" t="n">
        <v>0</v>
      </c>
      <c r="M360" t="n">
        <v>0</v>
      </c>
      <c r="N360" t="n">
        <v>0</v>
      </c>
      <c r="O360" t="n">
        <v>0</v>
      </c>
      <c r="P360" t="n">
        <v>0</v>
      </c>
      <c r="Q360" t="n">
        <v>0</v>
      </c>
      <c r="R360" s="2" t="inlineStr"/>
    </row>
    <row r="361" ht="15" customHeight="1">
      <c r="A361" t="inlineStr">
        <is>
          <t>A 62954-2023</t>
        </is>
      </c>
      <c r="B361" s="1" t="n">
        <v>45272</v>
      </c>
      <c r="C361" s="1" t="n">
        <v>46203</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12831-2026</t>
        </is>
      </c>
      <c r="B362" s="1" t="n">
        <v>46092</v>
      </c>
      <c r="C362" s="1" t="n">
        <v>46203</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58651-2023</t>
        </is>
      </c>
      <c r="B363" s="1" t="n">
        <v>45247</v>
      </c>
      <c r="C363" s="1" t="n">
        <v>46203</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6446-2022</t>
        </is>
      </c>
      <c r="B364" s="1" t="n">
        <v>44600</v>
      </c>
      <c r="C364" s="1" t="n">
        <v>46203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13655-2026</t>
        </is>
      </c>
      <c r="B365" s="1" t="n">
        <v>46097</v>
      </c>
      <c r="C365" s="1" t="n">
        <v>46203</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13633-2026</t>
        </is>
      </c>
      <c r="B366" s="1" t="n">
        <v>46097</v>
      </c>
      <c r="C366" s="1" t="n">
        <v>46203</v>
      </c>
      <c r="D366" t="inlineStr">
        <is>
          <t>SÖDERMANLANDS LÄN</t>
        </is>
      </c>
      <c r="E366" t="inlineStr">
        <is>
          <t>KATRINEHOLM</t>
        </is>
      </c>
      <c r="G366" t="n">
        <v>1.9</v>
      </c>
      <c r="H366" t="n">
        <v>0</v>
      </c>
      <c r="I366" t="n">
        <v>0</v>
      </c>
      <c r="J366" t="n">
        <v>0</v>
      </c>
      <c r="K366" t="n">
        <v>0</v>
      </c>
      <c r="L366" t="n">
        <v>0</v>
      </c>
      <c r="M366" t="n">
        <v>0</v>
      </c>
      <c r="N366" t="n">
        <v>0</v>
      </c>
      <c r="O366" t="n">
        <v>0</v>
      </c>
      <c r="P366" t="n">
        <v>0</v>
      </c>
      <c r="Q366" t="n">
        <v>0</v>
      </c>
      <c r="R366" s="2" t="inlineStr"/>
    </row>
    <row r="367" ht="15" customHeight="1">
      <c r="A367" t="inlineStr">
        <is>
          <t>A 51923-2023</t>
        </is>
      </c>
      <c r="B367" s="1" t="n">
        <v>45223</v>
      </c>
      <c r="C367" s="1" t="n">
        <v>46203</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13630-2026</t>
        </is>
      </c>
      <c r="B368" s="1" t="n">
        <v>46097</v>
      </c>
      <c r="C368" s="1" t="n">
        <v>46203</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13632-2026</t>
        </is>
      </c>
      <c r="B369" s="1" t="n">
        <v>46097</v>
      </c>
      <c r="C369" s="1" t="n">
        <v>46203</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13841-2026</t>
        </is>
      </c>
      <c r="B370" s="1" t="n">
        <v>46098</v>
      </c>
      <c r="C370" s="1" t="n">
        <v>46203</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18386-2025</t>
        </is>
      </c>
      <c r="B371" s="1" t="n">
        <v>45762</v>
      </c>
      <c r="C371" s="1" t="n">
        <v>46203</v>
      </c>
      <c r="D371" t="inlineStr">
        <is>
          <t>SÖDERMANLANDS LÄN</t>
        </is>
      </c>
      <c r="E371" t="inlineStr">
        <is>
          <t>KATRINEHOLM</t>
        </is>
      </c>
      <c r="G371" t="n">
        <v>0.5</v>
      </c>
      <c r="H371" t="n">
        <v>0</v>
      </c>
      <c r="I371" t="n">
        <v>0</v>
      </c>
      <c r="J371" t="n">
        <v>0</v>
      </c>
      <c r="K371" t="n">
        <v>0</v>
      </c>
      <c r="L371" t="n">
        <v>0</v>
      </c>
      <c r="M371" t="n">
        <v>0</v>
      </c>
      <c r="N371" t="n">
        <v>0</v>
      </c>
      <c r="O371" t="n">
        <v>0</v>
      </c>
      <c r="P371" t="n">
        <v>0</v>
      </c>
      <c r="Q371" t="n">
        <v>0</v>
      </c>
      <c r="R371" s="2" t="inlineStr"/>
    </row>
    <row r="372" ht="15" customHeight="1">
      <c r="A372" t="inlineStr">
        <is>
          <t>A 3125-2024</t>
        </is>
      </c>
      <c r="B372" s="1" t="n">
        <v>45316</v>
      </c>
      <c r="C372" s="1" t="n">
        <v>46203</v>
      </c>
      <c r="D372" t="inlineStr">
        <is>
          <t>SÖDERMANLANDS LÄN</t>
        </is>
      </c>
      <c r="E372" t="inlineStr">
        <is>
          <t>KATRINEHOLM</t>
        </is>
      </c>
      <c r="G372" t="n">
        <v>3.4</v>
      </c>
      <c r="H372" t="n">
        <v>0</v>
      </c>
      <c r="I372" t="n">
        <v>0</v>
      </c>
      <c r="J372" t="n">
        <v>0</v>
      </c>
      <c r="K372" t="n">
        <v>0</v>
      </c>
      <c r="L372" t="n">
        <v>0</v>
      </c>
      <c r="M372" t="n">
        <v>0</v>
      </c>
      <c r="N372" t="n">
        <v>0</v>
      </c>
      <c r="O372" t="n">
        <v>0</v>
      </c>
      <c r="P372" t="n">
        <v>0</v>
      </c>
      <c r="Q372" t="n">
        <v>0</v>
      </c>
      <c r="R372" s="2" t="inlineStr"/>
    </row>
    <row r="373" ht="15" customHeight="1">
      <c r="A373" t="inlineStr">
        <is>
          <t>A 35183-2022</t>
        </is>
      </c>
      <c r="B373" s="1" t="n">
        <v>44797</v>
      </c>
      <c r="C373" s="1" t="n">
        <v>46203</v>
      </c>
      <c r="D373" t="inlineStr">
        <is>
          <t>SÖDERMANLANDS LÄN</t>
        </is>
      </c>
      <c r="E373" t="inlineStr">
        <is>
          <t>KATRINEHOLM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14770-2026</t>
        </is>
      </c>
      <c r="B374" s="1" t="n">
        <v>46101</v>
      </c>
      <c r="C374" s="1" t="n">
        <v>46203</v>
      </c>
      <c r="D374" t="inlineStr">
        <is>
          <t>SÖDERMANLANDS LÄN</t>
        </is>
      </c>
      <c r="E374" t="inlineStr">
        <is>
          <t>KATRINEHOLM</t>
        </is>
      </c>
      <c r="G374" t="n">
        <v>7.5</v>
      </c>
      <c r="H374" t="n">
        <v>0</v>
      </c>
      <c r="I374" t="n">
        <v>0</v>
      </c>
      <c r="J374" t="n">
        <v>0</v>
      </c>
      <c r="K374" t="n">
        <v>0</v>
      </c>
      <c r="L374" t="n">
        <v>0</v>
      </c>
      <c r="M374" t="n">
        <v>0</v>
      </c>
      <c r="N374" t="n">
        <v>0</v>
      </c>
      <c r="O374" t="n">
        <v>0</v>
      </c>
      <c r="P374" t="n">
        <v>0</v>
      </c>
      <c r="Q374" t="n">
        <v>0</v>
      </c>
      <c r="R374" s="2" t="inlineStr"/>
    </row>
    <row r="375" ht="15" customHeight="1">
      <c r="A375" t="inlineStr">
        <is>
          <t>A 42519-2024</t>
        </is>
      </c>
      <c r="B375" s="1" t="n">
        <v>45565</v>
      </c>
      <c r="C375" s="1" t="n">
        <v>46203</v>
      </c>
      <c r="D375" t="inlineStr">
        <is>
          <t>SÖDERMANLANDS LÄN</t>
        </is>
      </c>
      <c r="E375" t="inlineStr">
        <is>
          <t>KATRINEHOLM</t>
        </is>
      </c>
      <c r="G375" t="n">
        <v>1.7</v>
      </c>
      <c r="H375" t="n">
        <v>0</v>
      </c>
      <c r="I375" t="n">
        <v>0</v>
      </c>
      <c r="J375" t="n">
        <v>0</v>
      </c>
      <c r="K375" t="n">
        <v>0</v>
      </c>
      <c r="L375" t="n">
        <v>0</v>
      </c>
      <c r="M375" t="n">
        <v>0</v>
      </c>
      <c r="N375" t="n">
        <v>0</v>
      </c>
      <c r="O375" t="n">
        <v>0</v>
      </c>
      <c r="P375" t="n">
        <v>0</v>
      </c>
      <c r="Q375" t="n">
        <v>0</v>
      </c>
      <c r="R375" s="2" t="inlineStr"/>
    </row>
    <row r="376" ht="15" customHeight="1">
      <c r="A376" t="inlineStr">
        <is>
          <t>A 14751-2026</t>
        </is>
      </c>
      <c r="B376" s="1" t="n">
        <v>46101</v>
      </c>
      <c r="C376" s="1" t="n">
        <v>46203</v>
      </c>
      <c r="D376" t="inlineStr">
        <is>
          <t>SÖDERMANLANDS LÄN</t>
        </is>
      </c>
      <c r="E376" t="inlineStr">
        <is>
          <t>KATRINEHOLM</t>
        </is>
      </c>
      <c r="G376" t="n">
        <v>2.1</v>
      </c>
      <c r="H376" t="n">
        <v>0</v>
      </c>
      <c r="I376" t="n">
        <v>0</v>
      </c>
      <c r="J376" t="n">
        <v>0</v>
      </c>
      <c r="K376" t="n">
        <v>0</v>
      </c>
      <c r="L376" t="n">
        <v>0</v>
      </c>
      <c r="M376" t="n">
        <v>0</v>
      </c>
      <c r="N376" t="n">
        <v>0</v>
      </c>
      <c r="O376" t="n">
        <v>0</v>
      </c>
      <c r="P376" t="n">
        <v>0</v>
      </c>
      <c r="Q376" t="n">
        <v>0</v>
      </c>
      <c r="R376" s="2" t="inlineStr"/>
    </row>
    <row r="377" ht="15" customHeight="1">
      <c r="A377" t="inlineStr">
        <is>
          <t>A 20826-2022</t>
        </is>
      </c>
      <c r="B377" s="1" t="n">
        <v>44701</v>
      </c>
      <c r="C377" s="1" t="n">
        <v>46203</v>
      </c>
      <c r="D377" t="inlineStr">
        <is>
          <t>SÖDERMANLANDS LÄN</t>
        </is>
      </c>
      <c r="E377" t="inlineStr">
        <is>
          <t>KATRINEHOLM</t>
        </is>
      </c>
      <c r="G377" t="n">
        <v>6.8</v>
      </c>
      <c r="H377" t="n">
        <v>0</v>
      </c>
      <c r="I377" t="n">
        <v>0</v>
      </c>
      <c r="J377" t="n">
        <v>0</v>
      </c>
      <c r="K377" t="n">
        <v>0</v>
      </c>
      <c r="L377" t="n">
        <v>0</v>
      </c>
      <c r="M377" t="n">
        <v>0</v>
      </c>
      <c r="N377" t="n">
        <v>0</v>
      </c>
      <c r="O377" t="n">
        <v>0</v>
      </c>
      <c r="P377" t="n">
        <v>0</v>
      </c>
      <c r="Q377" t="n">
        <v>0</v>
      </c>
      <c r="R377" s="2" t="inlineStr"/>
    </row>
    <row r="378" ht="15" customHeight="1">
      <c r="A378" t="inlineStr">
        <is>
          <t>A 20846-2022</t>
        </is>
      </c>
      <c r="B378" s="1" t="n">
        <v>44701</v>
      </c>
      <c r="C378" s="1" t="n">
        <v>46203</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15191-2026</t>
        </is>
      </c>
      <c r="B379" s="1" t="n">
        <v>46105</v>
      </c>
      <c r="C379" s="1" t="n">
        <v>46203</v>
      </c>
      <c r="D379" t="inlineStr">
        <is>
          <t>SÖDERMANLANDS LÄN</t>
        </is>
      </c>
      <c r="E379" t="inlineStr">
        <is>
          <t>KATRINEHOLM</t>
        </is>
      </c>
      <c r="G379" t="n">
        <v>3.6</v>
      </c>
      <c r="H379" t="n">
        <v>0</v>
      </c>
      <c r="I379" t="n">
        <v>0</v>
      </c>
      <c r="J379" t="n">
        <v>0</v>
      </c>
      <c r="K379" t="n">
        <v>0</v>
      </c>
      <c r="L379" t="n">
        <v>0</v>
      </c>
      <c r="M379" t="n">
        <v>0</v>
      </c>
      <c r="N379" t="n">
        <v>0</v>
      </c>
      <c r="O379" t="n">
        <v>0</v>
      </c>
      <c r="P379" t="n">
        <v>0</v>
      </c>
      <c r="Q379" t="n">
        <v>0</v>
      </c>
      <c r="R379" s="2" t="inlineStr"/>
    </row>
    <row r="380" ht="15" customHeight="1">
      <c r="A380" t="inlineStr">
        <is>
          <t>A 15819-2026</t>
        </is>
      </c>
      <c r="B380" s="1" t="n">
        <v>46107</v>
      </c>
      <c r="C380" s="1" t="n">
        <v>46203</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15701-2026</t>
        </is>
      </c>
      <c r="B381" s="1" t="n">
        <v>46106</v>
      </c>
      <c r="C381" s="1" t="n">
        <v>46203</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16113-2026</t>
        </is>
      </c>
      <c r="B382" s="1" t="n">
        <v>46108</v>
      </c>
      <c r="C382" s="1" t="n">
        <v>46203</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49078-2024</t>
        </is>
      </c>
      <c r="B383" s="1" t="n">
        <v>45594</v>
      </c>
      <c r="C383" s="1" t="n">
        <v>46203</v>
      </c>
      <c r="D383" t="inlineStr">
        <is>
          <t>SÖDERMANLANDS LÄN</t>
        </is>
      </c>
      <c r="E383" t="inlineStr">
        <is>
          <t>KATRINEHOLM</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47879-2023</t>
        </is>
      </c>
      <c r="B384" s="1" t="n">
        <v>45204</v>
      </c>
      <c r="C384" s="1" t="n">
        <v>46203</v>
      </c>
      <c r="D384" t="inlineStr">
        <is>
          <t>SÖDERMANLANDS LÄN</t>
        </is>
      </c>
      <c r="E384" t="inlineStr">
        <is>
          <t>KATRINEHOLM</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12975-2022</t>
        </is>
      </c>
      <c r="B385" s="1" t="n">
        <v>44643</v>
      </c>
      <c r="C385" s="1" t="n">
        <v>46203</v>
      </c>
      <c r="D385" t="inlineStr">
        <is>
          <t>SÖDERMANLANDS LÄN</t>
        </is>
      </c>
      <c r="E385" t="inlineStr">
        <is>
          <t>KATRINEHOLM</t>
        </is>
      </c>
      <c r="G385" t="n">
        <v>2.4</v>
      </c>
      <c r="H385" t="n">
        <v>0</v>
      </c>
      <c r="I385" t="n">
        <v>0</v>
      </c>
      <c r="J385" t="n">
        <v>0</v>
      </c>
      <c r="K385" t="n">
        <v>0</v>
      </c>
      <c r="L385" t="n">
        <v>0</v>
      </c>
      <c r="M385" t="n">
        <v>0</v>
      </c>
      <c r="N385" t="n">
        <v>0</v>
      </c>
      <c r="O385" t="n">
        <v>0</v>
      </c>
      <c r="P385" t="n">
        <v>0</v>
      </c>
      <c r="Q385" t="n">
        <v>0</v>
      </c>
      <c r="R385" s="2" t="inlineStr"/>
    </row>
    <row r="386" ht="15" customHeight="1">
      <c r="A386" t="inlineStr">
        <is>
          <t>A 51260-2021</t>
        </is>
      </c>
      <c r="B386" s="1" t="n">
        <v>44461</v>
      </c>
      <c r="C386" s="1" t="n">
        <v>46203</v>
      </c>
      <c r="D386" t="inlineStr">
        <is>
          <t>SÖDERMANLANDS LÄN</t>
        </is>
      </c>
      <c r="E386" t="inlineStr">
        <is>
          <t>KATRINEHOLM</t>
        </is>
      </c>
      <c r="G386" t="n">
        <v>0.7</v>
      </c>
      <c r="H386" t="n">
        <v>0</v>
      </c>
      <c r="I386" t="n">
        <v>0</v>
      </c>
      <c r="J386" t="n">
        <v>0</v>
      </c>
      <c r="K386" t="n">
        <v>0</v>
      </c>
      <c r="L386" t="n">
        <v>0</v>
      </c>
      <c r="M386" t="n">
        <v>0</v>
      </c>
      <c r="N386" t="n">
        <v>0</v>
      </c>
      <c r="O386" t="n">
        <v>0</v>
      </c>
      <c r="P386" t="n">
        <v>0</v>
      </c>
      <c r="Q386" t="n">
        <v>0</v>
      </c>
      <c r="R386" s="2" t="inlineStr"/>
    </row>
    <row r="387" ht="15" customHeight="1">
      <c r="A387" t="inlineStr">
        <is>
          <t>A 53843-2023</t>
        </is>
      </c>
      <c r="B387" s="1" t="n">
        <v>45230</v>
      </c>
      <c r="C387" s="1" t="n">
        <v>46203</v>
      </c>
      <c r="D387" t="inlineStr">
        <is>
          <t>SÖDERMANLANDS LÄN</t>
        </is>
      </c>
      <c r="E387" t="inlineStr">
        <is>
          <t>KATRINEHOLM</t>
        </is>
      </c>
      <c r="G387" t="n">
        <v>14.2</v>
      </c>
      <c r="H387" t="n">
        <v>0</v>
      </c>
      <c r="I387" t="n">
        <v>0</v>
      </c>
      <c r="J387" t="n">
        <v>0</v>
      </c>
      <c r="K387" t="n">
        <v>0</v>
      </c>
      <c r="L387" t="n">
        <v>0</v>
      </c>
      <c r="M387" t="n">
        <v>0</v>
      </c>
      <c r="N387" t="n">
        <v>0</v>
      </c>
      <c r="O387" t="n">
        <v>0</v>
      </c>
      <c r="P387" t="n">
        <v>0</v>
      </c>
      <c r="Q387" t="n">
        <v>0</v>
      </c>
      <c r="R387" s="2" t="inlineStr"/>
    </row>
    <row r="388" ht="15" customHeight="1">
      <c r="A388" t="inlineStr">
        <is>
          <t>A 48763-2024</t>
        </is>
      </c>
      <c r="B388" s="1" t="n">
        <v>45593</v>
      </c>
      <c r="C388" s="1" t="n">
        <v>46203</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14478-2023</t>
        </is>
      </c>
      <c r="B389" s="1" t="n">
        <v>45012</v>
      </c>
      <c r="C389" s="1" t="n">
        <v>46203</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20921-2023</t>
        </is>
      </c>
      <c r="B390" s="1" t="n">
        <v>45061</v>
      </c>
      <c r="C390" s="1" t="n">
        <v>46203</v>
      </c>
      <c r="D390" t="inlineStr">
        <is>
          <t>SÖDERMANLANDS LÄN</t>
        </is>
      </c>
      <c r="E390" t="inlineStr">
        <is>
          <t>KATRINEHOLM</t>
        </is>
      </c>
      <c r="G390" t="n">
        <v>8.9</v>
      </c>
      <c r="H390" t="n">
        <v>0</v>
      </c>
      <c r="I390" t="n">
        <v>0</v>
      </c>
      <c r="J390" t="n">
        <v>0</v>
      </c>
      <c r="K390" t="n">
        <v>0</v>
      </c>
      <c r="L390" t="n">
        <v>0</v>
      </c>
      <c r="M390" t="n">
        <v>0</v>
      </c>
      <c r="N390" t="n">
        <v>0</v>
      </c>
      <c r="O390" t="n">
        <v>0</v>
      </c>
      <c r="P390" t="n">
        <v>0</v>
      </c>
      <c r="Q390" t="n">
        <v>0</v>
      </c>
      <c r="R390" s="2" t="inlineStr"/>
    </row>
    <row r="391" ht="15" customHeight="1">
      <c r="A391" t="inlineStr">
        <is>
          <t>A 12930-2023</t>
        </is>
      </c>
      <c r="B391" s="1" t="n">
        <v>45001</v>
      </c>
      <c r="C391" s="1" t="n">
        <v>46203</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12938-2023</t>
        </is>
      </c>
      <c r="B392" s="1" t="n">
        <v>45001</v>
      </c>
      <c r="C392" s="1" t="n">
        <v>46203</v>
      </c>
      <c r="D392" t="inlineStr">
        <is>
          <t>SÖDERMANLANDS LÄN</t>
        </is>
      </c>
      <c r="E392" t="inlineStr">
        <is>
          <t>KATRINEHOLM</t>
        </is>
      </c>
      <c r="G392" t="n">
        <v>0.4</v>
      </c>
      <c r="H392" t="n">
        <v>0</v>
      </c>
      <c r="I392" t="n">
        <v>0</v>
      </c>
      <c r="J392" t="n">
        <v>0</v>
      </c>
      <c r="K392" t="n">
        <v>0</v>
      </c>
      <c r="L392" t="n">
        <v>0</v>
      </c>
      <c r="M392" t="n">
        <v>0</v>
      </c>
      <c r="N392" t="n">
        <v>0</v>
      </c>
      <c r="O392" t="n">
        <v>0</v>
      </c>
      <c r="P392" t="n">
        <v>0</v>
      </c>
      <c r="Q392" t="n">
        <v>0</v>
      </c>
      <c r="R392" s="2" t="inlineStr"/>
    </row>
    <row r="393" ht="15" customHeight="1">
      <c r="A393" t="inlineStr">
        <is>
          <t>A 12559-2023</t>
        </is>
      </c>
      <c r="B393" s="1" t="n">
        <v>45000</v>
      </c>
      <c r="C393" s="1" t="n">
        <v>46203</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7704-2023</t>
        </is>
      </c>
      <c r="B394" s="1" t="n">
        <v>44968</v>
      </c>
      <c r="C394" s="1" t="n">
        <v>46203</v>
      </c>
      <c r="D394" t="inlineStr">
        <is>
          <t>SÖDERMANLANDS LÄN</t>
        </is>
      </c>
      <c r="E394" t="inlineStr">
        <is>
          <t>KATRINEHOLM</t>
        </is>
      </c>
      <c r="G394" t="n">
        <v>7.3</v>
      </c>
      <c r="H394" t="n">
        <v>0</v>
      </c>
      <c r="I394" t="n">
        <v>0</v>
      </c>
      <c r="J394" t="n">
        <v>0</v>
      </c>
      <c r="K394" t="n">
        <v>0</v>
      </c>
      <c r="L394" t="n">
        <v>0</v>
      </c>
      <c r="M394" t="n">
        <v>0</v>
      </c>
      <c r="N394" t="n">
        <v>0</v>
      </c>
      <c r="O394" t="n">
        <v>0</v>
      </c>
      <c r="P394" t="n">
        <v>0</v>
      </c>
      <c r="Q394" t="n">
        <v>0</v>
      </c>
      <c r="R394" s="2" t="inlineStr"/>
    </row>
    <row r="395" ht="15" customHeight="1">
      <c r="A395" t="inlineStr">
        <is>
          <t>A 49122-2024</t>
        </is>
      </c>
      <c r="B395" s="1" t="n">
        <v>45594</v>
      </c>
      <c r="C395" s="1" t="n">
        <v>46203</v>
      </c>
      <c r="D395" t="inlineStr">
        <is>
          <t>SÖDERMANLANDS LÄN</t>
        </is>
      </c>
      <c r="E395" t="inlineStr">
        <is>
          <t>KATRINEHOLM</t>
        </is>
      </c>
      <c r="G395" t="n">
        <v>19.4</v>
      </c>
      <c r="H395" t="n">
        <v>0</v>
      </c>
      <c r="I395" t="n">
        <v>0</v>
      </c>
      <c r="J395" t="n">
        <v>0</v>
      </c>
      <c r="K395" t="n">
        <v>0</v>
      </c>
      <c r="L395" t="n">
        <v>0</v>
      </c>
      <c r="M395" t="n">
        <v>0</v>
      </c>
      <c r="N395" t="n">
        <v>0</v>
      </c>
      <c r="O395" t="n">
        <v>0</v>
      </c>
      <c r="P395" t="n">
        <v>0</v>
      </c>
      <c r="Q395" t="n">
        <v>0</v>
      </c>
      <c r="R395" s="2" t="inlineStr"/>
    </row>
    <row r="396" ht="15" customHeight="1">
      <c r="A396" t="inlineStr">
        <is>
          <t>A 16432-2026</t>
        </is>
      </c>
      <c r="B396" s="1" t="n">
        <v>46111</v>
      </c>
      <c r="C396" s="1" t="n">
        <v>46203</v>
      </c>
      <c r="D396" t="inlineStr">
        <is>
          <t>SÖDERMANLANDS LÄN</t>
        </is>
      </c>
      <c r="E396" t="inlineStr">
        <is>
          <t>KATRINEHOLM</t>
        </is>
      </c>
      <c r="G396" t="n">
        <v>2.2</v>
      </c>
      <c r="H396" t="n">
        <v>0</v>
      </c>
      <c r="I396" t="n">
        <v>0</v>
      </c>
      <c r="J396" t="n">
        <v>0</v>
      </c>
      <c r="K396" t="n">
        <v>0</v>
      </c>
      <c r="L396" t="n">
        <v>0</v>
      </c>
      <c r="M396" t="n">
        <v>0</v>
      </c>
      <c r="N396" t="n">
        <v>0</v>
      </c>
      <c r="O396" t="n">
        <v>0</v>
      </c>
      <c r="P396" t="n">
        <v>0</v>
      </c>
      <c r="Q396" t="n">
        <v>0</v>
      </c>
      <c r="R396" s="2" t="inlineStr"/>
    </row>
    <row r="397" ht="15" customHeight="1">
      <c r="A397" t="inlineStr">
        <is>
          <t>A 11127-2023</t>
        </is>
      </c>
      <c r="B397" s="1" t="n">
        <v>44987</v>
      </c>
      <c r="C397" s="1" t="n">
        <v>46203</v>
      </c>
      <c r="D397" t="inlineStr">
        <is>
          <t>SÖDERMANLANDS LÄN</t>
        </is>
      </c>
      <c r="E397" t="inlineStr">
        <is>
          <t>KATRINEHOLM</t>
        </is>
      </c>
      <c r="G397" t="n">
        <v>4.3</v>
      </c>
      <c r="H397" t="n">
        <v>0</v>
      </c>
      <c r="I397" t="n">
        <v>0</v>
      </c>
      <c r="J397" t="n">
        <v>0</v>
      </c>
      <c r="K397" t="n">
        <v>0</v>
      </c>
      <c r="L397" t="n">
        <v>0</v>
      </c>
      <c r="M397" t="n">
        <v>0</v>
      </c>
      <c r="N397" t="n">
        <v>0</v>
      </c>
      <c r="O397" t="n">
        <v>0</v>
      </c>
      <c r="P397" t="n">
        <v>0</v>
      </c>
      <c r="Q397" t="n">
        <v>0</v>
      </c>
      <c r="R397" s="2" t="inlineStr"/>
    </row>
    <row r="398" ht="15" customHeight="1">
      <c r="A398" t="inlineStr">
        <is>
          <t>A 27345-2023</t>
        </is>
      </c>
      <c r="B398" s="1" t="n">
        <v>45096</v>
      </c>
      <c r="C398" s="1" t="n">
        <v>46203</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1151-2025</t>
        </is>
      </c>
      <c r="B399" s="1" t="n">
        <v>45666</v>
      </c>
      <c r="C399" s="1" t="n">
        <v>46203</v>
      </c>
      <c r="D399" t="inlineStr">
        <is>
          <t>SÖDERMANLANDS LÄN</t>
        </is>
      </c>
      <c r="E399" t="inlineStr">
        <is>
          <t>KATRINEHOLM</t>
        </is>
      </c>
      <c r="G399" t="n">
        <v>1.9</v>
      </c>
      <c r="H399" t="n">
        <v>0</v>
      </c>
      <c r="I399" t="n">
        <v>0</v>
      </c>
      <c r="J399" t="n">
        <v>0</v>
      </c>
      <c r="K399" t="n">
        <v>0</v>
      </c>
      <c r="L399" t="n">
        <v>0</v>
      </c>
      <c r="M399" t="n">
        <v>0</v>
      </c>
      <c r="N399" t="n">
        <v>0</v>
      </c>
      <c r="O399" t="n">
        <v>0</v>
      </c>
      <c r="P399" t="n">
        <v>0</v>
      </c>
      <c r="Q399" t="n">
        <v>0</v>
      </c>
      <c r="R399" s="2" t="inlineStr"/>
    </row>
    <row r="400" ht="15" customHeight="1">
      <c r="A400" t="inlineStr">
        <is>
          <t>A 61394-2024</t>
        </is>
      </c>
      <c r="B400" s="1" t="n">
        <v>45646</v>
      </c>
      <c r="C400" s="1" t="n">
        <v>46203</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23753-2026</t>
        </is>
      </c>
      <c r="B401" s="1" t="n">
        <v>46164</v>
      </c>
      <c r="C401" s="1" t="n">
        <v>46203</v>
      </c>
      <c r="D401" t="inlineStr">
        <is>
          <t>SÖDERMANLANDS LÄN</t>
        </is>
      </c>
      <c r="E401" t="inlineStr">
        <is>
          <t>KATRINEHOLM</t>
        </is>
      </c>
      <c r="G401" t="n">
        <v>24.4</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46203</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23806-2026</t>
        </is>
      </c>
      <c r="B403" s="1" t="n">
        <v>46164</v>
      </c>
      <c r="C403" s="1" t="n">
        <v>46203</v>
      </c>
      <c r="D403" t="inlineStr">
        <is>
          <t>SÖDERMANLANDS LÄN</t>
        </is>
      </c>
      <c r="E403" t="inlineStr">
        <is>
          <t>KATRINEHOLM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18339-2023</t>
        </is>
      </c>
      <c r="B404" s="1" t="n">
        <v>45041</v>
      </c>
      <c r="C404" s="1" t="n">
        <v>46203</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18314-2026</t>
        </is>
      </c>
      <c r="B405" s="1" t="n">
        <v>46126</v>
      </c>
      <c r="C405" s="1" t="n">
        <v>46203</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18300-2026</t>
        </is>
      </c>
      <c r="B406" s="1" t="n">
        <v>46126</v>
      </c>
      <c r="C406" s="1" t="n">
        <v>46203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18301-2026</t>
        </is>
      </c>
      <c r="B407" s="1" t="n">
        <v>46126</v>
      </c>
      <c r="C407" s="1" t="n">
        <v>46203</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18302-2026</t>
        </is>
      </c>
      <c r="B408" s="1" t="n">
        <v>46126</v>
      </c>
      <c r="C408" s="1" t="n">
        <v>46203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18383-2026</t>
        </is>
      </c>
      <c r="B409" s="1" t="n">
        <v>46126</v>
      </c>
      <c r="C409" s="1" t="n">
        <v>46203</v>
      </c>
      <c r="D409" t="inlineStr">
        <is>
          <t>SÖDERMANLANDS LÄN</t>
        </is>
      </c>
      <c r="E409" t="inlineStr">
        <is>
          <t>KATRINEHOLM</t>
        </is>
      </c>
      <c r="G409" t="n">
        <v>2.4</v>
      </c>
      <c r="H409" t="n">
        <v>0</v>
      </c>
      <c r="I409" t="n">
        <v>0</v>
      </c>
      <c r="J409" t="n">
        <v>0</v>
      </c>
      <c r="K409" t="n">
        <v>0</v>
      </c>
      <c r="L409" t="n">
        <v>0</v>
      </c>
      <c r="M409" t="n">
        <v>0</v>
      </c>
      <c r="N409" t="n">
        <v>0</v>
      </c>
      <c r="O409" t="n">
        <v>0</v>
      </c>
      <c r="P409" t="n">
        <v>0</v>
      </c>
      <c r="Q409" t="n">
        <v>0</v>
      </c>
      <c r="R409" s="2" t="inlineStr"/>
    </row>
    <row r="410" ht="15" customHeight="1">
      <c r="A410" t="inlineStr">
        <is>
          <t>A 18306-2026</t>
        </is>
      </c>
      <c r="B410" s="1" t="n">
        <v>46126</v>
      </c>
      <c r="C410" s="1" t="n">
        <v>46203</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18308-2026</t>
        </is>
      </c>
      <c r="B411" s="1" t="n">
        <v>46126</v>
      </c>
      <c r="C411" s="1" t="n">
        <v>46203</v>
      </c>
      <c r="D411" t="inlineStr">
        <is>
          <t>SÖDERMANLANDS LÄN</t>
        </is>
      </c>
      <c r="E411" t="inlineStr">
        <is>
          <t>KATRINEHOLM</t>
        </is>
      </c>
      <c r="G411" t="n">
        <v>4.2</v>
      </c>
      <c r="H411" t="n">
        <v>0</v>
      </c>
      <c r="I411" t="n">
        <v>0</v>
      </c>
      <c r="J411" t="n">
        <v>0</v>
      </c>
      <c r="K411" t="n">
        <v>0</v>
      </c>
      <c r="L411" t="n">
        <v>0</v>
      </c>
      <c r="M411" t="n">
        <v>0</v>
      </c>
      <c r="N411" t="n">
        <v>0</v>
      </c>
      <c r="O411" t="n">
        <v>0</v>
      </c>
      <c r="P411" t="n">
        <v>0</v>
      </c>
      <c r="Q411" t="n">
        <v>0</v>
      </c>
      <c r="R411" s="2" t="inlineStr"/>
    </row>
    <row r="412" ht="15" customHeight="1">
      <c r="A412" t="inlineStr">
        <is>
          <t>A 18316-2026</t>
        </is>
      </c>
      <c r="B412" s="1" t="n">
        <v>46126</v>
      </c>
      <c r="C412" s="1" t="n">
        <v>46203</v>
      </c>
      <c r="D412" t="inlineStr">
        <is>
          <t>SÖDERMANLANDS LÄN</t>
        </is>
      </c>
      <c r="E412" t="inlineStr">
        <is>
          <t>KATRINEHOLM</t>
        </is>
      </c>
      <c r="G412" t="n">
        <v>2.8</v>
      </c>
      <c r="H412" t="n">
        <v>0</v>
      </c>
      <c r="I412" t="n">
        <v>0</v>
      </c>
      <c r="J412" t="n">
        <v>0</v>
      </c>
      <c r="K412" t="n">
        <v>0</v>
      </c>
      <c r="L412" t="n">
        <v>0</v>
      </c>
      <c r="M412" t="n">
        <v>0</v>
      </c>
      <c r="N412" t="n">
        <v>0</v>
      </c>
      <c r="O412" t="n">
        <v>0</v>
      </c>
      <c r="P412" t="n">
        <v>0</v>
      </c>
      <c r="Q412" t="n">
        <v>0</v>
      </c>
      <c r="R412" s="2" t="inlineStr"/>
    </row>
    <row r="413" ht="15" customHeight="1">
      <c r="A413" t="inlineStr">
        <is>
          <t>A 18384-2026</t>
        </is>
      </c>
      <c r="B413" s="1" t="n">
        <v>46126</v>
      </c>
      <c r="C413" s="1" t="n">
        <v>46203</v>
      </c>
      <c r="D413" t="inlineStr">
        <is>
          <t>SÖDERMANLANDS LÄN</t>
        </is>
      </c>
      <c r="E413" t="inlineStr">
        <is>
          <t>KATRINEHOLM</t>
        </is>
      </c>
      <c r="G413" t="n">
        <v>2.1</v>
      </c>
      <c r="H413" t="n">
        <v>0</v>
      </c>
      <c r="I413" t="n">
        <v>0</v>
      </c>
      <c r="J413" t="n">
        <v>0</v>
      </c>
      <c r="K413" t="n">
        <v>0</v>
      </c>
      <c r="L413" t="n">
        <v>0</v>
      </c>
      <c r="M413" t="n">
        <v>0</v>
      </c>
      <c r="N413" t="n">
        <v>0</v>
      </c>
      <c r="O413" t="n">
        <v>0</v>
      </c>
      <c r="P413" t="n">
        <v>0</v>
      </c>
      <c r="Q413" t="n">
        <v>0</v>
      </c>
      <c r="R413" s="2" t="inlineStr"/>
    </row>
    <row r="414" ht="15" customHeight="1">
      <c r="A414" t="inlineStr">
        <is>
          <t>A 47889-2023</t>
        </is>
      </c>
      <c r="B414" s="1" t="n">
        <v>45204</v>
      </c>
      <c r="C414" s="1" t="n">
        <v>46203</v>
      </c>
      <c r="D414" t="inlineStr">
        <is>
          <t>SÖDERMANLANDS LÄN</t>
        </is>
      </c>
      <c r="E414" t="inlineStr">
        <is>
          <t>KATRINEHOLM</t>
        </is>
      </c>
      <c r="G414" t="n">
        <v>2.1</v>
      </c>
      <c r="H414" t="n">
        <v>0</v>
      </c>
      <c r="I414" t="n">
        <v>0</v>
      </c>
      <c r="J414" t="n">
        <v>0</v>
      </c>
      <c r="K414" t="n">
        <v>0</v>
      </c>
      <c r="L414" t="n">
        <v>0</v>
      </c>
      <c r="M414" t="n">
        <v>0</v>
      </c>
      <c r="N414" t="n">
        <v>0</v>
      </c>
      <c r="O414" t="n">
        <v>0</v>
      </c>
      <c r="P414" t="n">
        <v>0</v>
      </c>
      <c r="Q414" t="n">
        <v>0</v>
      </c>
      <c r="R414" s="2" t="inlineStr"/>
    </row>
    <row r="415" ht="15" customHeight="1">
      <c r="A415" t="inlineStr">
        <is>
          <t>A 34732-2022</t>
        </is>
      </c>
      <c r="B415" s="1" t="n">
        <v>44795</v>
      </c>
      <c r="C415" s="1" t="n">
        <v>46203</v>
      </c>
      <c r="D415" t="inlineStr">
        <is>
          <t>SÖDERMANLANDS LÄN</t>
        </is>
      </c>
      <c r="E415" t="inlineStr">
        <is>
          <t>KATRINEHOLM</t>
        </is>
      </c>
      <c r="G415" t="n">
        <v>3</v>
      </c>
      <c r="H415" t="n">
        <v>0</v>
      </c>
      <c r="I415" t="n">
        <v>0</v>
      </c>
      <c r="J415" t="n">
        <v>0</v>
      </c>
      <c r="K415" t="n">
        <v>0</v>
      </c>
      <c r="L415" t="n">
        <v>0</v>
      </c>
      <c r="M415" t="n">
        <v>0</v>
      </c>
      <c r="N415" t="n">
        <v>0</v>
      </c>
      <c r="O415" t="n">
        <v>0</v>
      </c>
      <c r="P415" t="n">
        <v>0</v>
      </c>
      <c r="Q415" t="n">
        <v>0</v>
      </c>
      <c r="R415" s="2" t="inlineStr"/>
    </row>
    <row r="416" ht="15" customHeight="1">
      <c r="A416" t="inlineStr">
        <is>
          <t>A 32166-2022</t>
        </is>
      </c>
      <c r="B416" s="1" t="n">
        <v>44781</v>
      </c>
      <c r="C416" s="1" t="n">
        <v>46203</v>
      </c>
      <c r="D416" t="inlineStr">
        <is>
          <t>SÖDERMANLANDS LÄN</t>
        </is>
      </c>
      <c r="E416" t="inlineStr">
        <is>
          <t>KATRINEHOLM</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32169-2022</t>
        </is>
      </c>
      <c r="B417" s="1" t="n">
        <v>44781</v>
      </c>
      <c r="C417" s="1" t="n">
        <v>46203</v>
      </c>
      <c r="D417" t="inlineStr">
        <is>
          <t>SÖDERMANLANDS LÄN</t>
        </is>
      </c>
      <c r="E417" t="inlineStr">
        <is>
          <t>KATRINEHOLM</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35864-2023</t>
        </is>
      </c>
      <c r="B418" s="1" t="n">
        <v>45147</v>
      </c>
      <c r="C418" s="1" t="n">
        <v>46203</v>
      </c>
      <c r="D418" t="inlineStr">
        <is>
          <t>SÖDERMANLANDS LÄN</t>
        </is>
      </c>
      <c r="E418" t="inlineStr">
        <is>
          <t>KATRINEHOLM</t>
        </is>
      </c>
      <c r="F418" t="inlineStr">
        <is>
          <t>Övriga Aktiebolag</t>
        </is>
      </c>
      <c r="G418" t="n">
        <v>4.7</v>
      </c>
      <c r="H418" t="n">
        <v>0</v>
      </c>
      <c r="I418" t="n">
        <v>0</v>
      </c>
      <c r="J418" t="n">
        <v>0</v>
      </c>
      <c r="K418" t="n">
        <v>0</v>
      </c>
      <c r="L418" t="n">
        <v>0</v>
      </c>
      <c r="M418" t="n">
        <v>0</v>
      </c>
      <c r="N418" t="n">
        <v>0</v>
      </c>
      <c r="O418" t="n">
        <v>0</v>
      </c>
      <c r="P418" t="n">
        <v>0</v>
      </c>
      <c r="Q418" t="n">
        <v>0</v>
      </c>
      <c r="R418" s="2" t="inlineStr"/>
    </row>
    <row r="419" ht="15" customHeight="1">
      <c r="A419" t="inlineStr">
        <is>
          <t>A 19187-2026</t>
        </is>
      </c>
      <c r="B419" s="1" t="n">
        <v>46132</v>
      </c>
      <c r="C419" s="1" t="n">
        <v>46203</v>
      </c>
      <c r="D419" t="inlineStr">
        <is>
          <t>SÖDERMANLANDS LÄN</t>
        </is>
      </c>
      <c r="E419" t="inlineStr">
        <is>
          <t>KATRINEHOLM</t>
        </is>
      </c>
      <c r="G419" t="n">
        <v>3.7</v>
      </c>
      <c r="H419" t="n">
        <v>0</v>
      </c>
      <c r="I419" t="n">
        <v>0</v>
      </c>
      <c r="J419" t="n">
        <v>0</v>
      </c>
      <c r="K419" t="n">
        <v>0</v>
      </c>
      <c r="L419" t="n">
        <v>0</v>
      </c>
      <c r="M419" t="n">
        <v>0</v>
      </c>
      <c r="N419" t="n">
        <v>0</v>
      </c>
      <c r="O419" t="n">
        <v>0</v>
      </c>
      <c r="P419" t="n">
        <v>0</v>
      </c>
      <c r="Q419" t="n">
        <v>0</v>
      </c>
      <c r="R419" s="2" t="inlineStr"/>
    </row>
    <row r="420" ht="15" customHeight="1">
      <c r="A420" t="inlineStr">
        <is>
          <t>A 19098-2026</t>
        </is>
      </c>
      <c r="B420" s="1" t="n">
        <v>46132</v>
      </c>
      <c r="C420" s="1" t="n">
        <v>46203</v>
      </c>
      <c r="D420" t="inlineStr">
        <is>
          <t>SÖDERMANLANDS LÄN</t>
        </is>
      </c>
      <c r="E420" t="inlineStr">
        <is>
          <t>KATRINEHOLM</t>
        </is>
      </c>
      <c r="G420" t="n">
        <v>1.2</v>
      </c>
      <c r="H420" t="n">
        <v>0</v>
      </c>
      <c r="I420" t="n">
        <v>0</v>
      </c>
      <c r="J420" t="n">
        <v>0</v>
      </c>
      <c r="K420" t="n">
        <v>0</v>
      </c>
      <c r="L420" t="n">
        <v>0</v>
      </c>
      <c r="M420" t="n">
        <v>0</v>
      </c>
      <c r="N420" t="n">
        <v>0</v>
      </c>
      <c r="O420" t="n">
        <v>0</v>
      </c>
      <c r="P420" t="n">
        <v>0</v>
      </c>
      <c r="Q420" t="n">
        <v>0</v>
      </c>
      <c r="R420" s="2" t="inlineStr"/>
    </row>
    <row r="421" ht="15" customHeight="1">
      <c r="A421" t="inlineStr">
        <is>
          <t>A 44637-2023</t>
        </is>
      </c>
      <c r="B421" s="1" t="n">
        <v>45189</v>
      </c>
      <c r="C421" s="1" t="n">
        <v>46203</v>
      </c>
      <c r="D421" t="inlineStr">
        <is>
          <t>SÖDERMANLANDS LÄN</t>
        </is>
      </c>
      <c r="E421" t="inlineStr">
        <is>
          <t>KATRINEHOLM</t>
        </is>
      </c>
      <c r="G421" t="n">
        <v>5.1</v>
      </c>
      <c r="H421" t="n">
        <v>0</v>
      </c>
      <c r="I421" t="n">
        <v>0</v>
      </c>
      <c r="J421" t="n">
        <v>0</v>
      </c>
      <c r="K421" t="n">
        <v>0</v>
      </c>
      <c r="L421" t="n">
        <v>0</v>
      </c>
      <c r="M421" t="n">
        <v>0</v>
      </c>
      <c r="N421" t="n">
        <v>0</v>
      </c>
      <c r="O421" t="n">
        <v>0</v>
      </c>
      <c r="P421" t="n">
        <v>0</v>
      </c>
      <c r="Q421" t="n">
        <v>0</v>
      </c>
      <c r="R421" s="2" t="inlineStr"/>
    </row>
    <row r="422" ht="15" customHeight="1">
      <c r="A422" t="inlineStr">
        <is>
          <t>A 18966-2026</t>
        </is>
      </c>
      <c r="B422" s="1" t="n">
        <v>46129</v>
      </c>
      <c r="C422" s="1" t="n">
        <v>46203</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46203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39055-2022</t>
        </is>
      </c>
      <c r="B424" s="1" t="n">
        <v>44817</v>
      </c>
      <c r="C424" s="1" t="n">
        <v>46203</v>
      </c>
      <c r="D424" t="inlineStr">
        <is>
          <t>SÖDERMANLANDS LÄN</t>
        </is>
      </c>
      <c r="E424" t="inlineStr">
        <is>
          <t>KATRINEHOLM</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46257-2021</t>
        </is>
      </c>
      <c r="B425" s="1" t="n">
        <v>44442</v>
      </c>
      <c r="C425" s="1" t="n">
        <v>46203</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31392-2025</t>
        </is>
      </c>
      <c r="B426" s="1" t="n">
        <v>45833</v>
      </c>
      <c r="C426" s="1" t="n">
        <v>46203</v>
      </c>
      <c r="D426" t="inlineStr">
        <is>
          <t>SÖDERMANLANDS LÄN</t>
        </is>
      </c>
      <c r="E426" t="inlineStr">
        <is>
          <t>KATRINEHOLM</t>
        </is>
      </c>
      <c r="G426" t="n">
        <v>5</v>
      </c>
      <c r="H426" t="n">
        <v>0</v>
      </c>
      <c r="I426" t="n">
        <v>0</v>
      </c>
      <c r="J426" t="n">
        <v>0</v>
      </c>
      <c r="K426" t="n">
        <v>0</v>
      </c>
      <c r="L426" t="n">
        <v>0</v>
      </c>
      <c r="M426" t="n">
        <v>0</v>
      </c>
      <c r="N426" t="n">
        <v>0</v>
      </c>
      <c r="O426" t="n">
        <v>0</v>
      </c>
      <c r="P426" t="n">
        <v>0</v>
      </c>
      <c r="Q426" t="n">
        <v>0</v>
      </c>
      <c r="R426" s="2" t="inlineStr"/>
    </row>
    <row r="427" ht="15" customHeight="1">
      <c r="A427" t="inlineStr">
        <is>
          <t>A 41793-2025</t>
        </is>
      </c>
      <c r="B427" s="1" t="n">
        <v>45902</v>
      </c>
      <c r="C427" s="1" t="n">
        <v>46203</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52769-2023</t>
        </is>
      </c>
      <c r="B428" s="1" t="n">
        <v>45226</v>
      </c>
      <c r="C428" s="1" t="n">
        <v>46203</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19813-2026</t>
        </is>
      </c>
      <c r="B429" s="1" t="n">
        <v>46135</v>
      </c>
      <c r="C429" s="1" t="n">
        <v>46203</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18309-2026</t>
        </is>
      </c>
      <c r="B430" s="1" t="n">
        <v>46126</v>
      </c>
      <c r="C430" s="1" t="n">
        <v>46203</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22336-2025</t>
        </is>
      </c>
      <c r="B431" s="1" t="n">
        <v>45786</v>
      </c>
      <c r="C431" s="1" t="n">
        <v>46203</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30386-2025</t>
        </is>
      </c>
      <c r="B432" s="1" t="n">
        <v>45827</v>
      </c>
      <c r="C432" s="1" t="n">
        <v>46203</v>
      </c>
      <c r="D432" t="inlineStr">
        <is>
          <t>SÖDERMANLANDS LÄN</t>
        </is>
      </c>
      <c r="E432" t="inlineStr">
        <is>
          <t>KATRINEHOLM</t>
        </is>
      </c>
      <c r="G432" t="n">
        <v>5.6</v>
      </c>
      <c r="H432" t="n">
        <v>0</v>
      </c>
      <c r="I432" t="n">
        <v>0</v>
      </c>
      <c r="J432" t="n">
        <v>0</v>
      </c>
      <c r="K432" t="n">
        <v>0</v>
      </c>
      <c r="L432" t="n">
        <v>0</v>
      </c>
      <c r="M432" t="n">
        <v>0</v>
      </c>
      <c r="N432" t="n">
        <v>0</v>
      </c>
      <c r="O432" t="n">
        <v>0</v>
      </c>
      <c r="P432" t="n">
        <v>0</v>
      </c>
      <c r="Q432" t="n">
        <v>0</v>
      </c>
      <c r="R432" s="2" t="inlineStr"/>
    </row>
    <row r="433" ht="15" customHeight="1">
      <c r="A433" t="inlineStr">
        <is>
          <t>A 4758-2025</t>
        </is>
      </c>
      <c r="B433" s="1" t="n">
        <v>45688</v>
      </c>
      <c r="C433" s="1" t="n">
        <v>46203</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27852-2023</t>
        </is>
      </c>
      <c r="B434" s="1" t="n">
        <v>45098</v>
      </c>
      <c r="C434" s="1" t="n">
        <v>46203</v>
      </c>
      <c r="D434" t="inlineStr">
        <is>
          <t>SÖDERMANLANDS LÄN</t>
        </is>
      </c>
      <c r="E434" t="inlineStr">
        <is>
          <t>KATRINEHOLM</t>
        </is>
      </c>
      <c r="G434" t="n">
        <v>7.4</v>
      </c>
      <c r="H434" t="n">
        <v>0</v>
      </c>
      <c r="I434" t="n">
        <v>0</v>
      </c>
      <c r="J434" t="n">
        <v>0</v>
      </c>
      <c r="K434" t="n">
        <v>0</v>
      </c>
      <c r="L434" t="n">
        <v>0</v>
      </c>
      <c r="M434" t="n">
        <v>0</v>
      </c>
      <c r="N434" t="n">
        <v>0</v>
      </c>
      <c r="O434" t="n">
        <v>0</v>
      </c>
      <c r="P434" t="n">
        <v>0</v>
      </c>
      <c r="Q434" t="n">
        <v>0</v>
      </c>
      <c r="R434" s="2" t="inlineStr"/>
    </row>
    <row r="435" ht="15" customHeight="1">
      <c r="A435" t="inlineStr">
        <is>
          <t>A 30350-2025</t>
        </is>
      </c>
      <c r="B435" s="1" t="n">
        <v>45827</v>
      </c>
      <c r="C435" s="1" t="n">
        <v>46203</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42945-2023</t>
        </is>
      </c>
      <c r="B436" s="1" t="n">
        <v>45182</v>
      </c>
      <c r="C436" s="1" t="n">
        <v>46203</v>
      </c>
      <c r="D436" t="inlineStr">
        <is>
          <t>SÖDERMANLANDS LÄN</t>
        </is>
      </c>
      <c r="E436" t="inlineStr">
        <is>
          <t>KATRINEHOLM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42962-2023</t>
        </is>
      </c>
      <c r="B437" s="1" t="n">
        <v>45182</v>
      </c>
      <c r="C437" s="1" t="n">
        <v>46203</v>
      </c>
      <c r="D437" t="inlineStr">
        <is>
          <t>SÖDERMANLANDS LÄN</t>
        </is>
      </c>
      <c r="E437" t="inlineStr">
        <is>
          <t>KATRINEHOLM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44915-2022</t>
        </is>
      </c>
      <c r="B438" s="1" t="n">
        <v>44840</v>
      </c>
      <c r="C438" s="1" t="n">
        <v>46203</v>
      </c>
      <c r="D438" t="inlineStr">
        <is>
          <t>SÖDERMANLANDS LÄN</t>
        </is>
      </c>
      <c r="E438" t="inlineStr">
        <is>
          <t>KATRINEHOLM</t>
        </is>
      </c>
      <c r="G438" t="n">
        <v>6.3</v>
      </c>
      <c r="H438" t="n">
        <v>0</v>
      </c>
      <c r="I438" t="n">
        <v>0</v>
      </c>
      <c r="J438" t="n">
        <v>0</v>
      </c>
      <c r="K438" t="n">
        <v>0</v>
      </c>
      <c r="L438" t="n">
        <v>0</v>
      </c>
      <c r="M438" t="n">
        <v>0</v>
      </c>
      <c r="N438" t="n">
        <v>0</v>
      </c>
      <c r="O438" t="n">
        <v>0</v>
      </c>
      <c r="P438" t="n">
        <v>0</v>
      </c>
      <c r="Q438" t="n">
        <v>0</v>
      </c>
      <c r="R438" s="2" t="inlineStr"/>
    </row>
    <row r="439" ht="15" customHeight="1">
      <c r="A439" t="inlineStr">
        <is>
          <t>A 28931-2024</t>
        </is>
      </c>
      <c r="B439" s="1" t="n">
        <v>45479</v>
      </c>
      <c r="C439" s="1" t="n">
        <v>46203</v>
      </c>
      <c r="D439" t="inlineStr">
        <is>
          <t>SÖDERMANLANDS LÄN</t>
        </is>
      </c>
      <c r="E439" t="inlineStr">
        <is>
          <t>KATRINEHOLM</t>
        </is>
      </c>
      <c r="G439" t="n">
        <v>7.4</v>
      </c>
      <c r="H439" t="n">
        <v>0</v>
      </c>
      <c r="I439" t="n">
        <v>0</v>
      </c>
      <c r="J439" t="n">
        <v>0</v>
      </c>
      <c r="K439" t="n">
        <v>0</v>
      </c>
      <c r="L439" t="n">
        <v>0</v>
      </c>
      <c r="M439" t="n">
        <v>0</v>
      </c>
      <c r="N439" t="n">
        <v>0</v>
      </c>
      <c r="O439" t="n">
        <v>0</v>
      </c>
      <c r="P439" t="n">
        <v>0</v>
      </c>
      <c r="Q439" t="n">
        <v>0</v>
      </c>
      <c r="R439" s="2" t="inlineStr"/>
    </row>
    <row r="440" ht="15" customHeight="1">
      <c r="A440" t="inlineStr">
        <is>
          <t>A 48097-2023</t>
        </is>
      </c>
      <c r="B440" s="1" t="n">
        <v>45205</v>
      </c>
      <c r="C440" s="1" t="n">
        <v>46203</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38019-2022</t>
        </is>
      </c>
      <c r="B441" s="1" t="n">
        <v>44811</v>
      </c>
      <c r="C441" s="1" t="n">
        <v>46203</v>
      </c>
      <c r="D441" t="inlineStr">
        <is>
          <t>SÖDERMANLANDS LÄN</t>
        </is>
      </c>
      <c r="E441" t="inlineStr">
        <is>
          <t>KATRINEHOLM</t>
        </is>
      </c>
      <c r="G441" t="n">
        <v>5.8</v>
      </c>
      <c r="H441" t="n">
        <v>0</v>
      </c>
      <c r="I441" t="n">
        <v>0</v>
      </c>
      <c r="J441" t="n">
        <v>0</v>
      </c>
      <c r="K441" t="n">
        <v>0</v>
      </c>
      <c r="L441" t="n">
        <v>0</v>
      </c>
      <c r="M441" t="n">
        <v>0</v>
      </c>
      <c r="N441" t="n">
        <v>0</v>
      </c>
      <c r="O441" t="n">
        <v>0</v>
      </c>
      <c r="P441" t="n">
        <v>0</v>
      </c>
      <c r="Q441" t="n">
        <v>0</v>
      </c>
      <c r="R441" s="2" t="inlineStr"/>
    </row>
    <row r="442" ht="15" customHeight="1">
      <c r="A442" t="inlineStr">
        <is>
          <t>A 45793-2022</t>
        </is>
      </c>
      <c r="B442" s="1" t="n">
        <v>44844</v>
      </c>
      <c r="C442" s="1" t="n">
        <v>46203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20200-2026</t>
        </is>
      </c>
      <c r="B443" s="1" t="n">
        <v>46136</v>
      </c>
      <c r="C443" s="1" t="n">
        <v>46203</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20464-2026</t>
        </is>
      </c>
      <c r="B444" s="1" t="n">
        <v>46140</v>
      </c>
      <c r="C444" s="1" t="n">
        <v>46203</v>
      </c>
      <c r="D444" t="inlineStr">
        <is>
          <t>SÖDERMANLANDS LÄN</t>
        </is>
      </c>
      <c r="E444" t="inlineStr">
        <is>
          <t>KATRINEHOLM</t>
        </is>
      </c>
      <c r="G444" t="n">
        <v>9.1</v>
      </c>
      <c r="H444" t="n">
        <v>0</v>
      </c>
      <c r="I444" t="n">
        <v>0</v>
      </c>
      <c r="J444" t="n">
        <v>0</v>
      </c>
      <c r="K444" t="n">
        <v>0</v>
      </c>
      <c r="L444" t="n">
        <v>0</v>
      </c>
      <c r="M444" t="n">
        <v>0</v>
      </c>
      <c r="N444" t="n">
        <v>0</v>
      </c>
      <c r="O444" t="n">
        <v>0</v>
      </c>
      <c r="P444" t="n">
        <v>0</v>
      </c>
      <c r="Q444" t="n">
        <v>0</v>
      </c>
      <c r="R444" s="2" t="inlineStr"/>
    </row>
    <row r="445" ht="15" customHeight="1">
      <c r="A445" t="inlineStr">
        <is>
          <t>A 30333-2023</t>
        </is>
      </c>
      <c r="B445" s="1" t="n">
        <v>45111</v>
      </c>
      <c r="C445" s="1" t="n">
        <v>46203</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28304-2024</t>
        </is>
      </c>
      <c r="B446" s="1" t="n">
        <v>45477</v>
      </c>
      <c r="C446" s="1" t="n">
        <v>46203</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55829-2025</t>
        </is>
      </c>
      <c r="B447" s="1" t="n">
        <v>45972</v>
      </c>
      <c r="C447" s="1" t="n">
        <v>46203</v>
      </c>
      <c r="D447" t="inlineStr">
        <is>
          <t>SÖDERMANLANDS LÄN</t>
        </is>
      </c>
      <c r="E447" t="inlineStr">
        <is>
          <t>KATRINEHOLM</t>
        </is>
      </c>
      <c r="G447" t="n">
        <v>3.2</v>
      </c>
      <c r="H447" t="n">
        <v>0</v>
      </c>
      <c r="I447" t="n">
        <v>0</v>
      </c>
      <c r="J447" t="n">
        <v>0</v>
      </c>
      <c r="K447" t="n">
        <v>0</v>
      </c>
      <c r="L447" t="n">
        <v>0</v>
      </c>
      <c r="M447" t="n">
        <v>0</v>
      </c>
      <c r="N447" t="n">
        <v>0</v>
      </c>
      <c r="O447" t="n">
        <v>0</v>
      </c>
      <c r="P447" t="n">
        <v>0</v>
      </c>
      <c r="Q447" t="n">
        <v>0</v>
      </c>
      <c r="R447" s="2" t="inlineStr"/>
    </row>
    <row r="448" ht="15" customHeight="1">
      <c r="A448" t="inlineStr">
        <is>
          <t>A 48685-2022</t>
        </is>
      </c>
      <c r="B448" s="1" t="n">
        <v>44859</v>
      </c>
      <c r="C448" s="1" t="n">
        <v>46203</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36133-2021</t>
        </is>
      </c>
      <c r="B449" s="1" t="n">
        <v>44386</v>
      </c>
      <c r="C449" s="1" t="n">
        <v>46203</v>
      </c>
      <c r="D449" t="inlineStr">
        <is>
          <t>SÖDERMANLANDS LÄN</t>
        </is>
      </c>
      <c r="E449" t="inlineStr">
        <is>
          <t>KATRINEHOLM</t>
        </is>
      </c>
      <c r="F449" t="inlineStr">
        <is>
          <t>Övriga Aktiebolag</t>
        </is>
      </c>
      <c r="G449" t="n">
        <v>8.9</v>
      </c>
      <c r="H449" t="n">
        <v>0</v>
      </c>
      <c r="I449" t="n">
        <v>0</v>
      </c>
      <c r="J449" t="n">
        <v>0</v>
      </c>
      <c r="K449" t="n">
        <v>0</v>
      </c>
      <c r="L449" t="n">
        <v>0</v>
      </c>
      <c r="M449" t="n">
        <v>0</v>
      </c>
      <c r="N449" t="n">
        <v>0</v>
      </c>
      <c r="O449" t="n">
        <v>0</v>
      </c>
      <c r="P449" t="n">
        <v>0</v>
      </c>
      <c r="Q449" t="n">
        <v>0</v>
      </c>
      <c r="R449" s="2" t="inlineStr"/>
    </row>
    <row r="450" ht="15" customHeight="1">
      <c r="A450" t="inlineStr">
        <is>
          <t>A 49700-2022</t>
        </is>
      </c>
      <c r="B450" s="1" t="n">
        <v>44862</v>
      </c>
      <c r="C450" s="1" t="n">
        <v>46203</v>
      </c>
      <c r="D450" t="inlineStr">
        <is>
          <t>SÖDERMANLANDS LÄN</t>
        </is>
      </c>
      <c r="E450" t="inlineStr">
        <is>
          <t>KATRINEHOLM</t>
        </is>
      </c>
      <c r="G450" t="n">
        <v>19.5</v>
      </c>
      <c r="H450" t="n">
        <v>0</v>
      </c>
      <c r="I450" t="n">
        <v>0</v>
      </c>
      <c r="J450" t="n">
        <v>0</v>
      </c>
      <c r="K450" t="n">
        <v>0</v>
      </c>
      <c r="L450" t="n">
        <v>0</v>
      </c>
      <c r="M450" t="n">
        <v>0</v>
      </c>
      <c r="N450" t="n">
        <v>0</v>
      </c>
      <c r="O450" t="n">
        <v>0</v>
      </c>
      <c r="P450" t="n">
        <v>0</v>
      </c>
      <c r="Q450" t="n">
        <v>0</v>
      </c>
      <c r="R450" s="2" t="inlineStr"/>
    </row>
    <row r="451" ht="15" customHeight="1">
      <c r="A451" t="inlineStr">
        <is>
          <t>A 22113-2025</t>
        </is>
      </c>
      <c r="B451" s="1" t="n">
        <v>45785</v>
      </c>
      <c r="C451" s="1" t="n">
        <v>46203</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20221-2026</t>
        </is>
      </c>
      <c r="B452" s="1" t="n">
        <v>46139</v>
      </c>
      <c r="C452" s="1" t="n">
        <v>46203</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28431-2024</t>
        </is>
      </c>
      <c r="B453" s="1" t="n">
        <v>45477</v>
      </c>
      <c r="C453" s="1" t="n">
        <v>46203</v>
      </c>
      <c r="D453" t="inlineStr">
        <is>
          <t>SÖDERMANLANDS LÄN</t>
        </is>
      </c>
      <c r="E453" t="inlineStr">
        <is>
          <t>KATRINEHOLM</t>
        </is>
      </c>
      <c r="G453" t="n">
        <v>3.5</v>
      </c>
      <c r="H453" t="n">
        <v>0</v>
      </c>
      <c r="I453" t="n">
        <v>0</v>
      </c>
      <c r="J453" t="n">
        <v>0</v>
      </c>
      <c r="K453" t="n">
        <v>0</v>
      </c>
      <c r="L453" t="n">
        <v>0</v>
      </c>
      <c r="M453" t="n">
        <v>0</v>
      </c>
      <c r="N453" t="n">
        <v>0</v>
      </c>
      <c r="O453" t="n">
        <v>0</v>
      </c>
      <c r="P453" t="n">
        <v>0</v>
      </c>
      <c r="Q453" t="n">
        <v>0</v>
      </c>
      <c r="R453" s="2" t="inlineStr"/>
    </row>
    <row r="454" ht="15" customHeight="1">
      <c r="A454" t="inlineStr">
        <is>
          <t>A 10891-2026</t>
        </is>
      </c>
      <c r="B454" s="1" t="n">
        <v>46078</v>
      </c>
      <c r="C454" s="1" t="n">
        <v>46203</v>
      </c>
      <c r="D454" t="inlineStr">
        <is>
          <t>SÖDERMANLANDS LÄN</t>
        </is>
      </c>
      <c r="E454" t="inlineStr">
        <is>
          <t>KATRINEHOLM</t>
        </is>
      </c>
      <c r="F454" t="inlineStr">
        <is>
          <t>Allmännings- och besparingsskogar</t>
        </is>
      </c>
      <c r="G454" t="n">
        <v>1.6</v>
      </c>
      <c r="H454" t="n">
        <v>0</v>
      </c>
      <c r="I454" t="n">
        <v>0</v>
      </c>
      <c r="J454" t="n">
        <v>0</v>
      </c>
      <c r="K454" t="n">
        <v>0</v>
      </c>
      <c r="L454" t="n">
        <v>0</v>
      </c>
      <c r="M454" t="n">
        <v>0</v>
      </c>
      <c r="N454" t="n">
        <v>0</v>
      </c>
      <c r="O454" t="n">
        <v>0</v>
      </c>
      <c r="P454" t="n">
        <v>0</v>
      </c>
      <c r="Q454" t="n">
        <v>0</v>
      </c>
      <c r="R454" s="2" t="inlineStr"/>
    </row>
    <row r="455" ht="15" customHeight="1">
      <c r="A455" t="inlineStr">
        <is>
          <t>A 36590-2025</t>
        </is>
      </c>
      <c r="B455" s="1" t="n">
        <v>45870</v>
      </c>
      <c r="C455" s="1" t="n">
        <v>46203</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20185-2026</t>
        </is>
      </c>
      <c r="B456" s="1" t="n">
        <v>46136</v>
      </c>
      <c r="C456" s="1" t="n">
        <v>46203</v>
      </c>
      <c r="D456" t="inlineStr">
        <is>
          <t>SÖDERMANLANDS LÄN</t>
        </is>
      </c>
      <c r="E456" t="inlineStr">
        <is>
          <t>KATRINEHOLM</t>
        </is>
      </c>
      <c r="G456" t="n">
        <v>2.7</v>
      </c>
      <c r="H456" t="n">
        <v>0</v>
      </c>
      <c r="I456" t="n">
        <v>0</v>
      </c>
      <c r="J456" t="n">
        <v>0</v>
      </c>
      <c r="K456" t="n">
        <v>0</v>
      </c>
      <c r="L456" t="n">
        <v>0</v>
      </c>
      <c r="M456" t="n">
        <v>0</v>
      </c>
      <c r="N456" t="n">
        <v>0</v>
      </c>
      <c r="O456" t="n">
        <v>0</v>
      </c>
      <c r="P456" t="n">
        <v>0</v>
      </c>
      <c r="Q456" t="n">
        <v>0</v>
      </c>
      <c r="R456" s="2" t="inlineStr"/>
    </row>
    <row r="457" ht="15" customHeight="1">
      <c r="A457" t="inlineStr">
        <is>
          <t>A 30276-2023</t>
        </is>
      </c>
      <c r="B457" s="1" t="n">
        <v>45110</v>
      </c>
      <c r="C457" s="1" t="n">
        <v>46203</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54395-2025</t>
        </is>
      </c>
      <c r="B458" s="1" t="n">
        <v>45964</v>
      </c>
      <c r="C458" s="1" t="n">
        <v>46203</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20202-2026</t>
        </is>
      </c>
      <c r="B459" s="1" t="n">
        <v>46136</v>
      </c>
      <c r="C459" s="1" t="n">
        <v>46203</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26553-2026</t>
        </is>
      </c>
      <c r="B460" s="1" t="n">
        <v>46183</v>
      </c>
      <c r="C460" s="1" t="n">
        <v>46203</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26498-2026</t>
        </is>
      </c>
      <c r="B461" s="1" t="n">
        <v>46183</v>
      </c>
      <c r="C461" s="1" t="n">
        <v>46203</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46203</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26483-2026</t>
        </is>
      </c>
      <c r="B463" s="1" t="n">
        <v>46183</v>
      </c>
      <c r="C463" s="1" t="n">
        <v>46203</v>
      </c>
      <c r="D463" t="inlineStr">
        <is>
          <t>SÖDERMANLANDS LÄN</t>
        </is>
      </c>
      <c r="E463" t="inlineStr">
        <is>
          <t>KATRINEHOLM</t>
        </is>
      </c>
      <c r="G463" t="n">
        <v>10.6</v>
      </c>
      <c r="H463" t="n">
        <v>0</v>
      </c>
      <c r="I463" t="n">
        <v>0</v>
      </c>
      <c r="J463" t="n">
        <v>0</v>
      </c>
      <c r="K463" t="n">
        <v>0</v>
      </c>
      <c r="L463" t="n">
        <v>0</v>
      </c>
      <c r="M463" t="n">
        <v>0</v>
      </c>
      <c r="N463" t="n">
        <v>0</v>
      </c>
      <c r="O463" t="n">
        <v>0</v>
      </c>
      <c r="P463" t="n">
        <v>0</v>
      </c>
      <c r="Q463" t="n">
        <v>0</v>
      </c>
      <c r="R463" s="2" t="inlineStr"/>
    </row>
    <row r="464" ht="15" customHeight="1">
      <c r="A464" t="inlineStr">
        <is>
          <t>A 20956-2026</t>
        </is>
      </c>
      <c r="B464" s="1" t="n">
        <v>46142</v>
      </c>
      <c r="C464" s="1" t="n">
        <v>46203</v>
      </c>
      <c r="D464" t="inlineStr">
        <is>
          <t>SÖDERMANLANDS LÄN</t>
        </is>
      </c>
      <c r="E464" t="inlineStr">
        <is>
          <t>KATRINEHOLM</t>
        </is>
      </c>
      <c r="G464" t="n">
        <v>3.6</v>
      </c>
      <c r="H464" t="n">
        <v>0</v>
      </c>
      <c r="I464" t="n">
        <v>0</v>
      </c>
      <c r="J464" t="n">
        <v>0</v>
      </c>
      <c r="K464" t="n">
        <v>0</v>
      </c>
      <c r="L464" t="n">
        <v>0</v>
      </c>
      <c r="M464" t="n">
        <v>0</v>
      </c>
      <c r="N464" t="n">
        <v>0</v>
      </c>
      <c r="O464" t="n">
        <v>0</v>
      </c>
      <c r="P464" t="n">
        <v>0</v>
      </c>
      <c r="Q464" t="n">
        <v>0</v>
      </c>
      <c r="R464" s="2" t="inlineStr"/>
    </row>
    <row r="465" ht="15" customHeight="1">
      <c r="A465" t="inlineStr">
        <is>
          <t>A 50316-2023</t>
        </is>
      </c>
      <c r="B465" s="1" t="n">
        <v>45209</v>
      </c>
      <c r="C465" s="1" t="n">
        <v>46203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46203</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2645-2026</t>
        </is>
      </c>
      <c r="B467" s="1" t="n">
        <v>46037</v>
      </c>
      <c r="C467" s="1" t="n">
        <v>46203</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20987-2026</t>
        </is>
      </c>
      <c r="B468" s="1" t="n">
        <v>46142</v>
      </c>
      <c r="C468" s="1" t="n">
        <v>46203</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60160-2022</t>
        </is>
      </c>
      <c r="B469" s="1" t="n">
        <v>44909</v>
      </c>
      <c r="C469" s="1" t="n">
        <v>46203</v>
      </c>
      <c r="D469" t="inlineStr">
        <is>
          <t>SÖDERMANLANDS LÄN</t>
        </is>
      </c>
      <c r="E469" t="inlineStr">
        <is>
          <t>KATRINEHOLM</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19442-2023</t>
        </is>
      </c>
      <c r="B470" s="1" t="n">
        <v>45050</v>
      </c>
      <c r="C470" s="1" t="n">
        <v>46203</v>
      </c>
      <c r="D470" t="inlineStr">
        <is>
          <t>SÖDERMANLANDS LÄN</t>
        </is>
      </c>
      <c r="E470" t="inlineStr">
        <is>
          <t>KATRINEHOLM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21087-2026</t>
        </is>
      </c>
      <c r="B471" s="1" t="n">
        <v>46146</v>
      </c>
      <c r="C471" s="1" t="n">
        <v>46203</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50840-2022</t>
        </is>
      </c>
      <c r="B472" s="1" t="n">
        <v>44862</v>
      </c>
      <c r="C472" s="1" t="n">
        <v>46203</v>
      </c>
      <c r="D472" t="inlineStr">
        <is>
          <t>SÖDERMANLANDS LÄN</t>
        </is>
      </c>
      <c r="E472" t="inlineStr">
        <is>
          <t>KATRINEHOLM</t>
        </is>
      </c>
      <c r="G472" t="n">
        <v>4.2</v>
      </c>
      <c r="H472" t="n">
        <v>0</v>
      </c>
      <c r="I472" t="n">
        <v>0</v>
      </c>
      <c r="J472" t="n">
        <v>0</v>
      </c>
      <c r="K472" t="n">
        <v>0</v>
      </c>
      <c r="L472" t="n">
        <v>0</v>
      </c>
      <c r="M472" t="n">
        <v>0</v>
      </c>
      <c r="N472" t="n">
        <v>0</v>
      </c>
      <c r="O472" t="n">
        <v>0</v>
      </c>
      <c r="P472" t="n">
        <v>0</v>
      </c>
      <c r="Q472" t="n">
        <v>0</v>
      </c>
      <c r="R472" s="2" t="inlineStr"/>
    </row>
    <row r="473" ht="15" customHeight="1">
      <c r="A473" t="inlineStr">
        <is>
          <t>A 28317-2024</t>
        </is>
      </c>
      <c r="B473" s="1" t="n">
        <v>45477</v>
      </c>
      <c r="C473" s="1" t="n">
        <v>46203</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3060-2022</t>
        </is>
      </c>
      <c r="B474" s="1" t="n">
        <v>44582</v>
      </c>
      <c r="C474" s="1" t="n">
        <v>46203</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52744-2025</t>
        </is>
      </c>
      <c r="B475" s="1" t="n">
        <v>45957</v>
      </c>
      <c r="C475" s="1" t="n">
        <v>46203</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27109-2026</t>
        </is>
      </c>
      <c r="B476" s="1" t="n">
        <v>46188</v>
      </c>
      <c r="C476" s="1" t="n">
        <v>46203</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21863-2026</t>
        </is>
      </c>
      <c r="B477" s="1" t="n">
        <v>46150</v>
      </c>
      <c r="C477" s="1" t="n">
        <v>46203</v>
      </c>
      <c r="D477" t="inlineStr">
        <is>
          <t>SÖDERMANLANDS LÄN</t>
        </is>
      </c>
      <c r="E477" t="inlineStr">
        <is>
          <t>KATRINEHOLM</t>
        </is>
      </c>
      <c r="G477" t="n">
        <v>6.8</v>
      </c>
      <c r="H477" t="n">
        <v>0</v>
      </c>
      <c r="I477" t="n">
        <v>0</v>
      </c>
      <c r="J477" t="n">
        <v>0</v>
      </c>
      <c r="K477" t="n">
        <v>0</v>
      </c>
      <c r="L477" t="n">
        <v>0</v>
      </c>
      <c r="M477" t="n">
        <v>0</v>
      </c>
      <c r="N477" t="n">
        <v>0</v>
      </c>
      <c r="O477" t="n">
        <v>0</v>
      </c>
      <c r="P477" t="n">
        <v>0</v>
      </c>
      <c r="Q477" t="n">
        <v>0</v>
      </c>
      <c r="R477" s="2" t="inlineStr"/>
    </row>
    <row r="478" ht="15" customHeight="1">
      <c r="A478" t="inlineStr">
        <is>
          <t>A 6611-2023</t>
        </is>
      </c>
      <c r="B478" s="1" t="n">
        <v>44963</v>
      </c>
      <c r="C478" s="1" t="n">
        <v>46203</v>
      </c>
      <c r="D478" t="inlineStr">
        <is>
          <t>SÖDERMANLANDS LÄN</t>
        </is>
      </c>
      <c r="E478" t="inlineStr">
        <is>
          <t>KATRINEHOLM</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50804-2023</t>
        </is>
      </c>
      <c r="B479" s="1" t="n">
        <v>45211</v>
      </c>
      <c r="C479" s="1" t="n">
        <v>46203</v>
      </c>
      <c r="D479" t="inlineStr">
        <is>
          <t>SÖDERMANLANDS LÄN</t>
        </is>
      </c>
      <c r="E479" t="inlineStr">
        <is>
          <t>KATRINEHOLM</t>
        </is>
      </c>
      <c r="G479" t="n">
        <v>4</v>
      </c>
      <c r="H479" t="n">
        <v>0</v>
      </c>
      <c r="I479" t="n">
        <v>0</v>
      </c>
      <c r="J479" t="n">
        <v>0</v>
      </c>
      <c r="K479" t="n">
        <v>0</v>
      </c>
      <c r="L479" t="n">
        <v>0</v>
      </c>
      <c r="M479" t="n">
        <v>0</v>
      </c>
      <c r="N479" t="n">
        <v>0</v>
      </c>
      <c r="O479" t="n">
        <v>0</v>
      </c>
      <c r="P479" t="n">
        <v>0</v>
      </c>
      <c r="Q479" t="n">
        <v>0</v>
      </c>
      <c r="R479" s="2" t="inlineStr"/>
    </row>
    <row r="480" ht="15" customHeight="1">
      <c r="A480" t="inlineStr">
        <is>
          <t>A 43499-2021</t>
        </is>
      </c>
      <c r="B480" s="1" t="n">
        <v>44433</v>
      </c>
      <c r="C480" s="1" t="n">
        <v>46203</v>
      </c>
      <c r="D480" t="inlineStr">
        <is>
          <t>SÖDERMANLANDS LÄN</t>
        </is>
      </c>
      <c r="E480" t="inlineStr">
        <is>
          <t>KATRINEHOLM</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53996-2023</t>
        </is>
      </c>
      <c r="B481" s="1" t="n">
        <v>45231</v>
      </c>
      <c r="C481" s="1" t="n">
        <v>46203</v>
      </c>
      <c r="D481" t="inlineStr">
        <is>
          <t>SÖDERMANLANDS LÄN</t>
        </is>
      </c>
      <c r="E481" t="inlineStr">
        <is>
          <t>KATRINEHOLM</t>
        </is>
      </c>
      <c r="G481" t="n">
        <v>4.9</v>
      </c>
      <c r="H481" t="n">
        <v>0</v>
      </c>
      <c r="I481" t="n">
        <v>0</v>
      </c>
      <c r="J481" t="n">
        <v>0</v>
      </c>
      <c r="K481" t="n">
        <v>0</v>
      </c>
      <c r="L481" t="n">
        <v>0</v>
      </c>
      <c r="M481" t="n">
        <v>0</v>
      </c>
      <c r="N481" t="n">
        <v>0</v>
      </c>
      <c r="O481" t="n">
        <v>0</v>
      </c>
      <c r="P481" t="n">
        <v>0</v>
      </c>
      <c r="Q481" t="n">
        <v>0</v>
      </c>
      <c r="R481" s="2" t="inlineStr"/>
    </row>
    <row r="482" ht="15" customHeight="1">
      <c r="A482" t="inlineStr">
        <is>
          <t>A 33790-2024</t>
        </is>
      </c>
      <c r="B482" s="1" t="n">
        <v>45520</v>
      </c>
      <c r="C482" s="1" t="n">
        <v>46203</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47456-2022</t>
        </is>
      </c>
      <c r="B483" s="1" t="n">
        <v>44852</v>
      </c>
      <c r="C483" s="1" t="n">
        <v>46203</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23347-2023</t>
        </is>
      </c>
      <c r="B484" s="1" t="n">
        <v>45076</v>
      </c>
      <c r="C484" s="1" t="n">
        <v>46203</v>
      </c>
      <c r="D484" t="inlineStr">
        <is>
          <t>SÖDERMANLANDS LÄN</t>
        </is>
      </c>
      <c r="E484" t="inlineStr">
        <is>
          <t>KATRINEHOLM</t>
        </is>
      </c>
      <c r="G484" t="n">
        <v>4.3</v>
      </c>
      <c r="H484" t="n">
        <v>0</v>
      </c>
      <c r="I484" t="n">
        <v>0</v>
      </c>
      <c r="J484" t="n">
        <v>0</v>
      </c>
      <c r="K484" t="n">
        <v>0</v>
      </c>
      <c r="L484" t="n">
        <v>0</v>
      </c>
      <c r="M484" t="n">
        <v>0</v>
      </c>
      <c r="N484" t="n">
        <v>0</v>
      </c>
      <c r="O484" t="n">
        <v>0</v>
      </c>
      <c r="P484" t="n">
        <v>0</v>
      </c>
      <c r="Q484" t="n">
        <v>0</v>
      </c>
      <c r="R484" s="2" t="inlineStr"/>
    </row>
    <row r="485" ht="15" customHeight="1">
      <c r="A485" t="inlineStr">
        <is>
          <t>A 74354-2021</t>
        </is>
      </c>
      <c r="B485" s="1" t="n">
        <v>44559</v>
      </c>
      <c r="C485" s="1" t="n">
        <v>46203</v>
      </c>
      <c r="D485" t="inlineStr">
        <is>
          <t>SÖDERMANLANDS LÄN</t>
        </is>
      </c>
      <c r="E485" t="inlineStr">
        <is>
          <t>KATRINEHOLM</t>
        </is>
      </c>
      <c r="G485" t="n">
        <v>0.7</v>
      </c>
      <c r="H485" t="n">
        <v>0</v>
      </c>
      <c r="I485" t="n">
        <v>0</v>
      </c>
      <c r="J485" t="n">
        <v>0</v>
      </c>
      <c r="K485" t="n">
        <v>0</v>
      </c>
      <c r="L485" t="n">
        <v>0</v>
      </c>
      <c r="M485" t="n">
        <v>0</v>
      </c>
      <c r="N485" t="n">
        <v>0</v>
      </c>
      <c r="O485" t="n">
        <v>0</v>
      </c>
      <c r="P485" t="n">
        <v>0</v>
      </c>
      <c r="Q485" t="n">
        <v>0</v>
      </c>
      <c r="R485" s="2" t="inlineStr"/>
    </row>
    <row r="486" ht="15" customHeight="1">
      <c r="A486" t="inlineStr">
        <is>
          <t>A 52348-2021</t>
        </is>
      </c>
      <c r="B486" s="1" t="n">
        <v>44464</v>
      </c>
      <c r="C486" s="1" t="n">
        <v>46203</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22509-2026</t>
        </is>
      </c>
      <c r="B487" s="1" t="n">
        <v>46155</v>
      </c>
      <c r="C487" s="1" t="n">
        <v>46203</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56628-2021</t>
        </is>
      </c>
      <c r="B488" s="1" t="n">
        <v>44480</v>
      </c>
      <c r="C488" s="1" t="n">
        <v>46203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45438-2021</t>
        </is>
      </c>
      <c r="B489" s="1" t="n">
        <v>44440</v>
      </c>
      <c r="C489" s="1" t="n">
        <v>46203</v>
      </c>
      <c r="D489" t="inlineStr">
        <is>
          <t>SÖDERMANLANDS LÄN</t>
        </is>
      </c>
      <c r="E489" t="inlineStr">
        <is>
          <t>KATRINEHOLM</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50061-2022</t>
        </is>
      </c>
      <c r="B490" s="1" t="n">
        <v>44865</v>
      </c>
      <c r="C490" s="1" t="n">
        <v>46203</v>
      </c>
      <c r="D490" t="inlineStr">
        <is>
          <t>SÖDERMANLANDS LÄN</t>
        </is>
      </c>
      <c r="E490" t="inlineStr">
        <is>
          <t>KATRINEHOLM</t>
        </is>
      </c>
      <c r="G490" t="n">
        <v>4.9</v>
      </c>
      <c r="H490" t="n">
        <v>0</v>
      </c>
      <c r="I490" t="n">
        <v>0</v>
      </c>
      <c r="J490" t="n">
        <v>0</v>
      </c>
      <c r="K490" t="n">
        <v>0</v>
      </c>
      <c r="L490" t="n">
        <v>0</v>
      </c>
      <c r="M490" t="n">
        <v>0</v>
      </c>
      <c r="N490" t="n">
        <v>0</v>
      </c>
      <c r="O490" t="n">
        <v>0</v>
      </c>
      <c r="P490" t="n">
        <v>0</v>
      </c>
      <c r="Q490" t="n">
        <v>0</v>
      </c>
      <c r="R490" s="2" t="inlineStr"/>
    </row>
    <row r="491" ht="15" customHeight="1">
      <c r="A491" t="inlineStr">
        <is>
          <t>A 10446-2024</t>
        </is>
      </c>
      <c r="B491" s="1" t="n">
        <v>45366</v>
      </c>
      <c r="C491" s="1" t="n">
        <v>46203</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29023-2026</t>
        </is>
      </c>
      <c r="B492" s="1" t="n">
        <v>46199</v>
      </c>
      <c r="C492" s="1" t="n">
        <v>46203</v>
      </c>
      <c r="D492" t="inlineStr">
        <is>
          <t>SÖDERMANLANDS LÄN</t>
        </is>
      </c>
      <c r="E492" t="inlineStr">
        <is>
          <t>KATRINEHOLM</t>
        </is>
      </c>
      <c r="G492" t="n">
        <v>3.1</v>
      </c>
      <c r="H492" t="n">
        <v>0</v>
      </c>
      <c r="I492" t="n">
        <v>0</v>
      </c>
      <c r="J492" t="n">
        <v>0</v>
      </c>
      <c r="K492" t="n">
        <v>0</v>
      </c>
      <c r="L492" t="n">
        <v>0</v>
      </c>
      <c r="M492" t="n">
        <v>0</v>
      </c>
      <c r="N492" t="n">
        <v>0</v>
      </c>
      <c r="O492" t="n">
        <v>0</v>
      </c>
      <c r="P492" t="n">
        <v>0</v>
      </c>
      <c r="Q492" t="n">
        <v>0</v>
      </c>
      <c r="R492" s="2" t="inlineStr"/>
    </row>
    <row r="493" ht="15" customHeight="1">
      <c r="A493" t="inlineStr">
        <is>
          <t>A 53860-2021</t>
        </is>
      </c>
      <c r="B493" s="1" t="n">
        <v>44467</v>
      </c>
      <c r="C493" s="1" t="n">
        <v>46203</v>
      </c>
      <c r="D493" t="inlineStr">
        <is>
          <t>SÖDERMANLANDS LÄN</t>
        </is>
      </c>
      <c r="E493" t="inlineStr">
        <is>
          <t>KATRINEHOLM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29046-2026</t>
        </is>
      </c>
      <c r="B494" s="1" t="n">
        <v>46199</v>
      </c>
      <c r="C494" s="1" t="n">
        <v>46203</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2735-2025</t>
        </is>
      </c>
      <c r="B495" s="1" t="n">
        <v>45677</v>
      </c>
      <c r="C495" s="1" t="n">
        <v>46203</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28999-2026</t>
        </is>
      </c>
      <c r="B496" s="1" t="n">
        <v>46199</v>
      </c>
      <c r="C496" s="1" t="n">
        <v>46203</v>
      </c>
      <c r="D496" t="inlineStr">
        <is>
          <t>SÖDERMANLANDS LÄN</t>
        </is>
      </c>
      <c r="E496" t="inlineStr">
        <is>
          <t>KATRINEHOLM</t>
        </is>
      </c>
      <c r="G496" t="n">
        <v>13.4</v>
      </c>
      <c r="H496" t="n">
        <v>0</v>
      </c>
      <c r="I496" t="n">
        <v>0</v>
      </c>
      <c r="J496" t="n">
        <v>0</v>
      </c>
      <c r="K496" t="n">
        <v>0</v>
      </c>
      <c r="L496" t="n">
        <v>0</v>
      </c>
      <c r="M496" t="n">
        <v>0</v>
      </c>
      <c r="N496" t="n">
        <v>0</v>
      </c>
      <c r="O496" t="n">
        <v>0</v>
      </c>
      <c r="P496" t="n">
        <v>0</v>
      </c>
      <c r="Q496" t="n">
        <v>0</v>
      </c>
      <c r="R496" s="2" t="inlineStr"/>
    </row>
    <row r="497" ht="15" customHeight="1">
      <c r="A497" t="inlineStr">
        <is>
          <t>A 23842-2023</t>
        </is>
      </c>
      <c r="B497" s="1" t="n">
        <v>45075</v>
      </c>
      <c r="C497" s="1" t="n">
        <v>46203</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34263-2023</t>
        </is>
      </c>
      <c r="B498" s="1" t="n">
        <v>45138</v>
      </c>
      <c r="C498" s="1" t="n">
        <v>46203</v>
      </c>
      <c r="D498" t="inlineStr">
        <is>
          <t>SÖDERMANLANDS LÄN</t>
        </is>
      </c>
      <c r="E498" t="inlineStr">
        <is>
          <t>KATRINEHOLM</t>
        </is>
      </c>
      <c r="G498" t="n">
        <v>0.7</v>
      </c>
      <c r="H498" t="n">
        <v>0</v>
      </c>
      <c r="I498" t="n">
        <v>0</v>
      </c>
      <c r="J498" t="n">
        <v>0</v>
      </c>
      <c r="K498" t="n">
        <v>0</v>
      </c>
      <c r="L498" t="n">
        <v>0</v>
      </c>
      <c r="M498" t="n">
        <v>0</v>
      </c>
      <c r="N498" t="n">
        <v>0</v>
      </c>
      <c r="O498" t="n">
        <v>0</v>
      </c>
      <c r="P498" t="n">
        <v>0</v>
      </c>
      <c r="Q498" t="n">
        <v>0</v>
      </c>
      <c r="R498" s="2" t="inlineStr"/>
    </row>
    <row r="499" ht="15" customHeight="1">
      <c r="A499" t="inlineStr">
        <is>
          <t>A 46899-2022</t>
        </is>
      </c>
      <c r="B499" s="1" t="n">
        <v>44848</v>
      </c>
      <c r="C499" s="1" t="n">
        <v>46203</v>
      </c>
      <c r="D499" t="inlineStr">
        <is>
          <t>SÖDERMANLANDS LÄN</t>
        </is>
      </c>
      <c r="E499" t="inlineStr">
        <is>
          <t>KATRINEHOLM</t>
        </is>
      </c>
      <c r="G499" t="n">
        <v>2</v>
      </c>
      <c r="H499" t="n">
        <v>0</v>
      </c>
      <c r="I499" t="n">
        <v>0</v>
      </c>
      <c r="J499" t="n">
        <v>0</v>
      </c>
      <c r="K499" t="n">
        <v>0</v>
      </c>
      <c r="L499" t="n">
        <v>0</v>
      </c>
      <c r="M499" t="n">
        <v>0</v>
      </c>
      <c r="N499" t="n">
        <v>0</v>
      </c>
      <c r="O499" t="n">
        <v>0</v>
      </c>
      <c r="P499" t="n">
        <v>0</v>
      </c>
      <c r="Q499" t="n">
        <v>0</v>
      </c>
      <c r="R499" s="2" t="inlineStr"/>
    </row>
    <row r="500" ht="15" customHeight="1">
      <c r="A500" t="inlineStr">
        <is>
          <t>A 55296-2022</t>
        </is>
      </c>
      <c r="B500" s="1" t="n">
        <v>44887</v>
      </c>
      <c r="C500" s="1" t="n">
        <v>46203</v>
      </c>
      <c r="D500" t="inlineStr">
        <is>
          <t>SÖDERMANLANDS LÄN</t>
        </is>
      </c>
      <c r="E500" t="inlineStr">
        <is>
          <t>KATRINEHOLM</t>
        </is>
      </c>
      <c r="G500" t="n">
        <v>1.4</v>
      </c>
      <c r="H500" t="n">
        <v>0</v>
      </c>
      <c r="I500" t="n">
        <v>0</v>
      </c>
      <c r="J500" t="n">
        <v>0</v>
      </c>
      <c r="K500" t="n">
        <v>0</v>
      </c>
      <c r="L500" t="n">
        <v>0</v>
      </c>
      <c r="M500" t="n">
        <v>0</v>
      </c>
      <c r="N500" t="n">
        <v>0</v>
      </c>
      <c r="O500" t="n">
        <v>0</v>
      </c>
      <c r="P500" t="n">
        <v>0</v>
      </c>
      <c r="Q500" t="n">
        <v>0</v>
      </c>
      <c r="R500" s="2" t="inlineStr"/>
    </row>
    <row r="501" ht="15" customHeight="1">
      <c r="A501" t="inlineStr">
        <is>
          <t>A 57524-2021</t>
        </is>
      </c>
      <c r="B501" s="1" t="n">
        <v>44483</v>
      </c>
      <c r="C501" s="1" t="n">
        <v>46203</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931-2023</t>
        </is>
      </c>
      <c r="B502" s="1" t="n">
        <v>44932</v>
      </c>
      <c r="C502" s="1" t="n">
        <v>46203</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55171-2023</t>
        </is>
      </c>
      <c r="B503" s="1" t="n">
        <v>45231</v>
      </c>
      <c r="C503" s="1" t="n">
        <v>46203</v>
      </c>
      <c r="D503" t="inlineStr">
        <is>
          <t>SÖDERMANLANDS LÄN</t>
        </is>
      </c>
      <c r="E503" t="inlineStr">
        <is>
          <t>KATRINEHOLM</t>
        </is>
      </c>
      <c r="G503" t="n">
        <v>4.2</v>
      </c>
      <c r="H503" t="n">
        <v>0</v>
      </c>
      <c r="I503" t="n">
        <v>0</v>
      </c>
      <c r="J503" t="n">
        <v>0</v>
      </c>
      <c r="K503" t="n">
        <v>0</v>
      </c>
      <c r="L503" t="n">
        <v>0</v>
      </c>
      <c r="M503" t="n">
        <v>0</v>
      </c>
      <c r="N503" t="n">
        <v>0</v>
      </c>
      <c r="O503" t="n">
        <v>0</v>
      </c>
      <c r="P503" t="n">
        <v>0</v>
      </c>
      <c r="Q503" t="n">
        <v>0</v>
      </c>
      <c r="R503" s="2" t="inlineStr"/>
    </row>
    <row r="504" ht="15" customHeight="1">
      <c r="A504" t="inlineStr">
        <is>
          <t>A 28978-2026</t>
        </is>
      </c>
      <c r="B504" s="1" t="n">
        <v>46199</v>
      </c>
      <c r="C504" s="1" t="n">
        <v>46203</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row>
    <row r="505" ht="15" customHeight="1">
      <c r="A505" t="inlineStr">
        <is>
          <t>A 53393-2023</t>
        </is>
      </c>
      <c r="B505" s="1" t="n">
        <v>45229</v>
      </c>
      <c r="C505" s="1" t="n">
        <v>46203</v>
      </c>
      <c r="D505" t="inlineStr">
        <is>
          <t>SÖDERMANLANDS LÄN</t>
        </is>
      </c>
      <c r="E505" t="inlineStr">
        <is>
          <t>KATRINEHOLM</t>
        </is>
      </c>
      <c r="F505" t="inlineStr">
        <is>
          <t>Kyrkan</t>
        </is>
      </c>
      <c r="G505" t="n">
        <v>5.6</v>
      </c>
      <c r="H505" t="n">
        <v>0</v>
      </c>
      <c r="I505" t="n">
        <v>0</v>
      </c>
      <c r="J505" t="n">
        <v>0</v>
      </c>
      <c r="K505" t="n">
        <v>0</v>
      </c>
      <c r="L505" t="n">
        <v>0</v>
      </c>
      <c r="M505" t="n">
        <v>0</v>
      </c>
      <c r="N505" t="n">
        <v>0</v>
      </c>
      <c r="O505" t="n">
        <v>0</v>
      </c>
      <c r="P505" t="n">
        <v>0</v>
      </c>
      <c r="Q505" t="n">
        <v>0</v>
      </c>
      <c r="R505" s="2" t="inlineStr"/>
    </row>
    <row r="506" ht="15" customHeight="1">
      <c r="A506" t="inlineStr">
        <is>
          <t>A 29019-2026</t>
        </is>
      </c>
      <c r="B506" s="1" t="n">
        <v>46199</v>
      </c>
      <c r="C506" s="1" t="n">
        <v>46203</v>
      </c>
      <c r="D506" t="inlineStr">
        <is>
          <t>SÖDERMANLANDS LÄN</t>
        </is>
      </c>
      <c r="E506" t="inlineStr">
        <is>
          <t>KATRINEHOLM</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28933-2026</t>
        </is>
      </c>
      <c r="B507" s="1" t="n">
        <v>46199</v>
      </c>
      <c r="C507" s="1" t="n">
        <v>46203</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28946-2026</t>
        </is>
      </c>
      <c r="B508" s="1" t="n">
        <v>46199</v>
      </c>
      <c r="C508" s="1" t="n">
        <v>46203</v>
      </c>
      <c r="D508" t="inlineStr">
        <is>
          <t>SÖDERMANLANDS LÄN</t>
        </is>
      </c>
      <c r="E508" t="inlineStr">
        <is>
          <t>KATRINEHOLM</t>
        </is>
      </c>
      <c r="G508" t="n">
        <v>7.7</v>
      </c>
      <c r="H508" t="n">
        <v>0</v>
      </c>
      <c r="I508" t="n">
        <v>0</v>
      </c>
      <c r="J508" t="n">
        <v>0</v>
      </c>
      <c r="K508" t="n">
        <v>0</v>
      </c>
      <c r="L508" t="n">
        <v>0</v>
      </c>
      <c r="M508" t="n">
        <v>0</v>
      </c>
      <c r="N508" t="n">
        <v>0</v>
      </c>
      <c r="O508" t="n">
        <v>0</v>
      </c>
      <c r="P508" t="n">
        <v>0</v>
      </c>
      <c r="Q508" t="n">
        <v>0</v>
      </c>
      <c r="R508" s="2" t="inlineStr"/>
    </row>
    <row r="509" ht="15" customHeight="1">
      <c r="A509" t="inlineStr">
        <is>
          <t>A 23031-2024</t>
        </is>
      </c>
      <c r="B509" s="1" t="n">
        <v>45450</v>
      </c>
      <c r="C509" s="1" t="n">
        <v>46203</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22506-2023</t>
        </is>
      </c>
      <c r="B510" s="1" t="n">
        <v>45071</v>
      </c>
      <c r="C510" s="1" t="n">
        <v>46203</v>
      </c>
      <c r="D510" t="inlineStr">
        <is>
          <t>SÖDERMANLANDS LÄN</t>
        </is>
      </c>
      <c r="E510" t="inlineStr">
        <is>
          <t>KATRINEHOLM</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12888-2025</t>
        </is>
      </c>
      <c r="B511" s="1" t="n">
        <v>45733</v>
      </c>
      <c r="C511" s="1" t="n">
        <v>46203</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22345-2023</t>
        </is>
      </c>
      <c r="B512" s="1" t="n">
        <v>45070</v>
      </c>
      <c r="C512" s="1" t="n">
        <v>46203</v>
      </c>
      <c r="D512" t="inlineStr">
        <is>
          <t>SÖDERMANLANDS LÄN</t>
        </is>
      </c>
      <c r="E512" t="inlineStr">
        <is>
          <t>KATRINEHOLM</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48877-2022</t>
        </is>
      </c>
      <c r="B513" s="1" t="n">
        <v>44859</v>
      </c>
      <c r="C513" s="1" t="n">
        <v>46203</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19868-2022</t>
        </is>
      </c>
      <c r="B514" s="1" t="n">
        <v>44696</v>
      </c>
      <c r="C514" s="1" t="n">
        <v>46203</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63188-2021</t>
        </is>
      </c>
      <c r="B515" s="1" t="n">
        <v>44507</v>
      </c>
      <c r="C515" s="1" t="n">
        <v>46203</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29843-2023</t>
        </is>
      </c>
      <c r="B516" s="1" t="n">
        <v>45107</v>
      </c>
      <c r="C516" s="1" t="n">
        <v>46203</v>
      </c>
      <c r="D516" t="inlineStr">
        <is>
          <t>SÖDERMANLANDS LÄN</t>
        </is>
      </c>
      <c r="E516" t="inlineStr">
        <is>
          <t>KATRINEHOLM</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5834-2025</t>
        </is>
      </c>
      <c r="B517" s="1" t="n">
        <v>45694</v>
      </c>
      <c r="C517" s="1" t="n">
        <v>46203</v>
      </c>
      <c r="D517" t="inlineStr">
        <is>
          <t>SÖDERMANLANDS LÄN</t>
        </is>
      </c>
      <c r="E517" t="inlineStr">
        <is>
          <t>KATRINEHOLM</t>
        </is>
      </c>
      <c r="G517" t="n">
        <v>3.3</v>
      </c>
      <c r="H517" t="n">
        <v>0</v>
      </c>
      <c r="I517" t="n">
        <v>0</v>
      </c>
      <c r="J517" t="n">
        <v>0</v>
      </c>
      <c r="K517" t="n">
        <v>0</v>
      </c>
      <c r="L517" t="n">
        <v>0</v>
      </c>
      <c r="M517" t="n">
        <v>0</v>
      </c>
      <c r="N517" t="n">
        <v>0</v>
      </c>
      <c r="O517" t="n">
        <v>0</v>
      </c>
      <c r="P517" t="n">
        <v>0</v>
      </c>
      <c r="Q517" t="n">
        <v>0</v>
      </c>
      <c r="R517" s="2" t="inlineStr"/>
    </row>
    <row r="518" ht="15" customHeight="1">
      <c r="A518" t="inlineStr">
        <is>
          <t>A 34981-2023</t>
        </is>
      </c>
      <c r="B518" s="1" t="n">
        <v>45142</v>
      </c>
      <c r="C518" s="1" t="n">
        <v>46203</v>
      </c>
      <c r="D518" t="inlineStr">
        <is>
          <t>SÖDERMANLANDS LÄN</t>
        </is>
      </c>
      <c r="E518" t="inlineStr">
        <is>
          <t>KATRINEHOLM</t>
        </is>
      </c>
      <c r="G518" t="n">
        <v>10</v>
      </c>
      <c r="H518" t="n">
        <v>0</v>
      </c>
      <c r="I518" t="n">
        <v>0</v>
      </c>
      <c r="J518" t="n">
        <v>0</v>
      </c>
      <c r="K518" t="n">
        <v>0</v>
      </c>
      <c r="L518" t="n">
        <v>0</v>
      </c>
      <c r="M518" t="n">
        <v>0</v>
      </c>
      <c r="N518" t="n">
        <v>0</v>
      </c>
      <c r="O518" t="n">
        <v>0</v>
      </c>
      <c r="P518" t="n">
        <v>0</v>
      </c>
      <c r="Q518" t="n">
        <v>0</v>
      </c>
      <c r="R518" s="2" t="inlineStr"/>
    </row>
    <row r="519" ht="15" customHeight="1">
      <c r="A519" t="inlineStr">
        <is>
          <t>A 73412-2021</t>
        </is>
      </c>
      <c r="B519" s="1" t="n">
        <v>44551</v>
      </c>
      <c r="C519" s="1" t="n">
        <v>46203</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14245-2024</t>
        </is>
      </c>
      <c r="B520" s="1" t="n">
        <v>45393</v>
      </c>
      <c r="C520" s="1" t="n">
        <v>46203</v>
      </c>
      <c r="D520" t="inlineStr">
        <is>
          <t>SÖDERMANLANDS LÄN</t>
        </is>
      </c>
      <c r="E520" t="inlineStr">
        <is>
          <t>KATRINEHOLM</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11104-2023</t>
        </is>
      </c>
      <c r="B521" s="1" t="n">
        <v>44992</v>
      </c>
      <c r="C521" s="1" t="n">
        <v>46203</v>
      </c>
      <c r="D521" t="inlineStr">
        <is>
          <t>SÖDERMANLANDS LÄN</t>
        </is>
      </c>
      <c r="E521" t="inlineStr">
        <is>
          <t>KATRINEHOLM</t>
        </is>
      </c>
      <c r="F521" t="inlineStr">
        <is>
          <t>Allmännings- och besparingsskogar</t>
        </is>
      </c>
      <c r="G521" t="n">
        <v>7.8</v>
      </c>
      <c r="H521" t="n">
        <v>0</v>
      </c>
      <c r="I521" t="n">
        <v>0</v>
      </c>
      <c r="J521" t="n">
        <v>0</v>
      </c>
      <c r="K521" t="n">
        <v>0</v>
      </c>
      <c r="L521" t="n">
        <v>0</v>
      </c>
      <c r="M521" t="n">
        <v>0</v>
      </c>
      <c r="N521" t="n">
        <v>0</v>
      </c>
      <c r="O521" t="n">
        <v>0</v>
      </c>
      <c r="P521" t="n">
        <v>0</v>
      </c>
      <c r="Q521" t="n">
        <v>0</v>
      </c>
      <c r="R521" s="2" t="inlineStr"/>
    </row>
    <row r="522" ht="15" customHeight="1">
      <c r="A522" t="inlineStr">
        <is>
          <t>A 4387-2024</t>
        </is>
      </c>
      <c r="B522" s="1" t="n">
        <v>45327</v>
      </c>
      <c r="C522" s="1" t="n">
        <v>46203</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4872-2024</t>
        </is>
      </c>
      <c r="B523" s="1" t="n">
        <v>45329</v>
      </c>
      <c r="C523" s="1" t="n">
        <v>46203</v>
      </c>
      <c r="D523" t="inlineStr">
        <is>
          <t>SÖDERMANLANDS LÄN</t>
        </is>
      </c>
      <c r="E523" t="inlineStr">
        <is>
          <t>KATRINEHOLM</t>
        </is>
      </c>
      <c r="G523" t="n">
        <v>0.5</v>
      </c>
      <c r="H523" t="n">
        <v>0</v>
      </c>
      <c r="I523" t="n">
        <v>0</v>
      </c>
      <c r="J523" t="n">
        <v>0</v>
      </c>
      <c r="K523" t="n">
        <v>0</v>
      </c>
      <c r="L523" t="n">
        <v>0</v>
      </c>
      <c r="M523" t="n">
        <v>0</v>
      </c>
      <c r="N523" t="n">
        <v>0</v>
      </c>
      <c r="O523" t="n">
        <v>0</v>
      </c>
      <c r="P523" t="n">
        <v>0</v>
      </c>
      <c r="Q523" t="n">
        <v>0</v>
      </c>
      <c r="R523" s="2" t="inlineStr"/>
    </row>
    <row r="524" ht="15" customHeight="1">
      <c r="A524" t="inlineStr">
        <is>
          <t>A 3986-2024</t>
        </is>
      </c>
      <c r="B524" s="1" t="n">
        <v>45322</v>
      </c>
      <c r="C524" s="1" t="n">
        <v>46203</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10996-2022</t>
        </is>
      </c>
      <c r="B525" s="1" t="n">
        <v>44628</v>
      </c>
      <c r="C525" s="1" t="n">
        <v>46203</v>
      </c>
      <c r="D525" t="inlineStr">
        <is>
          <t>SÖDERMANLANDS LÄN</t>
        </is>
      </c>
      <c r="E525" t="inlineStr">
        <is>
          <t>KATRINEHOLM</t>
        </is>
      </c>
      <c r="G525" t="n">
        <v>0.3</v>
      </c>
      <c r="H525" t="n">
        <v>0</v>
      </c>
      <c r="I525" t="n">
        <v>0</v>
      </c>
      <c r="J525" t="n">
        <v>0</v>
      </c>
      <c r="K525" t="n">
        <v>0</v>
      </c>
      <c r="L525" t="n">
        <v>0</v>
      </c>
      <c r="M525" t="n">
        <v>0</v>
      </c>
      <c r="N525" t="n">
        <v>0</v>
      </c>
      <c r="O525" t="n">
        <v>0</v>
      </c>
      <c r="P525" t="n">
        <v>0</v>
      </c>
      <c r="Q525" t="n">
        <v>0</v>
      </c>
      <c r="R525" s="2" t="inlineStr"/>
    </row>
    <row r="526" ht="15" customHeight="1">
      <c r="A526" t="inlineStr">
        <is>
          <t>A 42451-2023</t>
        </is>
      </c>
      <c r="B526" s="1" t="n">
        <v>45180</v>
      </c>
      <c r="C526" s="1" t="n">
        <v>46203</v>
      </c>
      <c r="D526" t="inlineStr">
        <is>
          <t>SÖDERMANLANDS LÄN</t>
        </is>
      </c>
      <c r="E526" t="inlineStr">
        <is>
          <t>KATRINEHOLM</t>
        </is>
      </c>
      <c r="G526" t="n">
        <v>3.8</v>
      </c>
      <c r="H526" t="n">
        <v>0</v>
      </c>
      <c r="I526" t="n">
        <v>0</v>
      </c>
      <c r="J526" t="n">
        <v>0</v>
      </c>
      <c r="K526" t="n">
        <v>0</v>
      </c>
      <c r="L526" t="n">
        <v>0</v>
      </c>
      <c r="M526" t="n">
        <v>0</v>
      </c>
      <c r="N526" t="n">
        <v>0</v>
      </c>
      <c r="O526" t="n">
        <v>0</v>
      </c>
      <c r="P526" t="n">
        <v>0</v>
      </c>
      <c r="Q526" t="n">
        <v>0</v>
      </c>
      <c r="R526" s="2" t="inlineStr"/>
    </row>
    <row r="527" ht="15" customHeight="1">
      <c r="A527" t="inlineStr">
        <is>
          <t>A 6606-2022</t>
        </is>
      </c>
      <c r="B527" s="1" t="n">
        <v>44601</v>
      </c>
      <c r="C527" s="1" t="n">
        <v>46203</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27646-2023</t>
        </is>
      </c>
      <c r="B528" s="1" t="n">
        <v>45097</v>
      </c>
      <c r="C528" s="1" t="n">
        <v>46203</v>
      </c>
      <c r="D528" t="inlineStr">
        <is>
          <t>SÖDERMANLANDS LÄN</t>
        </is>
      </c>
      <c r="E528" t="inlineStr">
        <is>
          <t>KATRINEHOLM</t>
        </is>
      </c>
      <c r="G528" t="n">
        <v>2.4</v>
      </c>
      <c r="H528" t="n">
        <v>0</v>
      </c>
      <c r="I528" t="n">
        <v>0</v>
      </c>
      <c r="J528" t="n">
        <v>0</v>
      </c>
      <c r="K528" t="n">
        <v>0</v>
      </c>
      <c r="L528" t="n">
        <v>0</v>
      </c>
      <c r="M528" t="n">
        <v>0</v>
      </c>
      <c r="N528" t="n">
        <v>0</v>
      </c>
      <c r="O528" t="n">
        <v>0</v>
      </c>
      <c r="P528" t="n">
        <v>0</v>
      </c>
      <c r="Q528" t="n">
        <v>0</v>
      </c>
      <c r="R528" s="2" t="inlineStr"/>
    </row>
    <row r="529" ht="15" customHeight="1">
      <c r="A529" t="inlineStr">
        <is>
          <t>A 15235-2023</t>
        </is>
      </c>
      <c r="B529" s="1" t="n">
        <v>45019</v>
      </c>
      <c r="C529" s="1" t="n">
        <v>46203</v>
      </c>
      <c r="D529" t="inlineStr">
        <is>
          <t>SÖDERMANLANDS LÄN</t>
        </is>
      </c>
      <c r="E529" t="inlineStr">
        <is>
          <t>KATRINEHOLM</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46203</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22304-2024</t>
        </is>
      </c>
      <c r="B531" s="1" t="n">
        <v>45446</v>
      </c>
      <c r="C531" s="1" t="n">
        <v>46203</v>
      </c>
      <c r="D531" t="inlineStr">
        <is>
          <t>SÖDERMANLANDS LÄN</t>
        </is>
      </c>
      <c r="E531" t="inlineStr">
        <is>
          <t>KATRINEHOLM</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14224-2024</t>
        </is>
      </c>
      <c r="B532" s="1" t="n">
        <v>45393</v>
      </c>
      <c r="C532" s="1" t="n">
        <v>46203</v>
      </c>
      <c r="D532" t="inlineStr">
        <is>
          <t>SÖDERMANLANDS LÄN</t>
        </is>
      </c>
      <c r="E532" t="inlineStr">
        <is>
          <t>KATRINEHOLM</t>
        </is>
      </c>
      <c r="F532" t="inlineStr">
        <is>
          <t>Sveaskog</t>
        </is>
      </c>
      <c r="G532" t="n">
        <v>7.6</v>
      </c>
      <c r="H532" t="n">
        <v>0</v>
      </c>
      <c r="I532" t="n">
        <v>0</v>
      </c>
      <c r="J532" t="n">
        <v>0</v>
      </c>
      <c r="K532" t="n">
        <v>0</v>
      </c>
      <c r="L532" t="n">
        <v>0</v>
      </c>
      <c r="M532" t="n">
        <v>0</v>
      </c>
      <c r="N532" t="n">
        <v>0</v>
      </c>
      <c r="O532" t="n">
        <v>0</v>
      </c>
      <c r="P532" t="n">
        <v>0</v>
      </c>
      <c r="Q532" t="n">
        <v>0</v>
      </c>
      <c r="R532" s="2" t="inlineStr"/>
    </row>
    <row r="533" ht="15" customHeight="1">
      <c r="A533" t="inlineStr">
        <is>
          <t>A 36366-2023</t>
        </is>
      </c>
      <c r="B533" s="1" t="n">
        <v>45152</v>
      </c>
      <c r="C533" s="1" t="n">
        <v>46203</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36021-2023</t>
        </is>
      </c>
      <c r="B534" s="1" t="n">
        <v>45148</v>
      </c>
      <c r="C534" s="1" t="n">
        <v>46203</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28597-2024</t>
        </is>
      </c>
      <c r="B535" s="1" t="n">
        <v>45478</v>
      </c>
      <c r="C535" s="1" t="n">
        <v>46203</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29198-2023</t>
        </is>
      </c>
      <c r="B536" s="1" t="n">
        <v>45105</v>
      </c>
      <c r="C536" s="1" t="n">
        <v>46203</v>
      </c>
      <c r="D536" t="inlineStr">
        <is>
          <t>SÖDERMANLANDS LÄN</t>
        </is>
      </c>
      <c r="E536" t="inlineStr">
        <is>
          <t>KATRINEHOLM</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9992-2022</t>
        </is>
      </c>
      <c r="B537" s="1" t="n">
        <v>44621</v>
      </c>
      <c r="C537" s="1" t="n">
        <v>46203</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41267-2023</t>
        </is>
      </c>
      <c r="B538" s="1" t="n">
        <v>45174</v>
      </c>
      <c r="C538" s="1" t="n">
        <v>46203</v>
      </c>
      <c r="D538" t="inlineStr">
        <is>
          <t>SÖDERMANLANDS LÄN</t>
        </is>
      </c>
      <c r="E538" t="inlineStr">
        <is>
          <t>KATRINEHOLM</t>
        </is>
      </c>
      <c r="F538" t="inlineStr">
        <is>
          <t>Holmen skog AB</t>
        </is>
      </c>
      <c r="G538" t="n">
        <v>4.5</v>
      </c>
      <c r="H538" t="n">
        <v>0</v>
      </c>
      <c r="I538" t="n">
        <v>0</v>
      </c>
      <c r="J538" t="n">
        <v>0</v>
      </c>
      <c r="K538" t="n">
        <v>0</v>
      </c>
      <c r="L538" t="n">
        <v>0</v>
      </c>
      <c r="M538" t="n">
        <v>0</v>
      </c>
      <c r="N538" t="n">
        <v>0</v>
      </c>
      <c r="O538" t="n">
        <v>0</v>
      </c>
      <c r="P538" t="n">
        <v>0</v>
      </c>
      <c r="Q538" t="n">
        <v>0</v>
      </c>
      <c r="R538" s="2" t="inlineStr"/>
    </row>
    <row r="539" ht="15" customHeight="1">
      <c r="A539" t="inlineStr">
        <is>
          <t>A 4650-2024</t>
        </is>
      </c>
      <c r="B539" s="1" t="n">
        <v>45328</v>
      </c>
      <c r="C539" s="1" t="n">
        <v>46203</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4652-2024</t>
        </is>
      </c>
      <c r="B540" s="1" t="n">
        <v>45328</v>
      </c>
      <c r="C540" s="1" t="n">
        <v>46203</v>
      </c>
      <c r="D540" t="inlineStr">
        <is>
          <t>SÖDERMANLANDS LÄN</t>
        </is>
      </c>
      <c r="E540" t="inlineStr">
        <is>
          <t>KATRINEHOLM</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29008-2024</t>
        </is>
      </c>
      <c r="B541" s="1" t="n">
        <v>45481</v>
      </c>
      <c r="C541" s="1" t="n">
        <v>46203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9936-2023</t>
        </is>
      </c>
      <c r="B542" s="1" t="n">
        <v>44985</v>
      </c>
      <c r="C542" s="1" t="n">
        <v>46203</v>
      </c>
      <c r="D542" t="inlineStr">
        <is>
          <t>SÖDERMANLANDS LÄN</t>
        </is>
      </c>
      <c r="E542" t="inlineStr">
        <is>
          <t>KATRINEHOLM</t>
        </is>
      </c>
      <c r="G542" t="n">
        <v>0.4</v>
      </c>
      <c r="H542" t="n">
        <v>0</v>
      </c>
      <c r="I542" t="n">
        <v>0</v>
      </c>
      <c r="J542" t="n">
        <v>0</v>
      </c>
      <c r="K542" t="n">
        <v>0</v>
      </c>
      <c r="L542" t="n">
        <v>0</v>
      </c>
      <c r="M542" t="n">
        <v>0</v>
      </c>
      <c r="N542" t="n">
        <v>0</v>
      </c>
      <c r="O542" t="n">
        <v>0</v>
      </c>
      <c r="P542" t="n">
        <v>0</v>
      </c>
      <c r="Q542" t="n">
        <v>0</v>
      </c>
      <c r="R542" s="2" t="inlineStr"/>
    </row>
    <row r="543" ht="15" customHeight="1">
      <c r="A543" t="inlineStr">
        <is>
          <t>A 4645-2024</t>
        </is>
      </c>
      <c r="B543" s="1" t="n">
        <v>45328</v>
      </c>
      <c r="C543" s="1" t="n">
        <v>46203</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36001-2024</t>
        </is>
      </c>
      <c r="B544" s="1" t="n">
        <v>45533</v>
      </c>
      <c r="C544" s="1" t="n">
        <v>46203</v>
      </c>
      <c r="D544" t="inlineStr">
        <is>
          <t>SÖDERMANLANDS LÄN</t>
        </is>
      </c>
      <c r="E544" t="inlineStr">
        <is>
          <t>KATRINEHOLM</t>
        </is>
      </c>
      <c r="G544" t="n">
        <v>1</v>
      </c>
      <c r="H544" t="n">
        <v>0</v>
      </c>
      <c r="I544" t="n">
        <v>0</v>
      </c>
      <c r="J544" t="n">
        <v>0</v>
      </c>
      <c r="K544" t="n">
        <v>0</v>
      </c>
      <c r="L544" t="n">
        <v>0</v>
      </c>
      <c r="M544" t="n">
        <v>0</v>
      </c>
      <c r="N544" t="n">
        <v>0</v>
      </c>
      <c r="O544" t="n">
        <v>0</v>
      </c>
      <c r="P544" t="n">
        <v>0</v>
      </c>
      <c r="Q544" t="n">
        <v>0</v>
      </c>
      <c r="R544" s="2" t="inlineStr"/>
    </row>
    <row r="545" ht="15" customHeight="1">
      <c r="A545" t="inlineStr">
        <is>
          <t>A 36832-2023</t>
        </is>
      </c>
      <c r="B545" s="1" t="n">
        <v>45153</v>
      </c>
      <c r="C545" s="1" t="n">
        <v>46203</v>
      </c>
      <c r="D545" t="inlineStr">
        <is>
          <t>SÖDERMANLANDS LÄN</t>
        </is>
      </c>
      <c r="E545" t="inlineStr">
        <is>
          <t>KATRINEHOLM</t>
        </is>
      </c>
      <c r="F545" t="inlineStr">
        <is>
          <t>Övriga Aktiebolag</t>
        </is>
      </c>
      <c r="G545" t="n">
        <v>9</v>
      </c>
      <c r="H545" t="n">
        <v>0</v>
      </c>
      <c r="I545" t="n">
        <v>0</v>
      </c>
      <c r="J545" t="n">
        <v>0</v>
      </c>
      <c r="K545" t="n">
        <v>0</v>
      </c>
      <c r="L545" t="n">
        <v>0</v>
      </c>
      <c r="M545" t="n">
        <v>0</v>
      </c>
      <c r="N545" t="n">
        <v>0</v>
      </c>
      <c r="O545" t="n">
        <v>0</v>
      </c>
      <c r="P545" t="n">
        <v>0</v>
      </c>
      <c r="Q545" t="n">
        <v>0</v>
      </c>
      <c r="R545" s="2" t="inlineStr"/>
    </row>
    <row r="546" ht="15" customHeight="1">
      <c r="A546" t="inlineStr">
        <is>
          <t>A 6810-2023</t>
        </is>
      </c>
      <c r="B546" s="1" t="n">
        <v>44964</v>
      </c>
      <c r="C546" s="1" t="n">
        <v>46203</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32944-2023</t>
        </is>
      </c>
      <c r="B547" s="1" t="n">
        <v>45125</v>
      </c>
      <c r="C547" s="1" t="n">
        <v>46203</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29977-2023</t>
        </is>
      </c>
      <c r="B548" s="1" t="n">
        <v>45108</v>
      </c>
      <c r="C548" s="1" t="n">
        <v>46203</v>
      </c>
      <c r="D548" t="inlineStr">
        <is>
          <t>SÖDERMANLANDS LÄN</t>
        </is>
      </c>
      <c r="E548" t="inlineStr">
        <is>
          <t>KATRINEHOLM</t>
        </is>
      </c>
      <c r="G548" t="n">
        <v>2.4</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46203</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46203</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3075-2022</t>
        </is>
      </c>
      <c r="B551" s="1" t="n">
        <v>44582</v>
      </c>
      <c r="C551" s="1" t="n">
        <v>46203</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73409-2021</t>
        </is>
      </c>
      <c r="B552" s="1" t="n">
        <v>44551</v>
      </c>
      <c r="C552" s="1" t="n">
        <v>46203</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73415-2021</t>
        </is>
      </c>
      <c r="B553" s="1" t="n">
        <v>44551</v>
      </c>
      <c r="C553" s="1" t="n">
        <v>46203</v>
      </c>
      <c r="D553" t="inlineStr">
        <is>
          <t>SÖDERMANLANDS LÄN</t>
        </is>
      </c>
      <c r="E553" t="inlineStr">
        <is>
          <t>KATRINEHOLM</t>
        </is>
      </c>
      <c r="G553" t="n">
        <v>3.2</v>
      </c>
      <c r="H553" t="n">
        <v>0</v>
      </c>
      <c r="I553" t="n">
        <v>0</v>
      </c>
      <c r="J553" t="n">
        <v>0</v>
      </c>
      <c r="K553" t="n">
        <v>0</v>
      </c>
      <c r="L553" t="n">
        <v>0</v>
      </c>
      <c r="M553" t="n">
        <v>0</v>
      </c>
      <c r="N553" t="n">
        <v>0</v>
      </c>
      <c r="O553" t="n">
        <v>0</v>
      </c>
      <c r="P553" t="n">
        <v>0</v>
      </c>
      <c r="Q553" t="n">
        <v>0</v>
      </c>
      <c r="R553" s="2" t="inlineStr"/>
    </row>
    <row r="554" ht="15" customHeight="1">
      <c r="A554" t="inlineStr">
        <is>
          <t>A 8087-2022</t>
        </is>
      </c>
      <c r="B554" s="1" t="n">
        <v>44609</v>
      </c>
      <c r="C554" s="1" t="n">
        <v>46203</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50935-2023</t>
        </is>
      </c>
      <c r="B555" s="1" t="n">
        <v>45211</v>
      </c>
      <c r="C555" s="1" t="n">
        <v>46203</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6298-2024</t>
        </is>
      </c>
      <c r="B556" s="1" t="n">
        <v>45338</v>
      </c>
      <c r="C556" s="1" t="n">
        <v>46203</v>
      </c>
      <c r="D556" t="inlineStr">
        <is>
          <t>SÖDERMANLANDS LÄN</t>
        </is>
      </c>
      <c r="E556" t="inlineStr">
        <is>
          <t>KATRINEHOLM</t>
        </is>
      </c>
      <c r="G556" t="n">
        <v>1.4</v>
      </c>
      <c r="H556" t="n">
        <v>0</v>
      </c>
      <c r="I556" t="n">
        <v>0</v>
      </c>
      <c r="J556" t="n">
        <v>0</v>
      </c>
      <c r="K556" t="n">
        <v>0</v>
      </c>
      <c r="L556" t="n">
        <v>0</v>
      </c>
      <c r="M556" t="n">
        <v>0</v>
      </c>
      <c r="N556" t="n">
        <v>0</v>
      </c>
      <c r="O556" t="n">
        <v>0</v>
      </c>
      <c r="P556" t="n">
        <v>0</v>
      </c>
      <c r="Q556" t="n">
        <v>0</v>
      </c>
      <c r="R556" s="2" t="inlineStr"/>
    </row>
    <row r="557" ht="15" customHeight="1">
      <c r="A557" t="inlineStr">
        <is>
          <t>A 33001-2024</t>
        </is>
      </c>
      <c r="B557" s="1" t="n">
        <v>45517</v>
      </c>
      <c r="C557" s="1" t="n">
        <v>46203</v>
      </c>
      <c r="D557" t="inlineStr">
        <is>
          <t>SÖDERMANLANDS LÄN</t>
        </is>
      </c>
      <c r="E557" t="inlineStr">
        <is>
          <t>KATRINEHOLM</t>
        </is>
      </c>
      <c r="G557" t="n">
        <v>1.5</v>
      </c>
      <c r="H557" t="n">
        <v>0</v>
      </c>
      <c r="I557" t="n">
        <v>0</v>
      </c>
      <c r="J557" t="n">
        <v>0</v>
      </c>
      <c r="K557" t="n">
        <v>0</v>
      </c>
      <c r="L557" t="n">
        <v>0</v>
      </c>
      <c r="M557" t="n">
        <v>0</v>
      </c>
      <c r="N557" t="n">
        <v>0</v>
      </c>
      <c r="O557" t="n">
        <v>0</v>
      </c>
      <c r="P557" t="n">
        <v>0</v>
      </c>
      <c r="Q557" t="n">
        <v>0</v>
      </c>
      <c r="R557" s="2" t="inlineStr"/>
    </row>
    <row r="558" ht="15" customHeight="1">
      <c r="A558" t="inlineStr">
        <is>
          <t>A 58175-2024</t>
        </is>
      </c>
      <c r="B558" s="1" t="n">
        <v>45632</v>
      </c>
      <c r="C558" s="1" t="n">
        <v>46203</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53715-2023</t>
        </is>
      </c>
      <c r="B559" s="1" t="n">
        <v>45230</v>
      </c>
      <c r="C559" s="1" t="n">
        <v>46203</v>
      </c>
      <c r="D559" t="inlineStr">
        <is>
          <t>SÖDERMANLANDS LÄN</t>
        </is>
      </c>
      <c r="E559" t="inlineStr">
        <is>
          <t>KATRINEHOLM</t>
        </is>
      </c>
      <c r="F559" t="inlineStr">
        <is>
          <t>Allmännings- och besparingsskogar</t>
        </is>
      </c>
      <c r="G559" t="n">
        <v>5.6</v>
      </c>
      <c r="H559" t="n">
        <v>0</v>
      </c>
      <c r="I559" t="n">
        <v>0</v>
      </c>
      <c r="J559" t="n">
        <v>0</v>
      </c>
      <c r="K559" t="n">
        <v>0</v>
      </c>
      <c r="L559" t="n">
        <v>0</v>
      </c>
      <c r="M559" t="n">
        <v>0</v>
      </c>
      <c r="N559" t="n">
        <v>0</v>
      </c>
      <c r="O559" t="n">
        <v>0</v>
      </c>
      <c r="P559" t="n">
        <v>0</v>
      </c>
      <c r="Q559" t="n">
        <v>0</v>
      </c>
      <c r="R559" s="2" t="inlineStr"/>
    </row>
    <row r="560" ht="15" customHeight="1">
      <c r="A560" t="inlineStr">
        <is>
          <t>A 23705-2023</t>
        </is>
      </c>
      <c r="B560" s="1" t="n">
        <v>45077</v>
      </c>
      <c r="C560" s="1" t="n">
        <v>46203</v>
      </c>
      <c r="D560" t="inlineStr">
        <is>
          <t>SÖDERMANLANDS LÄN</t>
        </is>
      </c>
      <c r="E560" t="inlineStr">
        <is>
          <t>KATRINEHOLM</t>
        </is>
      </c>
      <c r="F560" t="inlineStr">
        <is>
          <t>Kyrkan</t>
        </is>
      </c>
      <c r="G560" t="n">
        <v>11.9</v>
      </c>
      <c r="H560" t="n">
        <v>0</v>
      </c>
      <c r="I560" t="n">
        <v>0</v>
      </c>
      <c r="J560" t="n">
        <v>0</v>
      </c>
      <c r="K560" t="n">
        <v>0</v>
      </c>
      <c r="L560" t="n">
        <v>0</v>
      </c>
      <c r="M560" t="n">
        <v>0</v>
      </c>
      <c r="N560" t="n">
        <v>0</v>
      </c>
      <c r="O560" t="n">
        <v>0</v>
      </c>
      <c r="P560" t="n">
        <v>0</v>
      </c>
      <c r="Q560" t="n">
        <v>0</v>
      </c>
      <c r="R560" s="2" t="inlineStr"/>
    </row>
    <row r="561" ht="15" customHeight="1">
      <c r="A561" t="inlineStr">
        <is>
          <t>A 39120-2023</t>
        </is>
      </c>
      <c r="B561" s="1" t="n">
        <v>45165</v>
      </c>
      <c r="C561" s="1" t="n">
        <v>46203</v>
      </c>
      <c r="D561" t="inlineStr">
        <is>
          <t>SÖDERMANLANDS LÄN</t>
        </is>
      </c>
      <c r="E561" t="inlineStr">
        <is>
          <t>KATRINEHOLM</t>
        </is>
      </c>
      <c r="G561" t="n">
        <v>4.4</v>
      </c>
      <c r="H561" t="n">
        <v>0</v>
      </c>
      <c r="I561" t="n">
        <v>0</v>
      </c>
      <c r="J561" t="n">
        <v>0</v>
      </c>
      <c r="K561" t="n">
        <v>0</v>
      </c>
      <c r="L561" t="n">
        <v>0</v>
      </c>
      <c r="M561" t="n">
        <v>0</v>
      </c>
      <c r="N561" t="n">
        <v>0</v>
      </c>
      <c r="O561" t="n">
        <v>0</v>
      </c>
      <c r="P561" t="n">
        <v>0</v>
      </c>
      <c r="Q561" t="n">
        <v>0</v>
      </c>
      <c r="R561" s="2" t="inlineStr"/>
    </row>
    <row r="562" ht="15" customHeight="1">
      <c r="A562" t="inlineStr">
        <is>
          <t>A 51397-2023</t>
        </is>
      </c>
      <c r="B562" s="1" t="n">
        <v>45214</v>
      </c>
      <c r="C562" s="1" t="n">
        <v>46203</v>
      </c>
      <c r="D562" t="inlineStr">
        <is>
          <t>SÖDERMANLANDS LÄN</t>
        </is>
      </c>
      <c r="E562" t="inlineStr">
        <is>
          <t>KATRINEHOLM</t>
        </is>
      </c>
      <c r="G562" t="n">
        <v>4.9</v>
      </c>
      <c r="H562" t="n">
        <v>0</v>
      </c>
      <c r="I562" t="n">
        <v>0</v>
      </c>
      <c r="J562" t="n">
        <v>0</v>
      </c>
      <c r="K562" t="n">
        <v>0</v>
      </c>
      <c r="L562" t="n">
        <v>0</v>
      </c>
      <c r="M562" t="n">
        <v>0</v>
      </c>
      <c r="N562" t="n">
        <v>0</v>
      </c>
      <c r="O562" t="n">
        <v>0</v>
      </c>
      <c r="P562" t="n">
        <v>0</v>
      </c>
      <c r="Q562" t="n">
        <v>0</v>
      </c>
      <c r="R562" s="2" t="inlineStr"/>
    </row>
    <row r="563" ht="15" customHeight="1">
      <c r="A563" t="inlineStr">
        <is>
          <t>A 19452-2023</t>
        </is>
      </c>
      <c r="B563" s="1" t="n">
        <v>45050</v>
      </c>
      <c r="C563" s="1" t="n">
        <v>46203</v>
      </c>
      <c r="D563" t="inlineStr">
        <is>
          <t>SÖDERMANLANDS LÄN</t>
        </is>
      </c>
      <c r="E563" t="inlineStr">
        <is>
          <t>KATRINEHOLM</t>
        </is>
      </c>
      <c r="F563" t="inlineStr">
        <is>
          <t>Holmen skog AB</t>
        </is>
      </c>
      <c r="G563" t="n">
        <v>4.7</v>
      </c>
      <c r="H563" t="n">
        <v>0</v>
      </c>
      <c r="I563" t="n">
        <v>0</v>
      </c>
      <c r="J563" t="n">
        <v>0</v>
      </c>
      <c r="K563" t="n">
        <v>0</v>
      </c>
      <c r="L563" t="n">
        <v>0</v>
      </c>
      <c r="M563" t="n">
        <v>0</v>
      </c>
      <c r="N563" t="n">
        <v>0</v>
      </c>
      <c r="O563" t="n">
        <v>0</v>
      </c>
      <c r="P563" t="n">
        <v>0</v>
      </c>
      <c r="Q563" t="n">
        <v>0</v>
      </c>
      <c r="R563" s="2" t="inlineStr"/>
    </row>
    <row r="564" ht="15" customHeight="1">
      <c r="A564" t="inlineStr">
        <is>
          <t>A 5320-2025</t>
        </is>
      </c>
      <c r="B564" s="1" t="n">
        <v>45692</v>
      </c>
      <c r="C564" s="1" t="n">
        <v>46203</v>
      </c>
      <c r="D564" t="inlineStr">
        <is>
          <t>SÖDERMANLANDS LÄN</t>
        </is>
      </c>
      <c r="E564" t="inlineStr">
        <is>
          <t>KATRINEHOLM</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2606-2025</t>
        </is>
      </c>
      <c r="B565" s="1" t="n">
        <v>45674</v>
      </c>
      <c r="C565" s="1" t="n">
        <v>46203</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39748-2022</t>
        </is>
      </c>
      <c r="B566" s="1" t="n">
        <v>44817</v>
      </c>
      <c r="C566" s="1" t="n">
        <v>46203</v>
      </c>
      <c r="D566" t="inlineStr">
        <is>
          <t>SÖDERMANLANDS LÄN</t>
        </is>
      </c>
      <c r="E566" t="inlineStr">
        <is>
          <t>KATRINEHOLM</t>
        </is>
      </c>
      <c r="G566" t="n">
        <v>10.2</v>
      </c>
      <c r="H566" t="n">
        <v>0</v>
      </c>
      <c r="I566" t="n">
        <v>0</v>
      </c>
      <c r="J566" t="n">
        <v>0</v>
      </c>
      <c r="K566" t="n">
        <v>0</v>
      </c>
      <c r="L566" t="n">
        <v>0</v>
      </c>
      <c r="M566" t="n">
        <v>0</v>
      </c>
      <c r="N566" t="n">
        <v>0</v>
      </c>
      <c r="O566" t="n">
        <v>0</v>
      </c>
      <c r="P566" t="n">
        <v>0</v>
      </c>
      <c r="Q566" t="n">
        <v>0</v>
      </c>
      <c r="R566" s="2" t="inlineStr"/>
    </row>
    <row r="567" ht="15" customHeight="1">
      <c r="A567" t="inlineStr">
        <is>
          <t>A 34731-2023</t>
        </is>
      </c>
      <c r="B567" s="1" t="n">
        <v>45141</v>
      </c>
      <c r="C567" s="1" t="n">
        <v>46203</v>
      </c>
      <c r="D567" t="inlineStr">
        <is>
          <t>SÖDERMANLANDS LÄN</t>
        </is>
      </c>
      <c r="E567" t="inlineStr">
        <is>
          <t>KATRINEHOLM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34739-2023</t>
        </is>
      </c>
      <c r="B568" s="1" t="n">
        <v>45141</v>
      </c>
      <c r="C568" s="1" t="n">
        <v>46203</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20480-2022</t>
        </is>
      </c>
      <c r="B569" s="1" t="n">
        <v>44699</v>
      </c>
      <c r="C569" s="1" t="n">
        <v>46203</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50017-2023</t>
        </is>
      </c>
      <c r="B570" s="1" t="n">
        <v>45215</v>
      </c>
      <c r="C570" s="1" t="n">
        <v>46203</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28508-2023</t>
        </is>
      </c>
      <c r="B571" s="1" t="n">
        <v>45103</v>
      </c>
      <c r="C571" s="1" t="n">
        <v>46203</v>
      </c>
      <c r="D571" t="inlineStr">
        <is>
          <t>SÖDERMANLANDS LÄN</t>
        </is>
      </c>
      <c r="E571" t="inlineStr">
        <is>
          <t>KATRINEHOLM</t>
        </is>
      </c>
      <c r="F571" t="inlineStr">
        <is>
          <t>Kyrkan</t>
        </is>
      </c>
      <c r="G571" t="n">
        <v>20.5</v>
      </c>
      <c r="H571" t="n">
        <v>0</v>
      </c>
      <c r="I571" t="n">
        <v>0</v>
      </c>
      <c r="J571" t="n">
        <v>0</v>
      </c>
      <c r="K571" t="n">
        <v>0</v>
      </c>
      <c r="L571" t="n">
        <v>0</v>
      </c>
      <c r="M571" t="n">
        <v>0</v>
      </c>
      <c r="N571" t="n">
        <v>0</v>
      </c>
      <c r="O571" t="n">
        <v>0</v>
      </c>
      <c r="P571" t="n">
        <v>0</v>
      </c>
      <c r="Q571" t="n">
        <v>0</v>
      </c>
      <c r="R571" s="2" t="inlineStr"/>
    </row>
    <row r="572" ht="15" customHeight="1">
      <c r="A572" t="inlineStr">
        <is>
          <t>A 46075-2023</t>
        </is>
      </c>
      <c r="B572" s="1" t="n">
        <v>45196</v>
      </c>
      <c r="C572" s="1" t="n">
        <v>46203</v>
      </c>
      <c r="D572" t="inlineStr">
        <is>
          <t>SÖDERMANLANDS LÄN</t>
        </is>
      </c>
      <c r="E572" t="inlineStr">
        <is>
          <t>KATRINEHOLM</t>
        </is>
      </c>
      <c r="F572" t="inlineStr">
        <is>
          <t>Övriga Aktiebolag</t>
        </is>
      </c>
      <c r="G572" t="n">
        <v>9.5</v>
      </c>
      <c r="H572" t="n">
        <v>0</v>
      </c>
      <c r="I572" t="n">
        <v>0</v>
      </c>
      <c r="J572" t="n">
        <v>0</v>
      </c>
      <c r="K572" t="n">
        <v>0</v>
      </c>
      <c r="L572" t="n">
        <v>0</v>
      </c>
      <c r="M572" t="n">
        <v>0</v>
      </c>
      <c r="N572" t="n">
        <v>0</v>
      </c>
      <c r="O572" t="n">
        <v>0</v>
      </c>
      <c r="P572" t="n">
        <v>0</v>
      </c>
      <c r="Q572" t="n">
        <v>0</v>
      </c>
      <c r="R572" s="2" t="inlineStr"/>
    </row>
    <row r="573" ht="15" customHeight="1">
      <c r="A573" t="inlineStr">
        <is>
          <t>A 25823-2023</t>
        </is>
      </c>
      <c r="B573" s="1" t="n">
        <v>45090</v>
      </c>
      <c r="C573" s="1" t="n">
        <v>46203</v>
      </c>
      <c r="D573" t="inlineStr">
        <is>
          <t>SÖDERMANLANDS LÄN</t>
        </is>
      </c>
      <c r="E573" t="inlineStr">
        <is>
          <t>KATRINEHOLM</t>
        </is>
      </c>
      <c r="F573" t="inlineStr">
        <is>
          <t>Kyrkan</t>
        </is>
      </c>
      <c r="G573" t="n">
        <v>10.2</v>
      </c>
      <c r="H573" t="n">
        <v>0</v>
      </c>
      <c r="I573" t="n">
        <v>0</v>
      </c>
      <c r="J573" t="n">
        <v>0</v>
      </c>
      <c r="K573" t="n">
        <v>0</v>
      </c>
      <c r="L573" t="n">
        <v>0</v>
      </c>
      <c r="M573" t="n">
        <v>0</v>
      </c>
      <c r="N573" t="n">
        <v>0</v>
      </c>
      <c r="O573" t="n">
        <v>0</v>
      </c>
      <c r="P573" t="n">
        <v>0</v>
      </c>
      <c r="Q573" t="n">
        <v>0</v>
      </c>
      <c r="R573" s="2" t="inlineStr"/>
    </row>
    <row r="574" ht="15" customHeight="1">
      <c r="A574" t="inlineStr">
        <is>
          <t>A 17360-2022</t>
        </is>
      </c>
      <c r="B574" s="1" t="n">
        <v>44678</v>
      </c>
      <c r="C574" s="1" t="n">
        <v>46203</v>
      </c>
      <c r="D574" t="inlineStr">
        <is>
          <t>SÖDERMANLANDS LÄN</t>
        </is>
      </c>
      <c r="E574" t="inlineStr">
        <is>
          <t>KATRINEHOLM</t>
        </is>
      </c>
      <c r="G574" t="n">
        <v>4.5</v>
      </c>
      <c r="H574" t="n">
        <v>0</v>
      </c>
      <c r="I574" t="n">
        <v>0</v>
      </c>
      <c r="J574" t="n">
        <v>0</v>
      </c>
      <c r="K574" t="n">
        <v>0</v>
      </c>
      <c r="L574" t="n">
        <v>0</v>
      </c>
      <c r="M574" t="n">
        <v>0</v>
      </c>
      <c r="N574" t="n">
        <v>0</v>
      </c>
      <c r="O574" t="n">
        <v>0</v>
      </c>
      <c r="P574" t="n">
        <v>0</v>
      </c>
      <c r="Q574" t="n">
        <v>0</v>
      </c>
      <c r="R574" s="2" t="inlineStr"/>
    </row>
    <row r="575" ht="15" customHeight="1">
      <c r="A575" t="inlineStr">
        <is>
          <t>A 22295-2024</t>
        </is>
      </c>
      <c r="B575" s="1" t="n">
        <v>45446</v>
      </c>
      <c r="C575" s="1" t="n">
        <v>46203</v>
      </c>
      <c r="D575" t="inlineStr">
        <is>
          <t>SÖDERMANLANDS LÄN</t>
        </is>
      </c>
      <c r="E575" t="inlineStr">
        <is>
          <t>KATRINEHOLM</t>
        </is>
      </c>
      <c r="F575" t="inlineStr">
        <is>
          <t>Kommuner</t>
        </is>
      </c>
      <c r="G575" t="n">
        <v>1.2</v>
      </c>
      <c r="H575" t="n">
        <v>0</v>
      </c>
      <c r="I575" t="n">
        <v>0</v>
      </c>
      <c r="J575" t="n">
        <v>0</v>
      </c>
      <c r="K575" t="n">
        <v>0</v>
      </c>
      <c r="L575" t="n">
        <v>0</v>
      </c>
      <c r="M575" t="n">
        <v>0</v>
      </c>
      <c r="N575" t="n">
        <v>0</v>
      </c>
      <c r="O575" t="n">
        <v>0</v>
      </c>
      <c r="P575" t="n">
        <v>0</v>
      </c>
      <c r="Q575" t="n">
        <v>0</v>
      </c>
      <c r="R575" s="2" t="inlineStr"/>
    </row>
    <row r="576" ht="15" customHeight="1">
      <c r="A576" t="inlineStr">
        <is>
          <t>A 55590-2023</t>
        </is>
      </c>
      <c r="B576" s="1" t="n">
        <v>45238</v>
      </c>
      <c r="C576" s="1" t="n">
        <v>46203</v>
      </c>
      <c r="D576" t="inlineStr">
        <is>
          <t>SÖDERMANLANDS LÄN</t>
        </is>
      </c>
      <c r="E576" t="inlineStr">
        <is>
          <t>KATRINEHOLM</t>
        </is>
      </c>
      <c r="G576" t="n">
        <v>4.5</v>
      </c>
      <c r="H576" t="n">
        <v>0</v>
      </c>
      <c r="I576" t="n">
        <v>0</v>
      </c>
      <c r="J576" t="n">
        <v>0</v>
      </c>
      <c r="K576" t="n">
        <v>0</v>
      </c>
      <c r="L576" t="n">
        <v>0</v>
      </c>
      <c r="M576" t="n">
        <v>0</v>
      </c>
      <c r="N576" t="n">
        <v>0</v>
      </c>
      <c r="O576" t="n">
        <v>0</v>
      </c>
      <c r="P576" t="n">
        <v>0</v>
      </c>
      <c r="Q576" t="n">
        <v>0</v>
      </c>
      <c r="R576" s="2" t="inlineStr"/>
    </row>
    <row r="577" ht="15" customHeight="1">
      <c r="A577" t="inlineStr">
        <is>
          <t>A 15898-2022</t>
        </is>
      </c>
      <c r="B577" s="1" t="n">
        <v>44664</v>
      </c>
      <c r="C577" s="1" t="n">
        <v>46203</v>
      </c>
      <c r="D577" t="inlineStr">
        <is>
          <t>SÖDERMANLANDS LÄN</t>
        </is>
      </c>
      <c r="E577" t="inlineStr">
        <is>
          <t>KATRINEHOLM</t>
        </is>
      </c>
      <c r="G577" t="n">
        <v>6.5</v>
      </c>
      <c r="H577" t="n">
        <v>0</v>
      </c>
      <c r="I577" t="n">
        <v>0</v>
      </c>
      <c r="J577" t="n">
        <v>0</v>
      </c>
      <c r="K577" t="n">
        <v>0</v>
      </c>
      <c r="L577" t="n">
        <v>0</v>
      </c>
      <c r="M577" t="n">
        <v>0</v>
      </c>
      <c r="N577" t="n">
        <v>0</v>
      </c>
      <c r="O577" t="n">
        <v>0</v>
      </c>
      <c r="P577" t="n">
        <v>0</v>
      </c>
      <c r="Q577" t="n">
        <v>0</v>
      </c>
      <c r="R577" s="2" t="inlineStr"/>
    </row>
    <row r="578" ht="15" customHeight="1">
      <c r="A578" t="inlineStr">
        <is>
          <t>A 15910-2022</t>
        </is>
      </c>
      <c r="B578" s="1" t="n">
        <v>44664</v>
      </c>
      <c r="C578" s="1" t="n">
        <v>46203</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32818-2023</t>
        </is>
      </c>
      <c r="B579" s="1" t="n">
        <v>45124</v>
      </c>
      <c r="C579" s="1" t="n">
        <v>46203</v>
      </c>
      <c r="D579" t="inlineStr">
        <is>
          <t>SÖDERMANLANDS LÄN</t>
        </is>
      </c>
      <c r="E579" t="inlineStr">
        <is>
          <t>KATRINEHOLM</t>
        </is>
      </c>
      <c r="G579" t="n">
        <v>3.4</v>
      </c>
      <c r="H579" t="n">
        <v>0</v>
      </c>
      <c r="I579" t="n">
        <v>0</v>
      </c>
      <c r="J579" t="n">
        <v>0</v>
      </c>
      <c r="K579" t="n">
        <v>0</v>
      </c>
      <c r="L579" t="n">
        <v>0</v>
      </c>
      <c r="M579" t="n">
        <v>0</v>
      </c>
      <c r="N579" t="n">
        <v>0</v>
      </c>
      <c r="O579" t="n">
        <v>0</v>
      </c>
      <c r="P579" t="n">
        <v>0</v>
      </c>
      <c r="Q579" t="n">
        <v>0</v>
      </c>
      <c r="R579" s="2" t="inlineStr"/>
    </row>
    <row r="580" ht="15" customHeight="1">
      <c r="A580" t="inlineStr">
        <is>
          <t>A 20214-2025</t>
        </is>
      </c>
      <c r="B580" s="1" t="n">
        <v>45772</v>
      </c>
      <c r="C580" s="1" t="n">
        <v>46203</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22272-2022</t>
        </is>
      </c>
      <c r="B581" s="1" t="n">
        <v>44712</v>
      </c>
      <c r="C581" s="1" t="n">
        <v>46203</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27334-2023</t>
        </is>
      </c>
      <c r="B582" s="1" t="n">
        <v>45096</v>
      </c>
      <c r="C582" s="1" t="n">
        <v>46203</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40186-2023</t>
        </is>
      </c>
      <c r="B583" s="1" t="n">
        <v>45169</v>
      </c>
      <c r="C583" s="1" t="n">
        <v>46203</v>
      </c>
      <c r="D583" t="inlineStr">
        <is>
          <t>SÖDERMANLANDS LÄN</t>
        </is>
      </c>
      <c r="E583" t="inlineStr">
        <is>
          <t>KATRINEHOLM</t>
        </is>
      </c>
      <c r="G583" t="n">
        <v>2.1</v>
      </c>
      <c r="H583" t="n">
        <v>0</v>
      </c>
      <c r="I583" t="n">
        <v>0</v>
      </c>
      <c r="J583" t="n">
        <v>0</v>
      </c>
      <c r="K583" t="n">
        <v>0</v>
      </c>
      <c r="L583" t="n">
        <v>0</v>
      </c>
      <c r="M583" t="n">
        <v>0</v>
      </c>
      <c r="N583" t="n">
        <v>0</v>
      </c>
      <c r="O583" t="n">
        <v>0</v>
      </c>
      <c r="P583" t="n">
        <v>0</v>
      </c>
      <c r="Q583" t="n">
        <v>0</v>
      </c>
      <c r="R583" s="2" t="inlineStr"/>
    </row>
    <row r="584" ht="15" customHeight="1">
      <c r="A584" t="inlineStr">
        <is>
          <t>A 36562-2023</t>
        </is>
      </c>
      <c r="B584" s="1" t="n">
        <v>45153</v>
      </c>
      <c r="C584" s="1" t="n">
        <v>46203</v>
      </c>
      <c r="D584" t="inlineStr">
        <is>
          <t>SÖDERMANLANDS LÄN</t>
        </is>
      </c>
      <c r="E584" t="inlineStr">
        <is>
          <t>KATRINEHOLM</t>
        </is>
      </c>
      <c r="G584" t="n">
        <v>5.8</v>
      </c>
      <c r="H584" t="n">
        <v>0</v>
      </c>
      <c r="I584" t="n">
        <v>0</v>
      </c>
      <c r="J584" t="n">
        <v>0</v>
      </c>
      <c r="K584" t="n">
        <v>0</v>
      </c>
      <c r="L584" t="n">
        <v>0</v>
      </c>
      <c r="M584" t="n">
        <v>0</v>
      </c>
      <c r="N584" t="n">
        <v>0</v>
      </c>
      <c r="O584" t="n">
        <v>0</v>
      </c>
      <c r="P584" t="n">
        <v>0</v>
      </c>
      <c r="Q584" t="n">
        <v>0</v>
      </c>
      <c r="R584" s="2" t="inlineStr"/>
    </row>
    <row r="585" ht="15" customHeight="1">
      <c r="A585" t="inlineStr">
        <is>
          <t>A 34539-2022</t>
        </is>
      </c>
      <c r="B585" s="1" t="n">
        <v>44793</v>
      </c>
      <c r="C585" s="1" t="n">
        <v>46203</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24748-2024</t>
        </is>
      </c>
      <c r="B586" s="1" t="n">
        <v>45460</v>
      </c>
      <c r="C586" s="1" t="n">
        <v>46203</v>
      </c>
      <c r="D586" t="inlineStr">
        <is>
          <t>SÖDERMANLANDS LÄN</t>
        </is>
      </c>
      <c r="E586" t="inlineStr">
        <is>
          <t>KATRINEHOLM</t>
        </is>
      </c>
      <c r="G586" t="n">
        <v>3.3</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v>
      </c>
      <c r="C587" s="1" t="n">
        <v>46203</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30387-2022</t>
        </is>
      </c>
      <c r="B588" s="1" t="n">
        <v>44760</v>
      </c>
      <c r="C588" s="1" t="n">
        <v>46203</v>
      </c>
      <c r="D588" t="inlineStr">
        <is>
          <t>SÖDERMANLANDS LÄN</t>
        </is>
      </c>
      <c r="E588" t="inlineStr">
        <is>
          <t>KATRINEHOLM</t>
        </is>
      </c>
      <c r="G588" t="n">
        <v>1.9</v>
      </c>
      <c r="H588" t="n">
        <v>0</v>
      </c>
      <c r="I588" t="n">
        <v>0</v>
      </c>
      <c r="J588" t="n">
        <v>0</v>
      </c>
      <c r="K588" t="n">
        <v>0</v>
      </c>
      <c r="L588" t="n">
        <v>0</v>
      </c>
      <c r="M588" t="n">
        <v>0</v>
      </c>
      <c r="N588" t="n">
        <v>0</v>
      </c>
      <c r="O588" t="n">
        <v>0</v>
      </c>
      <c r="P588" t="n">
        <v>0</v>
      </c>
      <c r="Q588" t="n">
        <v>0</v>
      </c>
      <c r="R588" s="2" t="inlineStr"/>
    </row>
    <row r="589" ht="15" customHeight="1">
      <c r="A589" t="inlineStr">
        <is>
          <t>A 39052-2023</t>
        </is>
      </c>
      <c r="B589" s="1" t="n">
        <v>45163</v>
      </c>
      <c r="C589" s="1" t="n">
        <v>46203</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8922-2024</t>
        </is>
      </c>
      <c r="B590" s="1" t="n">
        <v>45357</v>
      </c>
      <c r="C590" s="1" t="n">
        <v>46203</v>
      </c>
      <c r="D590" t="inlineStr">
        <is>
          <t>SÖDERMANLANDS LÄN</t>
        </is>
      </c>
      <c r="E590" t="inlineStr">
        <is>
          <t>KATRINEHOLM</t>
        </is>
      </c>
      <c r="G590" t="n">
        <v>2.2</v>
      </c>
      <c r="H590" t="n">
        <v>0</v>
      </c>
      <c r="I590" t="n">
        <v>0</v>
      </c>
      <c r="J590" t="n">
        <v>0</v>
      </c>
      <c r="K590" t="n">
        <v>0</v>
      </c>
      <c r="L590" t="n">
        <v>0</v>
      </c>
      <c r="M590" t="n">
        <v>0</v>
      </c>
      <c r="N590" t="n">
        <v>0</v>
      </c>
      <c r="O590" t="n">
        <v>0</v>
      </c>
      <c r="P590" t="n">
        <v>0</v>
      </c>
      <c r="Q590" t="n">
        <v>0</v>
      </c>
      <c r="R590" s="2" t="inlineStr"/>
    </row>
    <row r="591" ht="15" customHeight="1">
      <c r="A591" t="inlineStr">
        <is>
          <t>A 48160-2022</t>
        </is>
      </c>
      <c r="B591" s="1" t="n">
        <v>44853</v>
      </c>
      <c r="C591" s="1" t="n">
        <v>46203</v>
      </c>
      <c r="D591" t="inlineStr">
        <is>
          <t>SÖDERMANLANDS LÄN</t>
        </is>
      </c>
      <c r="E591" t="inlineStr">
        <is>
          <t>KATRINEHOLM</t>
        </is>
      </c>
      <c r="F591" t="inlineStr">
        <is>
          <t>Övriga statliga verk och myndigheter</t>
        </is>
      </c>
      <c r="G591" t="n">
        <v>2.2</v>
      </c>
      <c r="H591" t="n">
        <v>0</v>
      </c>
      <c r="I591" t="n">
        <v>0</v>
      </c>
      <c r="J591" t="n">
        <v>0</v>
      </c>
      <c r="K591" t="n">
        <v>0</v>
      </c>
      <c r="L591" t="n">
        <v>0</v>
      </c>
      <c r="M591" t="n">
        <v>0</v>
      </c>
      <c r="N591" t="n">
        <v>0</v>
      </c>
      <c r="O591" t="n">
        <v>0</v>
      </c>
      <c r="P591" t="n">
        <v>0</v>
      </c>
      <c r="Q591" t="n">
        <v>0</v>
      </c>
      <c r="R591" s="2" t="inlineStr"/>
    </row>
    <row r="592" ht="15" customHeight="1">
      <c r="A592" t="inlineStr">
        <is>
          <t>A 66393-2021</t>
        </is>
      </c>
      <c r="B592" s="1" t="n">
        <v>44518</v>
      </c>
      <c r="C592" s="1" t="n">
        <v>46203</v>
      </c>
      <c r="D592" t="inlineStr">
        <is>
          <t>SÖDERMANLANDS LÄN</t>
        </is>
      </c>
      <c r="E592" t="inlineStr">
        <is>
          <t>KATRINEHOLM</t>
        </is>
      </c>
      <c r="F592" t="inlineStr">
        <is>
          <t>Holmen skog AB</t>
        </is>
      </c>
      <c r="G592" t="n">
        <v>0.4</v>
      </c>
      <c r="H592" t="n">
        <v>0</v>
      </c>
      <c r="I592" t="n">
        <v>0</v>
      </c>
      <c r="J592" t="n">
        <v>0</v>
      </c>
      <c r="K592" t="n">
        <v>0</v>
      </c>
      <c r="L592" t="n">
        <v>0</v>
      </c>
      <c r="M592" t="n">
        <v>0</v>
      </c>
      <c r="N592" t="n">
        <v>0</v>
      </c>
      <c r="O592" t="n">
        <v>0</v>
      </c>
      <c r="P592" t="n">
        <v>0</v>
      </c>
      <c r="Q592" t="n">
        <v>0</v>
      </c>
      <c r="R592" s="2" t="inlineStr"/>
    </row>
    <row r="593" ht="15" customHeight="1">
      <c r="A593" t="inlineStr">
        <is>
          <t>A 47134-2022</t>
        </is>
      </c>
      <c r="B593" s="1" t="n">
        <v>44851</v>
      </c>
      <c r="C593" s="1" t="n">
        <v>46203</v>
      </c>
      <c r="D593" t="inlineStr">
        <is>
          <t>SÖDERMANLANDS LÄN</t>
        </is>
      </c>
      <c r="E593" t="inlineStr">
        <is>
          <t>KATRINEHOLM</t>
        </is>
      </c>
      <c r="F593" t="inlineStr">
        <is>
          <t>Övriga statliga verk och myndigheter</t>
        </is>
      </c>
      <c r="G593" t="n">
        <v>1.5</v>
      </c>
      <c r="H593" t="n">
        <v>0</v>
      </c>
      <c r="I593" t="n">
        <v>0</v>
      </c>
      <c r="J593" t="n">
        <v>0</v>
      </c>
      <c r="K593" t="n">
        <v>0</v>
      </c>
      <c r="L593" t="n">
        <v>0</v>
      </c>
      <c r="M593" t="n">
        <v>0</v>
      </c>
      <c r="N593" t="n">
        <v>0</v>
      </c>
      <c r="O593" t="n">
        <v>0</v>
      </c>
      <c r="P593" t="n">
        <v>0</v>
      </c>
      <c r="Q593" t="n">
        <v>0</v>
      </c>
      <c r="R593" s="2" t="inlineStr"/>
    </row>
    <row r="594" ht="15" customHeight="1">
      <c r="A594" t="inlineStr">
        <is>
          <t>A 1143-2024</t>
        </is>
      </c>
      <c r="B594" s="1" t="n">
        <v>45302</v>
      </c>
      <c r="C594" s="1" t="n">
        <v>46203</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3982-2024</t>
        </is>
      </c>
      <c r="B595" s="1" t="n">
        <v>45322</v>
      </c>
      <c r="C595" s="1" t="n">
        <v>46203</v>
      </c>
      <c r="D595" t="inlineStr">
        <is>
          <t>SÖDERMANLANDS LÄN</t>
        </is>
      </c>
      <c r="E595" t="inlineStr">
        <is>
          <t>KATRINEHOLM</t>
        </is>
      </c>
      <c r="G595" t="n">
        <v>3.7</v>
      </c>
      <c r="H595" t="n">
        <v>0</v>
      </c>
      <c r="I595" t="n">
        <v>0</v>
      </c>
      <c r="J595" t="n">
        <v>0</v>
      </c>
      <c r="K595" t="n">
        <v>0</v>
      </c>
      <c r="L595" t="n">
        <v>0</v>
      </c>
      <c r="M595" t="n">
        <v>0</v>
      </c>
      <c r="N595" t="n">
        <v>0</v>
      </c>
      <c r="O595" t="n">
        <v>0</v>
      </c>
      <c r="P595" t="n">
        <v>0</v>
      </c>
      <c r="Q595" t="n">
        <v>0</v>
      </c>
      <c r="R595" s="2" t="inlineStr"/>
    </row>
    <row r="596" ht="15" customHeight="1">
      <c r="A596" t="inlineStr">
        <is>
          <t>A 57263-2022</t>
        </is>
      </c>
      <c r="B596" s="1" t="n">
        <v>44895</v>
      </c>
      <c r="C596" s="1" t="n">
        <v>46203</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62418-2023</t>
        </is>
      </c>
      <c r="B597" s="1" t="n">
        <v>45268</v>
      </c>
      <c r="C597" s="1" t="n">
        <v>46203</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45142-2021</t>
        </is>
      </c>
      <c r="B598" s="1" t="n">
        <v>44439</v>
      </c>
      <c r="C598" s="1" t="n">
        <v>46203</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7191-2023</t>
        </is>
      </c>
      <c r="B599" s="1" t="n">
        <v>44965</v>
      </c>
      <c r="C599" s="1" t="n">
        <v>46203</v>
      </c>
      <c r="D599" t="inlineStr">
        <is>
          <t>SÖDERMANLANDS LÄN</t>
        </is>
      </c>
      <c r="E599" t="inlineStr">
        <is>
          <t>KATRINEHOLM</t>
        </is>
      </c>
      <c r="G599" t="n">
        <v>14.1</v>
      </c>
      <c r="H599" t="n">
        <v>0</v>
      </c>
      <c r="I599" t="n">
        <v>0</v>
      </c>
      <c r="J599" t="n">
        <v>0</v>
      </c>
      <c r="K599" t="n">
        <v>0</v>
      </c>
      <c r="L599" t="n">
        <v>0</v>
      </c>
      <c r="M599" t="n">
        <v>0</v>
      </c>
      <c r="N599" t="n">
        <v>0</v>
      </c>
      <c r="O599" t="n">
        <v>0</v>
      </c>
      <c r="P599" t="n">
        <v>0</v>
      </c>
      <c r="Q599" t="n">
        <v>0</v>
      </c>
      <c r="R599" s="2" t="inlineStr"/>
    </row>
    <row r="600" ht="15" customHeight="1">
      <c r="A600" t="inlineStr">
        <is>
          <t>A 66540-2021</t>
        </is>
      </c>
      <c r="B600" s="1" t="n">
        <v>44519</v>
      </c>
      <c r="C600" s="1" t="n">
        <v>46203</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8394-2024</t>
        </is>
      </c>
      <c r="B601" s="1" t="n">
        <v>45352</v>
      </c>
      <c r="C601" s="1" t="n">
        <v>46203</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13658-2023</t>
        </is>
      </c>
      <c r="B602" s="1" t="n">
        <v>45006</v>
      </c>
      <c r="C602" s="1" t="n">
        <v>46203</v>
      </c>
      <c r="D602" t="inlineStr">
        <is>
          <t>SÖDERMANLANDS LÄN</t>
        </is>
      </c>
      <c r="E602" t="inlineStr">
        <is>
          <t>KATRINEHOLM</t>
        </is>
      </c>
      <c r="F602" t="inlineStr">
        <is>
          <t>Kyrkan</t>
        </is>
      </c>
      <c r="G602" t="n">
        <v>24.3</v>
      </c>
      <c r="H602" t="n">
        <v>0</v>
      </c>
      <c r="I602" t="n">
        <v>0</v>
      </c>
      <c r="J602" t="n">
        <v>0</v>
      </c>
      <c r="K602" t="n">
        <v>0</v>
      </c>
      <c r="L602" t="n">
        <v>0</v>
      </c>
      <c r="M602" t="n">
        <v>0</v>
      </c>
      <c r="N602" t="n">
        <v>0</v>
      </c>
      <c r="O602" t="n">
        <v>0</v>
      </c>
      <c r="P602" t="n">
        <v>0</v>
      </c>
      <c r="Q602" t="n">
        <v>0</v>
      </c>
      <c r="R602" s="2" t="inlineStr"/>
    </row>
    <row r="603" ht="15" customHeight="1">
      <c r="A603" t="inlineStr">
        <is>
          <t>A 61385-2023</t>
        </is>
      </c>
      <c r="B603" s="1" t="n">
        <v>45264</v>
      </c>
      <c r="C603" s="1" t="n">
        <v>46203</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55825-2022</t>
        </is>
      </c>
      <c r="B604" s="1" t="n">
        <v>44886</v>
      </c>
      <c r="C604" s="1" t="n">
        <v>46203</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55856-2022</t>
        </is>
      </c>
      <c r="B605" s="1" t="n">
        <v>44888</v>
      </c>
      <c r="C605" s="1" t="n">
        <v>46203</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43513-2023</t>
        </is>
      </c>
      <c r="B606" s="1" t="n">
        <v>45184</v>
      </c>
      <c r="C606" s="1" t="n">
        <v>46203</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8951-2024</t>
        </is>
      </c>
      <c r="B607" s="1" t="n">
        <v>45357</v>
      </c>
      <c r="C607" s="1" t="n">
        <v>46203</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8955-2024</t>
        </is>
      </c>
      <c r="B608" s="1" t="n">
        <v>45357</v>
      </c>
      <c r="C608" s="1" t="n">
        <v>46203</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15945-2024</t>
        </is>
      </c>
      <c r="B609" s="1" t="n">
        <v>45405</v>
      </c>
      <c r="C609" s="1" t="n">
        <v>46203</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4655-2024</t>
        </is>
      </c>
      <c r="B610" s="1" t="n">
        <v>45328</v>
      </c>
      <c r="C610" s="1" t="n">
        <v>46203</v>
      </c>
      <c r="D610" t="inlineStr">
        <is>
          <t>SÖDERMANLANDS LÄN</t>
        </is>
      </c>
      <c r="E610" t="inlineStr">
        <is>
          <t>KATRINEHOLM</t>
        </is>
      </c>
      <c r="G610" t="n">
        <v>17.7</v>
      </c>
      <c r="H610" t="n">
        <v>0</v>
      </c>
      <c r="I610" t="n">
        <v>0</v>
      </c>
      <c r="J610" t="n">
        <v>0</v>
      </c>
      <c r="K610" t="n">
        <v>0</v>
      </c>
      <c r="L610" t="n">
        <v>0</v>
      </c>
      <c r="M610" t="n">
        <v>0</v>
      </c>
      <c r="N610" t="n">
        <v>0</v>
      </c>
      <c r="O610" t="n">
        <v>0</v>
      </c>
      <c r="P610" t="n">
        <v>0</v>
      </c>
      <c r="Q610" t="n">
        <v>0</v>
      </c>
      <c r="R610" s="2" t="inlineStr"/>
    </row>
    <row r="611" ht="15" customHeight="1">
      <c r="A611" t="inlineStr">
        <is>
          <t>A 53387-2023</t>
        </is>
      </c>
      <c r="B611" s="1" t="n">
        <v>45229</v>
      </c>
      <c r="C611" s="1" t="n">
        <v>46203</v>
      </c>
      <c r="D611" t="inlineStr">
        <is>
          <t>SÖDERMANLANDS LÄN</t>
        </is>
      </c>
      <c r="E611" t="inlineStr">
        <is>
          <t>KATRINEHOLM</t>
        </is>
      </c>
      <c r="F611" t="inlineStr">
        <is>
          <t>Kyrkan</t>
        </is>
      </c>
      <c r="G611" t="n">
        <v>7.4</v>
      </c>
      <c r="H611" t="n">
        <v>0</v>
      </c>
      <c r="I611" t="n">
        <v>0</v>
      </c>
      <c r="J611" t="n">
        <v>0</v>
      </c>
      <c r="K611" t="n">
        <v>0</v>
      </c>
      <c r="L611" t="n">
        <v>0</v>
      </c>
      <c r="M611" t="n">
        <v>0</v>
      </c>
      <c r="N611" t="n">
        <v>0</v>
      </c>
      <c r="O611" t="n">
        <v>0</v>
      </c>
      <c r="P611" t="n">
        <v>0</v>
      </c>
      <c r="Q611" t="n">
        <v>0</v>
      </c>
      <c r="R611" s="2" t="inlineStr"/>
    </row>
    <row r="612" ht="15" customHeight="1">
      <c r="A612" t="inlineStr">
        <is>
          <t>A 42590-2022</t>
        </is>
      </c>
      <c r="B612" s="1" t="n">
        <v>44831</v>
      </c>
      <c r="C612" s="1" t="n">
        <v>46203</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38883-2024</t>
        </is>
      </c>
      <c r="B613" s="1" t="n">
        <v>45547</v>
      </c>
      <c r="C613" s="1" t="n">
        <v>46203</v>
      </c>
      <c r="D613" t="inlineStr">
        <is>
          <t>SÖDERMANLANDS LÄN</t>
        </is>
      </c>
      <c r="E613" t="inlineStr">
        <is>
          <t>KATRINEHOLM</t>
        </is>
      </c>
      <c r="G613" t="n">
        <v>3.1</v>
      </c>
      <c r="H613" t="n">
        <v>0</v>
      </c>
      <c r="I613" t="n">
        <v>0</v>
      </c>
      <c r="J613" t="n">
        <v>0</v>
      </c>
      <c r="K613" t="n">
        <v>0</v>
      </c>
      <c r="L613" t="n">
        <v>0</v>
      </c>
      <c r="M613" t="n">
        <v>0</v>
      </c>
      <c r="N613" t="n">
        <v>0</v>
      </c>
      <c r="O613" t="n">
        <v>0</v>
      </c>
      <c r="P613" t="n">
        <v>0</v>
      </c>
      <c r="Q613" t="n">
        <v>0</v>
      </c>
      <c r="R613" s="2" t="inlineStr"/>
    </row>
    <row r="614" ht="15" customHeight="1">
      <c r="A614" t="inlineStr">
        <is>
          <t>A 4667-2024</t>
        </is>
      </c>
      <c r="B614" s="1" t="n">
        <v>45328</v>
      </c>
      <c r="C614" s="1" t="n">
        <v>46203</v>
      </c>
      <c r="D614" t="inlineStr">
        <is>
          <t>SÖDERMANLANDS LÄN</t>
        </is>
      </c>
      <c r="E614" t="inlineStr">
        <is>
          <t>KATRINEHOLM</t>
        </is>
      </c>
      <c r="F614" t="inlineStr">
        <is>
          <t>Övriga Aktiebolag</t>
        </is>
      </c>
      <c r="G614" t="n">
        <v>10.2</v>
      </c>
      <c r="H614" t="n">
        <v>0</v>
      </c>
      <c r="I614" t="n">
        <v>0</v>
      </c>
      <c r="J614" t="n">
        <v>0</v>
      </c>
      <c r="K614" t="n">
        <v>0</v>
      </c>
      <c r="L614" t="n">
        <v>0</v>
      </c>
      <c r="M614" t="n">
        <v>0</v>
      </c>
      <c r="N614" t="n">
        <v>0</v>
      </c>
      <c r="O614" t="n">
        <v>0</v>
      </c>
      <c r="P614" t="n">
        <v>0</v>
      </c>
      <c r="Q614" t="n">
        <v>0</v>
      </c>
      <c r="R614" s="2" t="inlineStr"/>
    </row>
    <row r="615" ht="15" customHeight="1">
      <c r="A615" t="inlineStr">
        <is>
          <t>A 39704-2023</t>
        </is>
      </c>
      <c r="B615" s="1" t="n">
        <v>45167</v>
      </c>
      <c r="C615" s="1" t="n">
        <v>46203</v>
      </c>
      <c r="D615" t="inlineStr">
        <is>
          <t>SÖDERMANLANDS LÄN</t>
        </is>
      </c>
      <c r="E615" t="inlineStr">
        <is>
          <t>KATRINEHOLM</t>
        </is>
      </c>
      <c r="F615" t="inlineStr">
        <is>
          <t>Övriga Aktiebolag</t>
        </is>
      </c>
      <c r="G615" t="n">
        <v>3.4</v>
      </c>
      <c r="H615" t="n">
        <v>0</v>
      </c>
      <c r="I615" t="n">
        <v>0</v>
      </c>
      <c r="J615" t="n">
        <v>0</v>
      </c>
      <c r="K615" t="n">
        <v>0</v>
      </c>
      <c r="L615" t="n">
        <v>0</v>
      </c>
      <c r="M615" t="n">
        <v>0</v>
      </c>
      <c r="N615" t="n">
        <v>0</v>
      </c>
      <c r="O615" t="n">
        <v>0</v>
      </c>
      <c r="P615" t="n">
        <v>0</v>
      </c>
      <c r="Q615" t="n">
        <v>0</v>
      </c>
      <c r="R615" s="2" t="inlineStr"/>
    </row>
    <row r="616" ht="15" customHeight="1">
      <c r="A616" t="inlineStr">
        <is>
          <t>A 16087-2023</t>
        </is>
      </c>
      <c r="B616" s="1" t="n">
        <v>45026</v>
      </c>
      <c r="C616" s="1" t="n">
        <v>46203</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28652-2024</t>
        </is>
      </c>
      <c r="B617" s="1" t="n">
        <v>45478</v>
      </c>
      <c r="C617" s="1" t="n">
        <v>46203</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42791-2023</t>
        </is>
      </c>
      <c r="B618" s="1" t="n">
        <v>45181</v>
      </c>
      <c r="C618" s="1" t="n">
        <v>46203</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42792-2023</t>
        </is>
      </c>
      <c r="B619" s="1" t="n">
        <v>45181</v>
      </c>
      <c r="C619" s="1" t="n">
        <v>46203</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31740-2022</t>
        </is>
      </c>
      <c r="B620" s="1" t="n">
        <v>44776</v>
      </c>
      <c r="C620" s="1" t="n">
        <v>46203</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4679-2023</t>
        </is>
      </c>
      <c r="B621" s="1" t="n">
        <v>44957</v>
      </c>
      <c r="C621" s="1" t="n">
        <v>46203</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48528-2021</t>
        </is>
      </c>
      <c r="B622" s="1" t="n">
        <v>44449</v>
      </c>
      <c r="C622" s="1" t="n">
        <v>46203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48398-2022</t>
        </is>
      </c>
      <c r="B623" s="1" t="n">
        <v>44858</v>
      </c>
      <c r="C623" s="1" t="n">
        <v>46203</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6753-2022</t>
        </is>
      </c>
      <c r="B624" s="1" t="n">
        <v>44602</v>
      </c>
      <c r="C624" s="1" t="n">
        <v>46203</v>
      </c>
      <c r="D624" t="inlineStr">
        <is>
          <t>SÖDERMANLANDS LÄN</t>
        </is>
      </c>
      <c r="E624" t="inlineStr">
        <is>
          <t>KATRINEHOLM</t>
        </is>
      </c>
      <c r="G624" t="n">
        <v>4.3</v>
      </c>
      <c r="H624" t="n">
        <v>0</v>
      </c>
      <c r="I624" t="n">
        <v>0</v>
      </c>
      <c r="J624" t="n">
        <v>0</v>
      </c>
      <c r="K624" t="n">
        <v>0</v>
      </c>
      <c r="L624" t="n">
        <v>0</v>
      </c>
      <c r="M624" t="n">
        <v>0</v>
      </c>
      <c r="N624" t="n">
        <v>0</v>
      </c>
      <c r="O624" t="n">
        <v>0</v>
      </c>
      <c r="P624" t="n">
        <v>0</v>
      </c>
      <c r="Q624" t="n">
        <v>0</v>
      </c>
      <c r="R624" s="2" t="inlineStr"/>
    </row>
    <row r="625" ht="15" customHeight="1">
      <c r="A625" t="inlineStr">
        <is>
          <t>A 15184-2023</t>
        </is>
      </c>
      <c r="B625" s="1" t="n">
        <v>45016</v>
      </c>
      <c r="C625" s="1" t="n">
        <v>46203</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46203</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29830-2023</t>
        </is>
      </c>
      <c r="B627" s="1" t="n">
        <v>45107</v>
      </c>
      <c r="C627" s="1" t="n">
        <v>46203</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19098-2022</t>
        </is>
      </c>
      <c r="B628" s="1" t="n">
        <v>44691</v>
      </c>
      <c r="C628" s="1" t="n">
        <v>46203</v>
      </c>
      <c r="D628" t="inlineStr">
        <is>
          <t>SÖDERMANLANDS LÄN</t>
        </is>
      </c>
      <c r="E628" t="inlineStr">
        <is>
          <t>KATRINEHOLM</t>
        </is>
      </c>
      <c r="G628" t="n">
        <v>5.5</v>
      </c>
      <c r="H628" t="n">
        <v>0</v>
      </c>
      <c r="I628" t="n">
        <v>0</v>
      </c>
      <c r="J628" t="n">
        <v>0</v>
      </c>
      <c r="K628" t="n">
        <v>0</v>
      </c>
      <c r="L628" t="n">
        <v>0</v>
      </c>
      <c r="M628" t="n">
        <v>0</v>
      </c>
      <c r="N628" t="n">
        <v>0</v>
      </c>
      <c r="O628" t="n">
        <v>0</v>
      </c>
      <c r="P628" t="n">
        <v>0</v>
      </c>
      <c r="Q628" t="n">
        <v>0</v>
      </c>
      <c r="R628" s="2" t="inlineStr"/>
    </row>
    <row r="629" ht="15" customHeight="1">
      <c r="A629" t="inlineStr">
        <is>
          <t>A 6628-2022</t>
        </is>
      </c>
      <c r="B629" s="1" t="n">
        <v>44601</v>
      </c>
      <c r="C629" s="1" t="n">
        <v>46203</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72984-2021</t>
        </is>
      </c>
      <c r="B630" s="1" t="n">
        <v>44549</v>
      </c>
      <c r="C630" s="1" t="n">
        <v>46203</v>
      </c>
      <c r="D630" t="inlineStr">
        <is>
          <t>SÖDERMANLANDS LÄN</t>
        </is>
      </c>
      <c r="E630" t="inlineStr">
        <is>
          <t>KATRINEHOLM</t>
        </is>
      </c>
      <c r="G630" t="n">
        <v>4.9</v>
      </c>
      <c r="H630" t="n">
        <v>0</v>
      </c>
      <c r="I630" t="n">
        <v>0</v>
      </c>
      <c r="J630" t="n">
        <v>0</v>
      </c>
      <c r="K630" t="n">
        <v>0</v>
      </c>
      <c r="L630" t="n">
        <v>0</v>
      </c>
      <c r="M630" t="n">
        <v>0</v>
      </c>
      <c r="N630" t="n">
        <v>0</v>
      </c>
      <c r="O630" t="n">
        <v>0</v>
      </c>
      <c r="P630" t="n">
        <v>0</v>
      </c>
      <c r="Q630" t="n">
        <v>0</v>
      </c>
      <c r="R630" s="2" t="inlineStr"/>
    </row>
    <row r="631" ht="15" customHeight="1">
      <c r="A631" t="inlineStr">
        <is>
          <t>A 2325-2023</t>
        </is>
      </c>
      <c r="B631" s="1" t="n">
        <v>44942</v>
      </c>
      <c r="C631" s="1" t="n">
        <v>46203</v>
      </c>
      <c r="D631" t="inlineStr">
        <is>
          <t>SÖDERMANLANDS LÄN</t>
        </is>
      </c>
      <c r="E631" t="inlineStr">
        <is>
          <t>KATRINEHOLM</t>
        </is>
      </c>
      <c r="G631" t="n">
        <v>5.6</v>
      </c>
      <c r="H631" t="n">
        <v>0</v>
      </c>
      <c r="I631" t="n">
        <v>0</v>
      </c>
      <c r="J631" t="n">
        <v>0</v>
      </c>
      <c r="K631" t="n">
        <v>0</v>
      </c>
      <c r="L631" t="n">
        <v>0</v>
      </c>
      <c r="M631" t="n">
        <v>0</v>
      </c>
      <c r="N631" t="n">
        <v>0</v>
      </c>
      <c r="O631" t="n">
        <v>0</v>
      </c>
      <c r="P631" t="n">
        <v>0</v>
      </c>
      <c r="Q631" t="n">
        <v>0</v>
      </c>
      <c r="R631" s="2" t="inlineStr"/>
    </row>
    <row r="632" ht="15" customHeight="1">
      <c r="A632" t="inlineStr">
        <is>
          <t>A 46011-2021</t>
        </is>
      </c>
      <c r="B632" s="1" t="n">
        <v>44441</v>
      </c>
      <c r="C632" s="1" t="n">
        <v>46203</v>
      </c>
      <c r="D632" t="inlineStr">
        <is>
          <t>SÖDERMANLANDS LÄN</t>
        </is>
      </c>
      <c r="E632" t="inlineStr">
        <is>
          <t>KATRINEHOLM</t>
        </is>
      </c>
      <c r="G632" t="n">
        <v>4.7</v>
      </c>
      <c r="H632" t="n">
        <v>0</v>
      </c>
      <c r="I632" t="n">
        <v>0</v>
      </c>
      <c r="J632" t="n">
        <v>0</v>
      </c>
      <c r="K632" t="n">
        <v>0</v>
      </c>
      <c r="L632" t="n">
        <v>0</v>
      </c>
      <c r="M632" t="n">
        <v>0</v>
      </c>
      <c r="N632" t="n">
        <v>0</v>
      </c>
      <c r="O632" t="n">
        <v>0</v>
      </c>
      <c r="P632" t="n">
        <v>0</v>
      </c>
      <c r="Q632" t="n">
        <v>0</v>
      </c>
      <c r="R632" s="2" t="inlineStr"/>
    </row>
    <row r="633" ht="15" customHeight="1">
      <c r="A633" t="inlineStr">
        <is>
          <t>A 62140-2022</t>
        </is>
      </c>
      <c r="B633" s="1" t="n">
        <v>44922</v>
      </c>
      <c r="C633" s="1" t="n">
        <v>46203</v>
      </c>
      <c r="D633" t="inlineStr">
        <is>
          <t>SÖDERMANLANDS LÄN</t>
        </is>
      </c>
      <c r="E633" t="inlineStr">
        <is>
          <t>KATRINEHOLM</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33934-2022</t>
        </is>
      </c>
      <c r="B634" s="1" t="n">
        <v>44790</v>
      </c>
      <c r="C634" s="1" t="n">
        <v>46203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13171-2024</t>
        </is>
      </c>
      <c r="B635" s="1" t="n">
        <v>45386</v>
      </c>
      <c r="C635" s="1" t="n">
        <v>46203</v>
      </c>
      <c r="D635" t="inlineStr">
        <is>
          <t>SÖDERMANLANDS LÄN</t>
        </is>
      </c>
      <c r="E635" t="inlineStr">
        <is>
          <t>KATRINEHOLM</t>
        </is>
      </c>
      <c r="G635" t="n">
        <v>1</v>
      </c>
      <c r="H635" t="n">
        <v>0</v>
      </c>
      <c r="I635" t="n">
        <v>0</v>
      </c>
      <c r="J635" t="n">
        <v>0</v>
      </c>
      <c r="K635" t="n">
        <v>0</v>
      </c>
      <c r="L635" t="n">
        <v>0</v>
      </c>
      <c r="M635" t="n">
        <v>0</v>
      </c>
      <c r="N635" t="n">
        <v>0</v>
      </c>
      <c r="O635" t="n">
        <v>0</v>
      </c>
      <c r="P635" t="n">
        <v>0</v>
      </c>
      <c r="Q635" t="n">
        <v>0</v>
      </c>
      <c r="R635" s="2" t="inlineStr"/>
    </row>
    <row r="636" ht="15" customHeight="1">
      <c r="A636" t="inlineStr">
        <is>
          <t>A 59384-2022</t>
        </is>
      </c>
      <c r="B636" s="1" t="n">
        <v>44905</v>
      </c>
      <c r="C636" s="1" t="n">
        <v>46203</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13086-2023</t>
        </is>
      </c>
      <c r="B637" s="1" t="n">
        <v>45002</v>
      </c>
      <c r="C637" s="1" t="n">
        <v>46203</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19670-2022</t>
        </is>
      </c>
      <c r="B638" s="1" t="n">
        <v>44694</v>
      </c>
      <c r="C638" s="1" t="n">
        <v>46203</v>
      </c>
      <c r="D638" t="inlineStr">
        <is>
          <t>SÖDERMANLANDS LÄN</t>
        </is>
      </c>
      <c r="E638" t="inlineStr">
        <is>
          <t>KATRINEHOLM</t>
        </is>
      </c>
      <c r="G638" t="n">
        <v>13.6</v>
      </c>
      <c r="H638" t="n">
        <v>0</v>
      </c>
      <c r="I638" t="n">
        <v>0</v>
      </c>
      <c r="J638" t="n">
        <v>0</v>
      </c>
      <c r="K638" t="n">
        <v>0</v>
      </c>
      <c r="L638" t="n">
        <v>0</v>
      </c>
      <c r="M638" t="n">
        <v>0</v>
      </c>
      <c r="N638" t="n">
        <v>0</v>
      </c>
      <c r="O638" t="n">
        <v>0</v>
      </c>
      <c r="P638" t="n">
        <v>0</v>
      </c>
      <c r="Q638" t="n">
        <v>0</v>
      </c>
      <c r="R638" s="2" t="inlineStr"/>
    </row>
    <row r="639" ht="15" customHeight="1">
      <c r="A639" t="inlineStr">
        <is>
          <t>A 19107-2022</t>
        </is>
      </c>
      <c r="B639" s="1" t="n">
        <v>44691</v>
      </c>
      <c r="C639" s="1" t="n">
        <v>46203</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6796-2022</t>
        </is>
      </c>
      <c r="B640" s="1" t="n">
        <v>44602</v>
      </c>
      <c r="C640" s="1" t="n">
        <v>46203</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13612-2023</t>
        </is>
      </c>
      <c r="B641" s="1" t="n">
        <v>45006</v>
      </c>
      <c r="C641" s="1" t="n">
        <v>46203</v>
      </c>
      <c r="D641" t="inlineStr">
        <is>
          <t>SÖDERMANLANDS LÄN</t>
        </is>
      </c>
      <c r="E641" t="inlineStr">
        <is>
          <t>KATRINEHOLM</t>
        </is>
      </c>
      <c r="G641" t="n">
        <v>2.3</v>
      </c>
      <c r="H641" t="n">
        <v>0</v>
      </c>
      <c r="I641" t="n">
        <v>0</v>
      </c>
      <c r="J641" t="n">
        <v>0</v>
      </c>
      <c r="K641" t="n">
        <v>0</v>
      </c>
      <c r="L641" t="n">
        <v>0</v>
      </c>
      <c r="M641" t="n">
        <v>0</v>
      </c>
      <c r="N641" t="n">
        <v>0</v>
      </c>
      <c r="O641" t="n">
        <v>0</v>
      </c>
      <c r="P641" t="n">
        <v>0</v>
      </c>
      <c r="Q641" t="n">
        <v>0</v>
      </c>
      <c r="R641" s="2" t="inlineStr"/>
    </row>
    <row r="642" ht="15" customHeight="1">
      <c r="A642" t="inlineStr">
        <is>
          <t>A 39068-2022</t>
        </is>
      </c>
      <c r="B642" s="1" t="n">
        <v>44816</v>
      </c>
      <c r="C642" s="1" t="n">
        <v>46203</v>
      </c>
      <c r="D642" t="inlineStr">
        <is>
          <t>SÖDERMANLANDS LÄN</t>
        </is>
      </c>
      <c r="E642" t="inlineStr">
        <is>
          <t>KATRINEHOLM</t>
        </is>
      </c>
      <c r="G642" t="n">
        <v>3.6</v>
      </c>
      <c r="H642" t="n">
        <v>0</v>
      </c>
      <c r="I642" t="n">
        <v>0</v>
      </c>
      <c r="J642" t="n">
        <v>0</v>
      </c>
      <c r="K642" t="n">
        <v>0</v>
      </c>
      <c r="L642" t="n">
        <v>0</v>
      </c>
      <c r="M642" t="n">
        <v>0</v>
      </c>
      <c r="N642" t="n">
        <v>0</v>
      </c>
      <c r="O642" t="n">
        <v>0</v>
      </c>
      <c r="P642" t="n">
        <v>0</v>
      </c>
      <c r="Q642" t="n">
        <v>0</v>
      </c>
      <c r="R642" s="2" t="inlineStr"/>
    </row>
    <row r="643" ht="15" customHeight="1">
      <c r="A643" t="inlineStr">
        <is>
          <t>A 8765-2023</t>
        </is>
      </c>
      <c r="B643" s="1" t="n">
        <v>44978</v>
      </c>
      <c r="C643" s="1" t="n">
        <v>46203</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57154-2023</t>
        </is>
      </c>
      <c r="B644" s="1" t="n">
        <v>45245</v>
      </c>
      <c r="C644" s="1" t="n">
        <v>46203</v>
      </c>
      <c r="D644" t="inlineStr">
        <is>
          <t>SÖDERMANLANDS LÄN</t>
        </is>
      </c>
      <c r="E644" t="inlineStr">
        <is>
          <t>KATRINEHOLM</t>
        </is>
      </c>
      <c r="F644" t="inlineStr">
        <is>
          <t>Allmännings- och besparingsskogar</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21959-2022</t>
        </is>
      </c>
      <c r="B645" s="1" t="n">
        <v>44708</v>
      </c>
      <c r="C645" s="1" t="n">
        <v>46203</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51530-2023</t>
        </is>
      </c>
      <c r="B646" s="1" t="n">
        <v>45222</v>
      </c>
      <c r="C646" s="1" t="n">
        <v>46203</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23916-2023</t>
        </is>
      </c>
      <c r="B647" s="1" t="n">
        <v>45075</v>
      </c>
      <c r="C647" s="1" t="n">
        <v>46203</v>
      </c>
      <c r="D647" t="inlineStr">
        <is>
          <t>SÖDERMANLANDS LÄN</t>
        </is>
      </c>
      <c r="E647" t="inlineStr">
        <is>
          <t>KATRINEHOLM</t>
        </is>
      </c>
      <c r="G647" t="n">
        <v>8</v>
      </c>
      <c r="H647" t="n">
        <v>0</v>
      </c>
      <c r="I647" t="n">
        <v>0</v>
      </c>
      <c r="J647" t="n">
        <v>0</v>
      </c>
      <c r="K647" t="n">
        <v>0</v>
      </c>
      <c r="L647" t="n">
        <v>0</v>
      </c>
      <c r="M647" t="n">
        <v>0</v>
      </c>
      <c r="N647" t="n">
        <v>0</v>
      </c>
      <c r="O647" t="n">
        <v>0</v>
      </c>
      <c r="P647" t="n">
        <v>0</v>
      </c>
      <c r="Q647" t="n">
        <v>0</v>
      </c>
      <c r="R647" s="2" t="inlineStr"/>
    </row>
    <row r="648" ht="15" customHeight="1">
      <c r="A648" t="inlineStr">
        <is>
          <t>A 38879-2024</t>
        </is>
      </c>
      <c r="B648" s="1" t="n">
        <v>45547</v>
      </c>
      <c r="C648" s="1" t="n">
        <v>46203</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9437-2022</t>
        </is>
      </c>
      <c r="B649" s="1" t="n">
        <v>44616</v>
      </c>
      <c r="C649" s="1" t="n">
        <v>46203</v>
      </c>
      <c r="D649" t="inlineStr">
        <is>
          <t>SÖDERMANLANDS LÄN</t>
        </is>
      </c>
      <c r="E649" t="inlineStr">
        <is>
          <t>KATRINEHOLM</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25362-2023</t>
        </is>
      </c>
      <c r="B650" s="1" t="n">
        <v>45088</v>
      </c>
      <c r="C650" s="1" t="n">
        <v>46203</v>
      </c>
      <c r="D650" t="inlineStr">
        <is>
          <t>SÖDERMANLANDS LÄN</t>
        </is>
      </c>
      <c r="E650" t="inlineStr">
        <is>
          <t>KATRINEHOLM</t>
        </is>
      </c>
      <c r="G650" t="n">
        <v>1.5</v>
      </c>
      <c r="H650" t="n">
        <v>0</v>
      </c>
      <c r="I650" t="n">
        <v>0</v>
      </c>
      <c r="J650" t="n">
        <v>0</v>
      </c>
      <c r="K650" t="n">
        <v>0</v>
      </c>
      <c r="L650" t="n">
        <v>0</v>
      </c>
      <c r="M650" t="n">
        <v>0</v>
      </c>
      <c r="N650" t="n">
        <v>0</v>
      </c>
      <c r="O650" t="n">
        <v>0</v>
      </c>
      <c r="P650" t="n">
        <v>0</v>
      </c>
      <c r="Q650" t="n">
        <v>0</v>
      </c>
      <c r="R650" s="2" t="inlineStr"/>
    </row>
    <row r="651" ht="15" customHeight="1">
      <c r="A651" t="inlineStr">
        <is>
          <t>A 4662-2023</t>
        </is>
      </c>
      <c r="B651" s="1" t="n">
        <v>44957</v>
      </c>
      <c r="C651" s="1" t="n">
        <v>46203</v>
      </c>
      <c r="D651" t="inlineStr">
        <is>
          <t>SÖDERMANLANDS LÄN</t>
        </is>
      </c>
      <c r="E651" t="inlineStr">
        <is>
          <t>KATRINEHOLM</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19685-2022</t>
        </is>
      </c>
      <c r="B652" s="1" t="n">
        <v>44694</v>
      </c>
      <c r="C652" s="1" t="n">
        <v>46203</v>
      </c>
      <c r="D652" t="inlineStr">
        <is>
          <t>SÖDERMANLANDS LÄN</t>
        </is>
      </c>
      <c r="E652" t="inlineStr">
        <is>
          <t>KATRINEHOLM</t>
        </is>
      </c>
      <c r="G652" t="n">
        <v>1.7</v>
      </c>
      <c r="H652" t="n">
        <v>0</v>
      </c>
      <c r="I652" t="n">
        <v>0</v>
      </c>
      <c r="J652" t="n">
        <v>0</v>
      </c>
      <c r="K652" t="n">
        <v>0</v>
      </c>
      <c r="L652" t="n">
        <v>0</v>
      </c>
      <c r="M652" t="n">
        <v>0</v>
      </c>
      <c r="N652" t="n">
        <v>0</v>
      </c>
      <c r="O652" t="n">
        <v>0</v>
      </c>
      <c r="P652" t="n">
        <v>0</v>
      </c>
      <c r="Q652" t="n">
        <v>0</v>
      </c>
      <c r="R652" s="2" t="inlineStr"/>
    </row>
    <row r="653" ht="15" customHeight="1">
      <c r="A653" t="inlineStr">
        <is>
          <t>A 62419-2023</t>
        </is>
      </c>
      <c r="B653" s="1" t="n">
        <v>45268</v>
      </c>
      <c r="C653" s="1" t="n">
        <v>46203</v>
      </c>
      <c r="D653" t="inlineStr">
        <is>
          <t>SÖDERMANLANDS LÄN</t>
        </is>
      </c>
      <c r="E653" t="inlineStr">
        <is>
          <t>KATRINEHOLM</t>
        </is>
      </c>
      <c r="G653" t="n">
        <v>9</v>
      </c>
      <c r="H653" t="n">
        <v>0</v>
      </c>
      <c r="I653" t="n">
        <v>0</v>
      </c>
      <c r="J653" t="n">
        <v>0</v>
      </c>
      <c r="K653" t="n">
        <v>0</v>
      </c>
      <c r="L653" t="n">
        <v>0</v>
      </c>
      <c r="M653" t="n">
        <v>0</v>
      </c>
      <c r="N653" t="n">
        <v>0</v>
      </c>
      <c r="O653" t="n">
        <v>0</v>
      </c>
      <c r="P653" t="n">
        <v>0</v>
      </c>
      <c r="Q653" t="n">
        <v>0</v>
      </c>
      <c r="R653" s="2" t="inlineStr"/>
    </row>
    <row r="654" ht="15" customHeight="1">
      <c r="A654" t="inlineStr">
        <is>
          <t>A 39897-2023</t>
        </is>
      </c>
      <c r="B654" s="1" t="n">
        <v>45168</v>
      </c>
      <c r="C654" s="1" t="n">
        <v>46203</v>
      </c>
      <c r="D654" t="inlineStr">
        <is>
          <t>SÖDERMANLANDS LÄN</t>
        </is>
      </c>
      <c r="E654" t="inlineStr">
        <is>
          <t>KATRINEHOLM</t>
        </is>
      </c>
      <c r="G654" t="n">
        <v>15.6</v>
      </c>
      <c r="H654" t="n">
        <v>0</v>
      </c>
      <c r="I654" t="n">
        <v>0</v>
      </c>
      <c r="J654" t="n">
        <v>0</v>
      </c>
      <c r="K654" t="n">
        <v>0</v>
      </c>
      <c r="L654" t="n">
        <v>0</v>
      </c>
      <c r="M654" t="n">
        <v>0</v>
      </c>
      <c r="N654" t="n">
        <v>0</v>
      </c>
      <c r="O654" t="n">
        <v>0</v>
      </c>
      <c r="P654" t="n">
        <v>0</v>
      </c>
      <c r="Q654" t="n">
        <v>0</v>
      </c>
      <c r="R654" s="2" t="inlineStr"/>
    </row>
    <row r="655" ht="15" customHeight="1">
      <c r="A655" t="inlineStr">
        <is>
          <t>A 23207-2023</t>
        </is>
      </c>
      <c r="B655" s="1" t="n">
        <v>45071</v>
      </c>
      <c r="C655" s="1" t="n">
        <v>46203</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42025-2022</t>
        </is>
      </c>
      <c r="B656" s="1" t="n">
        <v>44830</v>
      </c>
      <c r="C656" s="1" t="n">
        <v>46203</v>
      </c>
      <c r="D656" t="inlineStr">
        <is>
          <t>SÖDERMANLANDS LÄN</t>
        </is>
      </c>
      <c r="E656" t="inlineStr">
        <is>
          <t>KATRINEHOLM</t>
        </is>
      </c>
      <c r="G656" t="n">
        <v>1.5</v>
      </c>
      <c r="H656" t="n">
        <v>0</v>
      </c>
      <c r="I656" t="n">
        <v>0</v>
      </c>
      <c r="J656" t="n">
        <v>0</v>
      </c>
      <c r="K656" t="n">
        <v>0</v>
      </c>
      <c r="L656" t="n">
        <v>0</v>
      </c>
      <c r="M656" t="n">
        <v>0</v>
      </c>
      <c r="N656" t="n">
        <v>0</v>
      </c>
      <c r="O656" t="n">
        <v>0</v>
      </c>
      <c r="P656" t="n">
        <v>0</v>
      </c>
      <c r="Q656" t="n">
        <v>0</v>
      </c>
      <c r="R656" s="2" t="inlineStr"/>
    </row>
    <row r="657" ht="15" customHeight="1">
      <c r="A657" t="inlineStr">
        <is>
          <t>A 8791-2023</t>
        </is>
      </c>
      <c r="B657" s="1" t="n">
        <v>44978</v>
      </c>
      <c r="C657" s="1" t="n">
        <v>46203</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53809-2021</t>
        </is>
      </c>
      <c r="B658" s="1" t="n">
        <v>44467</v>
      </c>
      <c r="C658" s="1" t="n">
        <v>46203</v>
      </c>
      <c r="D658" t="inlineStr">
        <is>
          <t>SÖDERMANLANDS LÄN</t>
        </is>
      </c>
      <c r="E658" t="inlineStr">
        <is>
          <t>KATRINEHOLM</t>
        </is>
      </c>
      <c r="G658" t="n">
        <v>7</v>
      </c>
      <c r="H658" t="n">
        <v>0</v>
      </c>
      <c r="I658" t="n">
        <v>0</v>
      </c>
      <c r="J658" t="n">
        <v>0</v>
      </c>
      <c r="K658" t="n">
        <v>0</v>
      </c>
      <c r="L658" t="n">
        <v>0</v>
      </c>
      <c r="M658" t="n">
        <v>0</v>
      </c>
      <c r="N658" t="n">
        <v>0</v>
      </c>
      <c r="O658" t="n">
        <v>0</v>
      </c>
      <c r="P658" t="n">
        <v>0</v>
      </c>
      <c r="Q658" t="n">
        <v>0</v>
      </c>
      <c r="R658" s="2" t="inlineStr"/>
    </row>
    <row r="659" ht="15" customHeight="1">
      <c r="A659" t="inlineStr">
        <is>
          <t>A 31719-2024</t>
        </is>
      </c>
      <c r="B659" s="1" t="n">
        <v>45509</v>
      </c>
      <c r="C659" s="1" t="n">
        <v>46203</v>
      </c>
      <c r="D659" t="inlineStr">
        <is>
          <t>SÖDERMANLANDS LÄN</t>
        </is>
      </c>
      <c r="E659" t="inlineStr">
        <is>
          <t>KATRINEHOLM</t>
        </is>
      </c>
      <c r="F659" t="inlineStr">
        <is>
          <t>Kyrkan</t>
        </is>
      </c>
      <c r="G659" t="n">
        <v>11.9</v>
      </c>
      <c r="H659" t="n">
        <v>0</v>
      </c>
      <c r="I659" t="n">
        <v>0</v>
      </c>
      <c r="J659" t="n">
        <v>0</v>
      </c>
      <c r="K659" t="n">
        <v>0</v>
      </c>
      <c r="L659" t="n">
        <v>0</v>
      </c>
      <c r="M659" t="n">
        <v>0</v>
      </c>
      <c r="N659" t="n">
        <v>0</v>
      </c>
      <c r="O659" t="n">
        <v>0</v>
      </c>
      <c r="P659" t="n">
        <v>0</v>
      </c>
      <c r="Q659" t="n">
        <v>0</v>
      </c>
      <c r="R659" s="2" t="inlineStr"/>
    </row>
    <row r="660" ht="15" customHeight="1">
      <c r="A660" t="inlineStr">
        <is>
          <t>A 13175-2024</t>
        </is>
      </c>
      <c r="B660" s="1" t="n">
        <v>45386</v>
      </c>
      <c r="C660" s="1" t="n">
        <v>46203</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40744-2022</t>
        </is>
      </c>
      <c r="B661" s="1" t="n">
        <v>44824</v>
      </c>
      <c r="C661" s="1" t="n">
        <v>46203</v>
      </c>
      <c r="D661" t="inlineStr">
        <is>
          <t>SÖDERMANLANDS LÄN</t>
        </is>
      </c>
      <c r="E661" t="inlineStr">
        <is>
          <t>KATRINEHOLM</t>
        </is>
      </c>
      <c r="G661" t="n">
        <v>3.7</v>
      </c>
      <c r="H661" t="n">
        <v>0</v>
      </c>
      <c r="I661" t="n">
        <v>0</v>
      </c>
      <c r="J661" t="n">
        <v>0</v>
      </c>
      <c r="K661" t="n">
        <v>0</v>
      </c>
      <c r="L661" t="n">
        <v>0</v>
      </c>
      <c r="M661" t="n">
        <v>0</v>
      </c>
      <c r="N661" t="n">
        <v>0</v>
      </c>
      <c r="O661" t="n">
        <v>0</v>
      </c>
      <c r="P661" t="n">
        <v>0</v>
      </c>
      <c r="Q661" t="n">
        <v>0</v>
      </c>
      <c r="R661" s="2" t="inlineStr"/>
    </row>
    <row r="662" ht="15" customHeight="1">
      <c r="A662" t="inlineStr">
        <is>
          <t>A 8761-2023</t>
        </is>
      </c>
      <c r="B662" s="1" t="n">
        <v>44978</v>
      </c>
      <c r="C662" s="1" t="n">
        <v>46203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8778-2023</t>
        </is>
      </c>
      <c r="B663" s="1" t="n">
        <v>44978</v>
      </c>
      <c r="C663" s="1" t="n">
        <v>46203</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8457-2023</t>
        </is>
      </c>
      <c r="B664" s="1" t="n">
        <v>44977</v>
      </c>
      <c r="C664" s="1" t="n">
        <v>46203</v>
      </c>
      <c r="D664" t="inlineStr">
        <is>
          <t>SÖDERMANLANDS LÄN</t>
        </is>
      </c>
      <c r="E664" t="inlineStr">
        <is>
          <t>KATRINEHOLM</t>
        </is>
      </c>
      <c r="F664" t="inlineStr">
        <is>
          <t>Allmännings- och besparingsskogar</t>
        </is>
      </c>
      <c r="G664" t="n">
        <v>16.1</v>
      </c>
      <c r="H664" t="n">
        <v>0</v>
      </c>
      <c r="I664" t="n">
        <v>0</v>
      </c>
      <c r="J664" t="n">
        <v>0</v>
      </c>
      <c r="K664" t="n">
        <v>0</v>
      </c>
      <c r="L664" t="n">
        <v>0</v>
      </c>
      <c r="M664" t="n">
        <v>0</v>
      </c>
      <c r="N664" t="n">
        <v>0</v>
      </c>
      <c r="O664" t="n">
        <v>0</v>
      </c>
      <c r="P664" t="n">
        <v>0</v>
      </c>
      <c r="Q664" t="n">
        <v>0</v>
      </c>
      <c r="R664" s="2" t="inlineStr"/>
    </row>
    <row r="665" ht="15" customHeight="1">
      <c r="A665" t="inlineStr">
        <is>
          <t>A 7056-2022</t>
        </is>
      </c>
      <c r="B665" s="1" t="n">
        <v>44603</v>
      </c>
      <c r="C665" s="1" t="n">
        <v>46203</v>
      </c>
      <c r="D665" t="inlineStr">
        <is>
          <t>SÖDERMANLANDS LÄN</t>
        </is>
      </c>
      <c r="E665" t="inlineStr">
        <is>
          <t>KATRINEHOLM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32786-2022</t>
        </is>
      </c>
      <c r="B666" s="1" t="n">
        <v>44784</v>
      </c>
      <c r="C666" s="1" t="n">
        <v>46203</v>
      </c>
      <c r="D666" t="inlineStr">
        <is>
          <t>SÖDERMANLANDS LÄN</t>
        </is>
      </c>
      <c r="E666" t="inlineStr">
        <is>
          <t>KATRINEHOLM</t>
        </is>
      </c>
      <c r="G666" t="n">
        <v>7</v>
      </c>
      <c r="H666" t="n">
        <v>0</v>
      </c>
      <c r="I666" t="n">
        <v>0</v>
      </c>
      <c r="J666" t="n">
        <v>0</v>
      </c>
      <c r="K666" t="n">
        <v>0</v>
      </c>
      <c r="L666" t="n">
        <v>0</v>
      </c>
      <c r="M666" t="n">
        <v>0</v>
      </c>
      <c r="N666" t="n">
        <v>0</v>
      </c>
      <c r="O666" t="n">
        <v>0</v>
      </c>
      <c r="P666" t="n">
        <v>0</v>
      </c>
      <c r="Q666" t="n">
        <v>0</v>
      </c>
      <c r="R666" s="2" t="inlineStr"/>
    </row>
    <row r="667" ht="15" customHeight="1">
      <c r="A667" t="inlineStr">
        <is>
          <t>A 7223-2022</t>
        </is>
      </c>
      <c r="B667" s="1" t="n">
        <v>44603</v>
      </c>
      <c r="C667" s="1" t="n">
        <v>46203</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7459-2022</t>
        </is>
      </c>
      <c r="B668" s="1" t="n">
        <v>44607</v>
      </c>
      <c r="C668" s="1" t="n">
        <v>46203</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20768-2022</t>
        </is>
      </c>
      <c r="B669" s="1" t="n">
        <v>44701</v>
      </c>
      <c r="C669" s="1" t="n">
        <v>46203</v>
      </c>
      <c r="D669" t="inlineStr">
        <is>
          <t>SÖDERMANLANDS LÄN</t>
        </is>
      </c>
      <c r="E669" t="inlineStr">
        <is>
          <t>KATRINEHOLM</t>
        </is>
      </c>
      <c r="G669" t="n">
        <v>3.5</v>
      </c>
      <c r="H669" t="n">
        <v>0</v>
      </c>
      <c r="I669" t="n">
        <v>0</v>
      </c>
      <c r="J669" t="n">
        <v>0</v>
      </c>
      <c r="K669" t="n">
        <v>0</v>
      </c>
      <c r="L669" t="n">
        <v>0</v>
      </c>
      <c r="M669" t="n">
        <v>0</v>
      </c>
      <c r="N669" t="n">
        <v>0</v>
      </c>
      <c r="O669" t="n">
        <v>0</v>
      </c>
      <c r="P669" t="n">
        <v>0</v>
      </c>
      <c r="Q669" t="n">
        <v>0</v>
      </c>
      <c r="R669" s="2" t="inlineStr"/>
    </row>
    <row r="670" ht="15" customHeight="1">
      <c r="A670" t="inlineStr">
        <is>
          <t>A 15284-2023</t>
        </is>
      </c>
      <c r="B670" s="1" t="n">
        <v>45019</v>
      </c>
      <c r="C670" s="1" t="n">
        <v>46203</v>
      </c>
      <c r="D670" t="inlineStr">
        <is>
          <t>SÖDERMANLANDS LÄN</t>
        </is>
      </c>
      <c r="E670" t="inlineStr">
        <is>
          <t>KATRINEHOLM</t>
        </is>
      </c>
      <c r="F670" t="inlineStr">
        <is>
          <t>Allmännings- och besparingsskogar</t>
        </is>
      </c>
      <c r="G670" t="n">
        <v>17.4</v>
      </c>
      <c r="H670" t="n">
        <v>0</v>
      </c>
      <c r="I670" t="n">
        <v>0</v>
      </c>
      <c r="J670" t="n">
        <v>0</v>
      </c>
      <c r="K670" t="n">
        <v>0</v>
      </c>
      <c r="L670" t="n">
        <v>0</v>
      </c>
      <c r="M670" t="n">
        <v>0</v>
      </c>
      <c r="N670" t="n">
        <v>0</v>
      </c>
      <c r="O670" t="n">
        <v>0</v>
      </c>
      <c r="P670" t="n">
        <v>0</v>
      </c>
      <c r="Q670" t="n">
        <v>0</v>
      </c>
      <c r="R670" s="2" t="inlineStr"/>
    </row>
    <row r="671" ht="15" customHeight="1">
      <c r="A671" t="inlineStr">
        <is>
          <t>A 51613-2022</t>
        </is>
      </c>
      <c r="B671" s="1" t="n">
        <v>44871</v>
      </c>
      <c r="C671" s="1" t="n">
        <v>46203</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37834-2023</t>
        </is>
      </c>
      <c r="B672" s="1" t="n">
        <v>45160</v>
      </c>
      <c r="C672" s="1" t="n">
        <v>46203</v>
      </c>
      <c r="D672" t="inlineStr">
        <is>
          <t>SÖDERMANLANDS LÄN</t>
        </is>
      </c>
      <c r="E672" t="inlineStr">
        <is>
          <t>KATRINEHOLM</t>
        </is>
      </c>
      <c r="F672" t="inlineStr">
        <is>
          <t>Kyrkan</t>
        </is>
      </c>
      <c r="G672" t="n">
        <v>2.8</v>
      </c>
      <c r="H672" t="n">
        <v>0</v>
      </c>
      <c r="I672" t="n">
        <v>0</v>
      </c>
      <c r="J672" t="n">
        <v>0</v>
      </c>
      <c r="K672" t="n">
        <v>0</v>
      </c>
      <c r="L672" t="n">
        <v>0</v>
      </c>
      <c r="M672" t="n">
        <v>0</v>
      </c>
      <c r="N672" t="n">
        <v>0</v>
      </c>
      <c r="O672" t="n">
        <v>0</v>
      </c>
      <c r="P672" t="n">
        <v>0</v>
      </c>
      <c r="Q672" t="n">
        <v>0</v>
      </c>
      <c r="R672" s="2" t="inlineStr"/>
    </row>
    <row r="673" ht="15" customHeight="1">
      <c r="A673" t="inlineStr">
        <is>
          <t>A 8475-2023</t>
        </is>
      </c>
      <c r="B673" s="1" t="n">
        <v>44977</v>
      </c>
      <c r="C673" s="1" t="n">
        <v>46203</v>
      </c>
      <c r="D673" t="inlineStr">
        <is>
          <t>SÖDERMANLANDS LÄN</t>
        </is>
      </c>
      <c r="E673" t="inlineStr">
        <is>
          <t>KATRINEHOLM</t>
        </is>
      </c>
      <c r="F673" t="inlineStr">
        <is>
          <t>Allmännings- och besparingsskogar</t>
        </is>
      </c>
      <c r="G673" t="n">
        <v>8.1</v>
      </c>
      <c r="H673" t="n">
        <v>0</v>
      </c>
      <c r="I673" t="n">
        <v>0</v>
      </c>
      <c r="J673" t="n">
        <v>0</v>
      </c>
      <c r="K673" t="n">
        <v>0</v>
      </c>
      <c r="L673" t="n">
        <v>0</v>
      </c>
      <c r="M673" t="n">
        <v>0</v>
      </c>
      <c r="N673" t="n">
        <v>0</v>
      </c>
      <c r="O673" t="n">
        <v>0</v>
      </c>
      <c r="P673" t="n">
        <v>0</v>
      </c>
      <c r="Q673" t="n">
        <v>0</v>
      </c>
      <c r="R673" s="2" t="inlineStr"/>
    </row>
    <row r="674" ht="15" customHeight="1">
      <c r="A674" t="inlineStr">
        <is>
          <t>A 32890-2024</t>
        </is>
      </c>
      <c r="B674" s="1" t="n">
        <v>45516</v>
      </c>
      <c r="C674" s="1" t="n">
        <v>46203</v>
      </c>
      <c r="D674" t="inlineStr">
        <is>
          <t>SÖDERMANLANDS LÄN</t>
        </is>
      </c>
      <c r="E674" t="inlineStr">
        <is>
          <t>KATRINEHOLM</t>
        </is>
      </c>
      <c r="G674" t="n">
        <v>2.6</v>
      </c>
      <c r="H674" t="n">
        <v>0</v>
      </c>
      <c r="I674" t="n">
        <v>0</v>
      </c>
      <c r="J674" t="n">
        <v>0</v>
      </c>
      <c r="K674" t="n">
        <v>0</v>
      </c>
      <c r="L674" t="n">
        <v>0</v>
      </c>
      <c r="M674" t="n">
        <v>0</v>
      </c>
      <c r="N674" t="n">
        <v>0</v>
      </c>
      <c r="O674" t="n">
        <v>0</v>
      </c>
      <c r="P674" t="n">
        <v>0</v>
      </c>
      <c r="Q674" t="n">
        <v>0</v>
      </c>
      <c r="R674" s="2" t="inlineStr"/>
    </row>
    <row r="675" ht="15" customHeight="1">
      <c r="A675" t="inlineStr">
        <is>
          <t>A 2320-2023</t>
        </is>
      </c>
      <c r="B675" s="1" t="n">
        <v>44942</v>
      </c>
      <c r="C675" s="1" t="n">
        <v>46203</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59898-2022</t>
        </is>
      </c>
      <c r="B676" s="1" t="n">
        <v>44908</v>
      </c>
      <c r="C676" s="1" t="n">
        <v>46203</v>
      </c>
      <c r="D676" t="inlineStr">
        <is>
          <t>SÖDERMANLANDS LÄN</t>
        </is>
      </c>
      <c r="E676" t="inlineStr">
        <is>
          <t>KATRINEHOLM</t>
        </is>
      </c>
      <c r="G676" t="n">
        <v>4.8</v>
      </c>
      <c r="H676" t="n">
        <v>0</v>
      </c>
      <c r="I676" t="n">
        <v>0</v>
      </c>
      <c r="J676" t="n">
        <v>0</v>
      </c>
      <c r="K676" t="n">
        <v>0</v>
      </c>
      <c r="L676" t="n">
        <v>0</v>
      </c>
      <c r="M676" t="n">
        <v>0</v>
      </c>
      <c r="N676" t="n">
        <v>0</v>
      </c>
      <c r="O676" t="n">
        <v>0</v>
      </c>
      <c r="P676" t="n">
        <v>0</v>
      </c>
      <c r="Q676" t="n">
        <v>0</v>
      </c>
      <c r="R676" s="2" t="inlineStr"/>
    </row>
    <row r="677" ht="15" customHeight="1">
      <c r="A677" t="inlineStr">
        <is>
          <t>A 20326-2023</t>
        </is>
      </c>
      <c r="B677" s="1" t="n">
        <v>45056</v>
      </c>
      <c r="C677" s="1" t="n">
        <v>46203</v>
      </c>
      <c r="D677" t="inlineStr">
        <is>
          <t>SÖDERMANLANDS LÄN</t>
        </is>
      </c>
      <c r="E677" t="inlineStr">
        <is>
          <t>KATRINEHOLM</t>
        </is>
      </c>
      <c r="G677" t="n">
        <v>0.9</v>
      </c>
      <c r="H677" t="n">
        <v>0</v>
      </c>
      <c r="I677" t="n">
        <v>0</v>
      </c>
      <c r="J677" t="n">
        <v>0</v>
      </c>
      <c r="K677" t="n">
        <v>0</v>
      </c>
      <c r="L677" t="n">
        <v>0</v>
      </c>
      <c r="M677" t="n">
        <v>0</v>
      </c>
      <c r="N677" t="n">
        <v>0</v>
      </c>
      <c r="O677" t="n">
        <v>0</v>
      </c>
      <c r="P677" t="n">
        <v>0</v>
      </c>
      <c r="Q677" t="n">
        <v>0</v>
      </c>
      <c r="R677" s="2" t="inlineStr"/>
    </row>
    <row r="678" ht="15" customHeight="1">
      <c r="A678" t="inlineStr">
        <is>
          <t>A 15392-2023</t>
        </is>
      </c>
      <c r="B678" s="1" t="n">
        <v>45016</v>
      </c>
      <c r="C678" s="1" t="n">
        <v>46203</v>
      </c>
      <c r="D678" t="inlineStr">
        <is>
          <t>SÖDERMANLANDS LÄN</t>
        </is>
      </c>
      <c r="E678" t="inlineStr">
        <is>
          <t>KATRINEHOLM</t>
        </is>
      </c>
      <c r="F678" t="inlineStr">
        <is>
          <t>Övriga Aktiebolag</t>
        </is>
      </c>
      <c r="G678" t="n">
        <v>2.7</v>
      </c>
      <c r="H678" t="n">
        <v>0</v>
      </c>
      <c r="I678" t="n">
        <v>0</v>
      </c>
      <c r="J678" t="n">
        <v>0</v>
      </c>
      <c r="K678" t="n">
        <v>0</v>
      </c>
      <c r="L678" t="n">
        <v>0</v>
      </c>
      <c r="M678" t="n">
        <v>0</v>
      </c>
      <c r="N678" t="n">
        <v>0</v>
      </c>
      <c r="O678" t="n">
        <v>0</v>
      </c>
      <c r="P678" t="n">
        <v>0</v>
      </c>
      <c r="Q678" t="n">
        <v>0</v>
      </c>
      <c r="R678" s="2" t="inlineStr"/>
    </row>
    <row r="679" ht="15" customHeight="1">
      <c r="A679" t="inlineStr">
        <is>
          <t>A 45246-2023</t>
        </is>
      </c>
      <c r="B679" s="1" t="n">
        <v>45191</v>
      </c>
      <c r="C679" s="1" t="n">
        <v>46203</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49914-2023</t>
        </is>
      </c>
      <c r="B680" s="1" t="n">
        <v>45214</v>
      </c>
      <c r="C680" s="1" t="n">
        <v>46203</v>
      </c>
      <c r="D680" t="inlineStr">
        <is>
          <t>SÖDERMANLANDS LÄN</t>
        </is>
      </c>
      <c r="E680" t="inlineStr">
        <is>
          <t>KATRINEHOLM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17335-2023</t>
        </is>
      </c>
      <c r="B681" s="1" t="n">
        <v>45033</v>
      </c>
      <c r="C681" s="1" t="n">
        <v>46203</v>
      </c>
      <c r="D681" t="inlineStr">
        <is>
          <t>SÖDERMANLANDS LÄN</t>
        </is>
      </c>
      <c r="E681" t="inlineStr">
        <is>
          <t>KATRINEHOLM</t>
        </is>
      </c>
      <c r="G681" t="n">
        <v>3.3</v>
      </c>
      <c r="H681" t="n">
        <v>0</v>
      </c>
      <c r="I681" t="n">
        <v>0</v>
      </c>
      <c r="J681" t="n">
        <v>0</v>
      </c>
      <c r="K681" t="n">
        <v>0</v>
      </c>
      <c r="L681" t="n">
        <v>0</v>
      </c>
      <c r="M681" t="n">
        <v>0</v>
      </c>
      <c r="N681" t="n">
        <v>0</v>
      </c>
      <c r="O681" t="n">
        <v>0</v>
      </c>
      <c r="P681" t="n">
        <v>0</v>
      </c>
      <c r="Q681" t="n">
        <v>0</v>
      </c>
      <c r="R681" s="2" t="inlineStr"/>
    </row>
    <row r="682" ht="15" customHeight="1">
      <c r="A682" t="inlineStr">
        <is>
          <t>A 16605-2025</t>
        </is>
      </c>
      <c r="B682" s="1" t="n">
        <v>45753</v>
      </c>
      <c r="C682" s="1" t="n">
        <v>46203</v>
      </c>
      <c r="D682" t="inlineStr">
        <is>
          <t>SÖDERMANLANDS LÄN</t>
        </is>
      </c>
      <c r="E682" t="inlineStr">
        <is>
          <t>KATRINEHOLM</t>
        </is>
      </c>
      <c r="G682" t="n">
        <v>5.2</v>
      </c>
      <c r="H682" t="n">
        <v>0</v>
      </c>
      <c r="I682" t="n">
        <v>0</v>
      </c>
      <c r="J682" t="n">
        <v>0</v>
      </c>
      <c r="K682" t="n">
        <v>0</v>
      </c>
      <c r="L682" t="n">
        <v>0</v>
      </c>
      <c r="M682" t="n">
        <v>0</v>
      </c>
      <c r="N682" t="n">
        <v>0</v>
      </c>
      <c r="O682" t="n">
        <v>0</v>
      </c>
      <c r="P682" t="n">
        <v>0</v>
      </c>
      <c r="Q682" t="n">
        <v>0</v>
      </c>
      <c r="R682" s="2" t="inlineStr"/>
    </row>
    <row r="683" ht="15" customHeight="1">
      <c r="A683" t="inlineStr">
        <is>
          <t>A 33141-2023</t>
        </is>
      </c>
      <c r="B683" s="1" t="n">
        <v>45126</v>
      </c>
      <c r="C683" s="1" t="n">
        <v>46203</v>
      </c>
      <c r="D683" t="inlineStr">
        <is>
          <t>SÖDERMANLANDS LÄN</t>
        </is>
      </c>
      <c r="E683" t="inlineStr">
        <is>
          <t>KATRINEHOLM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9899-2023</t>
        </is>
      </c>
      <c r="B684" s="1" t="n">
        <v>44985</v>
      </c>
      <c r="C684" s="1" t="n">
        <v>46203</v>
      </c>
      <c r="D684" t="inlineStr">
        <is>
          <t>SÖDERMANLANDS LÄN</t>
        </is>
      </c>
      <c r="E684" t="inlineStr">
        <is>
          <t>KATRINEHOLM</t>
        </is>
      </c>
      <c r="F684" t="inlineStr">
        <is>
          <t>Allmännings- och besparingsskogar</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8288-2023</t>
        </is>
      </c>
      <c r="B685" s="1" t="n">
        <v>44974</v>
      </c>
      <c r="C685" s="1" t="n">
        <v>46203</v>
      </c>
      <c r="D685" t="inlineStr">
        <is>
          <t>SÖDERMANLANDS LÄN</t>
        </is>
      </c>
      <c r="E685" t="inlineStr">
        <is>
          <t>KATRINEHOLM</t>
        </is>
      </c>
      <c r="F685" t="inlineStr">
        <is>
          <t>Allmännings- och besparingsskogar</t>
        </is>
      </c>
      <c r="G685" t="n">
        <v>5.6</v>
      </c>
      <c r="H685" t="n">
        <v>0</v>
      </c>
      <c r="I685" t="n">
        <v>0</v>
      </c>
      <c r="J685" t="n">
        <v>0</v>
      </c>
      <c r="K685" t="n">
        <v>0</v>
      </c>
      <c r="L685" t="n">
        <v>0</v>
      </c>
      <c r="M685" t="n">
        <v>0</v>
      </c>
      <c r="N685" t="n">
        <v>0</v>
      </c>
      <c r="O685" t="n">
        <v>0</v>
      </c>
      <c r="P685" t="n">
        <v>0</v>
      </c>
      <c r="Q685" t="n">
        <v>0</v>
      </c>
      <c r="R685" s="2" t="inlineStr"/>
    </row>
    <row r="686" ht="15" customHeight="1">
      <c r="A686" t="inlineStr">
        <is>
          <t>A 3317-2023</t>
        </is>
      </c>
      <c r="B686" s="1" t="n">
        <v>44945</v>
      </c>
      <c r="C686" s="1" t="n">
        <v>46203</v>
      </c>
      <c r="D686" t="inlineStr">
        <is>
          <t>SÖDERMANLANDS LÄN</t>
        </is>
      </c>
      <c r="E686" t="inlineStr">
        <is>
          <t>KATRINEHOLM</t>
        </is>
      </c>
      <c r="G686" t="n">
        <v>3.2</v>
      </c>
      <c r="H686" t="n">
        <v>0</v>
      </c>
      <c r="I686" t="n">
        <v>0</v>
      </c>
      <c r="J686" t="n">
        <v>0</v>
      </c>
      <c r="K686" t="n">
        <v>0</v>
      </c>
      <c r="L686" t="n">
        <v>0</v>
      </c>
      <c r="M686" t="n">
        <v>0</v>
      </c>
      <c r="N686" t="n">
        <v>0</v>
      </c>
      <c r="O686" t="n">
        <v>0</v>
      </c>
      <c r="P686" t="n">
        <v>0</v>
      </c>
      <c r="Q686" t="n">
        <v>0</v>
      </c>
      <c r="R686" s="2" t="inlineStr"/>
    </row>
    <row r="687" ht="15" customHeight="1">
      <c r="A687" t="inlineStr">
        <is>
          <t>A 37185-2023</t>
        </is>
      </c>
      <c r="B687" s="1" t="n">
        <v>45154</v>
      </c>
      <c r="C687" s="1" t="n">
        <v>46203</v>
      </c>
      <c r="D687" t="inlineStr">
        <is>
          <t>SÖDERMANLANDS LÄN</t>
        </is>
      </c>
      <c r="E687" t="inlineStr">
        <is>
          <t>KATRINEHOLM</t>
        </is>
      </c>
      <c r="G687" t="n">
        <v>3</v>
      </c>
      <c r="H687" t="n">
        <v>0</v>
      </c>
      <c r="I687" t="n">
        <v>0</v>
      </c>
      <c r="J687" t="n">
        <v>0</v>
      </c>
      <c r="K687" t="n">
        <v>0</v>
      </c>
      <c r="L687" t="n">
        <v>0</v>
      </c>
      <c r="M687" t="n">
        <v>0</v>
      </c>
      <c r="N687" t="n">
        <v>0</v>
      </c>
      <c r="O687" t="n">
        <v>0</v>
      </c>
      <c r="P687" t="n">
        <v>0</v>
      </c>
      <c r="Q687" t="n">
        <v>0</v>
      </c>
      <c r="R687" s="2" t="inlineStr"/>
    </row>
    <row r="688" ht="15" customHeight="1">
      <c r="A688" t="inlineStr">
        <is>
          <t>A 49218-2023</t>
        </is>
      </c>
      <c r="B688" s="1" t="n">
        <v>45205</v>
      </c>
      <c r="C688" s="1" t="n">
        <v>46203</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55169-2022</t>
        </is>
      </c>
      <c r="B689" s="1" t="n">
        <v>44886</v>
      </c>
      <c r="C689" s="1" t="n">
        <v>46203</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61398-2024</t>
        </is>
      </c>
      <c r="B690" s="1" t="n">
        <v>45646</v>
      </c>
      <c r="C690" s="1" t="n">
        <v>46203</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24287-2024</t>
        </is>
      </c>
      <c r="B691" s="1" t="n">
        <v>45457</v>
      </c>
      <c r="C691" s="1" t="n">
        <v>46203</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8518-2023</t>
        </is>
      </c>
      <c r="B692" s="1" t="n">
        <v>44977</v>
      </c>
      <c r="C692" s="1" t="n">
        <v>46203</v>
      </c>
      <c r="D692" t="inlineStr">
        <is>
          <t>SÖDERMANLANDS LÄN</t>
        </is>
      </c>
      <c r="E692" t="inlineStr">
        <is>
          <t>KATRINEHOLM</t>
        </is>
      </c>
      <c r="F692" t="inlineStr">
        <is>
          <t>Allmännings- och besparingsskogar</t>
        </is>
      </c>
      <c r="G692" t="n">
        <v>35.3</v>
      </c>
      <c r="H692" t="n">
        <v>0</v>
      </c>
      <c r="I692" t="n">
        <v>0</v>
      </c>
      <c r="J692" t="n">
        <v>0</v>
      </c>
      <c r="K692" t="n">
        <v>0</v>
      </c>
      <c r="L692" t="n">
        <v>0</v>
      </c>
      <c r="M692" t="n">
        <v>0</v>
      </c>
      <c r="N692" t="n">
        <v>0</v>
      </c>
      <c r="O692" t="n">
        <v>0</v>
      </c>
      <c r="P692" t="n">
        <v>0</v>
      </c>
      <c r="Q692" t="n">
        <v>0</v>
      </c>
      <c r="R692" s="2" t="inlineStr"/>
    </row>
    <row r="693" ht="15" customHeight="1">
      <c r="A693" t="inlineStr">
        <is>
          <t>A 48030-2022</t>
        </is>
      </c>
      <c r="B693" s="1" t="n">
        <v>44855</v>
      </c>
      <c r="C693" s="1" t="n">
        <v>46203</v>
      </c>
      <c r="D693" t="inlineStr">
        <is>
          <t>SÖDERMANLANDS LÄN</t>
        </is>
      </c>
      <c r="E693" t="inlineStr">
        <is>
          <t>KATRINEHOLM</t>
        </is>
      </c>
      <c r="F693" t="inlineStr">
        <is>
          <t>Allmännings- och besparingsskogar</t>
        </is>
      </c>
      <c r="G693" t="n">
        <v>1.5</v>
      </c>
      <c r="H693" t="n">
        <v>0</v>
      </c>
      <c r="I693" t="n">
        <v>0</v>
      </c>
      <c r="J693" t="n">
        <v>0</v>
      </c>
      <c r="K693" t="n">
        <v>0</v>
      </c>
      <c r="L693" t="n">
        <v>0</v>
      </c>
      <c r="M693" t="n">
        <v>0</v>
      </c>
      <c r="N693" t="n">
        <v>0</v>
      </c>
      <c r="O693" t="n">
        <v>0</v>
      </c>
      <c r="P693" t="n">
        <v>0</v>
      </c>
      <c r="Q693" t="n">
        <v>0</v>
      </c>
      <c r="R693" s="2" t="inlineStr"/>
    </row>
    <row r="694" ht="15" customHeight="1">
      <c r="A694" t="inlineStr">
        <is>
          <t>A 948-2023</t>
        </is>
      </c>
      <c r="B694" s="1" t="n">
        <v>44934</v>
      </c>
      <c r="C694" s="1" t="n">
        <v>46203</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37542-2022</t>
        </is>
      </c>
      <c r="B695" s="1" t="n">
        <v>44809</v>
      </c>
      <c r="C695" s="1" t="n">
        <v>46203</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46203</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64652-2023</t>
        </is>
      </c>
      <c r="B697" s="1" t="n">
        <v>45281</v>
      </c>
      <c r="C697" s="1" t="n">
        <v>46203</v>
      </c>
      <c r="D697" t="inlineStr">
        <is>
          <t>SÖDERMANLANDS LÄN</t>
        </is>
      </c>
      <c r="E697" t="inlineStr">
        <is>
          <t>KATRINEHOLM</t>
        </is>
      </c>
      <c r="F697" t="inlineStr">
        <is>
          <t>Övriga Aktiebolag</t>
        </is>
      </c>
      <c r="G697" t="n">
        <v>2.2</v>
      </c>
      <c r="H697" t="n">
        <v>0</v>
      </c>
      <c r="I697" t="n">
        <v>0</v>
      </c>
      <c r="J697" t="n">
        <v>0</v>
      </c>
      <c r="K697" t="n">
        <v>0</v>
      </c>
      <c r="L697" t="n">
        <v>0</v>
      </c>
      <c r="M697" t="n">
        <v>0</v>
      </c>
      <c r="N697" t="n">
        <v>0</v>
      </c>
      <c r="O697" t="n">
        <v>0</v>
      </c>
      <c r="P697" t="n">
        <v>0</v>
      </c>
      <c r="Q697" t="n">
        <v>0</v>
      </c>
      <c r="R697" s="2" t="inlineStr"/>
    </row>
    <row r="698" ht="15" customHeight="1">
      <c r="A698" t="inlineStr">
        <is>
          <t>A 51404-2023</t>
        </is>
      </c>
      <c r="B698" s="1" t="n">
        <v>45214</v>
      </c>
      <c r="C698" s="1" t="n">
        <v>46203</v>
      </c>
      <c r="D698" t="inlineStr">
        <is>
          <t>SÖDERMANLANDS LÄN</t>
        </is>
      </c>
      <c r="E698" t="inlineStr">
        <is>
          <t>KATRINEHOLM</t>
        </is>
      </c>
      <c r="G698" t="n">
        <v>9</v>
      </c>
      <c r="H698" t="n">
        <v>0</v>
      </c>
      <c r="I698" t="n">
        <v>0</v>
      </c>
      <c r="J698" t="n">
        <v>0</v>
      </c>
      <c r="K698" t="n">
        <v>0</v>
      </c>
      <c r="L698" t="n">
        <v>0</v>
      </c>
      <c r="M698" t="n">
        <v>0</v>
      </c>
      <c r="N698" t="n">
        <v>0</v>
      </c>
      <c r="O698" t="n">
        <v>0</v>
      </c>
      <c r="P698" t="n">
        <v>0</v>
      </c>
      <c r="Q698" t="n">
        <v>0</v>
      </c>
      <c r="R698" s="2" t="inlineStr"/>
    </row>
    <row r="699" ht="15" customHeight="1">
      <c r="A699" t="inlineStr">
        <is>
          <t>A 41946-2022</t>
        </is>
      </c>
      <c r="B699" s="1" t="n">
        <v>44830</v>
      </c>
      <c r="C699" s="1" t="n">
        <v>46203</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3115-2024</t>
        </is>
      </c>
      <c r="B700" s="1" t="n">
        <v>45316</v>
      </c>
      <c r="C700" s="1" t="n">
        <v>46203</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61431-2024</t>
        </is>
      </c>
      <c r="B701" s="1" t="n">
        <v>45646</v>
      </c>
      <c r="C701" s="1" t="n">
        <v>46203</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44659-2023</t>
        </is>
      </c>
      <c r="B702" s="1" t="n">
        <v>45189</v>
      </c>
      <c r="C702" s="1" t="n">
        <v>46203</v>
      </c>
      <c r="D702" t="inlineStr">
        <is>
          <t>SÖDERMANLANDS LÄN</t>
        </is>
      </c>
      <c r="E702" t="inlineStr">
        <is>
          <t>KATRINEHOLM</t>
        </is>
      </c>
      <c r="G702" t="n">
        <v>3.5</v>
      </c>
      <c r="H702" t="n">
        <v>0</v>
      </c>
      <c r="I702" t="n">
        <v>0</v>
      </c>
      <c r="J702" t="n">
        <v>0</v>
      </c>
      <c r="K702" t="n">
        <v>0</v>
      </c>
      <c r="L702" t="n">
        <v>0</v>
      </c>
      <c r="M702" t="n">
        <v>0</v>
      </c>
      <c r="N702" t="n">
        <v>0</v>
      </c>
      <c r="O702" t="n">
        <v>0</v>
      </c>
      <c r="P702" t="n">
        <v>0</v>
      </c>
      <c r="Q702" t="n">
        <v>0</v>
      </c>
      <c r="R702" s="2" t="inlineStr"/>
    </row>
    <row r="703" ht="15" customHeight="1">
      <c r="A703" t="inlineStr">
        <is>
          <t>A 51446-2023</t>
        </is>
      </c>
      <c r="B703" s="1" t="n">
        <v>45220</v>
      </c>
      <c r="C703" s="1" t="n">
        <v>46203</v>
      </c>
      <c r="D703" t="inlineStr">
        <is>
          <t>SÖDERMANLANDS LÄN</t>
        </is>
      </c>
      <c r="E703" t="inlineStr">
        <is>
          <t>KATRINEHOLM</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27955-2023</t>
        </is>
      </c>
      <c r="B704" s="1" t="n">
        <v>45098</v>
      </c>
      <c r="C704" s="1" t="n">
        <v>46203</v>
      </c>
      <c r="D704" t="inlineStr">
        <is>
          <t>SÖDERMANLANDS LÄN</t>
        </is>
      </c>
      <c r="E704" t="inlineStr">
        <is>
          <t>KATRINEHOLM</t>
        </is>
      </c>
      <c r="G704" t="n">
        <v>5.9</v>
      </c>
      <c r="H704" t="n">
        <v>0</v>
      </c>
      <c r="I704" t="n">
        <v>0</v>
      </c>
      <c r="J704" t="n">
        <v>0</v>
      </c>
      <c r="K704" t="n">
        <v>0</v>
      </c>
      <c r="L704" t="n">
        <v>0</v>
      </c>
      <c r="M704" t="n">
        <v>0</v>
      </c>
      <c r="N704" t="n">
        <v>0</v>
      </c>
      <c r="O704" t="n">
        <v>0</v>
      </c>
      <c r="P704" t="n">
        <v>0</v>
      </c>
      <c r="Q704" t="n">
        <v>0</v>
      </c>
      <c r="R704" s="2" t="inlineStr"/>
    </row>
    <row r="705" ht="15" customHeight="1">
      <c r="A705" t="inlineStr">
        <is>
          <t>A 4669-2023</t>
        </is>
      </c>
      <c r="B705" s="1" t="n">
        <v>44957</v>
      </c>
      <c r="C705" s="1" t="n">
        <v>46203</v>
      </c>
      <c r="D705" t="inlineStr">
        <is>
          <t>SÖDERMANLANDS LÄN</t>
        </is>
      </c>
      <c r="E705" t="inlineStr">
        <is>
          <t>KATRINEHOLM</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4724-2023</t>
        </is>
      </c>
      <c r="B706" s="1" t="n">
        <v>44957</v>
      </c>
      <c r="C706" s="1" t="n">
        <v>46203</v>
      </c>
      <c r="D706" t="inlineStr">
        <is>
          <t>SÖDERMANLANDS LÄN</t>
        </is>
      </c>
      <c r="E706" t="inlineStr">
        <is>
          <t>KATRINEHOLM</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7197-2023</t>
        </is>
      </c>
      <c r="B707" s="1" t="n">
        <v>44965</v>
      </c>
      <c r="C707" s="1" t="n">
        <v>46203</v>
      </c>
      <c r="D707" t="inlineStr">
        <is>
          <t>SÖDERMANLANDS LÄN</t>
        </is>
      </c>
      <c r="E707" t="inlineStr">
        <is>
          <t>KATRINEHOLM</t>
        </is>
      </c>
      <c r="G707" t="n">
        <v>5.3</v>
      </c>
      <c r="H707" t="n">
        <v>0</v>
      </c>
      <c r="I707" t="n">
        <v>0</v>
      </c>
      <c r="J707" t="n">
        <v>0</v>
      </c>
      <c r="K707" t="n">
        <v>0</v>
      </c>
      <c r="L707" t="n">
        <v>0</v>
      </c>
      <c r="M707" t="n">
        <v>0</v>
      </c>
      <c r="N707" t="n">
        <v>0</v>
      </c>
      <c r="O707" t="n">
        <v>0</v>
      </c>
      <c r="P707" t="n">
        <v>0</v>
      </c>
      <c r="Q707" t="n">
        <v>0</v>
      </c>
      <c r="R707" s="2" t="inlineStr"/>
    </row>
    <row r="708" ht="15" customHeight="1">
      <c r="A708" t="inlineStr">
        <is>
          <t>A 5327-2025</t>
        </is>
      </c>
      <c r="B708" s="1" t="n">
        <v>45692</v>
      </c>
      <c r="C708" s="1" t="n">
        <v>46203</v>
      </c>
      <c r="D708" t="inlineStr">
        <is>
          <t>SÖDERMANLANDS LÄN</t>
        </is>
      </c>
      <c r="E708" t="inlineStr">
        <is>
          <t>KATRINEHOLM</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12929-2023</t>
        </is>
      </c>
      <c r="B709" s="1" t="n">
        <v>45001</v>
      </c>
      <c r="C709" s="1" t="n">
        <v>46203</v>
      </c>
      <c r="D709" t="inlineStr">
        <is>
          <t>SÖDERMANLANDS LÄN</t>
        </is>
      </c>
      <c r="E709" t="inlineStr">
        <is>
          <t>KATRINEHOLM</t>
        </is>
      </c>
      <c r="G709" t="n">
        <v>3.1</v>
      </c>
      <c r="H709" t="n">
        <v>0</v>
      </c>
      <c r="I709" t="n">
        <v>0</v>
      </c>
      <c r="J709" t="n">
        <v>0</v>
      </c>
      <c r="K709" t="n">
        <v>0</v>
      </c>
      <c r="L709" t="n">
        <v>0</v>
      </c>
      <c r="M709" t="n">
        <v>0</v>
      </c>
      <c r="N709" t="n">
        <v>0</v>
      </c>
      <c r="O709" t="n">
        <v>0</v>
      </c>
      <c r="P709" t="n">
        <v>0</v>
      </c>
      <c r="Q709" t="n">
        <v>0</v>
      </c>
      <c r="R709" s="2" t="inlineStr"/>
    </row>
    <row r="710" ht="15" customHeight="1">
      <c r="A710" t="inlineStr">
        <is>
          <t>A 12932-2023</t>
        </is>
      </c>
      <c r="B710" s="1" t="n">
        <v>45001</v>
      </c>
      <c r="C710" s="1" t="n">
        <v>46203</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50626-2024</t>
        </is>
      </c>
      <c r="B711" s="1" t="n">
        <v>45601</v>
      </c>
      <c r="C711" s="1" t="n">
        <v>46203</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7398-2024</t>
        </is>
      </c>
      <c r="B712" s="1" t="n">
        <v>45345</v>
      </c>
      <c r="C712" s="1" t="n">
        <v>46203</v>
      </c>
      <c r="D712" t="inlineStr">
        <is>
          <t>SÖDERMANLANDS LÄN</t>
        </is>
      </c>
      <c r="E712" t="inlineStr">
        <is>
          <t>KATRINEHOLM</t>
        </is>
      </c>
      <c r="G712" t="n">
        <v>4.4</v>
      </c>
      <c r="H712" t="n">
        <v>0</v>
      </c>
      <c r="I712" t="n">
        <v>0</v>
      </c>
      <c r="J712" t="n">
        <v>0</v>
      </c>
      <c r="K712" t="n">
        <v>0</v>
      </c>
      <c r="L712" t="n">
        <v>0</v>
      </c>
      <c r="M712" t="n">
        <v>0</v>
      </c>
      <c r="N712" t="n">
        <v>0</v>
      </c>
      <c r="O712" t="n">
        <v>0</v>
      </c>
      <c r="P712" t="n">
        <v>0</v>
      </c>
      <c r="Q712" t="n">
        <v>0</v>
      </c>
      <c r="R712" s="2" t="inlineStr"/>
    </row>
    <row r="713" ht="15" customHeight="1">
      <c r="A713" t="inlineStr">
        <is>
          <t>A 14629-2023</t>
        </is>
      </c>
      <c r="B713" s="1" t="n">
        <v>45013</v>
      </c>
      <c r="C713" s="1" t="n">
        <v>46203</v>
      </c>
      <c r="D713" t="inlineStr">
        <is>
          <t>SÖDERMANLANDS LÄN</t>
        </is>
      </c>
      <c r="E713" t="inlineStr">
        <is>
          <t>KATRINEHOLM</t>
        </is>
      </c>
      <c r="F713" t="inlineStr">
        <is>
          <t>Holmen skog AB</t>
        </is>
      </c>
      <c r="G713" t="n">
        <v>1.3</v>
      </c>
      <c r="H713" t="n">
        <v>0</v>
      </c>
      <c r="I713" t="n">
        <v>0</v>
      </c>
      <c r="J713" t="n">
        <v>0</v>
      </c>
      <c r="K713" t="n">
        <v>0</v>
      </c>
      <c r="L713" t="n">
        <v>0</v>
      </c>
      <c r="M713" t="n">
        <v>0</v>
      </c>
      <c r="N713" t="n">
        <v>0</v>
      </c>
      <c r="O713" t="n">
        <v>0</v>
      </c>
      <c r="P713" t="n">
        <v>0</v>
      </c>
      <c r="Q713" t="n">
        <v>0</v>
      </c>
      <c r="R713" s="2" t="inlineStr"/>
    </row>
    <row r="714">
      <c r="A714" t="inlineStr">
        <is>
          <t>A 49116-2024</t>
        </is>
      </c>
      <c r="B714" s="1" t="n">
        <v>45594</v>
      </c>
      <c r="C714" s="1" t="n">
        <v>46203</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2026-06-30T00:55:06Z</dcterms:created>
  <dcterms:modified xmlns:dcterms="http://purl.org/dc/terms/" xmlns:xsi="http://www.w3.org/2001/XMLSchema-instance" xsi:type="dcterms:W3CDTF">2026-06-30T00:55:06Z</dcterms:modified>
</cp:coreProperties>
</file>