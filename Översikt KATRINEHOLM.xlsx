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46002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46002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46002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46002</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46002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46002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46002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46002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46002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46002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46002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46002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46002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46002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46002</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46002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46002</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46002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46002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46002</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46002</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46002</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46002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46002</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46002</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46002</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46002</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46002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46002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46002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46002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46002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44632-2023</t>
        </is>
      </c>
      <c r="B35" s="1" t="n">
        <v>45184</v>
      </c>
      <c r="C35" s="1" t="n">
        <v>46002</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16458-2022</t>
        </is>
      </c>
      <c r="B36" s="1" t="n">
        <v>44671</v>
      </c>
      <c r="C36" s="1" t="n">
        <v>46002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28985-2022</t>
        </is>
      </c>
      <c r="B37" s="1" t="n">
        <v>44749</v>
      </c>
      <c r="C37" s="1" t="n">
        <v>46002</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46002</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27926-2025</t>
        </is>
      </c>
      <c r="B39" s="1" t="n">
        <v>45814</v>
      </c>
      <c r="C39" s="1" t="n">
        <v>46002</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42055-2025</t>
        </is>
      </c>
      <c r="B40" s="1" t="n">
        <v>45903</v>
      </c>
      <c r="C40" s="1" t="n">
        <v>46002</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7305-2024</t>
        </is>
      </c>
      <c r="B41" s="1" t="n">
        <v>45344</v>
      </c>
      <c r="C41" s="1" t="n">
        <v>46002</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53154-2023</t>
        </is>
      </c>
      <c r="B42" s="1" t="n">
        <v>45229</v>
      </c>
      <c r="C42" s="1" t="n">
        <v>46002</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41980-2025</t>
        </is>
      </c>
      <c r="B43" s="1" t="n">
        <v>45903</v>
      </c>
      <c r="C43" s="1" t="n">
        <v>46002</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12238-2023</t>
        </is>
      </c>
      <c r="B44" s="1" t="n">
        <v>44995</v>
      </c>
      <c r="C44" s="1" t="n">
        <v>46002</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46002</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35163-2025</t>
        </is>
      </c>
      <c r="B46" s="1" t="n">
        <v>45852.71136574074</v>
      </c>
      <c r="C46" s="1" t="n">
        <v>46002</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55700-2025</t>
        </is>
      </c>
      <c r="B47" s="1" t="n">
        <v>45972.45605324074</v>
      </c>
      <c r="C47" s="1" t="n">
        <v>46002</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48199-2025</t>
        </is>
      </c>
      <c r="B48" s="1" t="n">
        <v>45933.47856481482</v>
      </c>
      <c r="C48" s="1" t="n">
        <v>46002</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11890-2023</t>
        </is>
      </c>
      <c r="B49" s="1" t="n">
        <v>44995</v>
      </c>
      <c r="C49" s="1" t="n">
        <v>46002</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46002</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46002</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46002</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44486-2023</t>
        </is>
      </c>
      <c r="B53" s="1" t="n">
        <v>45183</v>
      </c>
      <c r="C53" s="1" t="n">
        <v>46002</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6076-2022</t>
        </is>
      </c>
      <c r="B54" s="1" t="n">
        <v>44599</v>
      </c>
      <c r="C54" s="1" t="n">
        <v>46002</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36220-2022</t>
        </is>
      </c>
      <c r="B55" s="1" t="n">
        <v>44803</v>
      </c>
      <c r="C55" s="1" t="n">
        <v>46002</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11890-2023</t>
        </is>
      </c>
      <c r="B56" s="1" t="n">
        <v>44995</v>
      </c>
      <c r="C56" s="1" t="n">
        <v>46002</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56074-2022</t>
        </is>
      </c>
      <c r="B57" s="1" t="n">
        <v>44889</v>
      </c>
      <c r="C57" s="1" t="n">
        <v>46002</v>
      </c>
      <c r="D57" t="inlineStr">
        <is>
          <t>SÖDERMANLANDS LÄN</t>
        </is>
      </c>
      <c r="E57" t="inlineStr">
        <is>
          <t>KATRINEHOLM</t>
        </is>
      </c>
      <c r="G57" t="n">
        <v>12.5</v>
      </c>
      <c r="H57" t="n">
        <v>1</v>
      </c>
      <c r="I57" t="n">
        <v>0</v>
      </c>
      <c r="J57" t="n">
        <v>0</v>
      </c>
      <c r="K57" t="n">
        <v>0</v>
      </c>
      <c r="L57" t="n">
        <v>0</v>
      </c>
      <c r="M57" t="n">
        <v>0</v>
      </c>
      <c r="N57" t="n">
        <v>0</v>
      </c>
      <c r="O57" t="n">
        <v>0</v>
      </c>
      <c r="P57" t="n">
        <v>0</v>
      </c>
      <c r="Q57" t="n">
        <v>1</v>
      </c>
      <c r="R57" s="2" t="inlineStr">
        <is>
          <t>Revlummer</t>
        </is>
      </c>
      <c r="S57">
        <f>HYPERLINK("https://klasma.github.io/Logging_0483/artfynd/A 56074-2022 artfynd.xlsx", "A 56074-2022")</f>
        <v/>
      </c>
      <c r="T57">
        <f>HYPERLINK("https://klasma.github.io/Logging_0483/kartor/A 56074-2022 karta.png", "A 56074-2022")</f>
        <v/>
      </c>
      <c r="V57">
        <f>HYPERLINK("https://klasma.github.io/Logging_0483/klagomål/A 56074-2022 FSC-klagomål.docx", "A 56074-2022")</f>
        <v/>
      </c>
      <c r="W57">
        <f>HYPERLINK("https://klasma.github.io/Logging_0483/klagomålsmail/A 56074-2022 FSC-klagomål mail.docx", "A 56074-2022")</f>
        <v/>
      </c>
      <c r="X57">
        <f>HYPERLINK("https://klasma.github.io/Logging_0483/tillsyn/A 56074-2022 tillsynsbegäran.docx", "A 56074-2022")</f>
        <v/>
      </c>
      <c r="Y57">
        <f>HYPERLINK("https://klasma.github.io/Logging_0483/tillsynsmail/A 56074-2022 tillsynsbegäran mail.docx", "A 56074-2022")</f>
        <v/>
      </c>
    </row>
    <row r="58" ht="15" customHeight="1">
      <c r="A58" t="inlineStr">
        <is>
          <t>A 45530-2023</t>
        </is>
      </c>
      <c r="B58" s="1" t="n">
        <v>45188</v>
      </c>
      <c r="C58" s="1" t="n">
        <v>46002</v>
      </c>
      <c r="D58" t="inlineStr">
        <is>
          <t>SÖDERMANLANDS LÄN</t>
        </is>
      </c>
      <c r="E58" t="inlineStr">
        <is>
          <t>KATRINEHOLM</t>
        </is>
      </c>
      <c r="F58" t="inlineStr">
        <is>
          <t>Allmännings- och besparingsskogar</t>
        </is>
      </c>
      <c r="G58" t="n">
        <v>37</v>
      </c>
      <c r="H58" t="n">
        <v>1</v>
      </c>
      <c r="I58" t="n">
        <v>0</v>
      </c>
      <c r="J58" t="n">
        <v>0</v>
      </c>
      <c r="K58" t="n">
        <v>0</v>
      </c>
      <c r="L58" t="n">
        <v>0</v>
      </c>
      <c r="M58" t="n">
        <v>0</v>
      </c>
      <c r="N58" t="n">
        <v>0</v>
      </c>
      <c r="O58" t="n">
        <v>0</v>
      </c>
      <c r="P58" t="n">
        <v>0</v>
      </c>
      <c r="Q58" t="n">
        <v>1</v>
      </c>
      <c r="R58" s="2" t="inlineStr">
        <is>
          <t>Fläcknycklar</t>
        </is>
      </c>
      <c r="S58">
        <f>HYPERLINK("https://klasma.github.io/Logging_0483/artfynd/A 45530-2023 artfynd.xlsx", "A 45530-2023")</f>
        <v/>
      </c>
      <c r="T58">
        <f>HYPERLINK("https://klasma.github.io/Logging_0483/kartor/A 45530-2023 karta.png", "A 45530-2023")</f>
        <v/>
      </c>
      <c r="V58">
        <f>HYPERLINK("https://klasma.github.io/Logging_0483/klagomål/A 45530-2023 FSC-klagomål.docx", "A 45530-2023")</f>
        <v/>
      </c>
      <c r="W58">
        <f>HYPERLINK("https://klasma.github.io/Logging_0483/klagomålsmail/A 45530-2023 FSC-klagomål mail.docx", "A 45530-2023")</f>
        <v/>
      </c>
      <c r="X58">
        <f>HYPERLINK("https://klasma.github.io/Logging_0483/tillsyn/A 45530-2023 tillsynsbegäran.docx", "A 45530-2023")</f>
        <v/>
      </c>
      <c r="Y58">
        <f>HYPERLINK("https://klasma.github.io/Logging_0483/tillsynsmail/A 45530-2023 tillsynsbegäran mail.docx", "A 45530-2023")</f>
        <v/>
      </c>
    </row>
    <row r="59" ht="15" customHeight="1">
      <c r="A59" t="inlineStr">
        <is>
          <t>A 23568-2023</t>
        </is>
      </c>
      <c r="B59" s="1" t="n">
        <v>45077</v>
      </c>
      <c r="C59" s="1" t="n">
        <v>46002</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22474-2025</t>
        </is>
      </c>
      <c r="B60" s="1" t="n">
        <v>45786.62152777778</v>
      </c>
      <c r="C60" s="1" t="n">
        <v>46002</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36856-2021</t>
        </is>
      </c>
      <c r="B61" s="1" t="n">
        <v>44393</v>
      </c>
      <c r="C61" s="1" t="n">
        <v>46002</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46002</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46002</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46002</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46002</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46002</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46002</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46002</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46002</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46002</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66655-2021</t>
        </is>
      </c>
      <c r="B71" s="1" t="n">
        <v>44519</v>
      </c>
      <c r="C71" s="1" t="n">
        <v>46002</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46002</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4533-2021</t>
        </is>
      </c>
      <c r="B73" s="1" t="n">
        <v>44223</v>
      </c>
      <c r="C73" s="1" t="n">
        <v>46002</v>
      </c>
      <c r="D73" t="inlineStr">
        <is>
          <t>SÖDERMANLANDS LÄN</t>
        </is>
      </c>
      <c r="E73" t="inlineStr">
        <is>
          <t>KATRINEHOLM</t>
        </is>
      </c>
      <c r="G73" t="n">
        <v>1.9</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46002</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46002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46002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46002</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46002</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46002</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46002</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46002</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46002</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46002</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46002</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46002</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46002</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46002</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46002</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46002</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46002</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46002</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46002</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46002</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46002</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46002</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46002</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46002</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46002</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46002</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46002</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46002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46002</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46002</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46002</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46002</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46002</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46002</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46002</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46002</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46002</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46002</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46002</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46002</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41876-2021</t>
        </is>
      </c>
      <c r="B114" s="1" t="n">
        <v>44426</v>
      </c>
      <c r="C114" s="1" t="n">
        <v>46002</v>
      </c>
      <c r="D114" t="inlineStr">
        <is>
          <t>SÖDERMANLANDS LÄN</t>
        </is>
      </c>
      <c r="E114" t="inlineStr">
        <is>
          <t>KATRINEHOLM</t>
        </is>
      </c>
      <c r="G114" t="n">
        <v>1</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46002</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46002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46002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46002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46002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46002</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46002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46002</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46002</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46002</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11676-2021</t>
        </is>
      </c>
      <c r="B125" s="1" t="n">
        <v>44264</v>
      </c>
      <c r="C125" s="1" t="n">
        <v>46002</v>
      </c>
      <c r="D125" t="inlineStr">
        <is>
          <t>SÖDERMANLANDS LÄN</t>
        </is>
      </c>
      <c r="E125" t="inlineStr">
        <is>
          <t>KATRINEHOLM</t>
        </is>
      </c>
      <c r="F125" t="inlineStr">
        <is>
          <t>Allmännings- och besparingsskogar</t>
        </is>
      </c>
      <c r="G125" t="n">
        <v>1</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46002</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46002</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46002</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46002</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46002</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46002</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46002</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46002</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46002</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46002</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46002</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67957-2020</t>
        </is>
      </c>
      <c r="B137" s="1" t="n">
        <v>44182</v>
      </c>
      <c r="C137" s="1" t="n">
        <v>46002</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67959-2020</t>
        </is>
      </c>
      <c r="B138" s="1" t="n">
        <v>44182</v>
      </c>
      <c r="C138" s="1" t="n">
        <v>46002</v>
      </c>
      <c r="D138" t="inlineStr">
        <is>
          <t>SÖDERMANLANDS LÄN</t>
        </is>
      </c>
      <c r="E138" t="inlineStr">
        <is>
          <t>KATRINEHOLM</t>
        </is>
      </c>
      <c r="G138" t="n">
        <v>11.5</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46002</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46002</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46002</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46002</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46002</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46002</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46002</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46002</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46002</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46002</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46002</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46002</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46002</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46002</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46002</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46002</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46002</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38835-2021</t>
        </is>
      </c>
      <c r="B156" s="1" t="n">
        <v>44411</v>
      </c>
      <c r="C156" s="1" t="n">
        <v>46002</v>
      </c>
      <c r="D156" t="inlineStr">
        <is>
          <t>SÖDERMANLANDS LÄN</t>
        </is>
      </c>
      <c r="E156" t="inlineStr">
        <is>
          <t>KATRINEHOLM</t>
        </is>
      </c>
      <c r="G156" t="n">
        <v>10.2</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46002</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46002</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46002</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46002</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46002</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46002</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46002</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46002</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46002</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46002</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46002</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46002</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46002</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46002</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46002</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44496.58033564815</v>
      </c>
      <c r="C172" s="1" t="n">
        <v>46002</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46002</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46002</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46002</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46002</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46002</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46002</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46002</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46002</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46002</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46002</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46002</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46002</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46002</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46002</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46002</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46002</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46002</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46002</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46002</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46002</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46002</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34040-2022</t>
        </is>
      </c>
      <c r="B194" s="1" t="n">
        <v>44790</v>
      </c>
      <c r="C194" s="1" t="n">
        <v>46002</v>
      </c>
      <c r="D194" t="inlineStr">
        <is>
          <t>SÖDERMANLANDS LÄN</t>
        </is>
      </c>
      <c r="E194" t="inlineStr">
        <is>
          <t>KATRINEHOLM</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12760-2021</t>
        </is>
      </c>
      <c r="B195" s="1" t="n">
        <v>44270</v>
      </c>
      <c r="C195" s="1" t="n">
        <v>46002</v>
      </c>
      <c r="D195" t="inlineStr">
        <is>
          <t>SÖDERMANLANDS LÄN</t>
        </is>
      </c>
      <c r="E195" t="inlineStr">
        <is>
          <t>KATRINEHOLM</t>
        </is>
      </c>
      <c r="F195" t="inlineStr">
        <is>
          <t>Kyrkan</t>
        </is>
      </c>
      <c r="G195" t="n">
        <v>1.2</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46002</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46002</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46002</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46002</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40393-2022</t>
        </is>
      </c>
      <c r="B200" s="1" t="n">
        <v>44823</v>
      </c>
      <c r="C200" s="1" t="n">
        <v>46002</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50061-2022</t>
        </is>
      </c>
      <c r="B201" s="1" t="n">
        <v>44865</v>
      </c>
      <c r="C201" s="1" t="n">
        <v>46002</v>
      </c>
      <c r="D201" t="inlineStr">
        <is>
          <t>SÖDERMANLANDS LÄN</t>
        </is>
      </c>
      <c r="E201" t="inlineStr">
        <is>
          <t>KATRINEHOLM</t>
        </is>
      </c>
      <c r="G201" t="n">
        <v>4.9</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46002</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33934-2022</t>
        </is>
      </c>
      <c r="B203" s="1" t="n">
        <v>44790</v>
      </c>
      <c r="C203" s="1" t="n">
        <v>46002</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10732-2022</t>
        </is>
      </c>
      <c r="B204" s="1" t="n">
        <v>44627.34033564815</v>
      </c>
      <c r="C204" s="1" t="n">
        <v>46002</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74354-2021</t>
        </is>
      </c>
      <c r="B205" s="1" t="n">
        <v>44559.57041666667</v>
      </c>
      <c r="C205" s="1" t="n">
        <v>46002</v>
      </c>
      <c r="D205" t="inlineStr">
        <is>
          <t>SÖDERMANLANDS LÄN</t>
        </is>
      </c>
      <c r="E205" t="inlineStr">
        <is>
          <t>KATRINEHOLM</t>
        </is>
      </c>
      <c r="G205" t="n">
        <v>0.7</v>
      </c>
      <c r="H205" t="n">
        <v>0</v>
      </c>
      <c r="I205" t="n">
        <v>0</v>
      </c>
      <c r="J205" t="n">
        <v>0</v>
      </c>
      <c r="K205" t="n">
        <v>0</v>
      </c>
      <c r="L205" t="n">
        <v>0</v>
      </c>
      <c r="M205" t="n">
        <v>0</v>
      </c>
      <c r="N205" t="n">
        <v>0</v>
      </c>
      <c r="O205" t="n">
        <v>0</v>
      </c>
      <c r="P205" t="n">
        <v>0</v>
      </c>
      <c r="Q205" t="n">
        <v>0</v>
      </c>
      <c r="R205" s="2" t="inlineStr"/>
    </row>
    <row r="206" ht="15" customHeight="1">
      <c r="A206" t="inlineStr">
        <is>
          <t>A 9699-2024</t>
        </is>
      </c>
      <c r="B206" s="1" t="n">
        <v>45362</v>
      </c>
      <c r="C206" s="1" t="n">
        <v>46002</v>
      </c>
      <c r="D206" t="inlineStr">
        <is>
          <t>SÖDERMANLANDS LÄN</t>
        </is>
      </c>
      <c r="E206" t="inlineStr">
        <is>
          <t>KATRINEHOLM</t>
        </is>
      </c>
      <c r="G206" t="n">
        <v>7.7</v>
      </c>
      <c r="H206" t="n">
        <v>0</v>
      </c>
      <c r="I206" t="n">
        <v>0</v>
      </c>
      <c r="J206" t="n">
        <v>0</v>
      </c>
      <c r="K206" t="n">
        <v>0</v>
      </c>
      <c r="L206" t="n">
        <v>0</v>
      </c>
      <c r="M206" t="n">
        <v>0</v>
      </c>
      <c r="N206" t="n">
        <v>0</v>
      </c>
      <c r="O206" t="n">
        <v>0</v>
      </c>
      <c r="P206" t="n">
        <v>0</v>
      </c>
      <c r="Q206" t="n">
        <v>0</v>
      </c>
      <c r="R206" s="2" t="inlineStr"/>
    </row>
    <row r="207" ht="15" customHeight="1">
      <c r="A207" t="inlineStr">
        <is>
          <t>A 33001-2024</t>
        </is>
      </c>
      <c r="B207" s="1" t="n">
        <v>45517</v>
      </c>
      <c r="C207" s="1" t="n">
        <v>46002</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48259-2022</t>
        </is>
      </c>
      <c r="B208" s="1" t="n">
        <v>44858</v>
      </c>
      <c r="C208" s="1" t="n">
        <v>46002</v>
      </c>
      <c r="D208" t="inlineStr">
        <is>
          <t>SÖDERMANLANDS LÄN</t>
        </is>
      </c>
      <c r="E208" t="inlineStr">
        <is>
          <t>KATRINEHOLM</t>
        </is>
      </c>
      <c r="G208" t="n">
        <v>3.5</v>
      </c>
      <c r="H208" t="n">
        <v>0</v>
      </c>
      <c r="I208" t="n">
        <v>0</v>
      </c>
      <c r="J208" t="n">
        <v>0</v>
      </c>
      <c r="K208" t="n">
        <v>0</v>
      </c>
      <c r="L208" t="n">
        <v>0</v>
      </c>
      <c r="M208" t="n">
        <v>0</v>
      </c>
      <c r="N208" t="n">
        <v>0</v>
      </c>
      <c r="O208" t="n">
        <v>0</v>
      </c>
      <c r="P208" t="n">
        <v>0</v>
      </c>
      <c r="Q208" t="n">
        <v>0</v>
      </c>
      <c r="R208" s="2" t="inlineStr"/>
    </row>
    <row r="209" ht="15" customHeight="1">
      <c r="A209" t="inlineStr">
        <is>
          <t>A 55034-2021</t>
        </is>
      </c>
      <c r="B209" s="1" t="n">
        <v>44474</v>
      </c>
      <c r="C209" s="1" t="n">
        <v>46002</v>
      </c>
      <c r="D209" t="inlineStr">
        <is>
          <t>SÖDERMANLANDS LÄN</t>
        </is>
      </c>
      <c r="E209" t="inlineStr">
        <is>
          <t>KATRINEHOLM</t>
        </is>
      </c>
      <c r="G209" t="n">
        <v>5</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46002</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46002</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6091-2025</t>
        </is>
      </c>
      <c r="B212" s="1" t="n">
        <v>45697</v>
      </c>
      <c r="C212" s="1" t="n">
        <v>46002</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6093-2025</t>
        </is>
      </c>
      <c r="B213" s="1" t="n">
        <v>45697</v>
      </c>
      <c r="C213" s="1" t="n">
        <v>46002</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46002</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46002</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46002</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46002</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32786-2022</t>
        </is>
      </c>
      <c r="B218" s="1" t="n">
        <v>44784</v>
      </c>
      <c r="C218" s="1" t="n">
        <v>46002</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7459-2022</t>
        </is>
      </c>
      <c r="B219" s="1" t="n">
        <v>44607.35009259259</v>
      </c>
      <c r="C219" s="1" t="n">
        <v>46002</v>
      </c>
      <c r="D219" t="inlineStr">
        <is>
          <t>SÖDERMANLANDS LÄN</t>
        </is>
      </c>
      <c r="E219" t="inlineStr">
        <is>
          <t>KATRINEHOLM</t>
        </is>
      </c>
      <c r="G219" t="n">
        <v>2</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46002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46002</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32890-2024</t>
        </is>
      </c>
      <c r="B222" s="1" t="n">
        <v>45516</v>
      </c>
      <c r="C222" s="1" t="n">
        <v>46002</v>
      </c>
      <c r="D222" t="inlineStr">
        <is>
          <t>SÖDERMANLANDS LÄN</t>
        </is>
      </c>
      <c r="E222" t="inlineStr">
        <is>
          <t>KATRINEHOLM</t>
        </is>
      </c>
      <c r="G222" t="n">
        <v>2.6</v>
      </c>
      <c r="H222" t="n">
        <v>0</v>
      </c>
      <c r="I222" t="n">
        <v>0</v>
      </c>
      <c r="J222" t="n">
        <v>0</v>
      </c>
      <c r="K222" t="n">
        <v>0</v>
      </c>
      <c r="L222" t="n">
        <v>0</v>
      </c>
      <c r="M222" t="n">
        <v>0</v>
      </c>
      <c r="N222" t="n">
        <v>0</v>
      </c>
      <c r="O222" t="n">
        <v>0</v>
      </c>
      <c r="P222" t="n">
        <v>0</v>
      </c>
      <c r="Q222" t="n">
        <v>0</v>
      </c>
      <c r="R222" s="2" t="inlineStr"/>
    </row>
    <row r="223" ht="15" customHeight="1">
      <c r="A223" t="inlineStr">
        <is>
          <t>A 39704-2023</t>
        </is>
      </c>
      <c r="B223" s="1" t="n">
        <v>45167</v>
      </c>
      <c r="C223" s="1" t="n">
        <v>46002</v>
      </c>
      <c r="D223" t="inlineStr">
        <is>
          <t>SÖDERMANLANDS LÄN</t>
        </is>
      </c>
      <c r="E223" t="inlineStr">
        <is>
          <t>KATRINEHOLM</t>
        </is>
      </c>
      <c r="F223" t="inlineStr">
        <is>
          <t>Övriga Aktiebolag</t>
        </is>
      </c>
      <c r="G223" t="n">
        <v>3.4</v>
      </c>
      <c r="H223" t="n">
        <v>0</v>
      </c>
      <c r="I223" t="n">
        <v>0</v>
      </c>
      <c r="J223" t="n">
        <v>0</v>
      </c>
      <c r="K223" t="n">
        <v>0</v>
      </c>
      <c r="L223" t="n">
        <v>0</v>
      </c>
      <c r="M223" t="n">
        <v>0</v>
      </c>
      <c r="N223" t="n">
        <v>0</v>
      </c>
      <c r="O223" t="n">
        <v>0</v>
      </c>
      <c r="P223" t="n">
        <v>0</v>
      </c>
      <c r="Q223" t="n">
        <v>0</v>
      </c>
      <c r="R223" s="2" t="inlineStr"/>
    </row>
    <row r="224" ht="15" customHeight="1">
      <c r="A224" t="inlineStr">
        <is>
          <t>A 24748-2024</t>
        </is>
      </c>
      <c r="B224" s="1" t="n">
        <v>45460.66567129629</v>
      </c>
      <c r="C224" s="1" t="n">
        <v>46002</v>
      </c>
      <c r="D224" t="inlineStr">
        <is>
          <t>SÖDERMANLANDS LÄN</t>
        </is>
      </c>
      <c r="E224" t="inlineStr">
        <is>
          <t>KATRINEHOLM</t>
        </is>
      </c>
      <c r="G224" t="n">
        <v>3.3</v>
      </c>
      <c r="H224" t="n">
        <v>0</v>
      </c>
      <c r="I224" t="n">
        <v>0</v>
      </c>
      <c r="J224" t="n">
        <v>0</v>
      </c>
      <c r="K224" t="n">
        <v>0</v>
      </c>
      <c r="L224" t="n">
        <v>0</v>
      </c>
      <c r="M224" t="n">
        <v>0</v>
      </c>
      <c r="N224" t="n">
        <v>0</v>
      </c>
      <c r="O224" t="n">
        <v>0</v>
      </c>
      <c r="P224" t="n">
        <v>0</v>
      </c>
      <c r="Q224" t="n">
        <v>0</v>
      </c>
      <c r="R224" s="2" t="inlineStr"/>
    </row>
    <row r="225" ht="15" customHeight="1">
      <c r="A225" t="inlineStr">
        <is>
          <t>A 30333-2023</t>
        </is>
      </c>
      <c r="B225" s="1" t="n">
        <v>45111</v>
      </c>
      <c r="C225" s="1" t="n">
        <v>46002</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15235-2023</t>
        </is>
      </c>
      <c r="B226" s="1" t="n">
        <v>45019</v>
      </c>
      <c r="C226" s="1" t="n">
        <v>46002</v>
      </c>
      <c r="D226" t="inlineStr">
        <is>
          <t>SÖDERMANLANDS LÄN</t>
        </is>
      </c>
      <c r="E226" t="inlineStr">
        <is>
          <t>KATRINEHOLM</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45793-2022</t>
        </is>
      </c>
      <c r="B227" s="1" t="n">
        <v>44844</v>
      </c>
      <c r="C227" s="1" t="n">
        <v>46002</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6628-2022</t>
        </is>
      </c>
      <c r="B228" s="1" t="n">
        <v>44601.78850694445</v>
      </c>
      <c r="C228" s="1" t="n">
        <v>46002</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15184-2023</t>
        </is>
      </c>
      <c r="B229" s="1" t="n">
        <v>45016</v>
      </c>
      <c r="C229" s="1" t="n">
        <v>46002</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44915-2022</t>
        </is>
      </c>
      <c r="B230" s="1" t="n">
        <v>44840</v>
      </c>
      <c r="C230" s="1" t="n">
        <v>46002</v>
      </c>
      <c r="D230" t="inlineStr">
        <is>
          <t>SÖDERMANLANDS LÄN</t>
        </is>
      </c>
      <c r="E230" t="inlineStr">
        <is>
          <t>KATRINEHOLM</t>
        </is>
      </c>
      <c r="G230" t="n">
        <v>6.3</v>
      </c>
      <c r="H230" t="n">
        <v>0</v>
      </c>
      <c r="I230" t="n">
        <v>0</v>
      </c>
      <c r="J230" t="n">
        <v>0</v>
      </c>
      <c r="K230" t="n">
        <v>0</v>
      </c>
      <c r="L230" t="n">
        <v>0</v>
      </c>
      <c r="M230" t="n">
        <v>0</v>
      </c>
      <c r="N230" t="n">
        <v>0</v>
      </c>
      <c r="O230" t="n">
        <v>0</v>
      </c>
      <c r="P230" t="n">
        <v>0</v>
      </c>
      <c r="Q230" t="n">
        <v>0</v>
      </c>
      <c r="R230" s="2" t="inlineStr"/>
    </row>
    <row r="231" ht="15" customHeight="1">
      <c r="A231" t="inlineStr">
        <is>
          <t>A 45438-2021</t>
        </is>
      </c>
      <c r="B231" s="1" t="n">
        <v>44440</v>
      </c>
      <c r="C231" s="1" t="n">
        <v>46002</v>
      </c>
      <c r="D231" t="inlineStr">
        <is>
          <t>SÖDERMANLANDS LÄN</t>
        </is>
      </c>
      <c r="E231" t="inlineStr">
        <is>
          <t>KATRINEHOLM</t>
        </is>
      </c>
      <c r="F231" t="inlineStr">
        <is>
          <t>Kommuner</t>
        </is>
      </c>
      <c r="G231" t="n">
        <v>1.5</v>
      </c>
      <c r="H231" t="n">
        <v>0</v>
      </c>
      <c r="I231" t="n">
        <v>0</v>
      </c>
      <c r="J231" t="n">
        <v>0</v>
      </c>
      <c r="K231" t="n">
        <v>0</v>
      </c>
      <c r="L231" t="n">
        <v>0</v>
      </c>
      <c r="M231" t="n">
        <v>0</v>
      </c>
      <c r="N231" t="n">
        <v>0</v>
      </c>
      <c r="O231" t="n">
        <v>0</v>
      </c>
      <c r="P231" t="n">
        <v>0</v>
      </c>
      <c r="Q231" t="n">
        <v>0</v>
      </c>
      <c r="R231" s="2" t="inlineStr"/>
    </row>
    <row r="232" ht="15" customHeight="1">
      <c r="A232" t="inlineStr">
        <is>
          <t>A 4387-2024</t>
        </is>
      </c>
      <c r="B232" s="1" t="n">
        <v>45327.35068287037</v>
      </c>
      <c r="C232" s="1" t="n">
        <v>46002</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7398-2024</t>
        </is>
      </c>
      <c r="B233" s="1" t="n">
        <v>45345</v>
      </c>
      <c r="C233" s="1" t="n">
        <v>46002</v>
      </c>
      <c r="D233" t="inlineStr">
        <is>
          <t>SÖDERMANLANDS LÄN</t>
        </is>
      </c>
      <c r="E233" t="inlineStr">
        <is>
          <t>KATRINEHOLM</t>
        </is>
      </c>
      <c r="G233" t="n">
        <v>4.4</v>
      </c>
      <c r="H233" t="n">
        <v>0</v>
      </c>
      <c r="I233" t="n">
        <v>0</v>
      </c>
      <c r="J233" t="n">
        <v>0</v>
      </c>
      <c r="K233" t="n">
        <v>0</v>
      </c>
      <c r="L233" t="n">
        <v>0</v>
      </c>
      <c r="M233" t="n">
        <v>0</v>
      </c>
      <c r="N233" t="n">
        <v>0</v>
      </c>
      <c r="O233" t="n">
        <v>0</v>
      </c>
      <c r="P233" t="n">
        <v>0</v>
      </c>
      <c r="Q233" t="n">
        <v>0</v>
      </c>
      <c r="R233" s="2" t="inlineStr"/>
    </row>
    <row r="234" ht="15" customHeight="1">
      <c r="A234" t="inlineStr">
        <is>
          <t>A 18386-2025</t>
        </is>
      </c>
      <c r="B234" s="1" t="n">
        <v>45762</v>
      </c>
      <c r="C234" s="1" t="n">
        <v>46002</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28427-2024</t>
        </is>
      </c>
      <c r="B235" s="1" t="n">
        <v>45477.64910879629</v>
      </c>
      <c r="C235" s="1" t="n">
        <v>46002</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8955-2024</t>
        </is>
      </c>
      <c r="B236" s="1" t="n">
        <v>45357.44873842593</v>
      </c>
      <c r="C236" s="1" t="n">
        <v>46002</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36001-2024</t>
        </is>
      </c>
      <c r="B237" s="1" t="n">
        <v>45533.54609953704</v>
      </c>
      <c r="C237" s="1" t="n">
        <v>46002</v>
      </c>
      <c r="D237" t="inlineStr">
        <is>
          <t>SÖDERMANLANDS LÄN</t>
        </is>
      </c>
      <c r="E237" t="inlineStr">
        <is>
          <t>KATRINEHOLM</t>
        </is>
      </c>
      <c r="G237" t="n">
        <v>1</v>
      </c>
      <c r="H237" t="n">
        <v>0</v>
      </c>
      <c r="I237" t="n">
        <v>0</v>
      </c>
      <c r="J237" t="n">
        <v>0</v>
      </c>
      <c r="K237" t="n">
        <v>0</v>
      </c>
      <c r="L237" t="n">
        <v>0</v>
      </c>
      <c r="M237" t="n">
        <v>0</v>
      </c>
      <c r="N237" t="n">
        <v>0</v>
      </c>
      <c r="O237" t="n">
        <v>0</v>
      </c>
      <c r="P237" t="n">
        <v>0</v>
      </c>
      <c r="Q237" t="n">
        <v>0</v>
      </c>
      <c r="R237" s="2" t="inlineStr"/>
    </row>
    <row r="238" ht="15" customHeight="1">
      <c r="A238" t="inlineStr">
        <is>
          <t>A 36-2023</t>
        </is>
      </c>
      <c r="B238" s="1" t="n">
        <v>44928.36578703704</v>
      </c>
      <c r="C238" s="1" t="n">
        <v>46002</v>
      </c>
      <c r="D238" t="inlineStr">
        <is>
          <t>SÖDERMANLANDS LÄN</t>
        </is>
      </c>
      <c r="E238" t="inlineStr">
        <is>
          <t>KATRINEHOLM</t>
        </is>
      </c>
      <c r="G238" t="n">
        <v>3.7</v>
      </c>
      <c r="H238" t="n">
        <v>0</v>
      </c>
      <c r="I238" t="n">
        <v>0</v>
      </c>
      <c r="J238" t="n">
        <v>0</v>
      </c>
      <c r="K238" t="n">
        <v>0</v>
      </c>
      <c r="L238" t="n">
        <v>0</v>
      </c>
      <c r="M238" t="n">
        <v>0</v>
      </c>
      <c r="N238" t="n">
        <v>0</v>
      </c>
      <c r="O238" t="n">
        <v>0</v>
      </c>
      <c r="P238" t="n">
        <v>0</v>
      </c>
      <c r="Q238" t="n">
        <v>0</v>
      </c>
      <c r="R238" s="2" t="inlineStr"/>
    </row>
    <row r="239" ht="15" customHeight="1">
      <c r="A239" t="inlineStr">
        <is>
          <t>A 14313-2024</t>
        </is>
      </c>
      <c r="B239" s="1" t="n">
        <v>45393</v>
      </c>
      <c r="C239" s="1" t="n">
        <v>46002</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24902-2024</t>
        </is>
      </c>
      <c r="B240" s="1" t="n">
        <v>45461</v>
      </c>
      <c r="C240" s="1" t="n">
        <v>46002</v>
      </c>
      <c r="D240" t="inlineStr">
        <is>
          <t>SÖDERMANLANDS LÄN</t>
        </is>
      </c>
      <c r="E240" t="inlineStr">
        <is>
          <t>KATRINEHOLM</t>
        </is>
      </c>
      <c r="G240" t="n">
        <v>3.5</v>
      </c>
      <c r="H240" t="n">
        <v>0</v>
      </c>
      <c r="I240" t="n">
        <v>0</v>
      </c>
      <c r="J240" t="n">
        <v>0</v>
      </c>
      <c r="K240" t="n">
        <v>0</v>
      </c>
      <c r="L240" t="n">
        <v>0</v>
      </c>
      <c r="M240" t="n">
        <v>0</v>
      </c>
      <c r="N240" t="n">
        <v>0</v>
      </c>
      <c r="O240" t="n">
        <v>0</v>
      </c>
      <c r="P240" t="n">
        <v>0</v>
      </c>
      <c r="Q240" t="n">
        <v>0</v>
      </c>
      <c r="R240" s="2" t="inlineStr"/>
    </row>
    <row r="241" ht="15" customHeight="1">
      <c r="A241" t="inlineStr">
        <is>
          <t>A 12938-2023</t>
        </is>
      </c>
      <c r="B241" s="1" t="n">
        <v>45001</v>
      </c>
      <c r="C241" s="1" t="n">
        <v>46002</v>
      </c>
      <c r="D241" t="inlineStr">
        <is>
          <t>SÖDERMANLANDS LÄN</t>
        </is>
      </c>
      <c r="E241" t="inlineStr">
        <is>
          <t>KATRINEHOLM</t>
        </is>
      </c>
      <c r="G241" t="n">
        <v>0.4</v>
      </c>
      <c r="H241" t="n">
        <v>0</v>
      </c>
      <c r="I241" t="n">
        <v>0</v>
      </c>
      <c r="J241" t="n">
        <v>0</v>
      </c>
      <c r="K241" t="n">
        <v>0</v>
      </c>
      <c r="L241" t="n">
        <v>0</v>
      </c>
      <c r="M241" t="n">
        <v>0</v>
      </c>
      <c r="N241" t="n">
        <v>0</v>
      </c>
      <c r="O241" t="n">
        <v>0</v>
      </c>
      <c r="P241" t="n">
        <v>0</v>
      </c>
      <c r="Q241" t="n">
        <v>0</v>
      </c>
      <c r="R241" s="2" t="inlineStr"/>
    </row>
    <row r="242" ht="15" customHeight="1">
      <c r="A242" t="inlineStr">
        <is>
          <t>A 46569-2022</t>
        </is>
      </c>
      <c r="B242" s="1" t="n">
        <v>44847</v>
      </c>
      <c r="C242" s="1" t="n">
        <v>46002</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19098-2022</t>
        </is>
      </c>
      <c r="B243" s="1" t="n">
        <v>44691.52616898148</v>
      </c>
      <c r="C243" s="1" t="n">
        <v>46002</v>
      </c>
      <c r="D243" t="inlineStr">
        <is>
          <t>SÖDERMANLANDS LÄN</t>
        </is>
      </c>
      <c r="E243" t="inlineStr">
        <is>
          <t>KATRINEHOLM</t>
        </is>
      </c>
      <c r="G243" t="n">
        <v>5.5</v>
      </c>
      <c r="H243" t="n">
        <v>0</v>
      </c>
      <c r="I243" t="n">
        <v>0</v>
      </c>
      <c r="J243" t="n">
        <v>0</v>
      </c>
      <c r="K243" t="n">
        <v>0</v>
      </c>
      <c r="L243" t="n">
        <v>0</v>
      </c>
      <c r="M243" t="n">
        <v>0</v>
      </c>
      <c r="N243" t="n">
        <v>0</v>
      </c>
      <c r="O243" t="n">
        <v>0</v>
      </c>
      <c r="P243" t="n">
        <v>0</v>
      </c>
      <c r="Q243" t="n">
        <v>0</v>
      </c>
      <c r="R243" s="2" t="inlineStr"/>
    </row>
    <row r="244" ht="15" customHeight="1">
      <c r="A244" t="inlineStr">
        <is>
          <t>A 51530-2023</t>
        </is>
      </c>
      <c r="B244" s="1" t="n">
        <v>45222</v>
      </c>
      <c r="C244" s="1" t="n">
        <v>46002</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3315-2023</t>
        </is>
      </c>
      <c r="B245" s="1" t="n">
        <v>44945</v>
      </c>
      <c r="C245" s="1" t="n">
        <v>46002</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2603-2025</t>
        </is>
      </c>
      <c r="B246" s="1" t="n">
        <v>45674</v>
      </c>
      <c r="C246" s="1" t="n">
        <v>46002</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2093-2025</t>
        </is>
      </c>
      <c r="B247" s="1" t="n">
        <v>45672</v>
      </c>
      <c r="C247" s="1" t="n">
        <v>46002</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61423-2024</t>
        </is>
      </c>
      <c r="B248" s="1" t="n">
        <v>45646.45209490741</v>
      </c>
      <c r="C248" s="1" t="n">
        <v>46002</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38708-2025</t>
        </is>
      </c>
      <c r="B249" s="1" t="n">
        <v>45885</v>
      </c>
      <c r="C249" s="1" t="n">
        <v>46002</v>
      </c>
      <c r="D249" t="inlineStr">
        <is>
          <t>SÖDERMANLANDS LÄN</t>
        </is>
      </c>
      <c r="E249" t="inlineStr">
        <is>
          <t>KATRINEHOLM</t>
        </is>
      </c>
      <c r="G249" t="n">
        <v>1.9</v>
      </c>
      <c r="H249" t="n">
        <v>0</v>
      </c>
      <c r="I249" t="n">
        <v>0</v>
      </c>
      <c r="J249" t="n">
        <v>0</v>
      </c>
      <c r="K249" t="n">
        <v>0</v>
      </c>
      <c r="L249" t="n">
        <v>0</v>
      </c>
      <c r="M249" t="n">
        <v>0</v>
      </c>
      <c r="N249" t="n">
        <v>0</v>
      </c>
      <c r="O249" t="n">
        <v>0</v>
      </c>
      <c r="P249" t="n">
        <v>0</v>
      </c>
      <c r="Q249" t="n">
        <v>0</v>
      </c>
      <c r="R249" s="2" t="inlineStr"/>
    </row>
    <row r="250" ht="15" customHeight="1">
      <c r="A250" t="inlineStr">
        <is>
          <t>A 20826-2022</t>
        </is>
      </c>
      <c r="B250" s="1" t="n">
        <v>44701.44754629629</v>
      </c>
      <c r="C250" s="1" t="n">
        <v>46002</v>
      </c>
      <c r="D250" t="inlineStr">
        <is>
          <t>SÖDERMANLANDS LÄN</t>
        </is>
      </c>
      <c r="E250" t="inlineStr">
        <is>
          <t>KATRINEHOLM</t>
        </is>
      </c>
      <c r="G250" t="n">
        <v>6.8</v>
      </c>
      <c r="H250" t="n">
        <v>0</v>
      </c>
      <c r="I250" t="n">
        <v>0</v>
      </c>
      <c r="J250" t="n">
        <v>0</v>
      </c>
      <c r="K250" t="n">
        <v>0</v>
      </c>
      <c r="L250" t="n">
        <v>0</v>
      </c>
      <c r="M250" t="n">
        <v>0</v>
      </c>
      <c r="N250" t="n">
        <v>0</v>
      </c>
      <c r="O250" t="n">
        <v>0</v>
      </c>
      <c r="P250" t="n">
        <v>0</v>
      </c>
      <c r="Q250" t="n">
        <v>0</v>
      </c>
      <c r="R250" s="2" t="inlineStr"/>
    </row>
    <row r="251" ht="15" customHeight="1">
      <c r="A251" t="inlineStr">
        <is>
          <t>A 20846-2022</t>
        </is>
      </c>
      <c r="B251" s="1" t="n">
        <v>44701.4744212963</v>
      </c>
      <c r="C251" s="1" t="n">
        <v>46002</v>
      </c>
      <c r="D251" t="inlineStr">
        <is>
          <t>SÖDERMANLANDS LÄN</t>
        </is>
      </c>
      <c r="E251" t="inlineStr">
        <is>
          <t>KATRINEHOLM</t>
        </is>
      </c>
      <c r="G251" t="n">
        <v>0.8</v>
      </c>
      <c r="H251" t="n">
        <v>0</v>
      </c>
      <c r="I251" t="n">
        <v>0</v>
      </c>
      <c r="J251" t="n">
        <v>0</v>
      </c>
      <c r="K251" t="n">
        <v>0</v>
      </c>
      <c r="L251" t="n">
        <v>0</v>
      </c>
      <c r="M251" t="n">
        <v>0</v>
      </c>
      <c r="N251" t="n">
        <v>0</v>
      </c>
      <c r="O251" t="n">
        <v>0</v>
      </c>
      <c r="P251" t="n">
        <v>0</v>
      </c>
      <c r="Q251" t="n">
        <v>0</v>
      </c>
      <c r="R251" s="2" t="inlineStr"/>
    </row>
    <row r="252" ht="15" customHeight="1">
      <c r="A252" t="inlineStr">
        <is>
          <t>A 24605-2025</t>
        </is>
      </c>
      <c r="B252" s="1" t="n">
        <v>45798.57403935185</v>
      </c>
      <c r="C252" s="1" t="n">
        <v>46002</v>
      </c>
      <c r="D252" t="inlineStr">
        <is>
          <t>SÖDERMANLANDS LÄN</t>
        </is>
      </c>
      <c r="E252" t="inlineStr">
        <is>
          <t>KATRINEHOLM</t>
        </is>
      </c>
      <c r="G252" t="n">
        <v>7</v>
      </c>
      <c r="H252" t="n">
        <v>0</v>
      </c>
      <c r="I252" t="n">
        <v>0</v>
      </c>
      <c r="J252" t="n">
        <v>0</v>
      </c>
      <c r="K252" t="n">
        <v>0</v>
      </c>
      <c r="L252" t="n">
        <v>0</v>
      </c>
      <c r="M252" t="n">
        <v>0</v>
      </c>
      <c r="N252" t="n">
        <v>0</v>
      </c>
      <c r="O252" t="n">
        <v>0</v>
      </c>
      <c r="P252" t="n">
        <v>0</v>
      </c>
      <c r="Q252" t="n">
        <v>0</v>
      </c>
      <c r="R252" s="2" t="inlineStr"/>
    </row>
    <row r="253" ht="15" customHeight="1">
      <c r="A253" t="inlineStr">
        <is>
          <t>A 53999-2023</t>
        </is>
      </c>
      <c r="B253" s="1" t="n">
        <v>45231</v>
      </c>
      <c r="C253" s="1" t="n">
        <v>46002</v>
      </c>
      <c r="D253" t="inlineStr">
        <is>
          <t>SÖDERMANLANDS LÄN</t>
        </is>
      </c>
      <c r="E253" t="inlineStr">
        <is>
          <t>KATRINEHOLM</t>
        </is>
      </c>
      <c r="G253" t="n">
        <v>5.4</v>
      </c>
      <c r="H253" t="n">
        <v>0</v>
      </c>
      <c r="I253" t="n">
        <v>0</v>
      </c>
      <c r="J253" t="n">
        <v>0</v>
      </c>
      <c r="K253" t="n">
        <v>0</v>
      </c>
      <c r="L253" t="n">
        <v>0</v>
      </c>
      <c r="M253" t="n">
        <v>0</v>
      </c>
      <c r="N253" t="n">
        <v>0</v>
      </c>
      <c r="O253" t="n">
        <v>0</v>
      </c>
      <c r="P253" t="n">
        <v>0</v>
      </c>
      <c r="Q253" t="n">
        <v>0</v>
      </c>
      <c r="R253" s="2" t="inlineStr"/>
    </row>
    <row r="254" ht="15" customHeight="1">
      <c r="A254" t="inlineStr">
        <is>
          <t>A 41727-2024</t>
        </is>
      </c>
      <c r="B254" s="1" t="n">
        <v>45560</v>
      </c>
      <c r="C254" s="1" t="n">
        <v>46002</v>
      </c>
      <c r="D254" t="inlineStr">
        <is>
          <t>SÖDERMANLANDS LÄN</t>
        </is>
      </c>
      <c r="E254" t="inlineStr">
        <is>
          <t>KATRINEHOLM</t>
        </is>
      </c>
      <c r="G254" t="n">
        <v>3.9</v>
      </c>
      <c r="H254" t="n">
        <v>0</v>
      </c>
      <c r="I254" t="n">
        <v>0</v>
      </c>
      <c r="J254" t="n">
        <v>0</v>
      </c>
      <c r="K254" t="n">
        <v>0</v>
      </c>
      <c r="L254" t="n">
        <v>0</v>
      </c>
      <c r="M254" t="n">
        <v>0</v>
      </c>
      <c r="N254" t="n">
        <v>0</v>
      </c>
      <c r="O254" t="n">
        <v>0</v>
      </c>
      <c r="P254" t="n">
        <v>0</v>
      </c>
      <c r="Q254" t="n">
        <v>0</v>
      </c>
      <c r="R254" s="2" t="inlineStr"/>
    </row>
    <row r="255" ht="15" customHeight="1">
      <c r="A255" t="inlineStr">
        <is>
          <t>A 24566-2025</t>
        </is>
      </c>
      <c r="B255" s="1" t="n">
        <v>45798.46452546296</v>
      </c>
      <c r="C255" s="1" t="n">
        <v>46002</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17246-2024</t>
        </is>
      </c>
      <c r="B256" s="1" t="n">
        <v>45414</v>
      </c>
      <c r="C256" s="1" t="n">
        <v>46002</v>
      </c>
      <c r="D256" t="inlineStr">
        <is>
          <t>SÖDERMANLANDS LÄN</t>
        </is>
      </c>
      <c r="E256" t="inlineStr">
        <is>
          <t>KATRINEHOLM</t>
        </is>
      </c>
      <c r="F256" t="inlineStr">
        <is>
          <t>Allmännings- och besparingsskogar</t>
        </is>
      </c>
      <c r="G256" t="n">
        <v>13.7</v>
      </c>
      <c r="H256" t="n">
        <v>0</v>
      </c>
      <c r="I256" t="n">
        <v>0</v>
      </c>
      <c r="J256" t="n">
        <v>0</v>
      </c>
      <c r="K256" t="n">
        <v>0</v>
      </c>
      <c r="L256" t="n">
        <v>0</v>
      </c>
      <c r="M256" t="n">
        <v>0</v>
      </c>
      <c r="N256" t="n">
        <v>0</v>
      </c>
      <c r="O256" t="n">
        <v>0</v>
      </c>
      <c r="P256" t="n">
        <v>0</v>
      </c>
      <c r="Q256" t="n">
        <v>0</v>
      </c>
      <c r="R256" s="2" t="inlineStr"/>
    </row>
    <row r="257" ht="15" customHeight="1">
      <c r="A257" t="inlineStr">
        <is>
          <t>A 56086-2023</t>
        </is>
      </c>
      <c r="B257" s="1" t="n">
        <v>45240</v>
      </c>
      <c r="C257" s="1" t="n">
        <v>46002</v>
      </c>
      <c r="D257" t="inlineStr">
        <is>
          <t>SÖDERMANLANDS LÄN</t>
        </is>
      </c>
      <c r="E257" t="inlineStr">
        <is>
          <t>KATRINEHOLM</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24719-2025</t>
        </is>
      </c>
      <c r="B258" s="1" t="n">
        <v>45799</v>
      </c>
      <c r="C258" s="1" t="n">
        <v>46002</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24717-2025</t>
        </is>
      </c>
      <c r="B259" s="1" t="n">
        <v>45799.27168981481</v>
      </c>
      <c r="C259" s="1" t="n">
        <v>46002</v>
      </c>
      <c r="D259" t="inlineStr">
        <is>
          <t>SÖDERMANLANDS LÄN</t>
        </is>
      </c>
      <c r="E259" t="inlineStr">
        <is>
          <t>KATRINEHOLM</t>
        </is>
      </c>
      <c r="G259" t="n">
        <v>24.5</v>
      </c>
      <c r="H259" t="n">
        <v>0</v>
      </c>
      <c r="I259" t="n">
        <v>0</v>
      </c>
      <c r="J259" t="n">
        <v>0</v>
      </c>
      <c r="K259" t="n">
        <v>0</v>
      </c>
      <c r="L259" t="n">
        <v>0</v>
      </c>
      <c r="M259" t="n">
        <v>0</v>
      </c>
      <c r="N259" t="n">
        <v>0</v>
      </c>
      <c r="O259" t="n">
        <v>0</v>
      </c>
      <c r="P259" t="n">
        <v>0</v>
      </c>
      <c r="Q259" t="n">
        <v>0</v>
      </c>
      <c r="R259" s="2" t="inlineStr"/>
    </row>
    <row r="260" ht="15" customHeight="1">
      <c r="A260" t="inlineStr">
        <is>
          <t>A 12930-2023</t>
        </is>
      </c>
      <c r="B260" s="1" t="n">
        <v>45001</v>
      </c>
      <c r="C260" s="1" t="n">
        <v>46002</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38308-2021</t>
        </is>
      </c>
      <c r="B261" s="1" t="n">
        <v>44406</v>
      </c>
      <c r="C261" s="1" t="n">
        <v>46002</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23031-2024</t>
        </is>
      </c>
      <c r="B262" s="1" t="n">
        <v>45450.38120370371</v>
      </c>
      <c r="C262" s="1" t="n">
        <v>46002</v>
      </c>
      <c r="D262" t="inlineStr">
        <is>
          <t>SÖDERMANLANDS LÄN</t>
        </is>
      </c>
      <c r="E262" t="inlineStr">
        <is>
          <t>KATRINEHOLM</t>
        </is>
      </c>
      <c r="G262" t="n">
        <v>0.6</v>
      </c>
      <c r="H262" t="n">
        <v>0</v>
      </c>
      <c r="I262" t="n">
        <v>0</v>
      </c>
      <c r="J262" t="n">
        <v>0</v>
      </c>
      <c r="K262" t="n">
        <v>0</v>
      </c>
      <c r="L262" t="n">
        <v>0</v>
      </c>
      <c r="M262" t="n">
        <v>0</v>
      </c>
      <c r="N262" t="n">
        <v>0</v>
      </c>
      <c r="O262" t="n">
        <v>0</v>
      </c>
      <c r="P262" t="n">
        <v>0</v>
      </c>
      <c r="Q262" t="n">
        <v>0</v>
      </c>
      <c r="R262" s="2" t="inlineStr"/>
    </row>
    <row r="263" ht="15" customHeight="1">
      <c r="A263" t="inlineStr">
        <is>
          <t>A 15284-2023</t>
        </is>
      </c>
      <c r="B263" s="1" t="n">
        <v>45019</v>
      </c>
      <c r="C263" s="1" t="n">
        <v>46002</v>
      </c>
      <c r="D263" t="inlineStr">
        <is>
          <t>SÖDERMANLANDS LÄN</t>
        </is>
      </c>
      <c r="E263" t="inlineStr">
        <is>
          <t>KATRINEHOLM</t>
        </is>
      </c>
      <c r="F263" t="inlineStr">
        <is>
          <t>Allmännings- och besparingsskogar</t>
        </is>
      </c>
      <c r="G263" t="n">
        <v>17.4</v>
      </c>
      <c r="H263" t="n">
        <v>0</v>
      </c>
      <c r="I263" t="n">
        <v>0</v>
      </c>
      <c r="J263" t="n">
        <v>0</v>
      </c>
      <c r="K263" t="n">
        <v>0</v>
      </c>
      <c r="L263" t="n">
        <v>0</v>
      </c>
      <c r="M263" t="n">
        <v>0</v>
      </c>
      <c r="N263" t="n">
        <v>0</v>
      </c>
      <c r="O263" t="n">
        <v>0</v>
      </c>
      <c r="P263" t="n">
        <v>0</v>
      </c>
      <c r="Q263" t="n">
        <v>0</v>
      </c>
      <c r="R263" s="2" t="inlineStr"/>
    </row>
    <row r="264" ht="15" customHeight="1">
      <c r="A264" t="inlineStr">
        <is>
          <t>A 25786-2025</t>
        </is>
      </c>
      <c r="B264" s="1" t="n">
        <v>45804.37456018518</v>
      </c>
      <c r="C264" s="1" t="n">
        <v>46002</v>
      </c>
      <c r="D264" t="inlineStr">
        <is>
          <t>SÖDERMANLANDS LÄN</t>
        </is>
      </c>
      <c r="E264" t="inlineStr">
        <is>
          <t>KATRINEHOLM</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55856-2022</t>
        </is>
      </c>
      <c r="B265" s="1" t="n">
        <v>44888</v>
      </c>
      <c r="C265" s="1" t="n">
        <v>46002</v>
      </c>
      <c r="D265" t="inlineStr">
        <is>
          <t>SÖDERMANLANDS LÄN</t>
        </is>
      </c>
      <c r="E265" t="inlineStr">
        <is>
          <t>KATRINEHOLM</t>
        </is>
      </c>
      <c r="G265" t="n">
        <v>5.6</v>
      </c>
      <c r="H265" t="n">
        <v>0</v>
      </c>
      <c r="I265" t="n">
        <v>0</v>
      </c>
      <c r="J265" t="n">
        <v>0</v>
      </c>
      <c r="K265" t="n">
        <v>0</v>
      </c>
      <c r="L265" t="n">
        <v>0</v>
      </c>
      <c r="M265" t="n">
        <v>0</v>
      </c>
      <c r="N265" t="n">
        <v>0</v>
      </c>
      <c r="O265" t="n">
        <v>0</v>
      </c>
      <c r="P265" t="n">
        <v>0</v>
      </c>
      <c r="Q265" t="n">
        <v>0</v>
      </c>
      <c r="R265" s="2" t="inlineStr"/>
    </row>
    <row r="266" ht="15" customHeight="1">
      <c r="A266" t="inlineStr">
        <is>
          <t>A 37542-2022</t>
        </is>
      </c>
      <c r="B266" s="1" t="n">
        <v>44809</v>
      </c>
      <c r="C266" s="1" t="n">
        <v>46002</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34739-2023</t>
        </is>
      </c>
      <c r="B267" s="1" t="n">
        <v>45141</v>
      </c>
      <c r="C267" s="1" t="n">
        <v>46002</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39668-2025</t>
        </is>
      </c>
      <c r="B268" s="1" t="n">
        <v>45890</v>
      </c>
      <c r="C268" s="1" t="n">
        <v>46002</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26154-2025</t>
        </is>
      </c>
      <c r="B269" s="1" t="n">
        <v>45805.43341435185</v>
      </c>
      <c r="C269" s="1" t="n">
        <v>46002</v>
      </c>
      <c r="D269" t="inlineStr">
        <is>
          <t>SÖDERMANLANDS LÄN</t>
        </is>
      </c>
      <c r="E269" t="inlineStr">
        <is>
          <t>KATRINEHOLM</t>
        </is>
      </c>
      <c r="G269" t="n">
        <v>4.5</v>
      </c>
      <c r="H269" t="n">
        <v>0</v>
      </c>
      <c r="I269" t="n">
        <v>0</v>
      </c>
      <c r="J269" t="n">
        <v>0</v>
      </c>
      <c r="K269" t="n">
        <v>0</v>
      </c>
      <c r="L269" t="n">
        <v>0</v>
      </c>
      <c r="M269" t="n">
        <v>0</v>
      </c>
      <c r="N269" t="n">
        <v>0</v>
      </c>
      <c r="O269" t="n">
        <v>0</v>
      </c>
      <c r="P269" t="n">
        <v>0</v>
      </c>
      <c r="Q269" t="n">
        <v>0</v>
      </c>
      <c r="R269" s="2" t="inlineStr"/>
    </row>
    <row r="270" ht="15" customHeight="1">
      <c r="A270" t="inlineStr">
        <is>
          <t>A 36366-2023</t>
        </is>
      </c>
      <c r="B270" s="1" t="n">
        <v>45152</v>
      </c>
      <c r="C270" s="1" t="n">
        <v>46002</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46002</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39737-2025</t>
        </is>
      </c>
      <c r="B272" s="1" t="n">
        <v>45891</v>
      </c>
      <c r="C272" s="1" t="n">
        <v>46002</v>
      </c>
      <c r="D272" t="inlineStr">
        <is>
          <t>SÖDERMANLANDS LÄN</t>
        </is>
      </c>
      <c r="E272" t="inlineStr">
        <is>
          <t>KATRINEHOLM</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39847-2025</t>
        </is>
      </c>
      <c r="B273" s="1" t="n">
        <v>45891.58381944444</v>
      </c>
      <c r="C273" s="1" t="n">
        <v>46002</v>
      </c>
      <c r="D273" t="inlineStr">
        <is>
          <t>SÖDERMANLANDS LÄN</t>
        </is>
      </c>
      <c r="E273" t="inlineStr">
        <is>
          <t>KATRINEHOLM</t>
        </is>
      </c>
      <c r="F273" t="inlineStr">
        <is>
          <t>Holmen skog AB</t>
        </is>
      </c>
      <c r="G273" t="n">
        <v>2.5</v>
      </c>
      <c r="H273" t="n">
        <v>0</v>
      </c>
      <c r="I273" t="n">
        <v>0</v>
      </c>
      <c r="J273" t="n">
        <v>0</v>
      </c>
      <c r="K273" t="n">
        <v>0</v>
      </c>
      <c r="L273" t="n">
        <v>0</v>
      </c>
      <c r="M273" t="n">
        <v>0</v>
      </c>
      <c r="N273" t="n">
        <v>0</v>
      </c>
      <c r="O273" t="n">
        <v>0</v>
      </c>
      <c r="P273" t="n">
        <v>0</v>
      </c>
      <c r="Q273" t="n">
        <v>0</v>
      </c>
      <c r="R273" s="2" t="inlineStr"/>
    </row>
    <row r="274" ht="15" customHeight="1">
      <c r="A274" t="inlineStr">
        <is>
          <t>A 39663-2025</t>
        </is>
      </c>
      <c r="B274" s="1" t="n">
        <v>45890</v>
      </c>
      <c r="C274" s="1" t="n">
        <v>46002</v>
      </c>
      <c r="D274" t="inlineStr">
        <is>
          <t>SÖDERMANLANDS LÄN</t>
        </is>
      </c>
      <c r="E274" t="inlineStr">
        <is>
          <t>KATRINEHOLM</t>
        </is>
      </c>
      <c r="G274" t="n">
        <v>0.5</v>
      </c>
      <c r="H274" t="n">
        <v>0</v>
      </c>
      <c r="I274" t="n">
        <v>0</v>
      </c>
      <c r="J274" t="n">
        <v>0</v>
      </c>
      <c r="K274" t="n">
        <v>0</v>
      </c>
      <c r="L274" t="n">
        <v>0</v>
      </c>
      <c r="M274" t="n">
        <v>0</v>
      </c>
      <c r="N274" t="n">
        <v>0</v>
      </c>
      <c r="O274" t="n">
        <v>0</v>
      </c>
      <c r="P274" t="n">
        <v>0</v>
      </c>
      <c r="Q274" t="n">
        <v>0</v>
      </c>
      <c r="R274" s="2" t="inlineStr"/>
    </row>
    <row r="275" ht="15" customHeight="1">
      <c r="A275" t="inlineStr">
        <is>
          <t>A 39645-2025</t>
        </is>
      </c>
      <c r="B275" s="1" t="n">
        <v>45890</v>
      </c>
      <c r="C275" s="1" t="n">
        <v>46002</v>
      </c>
      <c r="D275" t="inlineStr">
        <is>
          <t>SÖDERMANLANDS LÄN</t>
        </is>
      </c>
      <c r="E275" t="inlineStr">
        <is>
          <t>KATRINEHOLM</t>
        </is>
      </c>
      <c r="G275" t="n">
        <v>0.2</v>
      </c>
      <c r="H275" t="n">
        <v>0</v>
      </c>
      <c r="I275" t="n">
        <v>0</v>
      </c>
      <c r="J275" t="n">
        <v>0</v>
      </c>
      <c r="K275" t="n">
        <v>0</v>
      </c>
      <c r="L275" t="n">
        <v>0</v>
      </c>
      <c r="M275" t="n">
        <v>0</v>
      </c>
      <c r="N275" t="n">
        <v>0</v>
      </c>
      <c r="O275" t="n">
        <v>0</v>
      </c>
      <c r="P275" t="n">
        <v>0</v>
      </c>
      <c r="Q275" t="n">
        <v>0</v>
      </c>
      <c r="R275" s="2" t="inlineStr"/>
    </row>
    <row r="276" ht="15" customHeight="1">
      <c r="A276" t="inlineStr">
        <is>
          <t>A 41205-2021</t>
        </is>
      </c>
      <c r="B276" s="1" t="n">
        <v>44424.38577546296</v>
      </c>
      <c r="C276" s="1" t="n">
        <v>46002</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55296-2022</t>
        </is>
      </c>
      <c r="B277" s="1" t="n">
        <v>44887</v>
      </c>
      <c r="C277" s="1" t="n">
        <v>46002</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9932-2023</t>
        </is>
      </c>
      <c r="B278" s="1" t="n">
        <v>44985.46709490741</v>
      </c>
      <c r="C278" s="1" t="n">
        <v>46002</v>
      </c>
      <c r="D278" t="inlineStr">
        <is>
          <t>SÖDERMANLANDS LÄN</t>
        </is>
      </c>
      <c r="E278" t="inlineStr">
        <is>
          <t>KATRINEHOLM</t>
        </is>
      </c>
      <c r="G278" t="n">
        <v>0.3</v>
      </c>
      <c r="H278" t="n">
        <v>0</v>
      </c>
      <c r="I278" t="n">
        <v>0</v>
      </c>
      <c r="J278" t="n">
        <v>0</v>
      </c>
      <c r="K278" t="n">
        <v>0</v>
      </c>
      <c r="L278" t="n">
        <v>0</v>
      </c>
      <c r="M278" t="n">
        <v>0</v>
      </c>
      <c r="N278" t="n">
        <v>0</v>
      </c>
      <c r="O278" t="n">
        <v>0</v>
      </c>
      <c r="P278" t="n">
        <v>0</v>
      </c>
      <c r="Q278" t="n">
        <v>0</v>
      </c>
      <c r="R278" s="2" t="inlineStr"/>
    </row>
    <row r="279" ht="15" customHeight="1">
      <c r="A279" t="inlineStr">
        <is>
          <t>A 42590-2022</t>
        </is>
      </c>
      <c r="B279" s="1" t="n">
        <v>44831</v>
      </c>
      <c r="C279" s="1" t="n">
        <v>46002</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17360-2022</t>
        </is>
      </c>
      <c r="B280" s="1" t="n">
        <v>44678</v>
      </c>
      <c r="C280" s="1" t="n">
        <v>46002</v>
      </c>
      <c r="D280" t="inlineStr">
        <is>
          <t>SÖDERMANLANDS LÄN</t>
        </is>
      </c>
      <c r="E280" t="inlineStr">
        <is>
          <t>KATRINEHOLM</t>
        </is>
      </c>
      <c r="G280" t="n">
        <v>4.5</v>
      </c>
      <c r="H280" t="n">
        <v>0</v>
      </c>
      <c r="I280" t="n">
        <v>0</v>
      </c>
      <c r="J280" t="n">
        <v>0</v>
      </c>
      <c r="K280" t="n">
        <v>0</v>
      </c>
      <c r="L280" t="n">
        <v>0</v>
      </c>
      <c r="M280" t="n">
        <v>0</v>
      </c>
      <c r="N280" t="n">
        <v>0</v>
      </c>
      <c r="O280" t="n">
        <v>0</v>
      </c>
      <c r="P280" t="n">
        <v>0</v>
      </c>
      <c r="Q280" t="n">
        <v>0</v>
      </c>
      <c r="R280" s="2" t="inlineStr"/>
    </row>
    <row r="281" ht="15" customHeight="1">
      <c r="A281" t="inlineStr">
        <is>
          <t>A 48520-2023</t>
        </is>
      </c>
      <c r="B281" s="1" t="n">
        <v>45208</v>
      </c>
      <c r="C281" s="1" t="n">
        <v>46002</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9693-2024</t>
        </is>
      </c>
      <c r="B282" s="1" t="n">
        <v>45362</v>
      </c>
      <c r="C282" s="1" t="n">
        <v>46002</v>
      </c>
      <c r="D282" t="inlineStr">
        <is>
          <t>SÖDERMANLANDS LÄN</t>
        </is>
      </c>
      <c r="E282" t="inlineStr">
        <is>
          <t>KATRINEHOLM</t>
        </is>
      </c>
      <c r="G282" t="n">
        <v>5.9</v>
      </c>
      <c r="H282" t="n">
        <v>0</v>
      </c>
      <c r="I282" t="n">
        <v>0</v>
      </c>
      <c r="J282" t="n">
        <v>0</v>
      </c>
      <c r="K282" t="n">
        <v>0</v>
      </c>
      <c r="L282" t="n">
        <v>0</v>
      </c>
      <c r="M282" t="n">
        <v>0</v>
      </c>
      <c r="N282" t="n">
        <v>0</v>
      </c>
      <c r="O282" t="n">
        <v>0</v>
      </c>
      <c r="P282" t="n">
        <v>0</v>
      </c>
      <c r="Q282" t="n">
        <v>0</v>
      </c>
      <c r="R282" s="2" t="inlineStr"/>
    </row>
    <row r="283" ht="15" customHeight="1">
      <c r="A283" t="inlineStr">
        <is>
          <t>A 32818-2023</t>
        </is>
      </c>
      <c r="B283" s="1" t="n">
        <v>45124.55633101852</v>
      </c>
      <c r="C283" s="1" t="n">
        <v>46002</v>
      </c>
      <c r="D283" t="inlineStr">
        <is>
          <t>SÖDERMANLANDS LÄN</t>
        </is>
      </c>
      <c r="E283" t="inlineStr">
        <is>
          <t>KATRINEHOLM</t>
        </is>
      </c>
      <c r="G283" t="n">
        <v>3.4</v>
      </c>
      <c r="H283" t="n">
        <v>0</v>
      </c>
      <c r="I283" t="n">
        <v>0</v>
      </c>
      <c r="J283" t="n">
        <v>0</v>
      </c>
      <c r="K283" t="n">
        <v>0</v>
      </c>
      <c r="L283" t="n">
        <v>0</v>
      </c>
      <c r="M283" t="n">
        <v>0</v>
      </c>
      <c r="N283" t="n">
        <v>0</v>
      </c>
      <c r="O283" t="n">
        <v>0</v>
      </c>
      <c r="P283" t="n">
        <v>0</v>
      </c>
      <c r="Q283" t="n">
        <v>0</v>
      </c>
      <c r="R283" s="2" t="inlineStr"/>
    </row>
    <row r="284" ht="15" customHeight="1">
      <c r="A284" t="inlineStr">
        <is>
          <t>A 27552-2025</t>
        </is>
      </c>
      <c r="B284" s="1" t="n">
        <v>45813</v>
      </c>
      <c r="C284" s="1" t="n">
        <v>46002</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27534-2025</t>
        </is>
      </c>
      <c r="B285" s="1" t="n">
        <v>45813</v>
      </c>
      <c r="C285" s="1" t="n">
        <v>46002</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35864-2023</t>
        </is>
      </c>
      <c r="B286" s="1" t="n">
        <v>45147</v>
      </c>
      <c r="C286" s="1" t="n">
        <v>46002</v>
      </c>
      <c r="D286" t="inlineStr">
        <is>
          <t>SÖDERMANLANDS LÄN</t>
        </is>
      </c>
      <c r="E286" t="inlineStr">
        <is>
          <t>KATRINEHOLM</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27636-2025</t>
        </is>
      </c>
      <c r="B287" s="1" t="n">
        <v>45813.57603009259</v>
      </c>
      <c r="C287" s="1" t="n">
        <v>46002</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41074-2025</t>
        </is>
      </c>
      <c r="B288" s="1" t="n">
        <v>45898</v>
      </c>
      <c r="C288" s="1" t="n">
        <v>46002</v>
      </c>
      <c r="D288" t="inlineStr">
        <is>
          <t>SÖDERMANLANDS LÄN</t>
        </is>
      </c>
      <c r="E288" t="inlineStr">
        <is>
          <t>KATRINEHOLM</t>
        </is>
      </c>
      <c r="F288" t="inlineStr">
        <is>
          <t>Allmännings- och besparingsskogar</t>
        </is>
      </c>
      <c r="G288" t="n">
        <v>4.8</v>
      </c>
      <c r="H288" t="n">
        <v>0</v>
      </c>
      <c r="I288" t="n">
        <v>0</v>
      </c>
      <c r="J288" t="n">
        <v>0</v>
      </c>
      <c r="K288" t="n">
        <v>0</v>
      </c>
      <c r="L288" t="n">
        <v>0</v>
      </c>
      <c r="M288" t="n">
        <v>0</v>
      </c>
      <c r="N288" t="n">
        <v>0</v>
      </c>
      <c r="O288" t="n">
        <v>0</v>
      </c>
      <c r="P288" t="n">
        <v>0</v>
      </c>
      <c r="Q288" t="n">
        <v>0</v>
      </c>
      <c r="R288" s="2" t="inlineStr"/>
    </row>
    <row r="289" ht="15" customHeight="1">
      <c r="A289" t="inlineStr">
        <is>
          <t>A 41633-2025</t>
        </is>
      </c>
      <c r="B289" s="1" t="n">
        <v>45901</v>
      </c>
      <c r="C289" s="1" t="n">
        <v>46002</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6810-2023</t>
        </is>
      </c>
      <c r="B290" s="1" t="n">
        <v>44964</v>
      </c>
      <c r="C290" s="1" t="n">
        <v>46002</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24600-2025</t>
        </is>
      </c>
      <c r="B291" s="1" t="n">
        <v>45798.56348379629</v>
      </c>
      <c r="C291" s="1" t="n">
        <v>46002</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11635-2023</t>
        </is>
      </c>
      <c r="B292" s="1" t="n">
        <v>44994</v>
      </c>
      <c r="C292" s="1" t="n">
        <v>46002</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34732-2022</t>
        </is>
      </c>
      <c r="B293" s="1" t="n">
        <v>44795</v>
      </c>
      <c r="C293" s="1" t="n">
        <v>46002</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41632-2025</t>
        </is>
      </c>
      <c r="B294" s="1" t="n">
        <v>45901</v>
      </c>
      <c r="C294" s="1" t="n">
        <v>46002</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41498-2025</t>
        </is>
      </c>
      <c r="B295" s="1" t="n">
        <v>45901.49755787037</v>
      </c>
      <c r="C295" s="1" t="n">
        <v>46002</v>
      </c>
      <c r="D295" t="inlineStr">
        <is>
          <t>SÖDERMANLANDS LÄN</t>
        </is>
      </c>
      <c r="E295" t="inlineStr">
        <is>
          <t>KATRINEHOLM</t>
        </is>
      </c>
      <c r="G295" t="n">
        <v>1.6</v>
      </c>
      <c r="H295" t="n">
        <v>0</v>
      </c>
      <c r="I295" t="n">
        <v>0</v>
      </c>
      <c r="J295" t="n">
        <v>0</v>
      </c>
      <c r="K295" t="n">
        <v>0</v>
      </c>
      <c r="L295" t="n">
        <v>0</v>
      </c>
      <c r="M295" t="n">
        <v>0</v>
      </c>
      <c r="N295" t="n">
        <v>0</v>
      </c>
      <c r="O295" t="n">
        <v>0</v>
      </c>
      <c r="P295" t="n">
        <v>0</v>
      </c>
      <c r="Q295" t="n">
        <v>0</v>
      </c>
      <c r="R295" s="2" t="inlineStr"/>
    </row>
    <row r="296" ht="15" customHeight="1">
      <c r="A296" t="inlineStr">
        <is>
          <t>A 3982-2024</t>
        </is>
      </c>
      <c r="B296" s="1" t="n">
        <v>45322</v>
      </c>
      <c r="C296" s="1" t="n">
        <v>46002</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13086-2023</t>
        </is>
      </c>
      <c r="B297" s="1" t="n">
        <v>45002.42188657408</v>
      </c>
      <c r="C297" s="1" t="n">
        <v>46002</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46002</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12633-2022</t>
        </is>
      </c>
      <c r="B299" s="1" t="n">
        <v>44638</v>
      </c>
      <c r="C299" s="1" t="n">
        <v>46002</v>
      </c>
      <c r="D299" t="inlineStr">
        <is>
          <t>SÖDERMANLANDS LÄN</t>
        </is>
      </c>
      <c r="E299" t="inlineStr">
        <is>
          <t>KATRINEHOLM</t>
        </is>
      </c>
      <c r="G299" t="n">
        <v>6.4</v>
      </c>
      <c r="H299" t="n">
        <v>0</v>
      </c>
      <c r="I299" t="n">
        <v>0</v>
      </c>
      <c r="J299" t="n">
        <v>0</v>
      </c>
      <c r="K299" t="n">
        <v>0</v>
      </c>
      <c r="L299" t="n">
        <v>0</v>
      </c>
      <c r="M299" t="n">
        <v>0</v>
      </c>
      <c r="N299" t="n">
        <v>0</v>
      </c>
      <c r="O299" t="n">
        <v>0</v>
      </c>
      <c r="P299" t="n">
        <v>0</v>
      </c>
      <c r="Q299" t="n">
        <v>0</v>
      </c>
      <c r="R299" s="2" t="inlineStr"/>
    </row>
    <row r="300" ht="15" customHeight="1">
      <c r="A300" t="inlineStr">
        <is>
          <t>A 41648-2025</t>
        </is>
      </c>
      <c r="B300" s="1" t="n">
        <v>45902.32601851852</v>
      </c>
      <c r="C300" s="1" t="n">
        <v>46002</v>
      </c>
      <c r="D300" t="inlineStr">
        <is>
          <t>SÖDERMANLANDS LÄN</t>
        </is>
      </c>
      <c r="E300" t="inlineStr">
        <is>
          <t>KATRINEHOLM</t>
        </is>
      </c>
      <c r="F300" t="inlineStr">
        <is>
          <t>Övriga Aktiebolag</t>
        </is>
      </c>
      <c r="G300" t="n">
        <v>0.7</v>
      </c>
      <c r="H300" t="n">
        <v>0</v>
      </c>
      <c r="I300" t="n">
        <v>0</v>
      </c>
      <c r="J300" t="n">
        <v>0</v>
      </c>
      <c r="K300" t="n">
        <v>0</v>
      </c>
      <c r="L300" t="n">
        <v>0</v>
      </c>
      <c r="M300" t="n">
        <v>0</v>
      </c>
      <c r="N300" t="n">
        <v>0</v>
      </c>
      <c r="O300" t="n">
        <v>0</v>
      </c>
      <c r="P300" t="n">
        <v>0</v>
      </c>
      <c r="Q300" t="n">
        <v>0</v>
      </c>
      <c r="R300" s="2" t="inlineStr"/>
    </row>
    <row r="301" ht="15" customHeight="1">
      <c r="A301" t="inlineStr">
        <is>
          <t>A 49341-2024</t>
        </is>
      </c>
      <c r="B301" s="1" t="n">
        <v>45595</v>
      </c>
      <c r="C301" s="1" t="n">
        <v>46002</v>
      </c>
      <c r="D301" t="inlineStr">
        <is>
          <t>SÖDERMANLANDS LÄN</t>
        </is>
      </c>
      <c r="E301" t="inlineStr">
        <is>
          <t>KATRINEHOLM</t>
        </is>
      </c>
      <c r="G301" t="n">
        <v>10</v>
      </c>
      <c r="H301" t="n">
        <v>0</v>
      </c>
      <c r="I301" t="n">
        <v>0</v>
      </c>
      <c r="J301" t="n">
        <v>0</v>
      </c>
      <c r="K301" t="n">
        <v>0</v>
      </c>
      <c r="L301" t="n">
        <v>0</v>
      </c>
      <c r="M301" t="n">
        <v>0</v>
      </c>
      <c r="N301" t="n">
        <v>0</v>
      </c>
      <c r="O301" t="n">
        <v>0</v>
      </c>
      <c r="P301" t="n">
        <v>0</v>
      </c>
      <c r="Q301" t="n">
        <v>0</v>
      </c>
      <c r="R301" s="2" t="inlineStr"/>
    </row>
    <row r="302" ht="15" customHeight="1">
      <c r="A302" t="inlineStr">
        <is>
          <t>A 41793-2025</t>
        </is>
      </c>
      <c r="B302" s="1" t="n">
        <v>45902</v>
      </c>
      <c r="C302" s="1" t="n">
        <v>46002</v>
      </c>
      <c r="D302" t="inlineStr">
        <is>
          <t>SÖDERMANLANDS LÄN</t>
        </is>
      </c>
      <c r="E302" t="inlineStr">
        <is>
          <t>KATRINEHOLM</t>
        </is>
      </c>
      <c r="G302" t="n">
        <v>1.1</v>
      </c>
      <c r="H302" t="n">
        <v>0</v>
      </c>
      <c r="I302" t="n">
        <v>0</v>
      </c>
      <c r="J302" t="n">
        <v>0</v>
      </c>
      <c r="K302" t="n">
        <v>0</v>
      </c>
      <c r="L302" t="n">
        <v>0</v>
      </c>
      <c r="M302" t="n">
        <v>0</v>
      </c>
      <c r="N302" t="n">
        <v>0</v>
      </c>
      <c r="O302" t="n">
        <v>0</v>
      </c>
      <c r="P302" t="n">
        <v>0</v>
      </c>
      <c r="Q302" t="n">
        <v>0</v>
      </c>
      <c r="R302" s="2" t="inlineStr"/>
    </row>
    <row r="303" ht="15" customHeight="1">
      <c r="A303" t="inlineStr">
        <is>
          <t>A 17820-2025</t>
        </is>
      </c>
      <c r="B303" s="1" t="n">
        <v>45758</v>
      </c>
      <c r="C303" s="1" t="n">
        <v>46002</v>
      </c>
      <c r="D303" t="inlineStr">
        <is>
          <t>SÖDERMANLANDS LÄN</t>
        </is>
      </c>
      <c r="E303" t="inlineStr">
        <is>
          <t>KATRINEHOLM</t>
        </is>
      </c>
      <c r="G303" t="n">
        <v>5.9</v>
      </c>
      <c r="H303" t="n">
        <v>0</v>
      </c>
      <c r="I303" t="n">
        <v>0</v>
      </c>
      <c r="J303" t="n">
        <v>0</v>
      </c>
      <c r="K303" t="n">
        <v>0</v>
      </c>
      <c r="L303" t="n">
        <v>0</v>
      </c>
      <c r="M303" t="n">
        <v>0</v>
      </c>
      <c r="N303" t="n">
        <v>0</v>
      </c>
      <c r="O303" t="n">
        <v>0</v>
      </c>
      <c r="P303" t="n">
        <v>0</v>
      </c>
      <c r="Q303" t="n">
        <v>0</v>
      </c>
      <c r="R303" s="2" t="inlineStr"/>
    </row>
    <row r="304" ht="15" customHeight="1">
      <c r="A304" t="inlineStr">
        <is>
          <t>A 57154-2023</t>
        </is>
      </c>
      <c r="B304" s="1" t="n">
        <v>45245</v>
      </c>
      <c r="C304" s="1" t="n">
        <v>46002</v>
      </c>
      <c r="D304" t="inlineStr">
        <is>
          <t>SÖDERMANLANDS LÄN</t>
        </is>
      </c>
      <c r="E304" t="inlineStr">
        <is>
          <t>KATRINEHOLM</t>
        </is>
      </c>
      <c r="F304" t="inlineStr">
        <is>
          <t>Allmännings- och besparingsskogar</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30242-2023</t>
        </is>
      </c>
      <c r="B305" s="1" t="n">
        <v>45099</v>
      </c>
      <c r="C305" s="1" t="n">
        <v>46002</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42474-2025</t>
        </is>
      </c>
      <c r="B306" s="1" t="n">
        <v>45905.46659722222</v>
      </c>
      <c r="C306" s="1" t="n">
        <v>46002</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29189-2025</t>
        </is>
      </c>
      <c r="B307" s="1" t="n">
        <v>45822</v>
      </c>
      <c r="C307" s="1" t="n">
        <v>46002</v>
      </c>
      <c r="D307" t="inlineStr">
        <is>
          <t>SÖDERMANLANDS LÄN</t>
        </is>
      </c>
      <c r="E307" t="inlineStr">
        <is>
          <t>KATRINEHOLM</t>
        </is>
      </c>
      <c r="G307" t="n">
        <v>3.5</v>
      </c>
      <c r="H307" t="n">
        <v>0</v>
      </c>
      <c r="I307" t="n">
        <v>0</v>
      </c>
      <c r="J307" t="n">
        <v>0</v>
      </c>
      <c r="K307" t="n">
        <v>0</v>
      </c>
      <c r="L307" t="n">
        <v>0</v>
      </c>
      <c r="M307" t="n">
        <v>0</v>
      </c>
      <c r="N307" t="n">
        <v>0</v>
      </c>
      <c r="O307" t="n">
        <v>0</v>
      </c>
      <c r="P307" t="n">
        <v>0</v>
      </c>
      <c r="Q307" t="n">
        <v>0</v>
      </c>
      <c r="R307" s="2" t="inlineStr"/>
    </row>
    <row r="308" ht="15" customHeight="1">
      <c r="A308" t="inlineStr">
        <is>
          <t>A 57265-2022</t>
        </is>
      </c>
      <c r="B308" s="1" t="n">
        <v>44895</v>
      </c>
      <c r="C308" s="1" t="n">
        <v>46002</v>
      </c>
      <c r="D308" t="inlineStr">
        <is>
          <t>SÖDERMANLANDS LÄN</t>
        </is>
      </c>
      <c r="E308" t="inlineStr">
        <is>
          <t>KATRINEHOLM</t>
        </is>
      </c>
      <c r="G308" t="n">
        <v>2</v>
      </c>
      <c r="H308" t="n">
        <v>0</v>
      </c>
      <c r="I308" t="n">
        <v>0</v>
      </c>
      <c r="J308" t="n">
        <v>0</v>
      </c>
      <c r="K308" t="n">
        <v>0</v>
      </c>
      <c r="L308" t="n">
        <v>0</v>
      </c>
      <c r="M308" t="n">
        <v>0</v>
      </c>
      <c r="N308" t="n">
        <v>0</v>
      </c>
      <c r="O308" t="n">
        <v>0</v>
      </c>
      <c r="P308" t="n">
        <v>0</v>
      </c>
      <c r="Q308" t="n">
        <v>0</v>
      </c>
      <c r="R308" s="2" t="inlineStr"/>
    </row>
    <row r="309" ht="15" customHeight="1">
      <c r="A309" t="inlineStr">
        <is>
          <t>A 42799-2025</t>
        </is>
      </c>
      <c r="B309" s="1" t="n">
        <v>45907</v>
      </c>
      <c r="C309" s="1" t="n">
        <v>46002</v>
      </c>
      <c r="D309" t="inlineStr">
        <is>
          <t>SÖDERMANLANDS LÄN</t>
        </is>
      </c>
      <c r="E309" t="inlineStr">
        <is>
          <t>KATRINEHOLM</t>
        </is>
      </c>
      <c r="G309" t="n">
        <v>3.9</v>
      </c>
      <c r="H309" t="n">
        <v>0</v>
      </c>
      <c r="I309" t="n">
        <v>0</v>
      </c>
      <c r="J309" t="n">
        <v>0</v>
      </c>
      <c r="K309" t="n">
        <v>0</v>
      </c>
      <c r="L309" t="n">
        <v>0</v>
      </c>
      <c r="M309" t="n">
        <v>0</v>
      </c>
      <c r="N309" t="n">
        <v>0</v>
      </c>
      <c r="O309" t="n">
        <v>0</v>
      </c>
      <c r="P309" t="n">
        <v>0</v>
      </c>
      <c r="Q309" t="n">
        <v>0</v>
      </c>
      <c r="R309" s="2" t="inlineStr"/>
    </row>
    <row r="310" ht="15" customHeight="1">
      <c r="A310" t="inlineStr">
        <is>
          <t>A 30287-2025</t>
        </is>
      </c>
      <c r="B310" s="1" t="n">
        <v>45827</v>
      </c>
      <c r="C310" s="1" t="n">
        <v>46002</v>
      </c>
      <c r="D310" t="inlineStr">
        <is>
          <t>SÖDERMANLANDS LÄN</t>
        </is>
      </c>
      <c r="E310" t="inlineStr">
        <is>
          <t>KATRINEHOLM</t>
        </is>
      </c>
      <c r="G310" t="n">
        <v>10.2</v>
      </c>
      <c r="H310" t="n">
        <v>0</v>
      </c>
      <c r="I310" t="n">
        <v>0</v>
      </c>
      <c r="J310" t="n">
        <v>0</v>
      </c>
      <c r="K310" t="n">
        <v>0</v>
      </c>
      <c r="L310" t="n">
        <v>0</v>
      </c>
      <c r="M310" t="n">
        <v>0</v>
      </c>
      <c r="N310" t="n">
        <v>0</v>
      </c>
      <c r="O310" t="n">
        <v>0</v>
      </c>
      <c r="P310" t="n">
        <v>0</v>
      </c>
      <c r="Q310" t="n">
        <v>0</v>
      </c>
      <c r="R310" s="2" t="inlineStr"/>
    </row>
    <row r="311" ht="15" customHeight="1">
      <c r="A311" t="inlineStr">
        <is>
          <t>A 6298-2024</t>
        </is>
      </c>
      <c r="B311" s="1" t="n">
        <v>45338.34245370371</v>
      </c>
      <c r="C311" s="1" t="n">
        <v>46002</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30352-2025</t>
        </is>
      </c>
      <c r="B312" s="1" t="n">
        <v>45827</v>
      </c>
      <c r="C312" s="1" t="n">
        <v>46002</v>
      </c>
      <c r="D312" t="inlineStr">
        <is>
          <t>SÖDERMANLANDS LÄN</t>
        </is>
      </c>
      <c r="E312" t="inlineStr">
        <is>
          <t>KATRINEHOLM</t>
        </is>
      </c>
      <c r="G312" t="n">
        <v>1.6</v>
      </c>
      <c r="H312" t="n">
        <v>0</v>
      </c>
      <c r="I312" t="n">
        <v>0</v>
      </c>
      <c r="J312" t="n">
        <v>0</v>
      </c>
      <c r="K312" t="n">
        <v>0</v>
      </c>
      <c r="L312" t="n">
        <v>0</v>
      </c>
      <c r="M312" t="n">
        <v>0</v>
      </c>
      <c r="N312" t="n">
        <v>0</v>
      </c>
      <c r="O312" t="n">
        <v>0</v>
      </c>
      <c r="P312" t="n">
        <v>0</v>
      </c>
      <c r="Q312" t="n">
        <v>0</v>
      </c>
      <c r="R312" s="2" t="inlineStr"/>
    </row>
    <row r="313" ht="15" customHeight="1">
      <c r="A313" t="inlineStr">
        <is>
          <t>A 30050-2025</t>
        </is>
      </c>
      <c r="B313" s="1" t="n">
        <v>45826.59151620371</v>
      </c>
      <c r="C313" s="1" t="n">
        <v>46002</v>
      </c>
      <c r="D313" t="inlineStr">
        <is>
          <t>SÖDERMANLANDS LÄN</t>
        </is>
      </c>
      <c r="E313" t="inlineStr">
        <is>
          <t>KATRINEHOLM</t>
        </is>
      </c>
      <c r="G313" t="n">
        <v>7.9</v>
      </c>
      <c r="H313" t="n">
        <v>0</v>
      </c>
      <c r="I313" t="n">
        <v>0</v>
      </c>
      <c r="J313" t="n">
        <v>0</v>
      </c>
      <c r="K313" t="n">
        <v>0</v>
      </c>
      <c r="L313" t="n">
        <v>0</v>
      </c>
      <c r="M313" t="n">
        <v>0</v>
      </c>
      <c r="N313" t="n">
        <v>0</v>
      </c>
      <c r="O313" t="n">
        <v>0</v>
      </c>
      <c r="P313" t="n">
        <v>0</v>
      </c>
      <c r="Q313" t="n">
        <v>0</v>
      </c>
      <c r="R313" s="2" t="inlineStr"/>
    </row>
    <row r="314" ht="15" customHeight="1">
      <c r="A314" t="inlineStr">
        <is>
          <t>A 30350-2025</t>
        </is>
      </c>
      <c r="B314" s="1" t="n">
        <v>45827.53319444445</v>
      </c>
      <c r="C314" s="1" t="n">
        <v>46002</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30386-2025</t>
        </is>
      </c>
      <c r="B315" s="1" t="n">
        <v>45827</v>
      </c>
      <c r="C315" s="1" t="n">
        <v>46002</v>
      </c>
      <c r="D315" t="inlineStr">
        <is>
          <t>SÖDERMANLANDS LÄN</t>
        </is>
      </c>
      <c r="E315" t="inlineStr">
        <is>
          <t>KATRINEHOLM</t>
        </is>
      </c>
      <c r="G315" t="n">
        <v>5.6</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46002</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42686-2025</t>
        </is>
      </c>
      <c r="B317" s="1" t="n">
        <v>45908.35550925926</v>
      </c>
      <c r="C317" s="1" t="n">
        <v>46002</v>
      </c>
      <c r="D317" t="inlineStr">
        <is>
          <t>SÖDERMANLANDS LÄN</t>
        </is>
      </c>
      <c r="E317" t="inlineStr">
        <is>
          <t>KATRINEHOLM</t>
        </is>
      </c>
      <c r="G317" t="n">
        <v>0.9</v>
      </c>
      <c r="H317" t="n">
        <v>0</v>
      </c>
      <c r="I317" t="n">
        <v>0</v>
      </c>
      <c r="J317" t="n">
        <v>0</v>
      </c>
      <c r="K317" t="n">
        <v>0</v>
      </c>
      <c r="L317" t="n">
        <v>0</v>
      </c>
      <c r="M317" t="n">
        <v>0</v>
      </c>
      <c r="N317" t="n">
        <v>0</v>
      </c>
      <c r="O317" t="n">
        <v>0</v>
      </c>
      <c r="P317" t="n">
        <v>0</v>
      </c>
      <c r="Q317" t="n">
        <v>0</v>
      </c>
      <c r="R317" s="2" t="inlineStr"/>
    </row>
    <row r="318" ht="15" customHeight="1">
      <c r="A318" t="inlineStr">
        <is>
          <t>A 30402-2025</t>
        </is>
      </c>
      <c r="B318" s="1" t="n">
        <v>45827</v>
      </c>
      <c r="C318" s="1" t="n">
        <v>46002</v>
      </c>
      <c r="D318" t="inlineStr">
        <is>
          <t>SÖDERMANLANDS LÄN</t>
        </is>
      </c>
      <c r="E318" t="inlineStr">
        <is>
          <t>KATRINEHOLM</t>
        </is>
      </c>
      <c r="G318" t="n">
        <v>7.1</v>
      </c>
      <c r="H318" t="n">
        <v>0</v>
      </c>
      <c r="I318" t="n">
        <v>0</v>
      </c>
      <c r="J318" t="n">
        <v>0</v>
      </c>
      <c r="K318" t="n">
        <v>0</v>
      </c>
      <c r="L318" t="n">
        <v>0</v>
      </c>
      <c r="M318" t="n">
        <v>0</v>
      </c>
      <c r="N318" t="n">
        <v>0</v>
      </c>
      <c r="O318" t="n">
        <v>0</v>
      </c>
      <c r="P318" t="n">
        <v>0</v>
      </c>
      <c r="Q318" t="n">
        <v>0</v>
      </c>
      <c r="R318" s="2" t="inlineStr"/>
    </row>
    <row r="319" ht="15" customHeight="1">
      <c r="A319" t="inlineStr">
        <is>
          <t>A 48877-2022</t>
        </is>
      </c>
      <c r="B319" s="1" t="n">
        <v>44859</v>
      </c>
      <c r="C319" s="1" t="n">
        <v>46002</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34539-2022</t>
        </is>
      </c>
      <c r="B320" s="1" t="n">
        <v>44793.50563657407</v>
      </c>
      <c r="C320" s="1" t="n">
        <v>46002</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3115-2024</t>
        </is>
      </c>
      <c r="B321" s="1" t="n">
        <v>45316.49630787037</v>
      </c>
      <c r="C321" s="1" t="n">
        <v>46002</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23705-2023</t>
        </is>
      </c>
      <c r="B322" s="1" t="n">
        <v>45077</v>
      </c>
      <c r="C322" s="1" t="n">
        <v>46002</v>
      </c>
      <c r="D322" t="inlineStr">
        <is>
          <t>SÖDERMANLANDS LÄN</t>
        </is>
      </c>
      <c r="E322" t="inlineStr">
        <is>
          <t>KATRINEHOLM</t>
        </is>
      </c>
      <c r="F322" t="inlineStr">
        <is>
          <t>Kyrkan</t>
        </is>
      </c>
      <c r="G322" t="n">
        <v>11.9</v>
      </c>
      <c r="H322" t="n">
        <v>0</v>
      </c>
      <c r="I322" t="n">
        <v>0</v>
      </c>
      <c r="J322" t="n">
        <v>0</v>
      </c>
      <c r="K322" t="n">
        <v>0</v>
      </c>
      <c r="L322" t="n">
        <v>0</v>
      </c>
      <c r="M322" t="n">
        <v>0</v>
      </c>
      <c r="N322" t="n">
        <v>0</v>
      </c>
      <c r="O322" t="n">
        <v>0</v>
      </c>
      <c r="P322" t="n">
        <v>0</v>
      </c>
      <c r="Q322" t="n">
        <v>0</v>
      </c>
      <c r="R322" s="2" t="inlineStr"/>
    </row>
    <row r="323" ht="15" customHeight="1">
      <c r="A323" t="inlineStr">
        <is>
          <t>A 52769-2023</t>
        </is>
      </c>
      <c r="B323" s="1" t="n">
        <v>45226</v>
      </c>
      <c r="C323" s="1" t="n">
        <v>46002</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31392-2025</t>
        </is>
      </c>
      <c r="B324" s="1" t="n">
        <v>45833</v>
      </c>
      <c r="C324" s="1" t="n">
        <v>46002</v>
      </c>
      <c r="D324" t="inlineStr">
        <is>
          <t>SÖDERMANLANDS LÄN</t>
        </is>
      </c>
      <c r="E324" t="inlineStr">
        <is>
          <t>KATRINEHOLM</t>
        </is>
      </c>
      <c r="G324" t="n">
        <v>5</v>
      </c>
      <c r="H324" t="n">
        <v>0</v>
      </c>
      <c r="I324" t="n">
        <v>0</v>
      </c>
      <c r="J324" t="n">
        <v>0</v>
      </c>
      <c r="K324" t="n">
        <v>0</v>
      </c>
      <c r="L324" t="n">
        <v>0</v>
      </c>
      <c r="M324" t="n">
        <v>0</v>
      </c>
      <c r="N324" t="n">
        <v>0</v>
      </c>
      <c r="O324" t="n">
        <v>0</v>
      </c>
      <c r="P324" t="n">
        <v>0</v>
      </c>
      <c r="Q324" t="n">
        <v>0</v>
      </c>
      <c r="R324" s="2" t="inlineStr"/>
    </row>
    <row r="325" ht="15" customHeight="1">
      <c r="A325" t="inlineStr">
        <is>
          <t>A 7223-2022</t>
        </is>
      </c>
      <c r="B325" s="1" t="n">
        <v>44603</v>
      </c>
      <c r="C325" s="1" t="n">
        <v>46002</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43975-2025</t>
        </is>
      </c>
      <c r="B326" s="1" t="n">
        <v>45915.41148148148</v>
      </c>
      <c r="C326" s="1" t="n">
        <v>46002</v>
      </c>
      <c r="D326" t="inlineStr">
        <is>
          <t>SÖDERMANLANDS LÄN</t>
        </is>
      </c>
      <c r="E326" t="inlineStr">
        <is>
          <t>KATRINEHOLM</t>
        </is>
      </c>
      <c r="G326" t="n">
        <v>1.8</v>
      </c>
      <c r="H326" t="n">
        <v>0</v>
      </c>
      <c r="I326" t="n">
        <v>0</v>
      </c>
      <c r="J326" t="n">
        <v>0</v>
      </c>
      <c r="K326" t="n">
        <v>0</v>
      </c>
      <c r="L326" t="n">
        <v>0</v>
      </c>
      <c r="M326" t="n">
        <v>0</v>
      </c>
      <c r="N326" t="n">
        <v>0</v>
      </c>
      <c r="O326" t="n">
        <v>0</v>
      </c>
      <c r="P326" t="n">
        <v>0</v>
      </c>
      <c r="Q326" t="n">
        <v>0</v>
      </c>
      <c r="R326" s="2" t="inlineStr"/>
    </row>
    <row r="327" ht="15" customHeight="1">
      <c r="A327" t="inlineStr">
        <is>
          <t>A 31376-2025</t>
        </is>
      </c>
      <c r="B327" s="1" t="n">
        <v>45833</v>
      </c>
      <c r="C327" s="1" t="n">
        <v>46002</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51446-2023</t>
        </is>
      </c>
      <c r="B328" s="1" t="n">
        <v>45220.48068287037</v>
      </c>
      <c r="C328" s="1" t="n">
        <v>46002</v>
      </c>
      <c r="D328" t="inlineStr">
        <is>
          <t>SÖDERMANLANDS LÄN</t>
        </is>
      </c>
      <c r="E328" t="inlineStr">
        <is>
          <t>KATRINEHOLM</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31386-2025</t>
        </is>
      </c>
      <c r="B329" s="1" t="n">
        <v>45833.45259259259</v>
      </c>
      <c r="C329" s="1" t="n">
        <v>46002</v>
      </c>
      <c r="D329" t="inlineStr">
        <is>
          <t>SÖDERMANLANDS LÄN</t>
        </is>
      </c>
      <c r="E329" t="inlineStr">
        <is>
          <t>KATRINEHOLM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44071-2025</t>
        </is>
      </c>
      <c r="B330" s="1" t="n">
        <v>45915</v>
      </c>
      <c r="C330" s="1" t="n">
        <v>46002</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28931-2024</t>
        </is>
      </c>
      <c r="B331" s="1" t="n">
        <v>45479</v>
      </c>
      <c r="C331" s="1" t="n">
        <v>46002</v>
      </c>
      <c r="D331" t="inlineStr">
        <is>
          <t>SÖDERMANLANDS LÄN</t>
        </is>
      </c>
      <c r="E331" t="inlineStr">
        <is>
          <t>KATRINEHOLM</t>
        </is>
      </c>
      <c r="G331" t="n">
        <v>7.4</v>
      </c>
      <c r="H331" t="n">
        <v>0</v>
      </c>
      <c r="I331" t="n">
        <v>0</v>
      </c>
      <c r="J331" t="n">
        <v>0</v>
      </c>
      <c r="K331" t="n">
        <v>0</v>
      </c>
      <c r="L331" t="n">
        <v>0</v>
      </c>
      <c r="M331" t="n">
        <v>0</v>
      </c>
      <c r="N331" t="n">
        <v>0</v>
      </c>
      <c r="O331" t="n">
        <v>0</v>
      </c>
      <c r="P331" t="n">
        <v>0</v>
      </c>
      <c r="Q331" t="n">
        <v>0</v>
      </c>
      <c r="R331" s="2" t="inlineStr"/>
    </row>
    <row r="332" ht="15" customHeight="1">
      <c r="A332" t="inlineStr">
        <is>
          <t>A 27646-2023</t>
        </is>
      </c>
      <c r="B332" s="1" t="n">
        <v>45097</v>
      </c>
      <c r="C332" s="1" t="n">
        <v>46002</v>
      </c>
      <c r="D332" t="inlineStr">
        <is>
          <t>SÖDERMANLANDS LÄN</t>
        </is>
      </c>
      <c r="E332" t="inlineStr">
        <is>
          <t>KATRINEHOLM</t>
        </is>
      </c>
      <c r="G332" t="n">
        <v>2.4</v>
      </c>
      <c r="H332" t="n">
        <v>0</v>
      </c>
      <c r="I332" t="n">
        <v>0</v>
      </c>
      <c r="J332" t="n">
        <v>0</v>
      </c>
      <c r="K332" t="n">
        <v>0</v>
      </c>
      <c r="L332" t="n">
        <v>0</v>
      </c>
      <c r="M332" t="n">
        <v>0</v>
      </c>
      <c r="N332" t="n">
        <v>0</v>
      </c>
      <c r="O332" t="n">
        <v>0</v>
      </c>
      <c r="P332" t="n">
        <v>0</v>
      </c>
      <c r="Q332" t="n">
        <v>0</v>
      </c>
      <c r="R332" s="2" t="inlineStr"/>
    </row>
    <row r="333" ht="15" customHeight="1">
      <c r="A333" t="inlineStr">
        <is>
          <t>A 50626-2024</t>
        </is>
      </c>
      <c r="B333" s="1" t="n">
        <v>45601</v>
      </c>
      <c r="C333" s="1" t="n">
        <v>46002</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35183-2022</t>
        </is>
      </c>
      <c r="B334" s="1" t="n">
        <v>44797</v>
      </c>
      <c r="C334" s="1" t="n">
        <v>46002</v>
      </c>
      <c r="D334" t="inlineStr">
        <is>
          <t>SÖDERMANLANDS LÄN</t>
        </is>
      </c>
      <c r="E334" t="inlineStr">
        <is>
          <t>KATRINEHOLM</t>
        </is>
      </c>
      <c r="G334" t="n">
        <v>4.6</v>
      </c>
      <c r="H334" t="n">
        <v>0</v>
      </c>
      <c r="I334" t="n">
        <v>0</v>
      </c>
      <c r="J334" t="n">
        <v>0</v>
      </c>
      <c r="K334" t="n">
        <v>0</v>
      </c>
      <c r="L334" t="n">
        <v>0</v>
      </c>
      <c r="M334" t="n">
        <v>0</v>
      </c>
      <c r="N334" t="n">
        <v>0</v>
      </c>
      <c r="O334" t="n">
        <v>0</v>
      </c>
      <c r="P334" t="n">
        <v>0</v>
      </c>
      <c r="Q334" t="n">
        <v>0</v>
      </c>
      <c r="R334" s="2" t="inlineStr"/>
    </row>
    <row r="335" ht="15" customHeight="1">
      <c r="A335" t="inlineStr">
        <is>
          <t>A 53338-2025</t>
        </is>
      </c>
      <c r="B335" s="1" t="n">
        <v>45959.40447916667</v>
      </c>
      <c r="C335" s="1" t="n">
        <v>46002</v>
      </c>
      <c r="D335" t="inlineStr">
        <is>
          <t>SÖDERMANLANDS LÄN</t>
        </is>
      </c>
      <c r="E335" t="inlineStr">
        <is>
          <t>KATRINEHOLM</t>
        </is>
      </c>
      <c r="G335" t="n">
        <v>2.9</v>
      </c>
      <c r="H335" t="n">
        <v>0</v>
      </c>
      <c r="I335" t="n">
        <v>0</v>
      </c>
      <c r="J335" t="n">
        <v>0</v>
      </c>
      <c r="K335" t="n">
        <v>0</v>
      </c>
      <c r="L335" t="n">
        <v>0</v>
      </c>
      <c r="M335" t="n">
        <v>0</v>
      </c>
      <c r="N335" t="n">
        <v>0</v>
      </c>
      <c r="O335" t="n">
        <v>0</v>
      </c>
      <c r="P335" t="n">
        <v>0</v>
      </c>
      <c r="Q335" t="n">
        <v>0</v>
      </c>
      <c r="R335" s="2" t="inlineStr"/>
    </row>
    <row r="336" ht="15" customHeight="1">
      <c r="A336" t="inlineStr">
        <is>
          <t>A 12888-2025</t>
        </is>
      </c>
      <c r="B336" s="1" t="n">
        <v>45733</v>
      </c>
      <c r="C336" s="1" t="n">
        <v>46002</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7197-2023</t>
        </is>
      </c>
      <c r="B337" s="1" t="n">
        <v>44965</v>
      </c>
      <c r="C337" s="1" t="n">
        <v>46002</v>
      </c>
      <c r="D337" t="inlineStr">
        <is>
          <t>SÖDERMANLANDS LÄN</t>
        </is>
      </c>
      <c r="E337" t="inlineStr">
        <is>
          <t>KATRINEHOLM</t>
        </is>
      </c>
      <c r="G337" t="n">
        <v>5.3</v>
      </c>
      <c r="H337" t="n">
        <v>0</v>
      </c>
      <c r="I337" t="n">
        <v>0</v>
      </c>
      <c r="J337" t="n">
        <v>0</v>
      </c>
      <c r="K337" t="n">
        <v>0</v>
      </c>
      <c r="L337" t="n">
        <v>0</v>
      </c>
      <c r="M337" t="n">
        <v>0</v>
      </c>
      <c r="N337" t="n">
        <v>0</v>
      </c>
      <c r="O337" t="n">
        <v>0</v>
      </c>
      <c r="P337" t="n">
        <v>0</v>
      </c>
      <c r="Q337" t="n">
        <v>0</v>
      </c>
      <c r="R337" s="2" t="inlineStr"/>
    </row>
    <row r="338" ht="15" customHeight="1">
      <c r="A338" t="inlineStr">
        <is>
          <t>A 31990-2025</t>
        </is>
      </c>
      <c r="B338" s="1" t="n">
        <v>45835.36697916667</v>
      </c>
      <c r="C338" s="1" t="n">
        <v>46002</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28394-2023</t>
        </is>
      </c>
      <c r="B339" s="1" t="n">
        <v>45100</v>
      </c>
      <c r="C339" s="1" t="n">
        <v>46002</v>
      </c>
      <c r="D339" t="inlineStr">
        <is>
          <t>SÖDERMANLANDS LÄN</t>
        </is>
      </c>
      <c r="E339" t="inlineStr">
        <is>
          <t>KATRINEHOLM</t>
        </is>
      </c>
      <c r="G339" t="n">
        <v>4.2</v>
      </c>
      <c r="H339" t="n">
        <v>0</v>
      </c>
      <c r="I339" t="n">
        <v>0</v>
      </c>
      <c r="J339" t="n">
        <v>0</v>
      </c>
      <c r="K339" t="n">
        <v>0</v>
      </c>
      <c r="L339" t="n">
        <v>0</v>
      </c>
      <c r="M339" t="n">
        <v>0</v>
      </c>
      <c r="N339" t="n">
        <v>0</v>
      </c>
      <c r="O339" t="n">
        <v>0</v>
      </c>
      <c r="P339" t="n">
        <v>0</v>
      </c>
      <c r="Q339" t="n">
        <v>0</v>
      </c>
      <c r="R339" s="2" t="inlineStr"/>
    </row>
    <row r="340" ht="15" customHeight="1">
      <c r="A340" t="inlineStr">
        <is>
          <t>A 25362-2023</t>
        </is>
      </c>
      <c r="B340" s="1" t="n">
        <v>45088.83430555555</v>
      </c>
      <c r="C340" s="1" t="n">
        <v>46002</v>
      </c>
      <c r="D340" t="inlineStr">
        <is>
          <t>SÖDERMANLANDS LÄN</t>
        </is>
      </c>
      <c r="E340" t="inlineStr">
        <is>
          <t>KATRINEHOLM</t>
        </is>
      </c>
      <c r="G340" t="n">
        <v>1.5</v>
      </c>
      <c r="H340" t="n">
        <v>0</v>
      </c>
      <c r="I340" t="n">
        <v>0</v>
      </c>
      <c r="J340" t="n">
        <v>0</v>
      </c>
      <c r="K340" t="n">
        <v>0</v>
      </c>
      <c r="L340" t="n">
        <v>0</v>
      </c>
      <c r="M340" t="n">
        <v>0</v>
      </c>
      <c r="N340" t="n">
        <v>0</v>
      </c>
      <c r="O340" t="n">
        <v>0</v>
      </c>
      <c r="P340" t="n">
        <v>0</v>
      </c>
      <c r="Q340" t="n">
        <v>0</v>
      </c>
      <c r="R340" s="2" t="inlineStr"/>
    </row>
    <row r="341" ht="15" customHeight="1">
      <c r="A341" t="inlineStr">
        <is>
          <t>A 47456-2022</t>
        </is>
      </c>
      <c r="B341" s="1" t="n">
        <v>44852</v>
      </c>
      <c r="C341" s="1" t="n">
        <v>46002</v>
      </c>
      <c r="D341" t="inlineStr">
        <is>
          <t>SÖDERMANLANDS LÄN</t>
        </is>
      </c>
      <c r="E341" t="inlineStr">
        <is>
          <t>KATRINEHOLM</t>
        </is>
      </c>
      <c r="G341" t="n">
        <v>3.7</v>
      </c>
      <c r="H341" t="n">
        <v>0</v>
      </c>
      <c r="I341" t="n">
        <v>0</v>
      </c>
      <c r="J341" t="n">
        <v>0</v>
      </c>
      <c r="K341" t="n">
        <v>0</v>
      </c>
      <c r="L341" t="n">
        <v>0</v>
      </c>
      <c r="M341" t="n">
        <v>0</v>
      </c>
      <c r="N341" t="n">
        <v>0</v>
      </c>
      <c r="O341" t="n">
        <v>0</v>
      </c>
      <c r="P341" t="n">
        <v>0</v>
      </c>
      <c r="Q341" t="n">
        <v>0</v>
      </c>
      <c r="R341" s="2" t="inlineStr"/>
    </row>
    <row r="342" ht="15" customHeight="1">
      <c r="A342" t="inlineStr">
        <is>
          <t>A 33469-2025</t>
        </is>
      </c>
      <c r="B342" s="1" t="n">
        <v>45841.48686342593</v>
      </c>
      <c r="C342" s="1" t="n">
        <v>46002</v>
      </c>
      <c r="D342" t="inlineStr">
        <is>
          <t>SÖDERMANLANDS LÄN</t>
        </is>
      </c>
      <c r="E342" t="inlineStr">
        <is>
          <t>KATRINEHOLM</t>
        </is>
      </c>
      <c r="G342" t="n">
        <v>2.1</v>
      </c>
      <c r="H342" t="n">
        <v>0</v>
      </c>
      <c r="I342" t="n">
        <v>0</v>
      </c>
      <c r="J342" t="n">
        <v>0</v>
      </c>
      <c r="K342" t="n">
        <v>0</v>
      </c>
      <c r="L342" t="n">
        <v>0</v>
      </c>
      <c r="M342" t="n">
        <v>0</v>
      </c>
      <c r="N342" t="n">
        <v>0</v>
      </c>
      <c r="O342" t="n">
        <v>0</v>
      </c>
      <c r="P342" t="n">
        <v>0</v>
      </c>
      <c r="Q342" t="n">
        <v>0</v>
      </c>
      <c r="R342" s="2" t="inlineStr"/>
    </row>
    <row r="343" ht="15" customHeight="1">
      <c r="A343" t="inlineStr">
        <is>
          <t>A 4656-2023</t>
        </is>
      </c>
      <c r="B343" s="1" t="n">
        <v>44957</v>
      </c>
      <c r="C343" s="1" t="n">
        <v>46002</v>
      </c>
      <c r="D343" t="inlineStr">
        <is>
          <t>SÖDERMANLANDS LÄN</t>
        </is>
      </c>
      <c r="E343" t="inlineStr">
        <is>
          <t>KATRINEHOLM</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49078-2024</t>
        </is>
      </c>
      <c r="B344" s="1" t="n">
        <v>45594.62556712963</v>
      </c>
      <c r="C344" s="1" t="n">
        <v>46002</v>
      </c>
      <c r="D344" t="inlineStr">
        <is>
          <t>SÖDERMANLANDS LÄN</t>
        </is>
      </c>
      <c r="E344" t="inlineStr">
        <is>
          <t>KATRINEHOLM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54359-2025</t>
        </is>
      </c>
      <c r="B345" s="1" t="n">
        <v>45964</v>
      </c>
      <c r="C345" s="1" t="n">
        <v>46002</v>
      </c>
      <c r="D345" t="inlineStr">
        <is>
          <t>SÖDERMANLANDS LÄN</t>
        </is>
      </c>
      <c r="E345" t="inlineStr">
        <is>
          <t>KATRINEHOLM</t>
        </is>
      </c>
      <c r="G345" t="n">
        <v>2.5</v>
      </c>
      <c r="H345" t="n">
        <v>0</v>
      </c>
      <c r="I345" t="n">
        <v>0</v>
      </c>
      <c r="J345" t="n">
        <v>0</v>
      </c>
      <c r="K345" t="n">
        <v>0</v>
      </c>
      <c r="L345" t="n">
        <v>0</v>
      </c>
      <c r="M345" t="n">
        <v>0</v>
      </c>
      <c r="N345" t="n">
        <v>0</v>
      </c>
      <c r="O345" t="n">
        <v>0</v>
      </c>
      <c r="P345" t="n">
        <v>0</v>
      </c>
      <c r="Q345" t="n">
        <v>0</v>
      </c>
      <c r="R345" s="2" t="inlineStr"/>
    </row>
    <row r="346" ht="15" customHeight="1">
      <c r="A346" t="inlineStr">
        <is>
          <t>A 35188-2022</t>
        </is>
      </c>
      <c r="B346" s="1" t="n">
        <v>44797</v>
      </c>
      <c r="C346" s="1" t="n">
        <v>46002</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33084-2025</t>
        </is>
      </c>
      <c r="B347" s="1" t="n">
        <v>45840.46559027778</v>
      </c>
      <c r="C347" s="1" t="n">
        <v>46002</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33129-2025</t>
        </is>
      </c>
      <c r="B348" s="1" t="n">
        <v>45840.50141203704</v>
      </c>
      <c r="C348" s="1" t="n">
        <v>46002</v>
      </c>
      <c r="D348" t="inlineStr">
        <is>
          <t>SÖDERMANLANDS LÄN</t>
        </is>
      </c>
      <c r="E348" t="inlineStr">
        <is>
          <t>KATRINEHOLM</t>
        </is>
      </c>
      <c r="G348" t="n">
        <v>2.6</v>
      </c>
      <c r="H348" t="n">
        <v>0</v>
      </c>
      <c r="I348" t="n">
        <v>0</v>
      </c>
      <c r="J348" t="n">
        <v>0</v>
      </c>
      <c r="K348" t="n">
        <v>0</v>
      </c>
      <c r="L348" t="n">
        <v>0</v>
      </c>
      <c r="M348" t="n">
        <v>0</v>
      </c>
      <c r="N348" t="n">
        <v>0</v>
      </c>
      <c r="O348" t="n">
        <v>0</v>
      </c>
      <c r="P348" t="n">
        <v>0</v>
      </c>
      <c r="Q348" t="n">
        <v>0</v>
      </c>
      <c r="R348" s="2" t="inlineStr"/>
    </row>
    <row r="349" ht="15" customHeight="1">
      <c r="A349" t="inlineStr">
        <is>
          <t>A 5327-2025</t>
        </is>
      </c>
      <c r="B349" s="1" t="n">
        <v>45692</v>
      </c>
      <c r="C349" s="1" t="n">
        <v>46002</v>
      </c>
      <c r="D349" t="inlineStr">
        <is>
          <t>SÖDERMANLANDS LÄN</t>
        </is>
      </c>
      <c r="E349" t="inlineStr">
        <is>
          <t>KATRINEHOLM</t>
        </is>
      </c>
      <c r="F349" t="inlineStr">
        <is>
          <t>Kommuner</t>
        </is>
      </c>
      <c r="G349" t="n">
        <v>0.5</v>
      </c>
      <c r="H349" t="n">
        <v>0</v>
      </c>
      <c r="I349" t="n">
        <v>0</v>
      </c>
      <c r="J349" t="n">
        <v>0</v>
      </c>
      <c r="K349" t="n">
        <v>0</v>
      </c>
      <c r="L349" t="n">
        <v>0</v>
      </c>
      <c r="M349" t="n">
        <v>0</v>
      </c>
      <c r="N349" t="n">
        <v>0</v>
      </c>
      <c r="O349" t="n">
        <v>0</v>
      </c>
      <c r="P349" t="n">
        <v>0</v>
      </c>
      <c r="Q349" t="n">
        <v>0</v>
      </c>
      <c r="R349" s="2" t="inlineStr"/>
    </row>
    <row r="350" ht="15" customHeight="1">
      <c r="A350" t="inlineStr">
        <is>
          <t>A 33577-2025</t>
        </is>
      </c>
      <c r="B350" s="1" t="n">
        <v>45841.59056712963</v>
      </c>
      <c r="C350" s="1" t="n">
        <v>46002</v>
      </c>
      <c r="D350" t="inlineStr">
        <is>
          <t>SÖDERMANLANDS LÄN</t>
        </is>
      </c>
      <c r="E350" t="inlineStr">
        <is>
          <t>KATRINEHOLM</t>
        </is>
      </c>
      <c r="F350" t="inlineStr">
        <is>
          <t>Holmen skog AB</t>
        </is>
      </c>
      <c r="G350" t="n">
        <v>0.3</v>
      </c>
      <c r="H350" t="n">
        <v>0</v>
      </c>
      <c r="I350" t="n">
        <v>0</v>
      </c>
      <c r="J350" t="n">
        <v>0</v>
      </c>
      <c r="K350" t="n">
        <v>0</v>
      </c>
      <c r="L350" t="n">
        <v>0</v>
      </c>
      <c r="M350" t="n">
        <v>0</v>
      </c>
      <c r="N350" t="n">
        <v>0</v>
      </c>
      <c r="O350" t="n">
        <v>0</v>
      </c>
      <c r="P350" t="n">
        <v>0</v>
      </c>
      <c r="Q350" t="n">
        <v>0</v>
      </c>
      <c r="R350" s="2" t="inlineStr"/>
    </row>
    <row r="351" ht="15" customHeight="1">
      <c r="A351" t="inlineStr">
        <is>
          <t>A 33077-2025</t>
        </is>
      </c>
      <c r="B351" s="1" t="n">
        <v>45840.45864583334</v>
      </c>
      <c r="C351" s="1" t="n">
        <v>46002</v>
      </c>
      <c r="D351" t="inlineStr">
        <is>
          <t>SÖDERMANLANDS LÄN</t>
        </is>
      </c>
      <c r="E351" t="inlineStr">
        <is>
          <t>KATRINEHOLM</t>
        </is>
      </c>
      <c r="G351" t="n">
        <v>7</v>
      </c>
      <c r="H351" t="n">
        <v>0</v>
      </c>
      <c r="I351" t="n">
        <v>0</v>
      </c>
      <c r="J351" t="n">
        <v>0</v>
      </c>
      <c r="K351" t="n">
        <v>0</v>
      </c>
      <c r="L351" t="n">
        <v>0</v>
      </c>
      <c r="M351" t="n">
        <v>0</v>
      </c>
      <c r="N351" t="n">
        <v>0</v>
      </c>
      <c r="O351" t="n">
        <v>0</v>
      </c>
      <c r="P351" t="n">
        <v>0</v>
      </c>
      <c r="Q351" t="n">
        <v>0</v>
      </c>
      <c r="R351" s="2" t="inlineStr"/>
    </row>
    <row r="352" ht="15" customHeight="1">
      <c r="A352" t="inlineStr">
        <is>
          <t>A 33090-2025</t>
        </is>
      </c>
      <c r="B352" s="1" t="n">
        <v>45840.46840277778</v>
      </c>
      <c r="C352" s="1" t="n">
        <v>46002</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33096-2025</t>
        </is>
      </c>
      <c r="B353" s="1" t="n">
        <v>45840.47563657408</v>
      </c>
      <c r="C353" s="1" t="n">
        <v>46002</v>
      </c>
      <c r="D353" t="inlineStr">
        <is>
          <t>SÖDERMANLANDS LÄN</t>
        </is>
      </c>
      <c r="E353" t="inlineStr">
        <is>
          <t>KATRINEHOLM</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33101-2025</t>
        </is>
      </c>
      <c r="B354" s="1" t="n">
        <v>45840.47953703703</v>
      </c>
      <c r="C354" s="1" t="n">
        <v>46002</v>
      </c>
      <c r="D354" t="inlineStr">
        <is>
          <t>SÖDERMANLANDS LÄN</t>
        </is>
      </c>
      <c r="E354" t="inlineStr">
        <is>
          <t>KATRINEHOLM</t>
        </is>
      </c>
      <c r="G354" t="n">
        <v>4.4</v>
      </c>
      <c r="H354" t="n">
        <v>0</v>
      </c>
      <c r="I354" t="n">
        <v>0</v>
      </c>
      <c r="J354" t="n">
        <v>0</v>
      </c>
      <c r="K354" t="n">
        <v>0</v>
      </c>
      <c r="L354" t="n">
        <v>0</v>
      </c>
      <c r="M354" t="n">
        <v>0</v>
      </c>
      <c r="N354" t="n">
        <v>0</v>
      </c>
      <c r="O354" t="n">
        <v>0</v>
      </c>
      <c r="P354" t="n">
        <v>0</v>
      </c>
      <c r="Q354" t="n">
        <v>0</v>
      </c>
      <c r="R354" s="2" t="inlineStr"/>
    </row>
    <row r="355" ht="15" customHeight="1">
      <c r="A355" t="inlineStr">
        <is>
          <t>A 6175-2023</t>
        </is>
      </c>
      <c r="B355" s="1" t="n">
        <v>44964</v>
      </c>
      <c r="C355" s="1" t="n">
        <v>46002</v>
      </c>
      <c r="D355" t="inlineStr">
        <is>
          <t>SÖDERMANLANDS LÄN</t>
        </is>
      </c>
      <c r="E355" t="inlineStr">
        <is>
          <t>KATRINEHOLM</t>
        </is>
      </c>
      <c r="G355" t="n">
        <v>11.2</v>
      </c>
      <c r="H355" t="n">
        <v>0</v>
      </c>
      <c r="I355" t="n">
        <v>0</v>
      </c>
      <c r="J355" t="n">
        <v>0</v>
      </c>
      <c r="K355" t="n">
        <v>0</v>
      </c>
      <c r="L355" t="n">
        <v>0</v>
      </c>
      <c r="M355" t="n">
        <v>0</v>
      </c>
      <c r="N355" t="n">
        <v>0</v>
      </c>
      <c r="O355" t="n">
        <v>0</v>
      </c>
      <c r="P355" t="n">
        <v>0</v>
      </c>
      <c r="Q355" t="n">
        <v>0</v>
      </c>
      <c r="R355" s="2" t="inlineStr"/>
    </row>
    <row r="356" ht="15" customHeight="1">
      <c r="A356" t="inlineStr">
        <is>
          <t>A 33812-2025</t>
        </is>
      </c>
      <c r="B356" s="1" t="n">
        <v>45842</v>
      </c>
      <c r="C356" s="1" t="n">
        <v>46002</v>
      </c>
      <c r="D356" t="inlineStr">
        <is>
          <t>SÖDERMANLANDS LÄN</t>
        </is>
      </c>
      <c r="E356" t="inlineStr">
        <is>
          <t>KATRINEHOLM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4655-2024</t>
        </is>
      </c>
      <c r="B357" s="1" t="n">
        <v>45328</v>
      </c>
      <c r="C357" s="1" t="n">
        <v>46002</v>
      </c>
      <c r="D357" t="inlineStr">
        <is>
          <t>SÖDERMANLANDS LÄN</t>
        </is>
      </c>
      <c r="E357" t="inlineStr">
        <is>
          <t>KATRINEHOLM</t>
        </is>
      </c>
      <c r="G357" t="n">
        <v>17.7</v>
      </c>
      <c r="H357" t="n">
        <v>0</v>
      </c>
      <c r="I357" t="n">
        <v>0</v>
      </c>
      <c r="J357" t="n">
        <v>0</v>
      </c>
      <c r="K357" t="n">
        <v>0</v>
      </c>
      <c r="L357" t="n">
        <v>0</v>
      </c>
      <c r="M357" t="n">
        <v>0</v>
      </c>
      <c r="N357" t="n">
        <v>0</v>
      </c>
      <c r="O357" t="n">
        <v>0</v>
      </c>
      <c r="P357" t="n">
        <v>0</v>
      </c>
      <c r="Q357" t="n">
        <v>0</v>
      </c>
      <c r="R357" s="2" t="inlineStr"/>
    </row>
    <row r="358" ht="15" customHeight="1">
      <c r="A358" t="inlineStr">
        <is>
          <t>A 50316-2023</t>
        </is>
      </c>
      <c r="B358" s="1" t="n">
        <v>45209</v>
      </c>
      <c r="C358" s="1" t="n">
        <v>46002</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6762-2025</t>
        </is>
      </c>
      <c r="B359" s="1" t="n">
        <v>45700</v>
      </c>
      <c r="C359" s="1" t="n">
        <v>46002</v>
      </c>
      <c r="D359" t="inlineStr">
        <is>
          <t>SÖDERMANLANDS LÄN</t>
        </is>
      </c>
      <c r="E359" t="inlineStr">
        <is>
          <t>KATRINEHOLM</t>
        </is>
      </c>
      <c r="G359" t="n">
        <v>1</v>
      </c>
      <c r="H359" t="n">
        <v>0</v>
      </c>
      <c r="I359" t="n">
        <v>0</v>
      </c>
      <c r="J359" t="n">
        <v>0</v>
      </c>
      <c r="K359" t="n">
        <v>0</v>
      </c>
      <c r="L359" t="n">
        <v>0</v>
      </c>
      <c r="M359" t="n">
        <v>0</v>
      </c>
      <c r="N359" t="n">
        <v>0</v>
      </c>
      <c r="O359" t="n">
        <v>0</v>
      </c>
      <c r="P359" t="n">
        <v>0</v>
      </c>
      <c r="Q359" t="n">
        <v>0</v>
      </c>
      <c r="R359" s="2" t="inlineStr"/>
    </row>
    <row r="360" ht="15" customHeight="1">
      <c r="A360" t="inlineStr">
        <is>
          <t>A 33815-2025</t>
        </is>
      </c>
      <c r="B360" s="1" t="n">
        <v>45842</v>
      </c>
      <c r="C360" s="1" t="n">
        <v>46002</v>
      </c>
      <c r="D360" t="inlineStr">
        <is>
          <t>SÖDERMANLANDS LÄN</t>
        </is>
      </c>
      <c r="E360" t="inlineStr">
        <is>
          <t>KATRINEHOLM</t>
        </is>
      </c>
      <c r="G360" t="n">
        <v>3.4</v>
      </c>
      <c r="H360" t="n">
        <v>0</v>
      </c>
      <c r="I360" t="n">
        <v>0</v>
      </c>
      <c r="J360" t="n">
        <v>0</v>
      </c>
      <c r="K360" t="n">
        <v>0</v>
      </c>
      <c r="L360" t="n">
        <v>0</v>
      </c>
      <c r="M360" t="n">
        <v>0</v>
      </c>
      <c r="N360" t="n">
        <v>0</v>
      </c>
      <c r="O360" t="n">
        <v>0</v>
      </c>
      <c r="P360" t="n">
        <v>0</v>
      </c>
      <c r="Q360" t="n">
        <v>0</v>
      </c>
      <c r="R360" s="2" t="inlineStr"/>
    </row>
    <row r="361" ht="15" customHeight="1">
      <c r="A361" t="inlineStr">
        <is>
          <t>A 54395-2025</t>
        </is>
      </c>
      <c r="B361" s="1" t="n">
        <v>45964</v>
      </c>
      <c r="C361" s="1" t="n">
        <v>46002</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51404-2023</t>
        </is>
      </c>
      <c r="B362" s="1" t="n">
        <v>45214</v>
      </c>
      <c r="C362" s="1" t="n">
        <v>46002</v>
      </c>
      <c r="D362" t="inlineStr">
        <is>
          <t>SÖDERMANLANDS LÄN</t>
        </is>
      </c>
      <c r="E362" t="inlineStr">
        <is>
          <t>KATRINEHOLM</t>
        </is>
      </c>
      <c r="G362" t="n">
        <v>9</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46002</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54999-2025</t>
        </is>
      </c>
      <c r="B364" s="1" t="n">
        <v>45967.59880787037</v>
      </c>
      <c r="C364" s="1" t="n">
        <v>46002</v>
      </c>
      <c r="D364" t="inlineStr">
        <is>
          <t>SÖDERMANLANDS LÄN</t>
        </is>
      </c>
      <c r="E364" t="inlineStr">
        <is>
          <t>KATRINEHOLM</t>
        </is>
      </c>
      <c r="G364" t="n">
        <v>8.5</v>
      </c>
      <c r="H364" t="n">
        <v>0</v>
      </c>
      <c r="I364" t="n">
        <v>0</v>
      </c>
      <c r="J364" t="n">
        <v>0</v>
      </c>
      <c r="K364" t="n">
        <v>0</v>
      </c>
      <c r="L364" t="n">
        <v>0</v>
      </c>
      <c r="M364" t="n">
        <v>0</v>
      </c>
      <c r="N364" t="n">
        <v>0</v>
      </c>
      <c r="O364" t="n">
        <v>0</v>
      </c>
      <c r="P364" t="n">
        <v>0</v>
      </c>
      <c r="Q364" t="n">
        <v>0</v>
      </c>
      <c r="R364" s="2" t="inlineStr"/>
    </row>
    <row r="365" ht="15" customHeight="1">
      <c r="A365" t="inlineStr">
        <is>
          <t>A 54873-2025</t>
        </is>
      </c>
      <c r="B365" s="1" t="n">
        <v>45967.30731481482</v>
      </c>
      <c r="C365" s="1" t="n">
        <v>46002</v>
      </c>
      <c r="D365" t="inlineStr">
        <is>
          <t>SÖDERMANLANDS LÄN</t>
        </is>
      </c>
      <c r="E365" t="inlineStr">
        <is>
          <t>KATRINEHOLM</t>
        </is>
      </c>
      <c r="G365" t="n">
        <v>2.7</v>
      </c>
      <c r="H365" t="n">
        <v>0</v>
      </c>
      <c r="I365" t="n">
        <v>0</v>
      </c>
      <c r="J365" t="n">
        <v>0</v>
      </c>
      <c r="K365" t="n">
        <v>0</v>
      </c>
      <c r="L365" t="n">
        <v>0</v>
      </c>
      <c r="M365" t="n">
        <v>0</v>
      </c>
      <c r="N365" t="n">
        <v>0</v>
      </c>
      <c r="O365" t="n">
        <v>0</v>
      </c>
      <c r="P365" t="n">
        <v>0</v>
      </c>
      <c r="Q365" t="n">
        <v>0</v>
      </c>
      <c r="R365" s="2" t="inlineStr"/>
    </row>
    <row r="366" ht="15" customHeight="1">
      <c r="A366" t="inlineStr">
        <is>
          <t>A 15898-2022</t>
        </is>
      </c>
      <c r="B366" s="1" t="n">
        <v>44664.55688657407</v>
      </c>
      <c r="C366" s="1" t="n">
        <v>46002</v>
      </c>
      <c r="D366" t="inlineStr">
        <is>
          <t>SÖDERMANLANDS LÄN</t>
        </is>
      </c>
      <c r="E366" t="inlineStr">
        <is>
          <t>KATRINEHOLM</t>
        </is>
      </c>
      <c r="G366" t="n">
        <v>6.5</v>
      </c>
      <c r="H366" t="n">
        <v>0</v>
      </c>
      <c r="I366" t="n">
        <v>0</v>
      </c>
      <c r="J366" t="n">
        <v>0</v>
      </c>
      <c r="K366" t="n">
        <v>0</v>
      </c>
      <c r="L366" t="n">
        <v>0</v>
      </c>
      <c r="M366" t="n">
        <v>0</v>
      </c>
      <c r="N366" t="n">
        <v>0</v>
      </c>
      <c r="O366" t="n">
        <v>0</v>
      </c>
      <c r="P366" t="n">
        <v>0</v>
      </c>
      <c r="Q366" t="n">
        <v>0</v>
      </c>
      <c r="R366" s="2" t="inlineStr"/>
    </row>
    <row r="367" ht="15" customHeight="1">
      <c r="A367" t="inlineStr">
        <is>
          <t>A 15910-2022</t>
        </is>
      </c>
      <c r="B367" s="1" t="n">
        <v>44664</v>
      </c>
      <c r="C367" s="1" t="n">
        <v>46002</v>
      </c>
      <c r="D367" t="inlineStr">
        <is>
          <t>SÖDERMANLANDS LÄN</t>
        </is>
      </c>
      <c r="E367" t="inlineStr">
        <is>
          <t>KATRINEHOLM</t>
        </is>
      </c>
      <c r="G367" t="n">
        <v>5.6</v>
      </c>
      <c r="H367" t="n">
        <v>0</v>
      </c>
      <c r="I367" t="n">
        <v>0</v>
      </c>
      <c r="J367" t="n">
        <v>0</v>
      </c>
      <c r="K367" t="n">
        <v>0</v>
      </c>
      <c r="L367" t="n">
        <v>0</v>
      </c>
      <c r="M367" t="n">
        <v>0</v>
      </c>
      <c r="N367" t="n">
        <v>0</v>
      </c>
      <c r="O367" t="n">
        <v>0</v>
      </c>
      <c r="P367" t="n">
        <v>0</v>
      </c>
      <c r="Q367" t="n">
        <v>0</v>
      </c>
      <c r="R367" s="2" t="inlineStr"/>
    </row>
    <row r="368" ht="15" customHeight="1">
      <c r="A368" t="inlineStr">
        <is>
          <t>A 64605-2023</t>
        </is>
      </c>
      <c r="B368" s="1" t="n">
        <v>45281</v>
      </c>
      <c r="C368" s="1" t="n">
        <v>46002</v>
      </c>
      <c r="D368" t="inlineStr">
        <is>
          <t>SÖDERMANLANDS LÄN</t>
        </is>
      </c>
      <c r="E368" t="inlineStr">
        <is>
          <t>KATRINEHOLM</t>
        </is>
      </c>
      <c r="G368" t="n">
        <v>0.5</v>
      </c>
      <c r="H368" t="n">
        <v>0</v>
      </c>
      <c r="I368" t="n">
        <v>0</v>
      </c>
      <c r="J368" t="n">
        <v>0</v>
      </c>
      <c r="K368" t="n">
        <v>0</v>
      </c>
      <c r="L368" t="n">
        <v>0</v>
      </c>
      <c r="M368" t="n">
        <v>0</v>
      </c>
      <c r="N368" t="n">
        <v>0</v>
      </c>
      <c r="O368" t="n">
        <v>0</v>
      </c>
      <c r="P368" t="n">
        <v>0</v>
      </c>
      <c r="Q368" t="n">
        <v>0</v>
      </c>
      <c r="R368" s="2" t="inlineStr"/>
    </row>
    <row r="369" ht="15" customHeight="1">
      <c r="A369" t="inlineStr">
        <is>
          <t>A 64652-2023</t>
        </is>
      </c>
      <c r="B369" s="1" t="n">
        <v>45281</v>
      </c>
      <c r="C369" s="1" t="n">
        <v>46002</v>
      </c>
      <c r="D369" t="inlineStr">
        <is>
          <t>SÖDERMANLANDS LÄN</t>
        </is>
      </c>
      <c r="E369" t="inlineStr">
        <is>
          <t>KATRINEHOLM</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46288-2025</t>
        </is>
      </c>
      <c r="B370" s="1" t="n">
        <v>45925.38545138889</v>
      </c>
      <c r="C370" s="1" t="n">
        <v>46002</v>
      </c>
      <c r="D370" t="inlineStr">
        <is>
          <t>SÖDERMANLANDS LÄN</t>
        </is>
      </c>
      <c r="E370" t="inlineStr">
        <is>
          <t>KATRINEHOLM</t>
        </is>
      </c>
      <c r="G370" t="n">
        <v>0.4</v>
      </c>
      <c r="H370" t="n">
        <v>0</v>
      </c>
      <c r="I370" t="n">
        <v>0</v>
      </c>
      <c r="J370" t="n">
        <v>0</v>
      </c>
      <c r="K370" t="n">
        <v>0</v>
      </c>
      <c r="L370" t="n">
        <v>0</v>
      </c>
      <c r="M370" t="n">
        <v>0</v>
      </c>
      <c r="N370" t="n">
        <v>0</v>
      </c>
      <c r="O370" t="n">
        <v>0</v>
      </c>
      <c r="P370" t="n">
        <v>0</v>
      </c>
      <c r="Q370" t="n">
        <v>0</v>
      </c>
      <c r="R370" s="2" t="inlineStr"/>
    </row>
    <row r="371" ht="15" customHeight="1">
      <c r="A371" t="inlineStr">
        <is>
          <t>A 29830-2023</t>
        </is>
      </c>
      <c r="B371" s="1" t="n">
        <v>45107</v>
      </c>
      <c r="C371" s="1" t="n">
        <v>46002</v>
      </c>
      <c r="D371" t="inlineStr">
        <is>
          <t>SÖDERMANLANDS LÄN</t>
        </is>
      </c>
      <c r="E371" t="inlineStr">
        <is>
          <t>KATRINEHOLM</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35156-2025</t>
        </is>
      </c>
      <c r="B372" s="1" t="n">
        <v>45852</v>
      </c>
      <c r="C372" s="1" t="n">
        <v>46002</v>
      </c>
      <c r="D372" t="inlineStr">
        <is>
          <t>SÖDERMANLANDS LÄN</t>
        </is>
      </c>
      <c r="E372" t="inlineStr">
        <is>
          <t>KATRINEHOLM</t>
        </is>
      </c>
      <c r="G372" t="n">
        <v>5.7</v>
      </c>
      <c r="H372" t="n">
        <v>0</v>
      </c>
      <c r="I372" t="n">
        <v>0</v>
      </c>
      <c r="J372" t="n">
        <v>0</v>
      </c>
      <c r="K372" t="n">
        <v>0</v>
      </c>
      <c r="L372" t="n">
        <v>0</v>
      </c>
      <c r="M372" t="n">
        <v>0</v>
      </c>
      <c r="N372" t="n">
        <v>0</v>
      </c>
      <c r="O372" t="n">
        <v>0</v>
      </c>
      <c r="P372" t="n">
        <v>0</v>
      </c>
      <c r="Q372" t="n">
        <v>0</v>
      </c>
      <c r="R372" s="2" t="inlineStr"/>
    </row>
    <row r="373" ht="15" customHeight="1">
      <c r="A373" t="inlineStr">
        <is>
          <t>A 35145-2025</t>
        </is>
      </c>
      <c r="B373" s="1" t="n">
        <v>45852</v>
      </c>
      <c r="C373" s="1" t="n">
        <v>46002</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35157-2025</t>
        </is>
      </c>
      <c r="B374" s="1" t="n">
        <v>45852</v>
      </c>
      <c r="C374" s="1" t="n">
        <v>46002</v>
      </c>
      <c r="D374" t="inlineStr">
        <is>
          <t>SÖDERMANLANDS LÄN</t>
        </is>
      </c>
      <c r="E374" t="inlineStr">
        <is>
          <t>KATRINEHOLM</t>
        </is>
      </c>
      <c r="G374" t="n">
        <v>3.7</v>
      </c>
      <c r="H374" t="n">
        <v>0</v>
      </c>
      <c r="I374" t="n">
        <v>0</v>
      </c>
      <c r="J374" t="n">
        <v>0</v>
      </c>
      <c r="K374" t="n">
        <v>0</v>
      </c>
      <c r="L374" t="n">
        <v>0</v>
      </c>
      <c r="M374" t="n">
        <v>0</v>
      </c>
      <c r="N374" t="n">
        <v>0</v>
      </c>
      <c r="O374" t="n">
        <v>0</v>
      </c>
      <c r="P374" t="n">
        <v>0</v>
      </c>
      <c r="Q374" t="n">
        <v>0</v>
      </c>
      <c r="R374" s="2" t="inlineStr"/>
    </row>
    <row r="375" ht="15" customHeight="1">
      <c r="A375" t="inlineStr">
        <is>
          <t>A 28582-2024</t>
        </is>
      </c>
      <c r="B375" s="1" t="n">
        <v>45478.40751157407</v>
      </c>
      <c r="C375" s="1" t="n">
        <v>46002</v>
      </c>
      <c r="D375" t="inlineStr">
        <is>
          <t>SÖDERMANLANDS LÄN</t>
        </is>
      </c>
      <c r="E375" t="inlineStr">
        <is>
          <t>KATRINEHOLM</t>
        </is>
      </c>
      <c r="F375" t="inlineStr">
        <is>
          <t>Övriga Aktiebolag</t>
        </is>
      </c>
      <c r="G375" t="n">
        <v>4</v>
      </c>
      <c r="H375" t="n">
        <v>0</v>
      </c>
      <c r="I375" t="n">
        <v>0</v>
      </c>
      <c r="J375" t="n">
        <v>0</v>
      </c>
      <c r="K375" t="n">
        <v>0</v>
      </c>
      <c r="L375" t="n">
        <v>0</v>
      </c>
      <c r="M375" t="n">
        <v>0</v>
      </c>
      <c r="N375" t="n">
        <v>0</v>
      </c>
      <c r="O375" t="n">
        <v>0</v>
      </c>
      <c r="P375" t="n">
        <v>0</v>
      </c>
      <c r="Q375" t="n">
        <v>0</v>
      </c>
      <c r="R375" s="2" t="inlineStr"/>
    </row>
    <row r="376" ht="15" customHeight="1">
      <c r="A376" t="inlineStr">
        <is>
          <t>A 29394-2024</t>
        </is>
      </c>
      <c r="B376" s="1" t="n">
        <v>45483</v>
      </c>
      <c r="C376" s="1" t="n">
        <v>46002</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35084-2025</t>
        </is>
      </c>
      <c r="B377" s="1" t="n">
        <v>45852</v>
      </c>
      <c r="C377" s="1" t="n">
        <v>46002</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35149-2025</t>
        </is>
      </c>
      <c r="B378" s="1" t="n">
        <v>45852</v>
      </c>
      <c r="C378" s="1" t="n">
        <v>46002</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35161-2025</t>
        </is>
      </c>
      <c r="B379" s="1" t="n">
        <v>45852.70716435185</v>
      </c>
      <c r="C379" s="1" t="n">
        <v>46002</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35152-2025</t>
        </is>
      </c>
      <c r="B380" s="1" t="n">
        <v>45852</v>
      </c>
      <c r="C380" s="1" t="n">
        <v>46002</v>
      </c>
      <c r="D380" t="inlineStr">
        <is>
          <t>SÖDERMANLANDS LÄN</t>
        </is>
      </c>
      <c r="E380" t="inlineStr">
        <is>
          <t>KATRINEHOLM</t>
        </is>
      </c>
      <c r="G380" t="n">
        <v>4.6</v>
      </c>
      <c r="H380" t="n">
        <v>0</v>
      </c>
      <c r="I380" t="n">
        <v>0</v>
      </c>
      <c r="J380" t="n">
        <v>0</v>
      </c>
      <c r="K380" t="n">
        <v>0</v>
      </c>
      <c r="L380" t="n">
        <v>0</v>
      </c>
      <c r="M380" t="n">
        <v>0</v>
      </c>
      <c r="N380" t="n">
        <v>0</v>
      </c>
      <c r="O380" t="n">
        <v>0</v>
      </c>
      <c r="P380" t="n">
        <v>0</v>
      </c>
      <c r="Q380" t="n">
        <v>0</v>
      </c>
      <c r="R380" s="2" t="inlineStr"/>
    </row>
    <row r="381" ht="15" customHeight="1">
      <c r="A381" t="inlineStr">
        <is>
          <t>A 35165-2025</t>
        </is>
      </c>
      <c r="B381" s="1" t="n">
        <v>45852.72320601852</v>
      </c>
      <c r="C381" s="1" t="n">
        <v>46002</v>
      </c>
      <c r="D381" t="inlineStr">
        <is>
          <t>SÖDERMANLANDS LÄN</t>
        </is>
      </c>
      <c r="E381" t="inlineStr">
        <is>
          <t>KATRINEHOLM</t>
        </is>
      </c>
      <c r="F381" t="inlineStr">
        <is>
          <t>Övriga Aktiebolag</t>
        </is>
      </c>
      <c r="G381" t="n">
        <v>20.7</v>
      </c>
      <c r="H381" t="n">
        <v>0</v>
      </c>
      <c r="I381" t="n">
        <v>0</v>
      </c>
      <c r="J381" t="n">
        <v>0</v>
      </c>
      <c r="K381" t="n">
        <v>0</v>
      </c>
      <c r="L381" t="n">
        <v>0</v>
      </c>
      <c r="M381" t="n">
        <v>0</v>
      </c>
      <c r="N381" t="n">
        <v>0</v>
      </c>
      <c r="O381" t="n">
        <v>0</v>
      </c>
      <c r="P381" t="n">
        <v>0</v>
      </c>
      <c r="Q381" t="n">
        <v>0</v>
      </c>
      <c r="R381" s="2" t="inlineStr"/>
    </row>
    <row r="382" ht="15" customHeight="1">
      <c r="A382" t="inlineStr">
        <is>
          <t>A 46011-2021</t>
        </is>
      </c>
      <c r="B382" s="1" t="n">
        <v>44441.88092592593</v>
      </c>
      <c r="C382" s="1" t="n">
        <v>46002</v>
      </c>
      <c r="D382" t="inlineStr">
        <is>
          <t>SÖDERMANLANDS LÄN</t>
        </is>
      </c>
      <c r="E382" t="inlineStr">
        <is>
          <t>KATRINEHOLM</t>
        </is>
      </c>
      <c r="G382" t="n">
        <v>4.7</v>
      </c>
      <c r="H382" t="n">
        <v>0</v>
      </c>
      <c r="I382" t="n">
        <v>0</v>
      </c>
      <c r="J382" t="n">
        <v>0</v>
      </c>
      <c r="K382" t="n">
        <v>0</v>
      </c>
      <c r="L382" t="n">
        <v>0</v>
      </c>
      <c r="M382" t="n">
        <v>0</v>
      </c>
      <c r="N382" t="n">
        <v>0</v>
      </c>
      <c r="O382" t="n">
        <v>0</v>
      </c>
      <c r="P382" t="n">
        <v>0</v>
      </c>
      <c r="Q382" t="n">
        <v>0</v>
      </c>
      <c r="R382" s="2" t="inlineStr"/>
    </row>
    <row r="383" ht="15" customHeight="1">
      <c r="A383" t="inlineStr">
        <is>
          <t>A 35158-2025</t>
        </is>
      </c>
      <c r="B383" s="1" t="n">
        <v>45852</v>
      </c>
      <c r="C383" s="1" t="n">
        <v>46002</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55029-2025</t>
        </is>
      </c>
      <c r="B384" s="1" t="n">
        <v>45967.63784722222</v>
      </c>
      <c r="C384" s="1" t="n">
        <v>46002</v>
      </c>
      <c r="D384" t="inlineStr">
        <is>
          <t>SÖDERMANLANDS LÄN</t>
        </is>
      </c>
      <c r="E384" t="inlineStr">
        <is>
          <t>KATRINEHOLM</t>
        </is>
      </c>
      <c r="G384" t="n">
        <v>10.1</v>
      </c>
      <c r="H384" t="n">
        <v>0</v>
      </c>
      <c r="I384" t="n">
        <v>0</v>
      </c>
      <c r="J384" t="n">
        <v>0</v>
      </c>
      <c r="K384" t="n">
        <v>0</v>
      </c>
      <c r="L384" t="n">
        <v>0</v>
      </c>
      <c r="M384" t="n">
        <v>0</v>
      </c>
      <c r="N384" t="n">
        <v>0</v>
      </c>
      <c r="O384" t="n">
        <v>0</v>
      </c>
      <c r="P384" t="n">
        <v>0</v>
      </c>
      <c r="Q384" t="n">
        <v>0</v>
      </c>
      <c r="R384" s="2" t="inlineStr"/>
    </row>
    <row r="385" ht="15" customHeight="1">
      <c r="A385" t="inlineStr">
        <is>
          <t>A 34439-2025</t>
        </is>
      </c>
      <c r="B385" s="1" t="n">
        <v>45845</v>
      </c>
      <c r="C385" s="1" t="n">
        <v>46002</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30387-2022</t>
        </is>
      </c>
      <c r="B386" s="1" t="n">
        <v>44760</v>
      </c>
      <c r="C386" s="1" t="n">
        <v>46002</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61394-2024</t>
        </is>
      </c>
      <c r="B387" s="1" t="n">
        <v>45646.42061342593</v>
      </c>
      <c r="C387" s="1" t="n">
        <v>46002</v>
      </c>
      <c r="D387" t="inlineStr">
        <is>
          <t>SÖDERMANLANDS LÄN</t>
        </is>
      </c>
      <c r="E387" t="inlineStr">
        <is>
          <t>KATRINEHOLM</t>
        </is>
      </c>
      <c r="G387" t="n">
        <v>1.6</v>
      </c>
      <c r="H387" t="n">
        <v>0</v>
      </c>
      <c r="I387" t="n">
        <v>0</v>
      </c>
      <c r="J387" t="n">
        <v>0</v>
      </c>
      <c r="K387" t="n">
        <v>0</v>
      </c>
      <c r="L387" t="n">
        <v>0</v>
      </c>
      <c r="M387" t="n">
        <v>0</v>
      </c>
      <c r="N387" t="n">
        <v>0</v>
      </c>
      <c r="O387" t="n">
        <v>0</v>
      </c>
      <c r="P387" t="n">
        <v>0</v>
      </c>
      <c r="Q387" t="n">
        <v>0</v>
      </c>
      <c r="R387" s="2" t="inlineStr"/>
    </row>
    <row r="388" ht="15" customHeight="1">
      <c r="A388" t="inlineStr">
        <is>
          <t>A 931-2023</t>
        </is>
      </c>
      <c r="B388" s="1" t="n">
        <v>44932.74261574074</v>
      </c>
      <c r="C388" s="1" t="n">
        <v>46002</v>
      </c>
      <c r="D388" t="inlineStr">
        <is>
          <t>SÖDERMANLANDS LÄN</t>
        </is>
      </c>
      <c r="E388" t="inlineStr">
        <is>
          <t>KATRINEHOLM</t>
        </is>
      </c>
      <c r="G388" t="n">
        <v>4</v>
      </c>
      <c r="H388" t="n">
        <v>0</v>
      </c>
      <c r="I388" t="n">
        <v>0</v>
      </c>
      <c r="J388" t="n">
        <v>0</v>
      </c>
      <c r="K388" t="n">
        <v>0</v>
      </c>
      <c r="L388" t="n">
        <v>0</v>
      </c>
      <c r="M388" t="n">
        <v>0</v>
      </c>
      <c r="N388" t="n">
        <v>0</v>
      </c>
      <c r="O388" t="n">
        <v>0</v>
      </c>
      <c r="P388" t="n">
        <v>0</v>
      </c>
      <c r="Q388" t="n">
        <v>0</v>
      </c>
      <c r="R388" s="2" t="inlineStr"/>
    </row>
    <row r="389" ht="15" customHeight="1">
      <c r="A389" t="inlineStr">
        <is>
          <t>A 34176-2025</t>
        </is>
      </c>
      <c r="B389" s="1" t="n">
        <v>45845</v>
      </c>
      <c r="C389" s="1" t="n">
        <v>46002</v>
      </c>
      <c r="D389" t="inlineStr">
        <is>
          <t>SÖDERMANLANDS LÄN</t>
        </is>
      </c>
      <c r="E389" t="inlineStr">
        <is>
          <t>KATRINEHOLM</t>
        </is>
      </c>
      <c r="G389" t="n">
        <v>0.5</v>
      </c>
      <c r="H389" t="n">
        <v>0</v>
      </c>
      <c r="I389" t="n">
        <v>0</v>
      </c>
      <c r="J389" t="n">
        <v>0</v>
      </c>
      <c r="K389" t="n">
        <v>0</v>
      </c>
      <c r="L389" t="n">
        <v>0</v>
      </c>
      <c r="M389" t="n">
        <v>0</v>
      </c>
      <c r="N389" t="n">
        <v>0</v>
      </c>
      <c r="O389" t="n">
        <v>0</v>
      </c>
      <c r="P389" t="n">
        <v>0</v>
      </c>
      <c r="Q389" t="n">
        <v>0</v>
      </c>
      <c r="R389" s="2" t="inlineStr"/>
    </row>
    <row r="390" ht="15" customHeight="1">
      <c r="A390" t="inlineStr">
        <is>
          <t>A 38883-2024</t>
        </is>
      </c>
      <c r="B390" s="1" t="n">
        <v>45547</v>
      </c>
      <c r="C390" s="1" t="n">
        <v>46002</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6796-2022</t>
        </is>
      </c>
      <c r="B391" s="1" t="n">
        <v>44602</v>
      </c>
      <c r="C391" s="1" t="n">
        <v>46002</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52857-2021</t>
        </is>
      </c>
      <c r="B392" s="1" t="n">
        <v>44466</v>
      </c>
      <c r="C392" s="1" t="n">
        <v>46002</v>
      </c>
      <c r="D392" t="inlineStr">
        <is>
          <t>SÖDERMANLANDS LÄN</t>
        </is>
      </c>
      <c r="E392" t="inlineStr">
        <is>
          <t>KATRINEHOLM</t>
        </is>
      </c>
      <c r="G392" t="n">
        <v>0.8</v>
      </c>
      <c r="H392" t="n">
        <v>0</v>
      </c>
      <c r="I392" t="n">
        <v>0</v>
      </c>
      <c r="J392" t="n">
        <v>0</v>
      </c>
      <c r="K392" t="n">
        <v>0</v>
      </c>
      <c r="L392" t="n">
        <v>0</v>
      </c>
      <c r="M392" t="n">
        <v>0</v>
      </c>
      <c r="N392" t="n">
        <v>0</v>
      </c>
      <c r="O392" t="n">
        <v>0</v>
      </c>
      <c r="P392" t="n">
        <v>0</v>
      </c>
      <c r="Q392" t="n">
        <v>0</v>
      </c>
      <c r="R392" s="2" t="inlineStr"/>
    </row>
    <row r="393" ht="15" customHeight="1">
      <c r="A393" t="inlineStr">
        <is>
          <t>A 46524-2025</t>
        </is>
      </c>
      <c r="B393" s="1" t="n">
        <v>45926</v>
      </c>
      <c r="C393" s="1" t="n">
        <v>46002</v>
      </c>
      <c r="D393" t="inlineStr">
        <is>
          <t>SÖDERMANLANDS LÄN</t>
        </is>
      </c>
      <c r="E393" t="inlineStr">
        <is>
          <t>KATRINEHOLM</t>
        </is>
      </c>
      <c r="G393" t="n">
        <v>5.7</v>
      </c>
      <c r="H393" t="n">
        <v>0</v>
      </c>
      <c r="I393" t="n">
        <v>0</v>
      </c>
      <c r="J393" t="n">
        <v>0</v>
      </c>
      <c r="K393" t="n">
        <v>0</v>
      </c>
      <c r="L393" t="n">
        <v>0</v>
      </c>
      <c r="M393" t="n">
        <v>0</v>
      </c>
      <c r="N393" t="n">
        <v>0</v>
      </c>
      <c r="O393" t="n">
        <v>0</v>
      </c>
      <c r="P393" t="n">
        <v>0</v>
      </c>
      <c r="Q393" t="n">
        <v>0</v>
      </c>
      <c r="R393" s="2" t="inlineStr"/>
    </row>
    <row r="394" ht="15" customHeight="1">
      <c r="A394" t="inlineStr">
        <is>
          <t>A 42015-2022</t>
        </is>
      </c>
      <c r="B394" s="1" t="n">
        <v>44830.4649074074</v>
      </c>
      <c r="C394" s="1" t="n">
        <v>46002</v>
      </c>
      <c r="D394" t="inlineStr">
        <is>
          <t>SÖDERMANLANDS LÄN</t>
        </is>
      </c>
      <c r="E394" t="inlineStr">
        <is>
          <t>KATRINEHOLM</t>
        </is>
      </c>
      <c r="G394" t="n">
        <v>3.8</v>
      </c>
      <c r="H394" t="n">
        <v>0</v>
      </c>
      <c r="I394" t="n">
        <v>0</v>
      </c>
      <c r="J394" t="n">
        <v>0</v>
      </c>
      <c r="K394" t="n">
        <v>0</v>
      </c>
      <c r="L394" t="n">
        <v>0</v>
      </c>
      <c r="M394" t="n">
        <v>0</v>
      </c>
      <c r="N394" t="n">
        <v>0</v>
      </c>
      <c r="O394" t="n">
        <v>0</v>
      </c>
      <c r="P394" t="n">
        <v>0</v>
      </c>
      <c r="Q394" t="n">
        <v>0</v>
      </c>
      <c r="R394" s="2" t="inlineStr"/>
    </row>
    <row r="395" ht="15" customHeight="1">
      <c r="A395" t="inlineStr">
        <is>
          <t>A 42020-2022</t>
        </is>
      </c>
      <c r="B395" s="1" t="n">
        <v>44830.46849537037</v>
      </c>
      <c r="C395" s="1" t="n">
        <v>46002</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8394-2024</t>
        </is>
      </c>
      <c r="B396" s="1" t="n">
        <v>45352</v>
      </c>
      <c r="C396" s="1" t="n">
        <v>46002</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14239-2024</t>
        </is>
      </c>
      <c r="B397" s="1" t="n">
        <v>45393</v>
      </c>
      <c r="C397" s="1" t="n">
        <v>46002</v>
      </c>
      <c r="D397" t="inlineStr">
        <is>
          <t>SÖDERMANLANDS LÄN</t>
        </is>
      </c>
      <c r="E397" t="inlineStr">
        <is>
          <t>KATRINEHOLM</t>
        </is>
      </c>
      <c r="G397" t="n">
        <v>2.7</v>
      </c>
      <c r="H397" t="n">
        <v>0</v>
      </c>
      <c r="I397" t="n">
        <v>0</v>
      </c>
      <c r="J397" t="n">
        <v>0</v>
      </c>
      <c r="K397" t="n">
        <v>0</v>
      </c>
      <c r="L397" t="n">
        <v>0</v>
      </c>
      <c r="M397" t="n">
        <v>0</v>
      </c>
      <c r="N397" t="n">
        <v>0</v>
      </c>
      <c r="O397" t="n">
        <v>0</v>
      </c>
      <c r="P397" t="n">
        <v>0</v>
      </c>
      <c r="Q397" t="n">
        <v>0</v>
      </c>
      <c r="R397" s="2" t="inlineStr"/>
    </row>
    <row r="398" ht="15" customHeight="1">
      <c r="A398" t="inlineStr">
        <is>
          <t>A 14248-2024</t>
        </is>
      </c>
      <c r="B398" s="1" t="n">
        <v>45393</v>
      </c>
      <c r="C398" s="1" t="n">
        <v>46002</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25716-2022</t>
        </is>
      </c>
      <c r="B399" s="1" t="n">
        <v>44733.39600694444</v>
      </c>
      <c r="C399" s="1" t="n">
        <v>46002</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23842-2023</t>
        </is>
      </c>
      <c r="B400" s="1" t="n">
        <v>45075</v>
      </c>
      <c r="C400" s="1" t="n">
        <v>46002</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46700-2023</t>
        </is>
      </c>
      <c r="B401" s="1" t="n">
        <v>45194</v>
      </c>
      <c r="C401" s="1" t="n">
        <v>46002</v>
      </c>
      <c r="D401" t="inlineStr">
        <is>
          <t>SÖDERMANLANDS LÄN</t>
        </is>
      </c>
      <c r="E401" t="inlineStr">
        <is>
          <t>KATRINEHOLM</t>
        </is>
      </c>
      <c r="G401" t="n">
        <v>3</v>
      </c>
      <c r="H401" t="n">
        <v>0</v>
      </c>
      <c r="I401" t="n">
        <v>0</v>
      </c>
      <c r="J401" t="n">
        <v>0</v>
      </c>
      <c r="K401" t="n">
        <v>0</v>
      </c>
      <c r="L401" t="n">
        <v>0</v>
      </c>
      <c r="M401" t="n">
        <v>0</v>
      </c>
      <c r="N401" t="n">
        <v>0</v>
      </c>
      <c r="O401" t="n">
        <v>0</v>
      </c>
      <c r="P401" t="n">
        <v>0</v>
      </c>
      <c r="Q401" t="n">
        <v>0</v>
      </c>
      <c r="R401" s="2" t="inlineStr"/>
    </row>
    <row r="402" ht="15" customHeight="1">
      <c r="A402" t="inlineStr">
        <is>
          <t>A 44024-2021</t>
        </is>
      </c>
      <c r="B402" s="1" t="n">
        <v>44434</v>
      </c>
      <c r="C402" s="1" t="n">
        <v>46002</v>
      </c>
      <c r="D402" t="inlineStr">
        <is>
          <t>SÖDERMANLANDS LÄN</t>
        </is>
      </c>
      <c r="E402" t="inlineStr">
        <is>
          <t>KATRINEHOLM</t>
        </is>
      </c>
      <c r="G402" t="n">
        <v>13</v>
      </c>
      <c r="H402" t="n">
        <v>0</v>
      </c>
      <c r="I402" t="n">
        <v>0</v>
      </c>
      <c r="J402" t="n">
        <v>0</v>
      </c>
      <c r="K402" t="n">
        <v>0</v>
      </c>
      <c r="L402" t="n">
        <v>0</v>
      </c>
      <c r="M402" t="n">
        <v>0</v>
      </c>
      <c r="N402" t="n">
        <v>0</v>
      </c>
      <c r="O402" t="n">
        <v>0</v>
      </c>
      <c r="P402" t="n">
        <v>0</v>
      </c>
      <c r="Q402" t="n">
        <v>0</v>
      </c>
      <c r="R402" s="2" t="inlineStr"/>
    </row>
    <row r="403" ht="15" customHeight="1">
      <c r="A403" t="inlineStr">
        <is>
          <t>A 55831-2025</t>
        </is>
      </c>
      <c r="B403" s="1" t="n">
        <v>45972.81034722222</v>
      </c>
      <c r="C403" s="1" t="n">
        <v>46002</v>
      </c>
      <c r="D403" t="inlineStr">
        <is>
          <t>SÖDERMANLANDS LÄN</t>
        </is>
      </c>
      <c r="E403" t="inlineStr">
        <is>
          <t>KATRINEHOLM</t>
        </is>
      </c>
      <c r="G403" t="n">
        <v>6.2</v>
      </c>
      <c r="H403" t="n">
        <v>0</v>
      </c>
      <c r="I403" t="n">
        <v>0</v>
      </c>
      <c r="J403" t="n">
        <v>0</v>
      </c>
      <c r="K403" t="n">
        <v>0</v>
      </c>
      <c r="L403" t="n">
        <v>0</v>
      </c>
      <c r="M403" t="n">
        <v>0</v>
      </c>
      <c r="N403" t="n">
        <v>0</v>
      </c>
      <c r="O403" t="n">
        <v>0</v>
      </c>
      <c r="P403" t="n">
        <v>0</v>
      </c>
      <c r="Q403" t="n">
        <v>0</v>
      </c>
      <c r="R403" s="2" t="inlineStr"/>
    </row>
    <row r="404" ht="15" customHeight="1">
      <c r="A404" t="inlineStr">
        <is>
          <t>A 55832-2025</t>
        </is>
      </c>
      <c r="B404" s="1" t="n">
        <v>45972.81768518518</v>
      </c>
      <c r="C404" s="1" t="n">
        <v>46002</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55829-2025</t>
        </is>
      </c>
      <c r="B405" s="1" t="n">
        <v>45972.79274305556</v>
      </c>
      <c r="C405" s="1" t="n">
        <v>46002</v>
      </c>
      <c r="D405" t="inlineStr">
        <is>
          <t>SÖDERMANLANDS LÄN</t>
        </is>
      </c>
      <c r="E405" t="inlineStr">
        <is>
          <t>KATRINEHOLM</t>
        </is>
      </c>
      <c r="G405" t="n">
        <v>3.2</v>
      </c>
      <c r="H405" t="n">
        <v>0</v>
      </c>
      <c r="I405" t="n">
        <v>0</v>
      </c>
      <c r="J405" t="n">
        <v>0</v>
      </c>
      <c r="K405" t="n">
        <v>0</v>
      </c>
      <c r="L405" t="n">
        <v>0</v>
      </c>
      <c r="M405" t="n">
        <v>0</v>
      </c>
      <c r="N405" t="n">
        <v>0</v>
      </c>
      <c r="O405" t="n">
        <v>0</v>
      </c>
      <c r="P405" t="n">
        <v>0</v>
      </c>
      <c r="Q405" t="n">
        <v>0</v>
      </c>
      <c r="R405" s="2" t="inlineStr"/>
    </row>
    <row r="406" ht="15" customHeight="1">
      <c r="A406" t="inlineStr">
        <is>
          <t>A 12227-2025</t>
        </is>
      </c>
      <c r="B406" s="1" t="n">
        <v>45729.56836805555</v>
      </c>
      <c r="C406" s="1" t="n">
        <v>46002</v>
      </c>
      <c r="D406" t="inlineStr">
        <is>
          <t>SÖDERMANLANDS LÄN</t>
        </is>
      </c>
      <c r="E406" t="inlineStr">
        <is>
          <t>KATRINEHOLM</t>
        </is>
      </c>
      <c r="G406" t="n">
        <v>7</v>
      </c>
      <c r="H406" t="n">
        <v>0</v>
      </c>
      <c r="I406" t="n">
        <v>0</v>
      </c>
      <c r="J406" t="n">
        <v>0</v>
      </c>
      <c r="K406" t="n">
        <v>0</v>
      </c>
      <c r="L406" t="n">
        <v>0</v>
      </c>
      <c r="M406" t="n">
        <v>0</v>
      </c>
      <c r="N406" t="n">
        <v>0</v>
      </c>
      <c r="O406" t="n">
        <v>0</v>
      </c>
      <c r="P406" t="n">
        <v>0</v>
      </c>
      <c r="Q406" t="n">
        <v>0</v>
      </c>
      <c r="R406" s="2" t="inlineStr"/>
    </row>
    <row r="407" ht="15" customHeight="1">
      <c r="A407" t="inlineStr">
        <is>
          <t>A 50032-2022</t>
        </is>
      </c>
      <c r="B407" s="1" t="n">
        <v>44860</v>
      </c>
      <c r="C407" s="1" t="n">
        <v>46002</v>
      </c>
      <c r="D407" t="inlineStr">
        <is>
          <t>SÖDERMANLANDS LÄN</t>
        </is>
      </c>
      <c r="E407" t="inlineStr">
        <is>
          <t>KATRINEHOLM</t>
        </is>
      </c>
      <c r="G407" t="n">
        <v>7.5</v>
      </c>
      <c r="H407" t="n">
        <v>0</v>
      </c>
      <c r="I407" t="n">
        <v>0</v>
      </c>
      <c r="J407" t="n">
        <v>0</v>
      </c>
      <c r="K407" t="n">
        <v>0</v>
      </c>
      <c r="L407" t="n">
        <v>0</v>
      </c>
      <c r="M407" t="n">
        <v>0</v>
      </c>
      <c r="N407" t="n">
        <v>0</v>
      </c>
      <c r="O407" t="n">
        <v>0</v>
      </c>
      <c r="P407" t="n">
        <v>0</v>
      </c>
      <c r="Q407" t="n">
        <v>0</v>
      </c>
      <c r="R407" s="2" t="inlineStr"/>
    </row>
    <row r="408" ht="15" customHeight="1">
      <c r="A408" t="inlineStr">
        <is>
          <t>A 50804-2023</t>
        </is>
      </c>
      <c r="B408" s="1" t="n">
        <v>45211</v>
      </c>
      <c r="C408" s="1" t="n">
        <v>46002</v>
      </c>
      <c r="D408" t="inlineStr">
        <is>
          <t>SÖDERMANLANDS LÄN</t>
        </is>
      </c>
      <c r="E408" t="inlineStr">
        <is>
          <t>KATRINEHOLM</t>
        </is>
      </c>
      <c r="G408" t="n">
        <v>4</v>
      </c>
      <c r="H408" t="n">
        <v>0</v>
      </c>
      <c r="I408" t="n">
        <v>0</v>
      </c>
      <c r="J408" t="n">
        <v>0</v>
      </c>
      <c r="K408" t="n">
        <v>0</v>
      </c>
      <c r="L408" t="n">
        <v>0</v>
      </c>
      <c r="M408" t="n">
        <v>0</v>
      </c>
      <c r="N408" t="n">
        <v>0</v>
      </c>
      <c r="O408" t="n">
        <v>0</v>
      </c>
      <c r="P408" t="n">
        <v>0</v>
      </c>
      <c r="Q408" t="n">
        <v>0</v>
      </c>
      <c r="R408" s="2" t="inlineStr"/>
    </row>
    <row r="409" ht="15" customHeight="1">
      <c r="A409" t="inlineStr">
        <is>
          <t>A 36590-2025</t>
        </is>
      </c>
      <c r="B409" s="1" t="n">
        <v>45870</v>
      </c>
      <c r="C409" s="1" t="n">
        <v>46002</v>
      </c>
      <c r="D409" t="inlineStr">
        <is>
          <t>SÖDERMANLANDS LÄN</t>
        </is>
      </c>
      <c r="E409" t="inlineStr">
        <is>
          <t>KATRINEHOLM</t>
        </is>
      </c>
      <c r="G409" t="n">
        <v>2</v>
      </c>
      <c r="H409" t="n">
        <v>0</v>
      </c>
      <c r="I409" t="n">
        <v>0</v>
      </c>
      <c r="J409" t="n">
        <v>0</v>
      </c>
      <c r="K409" t="n">
        <v>0</v>
      </c>
      <c r="L409" t="n">
        <v>0</v>
      </c>
      <c r="M409" t="n">
        <v>0</v>
      </c>
      <c r="N409" t="n">
        <v>0</v>
      </c>
      <c r="O409" t="n">
        <v>0</v>
      </c>
      <c r="P409" t="n">
        <v>0</v>
      </c>
      <c r="Q409" t="n">
        <v>0</v>
      </c>
      <c r="R409" s="2" t="inlineStr"/>
    </row>
    <row r="410" ht="15" customHeight="1">
      <c r="A410" t="inlineStr">
        <is>
          <t>A 29502-2023</t>
        </is>
      </c>
      <c r="B410" s="1" t="n">
        <v>45106</v>
      </c>
      <c r="C410" s="1" t="n">
        <v>46002</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50021-2023</t>
        </is>
      </c>
      <c r="B411" s="1" t="n">
        <v>45215</v>
      </c>
      <c r="C411" s="1" t="n">
        <v>46002</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56074-2022</t>
        </is>
      </c>
      <c r="B412" s="1" t="n">
        <v>44889</v>
      </c>
      <c r="C412" s="1" t="n">
        <v>46002</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c r="T412">
        <f>HYPERLINK("https://klasma.github.io/Logging_0483/kartor/A 56074-2022 karta.png", "A 56074-2022")</f>
        <v/>
      </c>
      <c r="V412">
        <f>HYPERLINK("https://klasma.github.io/Logging_0483/klagomål/A 56074-2022 FSC-klagomål.docx", "A 56074-2022")</f>
        <v/>
      </c>
      <c r="W412">
        <f>HYPERLINK("https://klasma.github.io/Logging_0483/klagomålsmail/A 56074-2022 FSC-klagomål mail.docx", "A 56074-2022")</f>
        <v/>
      </c>
      <c r="X412">
        <f>HYPERLINK("https://klasma.github.io/Logging_0483/tillsyn/A 56074-2022 tillsynsbegäran.docx", "A 56074-2022")</f>
        <v/>
      </c>
      <c r="Y412">
        <f>HYPERLINK("https://klasma.github.io/Logging_0483/tillsynsmail/A 56074-2022 tillsynsbegäran mail.docx", "A 56074-2022")</f>
        <v/>
      </c>
    </row>
    <row r="413" ht="15" customHeight="1">
      <c r="A413" t="inlineStr">
        <is>
          <t>A 26684-2025</t>
        </is>
      </c>
      <c r="B413" s="1" t="n">
        <v>45810</v>
      </c>
      <c r="C413" s="1" t="n">
        <v>46002</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8922-2024</t>
        </is>
      </c>
      <c r="B414" s="1" t="n">
        <v>45357.38601851852</v>
      </c>
      <c r="C414" s="1" t="n">
        <v>46002</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37043-2025</t>
        </is>
      </c>
      <c r="B415" s="1" t="n">
        <v>45875.3396412037</v>
      </c>
      <c r="C415" s="1" t="n">
        <v>46002</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56330-2025</t>
        </is>
      </c>
      <c r="B416" s="1" t="n">
        <v>45974.64094907408</v>
      </c>
      <c r="C416" s="1" t="n">
        <v>46002</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45376-2022</t>
        </is>
      </c>
      <c r="B417" s="1" t="n">
        <v>44844</v>
      </c>
      <c r="C417" s="1" t="n">
        <v>46002</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39748-2022</t>
        </is>
      </c>
      <c r="B418" s="1" t="n">
        <v>44817</v>
      </c>
      <c r="C418" s="1" t="n">
        <v>46002</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3090-2025</t>
        </is>
      </c>
      <c r="B419" s="1" t="n">
        <v>45678</v>
      </c>
      <c r="C419" s="1" t="n">
        <v>46002</v>
      </c>
      <c r="D419" t="inlineStr">
        <is>
          <t>SÖDERMANLANDS LÄN</t>
        </is>
      </c>
      <c r="E419" t="inlineStr">
        <is>
          <t>KATRINEHOLM</t>
        </is>
      </c>
      <c r="F419" t="inlineStr">
        <is>
          <t>Kyrkan</t>
        </is>
      </c>
      <c r="G419" t="n">
        <v>6.9</v>
      </c>
      <c r="H419" t="n">
        <v>0</v>
      </c>
      <c r="I419" t="n">
        <v>0</v>
      </c>
      <c r="J419" t="n">
        <v>0</v>
      </c>
      <c r="K419" t="n">
        <v>0</v>
      </c>
      <c r="L419" t="n">
        <v>0</v>
      </c>
      <c r="M419" t="n">
        <v>0</v>
      </c>
      <c r="N419" t="n">
        <v>0</v>
      </c>
      <c r="O419" t="n">
        <v>0</v>
      </c>
      <c r="P419" t="n">
        <v>0</v>
      </c>
      <c r="Q419" t="n">
        <v>0</v>
      </c>
      <c r="R419" s="2" t="inlineStr"/>
    </row>
    <row r="420" ht="15" customHeight="1">
      <c r="A420" t="inlineStr">
        <is>
          <t>A 28431-2024</t>
        </is>
      </c>
      <c r="B420" s="1" t="n">
        <v>45477.65216435185</v>
      </c>
      <c r="C420" s="1" t="n">
        <v>46002</v>
      </c>
      <c r="D420" t="inlineStr">
        <is>
          <t>SÖDERMANLANDS LÄN</t>
        </is>
      </c>
      <c r="E420" t="inlineStr">
        <is>
          <t>KATRINEHOLM</t>
        </is>
      </c>
      <c r="G420" t="n">
        <v>3.5</v>
      </c>
      <c r="H420" t="n">
        <v>0</v>
      </c>
      <c r="I420" t="n">
        <v>0</v>
      </c>
      <c r="J420" t="n">
        <v>0</v>
      </c>
      <c r="K420" t="n">
        <v>0</v>
      </c>
      <c r="L420" t="n">
        <v>0</v>
      </c>
      <c r="M420" t="n">
        <v>0</v>
      </c>
      <c r="N420" t="n">
        <v>0</v>
      </c>
      <c r="O420" t="n">
        <v>0</v>
      </c>
      <c r="P420" t="n">
        <v>0</v>
      </c>
      <c r="Q420" t="n">
        <v>0</v>
      </c>
      <c r="R420" s="2" t="inlineStr"/>
    </row>
    <row r="421" ht="15" customHeight="1">
      <c r="A421" t="inlineStr">
        <is>
          <t>A 56597-2025</t>
        </is>
      </c>
      <c r="B421" s="1" t="n">
        <v>45975.57271990741</v>
      </c>
      <c r="C421" s="1" t="n">
        <v>46002</v>
      </c>
      <c r="D421" t="inlineStr">
        <is>
          <t>SÖDERMANLANDS LÄN</t>
        </is>
      </c>
      <c r="E421" t="inlineStr">
        <is>
          <t>KATRINEHOLM</t>
        </is>
      </c>
      <c r="G421" t="n">
        <v>1.7</v>
      </c>
      <c r="H421" t="n">
        <v>0</v>
      </c>
      <c r="I421" t="n">
        <v>0</v>
      </c>
      <c r="J421" t="n">
        <v>0</v>
      </c>
      <c r="K421" t="n">
        <v>0</v>
      </c>
      <c r="L421" t="n">
        <v>0</v>
      </c>
      <c r="M421" t="n">
        <v>0</v>
      </c>
      <c r="N421" t="n">
        <v>0</v>
      </c>
      <c r="O421" t="n">
        <v>0</v>
      </c>
      <c r="P421" t="n">
        <v>0</v>
      </c>
      <c r="Q421" t="n">
        <v>0</v>
      </c>
      <c r="R421" s="2" t="inlineStr"/>
    </row>
    <row r="422" ht="15" customHeight="1">
      <c r="A422" t="inlineStr">
        <is>
          <t>A 34981-2023</t>
        </is>
      </c>
      <c r="B422" s="1" t="n">
        <v>45142</v>
      </c>
      <c r="C422" s="1" t="n">
        <v>46002</v>
      </c>
      <c r="D422" t="inlineStr">
        <is>
          <t>SÖDERMANLANDS LÄN</t>
        </is>
      </c>
      <c r="E422" t="inlineStr">
        <is>
          <t>KATRINEHOLM</t>
        </is>
      </c>
      <c r="G422" t="n">
        <v>10</v>
      </c>
      <c r="H422" t="n">
        <v>0</v>
      </c>
      <c r="I422" t="n">
        <v>0</v>
      </c>
      <c r="J422" t="n">
        <v>0</v>
      </c>
      <c r="K422" t="n">
        <v>0</v>
      </c>
      <c r="L422" t="n">
        <v>0</v>
      </c>
      <c r="M422" t="n">
        <v>0</v>
      </c>
      <c r="N422" t="n">
        <v>0</v>
      </c>
      <c r="O422" t="n">
        <v>0</v>
      </c>
      <c r="P422" t="n">
        <v>0</v>
      </c>
      <c r="Q422" t="n">
        <v>0</v>
      </c>
      <c r="R422" s="2" t="inlineStr"/>
    </row>
    <row r="423" ht="15" customHeight="1">
      <c r="A423" t="inlineStr">
        <is>
          <t>A 37827-2025</t>
        </is>
      </c>
      <c r="B423" s="1" t="n">
        <v>45881.40907407407</v>
      </c>
      <c r="C423" s="1" t="n">
        <v>46002</v>
      </c>
      <c r="D423" t="inlineStr">
        <is>
          <t>SÖDERMANLANDS LÄN</t>
        </is>
      </c>
      <c r="E423" t="inlineStr">
        <is>
          <t>KATRINEHOLM</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31740-2022</t>
        </is>
      </c>
      <c r="B424" s="1" t="n">
        <v>44776</v>
      </c>
      <c r="C424" s="1" t="n">
        <v>46002</v>
      </c>
      <c r="D424" t="inlineStr">
        <is>
          <t>SÖDERMANLANDS LÄN</t>
        </is>
      </c>
      <c r="E424" t="inlineStr">
        <is>
          <t>KATRINEHOLM</t>
        </is>
      </c>
      <c r="G424" t="n">
        <v>1.1</v>
      </c>
      <c r="H424" t="n">
        <v>0</v>
      </c>
      <c r="I424" t="n">
        <v>0</v>
      </c>
      <c r="J424" t="n">
        <v>0</v>
      </c>
      <c r="K424" t="n">
        <v>0</v>
      </c>
      <c r="L424" t="n">
        <v>0</v>
      </c>
      <c r="M424" t="n">
        <v>0</v>
      </c>
      <c r="N424" t="n">
        <v>0</v>
      </c>
      <c r="O424" t="n">
        <v>0</v>
      </c>
      <c r="P424" t="n">
        <v>0</v>
      </c>
      <c r="Q424" t="n">
        <v>0</v>
      </c>
      <c r="R424" s="2" t="inlineStr"/>
    </row>
    <row r="425" ht="15" customHeight="1">
      <c r="A425" t="inlineStr">
        <is>
          <t>A 53750-2022</t>
        </is>
      </c>
      <c r="B425" s="1" t="n">
        <v>44875</v>
      </c>
      <c r="C425" s="1" t="n">
        <v>46002</v>
      </c>
      <c r="D425" t="inlineStr">
        <is>
          <t>SÖDERMANLANDS LÄN</t>
        </is>
      </c>
      <c r="E425" t="inlineStr">
        <is>
          <t>KATRINEHOLM</t>
        </is>
      </c>
      <c r="F425" t="inlineStr">
        <is>
          <t>Övriga Aktiebolag</t>
        </is>
      </c>
      <c r="G425" t="n">
        <v>12.6</v>
      </c>
      <c r="H425" t="n">
        <v>0</v>
      </c>
      <c r="I425" t="n">
        <v>0</v>
      </c>
      <c r="J425" t="n">
        <v>0</v>
      </c>
      <c r="K425" t="n">
        <v>0</v>
      </c>
      <c r="L425" t="n">
        <v>0</v>
      </c>
      <c r="M425" t="n">
        <v>0</v>
      </c>
      <c r="N425" t="n">
        <v>0</v>
      </c>
      <c r="O425" t="n">
        <v>0</v>
      </c>
      <c r="P425" t="n">
        <v>0</v>
      </c>
      <c r="Q425" t="n">
        <v>0</v>
      </c>
      <c r="R425" s="2" t="inlineStr"/>
    </row>
    <row r="426" ht="15" customHeight="1">
      <c r="A426" t="inlineStr">
        <is>
          <t>A 47886-2023</t>
        </is>
      </c>
      <c r="B426" s="1" t="n">
        <v>45204</v>
      </c>
      <c r="C426" s="1" t="n">
        <v>46002</v>
      </c>
      <c r="D426" t="inlineStr">
        <is>
          <t>SÖDERMANLANDS LÄN</t>
        </is>
      </c>
      <c r="E426" t="inlineStr">
        <is>
          <t>KATRINEHOLM</t>
        </is>
      </c>
      <c r="G426" t="n">
        <v>22</v>
      </c>
      <c r="H426" t="n">
        <v>0</v>
      </c>
      <c r="I426" t="n">
        <v>0</v>
      </c>
      <c r="J426" t="n">
        <v>0</v>
      </c>
      <c r="K426" t="n">
        <v>0</v>
      </c>
      <c r="L426" t="n">
        <v>0</v>
      </c>
      <c r="M426" t="n">
        <v>0</v>
      </c>
      <c r="N426" t="n">
        <v>0</v>
      </c>
      <c r="O426" t="n">
        <v>0</v>
      </c>
      <c r="P426" t="n">
        <v>0</v>
      </c>
      <c r="Q426" t="n">
        <v>0</v>
      </c>
      <c r="R426" s="2" t="inlineStr"/>
    </row>
    <row r="427" ht="15" customHeight="1">
      <c r="A427" t="inlineStr">
        <is>
          <t>A 3125-2024</t>
        </is>
      </c>
      <c r="B427" s="1" t="n">
        <v>45316</v>
      </c>
      <c r="C427" s="1" t="n">
        <v>46002</v>
      </c>
      <c r="D427" t="inlineStr">
        <is>
          <t>SÖDERMANLANDS LÄN</t>
        </is>
      </c>
      <c r="E427" t="inlineStr">
        <is>
          <t>KATRINEHOLM</t>
        </is>
      </c>
      <c r="G427" t="n">
        <v>3.4</v>
      </c>
      <c r="H427" t="n">
        <v>0</v>
      </c>
      <c r="I427" t="n">
        <v>0</v>
      </c>
      <c r="J427" t="n">
        <v>0</v>
      </c>
      <c r="K427" t="n">
        <v>0</v>
      </c>
      <c r="L427" t="n">
        <v>0</v>
      </c>
      <c r="M427" t="n">
        <v>0</v>
      </c>
      <c r="N427" t="n">
        <v>0</v>
      </c>
      <c r="O427" t="n">
        <v>0</v>
      </c>
      <c r="P427" t="n">
        <v>0</v>
      </c>
      <c r="Q427" t="n">
        <v>0</v>
      </c>
      <c r="R427" s="2" t="inlineStr"/>
    </row>
    <row r="428" ht="15" customHeight="1">
      <c r="A428" t="inlineStr">
        <is>
          <t>A 8087-2022</t>
        </is>
      </c>
      <c r="B428" s="1" t="n">
        <v>44609.53502314815</v>
      </c>
      <c r="C428" s="1" t="n">
        <v>46002</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11543-2025</t>
        </is>
      </c>
      <c r="B429" s="1" t="n">
        <v>45727.34248842593</v>
      </c>
      <c r="C429" s="1" t="n">
        <v>46002</v>
      </c>
      <c r="D429" t="inlineStr">
        <is>
          <t>SÖDERMANLANDS LÄN</t>
        </is>
      </c>
      <c r="E429" t="inlineStr">
        <is>
          <t>KATRINEHOLM</t>
        </is>
      </c>
      <c r="G429" t="n">
        <v>3.6</v>
      </c>
      <c r="H429" t="n">
        <v>0</v>
      </c>
      <c r="I429" t="n">
        <v>0</v>
      </c>
      <c r="J429" t="n">
        <v>0</v>
      </c>
      <c r="K429" t="n">
        <v>0</v>
      </c>
      <c r="L429" t="n">
        <v>0</v>
      </c>
      <c r="M429" t="n">
        <v>0</v>
      </c>
      <c r="N429" t="n">
        <v>0</v>
      </c>
      <c r="O429" t="n">
        <v>0</v>
      </c>
      <c r="P429" t="n">
        <v>0</v>
      </c>
      <c r="Q429" t="n">
        <v>0</v>
      </c>
      <c r="R429" s="2" t="inlineStr"/>
    </row>
    <row r="430" ht="15" customHeight="1">
      <c r="A430" t="inlineStr">
        <is>
          <t>A 27852-2023</t>
        </is>
      </c>
      <c r="B430" s="1" t="n">
        <v>45098</v>
      </c>
      <c r="C430" s="1" t="n">
        <v>46002</v>
      </c>
      <c r="D430" t="inlineStr">
        <is>
          <t>SÖDERMANLANDS LÄN</t>
        </is>
      </c>
      <c r="E430" t="inlineStr">
        <is>
          <t>KATRINEHOLM</t>
        </is>
      </c>
      <c r="G430" t="n">
        <v>7.4</v>
      </c>
      <c r="H430" t="n">
        <v>0</v>
      </c>
      <c r="I430" t="n">
        <v>0</v>
      </c>
      <c r="J430" t="n">
        <v>0</v>
      </c>
      <c r="K430" t="n">
        <v>0</v>
      </c>
      <c r="L430" t="n">
        <v>0</v>
      </c>
      <c r="M430" t="n">
        <v>0</v>
      </c>
      <c r="N430" t="n">
        <v>0</v>
      </c>
      <c r="O430" t="n">
        <v>0</v>
      </c>
      <c r="P430" t="n">
        <v>0</v>
      </c>
      <c r="Q430" t="n">
        <v>0</v>
      </c>
      <c r="R430" s="2" t="inlineStr"/>
    </row>
    <row r="431" ht="15" customHeight="1">
      <c r="A431" t="inlineStr">
        <is>
          <t>A 35228-2025</t>
        </is>
      </c>
      <c r="B431" s="1" t="n">
        <v>45853</v>
      </c>
      <c r="C431" s="1" t="n">
        <v>46002</v>
      </c>
      <c r="D431" t="inlineStr">
        <is>
          <t>SÖDERMANLANDS LÄN</t>
        </is>
      </c>
      <c r="E431" t="inlineStr">
        <is>
          <t>KATRINEHOLM</t>
        </is>
      </c>
      <c r="G431" t="n">
        <v>1.1</v>
      </c>
      <c r="H431" t="n">
        <v>0</v>
      </c>
      <c r="I431" t="n">
        <v>0</v>
      </c>
      <c r="J431" t="n">
        <v>0</v>
      </c>
      <c r="K431" t="n">
        <v>0</v>
      </c>
      <c r="L431" t="n">
        <v>0</v>
      </c>
      <c r="M431" t="n">
        <v>0</v>
      </c>
      <c r="N431" t="n">
        <v>0</v>
      </c>
      <c r="O431" t="n">
        <v>0</v>
      </c>
      <c r="P431" t="n">
        <v>0</v>
      </c>
      <c r="Q431" t="n">
        <v>0</v>
      </c>
      <c r="R431" s="2" t="inlineStr"/>
    </row>
    <row r="432" ht="15" customHeight="1">
      <c r="A432" t="inlineStr">
        <is>
          <t>A 1143-2024</t>
        </is>
      </c>
      <c r="B432" s="1" t="n">
        <v>45302</v>
      </c>
      <c r="C432" s="1" t="n">
        <v>46002</v>
      </c>
      <c r="D432" t="inlineStr">
        <is>
          <t>SÖDERMANLANDS LÄN</t>
        </is>
      </c>
      <c r="E432" t="inlineStr">
        <is>
          <t>KATRINEHOLM</t>
        </is>
      </c>
      <c r="G432" t="n">
        <v>1.7</v>
      </c>
      <c r="H432" t="n">
        <v>0</v>
      </c>
      <c r="I432" t="n">
        <v>0</v>
      </c>
      <c r="J432" t="n">
        <v>0</v>
      </c>
      <c r="K432" t="n">
        <v>0</v>
      </c>
      <c r="L432" t="n">
        <v>0</v>
      </c>
      <c r="M432" t="n">
        <v>0</v>
      </c>
      <c r="N432" t="n">
        <v>0</v>
      </c>
      <c r="O432" t="n">
        <v>0</v>
      </c>
      <c r="P432" t="n">
        <v>0</v>
      </c>
      <c r="Q432" t="n">
        <v>0</v>
      </c>
      <c r="R432" s="2" t="inlineStr"/>
    </row>
    <row r="433" ht="15" customHeight="1">
      <c r="A433" t="inlineStr">
        <is>
          <t>A 3980-2024</t>
        </is>
      </c>
      <c r="B433" s="1" t="n">
        <v>45322</v>
      </c>
      <c r="C433" s="1" t="n">
        <v>46002</v>
      </c>
      <c r="D433" t="inlineStr">
        <is>
          <t>SÖDERMANLANDS LÄN</t>
        </is>
      </c>
      <c r="E433" t="inlineStr">
        <is>
          <t>KATRINEHOLM</t>
        </is>
      </c>
      <c r="G433" t="n">
        <v>0.4</v>
      </c>
      <c r="H433" t="n">
        <v>0</v>
      </c>
      <c r="I433" t="n">
        <v>0</v>
      </c>
      <c r="J433" t="n">
        <v>0</v>
      </c>
      <c r="K433" t="n">
        <v>0</v>
      </c>
      <c r="L433" t="n">
        <v>0</v>
      </c>
      <c r="M433" t="n">
        <v>0</v>
      </c>
      <c r="N433" t="n">
        <v>0</v>
      </c>
      <c r="O433" t="n">
        <v>0</v>
      </c>
      <c r="P433" t="n">
        <v>0</v>
      </c>
      <c r="Q433" t="n">
        <v>0</v>
      </c>
      <c r="R433" s="2" t="inlineStr"/>
    </row>
    <row r="434" ht="15" customHeight="1">
      <c r="A434" t="inlineStr">
        <is>
          <t>A 17335-2023</t>
        </is>
      </c>
      <c r="B434" s="1" t="n">
        <v>45033</v>
      </c>
      <c r="C434" s="1" t="n">
        <v>46002</v>
      </c>
      <c r="D434" t="inlineStr">
        <is>
          <t>SÖDERMANLANDS LÄN</t>
        </is>
      </c>
      <c r="E434" t="inlineStr">
        <is>
          <t>KATRINEHOLM</t>
        </is>
      </c>
      <c r="G434" t="n">
        <v>3.3</v>
      </c>
      <c r="H434" t="n">
        <v>0</v>
      </c>
      <c r="I434" t="n">
        <v>0</v>
      </c>
      <c r="J434" t="n">
        <v>0</v>
      </c>
      <c r="K434" t="n">
        <v>0</v>
      </c>
      <c r="L434" t="n">
        <v>0</v>
      </c>
      <c r="M434" t="n">
        <v>0</v>
      </c>
      <c r="N434" t="n">
        <v>0</v>
      </c>
      <c r="O434" t="n">
        <v>0</v>
      </c>
      <c r="P434" t="n">
        <v>0</v>
      </c>
      <c r="Q434" t="n">
        <v>0</v>
      </c>
      <c r="R434" s="2" t="inlineStr"/>
    </row>
    <row r="435" ht="15" customHeight="1">
      <c r="A435" t="inlineStr">
        <is>
          <t>A 59898-2022</t>
        </is>
      </c>
      <c r="B435" s="1" t="n">
        <v>44908</v>
      </c>
      <c r="C435" s="1" t="n">
        <v>46002</v>
      </c>
      <c r="D435" t="inlineStr">
        <is>
          <t>SÖDERMANLANDS LÄN</t>
        </is>
      </c>
      <c r="E435" t="inlineStr">
        <is>
          <t>KATRINEHOLM</t>
        </is>
      </c>
      <c r="G435" t="n">
        <v>4.8</v>
      </c>
      <c r="H435" t="n">
        <v>0</v>
      </c>
      <c r="I435" t="n">
        <v>0</v>
      </c>
      <c r="J435" t="n">
        <v>0</v>
      </c>
      <c r="K435" t="n">
        <v>0</v>
      </c>
      <c r="L435" t="n">
        <v>0</v>
      </c>
      <c r="M435" t="n">
        <v>0</v>
      </c>
      <c r="N435" t="n">
        <v>0</v>
      </c>
      <c r="O435" t="n">
        <v>0</v>
      </c>
      <c r="P435" t="n">
        <v>0</v>
      </c>
      <c r="Q435" t="n">
        <v>0</v>
      </c>
      <c r="R435" s="2" t="inlineStr"/>
    </row>
    <row r="436" ht="15" customHeight="1">
      <c r="A436" t="inlineStr">
        <is>
          <t>A 57323-2025</t>
        </is>
      </c>
      <c r="B436" s="1" t="n">
        <v>45980.32501157407</v>
      </c>
      <c r="C436" s="1" t="n">
        <v>46002</v>
      </c>
      <c r="D436" t="inlineStr">
        <is>
          <t>SÖDERMANLANDS LÄN</t>
        </is>
      </c>
      <c r="E436" t="inlineStr">
        <is>
          <t>KATRINEHOLM</t>
        </is>
      </c>
      <c r="F436" t="inlineStr">
        <is>
          <t>Övriga Aktiebolag</t>
        </is>
      </c>
      <c r="G436" t="n">
        <v>1.1</v>
      </c>
      <c r="H436" t="n">
        <v>0</v>
      </c>
      <c r="I436" t="n">
        <v>0</v>
      </c>
      <c r="J436" t="n">
        <v>0</v>
      </c>
      <c r="K436" t="n">
        <v>0</v>
      </c>
      <c r="L436" t="n">
        <v>0</v>
      </c>
      <c r="M436" t="n">
        <v>0</v>
      </c>
      <c r="N436" t="n">
        <v>0</v>
      </c>
      <c r="O436" t="n">
        <v>0</v>
      </c>
      <c r="P436" t="n">
        <v>0</v>
      </c>
      <c r="Q436" t="n">
        <v>0</v>
      </c>
      <c r="R436" s="2" t="inlineStr"/>
    </row>
    <row r="437" ht="15" customHeight="1">
      <c r="A437" t="inlineStr">
        <is>
          <t>A 73412-2021</t>
        </is>
      </c>
      <c r="B437" s="1" t="n">
        <v>44551</v>
      </c>
      <c r="C437" s="1" t="n">
        <v>46002</v>
      </c>
      <c r="D437" t="inlineStr">
        <is>
          <t>SÖDERMANLANDS LÄN</t>
        </is>
      </c>
      <c r="E437" t="inlineStr">
        <is>
          <t>KATRINEHOLM</t>
        </is>
      </c>
      <c r="G437" t="n">
        <v>2</v>
      </c>
      <c r="H437" t="n">
        <v>0</v>
      </c>
      <c r="I437" t="n">
        <v>0</v>
      </c>
      <c r="J437" t="n">
        <v>0</v>
      </c>
      <c r="K437" t="n">
        <v>0</v>
      </c>
      <c r="L437" t="n">
        <v>0</v>
      </c>
      <c r="M437" t="n">
        <v>0</v>
      </c>
      <c r="N437" t="n">
        <v>0</v>
      </c>
      <c r="O437" t="n">
        <v>0</v>
      </c>
      <c r="P437" t="n">
        <v>0</v>
      </c>
      <c r="Q437" t="n">
        <v>0</v>
      </c>
      <c r="R437" s="2" t="inlineStr"/>
    </row>
    <row r="438" ht="15" customHeight="1">
      <c r="A438" t="inlineStr">
        <is>
          <t>A 28995-2024</t>
        </is>
      </c>
      <c r="B438" s="1" t="n">
        <v>45481.49899305555</v>
      </c>
      <c r="C438" s="1" t="n">
        <v>46002</v>
      </c>
      <c r="D438" t="inlineStr">
        <is>
          <t>SÖDERMANLANDS LÄN</t>
        </is>
      </c>
      <c r="E438" t="inlineStr">
        <is>
          <t>KATRINEHOLM</t>
        </is>
      </c>
      <c r="G438" t="n">
        <v>0.9</v>
      </c>
      <c r="H438" t="n">
        <v>0</v>
      </c>
      <c r="I438" t="n">
        <v>0</v>
      </c>
      <c r="J438" t="n">
        <v>0</v>
      </c>
      <c r="K438" t="n">
        <v>0</v>
      </c>
      <c r="L438" t="n">
        <v>0</v>
      </c>
      <c r="M438" t="n">
        <v>0</v>
      </c>
      <c r="N438" t="n">
        <v>0</v>
      </c>
      <c r="O438" t="n">
        <v>0</v>
      </c>
      <c r="P438" t="n">
        <v>0</v>
      </c>
      <c r="Q438" t="n">
        <v>0</v>
      </c>
      <c r="R438" s="2" t="inlineStr"/>
    </row>
    <row r="439" ht="15" customHeight="1">
      <c r="A439" t="inlineStr">
        <is>
          <t>A 57975-2025</t>
        </is>
      </c>
      <c r="B439" s="1" t="n">
        <v>45981</v>
      </c>
      <c r="C439" s="1" t="n">
        <v>46002</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46002</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41966-2023</t>
        </is>
      </c>
      <c r="B441" s="1" t="n">
        <v>45177</v>
      </c>
      <c r="C441" s="1" t="n">
        <v>46002</v>
      </c>
      <c r="D441" t="inlineStr">
        <is>
          <t>SÖDERMANLANDS LÄN</t>
        </is>
      </c>
      <c r="E441" t="inlineStr">
        <is>
          <t>KATRINEHOLM</t>
        </is>
      </c>
      <c r="G441" t="n">
        <v>36.9</v>
      </c>
      <c r="H441" t="n">
        <v>0</v>
      </c>
      <c r="I441" t="n">
        <v>0</v>
      </c>
      <c r="J441" t="n">
        <v>0</v>
      </c>
      <c r="K441" t="n">
        <v>0</v>
      </c>
      <c r="L441" t="n">
        <v>0</v>
      </c>
      <c r="M441" t="n">
        <v>0</v>
      </c>
      <c r="N441" t="n">
        <v>0</v>
      </c>
      <c r="O441" t="n">
        <v>0</v>
      </c>
      <c r="P441" t="n">
        <v>0</v>
      </c>
      <c r="Q441" t="n">
        <v>0</v>
      </c>
      <c r="R441" s="2" t="inlineStr"/>
    </row>
    <row r="442" ht="15" customHeight="1">
      <c r="A442" t="inlineStr">
        <is>
          <t>A 10446-2024</t>
        </is>
      </c>
      <c r="B442" s="1" t="n">
        <v>45366</v>
      </c>
      <c r="C442" s="1" t="n">
        <v>46002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8761-2023</t>
        </is>
      </c>
      <c r="B443" s="1" t="n">
        <v>44978.49685185185</v>
      </c>
      <c r="C443" s="1" t="n">
        <v>46002</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8778-2023</t>
        </is>
      </c>
      <c r="B444" s="1" t="n">
        <v>44978.5737037037</v>
      </c>
      <c r="C444" s="1" t="n">
        <v>46002</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15399-2022</t>
        </is>
      </c>
      <c r="B445" s="1" t="n">
        <v>44659</v>
      </c>
      <c r="C445" s="1" t="n">
        <v>46002</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49116-2024</t>
        </is>
      </c>
      <c r="B446" s="1" t="n">
        <v>45594.6605787037</v>
      </c>
      <c r="C446" s="1" t="n">
        <v>46002</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49743-2025</t>
        </is>
      </c>
      <c r="B447" s="1" t="n">
        <v>45940</v>
      </c>
      <c r="C447" s="1" t="n">
        <v>46002</v>
      </c>
      <c r="D447" t="inlineStr">
        <is>
          <t>SÖDERMANLANDS LÄN</t>
        </is>
      </c>
      <c r="E447" t="inlineStr">
        <is>
          <t>KATRINEHOLM</t>
        </is>
      </c>
      <c r="G447" t="n">
        <v>1.1</v>
      </c>
      <c r="H447" t="n">
        <v>0</v>
      </c>
      <c r="I447" t="n">
        <v>0</v>
      </c>
      <c r="J447" t="n">
        <v>0</v>
      </c>
      <c r="K447" t="n">
        <v>0</v>
      </c>
      <c r="L447" t="n">
        <v>0</v>
      </c>
      <c r="M447" t="n">
        <v>0</v>
      </c>
      <c r="N447" t="n">
        <v>0</v>
      </c>
      <c r="O447" t="n">
        <v>0</v>
      </c>
      <c r="P447" t="n">
        <v>0</v>
      </c>
      <c r="Q447" t="n">
        <v>0</v>
      </c>
      <c r="R447" s="2" t="inlineStr"/>
    </row>
    <row r="448" ht="15" customHeight="1">
      <c r="A448" t="inlineStr">
        <is>
          <t>A 6753-2022</t>
        </is>
      </c>
      <c r="B448" s="1" t="n">
        <v>44602</v>
      </c>
      <c r="C448" s="1" t="n">
        <v>46002</v>
      </c>
      <c r="D448" t="inlineStr">
        <is>
          <t>SÖDERMANLANDS LÄN</t>
        </is>
      </c>
      <c r="E448" t="inlineStr">
        <is>
          <t>KATRINEHOLM</t>
        </is>
      </c>
      <c r="G448" t="n">
        <v>4.3</v>
      </c>
      <c r="H448" t="n">
        <v>0</v>
      </c>
      <c r="I448" t="n">
        <v>0</v>
      </c>
      <c r="J448" t="n">
        <v>0</v>
      </c>
      <c r="K448" t="n">
        <v>0</v>
      </c>
      <c r="L448" t="n">
        <v>0</v>
      </c>
      <c r="M448" t="n">
        <v>0</v>
      </c>
      <c r="N448" t="n">
        <v>0</v>
      </c>
      <c r="O448" t="n">
        <v>0</v>
      </c>
      <c r="P448" t="n">
        <v>0</v>
      </c>
      <c r="Q448" t="n">
        <v>0</v>
      </c>
      <c r="R448" s="2" t="inlineStr"/>
    </row>
    <row r="449" ht="15" customHeight="1">
      <c r="A449" t="inlineStr">
        <is>
          <t>A 6763-2022</t>
        </is>
      </c>
      <c r="B449" s="1" t="n">
        <v>44602</v>
      </c>
      <c r="C449" s="1" t="n">
        <v>46002</v>
      </c>
      <c r="D449" t="inlineStr">
        <is>
          <t>SÖDERMANLANDS LÄN</t>
        </is>
      </c>
      <c r="E449" t="inlineStr">
        <is>
          <t>KATRINEHOLM</t>
        </is>
      </c>
      <c r="G449" t="n">
        <v>6.7</v>
      </c>
      <c r="H449" t="n">
        <v>0</v>
      </c>
      <c r="I449" t="n">
        <v>0</v>
      </c>
      <c r="J449" t="n">
        <v>0</v>
      </c>
      <c r="K449" t="n">
        <v>0</v>
      </c>
      <c r="L449" t="n">
        <v>0</v>
      </c>
      <c r="M449" t="n">
        <v>0</v>
      </c>
      <c r="N449" t="n">
        <v>0</v>
      </c>
      <c r="O449" t="n">
        <v>0</v>
      </c>
      <c r="P449" t="n">
        <v>0</v>
      </c>
      <c r="Q449" t="n">
        <v>0</v>
      </c>
      <c r="R449" s="2" t="inlineStr"/>
    </row>
    <row r="450" ht="15" customHeight="1">
      <c r="A450" t="inlineStr">
        <is>
          <t>A 39068-2022</t>
        </is>
      </c>
      <c r="B450" s="1" t="n">
        <v>44816</v>
      </c>
      <c r="C450" s="1" t="n">
        <v>46002</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66540-2021</t>
        </is>
      </c>
      <c r="B451" s="1" t="n">
        <v>44519</v>
      </c>
      <c r="C451" s="1" t="n">
        <v>46002</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8288-2023</t>
        </is>
      </c>
      <c r="B452" s="1" t="n">
        <v>44974</v>
      </c>
      <c r="C452" s="1" t="n">
        <v>46002</v>
      </c>
      <c r="D452" t="inlineStr">
        <is>
          <t>SÖDERMANLANDS LÄN</t>
        </is>
      </c>
      <c r="E452" t="inlineStr">
        <is>
          <t>KATRINEHOLM</t>
        </is>
      </c>
      <c r="F452" t="inlineStr">
        <is>
          <t>Allmännings- och besparingsskogar</t>
        </is>
      </c>
      <c r="G452" t="n">
        <v>5.6</v>
      </c>
      <c r="H452" t="n">
        <v>0</v>
      </c>
      <c r="I452" t="n">
        <v>0</v>
      </c>
      <c r="J452" t="n">
        <v>0</v>
      </c>
      <c r="K452" t="n">
        <v>0</v>
      </c>
      <c r="L452" t="n">
        <v>0</v>
      </c>
      <c r="M452" t="n">
        <v>0</v>
      </c>
      <c r="N452" t="n">
        <v>0</v>
      </c>
      <c r="O452" t="n">
        <v>0</v>
      </c>
      <c r="P452" t="n">
        <v>0</v>
      </c>
      <c r="Q452" t="n">
        <v>0</v>
      </c>
      <c r="R452" s="2" t="inlineStr"/>
    </row>
    <row r="453" ht="15" customHeight="1">
      <c r="A453" t="inlineStr">
        <is>
          <t>A 45142-2021</t>
        </is>
      </c>
      <c r="B453" s="1" t="n">
        <v>44439</v>
      </c>
      <c r="C453" s="1" t="n">
        <v>46002</v>
      </c>
      <c r="D453" t="inlineStr">
        <is>
          <t>SÖDERMANLANDS LÄN</t>
        </is>
      </c>
      <c r="E453" t="inlineStr">
        <is>
          <t>KATRINEHOLM</t>
        </is>
      </c>
      <c r="G453" t="n">
        <v>1.8</v>
      </c>
      <c r="H453" t="n">
        <v>0</v>
      </c>
      <c r="I453" t="n">
        <v>0</v>
      </c>
      <c r="J453" t="n">
        <v>0</v>
      </c>
      <c r="K453" t="n">
        <v>0</v>
      </c>
      <c r="L453" t="n">
        <v>0</v>
      </c>
      <c r="M453" t="n">
        <v>0</v>
      </c>
      <c r="N453" t="n">
        <v>0</v>
      </c>
      <c r="O453" t="n">
        <v>0</v>
      </c>
      <c r="P453" t="n">
        <v>0</v>
      </c>
      <c r="Q453" t="n">
        <v>0</v>
      </c>
      <c r="R453" s="2" t="inlineStr"/>
    </row>
    <row r="454" ht="15" customHeight="1">
      <c r="A454" t="inlineStr">
        <is>
          <t>A 5788-2022</t>
        </is>
      </c>
      <c r="B454" s="1" t="n">
        <v>44596.54990740741</v>
      </c>
      <c r="C454" s="1" t="n">
        <v>46002</v>
      </c>
      <c r="D454" t="inlineStr">
        <is>
          <t>SÖDERMANLANDS LÄN</t>
        </is>
      </c>
      <c r="E454" t="inlineStr">
        <is>
          <t>KATRINEHOLM</t>
        </is>
      </c>
      <c r="G454" t="n">
        <v>4.1</v>
      </c>
      <c r="H454" t="n">
        <v>0</v>
      </c>
      <c r="I454" t="n">
        <v>0</v>
      </c>
      <c r="J454" t="n">
        <v>0</v>
      </c>
      <c r="K454" t="n">
        <v>0</v>
      </c>
      <c r="L454" t="n">
        <v>0</v>
      </c>
      <c r="M454" t="n">
        <v>0</v>
      </c>
      <c r="N454" t="n">
        <v>0</v>
      </c>
      <c r="O454" t="n">
        <v>0</v>
      </c>
      <c r="P454" t="n">
        <v>0</v>
      </c>
      <c r="Q454" t="n">
        <v>0</v>
      </c>
      <c r="R454" s="2" t="inlineStr"/>
    </row>
    <row r="455" ht="15" customHeight="1">
      <c r="A455" t="inlineStr">
        <is>
          <t>A 5790-2022</t>
        </is>
      </c>
      <c r="B455" s="1" t="n">
        <v>44596.55368055555</v>
      </c>
      <c r="C455" s="1" t="n">
        <v>46002</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53387-2023</t>
        </is>
      </c>
      <c r="B456" s="1" t="n">
        <v>45229</v>
      </c>
      <c r="C456" s="1" t="n">
        <v>46002</v>
      </c>
      <c r="D456" t="inlineStr">
        <is>
          <t>SÖDERMANLANDS LÄN</t>
        </is>
      </c>
      <c r="E456" t="inlineStr">
        <is>
          <t>KATRINEHOLM</t>
        </is>
      </c>
      <c r="F456" t="inlineStr">
        <is>
          <t>Kyrkan</t>
        </is>
      </c>
      <c r="G456" t="n">
        <v>7.4</v>
      </c>
      <c r="H456" t="n">
        <v>0</v>
      </c>
      <c r="I456" t="n">
        <v>0</v>
      </c>
      <c r="J456" t="n">
        <v>0</v>
      </c>
      <c r="K456" t="n">
        <v>0</v>
      </c>
      <c r="L456" t="n">
        <v>0</v>
      </c>
      <c r="M456" t="n">
        <v>0</v>
      </c>
      <c r="N456" t="n">
        <v>0</v>
      </c>
      <c r="O456" t="n">
        <v>0</v>
      </c>
      <c r="P456" t="n">
        <v>0</v>
      </c>
      <c r="Q456" t="n">
        <v>0</v>
      </c>
      <c r="R456" s="2" t="inlineStr"/>
    </row>
    <row r="457" ht="15" customHeight="1">
      <c r="A457" t="inlineStr">
        <is>
          <t>A 55169-2022</t>
        </is>
      </c>
      <c r="B457" s="1" t="n">
        <v>44886</v>
      </c>
      <c r="C457" s="1" t="n">
        <v>46002</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13612-2023</t>
        </is>
      </c>
      <c r="B458" s="1" t="n">
        <v>45006</v>
      </c>
      <c r="C458" s="1" t="n">
        <v>46002</v>
      </c>
      <c r="D458" t="inlineStr">
        <is>
          <t>SÖDERMANLANDS LÄN</t>
        </is>
      </c>
      <c r="E458" t="inlineStr">
        <is>
          <t>KATRINEHOLM</t>
        </is>
      </c>
      <c r="G458" t="n">
        <v>2.3</v>
      </c>
      <c r="H458" t="n">
        <v>0</v>
      </c>
      <c r="I458" t="n">
        <v>0</v>
      </c>
      <c r="J458" t="n">
        <v>0</v>
      </c>
      <c r="K458" t="n">
        <v>0</v>
      </c>
      <c r="L458" t="n">
        <v>0</v>
      </c>
      <c r="M458" t="n">
        <v>0</v>
      </c>
      <c r="N458" t="n">
        <v>0</v>
      </c>
      <c r="O458" t="n">
        <v>0</v>
      </c>
      <c r="P458" t="n">
        <v>0</v>
      </c>
      <c r="Q458" t="n">
        <v>0</v>
      </c>
      <c r="R458" s="2" t="inlineStr"/>
    </row>
    <row r="459" ht="15" customHeight="1">
      <c r="A459" t="inlineStr">
        <is>
          <t>A 20949-2021</t>
        </is>
      </c>
      <c r="B459" s="1" t="n">
        <v>44319</v>
      </c>
      <c r="C459" s="1" t="n">
        <v>46002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7747-2024</t>
        </is>
      </c>
      <c r="B460" s="1" t="n">
        <v>45348</v>
      </c>
      <c r="C460" s="1" t="n">
        <v>46002</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4650-2024</t>
        </is>
      </c>
      <c r="B461" s="1" t="n">
        <v>45328</v>
      </c>
      <c r="C461" s="1" t="n">
        <v>46002</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4652-2024</t>
        </is>
      </c>
      <c r="B462" s="1" t="n">
        <v>45328</v>
      </c>
      <c r="C462" s="1" t="n">
        <v>46002</v>
      </c>
      <c r="D462" t="inlineStr">
        <is>
          <t>SÖDERMANLANDS LÄN</t>
        </is>
      </c>
      <c r="E462" t="inlineStr">
        <is>
          <t>KATRINEHOLM</t>
        </is>
      </c>
      <c r="F462" t="inlineStr">
        <is>
          <t>Övriga Aktiebolag</t>
        </is>
      </c>
      <c r="G462" t="n">
        <v>6.1</v>
      </c>
      <c r="H462" t="n">
        <v>0</v>
      </c>
      <c r="I462" t="n">
        <v>0</v>
      </c>
      <c r="J462" t="n">
        <v>0</v>
      </c>
      <c r="K462" t="n">
        <v>0</v>
      </c>
      <c r="L462" t="n">
        <v>0</v>
      </c>
      <c r="M462" t="n">
        <v>0</v>
      </c>
      <c r="N462" t="n">
        <v>0</v>
      </c>
      <c r="O462" t="n">
        <v>0</v>
      </c>
      <c r="P462" t="n">
        <v>0</v>
      </c>
      <c r="Q462" t="n">
        <v>0</v>
      </c>
      <c r="R462" s="2" t="inlineStr"/>
    </row>
    <row r="463" ht="15" customHeight="1">
      <c r="A463" t="inlineStr">
        <is>
          <t>A 48253-2022</t>
        </is>
      </c>
      <c r="B463" s="1" t="n">
        <v>44858</v>
      </c>
      <c r="C463" s="1" t="n">
        <v>46002</v>
      </c>
      <c r="D463" t="inlineStr">
        <is>
          <t>SÖDERMANLANDS LÄN</t>
        </is>
      </c>
      <c r="E463" t="inlineStr">
        <is>
          <t>KATRINEHOLM</t>
        </is>
      </c>
      <c r="G463" t="n">
        <v>4.7</v>
      </c>
      <c r="H463" t="n">
        <v>0</v>
      </c>
      <c r="I463" t="n">
        <v>0</v>
      </c>
      <c r="J463" t="n">
        <v>0</v>
      </c>
      <c r="K463" t="n">
        <v>0</v>
      </c>
      <c r="L463" t="n">
        <v>0</v>
      </c>
      <c r="M463" t="n">
        <v>0</v>
      </c>
      <c r="N463" t="n">
        <v>0</v>
      </c>
      <c r="O463" t="n">
        <v>0</v>
      </c>
      <c r="P463" t="n">
        <v>0</v>
      </c>
      <c r="Q463" t="n">
        <v>0</v>
      </c>
      <c r="R463" s="2" t="inlineStr"/>
    </row>
    <row r="464" ht="15" customHeight="1">
      <c r="A464" t="inlineStr">
        <is>
          <t>A 32166-2022</t>
        </is>
      </c>
      <c r="B464" s="1" t="n">
        <v>44781</v>
      </c>
      <c r="C464" s="1" t="n">
        <v>46002</v>
      </c>
      <c r="D464" t="inlineStr">
        <is>
          <t>SÖDERMANLANDS LÄN</t>
        </is>
      </c>
      <c r="E464" t="inlineStr">
        <is>
          <t>KATRINEHOLM</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59384-2022</t>
        </is>
      </c>
      <c r="B465" s="1" t="n">
        <v>44905</v>
      </c>
      <c r="C465" s="1" t="n">
        <v>46002</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10996-2022</t>
        </is>
      </c>
      <c r="B466" s="1" t="n">
        <v>44628</v>
      </c>
      <c r="C466" s="1" t="n">
        <v>46002</v>
      </c>
      <c r="D466" t="inlineStr">
        <is>
          <t>SÖDERMANLANDS LÄN</t>
        </is>
      </c>
      <c r="E466" t="inlineStr">
        <is>
          <t>KATRINEHOLM</t>
        </is>
      </c>
      <c r="G466" t="n">
        <v>0.3</v>
      </c>
      <c r="H466" t="n">
        <v>0</v>
      </c>
      <c r="I466" t="n">
        <v>0</v>
      </c>
      <c r="J466" t="n">
        <v>0</v>
      </c>
      <c r="K466" t="n">
        <v>0</v>
      </c>
      <c r="L466" t="n">
        <v>0</v>
      </c>
      <c r="M466" t="n">
        <v>0</v>
      </c>
      <c r="N466" t="n">
        <v>0</v>
      </c>
      <c r="O466" t="n">
        <v>0</v>
      </c>
      <c r="P466" t="n">
        <v>0</v>
      </c>
      <c r="Q466" t="n">
        <v>0</v>
      </c>
      <c r="R466" s="2" t="inlineStr"/>
    </row>
    <row r="467" ht="15" customHeight="1">
      <c r="A467" t="inlineStr">
        <is>
          <t>A 50934-2025</t>
        </is>
      </c>
      <c r="B467" s="1" t="n">
        <v>45946.69195601852</v>
      </c>
      <c r="C467" s="1" t="n">
        <v>46002</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25363-2023</t>
        </is>
      </c>
      <c r="B468" s="1" t="n">
        <v>45088.83840277778</v>
      </c>
      <c r="C468" s="1" t="n">
        <v>46002</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7705-2021</t>
        </is>
      </c>
      <c r="B469" s="1" t="n">
        <v>44242</v>
      </c>
      <c r="C469" s="1" t="n">
        <v>46002</v>
      </c>
      <c r="D469" t="inlineStr">
        <is>
          <t>SÖDERMANLANDS LÄN</t>
        </is>
      </c>
      <c r="E469" t="inlineStr">
        <is>
          <t>KATRINEHOLM</t>
        </is>
      </c>
      <c r="F469" t="inlineStr">
        <is>
          <t>Allmännings- och besparingsskogar</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51774-2025</t>
        </is>
      </c>
      <c r="B470" s="1" t="n">
        <v>45951.65359953704</v>
      </c>
      <c r="C470" s="1" t="n">
        <v>46002</v>
      </c>
      <c r="D470" t="inlineStr">
        <is>
          <t>SÖDERMANLANDS LÄN</t>
        </is>
      </c>
      <c r="E470" t="inlineStr">
        <is>
          <t>KATRINEHOLM</t>
        </is>
      </c>
      <c r="F470" t="inlineStr">
        <is>
          <t>Allmännings- och besparingsskogar</t>
        </is>
      </c>
      <c r="G470" t="n">
        <v>3.7</v>
      </c>
      <c r="H470" t="n">
        <v>0</v>
      </c>
      <c r="I470" t="n">
        <v>0</v>
      </c>
      <c r="J470" t="n">
        <v>0</v>
      </c>
      <c r="K470" t="n">
        <v>0</v>
      </c>
      <c r="L470" t="n">
        <v>0</v>
      </c>
      <c r="M470" t="n">
        <v>0</v>
      </c>
      <c r="N470" t="n">
        <v>0</v>
      </c>
      <c r="O470" t="n">
        <v>0</v>
      </c>
      <c r="P470" t="n">
        <v>0</v>
      </c>
      <c r="Q470" t="n">
        <v>0</v>
      </c>
      <c r="R470" s="2" t="inlineStr"/>
    </row>
    <row r="471" ht="15" customHeight="1">
      <c r="A471" t="inlineStr">
        <is>
          <t>A 51783-2025</t>
        </is>
      </c>
      <c r="B471" s="1" t="n">
        <v>45951.67546296296</v>
      </c>
      <c r="C471" s="1" t="n">
        <v>46002</v>
      </c>
      <c r="D471" t="inlineStr">
        <is>
          <t>SÖDERMANLANDS LÄN</t>
        </is>
      </c>
      <c r="E471" t="inlineStr">
        <is>
          <t>KATRINEHOLM</t>
        </is>
      </c>
      <c r="F471" t="inlineStr">
        <is>
          <t>Allmännings- och besparingsskogar</t>
        </is>
      </c>
      <c r="G471" t="n">
        <v>5.8</v>
      </c>
      <c r="H471" t="n">
        <v>0</v>
      </c>
      <c r="I471" t="n">
        <v>0</v>
      </c>
      <c r="J471" t="n">
        <v>0</v>
      </c>
      <c r="K471" t="n">
        <v>0</v>
      </c>
      <c r="L471" t="n">
        <v>0</v>
      </c>
      <c r="M471" t="n">
        <v>0</v>
      </c>
      <c r="N471" t="n">
        <v>0</v>
      </c>
      <c r="O471" t="n">
        <v>0</v>
      </c>
      <c r="P471" t="n">
        <v>0</v>
      </c>
      <c r="Q471" t="n">
        <v>0</v>
      </c>
      <c r="R471" s="2" t="inlineStr"/>
    </row>
    <row r="472" ht="15" customHeight="1">
      <c r="A472" t="inlineStr">
        <is>
          <t>A 59967-2025</t>
        </is>
      </c>
      <c r="B472" s="1" t="n">
        <v>45993.48525462963</v>
      </c>
      <c r="C472" s="1" t="n">
        <v>46002</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48398-2022</t>
        </is>
      </c>
      <c r="B473" s="1" t="n">
        <v>44858.60809027778</v>
      </c>
      <c r="C473" s="1" t="n">
        <v>46002</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51367-2025</t>
        </is>
      </c>
      <c r="B474" s="1" t="n">
        <v>45950.44700231482</v>
      </c>
      <c r="C474" s="1" t="n">
        <v>46002</v>
      </c>
      <c r="D474" t="inlineStr">
        <is>
          <t>SÖDERMANLANDS LÄN</t>
        </is>
      </c>
      <c r="E474" t="inlineStr">
        <is>
          <t>KATRINEHOLM</t>
        </is>
      </c>
      <c r="G474" t="n">
        <v>2.7</v>
      </c>
      <c r="H474" t="n">
        <v>0</v>
      </c>
      <c r="I474" t="n">
        <v>0</v>
      </c>
      <c r="J474" t="n">
        <v>0</v>
      </c>
      <c r="K474" t="n">
        <v>0</v>
      </c>
      <c r="L474" t="n">
        <v>0</v>
      </c>
      <c r="M474" t="n">
        <v>0</v>
      </c>
      <c r="N474" t="n">
        <v>0</v>
      </c>
      <c r="O474" t="n">
        <v>0</v>
      </c>
      <c r="P474" t="n">
        <v>0</v>
      </c>
      <c r="Q474" t="n">
        <v>0</v>
      </c>
      <c r="R474" s="2" t="inlineStr"/>
    </row>
    <row r="475" ht="15" customHeight="1">
      <c r="A475" t="inlineStr">
        <is>
          <t>A 15945-2024</t>
        </is>
      </c>
      <c r="B475" s="1" t="n">
        <v>45405.48912037037</v>
      </c>
      <c r="C475" s="1" t="n">
        <v>46002</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1329-2025</t>
        </is>
      </c>
      <c r="B476" s="1" t="n">
        <v>45667</v>
      </c>
      <c r="C476" s="1" t="n">
        <v>46002</v>
      </c>
      <c r="D476" t="inlineStr">
        <is>
          <t>SÖDERMANLANDS LÄN</t>
        </is>
      </c>
      <c r="E476" t="inlineStr">
        <is>
          <t>KATRINEHOLM</t>
        </is>
      </c>
      <c r="G476" t="n">
        <v>2.7</v>
      </c>
      <c r="H476" t="n">
        <v>0</v>
      </c>
      <c r="I476" t="n">
        <v>0</v>
      </c>
      <c r="J476" t="n">
        <v>0</v>
      </c>
      <c r="K476" t="n">
        <v>0</v>
      </c>
      <c r="L476" t="n">
        <v>0</v>
      </c>
      <c r="M476" t="n">
        <v>0</v>
      </c>
      <c r="N476" t="n">
        <v>0</v>
      </c>
      <c r="O476" t="n">
        <v>0</v>
      </c>
      <c r="P476" t="n">
        <v>0</v>
      </c>
      <c r="Q476" t="n">
        <v>0</v>
      </c>
      <c r="R476" s="2" t="inlineStr"/>
    </row>
    <row r="477" ht="15" customHeight="1">
      <c r="A477" t="inlineStr">
        <is>
          <t>A 8475-2023</t>
        </is>
      </c>
      <c r="B477" s="1" t="n">
        <v>44977</v>
      </c>
      <c r="C477" s="1" t="n">
        <v>46002</v>
      </c>
      <c r="D477" t="inlineStr">
        <is>
          <t>SÖDERMANLANDS LÄN</t>
        </is>
      </c>
      <c r="E477" t="inlineStr">
        <is>
          <t>KATRINEHOLM</t>
        </is>
      </c>
      <c r="F477" t="inlineStr">
        <is>
          <t>Allmännings- och besparingsskogar</t>
        </is>
      </c>
      <c r="G477" t="n">
        <v>8.1</v>
      </c>
      <c r="H477" t="n">
        <v>0</v>
      </c>
      <c r="I477" t="n">
        <v>0</v>
      </c>
      <c r="J477" t="n">
        <v>0</v>
      </c>
      <c r="K477" t="n">
        <v>0</v>
      </c>
      <c r="L477" t="n">
        <v>0</v>
      </c>
      <c r="M477" t="n">
        <v>0</v>
      </c>
      <c r="N477" t="n">
        <v>0</v>
      </c>
      <c r="O477" t="n">
        <v>0</v>
      </c>
      <c r="P477" t="n">
        <v>0</v>
      </c>
      <c r="Q477" t="n">
        <v>0</v>
      </c>
      <c r="R477" s="2" t="inlineStr"/>
    </row>
    <row r="478" ht="15" customHeight="1">
      <c r="A478" t="inlineStr">
        <is>
          <t>A 8518-2023</t>
        </is>
      </c>
      <c r="B478" s="1" t="n">
        <v>44977</v>
      </c>
      <c r="C478" s="1" t="n">
        <v>46002</v>
      </c>
      <c r="D478" t="inlineStr">
        <is>
          <t>SÖDERMANLANDS LÄN</t>
        </is>
      </c>
      <c r="E478" t="inlineStr">
        <is>
          <t>KATRINEHOLM</t>
        </is>
      </c>
      <c r="F478" t="inlineStr">
        <is>
          <t>Allmännings- och besparingsskogar</t>
        </is>
      </c>
      <c r="G478" t="n">
        <v>35.3</v>
      </c>
      <c r="H478" t="n">
        <v>0</v>
      </c>
      <c r="I478" t="n">
        <v>0</v>
      </c>
      <c r="J478" t="n">
        <v>0</v>
      </c>
      <c r="K478" t="n">
        <v>0</v>
      </c>
      <c r="L478" t="n">
        <v>0</v>
      </c>
      <c r="M478" t="n">
        <v>0</v>
      </c>
      <c r="N478" t="n">
        <v>0</v>
      </c>
      <c r="O478" t="n">
        <v>0</v>
      </c>
      <c r="P478" t="n">
        <v>0</v>
      </c>
      <c r="Q478" t="n">
        <v>0</v>
      </c>
      <c r="R478" s="2" t="inlineStr"/>
    </row>
    <row r="479" ht="15" customHeight="1">
      <c r="A479" t="inlineStr">
        <is>
          <t>A 51780-2025</t>
        </is>
      </c>
      <c r="B479" s="1" t="n">
        <v>45951.65725694445</v>
      </c>
      <c r="C479" s="1" t="n">
        <v>46002</v>
      </c>
      <c r="D479" t="inlineStr">
        <is>
          <t>SÖDERMANLANDS LÄN</t>
        </is>
      </c>
      <c r="E479" t="inlineStr">
        <is>
          <t>KATRINEHOLM</t>
        </is>
      </c>
      <c r="F479" t="inlineStr">
        <is>
          <t>Allmännings- och besparingsskogar</t>
        </is>
      </c>
      <c r="G479" t="n">
        <v>1.3</v>
      </c>
      <c r="H479" t="n">
        <v>0</v>
      </c>
      <c r="I479" t="n">
        <v>0</v>
      </c>
      <c r="J479" t="n">
        <v>0</v>
      </c>
      <c r="K479" t="n">
        <v>0</v>
      </c>
      <c r="L479" t="n">
        <v>0</v>
      </c>
      <c r="M479" t="n">
        <v>0</v>
      </c>
      <c r="N479" t="n">
        <v>0</v>
      </c>
      <c r="O479" t="n">
        <v>0</v>
      </c>
      <c r="P479" t="n">
        <v>0</v>
      </c>
      <c r="Q479" t="n">
        <v>0</v>
      </c>
      <c r="R479" s="2" t="inlineStr"/>
    </row>
    <row r="480" ht="15" customHeight="1">
      <c r="A480" t="inlineStr">
        <is>
          <t>A 46670-2021</t>
        </is>
      </c>
      <c r="B480" s="1" t="n">
        <v>44445</v>
      </c>
      <c r="C480" s="1" t="n">
        <v>46002</v>
      </c>
      <c r="D480" t="inlineStr">
        <is>
          <t>SÖDERMANLANDS LÄN</t>
        </is>
      </c>
      <c r="E480" t="inlineStr">
        <is>
          <t>KATRINEHOLM</t>
        </is>
      </c>
      <c r="G480" t="n">
        <v>4.4</v>
      </c>
      <c r="H480" t="n">
        <v>0</v>
      </c>
      <c r="I480" t="n">
        <v>0</v>
      </c>
      <c r="J480" t="n">
        <v>0</v>
      </c>
      <c r="K480" t="n">
        <v>0</v>
      </c>
      <c r="L480" t="n">
        <v>0</v>
      </c>
      <c r="M480" t="n">
        <v>0</v>
      </c>
      <c r="N480" t="n">
        <v>0</v>
      </c>
      <c r="O480" t="n">
        <v>0</v>
      </c>
      <c r="P480" t="n">
        <v>0</v>
      </c>
      <c r="Q480" t="n">
        <v>0</v>
      </c>
      <c r="R480" s="2" t="inlineStr"/>
    </row>
    <row r="481" ht="15" customHeight="1">
      <c r="A481" t="inlineStr">
        <is>
          <t>A 52239-2025</t>
        </is>
      </c>
      <c r="B481" s="1" t="n">
        <v>45953.46193287037</v>
      </c>
      <c r="C481" s="1" t="n">
        <v>46002</v>
      </c>
      <c r="D481" t="inlineStr">
        <is>
          <t>SÖDERMANLANDS LÄN</t>
        </is>
      </c>
      <c r="E481" t="inlineStr">
        <is>
          <t>KATRINEHOLM</t>
        </is>
      </c>
      <c r="G481" t="n">
        <v>0.7</v>
      </c>
      <c r="H481" t="n">
        <v>0</v>
      </c>
      <c r="I481" t="n">
        <v>0</v>
      </c>
      <c r="J481" t="n">
        <v>0</v>
      </c>
      <c r="K481" t="n">
        <v>0</v>
      </c>
      <c r="L481" t="n">
        <v>0</v>
      </c>
      <c r="M481" t="n">
        <v>0</v>
      </c>
      <c r="N481" t="n">
        <v>0</v>
      </c>
      <c r="O481" t="n">
        <v>0</v>
      </c>
      <c r="P481" t="n">
        <v>0</v>
      </c>
      <c r="Q481" t="n">
        <v>0</v>
      </c>
      <c r="R481" s="2" t="inlineStr"/>
    </row>
    <row r="482" ht="15" customHeight="1">
      <c r="A482" t="inlineStr">
        <is>
          <t>A 52242-2025</t>
        </is>
      </c>
      <c r="B482" s="1" t="n">
        <v>45953.46886574074</v>
      </c>
      <c r="C482" s="1" t="n">
        <v>46002</v>
      </c>
      <c r="D482" t="inlineStr">
        <is>
          <t>SÖDERMANLANDS LÄN</t>
        </is>
      </c>
      <c r="E482" t="inlineStr">
        <is>
          <t>KATRINEHOLM</t>
        </is>
      </c>
      <c r="G482" t="n">
        <v>5.3</v>
      </c>
      <c r="H482" t="n">
        <v>0</v>
      </c>
      <c r="I482" t="n">
        <v>0</v>
      </c>
      <c r="J482" t="n">
        <v>0</v>
      </c>
      <c r="K482" t="n">
        <v>0</v>
      </c>
      <c r="L482" t="n">
        <v>0</v>
      </c>
      <c r="M482" t="n">
        <v>0</v>
      </c>
      <c r="N482" t="n">
        <v>0</v>
      </c>
      <c r="O482" t="n">
        <v>0</v>
      </c>
      <c r="P482" t="n">
        <v>0</v>
      </c>
      <c r="Q482" t="n">
        <v>0</v>
      </c>
      <c r="R482" s="2" t="inlineStr"/>
    </row>
    <row r="483" ht="15" customHeight="1">
      <c r="A483" t="inlineStr">
        <is>
          <t>A 52244-2025</t>
        </is>
      </c>
      <c r="B483" s="1" t="n">
        <v>45953</v>
      </c>
      <c r="C483" s="1" t="n">
        <v>46002</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61911-2021</t>
        </is>
      </c>
      <c r="B484" s="1" t="n">
        <v>44502.35746527778</v>
      </c>
      <c r="C484" s="1" t="n">
        <v>46002</v>
      </c>
      <c r="D484" t="inlineStr">
        <is>
          <t>SÖDERMANLANDS LÄN</t>
        </is>
      </c>
      <c r="E484" t="inlineStr">
        <is>
          <t>KATRINEHOLM</t>
        </is>
      </c>
      <c r="G484" t="n">
        <v>3.8</v>
      </c>
      <c r="H484" t="n">
        <v>0</v>
      </c>
      <c r="I484" t="n">
        <v>0</v>
      </c>
      <c r="J484" t="n">
        <v>0</v>
      </c>
      <c r="K484" t="n">
        <v>0</v>
      </c>
      <c r="L484" t="n">
        <v>0</v>
      </c>
      <c r="M484" t="n">
        <v>0</v>
      </c>
      <c r="N484" t="n">
        <v>0</v>
      </c>
      <c r="O484" t="n">
        <v>0</v>
      </c>
      <c r="P484" t="n">
        <v>0</v>
      </c>
      <c r="Q484" t="n">
        <v>0</v>
      </c>
      <c r="R484" s="2" t="inlineStr"/>
    </row>
    <row r="485" ht="15" customHeight="1">
      <c r="A485" t="inlineStr">
        <is>
          <t>A 43513-2023</t>
        </is>
      </c>
      <c r="B485" s="1" t="n">
        <v>45184</v>
      </c>
      <c r="C485" s="1" t="n">
        <v>46002</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2297-2021</t>
        </is>
      </c>
      <c r="B486" s="1" t="n">
        <v>44212</v>
      </c>
      <c r="C486" s="1" t="n">
        <v>46002</v>
      </c>
      <c r="D486" t="inlineStr">
        <is>
          <t>SÖDERMANLANDS LÄN</t>
        </is>
      </c>
      <c r="E486" t="inlineStr">
        <is>
          <t>KATRINEHOLM</t>
        </is>
      </c>
      <c r="G486" t="n">
        <v>14.4</v>
      </c>
      <c r="H486" t="n">
        <v>0</v>
      </c>
      <c r="I486" t="n">
        <v>0</v>
      </c>
      <c r="J486" t="n">
        <v>0</v>
      </c>
      <c r="K486" t="n">
        <v>0</v>
      </c>
      <c r="L486" t="n">
        <v>0</v>
      </c>
      <c r="M486" t="n">
        <v>0</v>
      </c>
      <c r="N486" t="n">
        <v>0</v>
      </c>
      <c r="O486" t="n">
        <v>0</v>
      </c>
      <c r="P486" t="n">
        <v>0</v>
      </c>
      <c r="Q486" t="n">
        <v>0</v>
      </c>
      <c r="R486" s="2" t="inlineStr"/>
    </row>
    <row r="487" ht="15" customHeight="1">
      <c r="A487" t="inlineStr">
        <is>
          <t>A 49122-2024</t>
        </is>
      </c>
      <c r="B487" s="1" t="n">
        <v>45594</v>
      </c>
      <c r="C487" s="1" t="n">
        <v>46002</v>
      </c>
      <c r="D487" t="inlineStr">
        <is>
          <t>SÖDERMANLANDS LÄN</t>
        </is>
      </c>
      <c r="E487" t="inlineStr">
        <is>
          <t>KATRINEHOLM</t>
        </is>
      </c>
      <c r="G487" t="n">
        <v>19.4</v>
      </c>
      <c r="H487" t="n">
        <v>0</v>
      </c>
      <c r="I487" t="n">
        <v>0</v>
      </c>
      <c r="J487" t="n">
        <v>0</v>
      </c>
      <c r="K487" t="n">
        <v>0</v>
      </c>
      <c r="L487" t="n">
        <v>0</v>
      </c>
      <c r="M487" t="n">
        <v>0</v>
      </c>
      <c r="N487" t="n">
        <v>0</v>
      </c>
      <c r="O487" t="n">
        <v>0</v>
      </c>
      <c r="P487" t="n">
        <v>0</v>
      </c>
      <c r="Q487" t="n">
        <v>0</v>
      </c>
      <c r="R487" s="2" t="inlineStr"/>
    </row>
    <row r="488" ht="15" customHeight="1">
      <c r="A488" t="inlineStr">
        <is>
          <t>A 8791-2023</t>
        </is>
      </c>
      <c r="B488" s="1" t="n">
        <v>44978</v>
      </c>
      <c r="C488" s="1" t="n">
        <v>46002</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55825-2022</t>
        </is>
      </c>
      <c r="B489" s="1" t="n">
        <v>44886</v>
      </c>
      <c r="C489" s="1" t="n">
        <v>46002</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62954-2023</t>
        </is>
      </c>
      <c r="B490" s="1" t="n">
        <v>45272.55362268518</v>
      </c>
      <c r="C490" s="1" t="n">
        <v>46002</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7191-2023</t>
        </is>
      </c>
      <c r="B491" s="1" t="n">
        <v>44965</v>
      </c>
      <c r="C491" s="1" t="n">
        <v>46002</v>
      </c>
      <c r="D491" t="inlineStr">
        <is>
          <t>SÖDERMANLANDS LÄN</t>
        </is>
      </c>
      <c r="E491" t="inlineStr">
        <is>
          <t>KATRINEHOLM</t>
        </is>
      </c>
      <c r="G491" t="n">
        <v>14.1</v>
      </c>
      <c r="H491" t="n">
        <v>0</v>
      </c>
      <c r="I491" t="n">
        <v>0</v>
      </c>
      <c r="J491" t="n">
        <v>0</v>
      </c>
      <c r="K491" t="n">
        <v>0</v>
      </c>
      <c r="L491" t="n">
        <v>0</v>
      </c>
      <c r="M491" t="n">
        <v>0</v>
      </c>
      <c r="N491" t="n">
        <v>0</v>
      </c>
      <c r="O491" t="n">
        <v>0</v>
      </c>
      <c r="P491" t="n">
        <v>0</v>
      </c>
      <c r="Q491" t="n">
        <v>0</v>
      </c>
      <c r="R491" s="2" t="inlineStr"/>
    </row>
    <row r="492" ht="15" customHeight="1">
      <c r="A492" t="inlineStr">
        <is>
          <t>A 37834-2023</t>
        </is>
      </c>
      <c r="B492" s="1" t="n">
        <v>45160</v>
      </c>
      <c r="C492" s="1" t="n">
        <v>46002</v>
      </c>
      <c r="D492" t="inlineStr">
        <is>
          <t>SÖDERMANLANDS LÄN</t>
        </is>
      </c>
      <c r="E492" t="inlineStr">
        <is>
          <t>KATRINEHOLM</t>
        </is>
      </c>
      <c r="F492" t="inlineStr">
        <is>
          <t>Kyrkan</t>
        </is>
      </c>
      <c r="G492" t="n">
        <v>2.8</v>
      </c>
      <c r="H492" t="n">
        <v>0</v>
      </c>
      <c r="I492" t="n">
        <v>0</v>
      </c>
      <c r="J492" t="n">
        <v>0</v>
      </c>
      <c r="K492" t="n">
        <v>0</v>
      </c>
      <c r="L492" t="n">
        <v>0</v>
      </c>
      <c r="M492" t="n">
        <v>0</v>
      </c>
      <c r="N492" t="n">
        <v>0</v>
      </c>
      <c r="O492" t="n">
        <v>0</v>
      </c>
      <c r="P492" t="n">
        <v>0</v>
      </c>
      <c r="Q492" t="n">
        <v>0</v>
      </c>
      <c r="R492" s="2" t="inlineStr"/>
    </row>
    <row r="493" ht="15" customHeight="1">
      <c r="A493" t="inlineStr">
        <is>
          <t>A 36210-2022</t>
        </is>
      </c>
      <c r="B493" s="1" t="n">
        <v>44803.47950231482</v>
      </c>
      <c r="C493" s="1" t="n">
        <v>46002</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19685-2022</t>
        </is>
      </c>
      <c r="B494" s="1" t="n">
        <v>44694</v>
      </c>
      <c r="C494" s="1" t="n">
        <v>46002</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41548-2025</t>
        </is>
      </c>
      <c r="B495" s="1" t="n">
        <v>45901</v>
      </c>
      <c r="C495" s="1" t="n">
        <v>46002</v>
      </c>
      <c r="D495" t="inlineStr">
        <is>
          <t>SÖDERMANLANDS LÄN</t>
        </is>
      </c>
      <c r="E495" t="inlineStr">
        <is>
          <t>KATRINEHOLM</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8951-2024</t>
        </is>
      </c>
      <c r="B496" s="1" t="n">
        <v>45357.44695601852</v>
      </c>
      <c r="C496" s="1" t="n">
        <v>46002</v>
      </c>
      <c r="D496" t="inlineStr">
        <is>
          <t>SÖDERMANLANDS LÄN</t>
        </is>
      </c>
      <c r="E496" t="inlineStr">
        <is>
          <t>KATRINEHOLM</t>
        </is>
      </c>
      <c r="G496" t="n">
        <v>3.3</v>
      </c>
      <c r="H496" t="n">
        <v>0</v>
      </c>
      <c r="I496" t="n">
        <v>0</v>
      </c>
      <c r="J496" t="n">
        <v>0</v>
      </c>
      <c r="K496" t="n">
        <v>0</v>
      </c>
      <c r="L496" t="n">
        <v>0</v>
      </c>
      <c r="M496" t="n">
        <v>0</v>
      </c>
      <c r="N496" t="n">
        <v>0</v>
      </c>
      <c r="O496" t="n">
        <v>0</v>
      </c>
      <c r="P496" t="n">
        <v>0</v>
      </c>
      <c r="Q496" t="n">
        <v>0</v>
      </c>
      <c r="R496" s="2" t="inlineStr"/>
    </row>
    <row r="497" ht="15" customHeight="1">
      <c r="A497" t="inlineStr">
        <is>
          <t>A 14224-2024</t>
        </is>
      </c>
      <c r="B497" s="1" t="n">
        <v>45393</v>
      </c>
      <c r="C497" s="1" t="n">
        <v>46002</v>
      </c>
      <c r="D497" t="inlineStr">
        <is>
          <t>SÖDERMANLANDS LÄN</t>
        </is>
      </c>
      <c r="E497" t="inlineStr">
        <is>
          <t>KATRINEHOLM</t>
        </is>
      </c>
      <c r="F497" t="inlineStr">
        <is>
          <t>Sveaskog</t>
        </is>
      </c>
      <c r="G497" t="n">
        <v>7.6</v>
      </c>
      <c r="H497" t="n">
        <v>0</v>
      </c>
      <c r="I497" t="n">
        <v>0</v>
      </c>
      <c r="J497" t="n">
        <v>0</v>
      </c>
      <c r="K497" t="n">
        <v>0</v>
      </c>
      <c r="L497" t="n">
        <v>0</v>
      </c>
      <c r="M497" t="n">
        <v>0</v>
      </c>
      <c r="N497" t="n">
        <v>0</v>
      </c>
      <c r="O497" t="n">
        <v>0</v>
      </c>
      <c r="P497" t="n">
        <v>0</v>
      </c>
      <c r="Q497" t="n">
        <v>0</v>
      </c>
      <c r="R497" s="2" t="inlineStr"/>
    </row>
    <row r="498" ht="15" customHeight="1">
      <c r="A498" t="inlineStr">
        <is>
          <t>A 44989-2022</t>
        </is>
      </c>
      <c r="B498" s="1" t="n">
        <v>44840</v>
      </c>
      <c r="C498" s="1" t="n">
        <v>46002</v>
      </c>
      <c r="D498" t="inlineStr">
        <is>
          <t>SÖDERMANLANDS LÄN</t>
        </is>
      </c>
      <c r="E498" t="inlineStr">
        <is>
          <t>KATRINEHOLM</t>
        </is>
      </c>
      <c r="G498" t="n">
        <v>6</v>
      </c>
      <c r="H498" t="n">
        <v>0</v>
      </c>
      <c r="I498" t="n">
        <v>0</v>
      </c>
      <c r="J498" t="n">
        <v>0</v>
      </c>
      <c r="K498" t="n">
        <v>0</v>
      </c>
      <c r="L498" t="n">
        <v>0</v>
      </c>
      <c r="M498" t="n">
        <v>0</v>
      </c>
      <c r="N498" t="n">
        <v>0</v>
      </c>
      <c r="O498" t="n">
        <v>0</v>
      </c>
      <c r="P498" t="n">
        <v>0</v>
      </c>
      <c r="Q498" t="n">
        <v>0</v>
      </c>
      <c r="R498" s="2" t="inlineStr"/>
    </row>
    <row r="499" ht="15" customHeight="1">
      <c r="A499" t="inlineStr">
        <is>
          <t>A 57263-2022</t>
        </is>
      </c>
      <c r="B499" s="1" t="n">
        <v>44895</v>
      </c>
      <c r="C499" s="1" t="n">
        <v>46002</v>
      </c>
      <c r="D499" t="inlineStr">
        <is>
          <t>SÖDERMANLANDS LÄN</t>
        </is>
      </c>
      <c r="E499" t="inlineStr">
        <is>
          <t>KATRINEHOLM</t>
        </is>
      </c>
      <c r="G499" t="n">
        <v>0.6</v>
      </c>
      <c r="H499" t="n">
        <v>0</v>
      </c>
      <c r="I499" t="n">
        <v>0</v>
      </c>
      <c r="J499" t="n">
        <v>0</v>
      </c>
      <c r="K499" t="n">
        <v>0</v>
      </c>
      <c r="L499" t="n">
        <v>0</v>
      </c>
      <c r="M499" t="n">
        <v>0</v>
      </c>
      <c r="N499" t="n">
        <v>0</v>
      </c>
      <c r="O499" t="n">
        <v>0</v>
      </c>
      <c r="P499" t="n">
        <v>0</v>
      </c>
      <c r="Q499" t="n">
        <v>0</v>
      </c>
      <c r="R499" s="2" t="inlineStr"/>
    </row>
    <row r="500" ht="15" customHeight="1">
      <c r="A500" t="inlineStr">
        <is>
          <t>A 60678-2025</t>
        </is>
      </c>
      <c r="B500" s="1" t="n">
        <v>45996.56251157408</v>
      </c>
      <c r="C500" s="1" t="n">
        <v>46002</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49218-2023</t>
        </is>
      </c>
      <c r="B501" s="1" t="n">
        <v>45205</v>
      </c>
      <c r="C501" s="1" t="n">
        <v>46002</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52744-2025</t>
        </is>
      </c>
      <c r="B502" s="1" t="n">
        <v>45957.38387731482</v>
      </c>
      <c r="C502" s="1" t="n">
        <v>46002</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4679-2023</t>
        </is>
      </c>
      <c r="B503" s="1" t="n">
        <v>44957.44885416667</v>
      </c>
      <c r="C503" s="1" t="n">
        <v>46002</v>
      </c>
      <c r="D503" t="inlineStr">
        <is>
          <t>SÖDERMANLANDS LÄN</t>
        </is>
      </c>
      <c r="E503" t="inlineStr">
        <is>
          <t>KATRINEHOLM</t>
        </is>
      </c>
      <c r="G503" t="n">
        <v>5.3</v>
      </c>
      <c r="H503" t="n">
        <v>0</v>
      </c>
      <c r="I503" t="n">
        <v>0</v>
      </c>
      <c r="J503" t="n">
        <v>0</v>
      </c>
      <c r="K503" t="n">
        <v>0</v>
      </c>
      <c r="L503" t="n">
        <v>0</v>
      </c>
      <c r="M503" t="n">
        <v>0</v>
      </c>
      <c r="N503" t="n">
        <v>0</v>
      </c>
      <c r="O503" t="n">
        <v>0</v>
      </c>
      <c r="P503" t="n">
        <v>0</v>
      </c>
      <c r="Q503" t="n">
        <v>0</v>
      </c>
      <c r="R503" s="2" t="inlineStr"/>
    </row>
    <row r="504" ht="15" customHeight="1">
      <c r="A504" t="inlineStr">
        <is>
          <t>A 61066-2025</t>
        </is>
      </c>
      <c r="B504" s="1" t="n">
        <v>46000.37695601852</v>
      </c>
      <c r="C504" s="1" t="n">
        <v>46002</v>
      </c>
      <c r="D504" t="inlineStr">
        <is>
          <t>SÖDERMANLANDS LÄN</t>
        </is>
      </c>
      <c r="E504" t="inlineStr">
        <is>
          <t>KATRINEHOLM</t>
        </is>
      </c>
      <c r="F504" t="inlineStr">
        <is>
          <t>Kyrkan</t>
        </is>
      </c>
      <c r="G504" t="n">
        <v>5</v>
      </c>
      <c r="H504" t="n">
        <v>0</v>
      </c>
      <c r="I504" t="n">
        <v>0</v>
      </c>
      <c r="J504" t="n">
        <v>0</v>
      </c>
      <c r="K504" t="n">
        <v>0</v>
      </c>
      <c r="L504" t="n">
        <v>0</v>
      </c>
      <c r="M504" t="n">
        <v>0</v>
      </c>
      <c r="N504" t="n">
        <v>0</v>
      </c>
      <c r="O504" t="n">
        <v>0</v>
      </c>
      <c r="P504" t="n">
        <v>0</v>
      </c>
      <c r="Q504" t="n">
        <v>0</v>
      </c>
      <c r="R504" s="2" t="inlineStr"/>
    </row>
    <row r="505" ht="15" customHeight="1">
      <c r="A505" t="inlineStr">
        <is>
          <t>A 2320-2023</t>
        </is>
      </c>
      <c r="B505" s="1" t="n">
        <v>44942.58850694444</v>
      </c>
      <c r="C505" s="1" t="n">
        <v>46002</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2325-2023</t>
        </is>
      </c>
      <c r="B506" s="1" t="n">
        <v>44942</v>
      </c>
      <c r="C506" s="1" t="n">
        <v>46002</v>
      </c>
      <c r="D506" t="inlineStr">
        <is>
          <t>SÖDERMANLANDS LÄN</t>
        </is>
      </c>
      <c r="E506" t="inlineStr">
        <is>
          <t>KATRINEHOLM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55732-2023</t>
        </is>
      </c>
      <c r="B507" s="1" t="n">
        <v>45239</v>
      </c>
      <c r="C507" s="1" t="n">
        <v>46002</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61121-2025</t>
        </is>
      </c>
      <c r="B508" s="1" t="n">
        <v>46000.46746527778</v>
      </c>
      <c r="C508" s="1" t="n">
        <v>46002</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17792-2025</t>
        </is>
      </c>
      <c r="B509" s="1" t="n">
        <v>45758</v>
      </c>
      <c r="C509" s="1" t="n">
        <v>46002</v>
      </c>
      <c r="D509" t="inlineStr">
        <is>
          <t>SÖDERMANLANDS LÄN</t>
        </is>
      </c>
      <c r="E509" t="inlineStr">
        <is>
          <t>KATRINEHOLM</t>
        </is>
      </c>
      <c r="G509" t="n">
        <v>4.2</v>
      </c>
      <c r="H509" t="n">
        <v>0</v>
      </c>
      <c r="I509" t="n">
        <v>0</v>
      </c>
      <c r="J509" t="n">
        <v>0</v>
      </c>
      <c r="K509" t="n">
        <v>0</v>
      </c>
      <c r="L509" t="n">
        <v>0</v>
      </c>
      <c r="M509" t="n">
        <v>0</v>
      </c>
      <c r="N509" t="n">
        <v>0</v>
      </c>
      <c r="O509" t="n">
        <v>0</v>
      </c>
      <c r="P509" t="n">
        <v>0</v>
      </c>
      <c r="Q509" t="n">
        <v>0</v>
      </c>
      <c r="R509" s="2" t="inlineStr"/>
    </row>
    <row r="510" ht="15" customHeight="1">
      <c r="A510" t="inlineStr">
        <is>
          <t>A 58473-2021</t>
        </is>
      </c>
      <c r="B510" s="1" t="n">
        <v>44488</v>
      </c>
      <c r="C510" s="1" t="n">
        <v>46002</v>
      </c>
      <c r="D510" t="inlineStr">
        <is>
          <t>SÖDERMANLANDS LÄN</t>
        </is>
      </c>
      <c r="E510" t="inlineStr">
        <is>
          <t>KATRINEHOLM</t>
        </is>
      </c>
      <c r="G510" t="n">
        <v>0.5</v>
      </c>
      <c r="H510" t="n">
        <v>0</v>
      </c>
      <c r="I510" t="n">
        <v>0</v>
      </c>
      <c r="J510" t="n">
        <v>0</v>
      </c>
      <c r="K510" t="n">
        <v>0</v>
      </c>
      <c r="L510" t="n">
        <v>0</v>
      </c>
      <c r="M510" t="n">
        <v>0</v>
      </c>
      <c r="N510" t="n">
        <v>0</v>
      </c>
      <c r="O510" t="n">
        <v>0</v>
      </c>
      <c r="P510" t="n">
        <v>0</v>
      </c>
      <c r="Q510" t="n">
        <v>0</v>
      </c>
      <c r="R510" s="2" t="inlineStr"/>
    </row>
    <row r="511" ht="15" customHeight="1">
      <c r="A511" t="inlineStr">
        <is>
          <t>A 53860-2021</t>
        </is>
      </c>
      <c r="B511" s="1" t="n">
        <v>44467</v>
      </c>
      <c r="C511" s="1" t="n">
        <v>46002</v>
      </c>
      <c r="D511" t="inlineStr">
        <is>
          <t>SÖDERMANLANDS LÄN</t>
        </is>
      </c>
      <c r="E511" t="inlineStr">
        <is>
          <t>KATRINEHOLM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20533-2023</t>
        </is>
      </c>
      <c r="B512" s="1" t="n">
        <v>45057</v>
      </c>
      <c r="C512" s="1" t="n">
        <v>46002</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c r="T512">
        <f>HYPERLINK("https://klasma.github.io/Logging_0483/kartor/A 20533-2023 karta.png", "A 20533-2023")</f>
        <v/>
      </c>
      <c r="V512">
        <f>HYPERLINK("https://klasma.github.io/Logging_0483/klagomål/A 20533-2023 FSC-klagomål.docx", "A 20533-2023")</f>
        <v/>
      </c>
      <c r="W512">
        <f>HYPERLINK("https://klasma.github.io/Logging_0483/klagomålsmail/A 20533-2023 FSC-klagomål mail.docx", "A 20533-2023")</f>
        <v/>
      </c>
      <c r="X512">
        <f>HYPERLINK("https://klasma.github.io/Logging_0483/tillsyn/A 20533-2023 tillsynsbegäran.docx", "A 20533-2023")</f>
        <v/>
      </c>
      <c r="Y512">
        <f>HYPERLINK("https://klasma.github.io/Logging_0483/tillsynsmail/A 20533-2023 tillsynsbegäran mail.docx", "A 20533-2023")</f>
        <v/>
      </c>
      <c r="Z512">
        <f>HYPERLINK("https://klasma.github.io/Logging_0483/fåglar/A 20533-2023 prioriterade fågelarter.docx", "A 20533-2023")</f>
        <v/>
      </c>
    </row>
    <row r="513" ht="15" customHeight="1">
      <c r="A513" t="inlineStr">
        <is>
          <t>A 29702-2021</t>
        </is>
      </c>
      <c r="B513" s="1" t="n">
        <v>44362</v>
      </c>
      <c r="C513" s="1" t="n">
        <v>46002</v>
      </c>
      <c r="D513" t="inlineStr">
        <is>
          <t>SÖDERMANLANDS LÄN</t>
        </is>
      </c>
      <c r="E513" t="inlineStr">
        <is>
          <t>KATRINEHOLM</t>
        </is>
      </c>
      <c r="F513" t="inlineStr">
        <is>
          <t>Holmen skog AB</t>
        </is>
      </c>
      <c r="G513" t="n">
        <v>0.3</v>
      </c>
      <c r="H513" t="n">
        <v>0</v>
      </c>
      <c r="I513" t="n">
        <v>0</v>
      </c>
      <c r="J513" t="n">
        <v>0</v>
      </c>
      <c r="K513" t="n">
        <v>0</v>
      </c>
      <c r="L513" t="n">
        <v>0</v>
      </c>
      <c r="M513" t="n">
        <v>0</v>
      </c>
      <c r="N513" t="n">
        <v>0</v>
      </c>
      <c r="O513" t="n">
        <v>0</v>
      </c>
      <c r="P513" t="n">
        <v>0</v>
      </c>
      <c r="Q513" t="n">
        <v>0</v>
      </c>
      <c r="R513" s="2" t="inlineStr"/>
    </row>
    <row r="514" ht="15" customHeight="1">
      <c r="A514" t="inlineStr">
        <is>
          <t>A 4662-2023</t>
        </is>
      </c>
      <c r="B514" s="1" t="n">
        <v>44957</v>
      </c>
      <c r="C514" s="1" t="n">
        <v>46002</v>
      </c>
      <c r="D514" t="inlineStr">
        <is>
          <t>SÖDERMANLANDS LÄN</t>
        </is>
      </c>
      <c r="E514" t="inlineStr">
        <is>
          <t>KATRINEHOLM</t>
        </is>
      </c>
      <c r="F514" t="inlineStr">
        <is>
          <t>Holmen skog AB</t>
        </is>
      </c>
      <c r="G514" t="n">
        <v>0.4</v>
      </c>
      <c r="H514" t="n">
        <v>0</v>
      </c>
      <c r="I514" t="n">
        <v>0</v>
      </c>
      <c r="J514" t="n">
        <v>0</v>
      </c>
      <c r="K514" t="n">
        <v>0</v>
      </c>
      <c r="L514" t="n">
        <v>0</v>
      </c>
      <c r="M514" t="n">
        <v>0</v>
      </c>
      <c r="N514" t="n">
        <v>0</v>
      </c>
      <c r="O514" t="n">
        <v>0</v>
      </c>
      <c r="P514" t="n">
        <v>0</v>
      </c>
      <c r="Q514" t="n">
        <v>0</v>
      </c>
      <c r="R514" s="2" t="inlineStr"/>
    </row>
    <row r="515" ht="15" customHeight="1">
      <c r="A515" t="inlineStr">
        <is>
          <t>A 22304-2024</t>
        </is>
      </c>
      <c r="B515" s="1" t="n">
        <v>45446.56626157407</v>
      </c>
      <c r="C515" s="1" t="n">
        <v>46002</v>
      </c>
      <c r="D515" t="inlineStr">
        <is>
          <t>SÖDERMANLANDS LÄN</t>
        </is>
      </c>
      <c r="E515" t="inlineStr">
        <is>
          <t>KATRINEHOLM</t>
        </is>
      </c>
      <c r="F515" t="inlineStr">
        <is>
          <t>Kommuner</t>
        </is>
      </c>
      <c r="G515" t="n">
        <v>0.7</v>
      </c>
      <c r="H515" t="n">
        <v>0</v>
      </c>
      <c r="I515" t="n">
        <v>0</v>
      </c>
      <c r="J515" t="n">
        <v>0</v>
      </c>
      <c r="K515" t="n">
        <v>0</v>
      </c>
      <c r="L515" t="n">
        <v>0</v>
      </c>
      <c r="M515" t="n">
        <v>0</v>
      </c>
      <c r="N515" t="n">
        <v>0</v>
      </c>
      <c r="O515" t="n">
        <v>0</v>
      </c>
      <c r="P515" t="n">
        <v>0</v>
      </c>
      <c r="Q515" t="n">
        <v>0</v>
      </c>
      <c r="R515" s="2" t="inlineStr"/>
    </row>
    <row r="516" ht="15" customHeight="1">
      <c r="A516" t="inlineStr">
        <is>
          <t>A 13171-2024</t>
        </is>
      </c>
      <c r="B516" s="1" t="n">
        <v>45386</v>
      </c>
      <c r="C516" s="1" t="n">
        <v>46002</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33752-2023</t>
        </is>
      </c>
      <c r="B517" s="1" t="n">
        <v>45120</v>
      </c>
      <c r="C517" s="1" t="n">
        <v>46002</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28652-2024</t>
        </is>
      </c>
      <c r="B518" s="1" t="n">
        <v>45478</v>
      </c>
      <c r="C518" s="1" t="n">
        <v>46002</v>
      </c>
      <c r="D518" t="inlineStr">
        <is>
          <t>SÖDERMANLANDS LÄN</t>
        </is>
      </c>
      <c r="E518" t="inlineStr">
        <is>
          <t>KATRINEHOLM</t>
        </is>
      </c>
      <c r="G518" t="n">
        <v>1.4</v>
      </c>
      <c r="H518" t="n">
        <v>0</v>
      </c>
      <c r="I518" t="n">
        <v>0</v>
      </c>
      <c r="J518" t="n">
        <v>0</v>
      </c>
      <c r="K518" t="n">
        <v>0</v>
      </c>
      <c r="L518" t="n">
        <v>0</v>
      </c>
      <c r="M518" t="n">
        <v>0</v>
      </c>
      <c r="N518" t="n">
        <v>0</v>
      </c>
      <c r="O518" t="n">
        <v>0</v>
      </c>
      <c r="P518" t="n">
        <v>0</v>
      </c>
      <c r="Q518" t="n">
        <v>0</v>
      </c>
      <c r="R518" s="2" t="inlineStr"/>
    </row>
    <row r="519" ht="15" customHeight="1">
      <c r="A519" t="inlineStr">
        <is>
          <t>A 9936-2023</t>
        </is>
      </c>
      <c r="B519" s="1" t="n">
        <v>44985.47086805556</v>
      </c>
      <c r="C519" s="1" t="n">
        <v>46002</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9192-2023</t>
        </is>
      </c>
      <c r="B520" s="1" t="n">
        <v>44980</v>
      </c>
      <c r="C520" s="1" t="n">
        <v>46002</v>
      </c>
      <c r="D520" t="inlineStr">
        <is>
          <t>SÖDERMANLANDS LÄN</t>
        </is>
      </c>
      <c r="E520" t="inlineStr">
        <is>
          <t>KATRINEHOLM</t>
        </is>
      </c>
      <c r="F520" t="inlineStr">
        <is>
          <t>Övriga Aktiebolag</t>
        </is>
      </c>
      <c r="G520" t="n">
        <v>1.6</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44549.74741898148</v>
      </c>
      <c r="C521" s="1" t="n">
        <v>46002</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33712-2022</t>
        </is>
      </c>
      <c r="B522" s="1" t="n">
        <v>44789</v>
      </c>
      <c r="C522" s="1" t="n">
        <v>46002</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33717-2022</t>
        </is>
      </c>
      <c r="B523" s="1" t="n">
        <v>44789</v>
      </c>
      <c r="C523" s="1" t="n">
        <v>46002</v>
      </c>
      <c r="D523" t="inlineStr">
        <is>
          <t>SÖDERMANLANDS LÄN</t>
        </is>
      </c>
      <c r="E523" t="inlineStr">
        <is>
          <t>KATRINEHOLM</t>
        </is>
      </c>
      <c r="G523" t="n">
        <v>4.4</v>
      </c>
      <c r="H523" t="n">
        <v>0</v>
      </c>
      <c r="I523" t="n">
        <v>0</v>
      </c>
      <c r="J523" t="n">
        <v>0</v>
      </c>
      <c r="K523" t="n">
        <v>0</v>
      </c>
      <c r="L523" t="n">
        <v>0</v>
      </c>
      <c r="M523" t="n">
        <v>0</v>
      </c>
      <c r="N523" t="n">
        <v>0</v>
      </c>
      <c r="O523" t="n">
        <v>0</v>
      </c>
      <c r="P523" t="n">
        <v>0</v>
      </c>
      <c r="Q523" t="n">
        <v>0</v>
      </c>
      <c r="R523" s="2" t="inlineStr"/>
    </row>
    <row r="524" ht="15" customHeight="1">
      <c r="A524" t="inlineStr">
        <is>
          <t>A 51440-2024</t>
        </is>
      </c>
      <c r="B524" s="1" t="n">
        <v>45604</v>
      </c>
      <c r="C524" s="1" t="n">
        <v>46002</v>
      </c>
      <c r="D524" t="inlineStr">
        <is>
          <t>SÖDERMANLANDS LÄN</t>
        </is>
      </c>
      <c r="E524" t="inlineStr">
        <is>
          <t>KATRINEHOLM</t>
        </is>
      </c>
      <c r="G524" t="n">
        <v>4.7</v>
      </c>
      <c r="H524" t="n">
        <v>0</v>
      </c>
      <c r="I524" t="n">
        <v>0</v>
      </c>
      <c r="J524" t="n">
        <v>0</v>
      </c>
      <c r="K524" t="n">
        <v>0</v>
      </c>
      <c r="L524" t="n">
        <v>0</v>
      </c>
      <c r="M524" t="n">
        <v>0</v>
      </c>
      <c r="N524" t="n">
        <v>0</v>
      </c>
      <c r="O524" t="n">
        <v>0</v>
      </c>
      <c r="P524" t="n">
        <v>0</v>
      </c>
      <c r="Q524" t="n">
        <v>0</v>
      </c>
      <c r="R524" s="2" t="inlineStr"/>
    </row>
    <row r="525" ht="15" customHeight="1">
      <c r="A525" t="inlineStr">
        <is>
          <t>A 2298-2021</t>
        </is>
      </c>
      <c r="B525" s="1" t="n">
        <v>44212</v>
      </c>
      <c r="C525" s="1" t="n">
        <v>46002</v>
      </c>
      <c r="D525" t="inlineStr">
        <is>
          <t>SÖDERMANLANDS LÄN</t>
        </is>
      </c>
      <c r="E525" t="inlineStr">
        <is>
          <t>KATRINEHOLM</t>
        </is>
      </c>
      <c r="G525" t="n">
        <v>3.4</v>
      </c>
      <c r="H525" t="n">
        <v>0</v>
      </c>
      <c r="I525" t="n">
        <v>0</v>
      </c>
      <c r="J525" t="n">
        <v>0</v>
      </c>
      <c r="K525" t="n">
        <v>0</v>
      </c>
      <c r="L525" t="n">
        <v>0</v>
      </c>
      <c r="M525" t="n">
        <v>0</v>
      </c>
      <c r="N525" t="n">
        <v>0</v>
      </c>
      <c r="O525" t="n">
        <v>0</v>
      </c>
      <c r="P525" t="n">
        <v>0</v>
      </c>
      <c r="Q525" t="n">
        <v>0</v>
      </c>
      <c r="R525" s="2" t="inlineStr"/>
    </row>
    <row r="526" ht="15" customHeight="1">
      <c r="A526" t="inlineStr">
        <is>
          <t>A 51260-2021</t>
        </is>
      </c>
      <c r="B526" s="1" t="n">
        <v>44461</v>
      </c>
      <c r="C526" s="1" t="n">
        <v>46002</v>
      </c>
      <c r="D526" t="inlineStr">
        <is>
          <t>SÖDERMANLANDS LÄN</t>
        </is>
      </c>
      <c r="E526" t="inlineStr">
        <is>
          <t>KATRINEHOLM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38879-2024</t>
        </is>
      </c>
      <c r="B527" s="1" t="n">
        <v>45547</v>
      </c>
      <c r="C527" s="1" t="n">
        <v>46002</v>
      </c>
      <c r="D527" t="inlineStr">
        <is>
          <t>SÖDERMANLANDS LÄN</t>
        </is>
      </c>
      <c r="E527" t="inlineStr">
        <is>
          <t>KATRINEHOLM</t>
        </is>
      </c>
      <c r="G527" t="n">
        <v>2.6</v>
      </c>
      <c r="H527" t="n">
        <v>0</v>
      </c>
      <c r="I527" t="n">
        <v>0</v>
      </c>
      <c r="J527" t="n">
        <v>0</v>
      </c>
      <c r="K527" t="n">
        <v>0</v>
      </c>
      <c r="L527" t="n">
        <v>0</v>
      </c>
      <c r="M527" t="n">
        <v>0</v>
      </c>
      <c r="N527" t="n">
        <v>0</v>
      </c>
      <c r="O527" t="n">
        <v>0</v>
      </c>
      <c r="P527" t="n">
        <v>0</v>
      </c>
      <c r="Q527" t="n">
        <v>0</v>
      </c>
      <c r="R527" s="2" t="inlineStr"/>
    </row>
    <row r="528" ht="15" customHeight="1">
      <c r="A528" t="inlineStr">
        <is>
          <t>A 42945-2023</t>
        </is>
      </c>
      <c r="B528" s="1" t="n">
        <v>45182.5793287037</v>
      </c>
      <c r="C528" s="1" t="n">
        <v>46002</v>
      </c>
      <c r="D528" t="inlineStr">
        <is>
          <t>SÖDERMANLANDS LÄN</t>
        </is>
      </c>
      <c r="E528" t="inlineStr">
        <is>
          <t>KATRINEHOLM</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42962-2023</t>
        </is>
      </c>
      <c r="B529" s="1" t="n">
        <v>45182</v>
      </c>
      <c r="C529" s="1" t="n">
        <v>46002</v>
      </c>
      <c r="D529" t="inlineStr">
        <is>
          <t>SÖDERMANLANDS LÄN</t>
        </is>
      </c>
      <c r="E529" t="inlineStr">
        <is>
          <t>KATRINEHOLM</t>
        </is>
      </c>
      <c r="F529" t="inlineStr">
        <is>
          <t>Övriga Aktiebolag</t>
        </is>
      </c>
      <c r="G529" t="n">
        <v>10.6</v>
      </c>
      <c r="H529" t="n">
        <v>0</v>
      </c>
      <c r="I529" t="n">
        <v>0</v>
      </c>
      <c r="J529" t="n">
        <v>0</v>
      </c>
      <c r="K529" t="n">
        <v>0</v>
      </c>
      <c r="L529" t="n">
        <v>0</v>
      </c>
      <c r="M529" t="n">
        <v>0</v>
      </c>
      <c r="N529" t="n">
        <v>0</v>
      </c>
      <c r="O529" t="n">
        <v>0</v>
      </c>
      <c r="P529" t="n">
        <v>0</v>
      </c>
      <c r="Q529" t="n">
        <v>0</v>
      </c>
      <c r="R529" s="2" t="inlineStr"/>
    </row>
    <row r="530" ht="15" customHeight="1">
      <c r="A530" t="inlineStr">
        <is>
          <t>A 33538-2022</t>
        </is>
      </c>
      <c r="B530" s="1" t="n">
        <v>44789</v>
      </c>
      <c r="C530" s="1" t="n">
        <v>46002</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16605-2025</t>
        </is>
      </c>
      <c r="B531" s="1" t="n">
        <v>45753.61614583333</v>
      </c>
      <c r="C531" s="1" t="n">
        <v>46002</v>
      </c>
      <c r="D531" t="inlineStr">
        <is>
          <t>SÖDERMANLANDS LÄN</t>
        </is>
      </c>
      <c r="E531" t="inlineStr">
        <is>
          <t>KATRINEHOLM</t>
        </is>
      </c>
      <c r="G531" t="n">
        <v>5.2</v>
      </c>
      <c r="H531" t="n">
        <v>0</v>
      </c>
      <c r="I531" t="n">
        <v>0</v>
      </c>
      <c r="J531" t="n">
        <v>0</v>
      </c>
      <c r="K531" t="n">
        <v>0</v>
      </c>
      <c r="L531" t="n">
        <v>0</v>
      </c>
      <c r="M531" t="n">
        <v>0</v>
      </c>
      <c r="N531" t="n">
        <v>0</v>
      </c>
      <c r="O531" t="n">
        <v>0</v>
      </c>
      <c r="P531" t="n">
        <v>0</v>
      </c>
      <c r="Q531" t="n">
        <v>0</v>
      </c>
      <c r="R531" s="2" t="inlineStr"/>
    </row>
    <row r="532" ht="15" customHeight="1">
      <c r="A532" t="inlineStr">
        <is>
          <t>A 73409-2021</t>
        </is>
      </c>
      <c r="B532" s="1" t="n">
        <v>44551</v>
      </c>
      <c r="C532" s="1" t="n">
        <v>46002</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73415-2021</t>
        </is>
      </c>
      <c r="B533" s="1" t="n">
        <v>44551</v>
      </c>
      <c r="C533" s="1" t="n">
        <v>46002</v>
      </c>
      <c r="D533" t="inlineStr">
        <is>
          <t>SÖDERMANLANDS LÄN</t>
        </is>
      </c>
      <c r="E533" t="inlineStr">
        <is>
          <t>KATRINEHOLM</t>
        </is>
      </c>
      <c r="G533" t="n">
        <v>3.2</v>
      </c>
      <c r="H533" t="n">
        <v>0</v>
      </c>
      <c r="I533" t="n">
        <v>0</v>
      </c>
      <c r="J533" t="n">
        <v>0</v>
      </c>
      <c r="K533" t="n">
        <v>0</v>
      </c>
      <c r="L533" t="n">
        <v>0</v>
      </c>
      <c r="M533" t="n">
        <v>0</v>
      </c>
      <c r="N533" t="n">
        <v>0</v>
      </c>
      <c r="O533" t="n">
        <v>0</v>
      </c>
      <c r="P533" t="n">
        <v>0</v>
      </c>
      <c r="Q533" t="n">
        <v>0</v>
      </c>
      <c r="R533" s="2" t="inlineStr"/>
    </row>
    <row r="534" ht="15" customHeight="1">
      <c r="A534" t="inlineStr">
        <is>
          <t>A 63188-2021</t>
        </is>
      </c>
      <c r="B534" s="1" t="n">
        <v>44507.56865740741</v>
      </c>
      <c r="C534" s="1" t="n">
        <v>46002</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64713-2023</t>
        </is>
      </c>
      <c r="B535" s="1" t="n">
        <v>45281</v>
      </c>
      <c r="C535" s="1" t="n">
        <v>46002</v>
      </c>
      <c r="D535" t="inlineStr">
        <is>
          <t>SÖDERMANLANDS LÄN</t>
        </is>
      </c>
      <c r="E535" t="inlineStr">
        <is>
          <t>KATRINEHOLM</t>
        </is>
      </c>
      <c r="G535" t="n">
        <v>4.9</v>
      </c>
      <c r="H535" t="n">
        <v>0</v>
      </c>
      <c r="I535" t="n">
        <v>0</v>
      </c>
      <c r="J535" t="n">
        <v>0</v>
      </c>
      <c r="K535" t="n">
        <v>0</v>
      </c>
      <c r="L535" t="n">
        <v>0</v>
      </c>
      <c r="M535" t="n">
        <v>0</v>
      </c>
      <c r="N535" t="n">
        <v>0</v>
      </c>
      <c r="O535" t="n">
        <v>0</v>
      </c>
      <c r="P535" t="n">
        <v>0</v>
      </c>
      <c r="Q535" t="n">
        <v>0</v>
      </c>
      <c r="R535" s="2" t="inlineStr"/>
    </row>
    <row r="536" ht="15" customHeight="1">
      <c r="A536" t="inlineStr">
        <is>
          <t>A 28304-2024</t>
        </is>
      </c>
      <c r="B536" s="1" t="n">
        <v>45477</v>
      </c>
      <c r="C536" s="1" t="n">
        <v>46002</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8457-2023</t>
        </is>
      </c>
      <c r="B537" s="1" t="n">
        <v>44977</v>
      </c>
      <c r="C537" s="1" t="n">
        <v>46002</v>
      </c>
      <c r="D537" t="inlineStr">
        <is>
          <t>SÖDERMANLANDS LÄN</t>
        </is>
      </c>
      <c r="E537" t="inlineStr">
        <is>
          <t>KATRINEHOLM</t>
        </is>
      </c>
      <c r="F537" t="inlineStr">
        <is>
          <t>Allmännings- och besparingsskogar</t>
        </is>
      </c>
      <c r="G537" t="n">
        <v>16.1</v>
      </c>
      <c r="H537" t="n">
        <v>0</v>
      </c>
      <c r="I537" t="n">
        <v>0</v>
      </c>
      <c r="J537" t="n">
        <v>0</v>
      </c>
      <c r="K537" t="n">
        <v>0</v>
      </c>
      <c r="L537" t="n">
        <v>0</v>
      </c>
      <c r="M537" t="n">
        <v>0</v>
      </c>
      <c r="N537" t="n">
        <v>0</v>
      </c>
      <c r="O537" t="n">
        <v>0</v>
      </c>
      <c r="P537" t="n">
        <v>0</v>
      </c>
      <c r="Q537" t="n">
        <v>0</v>
      </c>
      <c r="R537" s="2" t="inlineStr"/>
    </row>
    <row r="538" ht="15" customHeight="1">
      <c r="A538" t="inlineStr">
        <is>
          <t>A 7322-2023</t>
        </is>
      </c>
      <c r="B538" s="1" t="n">
        <v>44970</v>
      </c>
      <c r="C538" s="1" t="n">
        <v>46002</v>
      </c>
      <c r="D538" t="inlineStr">
        <is>
          <t>SÖDERMANLANDS LÄN</t>
        </is>
      </c>
      <c r="E538" t="inlineStr">
        <is>
          <t>KATRINEHOLM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60160-2022</t>
        </is>
      </c>
      <c r="B539" s="1" t="n">
        <v>44909</v>
      </c>
      <c r="C539" s="1" t="n">
        <v>46002</v>
      </c>
      <c r="D539" t="inlineStr">
        <is>
          <t>SÖDERMANLANDS LÄN</t>
        </is>
      </c>
      <c r="E539" t="inlineStr">
        <is>
          <t>KATRINEHOLM</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12238-2021</t>
        </is>
      </c>
      <c r="B540" s="1" t="n">
        <v>44266</v>
      </c>
      <c r="C540" s="1" t="n">
        <v>46002</v>
      </c>
      <c r="D540" t="inlineStr">
        <is>
          <t>SÖDERMANLANDS LÄN</t>
        </is>
      </c>
      <c r="E540" t="inlineStr">
        <is>
          <t>KATRINEHOLM</t>
        </is>
      </c>
      <c r="G540" t="n">
        <v>0.7</v>
      </c>
      <c r="H540" t="n">
        <v>0</v>
      </c>
      <c r="I540" t="n">
        <v>0</v>
      </c>
      <c r="J540" t="n">
        <v>0</v>
      </c>
      <c r="K540" t="n">
        <v>0</v>
      </c>
      <c r="L540" t="n">
        <v>0</v>
      </c>
      <c r="M540" t="n">
        <v>0</v>
      </c>
      <c r="N540" t="n">
        <v>0</v>
      </c>
      <c r="O540" t="n">
        <v>0</v>
      </c>
      <c r="P540" t="n">
        <v>0</v>
      </c>
      <c r="Q540" t="n">
        <v>0</v>
      </c>
      <c r="R540" s="2" t="inlineStr"/>
    </row>
    <row r="541" ht="15" customHeight="1">
      <c r="A541" t="inlineStr">
        <is>
          <t>A 48685-2022</t>
        </is>
      </c>
      <c r="B541" s="1" t="n">
        <v>44859</v>
      </c>
      <c r="C541" s="1" t="n">
        <v>46002</v>
      </c>
      <c r="D541" t="inlineStr">
        <is>
          <t>SÖDERMANLANDS LÄN</t>
        </is>
      </c>
      <c r="E541" t="inlineStr">
        <is>
          <t>KATRINEHOLM</t>
        </is>
      </c>
      <c r="G541" t="n">
        <v>0.5</v>
      </c>
      <c r="H541" t="n">
        <v>0</v>
      </c>
      <c r="I541" t="n">
        <v>0</v>
      </c>
      <c r="J541" t="n">
        <v>0</v>
      </c>
      <c r="K541" t="n">
        <v>0</v>
      </c>
      <c r="L541" t="n">
        <v>0</v>
      </c>
      <c r="M541" t="n">
        <v>0</v>
      </c>
      <c r="N541" t="n">
        <v>0</v>
      </c>
      <c r="O541" t="n">
        <v>0</v>
      </c>
      <c r="P541" t="n">
        <v>0</v>
      </c>
      <c r="Q541" t="n">
        <v>0</v>
      </c>
      <c r="R541" s="2" t="inlineStr"/>
    </row>
    <row r="542" ht="15" customHeight="1">
      <c r="A542" t="inlineStr">
        <is>
          <t>A 42519-2024</t>
        </is>
      </c>
      <c r="B542" s="1" t="n">
        <v>45565</v>
      </c>
      <c r="C542" s="1" t="n">
        <v>46002</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43499-2021</t>
        </is>
      </c>
      <c r="B543" s="1" t="n">
        <v>44433</v>
      </c>
      <c r="C543" s="1" t="n">
        <v>46002</v>
      </c>
      <c r="D543" t="inlineStr">
        <is>
          <t>SÖDERMANLANDS LÄN</t>
        </is>
      </c>
      <c r="E543" t="inlineStr">
        <is>
          <t>KATRINEHOLM</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32169-2022</t>
        </is>
      </c>
      <c r="B544" s="1" t="n">
        <v>44781</v>
      </c>
      <c r="C544" s="1" t="n">
        <v>46002</v>
      </c>
      <c r="D544" t="inlineStr">
        <is>
          <t>SÖDERMANLANDS LÄN</t>
        </is>
      </c>
      <c r="E544" t="inlineStr">
        <is>
          <t>KATRINEHOLM</t>
        </is>
      </c>
      <c r="F544" t="inlineStr">
        <is>
          <t>Kommuner</t>
        </is>
      </c>
      <c r="G544" t="n">
        <v>0.9</v>
      </c>
      <c r="H544" t="n">
        <v>0</v>
      </c>
      <c r="I544" t="n">
        <v>0</v>
      </c>
      <c r="J544" t="n">
        <v>0</v>
      </c>
      <c r="K544" t="n">
        <v>0</v>
      </c>
      <c r="L544" t="n">
        <v>0</v>
      </c>
      <c r="M544" t="n">
        <v>0</v>
      </c>
      <c r="N544" t="n">
        <v>0</v>
      </c>
      <c r="O544" t="n">
        <v>0</v>
      </c>
      <c r="P544" t="n">
        <v>0</v>
      </c>
      <c r="Q544" t="n">
        <v>0</v>
      </c>
      <c r="R544" s="2" t="inlineStr"/>
    </row>
    <row r="545" ht="15" customHeight="1">
      <c r="A545" t="inlineStr">
        <is>
          <t>A 55122-2022</t>
        </is>
      </c>
      <c r="B545" s="1" t="n">
        <v>44886.65092592593</v>
      </c>
      <c r="C545" s="1" t="n">
        <v>46002</v>
      </c>
      <c r="D545" t="inlineStr">
        <is>
          <t>SÖDERMANLANDS LÄN</t>
        </is>
      </c>
      <c r="E545" t="inlineStr">
        <is>
          <t>KATRINEHOLM</t>
        </is>
      </c>
      <c r="G545" t="n">
        <v>6.5</v>
      </c>
      <c r="H545" t="n">
        <v>0</v>
      </c>
      <c r="I545" t="n">
        <v>0</v>
      </c>
      <c r="J545" t="n">
        <v>0</v>
      </c>
      <c r="K545" t="n">
        <v>0</v>
      </c>
      <c r="L545" t="n">
        <v>0</v>
      </c>
      <c r="M545" t="n">
        <v>0</v>
      </c>
      <c r="N545" t="n">
        <v>0</v>
      </c>
      <c r="O545" t="n">
        <v>0</v>
      </c>
      <c r="P545" t="n">
        <v>0</v>
      </c>
      <c r="Q545" t="n">
        <v>0</v>
      </c>
      <c r="R545" s="2" t="inlineStr"/>
    </row>
    <row r="546" ht="15" customHeight="1">
      <c r="A546" t="inlineStr">
        <is>
          <t>A 43964-2022</t>
        </is>
      </c>
      <c r="B546" s="1" t="n">
        <v>44837</v>
      </c>
      <c r="C546" s="1" t="n">
        <v>46002</v>
      </c>
      <c r="D546" t="inlineStr">
        <is>
          <t>SÖDERMANLANDS LÄN</t>
        </is>
      </c>
      <c r="E546" t="inlineStr">
        <is>
          <t>KATRINEHOLM</t>
        </is>
      </c>
      <c r="G546" t="n">
        <v>3.6</v>
      </c>
      <c r="H546" t="n">
        <v>0</v>
      </c>
      <c r="I546" t="n">
        <v>0</v>
      </c>
      <c r="J546" t="n">
        <v>0</v>
      </c>
      <c r="K546" t="n">
        <v>0</v>
      </c>
      <c r="L546" t="n">
        <v>0</v>
      </c>
      <c r="M546" t="n">
        <v>0</v>
      </c>
      <c r="N546" t="n">
        <v>0</v>
      </c>
      <c r="O546" t="n">
        <v>0</v>
      </c>
      <c r="P546" t="n">
        <v>0</v>
      </c>
      <c r="Q546" t="n">
        <v>0</v>
      </c>
      <c r="R546" s="2" t="inlineStr"/>
    </row>
    <row r="547" ht="15" customHeight="1">
      <c r="A547" t="inlineStr">
        <is>
          <t>A 46075-2023</t>
        </is>
      </c>
      <c r="B547" s="1" t="n">
        <v>45196</v>
      </c>
      <c r="C547" s="1" t="n">
        <v>46002</v>
      </c>
      <c r="D547" t="inlineStr">
        <is>
          <t>SÖDERMANLANDS LÄN</t>
        </is>
      </c>
      <c r="E547" t="inlineStr">
        <is>
          <t>KATRINEHOLM</t>
        </is>
      </c>
      <c r="F547" t="inlineStr">
        <is>
          <t>Övriga Aktiebolag</t>
        </is>
      </c>
      <c r="G547" t="n">
        <v>9.5</v>
      </c>
      <c r="H547" t="n">
        <v>0</v>
      </c>
      <c r="I547" t="n">
        <v>0</v>
      </c>
      <c r="J547" t="n">
        <v>0</v>
      </c>
      <c r="K547" t="n">
        <v>0</v>
      </c>
      <c r="L547" t="n">
        <v>0</v>
      </c>
      <c r="M547" t="n">
        <v>0</v>
      </c>
      <c r="N547" t="n">
        <v>0</v>
      </c>
      <c r="O547" t="n">
        <v>0</v>
      </c>
      <c r="P547" t="n">
        <v>0</v>
      </c>
      <c r="Q547" t="n">
        <v>0</v>
      </c>
      <c r="R547" s="2" t="inlineStr"/>
    </row>
    <row r="548" ht="15" customHeight="1">
      <c r="A548" t="inlineStr">
        <is>
          <t>A 9992-2022</t>
        </is>
      </c>
      <c r="B548" s="1" t="n">
        <v>44621</v>
      </c>
      <c r="C548" s="1" t="n">
        <v>46002</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44659-2023</t>
        </is>
      </c>
      <c r="B549" s="1" t="n">
        <v>45189</v>
      </c>
      <c r="C549" s="1" t="n">
        <v>46002</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48682-2022</t>
        </is>
      </c>
      <c r="B550" s="1" t="n">
        <v>44859</v>
      </c>
      <c r="C550" s="1" t="n">
        <v>46002</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14629-2023</t>
        </is>
      </c>
      <c r="B551" s="1" t="n">
        <v>45013</v>
      </c>
      <c r="C551" s="1" t="n">
        <v>46002</v>
      </c>
      <c r="D551" t="inlineStr">
        <is>
          <t>SÖDERMANLANDS LÄN</t>
        </is>
      </c>
      <c r="E551" t="inlineStr">
        <is>
          <t>KATRINEHOLM</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57524-2021</t>
        </is>
      </c>
      <c r="B552" s="1" t="n">
        <v>44483</v>
      </c>
      <c r="C552" s="1" t="n">
        <v>46002</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8917-2024</t>
        </is>
      </c>
      <c r="B553" s="1" t="n">
        <v>45357.37618055556</v>
      </c>
      <c r="C553" s="1" t="n">
        <v>46002</v>
      </c>
      <c r="D553" t="inlineStr">
        <is>
          <t>SÖDERMANLANDS LÄN</t>
        </is>
      </c>
      <c r="E553" t="inlineStr">
        <is>
          <t>KATRINEHOLM</t>
        </is>
      </c>
      <c r="G553" t="n">
        <v>3</v>
      </c>
      <c r="H553" t="n">
        <v>0</v>
      </c>
      <c r="I553" t="n">
        <v>0</v>
      </c>
      <c r="J553" t="n">
        <v>0</v>
      </c>
      <c r="K553" t="n">
        <v>0</v>
      </c>
      <c r="L553" t="n">
        <v>0</v>
      </c>
      <c r="M553" t="n">
        <v>0</v>
      </c>
      <c r="N553" t="n">
        <v>0</v>
      </c>
      <c r="O553" t="n">
        <v>0</v>
      </c>
      <c r="P553" t="n">
        <v>0</v>
      </c>
      <c r="Q553" t="n">
        <v>0</v>
      </c>
      <c r="R553" s="2" t="inlineStr"/>
    </row>
    <row r="554" ht="15" customHeight="1">
      <c r="A554" t="inlineStr">
        <is>
          <t>A 27345-2023</t>
        </is>
      </c>
      <c r="B554" s="1" t="n">
        <v>45096</v>
      </c>
      <c r="C554" s="1" t="n">
        <v>46002</v>
      </c>
      <c r="D554" t="inlineStr">
        <is>
          <t>SÖDERMANLANDS LÄN</t>
        </is>
      </c>
      <c r="E554" t="inlineStr">
        <is>
          <t>KATRINEHOLM</t>
        </is>
      </c>
      <c r="G554" t="n">
        <v>1.4</v>
      </c>
      <c r="H554" t="n">
        <v>0</v>
      </c>
      <c r="I554" t="n">
        <v>0</v>
      </c>
      <c r="J554" t="n">
        <v>0</v>
      </c>
      <c r="K554" t="n">
        <v>0</v>
      </c>
      <c r="L554" t="n">
        <v>0</v>
      </c>
      <c r="M554" t="n">
        <v>0</v>
      </c>
      <c r="N554" t="n">
        <v>0</v>
      </c>
      <c r="O554" t="n">
        <v>0</v>
      </c>
      <c r="P554" t="n">
        <v>0</v>
      </c>
      <c r="Q554" t="n">
        <v>0</v>
      </c>
      <c r="R554" s="2" t="inlineStr"/>
    </row>
    <row r="555" ht="15" customHeight="1">
      <c r="A555" t="inlineStr">
        <is>
          <t>A 53996-2023</t>
        </is>
      </c>
      <c r="B555" s="1" t="n">
        <v>45231</v>
      </c>
      <c r="C555" s="1" t="n">
        <v>46002</v>
      </c>
      <c r="D555" t="inlineStr">
        <is>
          <t>SÖDERMANLANDS LÄN</t>
        </is>
      </c>
      <c r="E555" t="inlineStr">
        <is>
          <t>KATRINEHOLM</t>
        </is>
      </c>
      <c r="G555" t="n">
        <v>4.9</v>
      </c>
      <c r="H555" t="n">
        <v>0</v>
      </c>
      <c r="I555" t="n">
        <v>0</v>
      </c>
      <c r="J555" t="n">
        <v>0</v>
      </c>
      <c r="K555" t="n">
        <v>0</v>
      </c>
      <c r="L555" t="n">
        <v>0</v>
      </c>
      <c r="M555" t="n">
        <v>0</v>
      </c>
      <c r="N555" t="n">
        <v>0</v>
      </c>
      <c r="O555" t="n">
        <v>0</v>
      </c>
      <c r="P555" t="n">
        <v>0</v>
      </c>
      <c r="Q555" t="n">
        <v>0</v>
      </c>
      <c r="R555" s="2" t="inlineStr"/>
    </row>
    <row r="556" ht="15" customHeight="1">
      <c r="A556" t="inlineStr">
        <is>
          <t>A 11127-2023</t>
        </is>
      </c>
      <c r="B556" s="1" t="n">
        <v>44987</v>
      </c>
      <c r="C556" s="1" t="n">
        <v>46002</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37185-2023</t>
        </is>
      </c>
      <c r="B557" s="1" t="n">
        <v>45154</v>
      </c>
      <c r="C557" s="1" t="n">
        <v>46002</v>
      </c>
      <c r="D557" t="inlineStr">
        <is>
          <t>SÖDERMANLANDS LÄN</t>
        </is>
      </c>
      <c r="E557" t="inlineStr">
        <is>
          <t>KATRINEHOLM</t>
        </is>
      </c>
      <c r="G557" t="n">
        <v>3</v>
      </c>
      <c r="H557" t="n">
        <v>0</v>
      </c>
      <c r="I557" t="n">
        <v>0</v>
      </c>
      <c r="J557" t="n">
        <v>0</v>
      </c>
      <c r="K557" t="n">
        <v>0</v>
      </c>
      <c r="L557" t="n">
        <v>0</v>
      </c>
      <c r="M557" t="n">
        <v>0</v>
      </c>
      <c r="N557" t="n">
        <v>0</v>
      </c>
      <c r="O557" t="n">
        <v>0</v>
      </c>
      <c r="P557" t="n">
        <v>0</v>
      </c>
      <c r="Q557" t="n">
        <v>0</v>
      </c>
      <c r="R557" s="2" t="inlineStr"/>
    </row>
    <row r="558" ht="15" customHeight="1">
      <c r="A558" t="inlineStr">
        <is>
          <t>A 24284-2024</t>
        </is>
      </c>
      <c r="B558" s="1" t="n">
        <v>45457</v>
      </c>
      <c r="C558" s="1" t="n">
        <v>46002</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66393-2021</t>
        </is>
      </c>
      <c r="B559" s="1" t="n">
        <v>44518</v>
      </c>
      <c r="C559" s="1" t="n">
        <v>46002</v>
      </c>
      <c r="D559" t="inlineStr">
        <is>
          <t>SÖDERMANLANDS LÄN</t>
        </is>
      </c>
      <c r="E559" t="inlineStr">
        <is>
          <t>KATRINEHOLM</t>
        </is>
      </c>
      <c r="F559" t="inlineStr">
        <is>
          <t>Holmen skog AB</t>
        </is>
      </c>
      <c r="G559" t="n">
        <v>0.4</v>
      </c>
      <c r="H559" t="n">
        <v>0</v>
      </c>
      <c r="I559" t="n">
        <v>0</v>
      </c>
      <c r="J559" t="n">
        <v>0</v>
      </c>
      <c r="K559" t="n">
        <v>0</v>
      </c>
      <c r="L559" t="n">
        <v>0</v>
      </c>
      <c r="M559" t="n">
        <v>0</v>
      </c>
      <c r="N559" t="n">
        <v>0</v>
      </c>
      <c r="O559" t="n">
        <v>0</v>
      </c>
      <c r="P559" t="n">
        <v>0</v>
      </c>
      <c r="Q559" t="n">
        <v>0</v>
      </c>
      <c r="R559" s="2" t="inlineStr"/>
    </row>
    <row r="560" ht="15" customHeight="1">
      <c r="A560" t="inlineStr">
        <is>
          <t>A 50840-2022</t>
        </is>
      </c>
      <c r="B560" s="1" t="n">
        <v>44862</v>
      </c>
      <c r="C560" s="1" t="n">
        <v>46002</v>
      </c>
      <c r="D560" t="inlineStr">
        <is>
          <t>SÖDERMANLANDS LÄN</t>
        </is>
      </c>
      <c r="E560" t="inlineStr">
        <is>
          <t>KATRINEHOLM</t>
        </is>
      </c>
      <c r="G560" t="n">
        <v>4.2</v>
      </c>
      <c r="H560" t="n">
        <v>0</v>
      </c>
      <c r="I560" t="n">
        <v>0</v>
      </c>
      <c r="J560" t="n">
        <v>0</v>
      </c>
      <c r="K560" t="n">
        <v>0</v>
      </c>
      <c r="L560" t="n">
        <v>0</v>
      </c>
      <c r="M560" t="n">
        <v>0</v>
      </c>
      <c r="N560" t="n">
        <v>0</v>
      </c>
      <c r="O560" t="n">
        <v>0</v>
      </c>
      <c r="P560" t="n">
        <v>0</v>
      </c>
      <c r="Q560" t="n">
        <v>0</v>
      </c>
      <c r="R560" s="2" t="inlineStr"/>
    </row>
    <row r="561" ht="15" customHeight="1">
      <c r="A561" t="inlineStr">
        <is>
          <t>A 13113-2023</t>
        </is>
      </c>
      <c r="B561" s="1" t="n">
        <v>45002</v>
      </c>
      <c r="C561" s="1" t="n">
        <v>46002</v>
      </c>
      <c r="D561" t="inlineStr">
        <is>
          <t>SÖDERMANLANDS LÄN</t>
        </is>
      </c>
      <c r="E561" t="inlineStr">
        <is>
          <t>KATRINEHOLM</t>
        </is>
      </c>
      <c r="F561" t="inlineStr">
        <is>
          <t>Allmännings- och besparingsskogar</t>
        </is>
      </c>
      <c r="G561" t="n">
        <v>3.6</v>
      </c>
      <c r="H561" t="n">
        <v>0</v>
      </c>
      <c r="I561" t="n">
        <v>0</v>
      </c>
      <c r="J561" t="n">
        <v>0</v>
      </c>
      <c r="K561" t="n">
        <v>0</v>
      </c>
      <c r="L561" t="n">
        <v>0</v>
      </c>
      <c r="M561" t="n">
        <v>0</v>
      </c>
      <c r="N561" t="n">
        <v>0</v>
      </c>
      <c r="O561" t="n">
        <v>0</v>
      </c>
      <c r="P561" t="n">
        <v>0</v>
      </c>
      <c r="Q561" t="n">
        <v>0</v>
      </c>
      <c r="R561" s="2" t="inlineStr"/>
    </row>
    <row r="562" ht="15" customHeight="1">
      <c r="A562" t="inlineStr">
        <is>
          <t>A 14245-2024</t>
        </is>
      </c>
      <c r="B562" s="1" t="n">
        <v>45393</v>
      </c>
      <c r="C562" s="1" t="n">
        <v>46002</v>
      </c>
      <c r="D562" t="inlineStr">
        <is>
          <t>SÖDERMANLANDS LÄN</t>
        </is>
      </c>
      <c r="E562" t="inlineStr">
        <is>
          <t>KATRINEHOLM</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36832-2023</t>
        </is>
      </c>
      <c r="B563" s="1" t="n">
        <v>45153</v>
      </c>
      <c r="C563" s="1" t="n">
        <v>46002</v>
      </c>
      <c r="D563" t="inlineStr">
        <is>
          <t>SÖDERMANLANDS LÄN</t>
        </is>
      </c>
      <c r="E563" t="inlineStr">
        <is>
          <t>KATRINEHOLM</t>
        </is>
      </c>
      <c r="F563" t="inlineStr">
        <is>
          <t>Övriga Aktiebolag</t>
        </is>
      </c>
      <c r="G563" t="n">
        <v>9</v>
      </c>
      <c r="H563" t="n">
        <v>0</v>
      </c>
      <c r="I563" t="n">
        <v>0</v>
      </c>
      <c r="J563" t="n">
        <v>0</v>
      </c>
      <c r="K563" t="n">
        <v>0</v>
      </c>
      <c r="L563" t="n">
        <v>0</v>
      </c>
      <c r="M563" t="n">
        <v>0</v>
      </c>
      <c r="N563" t="n">
        <v>0</v>
      </c>
      <c r="O563" t="n">
        <v>0</v>
      </c>
      <c r="P563" t="n">
        <v>0</v>
      </c>
      <c r="Q563" t="n">
        <v>0</v>
      </c>
      <c r="R563" s="2" t="inlineStr"/>
    </row>
    <row r="564" ht="15" customHeight="1">
      <c r="A564" t="inlineStr">
        <is>
          <t>A 39052-2023</t>
        </is>
      </c>
      <c r="B564" s="1" t="n">
        <v>45163</v>
      </c>
      <c r="C564" s="1" t="n">
        <v>46002</v>
      </c>
      <c r="D564" t="inlineStr">
        <is>
          <t>SÖDERMANLANDS LÄN</t>
        </is>
      </c>
      <c r="E564" t="inlineStr">
        <is>
          <t>KATRINEHOLM</t>
        </is>
      </c>
      <c r="G564" t="n">
        <v>3</v>
      </c>
      <c r="H564" t="n">
        <v>0</v>
      </c>
      <c r="I564" t="n">
        <v>0</v>
      </c>
      <c r="J564" t="n">
        <v>0</v>
      </c>
      <c r="K564" t="n">
        <v>0</v>
      </c>
      <c r="L564" t="n">
        <v>0</v>
      </c>
      <c r="M564" t="n">
        <v>0</v>
      </c>
      <c r="N564" t="n">
        <v>0</v>
      </c>
      <c r="O564" t="n">
        <v>0</v>
      </c>
      <c r="P564" t="n">
        <v>0</v>
      </c>
      <c r="Q564" t="n">
        <v>0</v>
      </c>
      <c r="R564" s="2" t="inlineStr"/>
    </row>
    <row r="565" ht="15" customHeight="1">
      <c r="A565" t="inlineStr">
        <is>
          <t>A 41946-2022</t>
        </is>
      </c>
      <c r="B565" s="1" t="n">
        <v>44830.38502314815</v>
      </c>
      <c r="C565" s="1" t="n">
        <v>46002</v>
      </c>
      <c r="D565" t="inlineStr">
        <is>
          <t>SÖDERMANLANDS LÄN</t>
        </is>
      </c>
      <c r="E565" t="inlineStr">
        <is>
          <t>KATRINEHOLM</t>
        </is>
      </c>
      <c r="G565" t="n">
        <v>1</v>
      </c>
      <c r="H565" t="n">
        <v>0</v>
      </c>
      <c r="I565" t="n">
        <v>0</v>
      </c>
      <c r="J565" t="n">
        <v>0</v>
      </c>
      <c r="K565" t="n">
        <v>0</v>
      </c>
      <c r="L565" t="n">
        <v>0</v>
      </c>
      <c r="M565" t="n">
        <v>0</v>
      </c>
      <c r="N565" t="n">
        <v>0</v>
      </c>
      <c r="O565" t="n">
        <v>0</v>
      </c>
      <c r="P565" t="n">
        <v>0</v>
      </c>
      <c r="Q565" t="n">
        <v>0</v>
      </c>
      <c r="R565" s="2" t="inlineStr"/>
    </row>
    <row r="566" ht="15" customHeight="1">
      <c r="A566" t="inlineStr">
        <is>
          <t>A 51613-2022</t>
        </is>
      </c>
      <c r="B566" s="1" t="n">
        <v>44871</v>
      </c>
      <c r="C566" s="1" t="n">
        <v>46002</v>
      </c>
      <c r="D566" t="inlineStr">
        <is>
          <t>SÖDERMANLANDS LÄN</t>
        </is>
      </c>
      <c r="E566" t="inlineStr">
        <is>
          <t>KATRINEHOLM</t>
        </is>
      </c>
      <c r="G566" t="n">
        <v>3</v>
      </c>
      <c r="H566" t="n">
        <v>0</v>
      </c>
      <c r="I566" t="n">
        <v>0</v>
      </c>
      <c r="J566" t="n">
        <v>0</v>
      </c>
      <c r="K566" t="n">
        <v>0</v>
      </c>
      <c r="L566" t="n">
        <v>0</v>
      </c>
      <c r="M566" t="n">
        <v>0</v>
      </c>
      <c r="N566" t="n">
        <v>0</v>
      </c>
      <c r="O566" t="n">
        <v>0</v>
      </c>
      <c r="P566" t="n">
        <v>0</v>
      </c>
      <c r="Q566" t="n">
        <v>0</v>
      </c>
      <c r="R566" s="2" t="inlineStr"/>
    </row>
    <row r="567" ht="15" customHeight="1">
      <c r="A567" t="inlineStr">
        <is>
          <t>A 27886-2024</t>
        </is>
      </c>
      <c r="B567" s="1" t="n">
        <v>45475</v>
      </c>
      <c r="C567" s="1" t="n">
        <v>46002</v>
      </c>
      <c r="D567" t="inlineStr">
        <is>
          <t>SÖDERMANLANDS LÄN</t>
        </is>
      </c>
      <c r="E567" t="inlineStr">
        <is>
          <t>KATRINEHOLM</t>
        </is>
      </c>
      <c r="G567" t="n">
        <v>10.3</v>
      </c>
      <c r="H567" t="n">
        <v>0</v>
      </c>
      <c r="I567" t="n">
        <v>0</v>
      </c>
      <c r="J567" t="n">
        <v>0</v>
      </c>
      <c r="K567" t="n">
        <v>0</v>
      </c>
      <c r="L567" t="n">
        <v>0</v>
      </c>
      <c r="M567" t="n">
        <v>0</v>
      </c>
      <c r="N567" t="n">
        <v>0</v>
      </c>
      <c r="O567" t="n">
        <v>0</v>
      </c>
      <c r="P567" t="n">
        <v>0</v>
      </c>
      <c r="Q567" t="n">
        <v>0</v>
      </c>
      <c r="R567" s="2" t="inlineStr"/>
    </row>
    <row r="568" ht="15" customHeight="1">
      <c r="A568" t="inlineStr">
        <is>
          <t>A 19868-2022</t>
        </is>
      </c>
      <c r="B568" s="1" t="n">
        <v>44696</v>
      </c>
      <c r="C568" s="1" t="n">
        <v>46002</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58651-2023</t>
        </is>
      </c>
      <c r="B569" s="1" t="n">
        <v>45247</v>
      </c>
      <c r="C569" s="1" t="n">
        <v>46002</v>
      </c>
      <c r="D569" t="inlineStr">
        <is>
          <t>SÖDERMANLANDS LÄN</t>
        </is>
      </c>
      <c r="E569" t="inlineStr">
        <is>
          <t>KATRINEHOLM</t>
        </is>
      </c>
      <c r="G569" t="n">
        <v>2.7</v>
      </c>
      <c r="H569" t="n">
        <v>0</v>
      </c>
      <c r="I569" t="n">
        <v>0</v>
      </c>
      <c r="J569" t="n">
        <v>0</v>
      </c>
      <c r="K569" t="n">
        <v>0</v>
      </c>
      <c r="L569" t="n">
        <v>0</v>
      </c>
      <c r="M569" t="n">
        <v>0</v>
      </c>
      <c r="N569" t="n">
        <v>0</v>
      </c>
      <c r="O569" t="n">
        <v>0</v>
      </c>
      <c r="P569" t="n">
        <v>0</v>
      </c>
      <c r="Q569" t="n">
        <v>0</v>
      </c>
      <c r="R569" s="2" t="inlineStr"/>
    </row>
    <row r="570" ht="15" customHeight="1">
      <c r="A570" t="inlineStr">
        <is>
          <t>A 8765-2023</t>
        </is>
      </c>
      <c r="B570" s="1" t="n">
        <v>44978.52131944444</v>
      </c>
      <c r="C570" s="1" t="n">
        <v>46002</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28992-2024</t>
        </is>
      </c>
      <c r="B571" s="1" t="n">
        <v>45481.49289351852</v>
      </c>
      <c r="C571" s="1" t="n">
        <v>46002</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25433-2024</t>
        </is>
      </c>
      <c r="B572" s="1" t="n">
        <v>45463</v>
      </c>
      <c r="C572" s="1" t="n">
        <v>46002</v>
      </c>
      <c r="D572" t="inlineStr">
        <is>
          <t>SÖDERMANLANDS LÄN</t>
        </is>
      </c>
      <c r="E572" t="inlineStr">
        <is>
          <t>KATRINEHOLM</t>
        </is>
      </c>
      <c r="G572" t="n">
        <v>1.1</v>
      </c>
      <c r="H572" t="n">
        <v>0</v>
      </c>
      <c r="I572" t="n">
        <v>0</v>
      </c>
      <c r="J572" t="n">
        <v>0</v>
      </c>
      <c r="K572" t="n">
        <v>0</v>
      </c>
      <c r="L572" t="n">
        <v>0</v>
      </c>
      <c r="M572" t="n">
        <v>0</v>
      </c>
      <c r="N572" t="n">
        <v>0</v>
      </c>
      <c r="O572" t="n">
        <v>0</v>
      </c>
      <c r="P572" t="n">
        <v>0</v>
      </c>
      <c r="Q572" t="n">
        <v>0</v>
      </c>
      <c r="R572" s="2" t="inlineStr"/>
    </row>
    <row r="573" ht="15" customHeight="1">
      <c r="A573" t="inlineStr">
        <is>
          <t>A 42111-2022</t>
        </is>
      </c>
      <c r="B573" s="1" t="n">
        <v>44830</v>
      </c>
      <c r="C573" s="1" t="n">
        <v>46002</v>
      </c>
      <c r="D573" t="inlineStr">
        <is>
          <t>SÖDERMANLANDS LÄN</t>
        </is>
      </c>
      <c r="E573" t="inlineStr">
        <is>
          <t>KATRINEHOLM</t>
        </is>
      </c>
      <c r="G573" t="n">
        <v>2.5</v>
      </c>
      <c r="H573" t="n">
        <v>0</v>
      </c>
      <c r="I573" t="n">
        <v>0</v>
      </c>
      <c r="J573" t="n">
        <v>0</v>
      </c>
      <c r="K573" t="n">
        <v>0</v>
      </c>
      <c r="L573" t="n">
        <v>0</v>
      </c>
      <c r="M573" t="n">
        <v>0</v>
      </c>
      <c r="N573" t="n">
        <v>0</v>
      </c>
      <c r="O573" t="n">
        <v>0</v>
      </c>
      <c r="P573" t="n">
        <v>0</v>
      </c>
      <c r="Q573" t="n">
        <v>0</v>
      </c>
      <c r="R573" s="2" t="inlineStr"/>
    </row>
    <row r="574" ht="15" customHeight="1">
      <c r="A574" t="inlineStr">
        <is>
          <t>A 36021-2023</t>
        </is>
      </c>
      <c r="B574" s="1" t="n">
        <v>45148</v>
      </c>
      <c r="C574" s="1" t="n">
        <v>46002</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40402-2022</t>
        </is>
      </c>
      <c r="B575" s="1" t="n">
        <v>44823.44353009259</v>
      </c>
      <c r="C575" s="1" t="n">
        <v>46002</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27334-2023</t>
        </is>
      </c>
      <c r="B576" s="1" t="n">
        <v>45096</v>
      </c>
      <c r="C576" s="1" t="n">
        <v>46002</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7704-2023</t>
        </is>
      </c>
      <c r="B577" s="1" t="n">
        <v>44968</v>
      </c>
      <c r="C577" s="1" t="n">
        <v>46002</v>
      </c>
      <c r="D577" t="inlineStr">
        <is>
          <t>SÖDERMANLANDS LÄN</t>
        </is>
      </c>
      <c r="E577" t="inlineStr">
        <is>
          <t>KATRINEHOLM</t>
        </is>
      </c>
      <c r="G577" t="n">
        <v>7.3</v>
      </c>
      <c r="H577" t="n">
        <v>0</v>
      </c>
      <c r="I577" t="n">
        <v>0</v>
      </c>
      <c r="J577" t="n">
        <v>0</v>
      </c>
      <c r="K577" t="n">
        <v>0</v>
      </c>
      <c r="L577" t="n">
        <v>0</v>
      </c>
      <c r="M577" t="n">
        <v>0</v>
      </c>
      <c r="N577" t="n">
        <v>0</v>
      </c>
      <c r="O577" t="n">
        <v>0</v>
      </c>
      <c r="P577" t="n">
        <v>0</v>
      </c>
      <c r="Q577" t="n">
        <v>0</v>
      </c>
      <c r="R577" s="2" t="inlineStr"/>
    </row>
    <row r="578" ht="15" customHeight="1">
      <c r="A578" t="inlineStr">
        <is>
          <t>A 58528-2024</t>
        </is>
      </c>
      <c r="B578" s="1" t="n">
        <v>45635.44527777778</v>
      </c>
      <c r="C578" s="1" t="n">
        <v>46002</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14478-2023</t>
        </is>
      </c>
      <c r="B579" s="1" t="n">
        <v>45012.66421296296</v>
      </c>
      <c r="C579" s="1" t="n">
        <v>46002</v>
      </c>
      <c r="D579" t="inlineStr">
        <is>
          <t>SÖDERMANLANDS LÄN</t>
        </is>
      </c>
      <c r="E579" t="inlineStr">
        <is>
          <t>KATRINEHOLM</t>
        </is>
      </c>
      <c r="G579" t="n">
        <v>3.9</v>
      </c>
      <c r="H579" t="n">
        <v>0</v>
      </c>
      <c r="I579" t="n">
        <v>0</v>
      </c>
      <c r="J579" t="n">
        <v>0</v>
      </c>
      <c r="K579" t="n">
        <v>0</v>
      </c>
      <c r="L579" t="n">
        <v>0</v>
      </c>
      <c r="M579" t="n">
        <v>0</v>
      </c>
      <c r="N579" t="n">
        <v>0</v>
      </c>
      <c r="O579" t="n">
        <v>0</v>
      </c>
      <c r="P579" t="n">
        <v>0</v>
      </c>
      <c r="Q579" t="n">
        <v>0</v>
      </c>
      <c r="R579" s="2" t="inlineStr"/>
    </row>
    <row r="580" ht="15" customHeight="1">
      <c r="A580" t="inlineStr">
        <is>
          <t>A 39055-2022</t>
        </is>
      </c>
      <c r="B580" s="1" t="n">
        <v>44817</v>
      </c>
      <c r="C580" s="1" t="n">
        <v>46002</v>
      </c>
      <c r="D580" t="inlineStr">
        <is>
          <t>SÖDERMANLANDS LÄN</t>
        </is>
      </c>
      <c r="E580" t="inlineStr">
        <is>
          <t>KATRINEHOLM</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7056-2022</t>
        </is>
      </c>
      <c r="B581" s="1" t="n">
        <v>44603</v>
      </c>
      <c r="C581" s="1" t="n">
        <v>46002</v>
      </c>
      <c r="D581" t="inlineStr">
        <is>
          <t>SÖDERMANLANDS LÄN</t>
        </is>
      </c>
      <c r="E581" t="inlineStr">
        <is>
          <t>KATRINEHOLM</t>
        </is>
      </c>
      <c r="G581" t="n">
        <v>0.5</v>
      </c>
      <c r="H581" t="n">
        <v>0</v>
      </c>
      <c r="I581" t="n">
        <v>0</v>
      </c>
      <c r="J581" t="n">
        <v>0</v>
      </c>
      <c r="K581" t="n">
        <v>0</v>
      </c>
      <c r="L581" t="n">
        <v>0</v>
      </c>
      <c r="M581" t="n">
        <v>0</v>
      </c>
      <c r="N581" t="n">
        <v>0</v>
      </c>
      <c r="O581" t="n">
        <v>0</v>
      </c>
      <c r="P581" t="n">
        <v>0</v>
      </c>
      <c r="Q581" t="n">
        <v>0</v>
      </c>
      <c r="R581" s="2" t="inlineStr"/>
    </row>
    <row r="582" ht="15" customHeight="1">
      <c r="A582" t="inlineStr">
        <is>
          <t>A 12937-2023</t>
        </is>
      </c>
      <c r="B582" s="1" t="n">
        <v>45001</v>
      </c>
      <c r="C582" s="1" t="n">
        <v>46002</v>
      </c>
      <c r="D582" t="inlineStr">
        <is>
          <t>SÖDERMANLANDS LÄN</t>
        </is>
      </c>
      <c r="E582" t="inlineStr">
        <is>
          <t>KATRINEHOLM</t>
        </is>
      </c>
      <c r="G582" t="n">
        <v>0.9</v>
      </c>
      <c r="H582" t="n">
        <v>0</v>
      </c>
      <c r="I582" t="n">
        <v>0</v>
      </c>
      <c r="J582" t="n">
        <v>0</v>
      </c>
      <c r="K582" t="n">
        <v>0</v>
      </c>
      <c r="L582" t="n">
        <v>0</v>
      </c>
      <c r="M582" t="n">
        <v>0</v>
      </c>
      <c r="N582" t="n">
        <v>0</v>
      </c>
      <c r="O582" t="n">
        <v>0</v>
      </c>
      <c r="P582" t="n">
        <v>0</v>
      </c>
      <c r="Q582" t="n">
        <v>0</v>
      </c>
      <c r="R582" s="2" t="inlineStr"/>
    </row>
    <row r="583" ht="15" customHeight="1">
      <c r="A583" t="inlineStr">
        <is>
          <t>A 42896-2024</t>
        </is>
      </c>
      <c r="B583" s="1" t="n">
        <v>45566.82973379629</v>
      </c>
      <c r="C583" s="1" t="n">
        <v>46002</v>
      </c>
      <c r="D583" t="inlineStr">
        <is>
          <t>SÖDERMANLANDS LÄN</t>
        </is>
      </c>
      <c r="E583" t="inlineStr">
        <is>
          <t>KATRINEHOLM</t>
        </is>
      </c>
      <c r="G583" t="n">
        <v>4.3</v>
      </c>
      <c r="H583" t="n">
        <v>0</v>
      </c>
      <c r="I583" t="n">
        <v>0</v>
      </c>
      <c r="J583" t="n">
        <v>0</v>
      </c>
      <c r="K583" t="n">
        <v>0</v>
      </c>
      <c r="L583" t="n">
        <v>0</v>
      </c>
      <c r="M583" t="n">
        <v>0</v>
      </c>
      <c r="N583" t="n">
        <v>0</v>
      </c>
      <c r="O583" t="n">
        <v>0</v>
      </c>
      <c r="P583" t="n">
        <v>0</v>
      </c>
      <c r="Q583" t="n">
        <v>0</v>
      </c>
      <c r="R583" s="2" t="inlineStr"/>
    </row>
    <row r="584" ht="15" customHeight="1">
      <c r="A584" t="inlineStr">
        <is>
          <t>A 29008-2024</t>
        </is>
      </c>
      <c r="B584" s="1" t="n">
        <v>45481</v>
      </c>
      <c r="C584" s="1" t="n">
        <v>46002</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62419-2023</t>
        </is>
      </c>
      <c r="B585" s="1" t="n">
        <v>45268</v>
      </c>
      <c r="C585" s="1" t="n">
        <v>46002</v>
      </c>
      <c r="D585" t="inlineStr">
        <is>
          <t>SÖDERMANLANDS LÄN</t>
        </is>
      </c>
      <c r="E585" t="inlineStr">
        <is>
          <t>KATRINEHOLM</t>
        </is>
      </c>
      <c r="G585" t="n">
        <v>9</v>
      </c>
      <c r="H585" t="n">
        <v>0</v>
      </c>
      <c r="I585" t="n">
        <v>0</v>
      </c>
      <c r="J585" t="n">
        <v>0</v>
      </c>
      <c r="K585" t="n">
        <v>0</v>
      </c>
      <c r="L585" t="n">
        <v>0</v>
      </c>
      <c r="M585" t="n">
        <v>0</v>
      </c>
      <c r="N585" t="n">
        <v>0</v>
      </c>
      <c r="O585" t="n">
        <v>0</v>
      </c>
      <c r="P585" t="n">
        <v>0</v>
      </c>
      <c r="Q585" t="n">
        <v>0</v>
      </c>
      <c r="R585" s="2" t="inlineStr"/>
    </row>
    <row r="586" ht="15" customHeight="1">
      <c r="A586" t="inlineStr">
        <is>
          <t>A 53722-2023</t>
        </is>
      </c>
      <c r="B586" s="1" t="n">
        <v>45230</v>
      </c>
      <c r="C586" s="1" t="n">
        <v>46002</v>
      </c>
      <c r="D586" t="inlineStr">
        <is>
          <t>SÖDERMANLANDS LÄN</t>
        </is>
      </c>
      <c r="E586" t="inlineStr">
        <is>
          <t>KATRINEHOLM</t>
        </is>
      </c>
      <c r="F586" t="inlineStr">
        <is>
          <t>Allmännings- och besparingsskogar</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38869-2024</t>
        </is>
      </c>
      <c r="B587" s="1" t="n">
        <v>45547</v>
      </c>
      <c r="C587" s="1" t="n">
        <v>46002</v>
      </c>
      <c r="D587" t="inlineStr">
        <is>
          <t>SÖDERMANLANDS LÄN</t>
        </is>
      </c>
      <c r="E587" t="inlineStr">
        <is>
          <t>KATRINEHOLM</t>
        </is>
      </c>
      <c r="G587" t="n">
        <v>2.2</v>
      </c>
      <c r="H587" t="n">
        <v>0</v>
      </c>
      <c r="I587" t="n">
        <v>0</v>
      </c>
      <c r="J587" t="n">
        <v>0</v>
      </c>
      <c r="K587" t="n">
        <v>0</v>
      </c>
      <c r="L587" t="n">
        <v>0</v>
      </c>
      <c r="M587" t="n">
        <v>0</v>
      </c>
      <c r="N587" t="n">
        <v>0</v>
      </c>
      <c r="O587" t="n">
        <v>0</v>
      </c>
      <c r="P587" t="n">
        <v>0</v>
      </c>
      <c r="Q587" t="n">
        <v>0</v>
      </c>
      <c r="R587" s="2" t="inlineStr"/>
    </row>
    <row r="588" ht="15" customHeight="1">
      <c r="A588" t="inlineStr">
        <is>
          <t>A 20214-2025</t>
        </is>
      </c>
      <c r="B588" s="1" t="n">
        <v>45772.63540509259</v>
      </c>
      <c r="C588" s="1" t="n">
        <v>46002</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62140-2022</t>
        </is>
      </c>
      <c r="B589" s="1" t="n">
        <v>44922</v>
      </c>
      <c r="C589" s="1" t="n">
        <v>46002</v>
      </c>
      <c r="D589" t="inlineStr">
        <is>
          <t>SÖDERMANLANDS LÄN</t>
        </is>
      </c>
      <c r="E589" t="inlineStr">
        <is>
          <t>KATRINEHOLM</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27375-2024</t>
        </is>
      </c>
      <c r="B590" s="1" t="n">
        <v>45473.87645833333</v>
      </c>
      <c r="C590" s="1" t="n">
        <v>46002</v>
      </c>
      <c r="D590" t="inlineStr">
        <is>
          <t>SÖDERMANLANDS LÄN</t>
        </is>
      </c>
      <c r="E590" t="inlineStr">
        <is>
          <t>KATRINEHOLM</t>
        </is>
      </c>
      <c r="F590" t="inlineStr">
        <is>
          <t>Kommuner</t>
        </is>
      </c>
      <c r="G590" t="n">
        <v>1.9</v>
      </c>
      <c r="H590" t="n">
        <v>0</v>
      </c>
      <c r="I590" t="n">
        <v>0</v>
      </c>
      <c r="J590" t="n">
        <v>0</v>
      </c>
      <c r="K590" t="n">
        <v>0</v>
      </c>
      <c r="L590" t="n">
        <v>0</v>
      </c>
      <c r="M590" t="n">
        <v>0</v>
      </c>
      <c r="N590" t="n">
        <v>0</v>
      </c>
      <c r="O590" t="n">
        <v>0</v>
      </c>
      <c r="P590" t="n">
        <v>0</v>
      </c>
      <c r="Q590" t="n">
        <v>0</v>
      </c>
      <c r="R590" s="2" t="inlineStr"/>
    </row>
    <row r="591" ht="15" customHeight="1">
      <c r="A591" t="inlineStr">
        <is>
          <t>A 7867-2024</t>
        </is>
      </c>
      <c r="B591" s="1" t="n">
        <v>45350.32991898148</v>
      </c>
      <c r="C591" s="1" t="n">
        <v>46002</v>
      </c>
      <c r="D591" t="inlineStr">
        <is>
          <t>SÖDERMANLANDS LÄN</t>
        </is>
      </c>
      <c r="E591" t="inlineStr">
        <is>
          <t>KATRINEHOLM</t>
        </is>
      </c>
      <c r="F591" t="inlineStr">
        <is>
          <t>Kyrkan</t>
        </is>
      </c>
      <c r="G591" t="n">
        <v>3.3</v>
      </c>
      <c r="H591" t="n">
        <v>0</v>
      </c>
      <c r="I591" t="n">
        <v>0</v>
      </c>
      <c r="J591" t="n">
        <v>0</v>
      </c>
      <c r="K591" t="n">
        <v>0</v>
      </c>
      <c r="L591" t="n">
        <v>0</v>
      </c>
      <c r="M591" t="n">
        <v>0</v>
      </c>
      <c r="N591" t="n">
        <v>0</v>
      </c>
      <c r="O591" t="n">
        <v>0</v>
      </c>
      <c r="P591" t="n">
        <v>0</v>
      </c>
      <c r="Q591" t="n">
        <v>0</v>
      </c>
      <c r="R591" s="2" t="inlineStr"/>
    </row>
    <row r="592" ht="15" customHeight="1">
      <c r="A592" t="inlineStr">
        <is>
          <t>A 8957-2024</t>
        </is>
      </c>
      <c r="B592" s="1" t="n">
        <v>45357.45089120371</v>
      </c>
      <c r="C592" s="1" t="n">
        <v>46002</v>
      </c>
      <c r="D592" t="inlineStr">
        <is>
          <t>SÖDERMANLANDS LÄN</t>
        </is>
      </c>
      <c r="E592" t="inlineStr">
        <is>
          <t>KATRINEHOLM</t>
        </is>
      </c>
      <c r="G592" t="n">
        <v>3.6</v>
      </c>
      <c r="H592" t="n">
        <v>0</v>
      </c>
      <c r="I592" t="n">
        <v>0</v>
      </c>
      <c r="J592" t="n">
        <v>0</v>
      </c>
      <c r="K592" t="n">
        <v>0</v>
      </c>
      <c r="L592" t="n">
        <v>0</v>
      </c>
      <c r="M592" t="n">
        <v>0</v>
      </c>
      <c r="N592" t="n">
        <v>0</v>
      </c>
      <c r="O592" t="n">
        <v>0</v>
      </c>
      <c r="P592" t="n">
        <v>0</v>
      </c>
      <c r="Q592" t="n">
        <v>0</v>
      </c>
      <c r="R592" s="2" t="inlineStr"/>
    </row>
    <row r="593" ht="15" customHeight="1">
      <c r="A593" t="inlineStr">
        <is>
          <t>A 23341-2023</t>
        </is>
      </c>
      <c r="B593" s="1" t="n">
        <v>45076</v>
      </c>
      <c r="C593" s="1" t="n">
        <v>46002</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60677-2021</t>
        </is>
      </c>
      <c r="B594" s="1" t="n">
        <v>44495</v>
      </c>
      <c r="C594" s="1" t="n">
        <v>46002</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3986-2024</t>
        </is>
      </c>
      <c r="B595" s="1" t="n">
        <v>45322</v>
      </c>
      <c r="C595" s="1" t="n">
        <v>46002</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3939-2022</t>
        </is>
      </c>
      <c r="B596" s="1" t="n">
        <v>44587</v>
      </c>
      <c r="C596" s="1" t="n">
        <v>46002</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2683-2025</t>
        </is>
      </c>
      <c r="B597" s="1" t="n">
        <v>45677</v>
      </c>
      <c r="C597" s="1" t="n">
        <v>46002</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3317-2023</t>
        </is>
      </c>
      <c r="B598" s="1" t="n">
        <v>44945</v>
      </c>
      <c r="C598" s="1" t="n">
        <v>46002</v>
      </c>
      <c r="D598" t="inlineStr">
        <is>
          <t>SÖDERMANLANDS LÄN</t>
        </is>
      </c>
      <c r="E598" t="inlineStr">
        <is>
          <t>KATRINEHOLM</t>
        </is>
      </c>
      <c r="G598" t="n">
        <v>3.2</v>
      </c>
      <c r="H598" t="n">
        <v>0</v>
      </c>
      <c r="I598" t="n">
        <v>0</v>
      </c>
      <c r="J598" t="n">
        <v>0</v>
      </c>
      <c r="K598" t="n">
        <v>0</v>
      </c>
      <c r="L598" t="n">
        <v>0</v>
      </c>
      <c r="M598" t="n">
        <v>0</v>
      </c>
      <c r="N598" t="n">
        <v>0</v>
      </c>
      <c r="O598" t="n">
        <v>0</v>
      </c>
      <c r="P598" t="n">
        <v>0</v>
      </c>
      <c r="Q598" t="n">
        <v>0</v>
      </c>
      <c r="R598" s="2" t="inlineStr"/>
    </row>
    <row r="599" ht="15" customHeight="1">
      <c r="A599" t="inlineStr">
        <is>
          <t>A 32944-2023</t>
        </is>
      </c>
      <c r="B599" s="1" t="n">
        <v>45125</v>
      </c>
      <c r="C599" s="1" t="n">
        <v>46002</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29198-2023</t>
        </is>
      </c>
      <c r="B600" s="1" t="n">
        <v>45105</v>
      </c>
      <c r="C600" s="1" t="n">
        <v>46002</v>
      </c>
      <c r="D600" t="inlineStr">
        <is>
          <t>SÖDERMANLANDS LÄN</t>
        </is>
      </c>
      <c r="E600" t="inlineStr">
        <is>
          <t>KATRINEHOLM</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56661-2021</t>
        </is>
      </c>
      <c r="B601" s="1" t="n">
        <v>44481.24327546296</v>
      </c>
      <c r="C601" s="1" t="n">
        <v>46002</v>
      </c>
      <c r="D601" t="inlineStr">
        <is>
          <t>SÖDERMANLANDS LÄN</t>
        </is>
      </c>
      <c r="E601" t="inlineStr">
        <is>
          <t>KATRINEHOLM</t>
        </is>
      </c>
      <c r="G601" t="n">
        <v>5.8</v>
      </c>
      <c r="H601" t="n">
        <v>0</v>
      </c>
      <c r="I601" t="n">
        <v>0</v>
      </c>
      <c r="J601" t="n">
        <v>0</v>
      </c>
      <c r="K601" t="n">
        <v>0</v>
      </c>
      <c r="L601" t="n">
        <v>0</v>
      </c>
      <c r="M601" t="n">
        <v>0</v>
      </c>
      <c r="N601" t="n">
        <v>0</v>
      </c>
      <c r="O601" t="n">
        <v>0</v>
      </c>
      <c r="P601" t="n">
        <v>0</v>
      </c>
      <c r="Q601" t="n">
        <v>0</v>
      </c>
      <c r="R601" s="2" t="inlineStr"/>
    </row>
    <row r="602" ht="15" customHeight="1">
      <c r="A602" t="inlineStr">
        <is>
          <t>A 45246-2023</t>
        </is>
      </c>
      <c r="B602" s="1" t="n">
        <v>45191</v>
      </c>
      <c r="C602" s="1" t="n">
        <v>46002</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55171-2023</t>
        </is>
      </c>
      <c r="B603" s="1" t="n">
        <v>45231</v>
      </c>
      <c r="C603" s="1" t="n">
        <v>46002</v>
      </c>
      <c r="D603" t="inlineStr">
        <is>
          <t>SÖDERMANLANDS LÄN</t>
        </is>
      </c>
      <c r="E603" t="inlineStr">
        <is>
          <t>KATRINEHOLM</t>
        </is>
      </c>
      <c r="G603" t="n">
        <v>4.2</v>
      </c>
      <c r="H603" t="n">
        <v>0</v>
      </c>
      <c r="I603" t="n">
        <v>0</v>
      </c>
      <c r="J603" t="n">
        <v>0</v>
      </c>
      <c r="K603" t="n">
        <v>0</v>
      </c>
      <c r="L603" t="n">
        <v>0</v>
      </c>
      <c r="M603" t="n">
        <v>0</v>
      </c>
      <c r="N603" t="n">
        <v>0</v>
      </c>
      <c r="O603" t="n">
        <v>0</v>
      </c>
      <c r="P603" t="n">
        <v>0</v>
      </c>
      <c r="Q603" t="n">
        <v>0</v>
      </c>
      <c r="R603" s="2" t="inlineStr"/>
    </row>
    <row r="604" ht="15" customHeight="1">
      <c r="A604" t="inlineStr">
        <is>
          <t>A 27376-2024</t>
        </is>
      </c>
      <c r="B604" s="1" t="n">
        <v>45473.88313657408</v>
      </c>
      <c r="C604" s="1" t="n">
        <v>46002</v>
      </c>
      <c r="D604" t="inlineStr">
        <is>
          <t>SÖDERMANLANDS LÄN</t>
        </is>
      </c>
      <c r="E604" t="inlineStr">
        <is>
          <t>KATRINEHOLM</t>
        </is>
      </c>
      <c r="F604" t="inlineStr">
        <is>
          <t>Kommuner</t>
        </is>
      </c>
      <c r="G604" t="n">
        <v>2.8</v>
      </c>
      <c r="H604" t="n">
        <v>0</v>
      </c>
      <c r="I604" t="n">
        <v>0</v>
      </c>
      <c r="J604" t="n">
        <v>0</v>
      </c>
      <c r="K604" t="n">
        <v>0</v>
      </c>
      <c r="L604" t="n">
        <v>0</v>
      </c>
      <c r="M604" t="n">
        <v>0</v>
      </c>
      <c r="N604" t="n">
        <v>0</v>
      </c>
      <c r="O604" t="n">
        <v>0</v>
      </c>
      <c r="P604" t="n">
        <v>0</v>
      </c>
      <c r="Q604" t="n">
        <v>0</v>
      </c>
      <c r="R604" s="2" t="inlineStr"/>
    </row>
    <row r="605" ht="15" customHeight="1">
      <c r="A605" t="inlineStr">
        <is>
          <t>A 48097-2023</t>
        </is>
      </c>
      <c r="B605" s="1" t="n">
        <v>45205.31987268518</v>
      </c>
      <c r="C605" s="1" t="n">
        <v>46002</v>
      </c>
      <c r="D605" t="inlineStr">
        <is>
          <t>SÖDERMANLANDS LÄN</t>
        </is>
      </c>
      <c r="E605" t="inlineStr">
        <is>
          <t>KATRINEHOLM</t>
        </is>
      </c>
      <c r="G605" t="n">
        <v>2.3</v>
      </c>
      <c r="H605" t="n">
        <v>0</v>
      </c>
      <c r="I605" t="n">
        <v>0</v>
      </c>
      <c r="J605" t="n">
        <v>0</v>
      </c>
      <c r="K605" t="n">
        <v>0</v>
      </c>
      <c r="L605" t="n">
        <v>0</v>
      </c>
      <c r="M605" t="n">
        <v>0</v>
      </c>
      <c r="N605" t="n">
        <v>0</v>
      </c>
      <c r="O605" t="n">
        <v>0</v>
      </c>
      <c r="P605" t="n">
        <v>0</v>
      </c>
      <c r="Q605" t="n">
        <v>0</v>
      </c>
      <c r="R605" s="2" t="inlineStr"/>
    </row>
    <row r="606" ht="15" customHeight="1">
      <c r="A606" t="inlineStr">
        <is>
          <t>A 7753-2024</t>
        </is>
      </c>
      <c r="B606" s="1" t="n">
        <v>45348</v>
      </c>
      <c r="C606" s="1" t="n">
        <v>46002</v>
      </c>
      <c r="D606" t="inlineStr">
        <is>
          <t>SÖDERMANLANDS LÄN</t>
        </is>
      </c>
      <c r="E606" t="inlineStr">
        <is>
          <t>KATRINEHOLM</t>
        </is>
      </c>
      <c r="G606" t="n">
        <v>13.4</v>
      </c>
      <c r="H606" t="n">
        <v>0</v>
      </c>
      <c r="I606" t="n">
        <v>0</v>
      </c>
      <c r="J606" t="n">
        <v>0</v>
      </c>
      <c r="K606" t="n">
        <v>0</v>
      </c>
      <c r="L606" t="n">
        <v>0</v>
      </c>
      <c r="M606" t="n">
        <v>0</v>
      </c>
      <c r="N606" t="n">
        <v>0</v>
      </c>
      <c r="O606" t="n">
        <v>0</v>
      </c>
      <c r="P606" t="n">
        <v>0</v>
      </c>
      <c r="Q606" t="n">
        <v>0</v>
      </c>
      <c r="R606" s="2" t="inlineStr"/>
    </row>
    <row r="607" ht="15" customHeight="1">
      <c r="A607" t="inlineStr">
        <is>
          <t>A 61915-2021</t>
        </is>
      </c>
      <c r="B607" s="1" t="n">
        <v>44502.36780092592</v>
      </c>
      <c r="C607" s="1" t="n">
        <v>46002</v>
      </c>
      <c r="D607" t="inlineStr">
        <is>
          <t>SÖDERMANLANDS LÄN</t>
        </is>
      </c>
      <c r="E607" t="inlineStr">
        <is>
          <t>KATRINEHOLM</t>
        </is>
      </c>
      <c r="G607" t="n">
        <v>2.6</v>
      </c>
      <c r="H607" t="n">
        <v>0</v>
      </c>
      <c r="I607" t="n">
        <v>0</v>
      </c>
      <c r="J607" t="n">
        <v>0</v>
      </c>
      <c r="K607" t="n">
        <v>0</v>
      </c>
      <c r="L607" t="n">
        <v>0</v>
      </c>
      <c r="M607" t="n">
        <v>0</v>
      </c>
      <c r="N607" t="n">
        <v>0</v>
      </c>
      <c r="O607" t="n">
        <v>0</v>
      </c>
      <c r="P607" t="n">
        <v>0</v>
      </c>
      <c r="Q607" t="n">
        <v>0</v>
      </c>
      <c r="R607" s="2" t="inlineStr"/>
    </row>
    <row r="608" ht="15" customHeight="1">
      <c r="A608" t="inlineStr">
        <is>
          <t>A 55795-2023</t>
        </is>
      </c>
      <c r="B608" s="1" t="n">
        <v>45239.54861111111</v>
      </c>
      <c r="C608" s="1" t="n">
        <v>46002</v>
      </c>
      <c r="D608" t="inlineStr">
        <is>
          <t>SÖDERMANLANDS LÄN</t>
        </is>
      </c>
      <c r="E608" t="inlineStr">
        <is>
          <t>KATRINEHOLM</t>
        </is>
      </c>
      <c r="G608" t="n">
        <v>7</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44701.36431712963</v>
      </c>
      <c r="C609" s="1" t="n">
        <v>46002</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55846-2022</t>
        </is>
      </c>
      <c r="B610" s="1" t="n">
        <v>44888</v>
      </c>
      <c r="C610" s="1" t="n">
        <v>46002</v>
      </c>
      <c r="D610" t="inlineStr">
        <is>
          <t>SÖDERMANLANDS LÄN</t>
        </is>
      </c>
      <c r="E610" t="inlineStr">
        <is>
          <t>KATRINEHOLM</t>
        </is>
      </c>
      <c r="G610" t="n">
        <v>6.5</v>
      </c>
      <c r="H610" t="n">
        <v>0</v>
      </c>
      <c r="I610" t="n">
        <v>0</v>
      </c>
      <c r="J610" t="n">
        <v>0</v>
      </c>
      <c r="K610" t="n">
        <v>0</v>
      </c>
      <c r="L610" t="n">
        <v>0</v>
      </c>
      <c r="M610" t="n">
        <v>0</v>
      </c>
      <c r="N610" t="n">
        <v>0</v>
      </c>
      <c r="O610" t="n">
        <v>0</v>
      </c>
      <c r="P610" t="n">
        <v>0</v>
      </c>
      <c r="Q610" t="n">
        <v>0</v>
      </c>
      <c r="R610" s="2" t="inlineStr"/>
    </row>
    <row r="611" ht="15" customHeight="1">
      <c r="A611" t="inlineStr">
        <is>
          <t>A 19452-2023</t>
        </is>
      </c>
      <c r="B611" s="1" t="n">
        <v>45050</v>
      </c>
      <c r="C611" s="1" t="n">
        <v>46002</v>
      </c>
      <c r="D611" t="inlineStr">
        <is>
          <t>SÖDERMANLANDS LÄN</t>
        </is>
      </c>
      <c r="E611" t="inlineStr">
        <is>
          <t>KATRINEHOLM</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31719-2024</t>
        </is>
      </c>
      <c r="B612" s="1" t="n">
        <v>45509</v>
      </c>
      <c r="C612" s="1" t="n">
        <v>46002</v>
      </c>
      <c r="D612" t="inlineStr">
        <is>
          <t>SÖDERMANLANDS LÄN</t>
        </is>
      </c>
      <c r="E612" t="inlineStr">
        <is>
          <t>KATRINEHOLM</t>
        </is>
      </c>
      <c r="F612" t="inlineStr">
        <is>
          <t>Kyrkan</t>
        </is>
      </c>
      <c r="G612" t="n">
        <v>11.9</v>
      </c>
      <c r="H612" t="n">
        <v>0</v>
      </c>
      <c r="I612" t="n">
        <v>0</v>
      </c>
      <c r="J612" t="n">
        <v>0</v>
      </c>
      <c r="K612" t="n">
        <v>0</v>
      </c>
      <c r="L612" t="n">
        <v>0</v>
      </c>
      <c r="M612" t="n">
        <v>0</v>
      </c>
      <c r="N612" t="n">
        <v>0</v>
      </c>
      <c r="O612" t="n">
        <v>0</v>
      </c>
      <c r="P612" t="n">
        <v>0</v>
      </c>
      <c r="Q612" t="n">
        <v>0</v>
      </c>
      <c r="R612" s="2" t="inlineStr"/>
    </row>
    <row r="613" ht="15" customHeight="1">
      <c r="A613" t="inlineStr">
        <is>
          <t>A 43837-2022</t>
        </is>
      </c>
      <c r="B613" s="1" t="n">
        <v>44838</v>
      </c>
      <c r="C613" s="1" t="n">
        <v>46002</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51397-2023</t>
        </is>
      </c>
      <c r="B614" s="1" t="n">
        <v>45214</v>
      </c>
      <c r="C614" s="1" t="n">
        <v>46002</v>
      </c>
      <c r="D614" t="inlineStr">
        <is>
          <t>SÖDERMANLANDS LÄN</t>
        </is>
      </c>
      <c r="E614" t="inlineStr">
        <is>
          <t>KATRINEHOLM</t>
        </is>
      </c>
      <c r="G614" t="n">
        <v>4.9</v>
      </c>
      <c r="H614" t="n">
        <v>0</v>
      </c>
      <c r="I614" t="n">
        <v>0</v>
      </c>
      <c r="J614" t="n">
        <v>0</v>
      </c>
      <c r="K614" t="n">
        <v>0</v>
      </c>
      <c r="L614" t="n">
        <v>0</v>
      </c>
      <c r="M614" t="n">
        <v>0</v>
      </c>
      <c r="N614" t="n">
        <v>0</v>
      </c>
      <c r="O614" t="n">
        <v>0</v>
      </c>
      <c r="P614" t="n">
        <v>0</v>
      </c>
      <c r="Q614" t="n">
        <v>0</v>
      </c>
      <c r="R614" s="2" t="inlineStr"/>
    </row>
    <row r="615" ht="15" customHeight="1">
      <c r="A615" t="inlineStr">
        <is>
          <t>A 19670-2022</t>
        </is>
      </c>
      <c r="B615" s="1" t="n">
        <v>44694</v>
      </c>
      <c r="C615" s="1" t="n">
        <v>46002</v>
      </c>
      <c r="D615" t="inlineStr">
        <is>
          <t>SÖDERMANLANDS LÄN</t>
        </is>
      </c>
      <c r="E615" t="inlineStr">
        <is>
          <t>KATRINEHOLM</t>
        </is>
      </c>
      <c r="G615" t="n">
        <v>13.6</v>
      </c>
      <c r="H615" t="n">
        <v>0</v>
      </c>
      <c r="I615" t="n">
        <v>0</v>
      </c>
      <c r="J615" t="n">
        <v>0</v>
      </c>
      <c r="K615" t="n">
        <v>0</v>
      </c>
      <c r="L615" t="n">
        <v>0</v>
      </c>
      <c r="M615" t="n">
        <v>0</v>
      </c>
      <c r="N615" t="n">
        <v>0</v>
      </c>
      <c r="O615" t="n">
        <v>0</v>
      </c>
      <c r="P615" t="n">
        <v>0</v>
      </c>
      <c r="Q615" t="n">
        <v>0</v>
      </c>
      <c r="R615" s="2" t="inlineStr"/>
    </row>
    <row r="616" ht="15" customHeight="1">
      <c r="A616" t="inlineStr">
        <is>
          <t>A 6606-2022</t>
        </is>
      </c>
      <c r="B616" s="1" t="n">
        <v>44601</v>
      </c>
      <c r="C616" s="1" t="n">
        <v>46002</v>
      </c>
      <c r="D616" t="inlineStr">
        <is>
          <t>SÖDERMANLANDS LÄN</t>
        </is>
      </c>
      <c r="E616" t="inlineStr">
        <is>
          <t>KATRINEHOLM</t>
        </is>
      </c>
      <c r="G616" t="n">
        <v>1.6</v>
      </c>
      <c r="H616" t="n">
        <v>0</v>
      </c>
      <c r="I616" t="n">
        <v>0</v>
      </c>
      <c r="J616" t="n">
        <v>0</v>
      </c>
      <c r="K616" t="n">
        <v>0</v>
      </c>
      <c r="L616" t="n">
        <v>0</v>
      </c>
      <c r="M616" t="n">
        <v>0</v>
      </c>
      <c r="N616" t="n">
        <v>0</v>
      </c>
      <c r="O616" t="n">
        <v>0</v>
      </c>
      <c r="P616" t="n">
        <v>0</v>
      </c>
      <c r="Q616" t="n">
        <v>0</v>
      </c>
      <c r="R616" s="2" t="inlineStr"/>
    </row>
    <row r="617" ht="15" customHeight="1">
      <c r="A617" t="inlineStr">
        <is>
          <t>A 4122-2023</t>
        </is>
      </c>
      <c r="B617" s="1" t="n">
        <v>44952</v>
      </c>
      <c r="C617" s="1" t="n">
        <v>46002</v>
      </c>
      <c r="D617" t="inlineStr">
        <is>
          <t>SÖDERMANLANDS LÄN</t>
        </is>
      </c>
      <c r="E617" t="inlineStr">
        <is>
          <t>KATRINEHOLM</t>
        </is>
      </c>
      <c r="G617" t="n">
        <v>9</v>
      </c>
      <c r="H617" t="n">
        <v>0</v>
      </c>
      <c r="I617" t="n">
        <v>0</v>
      </c>
      <c r="J617" t="n">
        <v>0</v>
      </c>
      <c r="K617" t="n">
        <v>0</v>
      </c>
      <c r="L617" t="n">
        <v>0</v>
      </c>
      <c r="M617" t="n">
        <v>0</v>
      </c>
      <c r="N617" t="n">
        <v>0</v>
      </c>
      <c r="O617" t="n">
        <v>0</v>
      </c>
      <c r="P617" t="n">
        <v>0</v>
      </c>
      <c r="Q617" t="n">
        <v>0</v>
      </c>
      <c r="R617" s="2" t="inlineStr"/>
    </row>
    <row r="618" ht="15" customHeight="1">
      <c r="A618" t="inlineStr">
        <is>
          <t>A 23347-2023</t>
        </is>
      </c>
      <c r="B618" s="1" t="n">
        <v>45076</v>
      </c>
      <c r="C618" s="1" t="n">
        <v>46002</v>
      </c>
      <c r="D618" t="inlineStr">
        <is>
          <t>SÖDERMANLANDS LÄN</t>
        </is>
      </c>
      <c r="E618" t="inlineStr">
        <is>
          <t>KATRINEHOLM</t>
        </is>
      </c>
      <c r="G618" t="n">
        <v>4.3</v>
      </c>
      <c r="H618" t="n">
        <v>0</v>
      </c>
      <c r="I618" t="n">
        <v>0</v>
      </c>
      <c r="J618" t="n">
        <v>0</v>
      </c>
      <c r="K618" t="n">
        <v>0</v>
      </c>
      <c r="L618" t="n">
        <v>0</v>
      </c>
      <c r="M618" t="n">
        <v>0</v>
      </c>
      <c r="N618" t="n">
        <v>0</v>
      </c>
      <c r="O618" t="n">
        <v>0</v>
      </c>
      <c r="P618" t="n">
        <v>0</v>
      </c>
      <c r="Q618" t="n">
        <v>0</v>
      </c>
      <c r="R618" s="2" t="inlineStr"/>
    </row>
    <row r="619" ht="15" customHeight="1">
      <c r="A619" t="inlineStr">
        <is>
          <t>A 23916-2023</t>
        </is>
      </c>
      <c r="B619" s="1" t="n">
        <v>45075</v>
      </c>
      <c r="C619" s="1" t="n">
        <v>46002</v>
      </c>
      <c r="D619" t="inlineStr">
        <is>
          <t>SÖDERMANLANDS LÄN</t>
        </is>
      </c>
      <c r="E619" t="inlineStr">
        <is>
          <t>KATRINEHOLM</t>
        </is>
      </c>
      <c r="G619" t="n">
        <v>8</v>
      </c>
      <c r="H619" t="n">
        <v>0</v>
      </c>
      <c r="I619" t="n">
        <v>0</v>
      </c>
      <c r="J619" t="n">
        <v>0</v>
      </c>
      <c r="K619" t="n">
        <v>0</v>
      </c>
      <c r="L619" t="n">
        <v>0</v>
      </c>
      <c r="M619" t="n">
        <v>0</v>
      </c>
      <c r="N619" t="n">
        <v>0</v>
      </c>
      <c r="O619" t="n">
        <v>0</v>
      </c>
      <c r="P619" t="n">
        <v>0</v>
      </c>
      <c r="Q619" t="n">
        <v>0</v>
      </c>
      <c r="R619" s="2" t="inlineStr"/>
    </row>
    <row r="620" ht="15" customHeight="1">
      <c r="A620" t="inlineStr">
        <is>
          <t>A 33278-2024</t>
        </is>
      </c>
      <c r="B620" s="1" t="n">
        <v>45518</v>
      </c>
      <c r="C620" s="1" t="n">
        <v>46002</v>
      </c>
      <c r="D620" t="inlineStr">
        <is>
          <t>SÖDERMANLANDS LÄN</t>
        </is>
      </c>
      <c r="E620" t="inlineStr">
        <is>
          <t>KATRINEHOLM</t>
        </is>
      </c>
      <c r="G620" t="n">
        <v>2.1</v>
      </c>
      <c r="H620" t="n">
        <v>0</v>
      </c>
      <c r="I620" t="n">
        <v>0</v>
      </c>
      <c r="J620" t="n">
        <v>0</v>
      </c>
      <c r="K620" t="n">
        <v>0</v>
      </c>
      <c r="L620" t="n">
        <v>0</v>
      </c>
      <c r="M620" t="n">
        <v>0</v>
      </c>
      <c r="N620" t="n">
        <v>0</v>
      </c>
      <c r="O620" t="n">
        <v>0</v>
      </c>
      <c r="P620" t="n">
        <v>0</v>
      </c>
      <c r="Q620" t="n">
        <v>0</v>
      </c>
      <c r="R620" s="2" t="inlineStr"/>
    </row>
    <row r="621" ht="15" customHeight="1">
      <c r="A621" t="inlineStr">
        <is>
          <t>A 40186-2023</t>
        </is>
      </c>
      <c r="B621" s="1" t="n">
        <v>45169</v>
      </c>
      <c r="C621" s="1" t="n">
        <v>46002</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49700-2022</t>
        </is>
      </c>
      <c r="B622" s="1" t="n">
        <v>44862</v>
      </c>
      <c r="C622" s="1" t="n">
        <v>46002</v>
      </c>
      <c r="D622" t="inlineStr">
        <is>
          <t>SÖDERMANLANDS LÄN</t>
        </is>
      </c>
      <c r="E622" t="inlineStr">
        <is>
          <t>KATRINEHOLM</t>
        </is>
      </c>
      <c r="G622" t="n">
        <v>19.5</v>
      </c>
      <c r="H622" t="n">
        <v>0</v>
      </c>
      <c r="I622" t="n">
        <v>0</v>
      </c>
      <c r="J622" t="n">
        <v>0</v>
      </c>
      <c r="K622" t="n">
        <v>0</v>
      </c>
      <c r="L622" t="n">
        <v>0</v>
      </c>
      <c r="M622" t="n">
        <v>0</v>
      </c>
      <c r="N622" t="n">
        <v>0</v>
      </c>
      <c r="O622" t="n">
        <v>0</v>
      </c>
      <c r="P622" t="n">
        <v>0</v>
      </c>
      <c r="Q622" t="n">
        <v>0</v>
      </c>
      <c r="R622" s="2" t="inlineStr"/>
    </row>
    <row r="623" ht="15" customHeight="1">
      <c r="A623" t="inlineStr">
        <is>
          <t>A 27955-2023</t>
        </is>
      </c>
      <c r="B623" s="1" t="n">
        <v>45098</v>
      </c>
      <c r="C623" s="1" t="n">
        <v>46002</v>
      </c>
      <c r="D623" t="inlineStr">
        <is>
          <t>SÖDERMANLANDS LÄN</t>
        </is>
      </c>
      <c r="E623" t="inlineStr">
        <is>
          <t>KATRINEHOLM</t>
        </is>
      </c>
      <c r="G623" t="n">
        <v>5.9</v>
      </c>
      <c r="H623" t="n">
        <v>0</v>
      </c>
      <c r="I623" t="n">
        <v>0</v>
      </c>
      <c r="J623" t="n">
        <v>0</v>
      </c>
      <c r="K623" t="n">
        <v>0</v>
      </c>
      <c r="L623" t="n">
        <v>0</v>
      </c>
      <c r="M623" t="n">
        <v>0</v>
      </c>
      <c r="N623" t="n">
        <v>0</v>
      </c>
      <c r="O623" t="n">
        <v>0</v>
      </c>
      <c r="P623" t="n">
        <v>0</v>
      </c>
      <c r="Q623" t="n">
        <v>0</v>
      </c>
      <c r="R623" s="2" t="inlineStr"/>
    </row>
    <row r="624" ht="15" customHeight="1">
      <c r="A624" t="inlineStr">
        <is>
          <t>A 33141-2023</t>
        </is>
      </c>
      <c r="B624" s="1" t="n">
        <v>45126.65491898148</v>
      </c>
      <c r="C624" s="1" t="n">
        <v>46002</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46899-2022</t>
        </is>
      </c>
      <c r="B625" s="1" t="n">
        <v>44848</v>
      </c>
      <c r="C625" s="1" t="n">
        <v>46002</v>
      </c>
      <c r="D625" t="inlineStr">
        <is>
          <t>SÖDERMANLANDS LÄN</t>
        </is>
      </c>
      <c r="E625" t="inlineStr">
        <is>
          <t>KATRINEHOLM</t>
        </is>
      </c>
      <c r="G625" t="n">
        <v>2</v>
      </c>
      <c r="H625" t="n">
        <v>0</v>
      </c>
      <c r="I625" t="n">
        <v>0</v>
      </c>
      <c r="J625" t="n">
        <v>0</v>
      </c>
      <c r="K625" t="n">
        <v>0</v>
      </c>
      <c r="L625" t="n">
        <v>0</v>
      </c>
      <c r="M625" t="n">
        <v>0</v>
      </c>
      <c r="N625" t="n">
        <v>0</v>
      </c>
      <c r="O625" t="n">
        <v>0</v>
      </c>
      <c r="P625" t="n">
        <v>0</v>
      </c>
      <c r="Q625" t="n">
        <v>0</v>
      </c>
      <c r="R625" s="2" t="inlineStr"/>
    </row>
    <row r="626" ht="15" customHeight="1">
      <c r="A626" t="inlineStr">
        <is>
          <t>A 9714-2024</t>
        </is>
      </c>
      <c r="B626" s="1" t="n">
        <v>45362</v>
      </c>
      <c r="C626" s="1" t="n">
        <v>46002</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39897-2023</t>
        </is>
      </c>
      <c r="B627" s="1" t="n">
        <v>45168</v>
      </c>
      <c r="C627" s="1" t="n">
        <v>46002</v>
      </c>
      <c r="D627" t="inlineStr">
        <is>
          <t>SÖDERMANLANDS LÄN</t>
        </is>
      </c>
      <c r="E627" t="inlineStr">
        <is>
          <t>KATRINEHOLM</t>
        </is>
      </c>
      <c r="G627" t="n">
        <v>15.6</v>
      </c>
      <c r="H627" t="n">
        <v>0</v>
      </c>
      <c r="I627" t="n">
        <v>0</v>
      </c>
      <c r="J627" t="n">
        <v>0</v>
      </c>
      <c r="K627" t="n">
        <v>0</v>
      </c>
      <c r="L627" t="n">
        <v>0</v>
      </c>
      <c r="M627" t="n">
        <v>0</v>
      </c>
      <c r="N627" t="n">
        <v>0</v>
      </c>
      <c r="O627" t="n">
        <v>0</v>
      </c>
      <c r="P627" t="n">
        <v>0</v>
      </c>
      <c r="Q627" t="n">
        <v>0</v>
      </c>
      <c r="R627" s="2" t="inlineStr"/>
    </row>
    <row r="628" ht="15" customHeight="1">
      <c r="A628" t="inlineStr">
        <is>
          <t>A 2735-2025</t>
        </is>
      </c>
      <c r="B628" s="1" t="n">
        <v>45677</v>
      </c>
      <c r="C628" s="1" t="n">
        <v>46002</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20326-2023</t>
        </is>
      </c>
      <c r="B629" s="1" t="n">
        <v>45056.46821759259</v>
      </c>
      <c r="C629" s="1" t="n">
        <v>46002</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67337-2021</t>
        </is>
      </c>
      <c r="B630" s="1" t="n">
        <v>44523</v>
      </c>
      <c r="C630" s="1" t="n">
        <v>46002</v>
      </c>
      <c r="D630" t="inlineStr">
        <is>
          <t>SÖDERMANLANDS LÄN</t>
        </is>
      </c>
      <c r="E630" t="inlineStr">
        <is>
          <t>KATRINEHOLM</t>
        </is>
      </c>
      <c r="G630" t="n">
        <v>5.2</v>
      </c>
      <c r="H630" t="n">
        <v>0</v>
      </c>
      <c r="I630" t="n">
        <v>0</v>
      </c>
      <c r="J630" t="n">
        <v>0</v>
      </c>
      <c r="K630" t="n">
        <v>0</v>
      </c>
      <c r="L630" t="n">
        <v>0</v>
      </c>
      <c r="M630" t="n">
        <v>0</v>
      </c>
      <c r="N630" t="n">
        <v>0</v>
      </c>
      <c r="O630" t="n">
        <v>0</v>
      </c>
      <c r="P630" t="n">
        <v>0</v>
      </c>
      <c r="Q630" t="n">
        <v>0</v>
      </c>
      <c r="R630" s="2" t="inlineStr"/>
    </row>
    <row r="631" ht="15" customHeight="1">
      <c r="A631" t="inlineStr">
        <is>
          <t>A 9044-2022</t>
        </is>
      </c>
      <c r="B631" s="1" t="n">
        <v>44602</v>
      </c>
      <c r="C631" s="1" t="n">
        <v>46002</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69117-2021</t>
        </is>
      </c>
      <c r="B632" s="1" t="n">
        <v>44530.82445601852</v>
      </c>
      <c r="C632" s="1" t="n">
        <v>46002</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12559-2023</t>
        </is>
      </c>
      <c r="B633" s="1" t="n">
        <v>45000.36373842593</v>
      </c>
      <c r="C633" s="1" t="n">
        <v>46002</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6722-2022</t>
        </is>
      </c>
      <c r="B634" s="1" t="n">
        <v>44602</v>
      </c>
      <c r="C634" s="1" t="n">
        <v>46002</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11872-2023</t>
        </is>
      </c>
      <c r="B635" s="1" t="n">
        <v>44995</v>
      </c>
      <c r="C635" s="1" t="n">
        <v>46002</v>
      </c>
      <c r="D635" t="inlineStr">
        <is>
          <t>SÖDERMANLANDS LÄN</t>
        </is>
      </c>
      <c r="E635" t="inlineStr">
        <is>
          <t>KATRINEHOLM</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51848-2022</t>
        </is>
      </c>
      <c r="B636" s="1" t="n">
        <v>44872.57752314815</v>
      </c>
      <c r="C636" s="1" t="n">
        <v>46002</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16087-2023</t>
        </is>
      </c>
      <c r="B637" s="1" t="n">
        <v>45026</v>
      </c>
      <c r="C637" s="1" t="n">
        <v>46002</v>
      </c>
      <c r="D637" t="inlineStr">
        <is>
          <t>SÖDERMANLANDS LÄN</t>
        </is>
      </c>
      <c r="E637" t="inlineStr">
        <is>
          <t>KATRINEHOLM</t>
        </is>
      </c>
      <c r="G637" t="n">
        <v>2</v>
      </c>
      <c r="H637" t="n">
        <v>0</v>
      </c>
      <c r="I637" t="n">
        <v>0</v>
      </c>
      <c r="J637" t="n">
        <v>0</v>
      </c>
      <c r="K637" t="n">
        <v>0</v>
      </c>
      <c r="L637" t="n">
        <v>0</v>
      </c>
      <c r="M637" t="n">
        <v>0</v>
      </c>
      <c r="N637" t="n">
        <v>0</v>
      </c>
      <c r="O637" t="n">
        <v>0</v>
      </c>
      <c r="P637" t="n">
        <v>0</v>
      </c>
      <c r="Q637" t="n">
        <v>0</v>
      </c>
      <c r="R637" s="2" t="inlineStr"/>
    </row>
    <row r="638" ht="15" customHeight="1">
      <c r="A638" t="inlineStr">
        <is>
          <t>A 21959-2022</t>
        </is>
      </c>
      <c r="B638" s="1" t="n">
        <v>44708</v>
      </c>
      <c r="C638" s="1" t="n">
        <v>46002</v>
      </c>
      <c r="D638" t="inlineStr">
        <is>
          <t>SÖDERMANLANDS LÄN</t>
        </is>
      </c>
      <c r="E638" t="inlineStr">
        <is>
          <t>KATRINEHOLM</t>
        </is>
      </c>
      <c r="G638" t="n">
        <v>1.5</v>
      </c>
      <c r="H638" t="n">
        <v>0</v>
      </c>
      <c r="I638" t="n">
        <v>0</v>
      </c>
      <c r="J638" t="n">
        <v>0</v>
      </c>
      <c r="K638" t="n">
        <v>0</v>
      </c>
      <c r="L638" t="n">
        <v>0</v>
      </c>
      <c r="M638" t="n">
        <v>0</v>
      </c>
      <c r="N638" t="n">
        <v>0</v>
      </c>
      <c r="O638" t="n">
        <v>0</v>
      </c>
      <c r="P638" t="n">
        <v>0</v>
      </c>
      <c r="Q638" t="n">
        <v>0</v>
      </c>
      <c r="R638" s="2" t="inlineStr"/>
    </row>
    <row r="639" ht="15" customHeight="1">
      <c r="A639" t="inlineStr">
        <is>
          <t>A 42451-2023</t>
        </is>
      </c>
      <c r="B639" s="1" t="n">
        <v>45180</v>
      </c>
      <c r="C639" s="1" t="n">
        <v>46002</v>
      </c>
      <c r="D639" t="inlineStr">
        <is>
          <t>SÖDERMANLANDS LÄN</t>
        </is>
      </c>
      <c r="E639" t="inlineStr">
        <is>
          <t>KATRINEHOLM</t>
        </is>
      </c>
      <c r="G639" t="n">
        <v>3.8</v>
      </c>
      <c r="H639" t="n">
        <v>0</v>
      </c>
      <c r="I639" t="n">
        <v>0</v>
      </c>
      <c r="J639" t="n">
        <v>0</v>
      </c>
      <c r="K639" t="n">
        <v>0</v>
      </c>
      <c r="L639" t="n">
        <v>0</v>
      </c>
      <c r="M639" t="n">
        <v>0</v>
      </c>
      <c r="N639" t="n">
        <v>0</v>
      </c>
      <c r="O639" t="n">
        <v>0</v>
      </c>
      <c r="P639" t="n">
        <v>0</v>
      </c>
      <c r="Q639" t="n">
        <v>0</v>
      </c>
      <c r="R639" s="2" t="inlineStr"/>
    </row>
    <row r="640" ht="15" customHeight="1">
      <c r="A640" t="inlineStr">
        <is>
          <t>A 22506-2023</t>
        </is>
      </c>
      <c r="B640" s="1" t="n">
        <v>45071.37393518518</v>
      </c>
      <c r="C640" s="1" t="n">
        <v>46002</v>
      </c>
      <c r="D640" t="inlineStr">
        <is>
          <t>SÖDERMANLANDS LÄN</t>
        </is>
      </c>
      <c r="E640" t="inlineStr">
        <is>
          <t>KATRINEHOLM</t>
        </is>
      </c>
      <c r="F640" t="inlineStr">
        <is>
          <t>Kyrkan</t>
        </is>
      </c>
      <c r="G640" t="n">
        <v>5.9</v>
      </c>
      <c r="H640" t="n">
        <v>0</v>
      </c>
      <c r="I640" t="n">
        <v>0</v>
      </c>
      <c r="J640" t="n">
        <v>0</v>
      </c>
      <c r="K640" t="n">
        <v>0</v>
      </c>
      <c r="L640" t="n">
        <v>0</v>
      </c>
      <c r="M640" t="n">
        <v>0</v>
      </c>
      <c r="N640" t="n">
        <v>0</v>
      </c>
      <c r="O640" t="n">
        <v>0</v>
      </c>
      <c r="P640" t="n">
        <v>0</v>
      </c>
      <c r="Q640" t="n">
        <v>0</v>
      </c>
      <c r="R640" s="2" t="inlineStr"/>
    </row>
    <row r="641" ht="15" customHeight="1">
      <c r="A641" t="inlineStr">
        <is>
          <t>A 26713-2024</t>
        </is>
      </c>
      <c r="B641" s="1" t="n">
        <v>45470</v>
      </c>
      <c r="C641" s="1" t="n">
        <v>46002</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1151-2025</t>
        </is>
      </c>
      <c r="B642" s="1" t="n">
        <v>45666</v>
      </c>
      <c r="C642" s="1" t="n">
        <v>46002</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36133-2021</t>
        </is>
      </c>
      <c r="B643" s="1" t="n">
        <v>44386</v>
      </c>
      <c r="C643" s="1" t="n">
        <v>46002</v>
      </c>
      <c r="D643" t="inlineStr">
        <is>
          <t>SÖDERMANLANDS LÄN</t>
        </is>
      </c>
      <c r="E643" t="inlineStr">
        <is>
          <t>KATRINEHOLM</t>
        </is>
      </c>
      <c r="F643" t="inlineStr">
        <is>
          <t>Övriga Aktiebolag</t>
        </is>
      </c>
      <c r="G643" t="n">
        <v>8.9</v>
      </c>
      <c r="H643" t="n">
        <v>0</v>
      </c>
      <c r="I643" t="n">
        <v>0</v>
      </c>
      <c r="J643" t="n">
        <v>0</v>
      </c>
      <c r="K643" t="n">
        <v>0</v>
      </c>
      <c r="L643" t="n">
        <v>0</v>
      </c>
      <c r="M643" t="n">
        <v>0</v>
      </c>
      <c r="N643" t="n">
        <v>0</v>
      </c>
      <c r="O643" t="n">
        <v>0</v>
      </c>
      <c r="P643" t="n">
        <v>0</v>
      </c>
      <c r="Q643" t="n">
        <v>0</v>
      </c>
      <c r="R643" s="2" t="inlineStr"/>
    </row>
    <row r="644" ht="15" customHeight="1">
      <c r="A644" t="inlineStr">
        <is>
          <t>A 50017-2023</t>
        </is>
      </c>
      <c r="B644" s="1" t="n">
        <v>45215</v>
      </c>
      <c r="C644" s="1" t="n">
        <v>46002</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50018-2023</t>
        </is>
      </c>
      <c r="B645" s="1" t="n">
        <v>45215</v>
      </c>
      <c r="C645" s="1" t="n">
        <v>46002</v>
      </c>
      <c r="D645" t="inlineStr">
        <is>
          <t>SÖDERMANLANDS LÄN</t>
        </is>
      </c>
      <c r="E645" t="inlineStr">
        <is>
          <t>KATRINEHOLM</t>
        </is>
      </c>
      <c r="G645" t="n">
        <v>2.4</v>
      </c>
      <c r="H645" t="n">
        <v>0</v>
      </c>
      <c r="I645" t="n">
        <v>0</v>
      </c>
      <c r="J645" t="n">
        <v>0</v>
      </c>
      <c r="K645" t="n">
        <v>0</v>
      </c>
      <c r="L645" t="n">
        <v>0</v>
      </c>
      <c r="M645" t="n">
        <v>0</v>
      </c>
      <c r="N645" t="n">
        <v>0</v>
      </c>
      <c r="O645" t="n">
        <v>0</v>
      </c>
      <c r="P645" t="n">
        <v>0</v>
      </c>
      <c r="Q645" t="n">
        <v>0</v>
      </c>
      <c r="R645" s="2" t="inlineStr"/>
    </row>
    <row r="646" ht="15" customHeight="1">
      <c r="A646" t="inlineStr">
        <is>
          <t>A 29843-2023</t>
        </is>
      </c>
      <c r="B646" s="1" t="n">
        <v>45107</v>
      </c>
      <c r="C646" s="1" t="n">
        <v>46002</v>
      </c>
      <c r="D646" t="inlineStr">
        <is>
          <t>SÖDERMANLANDS LÄN</t>
        </is>
      </c>
      <c r="E646" t="inlineStr">
        <is>
          <t>KATRINEHOLM</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56628-2021</t>
        </is>
      </c>
      <c r="B647" s="1" t="n">
        <v>44480</v>
      </c>
      <c r="C647" s="1" t="n">
        <v>46002</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62418-2023</t>
        </is>
      </c>
      <c r="B648" s="1" t="n">
        <v>45268</v>
      </c>
      <c r="C648" s="1" t="n">
        <v>46002</v>
      </c>
      <c r="D648" t="inlineStr">
        <is>
          <t>SÖDERMANLANDS LÄN</t>
        </is>
      </c>
      <c r="E648" t="inlineStr">
        <is>
          <t>KATRINEHOLM</t>
        </is>
      </c>
      <c r="G648" t="n">
        <v>3</v>
      </c>
      <c r="H648" t="n">
        <v>0</v>
      </c>
      <c r="I648" t="n">
        <v>0</v>
      </c>
      <c r="J648" t="n">
        <v>0</v>
      </c>
      <c r="K648" t="n">
        <v>0</v>
      </c>
      <c r="L648" t="n">
        <v>0</v>
      </c>
      <c r="M648" t="n">
        <v>0</v>
      </c>
      <c r="N648" t="n">
        <v>0</v>
      </c>
      <c r="O648" t="n">
        <v>0</v>
      </c>
      <c r="P648" t="n">
        <v>0</v>
      </c>
      <c r="Q648" t="n">
        <v>0</v>
      </c>
      <c r="R648" s="2" t="inlineStr"/>
    </row>
    <row r="649" ht="15" customHeight="1">
      <c r="A649" t="inlineStr">
        <is>
          <t>A 48091-2024</t>
        </is>
      </c>
      <c r="B649" s="1" t="n">
        <v>45590</v>
      </c>
      <c r="C649" s="1" t="n">
        <v>46002</v>
      </c>
      <c r="D649" t="inlineStr">
        <is>
          <t>SÖDERMANLANDS LÄN</t>
        </is>
      </c>
      <c r="E649" t="inlineStr">
        <is>
          <t>KATRINEHOLM</t>
        </is>
      </c>
      <c r="G649" t="n">
        <v>3.1</v>
      </c>
      <c r="H649" t="n">
        <v>0</v>
      </c>
      <c r="I649" t="n">
        <v>0</v>
      </c>
      <c r="J649" t="n">
        <v>0</v>
      </c>
      <c r="K649" t="n">
        <v>0</v>
      </c>
      <c r="L649" t="n">
        <v>0</v>
      </c>
      <c r="M649" t="n">
        <v>0</v>
      </c>
      <c r="N649" t="n">
        <v>0</v>
      </c>
      <c r="O649" t="n">
        <v>0</v>
      </c>
      <c r="P649" t="n">
        <v>0</v>
      </c>
      <c r="Q649" t="n">
        <v>0</v>
      </c>
      <c r="R649" s="2" t="inlineStr"/>
    </row>
    <row r="650" ht="15" customHeight="1">
      <c r="A650" t="inlineStr">
        <is>
          <t>A 48160-2022</t>
        </is>
      </c>
      <c r="B650" s="1" t="n">
        <v>44853</v>
      </c>
      <c r="C650" s="1" t="n">
        <v>46002</v>
      </c>
      <c r="D650" t="inlineStr">
        <is>
          <t>SÖDERMANLANDS LÄN</t>
        </is>
      </c>
      <c r="E650" t="inlineStr">
        <is>
          <t>KATRINEHOLM</t>
        </is>
      </c>
      <c r="F650" t="inlineStr">
        <is>
          <t>Övriga statliga verk och myndigheter</t>
        </is>
      </c>
      <c r="G650" t="n">
        <v>2.2</v>
      </c>
      <c r="H650" t="n">
        <v>0</v>
      </c>
      <c r="I650" t="n">
        <v>0</v>
      </c>
      <c r="J650" t="n">
        <v>0</v>
      </c>
      <c r="K650" t="n">
        <v>0</v>
      </c>
      <c r="L650" t="n">
        <v>0</v>
      </c>
      <c r="M650" t="n">
        <v>0</v>
      </c>
      <c r="N650" t="n">
        <v>0</v>
      </c>
      <c r="O650" t="n">
        <v>0</v>
      </c>
      <c r="P650" t="n">
        <v>0</v>
      </c>
      <c r="Q650" t="n">
        <v>0</v>
      </c>
      <c r="R650" s="2" t="inlineStr"/>
    </row>
    <row r="651" ht="15" customHeight="1">
      <c r="A651" t="inlineStr">
        <is>
          <t>A 18339-2023</t>
        </is>
      </c>
      <c r="B651" s="1" t="n">
        <v>45041</v>
      </c>
      <c r="C651" s="1" t="n">
        <v>46002</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20460-2025</t>
        </is>
      </c>
      <c r="B652" s="1" t="n">
        <v>45775.52854166667</v>
      </c>
      <c r="C652" s="1" t="n">
        <v>46002</v>
      </c>
      <c r="D652" t="inlineStr">
        <is>
          <t>SÖDERMANLANDS LÄN</t>
        </is>
      </c>
      <c r="E652" t="inlineStr">
        <is>
          <t>KATRINEHOLM</t>
        </is>
      </c>
      <c r="G652" t="n">
        <v>0.6</v>
      </c>
      <c r="H652" t="n">
        <v>0</v>
      </c>
      <c r="I652" t="n">
        <v>0</v>
      </c>
      <c r="J652" t="n">
        <v>0</v>
      </c>
      <c r="K652" t="n">
        <v>0</v>
      </c>
      <c r="L652" t="n">
        <v>0</v>
      </c>
      <c r="M652" t="n">
        <v>0</v>
      </c>
      <c r="N652" t="n">
        <v>0</v>
      </c>
      <c r="O652" t="n">
        <v>0</v>
      </c>
      <c r="P652" t="n">
        <v>0</v>
      </c>
      <c r="Q652" t="n">
        <v>0</v>
      </c>
      <c r="R652" s="2" t="inlineStr"/>
    </row>
    <row r="653" ht="15" customHeight="1">
      <c r="A653" t="inlineStr">
        <is>
          <t>A 49092-2024</t>
        </is>
      </c>
      <c r="B653" s="1" t="n">
        <v>45594.63619212963</v>
      </c>
      <c r="C653" s="1" t="n">
        <v>46002</v>
      </c>
      <c r="D653" t="inlineStr">
        <is>
          <t>SÖDERMANLANDS LÄN</t>
        </is>
      </c>
      <c r="E653" t="inlineStr">
        <is>
          <t>KATRINEHOLM</t>
        </is>
      </c>
      <c r="F653" t="inlineStr">
        <is>
          <t>Övriga Aktiebolag</t>
        </is>
      </c>
      <c r="G653" t="n">
        <v>0.4</v>
      </c>
      <c r="H653" t="n">
        <v>0</v>
      </c>
      <c r="I653" t="n">
        <v>0</v>
      </c>
      <c r="J653" t="n">
        <v>0</v>
      </c>
      <c r="K653" t="n">
        <v>0</v>
      </c>
      <c r="L653" t="n">
        <v>0</v>
      </c>
      <c r="M653" t="n">
        <v>0</v>
      </c>
      <c r="N653" t="n">
        <v>0</v>
      </c>
      <c r="O653" t="n">
        <v>0</v>
      </c>
      <c r="P653" t="n">
        <v>0</v>
      </c>
      <c r="Q653" t="n">
        <v>0</v>
      </c>
      <c r="R653" s="2" t="inlineStr"/>
    </row>
    <row r="654" ht="15" customHeight="1">
      <c r="A654" t="inlineStr">
        <is>
          <t>A 49095-2024</t>
        </is>
      </c>
      <c r="B654" s="1" t="n">
        <v>45594.63828703704</v>
      </c>
      <c r="C654" s="1" t="n">
        <v>46002</v>
      </c>
      <c r="D654" t="inlineStr">
        <is>
          <t>SÖDERMANLANDS LÄN</t>
        </is>
      </c>
      <c r="E654" t="inlineStr">
        <is>
          <t>KATRINEHOLM</t>
        </is>
      </c>
      <c r="F654" t="inlineStr">
        <is>
          <t>Övriga Aktiebolag</t>
        </is>
      </c>
      <c r="G654" t="n">
        <v>0.4</v>
      </c>
      <c r="H654" t="n">
        <v>0</v>
      </c>
      <c r="I654" t="n">
        <v>0</v>
      </c>
      <c r="J654" t="n">
        <v>0</v>
      </c>
      <c r="K654" t="n">
        <v>0</v>
      </c>
      <c r="L654" t="n">
        <v>0</v>
      </c>
      <c r="M654" t="n">
        <v>0</v>
      </c>
      <c r="N654" t="n">
        <v>0</v>
      </c>
      <c r="O654" t="n">
        <v>0</v>
      </c>
      <c r="P654" t="n">
        <v>0</v>
      </c>
      <c r="Q654" t="n">
        <v>0</v>
      </c>
      <c r="R654" s="2" t="inlineStr"/>
    </row>
    <row r="655" ht="15" customHeight="1">
      <c r="A655" t="inlineStr">
        <is>
          <t>A 55172-2022</t>
        </is>
      </c>
      <c r="B655" s="1" t="n">
        <v>44886</v>
      </c>
      <c r="C655" s="1" t="n">
        <v>46002</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50935-2023</t>
        </is>
      </c>
      <c r="B656" s="1" t="n">
        <v>45211</v>
      </c>
      <c r="C656" s="1" t="n">
        <v>46002</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24619-2024</t>
        </is>
      </c>
      <c r="B657" s="1" t="n">
        <v>45460</v>
      </c>
      <c r="C657" s="1" t="n">
        <v>46002</v>
      </c>
      <c r="D657" t="inlineStr">
        <is>
          <t>SÖDERMANLANDS LÄN</t>
        </is>
      </c>
      <c r="E657" t="inlineStr">
        <is>
          <t>KATRINEHOLM</t>
        </is>
      </c>
      <c r="G657" t="n">
        <v>4.7</v>
      </c>
      <c r="H657" t="n">
        <v>0</v>
      </c>
      <c r="I657" t="n">
        <v>0</v>
      </c>
      <c r="J657" t="n">
        <v>0</v>
      </c>
      <c r="K657" t="n">
        <v>0</v>
      </c>
      <c r="L657" t="n">
        <v>0</v>
      </c>
      <c r="M657" t="n">
        <v>0</v>
      </c>
      <c r="N657" t="n">
        <v>0</v>
      </c>
      <c r="O657" t="n">
        <v>0</v>
      </c>
      <c r="P657" t="n">
        <v>0</v>
      </c>
      <c r="Q657" t="n">
        <v>0</v>
      </c>
      <c r="R657" s="2" t="inlineStr"/>
    </row>
    <row r="658" ht="15" customHeight="1">
      <c r="A658" t="inlineStr">
        <is>
          <t>A 6087-2021</t>
        </is>
      </c>
      <c r="B658" s="1" t="n">
        <v>44232</v>
      </c>
      <c r="C658" s="1" t="n">
        <v>46002</v>
      </c>
      <c r="D658" t="inlineStr">
        <is>
          <t>SÖDERMANLANDS LÄN</t>
        </is>
      </c>
      <c r="E658" t="inlineStr">
        <is>
          <t>KATRINEHOLM</t>
        </is>
      </c>
      <c r="G658" t="n">
        <v>2.6</v>
      </c>
      <c r="H658" t="n">
        <v>0</v>
      </c>
      <c r="I658" t="n">
        <v>0</v>
      </c>
      <c r="J658" t="n">
        <v>0</v>
      </c>
      <c r="K658" t="n">
        <v>0</v>
      </c>
      <c r="L658" t="n">
        <v>0</v>
      </c>
      <c r="M658" t="n">
        <v>0</v>
      </c>
      <c r="N658" t="n">
        <v>0</v>
      </c>
      <c r="O658" t="n">
        <v>0</v>
      </c>
      <c r="P658" t="n">
        <v>0</v>
      </c>
      <c r="Q658" t="n">
        <v>0</v>
      </c>
      <c r="R658" s="2" t="inlineStr"/>
    </row>
    <row r="659" ht="15" customHeight="1">
      <c r="A659" t="inlineStr">
        <is>
          <t>A 53843-2023</t>
        </is>
      </c>
      <c r="B659" s="1" t="n">
        <v>45230</v>
      </c>
      <c r="C659" s="1" t="n">
        <v>46002</v>
      </c>
      <c r="D659" t="inlineStr">
        <is>
          <t>SÖDERMANLANDS LÄN</t>
        </is>
      </c>
      <c r="E659" t="inlineStr">
        <is>
          <t>KATRINEHOLM</t>
        </is>
      </c>
      <c r="G659" t="n">
        <v>14.2</v>
      </c>
      <c r="H659" t="n">
        <v>0</v>
      </c>
      <c r="I659" t="n">
        <v>0</v>
      </c>
      <c r="J659" t="n">
        <v>0</v>
      </c>
      <c r="K659" t="n">
        <v>0</v>
      </c>
      <c r="L659" t="n">
        <v>0</v>
      </c>
      <c r="M659" t="n">
        <v>0</v>
      </c>
      <c r="N659" t="n">
        <v>0</v>
      </c>
      <c r="O659" t="n">
        <v>0</v>
      </c>
      <c r="P659" t="n">
        <v>0</v>
      </c>
      <c r="Q659" t="n">
        <v>0</v>
      </c>
      <c r="R659" s="2" t="inlineStr"/>
    </row>
    <row r="660" ht="15" customHeight="1">
      <c r="A660" t="inlineStr">
        <is>
          <t>A 7254-2021</t>
        </is>
      </c>
      <c r="B660" s="1" t="n">
        <v>44238</v>
      </c>
      <c r="C660" s="1" t="n">
        <v>46002</v>
      </c>
      <c r="D660" t="inlineStr">
        <is>
          <t>SÖDERMANLANDS LÄN</t>
        </is>
      </c>
      <c r="E660" t="inlineStr">
        <is>
          <t>KATRINEHOLM</t>
        </is>
      </c>
      <c r="G660" t="n">
        <v>3.6</v>
      </c>
      <c r="H660" t="n">
        <v>0</v>
      </c>
      <c r="I660" t="n">
        <v>0</v>
      </c>
      <c r="J660" t="n">
        <v>0</v>
      </c>
      <c r="K660" t="n">
        <v>0</v>
      </c>
      <c r="L660" t="n">
        <v>0</v>
      </c>
      <c r="M660" t="n">
        <v>0</v>
      </c>
      <c r="N660" t="n">
        <v>0</v>
      </c>
      <c r="O660" t="n">
        <v>0</v>
      </c>
      <c r="P660" t="n">
        <v>0</v>
      </c>
      <c r="Q660" t="n">
        <v>0</v>
      </c>
      <c r="R660" s="2" t="inlineStr"/>
    </row>
    <row r="661" ht="15" customHeight="1">
      <c r="A661" t="inlineStr">
        <is>
          <t>A 22295-2024</t>
        </is>
      </c>
      <c r="B661" s="1" t="n">
        <v>45446.56141203704</v>
      </c>
      <c r="C661" s="1" t="n">
        <v>46002</v>
      </c>
      <c r="D661" t="inlineStr">
        <is>
          <t>SÖDERMANLANDS LÄN</t>
        </is>
      </c>
      <c r="E661" t="inlineStr">
        <is>
          <t>KATRINEHOLM</t>
        </is>
      </c>
      <c r="F661" t="inlineStr">
        <is>
          <t>Kommuner</t>
        </is>
      </c>
      <c r="G661" t="n">
        <v>1.2</v>
      </c>
      <c r="H661" t="n">
        <v>0</v>
      </c>
      <c r="I661" t="n">
        <v>0</v>
      </c>
      <c r="J661" t="n">
        <v>0</v>
      </c>
      <c r="K661" t="n">
        <v>0</v>
      </c>
      <c r="L661" t="n">
        <v>0</v>
      </c>
      <c r="M661" t="n">
        <v>0</v>
      </c>
      <c r="N661" t="n">
        <v>0</v>
      </c>
      <c r="O661" t="n">
        <v>0</v>
      </c>
      <c r="P661" t="n">
        <v>0</v>
      </c>
      <c r="Q661" t="n">
        <v>0</v>
      </c>
      <c r="R661" s="2" t="inlineStr"/>
    </row>
    <row r="662" ht="15" customHeight="1">
      <c r="A662" t="inlineStr">
        <is>
          <t>A 22272-2022</t>
        </is>
      </c>
      <c r="B662" s="1" t="n">
        <v>44712</v>
      </c>
      <c r="C662" s="1" t="n">
        <v>46002</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53715-2023</t>
        </is>
      </c>
      <c r="B663" s="1" t="n">
        <v>45230</v>
      </c>
      <c r="C663" s="1" t="n">
        <v>46002</v>
      </c>
      <c r="D663" t="inlineStr">
        <is>
          <t>SÖDERMANLANDS LÄN</t>
        </is>
      </c>
      <c r="E663" t="inlineStr">
        <is>
          <t>KATRINEHOLM</t>
        </is>
      </c>
      <c r="F663" t="inlineStr">
        <is>
          <t>Allmännings- och besparingsskogar</t>
        </is>
      </c>
      <c r="G663" t="n">
        <v>5.6</v>
      </c>
      <c r="H663" t="n">
        <v>0</v>
      </c>
      <c r="I663" t="n">
        <v>0</v>
      </c>
      <c r="J663" t="n">
        <v>0</v>
      </c>
      <c r="K663" t="n">
        <v>0</v>
      </c>
      <c r="L663" t="n">
        <v>0</v>
      </c>
      <c r="M663" t="n">
        <v>0</v>
      </c>
      <c r="N663" t="n">
        <v>0</v>
      </c>
      <c r="O663" t="n">
        <v>0</v>
      </c>
      <c r="P663" t="n">
        <v>0</v>
      </c>
      <c r="Q663" t="n">
        <v>0</v>
      </c>
      <c r="R663" s="2" t="inlineStr"/>
    </row>
    <row r="664" ht="15" customHeight="1">
      <c r="A664" t="inlineStr">
        <is>
          <t>A 58175-2024</t>
        </is>
      </c>
      <c r="B664" s="1" t="n">
        <v>45632.46648148148</v>
      </c>
      <c r="C664" s="1" t="n">
        <v>46002</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59474-2021</t>
        </is>
      </c>
      <c r="B665" s="1" t="n">
        <v>44491</v>
      </c>
      <c r="C665" s="1" t="n">
        <v>46002</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51923-2023</t>
        </is>
      </c>
      <c r="B666" s="1" t="n">
        <v>45223</v>
      </c>
      <c r="C666" s="1" t="n">
        <v>46002</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27875-2024</t>
        </is>
      </c>
      <c r="B667" s="1" t="n">
        <v>45475</v>
      </c>
      <c r="C667" s="1" t="n">
        <v>46002</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43088-2022</t>
        </is>
      </c>
      <c r="B668" s="1" t="n">
        <v>44833</v>
      </c>
      <c r="C668" s="1" t="n">
        <v>46002</v>
      </c>
      <c r="D668" t="inlineStr">
        <is>
          <t>SÖDERMANLANDS LÄN</t>
        </is>
      </c>
      <c r="E668" t="inlineStr">
        <is>
          <t>KATRINEHOLM</t>
        </is>
      </c>
      <c r="G668" t="n">
        <v>6.6</v>
      </c>
      <c r="H668" t="n">
        <v>0</v>
      </c>
      <c r="I668" t="n">
        <v>0</v>
      </c>
      <c r="J668" t="n">
        <v>0</v>
      </c>
      <c r="K668" t="n">
        <v>0</v>
      </c>
      <c r="L668" t="n">
        <v>0</v>
      </c>
      <c r="M668" t="n">
        <v>0</v>
      </c>
      <c r="N668" t="n">
        <v>0</v>
      </c>
      <c r="O668" t="n">
        <v>0</v>
      </c>
      <c r="P668" t="n">
        <v>0</v>
      </c>
      <c r="Q668" t="n">
        <v>0</v>
      </c>
      <c r="R668" s="2" t="inlineStr"/>
    </row>
    <row r="669" ht="15" customHeight="1">
      <c r="A669" t="inlineStr">
        <is>
          <t>A 52658-2023</t>
        </is>
      </c>
      <c r="B669" s="1" t="n">
        <v>45225</v>
      </c>
      <c r="C669" s="1" t="n">
        <v>46002</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61385-2023</t>
        </is>
      </c>
      <c r="B670" s="1" t="n">
        <v>45264.64241898148</v>
      </c>
      <c r="C670" s="1" t="n">
        <v>46002</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48030-2022</t>
        </is>
      </c>
      <c r="B671" s="1" t="n">
        <v>44855</v>
      </c>
      <c r="C671" s="1" t="n">
        <v>46002</v>
      </c>
      <c r="D671" t="inlineStr">
        <is>
          <t>SÖDERMANLANDS LÄN</t>
        </is>
      </c>
      <c r="E671" t="inlineStr">
        <is>
          <t>KATRINEHOLM</t>
        </is>
      </c>
      <c r="F671" t="inlineStr">
        <is>
          <t>Allmännings- och besparingsskogar</t>
        </is>
      </c>
      <c r="G671" t="n">
        <v>1.5</v>
      </c>
      <c r="H671" t="n">
        <v>0</v>
      </c>
      <c r="I671" t="n">
        <v>0</v>
      </c>
      <c r="J671" t="n">
        <v>0</v>
      </c>
      <c r="K671" t="n">
        <v>0</v>
      </c>
      <c r="L671" t="n">
        <v>0</v>
      </c>
      <c r="M671" t="n">
        <v>0</v>
      </c>
      <c r="N671" t="n">
        <v>0</v>
      </c>
      <c r="O671" t="n">
        <v>0</v>
      </c>
      <c r="P671" t="n">
        <v>0</v>
      </c>
      <c r="Q671" t="n">
        <v>0</v>
      </c>
      <c r="R671" s="2" t="inlineStr"/>
    </row>
    <row r="672" ht="15" customHeight="1">
      <c r="A672" t="inlineStr">
        <is>
          <t>A 10932-2023</t>
        </is>
      </c>
      <c r="B672" s="1" t="n">
        <v>44985</v>
      </c>
      <c r="C672" s="1" t="n">
        <v>46002</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36767-2022</t>
        </is>
      </c>
      <c r="B673" s="1" t="n">
        <v>44805</v>
      </c>
      <c r="C673" s="1" t="n">
        <v>46002</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5834-2025</t>
        </is>
      </c>
      <c r="B674" s="1" t="n">
        <v>45694</v>
      </c>
      <c r="C674" s="1" t="n">
        <v>46002</v>
      </c>
      <c r="D674" t="inlineStr">
        <is>
          <t>SÖDERMANLANDS LÄN</t>
        </is>
      </c>
      <c r="E674" t="inlineStr">
        <is>
          <t>KATRINEHOLM</t>
        </is>
      </c>
      <c r="G674" t="n">
        <v>3.3</v>
      </c>
      <c r="H674" t="n">
        <v>0</v>
      </c>
      <c r="I674" t="n">
        <v>0</v>
      </c>
      <c r="J674" t="n">
        <v>0</v>
      </c>
      <c r="K674" t="n">
        <v>0</v>
      </c>
      <c r="L674" t="n">
        <v>0</v>
      </c>
      <c r="M674" t="n">
        <v>0</v>
      </c>
      <c r="N674" t="n">
        <v>0</v>
      </c>
      <c r="O674" t="n">
        <v>0</v>
      </c>
      <c r="P674" t="n">
        <v>0</v>
      </c>
      <c r="Q674" t="n">
        <v>0</v>
      </c>
      <c r="R674" s="2" t="inlineStr"/>
    </row>
    <row r="675" ht="15" customHeight="1">
      <c r="A675" t="inlineStr">
        <is>
          <t>A 9899-2023</t>
        </is>
      </c>
      <c r="B675" s="1" t="n">
        <v>44985</v>
      </c>
      <c r="C675" s="1" t="n">
        <v>46002</v>
      </c>
      <c r="D675" t="inlineStr">
        <is>
          <t>SÖDERMANLANDS LÄN</t>
        </is>
      </c>
      <c r="E675" t="inlineStr">
        <is>
          <t>KATRINEHOLM</t>
        </is>
      </c>
      <c r="F675" t="inlineStr">
        <is>
          <t>Allmännings- och besparingsskogar</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34263-2023</t>
        </is>
      </c>
      <c r="B676" s="1" t="n">
        <v>45138.60248842592</v>
      </c>
      <c r="C676" s="1" t="n">
        <v>46002</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6092-2025</t>
        </is>
      </c>
      <c r="B677" s="1" t="n">
        <v>45697</v>
      </c>
      <c r="C677" s="1" t="n">
        <v>46002</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55863-2022</t>
        </is>
      </c>
      <c r="B678" s="1" t="n">
        <v>44888</v>
      </c>
      <c r="C678" s="1" t="n">
        <v>46002</v>
      </c>
      <c r="D678" t="inlineStr">
        <is>
          <t>SÖDERMANLANDS LÄN</t>
        </is>
      </c>
      <c r="E678" t="inlineStr">
        <is>
          <t>KATRINEHOLM</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55865-2022</t>
        </is>
      </c>
      <c r="B679" s="1" t="n">
        <v>44888</v>
      </c>
      <c r="C679" s="1" t="n">
        <v>46002</v>
      </c>
      <c r="D679" t="inlineStr">
        <is>
          <t>SÖDERMANLANDS LÄN</t>
        </is>
      </c>
      <c r="E679" t="inlineStr">
        <is>
          <t>KATRINEHOLM</t>
        </is>
      </c>
      <c r="G679" t="n">
        <v>9.1</v>
      </c>
      <c r="H679" t="n">
        <v>0</v>
      </c>
      <c r="I679" t="n">
        <v>0</v>
      </c>
      <c r="J679" t="n">
        <v>0</v>
      </c>
      <c r="K679" t="n">
        <v>0</v>
      </c>
      <c r="L679" t="n">
        <v>0</v>
      </c>
      <c r="M679" t="n">
        <v>0</v>
      </c>
      <c r="N679" t="n">
        <v>0</v>
      </c>
      <c r="O679" t="n">
        <v>0</v>
      </c>
      <c r="P679" t="n">
        <v>0</v>
      </c>
      <c r="Q679" t="n">
        <v>0</v>
      </c>
      <c r="R679" s="2" t="inlineStr"/>
    </row>
    <row r="680" ht="15" customHeight="1">
      <c r="A680" t="inlineStr">
        <is>
          <t>A 10341-2022</t>
        </is>
      </c>
      <c r="B680" s="1" t="n">
        <v>44623</v>
      </c>
      <c r="C680" s="1" t="n">
        <v>46002</v>
      </c>
      <c r="D680" t="inlineStr">
        <is>
          <t>SÖDERMANLANDS LÄN</t>
        </is>
      </c>
      <c r="E680" t="inlineStr">
        <is>
          <t>KATRINEHOLM</t>
        </is>
      </c>
      <c r="G680" t="n">
        <v>2.3</v>
      </c>
      <c r="H680" t="n">
        <v>0</v>
      </c>
      <c r="I680" t="n">
        <v>0</v>
      </c>
      <c r="J680" t="n">
        <v>0</v>
      </c>
      <c r="K680" t="n">
        <v>0</v>
      </c>
      <c r="L680" t="n">
        <v>0</v>
      </c>
      <c r="M680" t="n">
        <v>0</v>
      </c>
      <c r="N680" t="n">
        <v>0</v>
      </c>
      <c r="O680" t="n">
        <v>0</v>
      </c>
      <c r="P680" t="n">
        <v>0</v>
      </c>
      <c r="Q680" t="n">
        <v>0</v>
      </c>
      <c r="R680" s="2" t="inlineStr"/>
    </row>
    <row r="681" ht="15" customHeight="1">
      <c r="A681" t="inlineStr">
        <is>
          <t>A 9437-2022</t>
        </is>
      </c>
      <c r="B681" s="1" t="n">
        <v>44616.69246527777</v>
      </c>
      <c r="C681" s="1" t="n">
        <v>46002</v>
      </c>
      <c r="D681" t="inlineStr">
        <is>
          <t>SÖDERMANLANDS LÄN</t>
        </is>
      </c>
      <c r="E681" t="inlineStr">
        <is>
          <t>KATRINEHOLM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22345-2023</t>
        </is>
      </c>
      <c r="B682" s="1" t="n">
        <v>45070</v>
      </c>
      <c r="C682" s="1" t="n">
        <v>46002</v>
      </c>
      <c r="D682" t="inlineStr">
        <is>
          <t>SÖDERMANLANDS LÄN</t>
        </is>
      </c>
      <c r="E682" t="inlineStr">
        <is>
          <t>KATRINEHOLM</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48528-2021</t>
        </is>
      </c>
      <c r="B683" s="1" t="n">
        <v>44449</v>
      </c>
      <c r="C683" s="1" t="n">
        <v>46002</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28675-2024</t>
        </is>
      </c>
      <c r="B684" s="1" t="n">
        <v>45478</v>
      </c>
      <c r="C684" s="1" t="n">
        <v>46002</v>
      </c>
      <c r="D684" t="inlineStr">
        <is>
          <t>SÖDERMANLANDS LÄN</t>
        </is>
      </c>
      <c r="E684" t="inlineStr">
        <is>
          <t>KATRINEHOLM</t>
        </is>
      </c>
      <c r="F684" t="inlineStr">
        <is>
          <t>Övriga Aktiebolag</t>
        </is>
      </c>
      <c r="G684" t="n">
        <v>3.5</v>
      </c>
      <c r="H684" t="n">
        <v>0</v>
      </c>
      <c r="I684" t="n">
        <v>0</v>
      </c>
      <c r="J684" t="n">
        <v>0</v>
      </c>
      <c r="K684" t="n">
        <v>0</v>
      </c>
      <c r="L684" t="n">
        <v>0</v>
      </c>
      <c r="M684" t="n">
        <v>0</v>
      </c>
      <c r="N684" t="n">
        <v>0</v>
      </c>
      <c r="O684" t="n">
        <v>0</v>
      </c>
      <c r="P684" t="n">
        <v>0</v>
      </c>
      <c r="Q684" t="n">
        <v>0</v>
      </c>
      <c r="R684" s="2" t="inlineStr"/>
    </row>
    <row r="685" ht="15" customHeight="1">
      <c r="A685" t="inlineStr">
        <is>
          <t>A 33790-2024</t>
        </is>
      </c>
      <c r="B685" s="1" t="n">
        <v>45520.59179398148</v>
      </c>
      <c r="C685" s="1" t="n">
        <v>46002</v>
      </c>
      <c r="D685" t="inlineStr">
        <is>
          <t>SÖDERMANLANDS LÄN</t>
        </is>
      </c>
      <c r="E685" t="inlineStr">
        <is>
          <t>KATRINEHOLM</t>
        </is>
      </c>
      <c r="G685" t="n">
        <v>14</v>
      </c>
      <c r="H685" t="n">
        <v>0</v>
      </c>
      <c r="I685" t="n">
        <v>0</v>
      </c>
      <c r="J685" t="n">
        <v>0</v>
      </c>
      <c r="K685" t="n">
        <v>0</v>
      </c>
      <c r="L685" t="n">
        <v>0</v>
      </c>
      <c r="M685" t="n">
        <v>0</v>
      </c>
      <c r="N685" t="n">
        <v>0</v>
      </c>
      <c r="O685" t="n">
        <v>0</v>
      </c>
      <c r="P685" t="n">
        <v>0</v>
      </c>
      <c r="Q685" t="n">
        <v>0</v>
      </c>
      <c r="R685" s="2" t="inlineStr"/>
    </row>
    <row r="686" ht="15" customHeight="1">
      <c r="A686" t="inlineStr">
        <is>
          <t>A 41267-2023</t>
        </is>
      </c>
      <c r="B686" s="1" t="n">
        <v>45174</v>
      </c>
      <c r="C686" s="1" t="n">
        <v>46002</v>
      </c>
      <c r="D686" t="inlineStr">
        <is>
          <t>SÖDERMANLANDS LÄN</t>
        </is>
      </c>
      <c r="E686" t="inlineStr">
        <is>
          <t>KATRINEHOLM</t>
        </is>
      </c>
      <c r="F686" t="inlineStr">
        <is>
          <t>Holmen skog AB</t>
        </is>
      </c>
      <c r="G686" t="n">
        <v>4.5</v>
      </c>
      <c r="H686" t="n">
        <v>0</v>
      </c>
      <c r="I686" t="n">
        <v>0</v>
      </c>
      <c r="J686" t="n">
        <v>0</v>
      </c>
      <c r="K686" t="n">
        <v>0</v>
      </c>
      <c r="L686" t="n">
        <v>0</v>
      </c>
      <c r="M686" t="n">
        <v>0</v>
      </c>
      <c r="N686" t="n">
        <v>0</v>
      </c>
      <c r="O686" t="n">
        <v>0</v>
      </c>
      <c r="P686" t="n">
        <v>0</v>
      </c>
      <c r="Q686" t="n">
        <v>0</v>
      </c>
      <c r="R686" s="2" t="inlineStr"/>
    </row>
    <row r="687" ht="15" customHeight="1">
      <c r="A687" t="inlineStr">
        <is>
          <t>A 53809-2021</t>
        </is>
      </c>
      <c r="B687" s="1" t="n">
        <v>44467</v>
      </c>
      <c r="C687" s="1" t="n">
        <v>46002</v>
      </c>
      <c r="D687" t="inlineStr">
        <is>
          <t>SÖDERMANLANDS LÄN</t>
        </is>
      </c>
      <c r="E687" t="inlineStr">
        <is>
          <t>KATRINEHOLM</t>
        </is>
      </c>
      <c r="G687" t="n">
        <v>7</v>
      </c>
      <c r="H687" t="n">
        <v>0</v>
      </c>
      <c r="I687" t="n">
        <v>0</v>
      </c>
      <c r="J687" t="n">
        <v>0</v>
      </c>
      <c r="K687" t="n">
        <v>0</v>
      </c>
      <c r="L687" t="n">
        <v>0</v>
      </c>
      <c r="M687" t="n">
        <v>0</v>
      </c>
      <c r="N687" t="n">
        <v>0</v>
      </c>
      <c r="O687" t="n">
        <v>0</v>
      </c>
      <c r="P687" t="n">
        <v>0</v>
      </c>
      <c r="Q687" t="n">
        <v>0</v>
      </c>
      <c r="R687" s="2" t="inlineStr"/>
    </row>
    <row r="688" ht="15" customHeight="1">
      <c r="A688" t="inlineStr">
        <is>
          <t>A 4758-2025</t>
        </is>
      </c>
      <c r="B688" s="1" t="n">
        <v>45688</v>
      </c>
      <c r="C688" s="1" t="n">
        <v>46002</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28317-2024</t>
        </is>
      </c>
      <c r="B689" s="1" t="n">
        <v>45477</v>
      </c>
      <c r="C689" s="1" t="n">
        <v>46002</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52348-2021</t>
        </is>
      </c>
      <c r="B690" s="1" t="n">
        <v>44464.49756944444</v>
      </c>
      <c r="C690" s="1" t="n">
        <v>46002</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5795-2022</t>
        </is>
      </c>
      <c r="B691" s="1" t="n">
        <v>44596</v>
      </c>
      <c r="C691" s="1" t="n">
        <v>46002</v>
      </c>
      <c r="D691" t="inlineStr">
        <is>
          <t>SÖDERMANLANDS LÄN</t>
        </is>
      </c>
      <c r="E691" t="inlineStr">
        <is>
          <t>KATRINEHOLM</t>
        </is>
      </c>
      <c r="G691" t="n">
        <v>8.1</v>
      </c>
      <c r="H691" t="n">
        <v>0</v>
      </c>
      <c r="I691" t="n">
        <v>0</v>
      </c>
      <c r="J691" t="n">
        <v>0</v>
      </c>
      <c r="K691" t="n">
        <v>0</v>
      </c>
      <c r="L691" t="n">
        <v>0</v>
      </c>
      <c r="M691" t="n">
        <v>0</v>
      </c>
      <c r="N691" t="n">
        <v>0</v>
      </c>
      <c r="O691" t="n">
        <v>0</v>
      </c>
      <c r="P691" t="n">
        <v>0</v>
      </c>
      <c r="Q691" t="n">
        <v>0</v>
      </c>
      <c r="R691" s="2" t="inlineStr"/>
    </row>
    <row r="692" ht="15" customHeight="1">
      <c r="A692" t="inlineStr">
        <is>
          <t>A 55590-2023</t>
        </is>
      </c>
      <c r="B692" s="1" t="n">
        <v>45238</v>
      </c>
      <c r="C692" s="1" t="n">
        <v>46002</v>
      </c>
      <c r="D692" t="inlineStr">
        <is>
          <t>SÖDERMANLANDS LÄN</t>
        </is>
      </c>
      <c r="E692" t="inlineStr">
        <is>
          <t>KATRINEHOLM</t>
        </is>
      </c>
      <c r="G692" t="n">
        <v>4.5</v>
      </c>
      <c r="H692" t="n">
        <v>0</v>
      </c>
      <c r="I692" t="n">
        <v>0</v>
      </c>
      <c r="J692" t="n">
        <v>0</v>
      </c>
      <c r="K692" t="n">
        <v>0</v>
      </c>
      <c r="L692" t="n">
        <v>0</v>
      </c>
      <c r="M692" t="n">
        <v>0</v>
      </c>
      <c r="N692" t="n">
        <v>0</v>
      </c>
      <c r="O692" t="n">
        <v>0</v>
      </c>
      <c r="P692" t="n">
        <v>0</v>
      </c>
      <c r="Q692" t="n">
        <v>0</v>
      </c>
      <c r="R692" s="2" t="inlineStr"/>
    </row>
    <row r="693" ht="15" customHeight="1">
      <c r="A693" t="inlineStr">
        <is>
          <t>A 46257-2021</t>
        </is>
      </c>
      <c r="B693" s="1" t="n">
        <v>44442</v>
      </c>
      <c r="C693" s="1" t="n">
        <v>46002</v>
      </c>
      <c r="D693" t="inlineStr">
        <is>
          <t>SÖDERMANLANDS LÄN</t>
        </is>
      </c>
      <c r="E693" t="inlineStr">
        <is>
          <t>KATRINEHOLM</t>
        </is>
      </c>
      <c r="G693" t="n">
        <v>2.3</v>
      </c>
      <c r="H693" t="n">
        <v>0</v>
      </c>
      <c r="I693" t="n">
        <v>0</v>
      </c>
      <c r="J693" t="n">
        <v>0</v>
      </c>
      <c r="K693" t="n">
        <v>0</v>
      </c>
      <c r="L693" t="n">
        <v>0</v>
      </c>
      <c r="M693" t="n">
        <v>0</v>
      </c>
      <c r="N693" t="n">
        <v>0</v>
      </c>
      <c r="O693" t="n">
        <v>0</v>
      </c>
      <c r="P693" t="n">
        <v>0</v>
      </c>
      <c r="Q693" t="n">
        <v>0</v>
      </c>
      <c r="R693" s="2" t="inlineStr"/>
    </row>
    <row r="694" ht="15" customHeight="1">
      <c r="A694" t="inlineStr">
        <is>
          <t>A 5320-2025</t>
        </is>
      </c>
      <c r="B694" s="1" t="n">
        <v>45692</v>
      </c>
      <c r="C694" s="1" t="n">
        <v>46002</v>
      </c>
      <c r="D694" t="inlineStr">
        <is>
          <t>SÖDERMANLANDS LÄN</t>
        </is>
      </c>
      <c r="E694" t="inlineStr">
        <is>
          <t>KATRINEHOLM</t>
        </is>
      </c>
      <c r="F694" t="inlineStr">
        <is>
          <t>Kommuner</t>
        </is>
      </c>
      <c r="G694" t="n">
        <v>0.9</v>
      </c>
      <c r="H694" t="n">
        <v>0</v>
      </c>
      <c r="I694" t="n">
        <v>0</v>
      </c>
      <c r="J694" t="n">
        <v>0</v>
      </c>
      <c r="K694" t="n">
        <v>0</v>
      </c>
      <c r="L694" t="n">
        <v>0</v>
      </c>
      <c r="M694" t="n">
        <v>0</v>
      </c>
      <c r="N694" t="n">
        <v>0</v>
      </c>
      <c r="O694" t="n">
        <v>0</v>
      </c>
      <c r="P694" t="n">
        <v>0</v>
      </c>
      <c r="Q694" t="n">
        <v>0</v>
      </c>
      <c r="R694" s="2" t="inlineStr"/>
    </row>
    <row r="695" ht="15" customHeight="1">
      <c r="A695" t="inlineStr">
        <is>
          <t>A 49914-2023</t>
        </is>
      </c>
      <c r="B695" s="1" t="n">
        <v>45214</v>
      </c>
      <c r="C695" s="1" t="n">
        <v>46002</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44637-2023</t>
        </is>
      </c>
      <c r="B696" s="1" t="n">
        <v>45189</v>
      </c>
      <c r="C696" s="1" t="n">
        <v>46002</v>
      </c>
      <c r="D696" t="inlineStr">
        <is>
          <t>SÖDERMANLANDS LÄN</t>
        </is>
      </c>
      <c r="E696" t="inlineStr">
        <is>
          <t>KATRINEHOLM</t>
        </is>
      </c>
      <c r="G696" t="n">
        <v>5.1</v>
      </c>
      <c r="H696" t="n">
        <v>0</v>
      </c>
      <c r="I696" t="n">
        <v>0</v>
      </c>
      <c r="J696" t="n">
        <v>0</v>
      </c>
      <c r="K696" t="n">
        <v>0</v>
      </c>
      <c r="L696" t="n">
        <v>0</v>
      </c>
      <c r="M696" t="n">
        <v>0</v>
      </c>
      <c r="N696" t="n">
        <v>0</v>
      </c>
      <c r="O696" t="n">
        <v>0</v>
      </c>
      <c r="P696" t="n">
        <v>0</v>
      </c>
      <c r="Q696" t="n">
        <v>0</v>
      </c>
      <c r="R696" s="2" t="inlineStr"/>
    </row>
    <row r="697" ht="15" customHeight="1">
      <c r="A697" t="inlineStr">
        <is>
          <t>A 58522-2024</t>
        </is>
      </c>
      <c r="B697" s="1" t="n">
        <v>45635.43770833333</v>
      </c>
      <c r="C697" s="1" t="n">
        <v>46002</v>
      </c>
      <c r="D697" t="inlineStr">
        <is>
          <t>SÖDERMANLANDS LÄN</t>
        </is>
      </c>
      <c r="E697" t="inlineStr">
        <is>
          <t>KATRINEHOLM</t>
        </is>
      </c>
      <c r="G697" t="n">
        <v>2</v>
      </c>
      <c r="H697" t="n">
        <v>0</v>
      </c>
      <c r="I697" t="n">
        <v>0</v>
      </c>
      <c r="J697" t="n">
        <v>0</v>
      </c>
      <c r="K697" t="n">
        <v>0</v>
      </c>
      <c r="L697" t="n">
        <v>0</v>
      </c>
      <c r="M697" t="n">
        <v>0</v>
      </c>
      <c r="N697" t="n">
        <v>0</v>
      </c>
      <c r="O697" t="n">
        <v>0</v>
      </c>
      <c r="P697" t="n">
        <v>0</v>
      </c>
      <c r="Q697" t="n">
        <v>0</v>
      </c>
      <c r="R697" s="2" t="inlineStr"/>
    </row>
    <row r="698" ht="15" customHeight="1">
      <c r="A698" t="inlineStr">
        <is>
          <t>A 20921-2023</t>
        </is>
      </c>
      <c r="B698" s="1" t="n">
        <v>45061</v>
      </c>
      <c r="C698" s="1" t="n">
        <v>46002</v>
      </c>
      <c r="D698" t="inlineStr">
        <is>
          <t>SÖDERMANLANDS LÄN</t>
        </is>
      </c>
      <c r="E698" t="inlineStr">
        <is>
          <t>KATRINEHOLM</t>
        </is>
      </c>
      <c r="G698" t="n">
        <v>8.9</v>
      </c>
      <c r="H698" t="n">
        <v>0</v>
      </c>
      <c r="I698" t="n">
        <v>0</v>
      </c>
      <c r="J698" t="n">
        <v>0</v>
      </c>
      <c r="K698" t="n">
        <v>0</v>
      </c>
      <c r="L698" t="n">
        <v>0</v>
      </c>
      <c r="M698" t="n">
        <v>0</v>
      </c>
      <c r="N698" t="n">
        <v>0</v>
      </c>
      <c r="O698" t="n">
        <v>0</v>
      </c>
      <c r="P698" t="n">
        <v>0</v>
      </c>
      <c r="Q698" t="n">
        <v>0</v>
      </c>
      <c r="R698" s="2" t="inlineStr"/>
    </row>
    <row r="699" ht="15" customHeight="1">
      <c r="A699" t="inlineStr">
        <is>
          <t>A 12929-2023</t>
        </is>
      </c>
      <c r="B699" s="1" t="n">
        <v>45001</v>
      </c>
      <c r="C699" s="1" t="n">
        <v>46002</v>
      </c>
      <c r="D699" t="inlineStr">
        <is>
          <t>SÖDERMANLANDS LÄN</t>
        </is>
      </c>
      <c r="E699" t="inlineStr">
        <is>
          <t>KATRINEHOLM</t>
        </is>
      </c>
      <c r="G699" t="n">
        <v>3.1</v>
      </c>
      <c r="H699" t="n">
        <v>0</v>
      </c>
      <c r="I699" t="n">
        <v>0</v>
      </c>
      <c r="J699" t="n">
        <v>0</v>
      </c>
      <c r="K699" t="n">
        <v>0</v>
      </c>
      <c r="L699" t="n">
        <v>0</v>
      </c>
      <c r="M699" t="n">
        <v>0</v>
      </c>
      <c r="N699" t="n">
        <v>0</v>
      </c>
      <c r="O699" t="n">
        <v>0</v>
      </c>
      <c r="P699" t="n">
        <v>0</v>
      </c>
      <c r="Q699" t="n">
        <v>0</v>
      </c>
      <c r="R699" s="2" t="inlineStr"/>
    </row>
    <row r="700" ht="15" customHeight="1">
      <c r="A700" t="inlineStr">
        <is>
          <t>A 12932-2023</t>
        </is>
      </c>
      <c r="B700" s="1" t="n">
        <v>45001</v>
      </c>
      <c r="C700" s="1" t="n">
        <v>46002</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6446-2022</t>
        </is>
      </c>
      <c r="B701" s="1" t="n">
        <v>44600</v>
      </c>
      <c r="C701" s="1" t="n">
        <v>46002</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4724-2023</t>
        </is>
      </c>
      <c r="B702" s="1" t="n">
        <v>44957</v>
      </c>
      <c r="C702" s="1" t="n">
        <v>46002</v>
      </c>
      <c r="D702" t="inlineStr">
        <is>
          <t>SÖDERMANLANDS LÄN</t>
        </is>
      </c>
      <c r="E702" t="inlineStr">
        <is>
          <t>KATRINEHOLM</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61431-2024</t>
        </is>
      </c>
      <c r="B703" s="1" t="n">
        <v>45646.45950231481</v>
      </c>
      <c r="C703" s="1" t="n">
        <v>46002</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24097-2022</t>
        </is>
      </c>
      <c r="B704" s="1" t="n">
        <v>44725.39371527778</v>
      </c>
      <c r="C704" s="1" t="n">
        <v>46002</v>
      </c>
      <c r="D704" t="inlineStr">
        <is>
          <t>SÖDERMANLANDS LÄN</t>
        </is>
      </c>
      <c r="E704" t="inlineStr">
        <is>
          <t>KATRINEHOLM</t>
        </is>
      </c>
      <c r="G704" t="n">
        <v>6.5</v>
      </c>
      <c r="H704" t="n">
        <v>0</v>
      </c>
      <c r="I704" t="n">
        <v>0</v>
      </c>
      <c r="J704" t="n">
        <v>0</v>
      </c>
      <c r="K704" t="n">
        <v>0</v>
      </c>
      <c r="L704" t="n">
        <v>0</v>
      </c>
      <c r="M704" t="n">
        <v>0</v>
      </c>
      <c r="N704" t="n">
        <v>0</v>
      </c>
      <c r="O704" t="n">
        <v>0</v>
      </c>
      <c r="P704" t="n">
        <v>0</v>
      </c>
      <c r="Q704" t="n">
        <v>0</v>
      </c>
      <c r="R704" s="2" t="inlineStr"/>
    </row>
    <row r="705" ht="15" customHeight="1">
      <c r="A705" t="inlineStr">
        <is>
          <t>A 53393-2023</t>
        </is>
      </c>
      <c r="B705" s="1" t="n">
        <v>45229</v>
      </c>
      <c r="C705" s="1" t="n">
        <v>46002</v>
      </c>
      <c r="D705" t="inlineStr">
        <is>
          <t>SÖDERMANLANDS LÄN</t>
        </is>
      </c>
      <c r="E705" t="inlineStr">
        <is>
          <t>KATRINEHOLM</t>
        </is>
      </c>
      <c r="F705" t="inlineStr">
        <is>
          <t>Kyrkan</t>
        </is>
      </c>
      <c r="G705" t="n">
        <v>5.6</v>
      </c>
      <c r="H705" t="n">
        <v>0</v>
      </c>
      <c r="I705" t="n">
        <v>0</v>
      </c>
      <c r="J705" t="n">
        <v>0</v>
      </c>
      <c r="K705" t="n">
        <v>0</v>
      </c>
      <c r="L705" t="n">
        <v>0</v>
      </c>
      <c r="M705" t="n">
        <v>0</v>
      </c>
      <c r="N705" t="n">
        <v>0</v>
      </c>
      <c r="O705" t="n">
        <v>0</v>
      </c>
      <c r="P705" t="n">
        <v>0</v>
      </c>
      <c r="Q705" t="n">
        <v>0</v>
      </c>
      <c r="R705" s="2" t="inlineStr"/>
    </row>
    <row r="706" ht="15" customHeight="1">
      <c r="A706" t="inlineStr">
        <is>
          <t>A 40744-2022</t>
        </is>
      </c>
      <c r="B706" s="1" t="n">
        <v>44824.55655092592</v>
      </c>
      <c r="C706" s="1" t="n">
        <v>46002</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20803-2024</t>
        </is>
      </c>
      <c r="B707" s="1" t="n">
        <v>45438</v>
      </c>
      <c r="C707" s="1" t="n">
        <v>46002</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15392-2023</t>
        </is>
      </c>
      <c r="B708" s="1" t="n">
        <v>45016</v>
      </c>
      <c r="C708" s="1" t="n">
        <v>46002</v>
      </c>
      <c r="D708" t="inlineStr">
        <is>
          <t>SÖDERMANLANDS LÄN</t>
        </is>
      </c>
      <c r="E708" t="inlineStr">
        <is>
          <t>KATRINEHOLM</t>
        </is>
      </c>
      <c r="F708" t="inlineStr">
        <is>
          <t>Övriga Aktiebolag</t>
        </is>
      </c>
      <c r="G708" t="n">
        <v>2.7</v>
      </c>
      <c r="H708" t="n">
        <v>0</v>
      </c>
      <c r="I708" t="n">
        <v>0</v>
      </c>
      <c r="J708" t="n">
        <v>0</v>
      </c>
      <c r="K708" t="n">
        <v>0</v>
      </c>
      <c r="L708" t="n">
        <v>0</v>
      </c>
      <c r="M708" t="n">
        <v>0</v>
      </c>
      <c r="N708" t="n">
        <v>0</v>
      </c>
      <c r="O708" t="n">
        <v>0</v>
      </c>
      <c r="P708" t="n">
        <v>0</v>
      </c>
      <c r="Q708" t="n">
        <v>0</v>
      </c>
      <c r="R708" s="2" t="inlineStr"/>
    </row>
    <row r="709" ht="15" customHeight="1">
      <c r="A709" t="inlineStr">
        <is>
          <t>A 4645-2024</t>
        </is>
      </c>
      <c r="B709" s="1" t="n">
        <v>45328</v>
      </c>
      <c r="C709" s="1" t="n">
        <v>46002</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28508-2023</t>
        </is>
      </c>
      <c r="B710" s="1" t="n">
        <v>45103.46788194445</v>
      </c>
      <c r="C710" s="1" t="n">
        <v>46002</v>
      </c>
      <c r="D710" t="inlineStr">
        <is>
          <t>SÖDERMANLANDS LÄN</t>
        </is>
      </c>
      <c r="E710" t="inlineStr">
        <is>
          <t>KATRINEHOLM</t>
        </is>
      </c>
      <c r="F710" t="inlineStr">
        <is>
          <t>Kyrkan</t>
        </is>
      </c>
      <c r="G710" t="n">
        <v>20.5</v>
      </c>
      <c r="H710" t="n">
        <v>0</v>
      </c>
      <c r="I710" t="n">
        <v>0</v>
      </c>
      <c r="J710" t="n">
        <v>0</v>
      </c>
      <c r="K710" t="n">
        <v>0</v>
      </c>
      <c r="L710" t="n">
        <v>0</v>
      </c>
      <c r="M710" t="n">
        <v>0</v>
      </c>
      <c r="N710" t="n">
        <v>0</v>
      </c>
      <c r="O710" t="n">
        <v>0</v>
      </c>
      <c r="P710" t="n">
        <v>0</v>
      </c>
      <c r="Q710" t="n">
        <v>0</v>
      </c>
      <c r="R710" s="2" t="inlineStr"/>
    </row>
    <row r="711" ht="15" customHeight="1">
      <c r="A711" t="inlineStr">
        <is>
          <t>A 47889-2023</t>
        </is>
      </c>
      <c r="B711" s="1" t="n">
        <v>45204</v>
      </c>
      <c r="C711" s="1" t="n">
        <v>46002</v>
      </c>
      <c r="D711" t="inlineStr">
        <is>
          <t>SÖDERMANLANDS LÄN</t>
        </is>
      </c>
      <c r="E711" t="inlineStr">
        <is>
          <t>KATRINEHOLM</t>
        </is>
      </c>
      <c r="G711" t="n">
        <v>2.1</v>
      </c>
      <c r="H711" t="n">
        <v>0</v>
      </c>
      <c r="I711" t="n">
        <v>0</v>
      </c>
      <c r="J711" t="n">
        <v>0</v>
      </c>
      <c r="K711" t="n">
        <v>0</v>
      </c>
      <c r="L711" t="n">
        <v>0</v>
      </c>
      <c r="M711" t="n">
        <v>0</v>
      </c>
      <c r="N711" t="n">
        <v>0</v>
      </c>
      <c r="O711" t="n">
        <v>0</v>
      </c>
      <c r="P711" t="n">
        <v>0</v>
      </c>
      <c r="Q711" t="n">
        <v>0</v>
      </c>
      <c r="R711" s="2" t="inlineStr"/>
    </row>
    <row r="712" ht="15" customHeight="1">
      <c r="A712" t="inlineStr">
        <is>
          <t>A 12975-2022</t>
        </is>
      </c>
      <c r="B712" s="1" t="n">
        <v>44643</v>
      </c>
      <c r="C712" s="1" t="n">
        <v>46002</v>
      </c>
      <c r="D712" t="inlineStr">
        <is>
          <t>SÖDERMANLANDS LÄN</t>
        </is>
      </c>
      <c r="E712" t="inlineStr">
        <is>
          <t>KATRINEHOLM</t>
        </is>
      </c>
      <c r="G712" t="n">
        <v>2.4</v>
      </c>
      <c r="H712" t="n">
        <v>0</v>
      </c>
      <c r="I712" t="n">
        <v>0</v>
      </c>
      <c r="J712" t="n">
        <v>0</v>
      </c>
      <c r="K712" t="n">
        <v>0</v>
      </c>
      <c r="L712" t="n">
        <v>0</v>
      </c>
      <c r="M712" t="n">
        <v>0</v>
      </c>
      <c r="N712" t="n">
        <v>0</v>
      </c>
      <c r="O712" t="n">
        <v>0</v>
      </c>
      <c r="P712" t="n">
        <v>0</v>
      </c>
      <c r="Q712" t="n">
        <v>0</v>
      </c>
      <c r="R712" s="2" t="inlineStr"/>
    </row>
    <row r="713" ht="15" customHeight="1">
      <c r="A713" t="inlineStr">
        <is>
          <t>A 9668-2023</t>
        </is>
      </c>
      <c r="B713" s="1" t="n">
        <v>44984.41238425926</v>
      </c>
      <c r="C713" s="1" t="n">
        <v>46002</v>
      </c>
      <c r="D713" t="inlineStr">
        <is>
          <t>SÖDERMANLANDS LÄN</t>
        </is>
      </c>
      <c r="E713" t="inlineStr">
        <is>
          <t>KATRINEHOLM</t>
        </is>
      </c>
      <c r="G713" t="n">
        <v>4.8</v>
      </c>
      <c r="H713" t="n">
        <v>0</v>
      </c>
      <c r="I713" t="n">
        <v>0</v>
      </c>
      <c r="J713" t="n">
        <v>0</v>
      </c>
      <c r="K713" t="n">
        <v>0</v>
      </c>
      <c r="L713" t="n">
        <v>0</v>
      </c>
      <c r="M713" t="n">
        <v>0</v>
      </c>
      <c r="N713" t="n">
        <v>0</v>
      </c>
      <c r="O713" t="n">
        <v>0</v>
      </c>
      <c r="P713" t="n">
        <v>0</v>
      </c>
      <c r="Q713" t="n">
        <v>0</v>
      </c>
      <c r="R713" s="2" t="inlineStr"/>
    </row>
    <row r="714" ht="15" customHeight="1">
      <c r="A714" t="inlineStr">
        <is>
          <t>A 29977-2023</t>
        </is>
      </c>
      <c r="B714" s="1" t="n">
        <v>45108</v>
      </c>
      <c r="C714" s="1" t="n">
        <v>46002</v>
      </c>
      <c r="D714" t="inlineStr">
        <is>
          <t>SÖDERMANLANDS LÄN</t>
        </is>
      </c>
      <c r="E714" t="inlineStr">
        <is>
          <t>KATRINEHOLM</t>
        </is>
      </c>
      <c r="G714" t="n">
        <v>2.4</v>
      </c>
      <c r="H714" t="n">
        <v>0</v>
      </c>
      <c r="I714" t="n">
        <v>0</v>
      </c>
      <c r="J714" t="n">
        <v>0</v>
      </c>
      <c r="K714" t="n">
        <v>0</v>
      </c>
      <c r="L714" t="n">
        <v>0</v>
      </c>
      <c r="M714" t="n">
        <v>0</v>
      </c>
      <c r="N714" t="n">
        <v>0</v>
      </c>
      <c r="O714" t="n">
        <v>0</v>
      </c>
      <c r="P714" t="n">
        <v>0</v>
      </c>
      <c r="Q714" t="n">
        <v>0</v>
      </c>
      <c r="R714" s="2" t="inlineStr"/>
    </row>
    <row r="715" ht="15" customHeight="1">
      <c r="A715" t="inlineStr">
        <is>
          <t>A 4669-2023</t>
        </is>
      </c>
      <c r="B715" s="1" t="n">
        <v>44957</v>
      </c>
      <c r="C715" s="1" t="n">
        <v>46002</v>
      </c>
      <c r="D715" t="inlineStr">
        <is>
          <t>SÖDERMANLANDS LÄN</t>
        </is>
      </c>
      <c r="E715" t="inlineStr">
        <is>
          <t>KATRINEHOLM</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948-2023</t>
        </is>
      </c>
      <c r="B716" s="1" t="n">
        <v>44934</v>
      </c>
      <c r="C716" s="1" t="n">
        <v>46002</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6087-2022</t>
        </is>
      </c>
      <c r="B717" s="1" t="n">
        <v>44599.61034722222</v>
      </c>
      <c r="C717" s="1" t="n">
        <v>46002</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46002</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12835-2024</t>
        </is>
      </c>
      <c r="B719" s="1" t="n">
        <v>45384</v>
      </c>
      <c r="C719" s="1" t="n">
        <v>46002</v>
      </c>
      <c r="D719" t="inlineStr">
        <is>
          <t>SÖDERMANLANDS LÄN</t>
        </is>
      </c>
      <c r="E719" t="inlineStr">
        <is>
          <t>KATRINEHOLM</t>
        </is>
      </c>
      <c r="F719" t="inlineStr">
        <is>
          <t>Allmännings- och besparingsskogar</t>
        </is>
      </c>
      <c r="G719" t="n">
        <v>0.5</v>
      </c>
      <c r="H719" t="n">
        <v>0</v>
      </c>
      <c r="I719" t="n">
        <v>0</v>
      </c>
      <c r="J719" t="n">
        <v>0</v>
      </c>
      <c r="K719" t="n">
        <v>0</v>
      </c>
      <c r="L719" t="n">
        <v>0</v>
      </c>
      <c r="M719" t="n">
        <v>0</v>
      </c>
      <c r="N719" t="n">
        <v>0</v>
      </c>
      <c r="O719" t="n">
        <v>0</v>
      </c>
      <c r="P719" t="n">
        <v>0</v>
      </c>
      <c r="Q719" t="n">
        <v>0</v>
      </c>
      <c r="R719" s="2" t="inlineStr"/>
    </row>
    <row r="720" ht="15" customHeight="1">
      <c r="A720" t="inlineStr">
        <is>
          <t>A 69600-2020</t>
        </is>
      </c>
      <c r="B720" s="1" t="n">
        <v>44195</v>
      </c>
      <c r="C720" s="1" t="n">
        <v>46002</v>
      </c>
      <c r="D720" t="inlineStr">
        <is>
          <t>SÖDERMANLANDS LÄN</t>
        </is>
      </c>
      <c r="E720" t="inlineStr">
        <is>
          <t>KATRINEHOLM</t>
        </is>
      </c>
      <c r="G720" t="n">
        <v>11.3</v>
      </c>
      <c r="H720" t="n">
        <v>0</v>
      </c>
      <c r="I720" t="n">
        <v>0</v>
      </c>
      <c r="J720" t="n">
        <v>0</v>
      </c>
      <c r="K720" t="n">
        <v>0</v>
      </c>
      <c r="L720" t="n">
        <v>0</v>
      </c>
      <c r="M720" t="n">
        <v>0</v>
      </c>
      <c r="N720" t="n">
        <v>0</v>
      </c>
      <c r="O720" t="n">
        <v>0</v>
      </c>
      <c r="P720" t="n">
        <v>0</v>
      </c>
      <c r="Q720" t="n">
        <v>0</v>
      </c>
      <c r="R720" s="2" t="inlineStr"/>
    </row>
    <row r="721" ht="15" customHeight="1">
      <c r="A721" t="inlineStr">
        <is>
          <t>A 47879-2023</t>
        </is>
      </c>
      <c r="B721" s="1" t="n">
        <v>45204</v>
      </c>
      <c r="C721" s="1" t="n">
        <v>46002</v>
      </c>
      <c r="D721" t="inlineStr">
        <is>
          <t>SÖDERMANLANDS LÄN</t>
        </is>
      </c>
      <c r="E721" t="inlineStr">
        <is>
          <t>KATRINEHOLM</t>
        </is>
      </c>
      <c r="F721" t="inlineStr">
        <is>
          <t>Övriga Aktiebolag</t>
        </is>
      </c>
      <c r="G721" t="n">
        <v>2.3</v>
      </c>
      <c r="H721" t="n">
        <v>0</v>
      </c>
      <c r="I721" t="n">
        <v>0</v>
      </c>
      <c r="J721" t="n">
        <v>0</v>
      </c>
      <c r="K721" t="n">
        <v>0</v>
      </c>
      <c r="L721" t="n">
        <v>0</v>
      </c>
      <c r="M721" t="n">
        <v>0</v>
      </c>
      <c r="N721" t="n">
        <v>0</v>
      </c>
      <c r="O721" t="n">
        <v>0</v>
      </c>
      <c r="P721" t="n">
        <v>0</v>
      </c>
      <c r="Q721" t="n">
        <v>0</v>
      </c>
      <c r="R721" s="2" t="inlineStr"/>
    </row>
    <row r="722" ht="15" customHeight="1">
      <c r="A722" t="inlineStr">
        <is>
          <t>A 61410-2024</t>
        </is>
      </c>
      <c r="B722" s="1" t="n">
        <v>45646.43950231482</v>
      </c>
      <c r="C722" s="1" t="n">
        <v>46002</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17746-2024</t>
        </is>
      </c>
      <c r="B723" s="1" t="n">
        <v>45415</v>
      </c>
      <c r="C723" s="1" t="n">
        <v>46002</v>
      </c>
      <c r="D723" t="inlineStr">
        <is>
          <t>SÖDERMANLANDS LÄN</t>
        </is>
      </c>
      <c r="E723" t="inlineStr">
        <is>
          <t>KATRINEHOLM</t>
        </is>
      </c>
      <c r="G723" t="n">
        <v>7.8</v>
      </c>
      <c r="H723" t="n">
        <v>0</v>
      </c>
      <c r="I723" t="n">
        <v>0</v>
      </c>
      <c r="J723" t="n">
        <v>0</v>
      </c>
      <c r="K723" t="n">
        <v>0</v>
      </c>
      <c r="L723" t="n">
        <v>0</v>
      </c>
      <c r="M723" t="n">
        <v>0</v>
      </c>
      <c r="N723" t="n">
        <v>0</v>
      </c>
      <c r="O723" t="n">
        <v>0</v>
      </c>
      <c r="P723" t="n">
        <v>0</v>
      </c>
      <c r="Q723" t="n">
        <v>0</v>
      </c>
      <c r="R723" s="2" t="inlineStr"/>
    </row>
    <row r="724" ht="15" customHeight="1">
      <c r="A724" t="inlineStr">
        <is>
          <t>A 57510-2021</t>
        </is>
      </c>
      <c r="B724" s="1" t="n">
        <v>44483</v>
      </c>
      <c r="C724" s="1" t="n">
        <v>46002</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34731-2023</t>
        </is>
      </c>
      <c r="B725" s="1" t="n">
        <v>45141</v>
      </c>
      <c r="C725" s="1" t="n">
        <v>46002</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38826-2021</t>
        </is>
      </c>
      <c r="B726" s="1" t="n">
        <v>44411</v>
      </c>
      <c r="C726" s="1" t="n">
        <v>46002</v>
      </c>
      <c r="D726" t="inlineStr">
        <is>
          <t>SÖDERMANLANDS LÄN</t>
        </is>
      </c>
      <c r="E726" t="inlineStr">
        <is>
          <t>KATRINEHOLM</t>
        </is>
      </c>
      <c r="G726" t="n">
        <v>3.1</v>
      </c>
      <c r="H726" t="n">
        <v>0</v>
      </c>
      <c r="I726" t="n">
        <v>0</v>
      </c>
      <c r="J726" t="n">
        <v>0</v>
      </c>
      <c r="K726" t="n">
        <v>0</v>
      </c>
      <c r="L726" t="n">
        <v>0</v>
      </c>
      <c r="M726" t="n">
        <v>0</v>
      </c>
      <c r="N726" t="n">
        <v>0</v>
      </c>
      <c r="O726" t="n">
        <v>0</v>
      </c>
      <c r="P726" t="n">
        <v>0</v>
      </c>
      <c r="Q726" t="n">
        <v>0</v>
      </c>
      <c r="R726" s="2" t="inlineStr"/>
    </row>
    <row r="727" ht="15" customHeight="1">
      <c r="A727" t="inlineStr">
        <is>
          <t>A 11875-2023</t>
        </is>
      </c>
      <c r="B727" s="1" t="n">
        <v>44995</v>
      </c>
      <c r="C727" s="1" t="n">
        <v>46002</v>
      </c>
      <c r="D727" t="inlineStr">
        <is>
          <t>SÖDERMANLANDS LÄN</t>
        </is>
      </c>
      <c r="E727" t="inlineStr">
        <is>
          <t>KATRINEHOLM</t>
        </is>
      </c>
      <c r="F727" t="inlineStr">
        <is>
          <t>Kommuner</t>
        </is>
      </c>
      <c r="G727" t="n">
        <v>1.1</v>
      </c>
      <c r="H727" t="n">
        <v>0</v>
      </c>
      <c r="I727" t="n">
        <v>0</v>
      </c>
      <c r="J727" t="n">
        <v>0</v>
      </c>
      <c r="K727" t="n">
        <v>0</v>
      </c>
      <c r="L727" t="n">
        <v>0</v>
      </c>
      <c r="M727" t="n">
        <v>0</v>
      </c>
      <c r="N727" t="n">
        <v>0</v>
      </c>
      <c r="O727" t="n">
        <v>0</v>
      </c>
      <c r="P727" t="n">
        <v>0</v>
      </c>
      <c r="Q727" t="n">
        <v>0</v>
      </c>
      <c r="R727" s="2" t="inlineStr"/>
    </row>
    <row r="728" ht="15" customHeight="1">
      <c r="A728" t="inlineStr">
        <is>
          <t>A 6808-2023</t>
        </is>
      </c>
      <c r="B728" s="1" t="n">
        <v>44964</v>
      </c>
      <c r="C728" s="1" t="n">
        <v>46002</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51128-2021</t>
        </is>
      </c>
      <c r="B729" s="1" t="n">
        <v>44460</v>
      </c>
      <c r="C729" s="1" t="n">
        <v>46002</v>
      </c>
      <c r="D729" t="inlineStr">
        <is>
          <t>SÖDERMANLANDS LÄN</t>
        </is>
      </c>
      <c r="E729" t="inlineStr">
        <is>
          <t>KATRINEHOLM</t>
        </is>
      </c>
      <c r="G729" t="n">
        <v>7.8</v>
      </c>
      <c r="H729" t="n">
        <v>0</v>
      </c>
      <c r="I729" t="n">
        <v>0</v>
      </c>
      <c r="J729" t="n">
        <v>0</v>
      </c>
      <c r="K729" t="n">
        <v>0</v>
      </c>
      <c r="L729" t="n">
        <v>0</v>
      </c>
      <c r="M729" t="n">
        <v>0</v>
      </c>
      <c r="N729" t="n">
        <v>0</v>
      </c>
      <c r="O729" t="n">
        <v>0</v>
      </c>
      <c r="P729" t="n">
        <v>0</v>
      </c>
      <c r="Q729" t="n">
        <v>0</v>
      </c>
      <c r="R729" s="2" t="inlineStr"/>
    </row>
    <row r="730" ht="15" customHeight="1">
      <c r="A730" t="inlineStr">
        <is>
          <t>A 51264-2021</t>
        </is>
      </c>
      <c r="B730" s="1" t="n">
        <v>44461</v>
      </c>
      <c r="C730" s="1" t="n">
        <v>46002</v>
      </c>
      <c r="D730" t="inlineStr">
        <is>
          <t>SÖDERMANLANDS LÄN</t>
        </is>
      </c>
      <c r="E730" t="inlineStr">
        <is>
          <t>KATRINEHOLM</t>
        </is>
      </c>
      <c r="G730" t="n">
        <v>3.1</v>
      </c>
      <c r="H730" t="n">
        <v>0</v>
      </c>
      <c r="I730" t="n">
        <v>0</v>
      </c>
      <c r="J730" t="n">
        <v>0</v>
      </c>
      <c r="K730" t="n">
        <v>0</v>
      </c>
      <c r="L730" t="n">
        <v>0</v>
      </c>
      <c r="M730" t="n">
        <v>0</v>
      </c>
      <c r="N730" t="n">
        <v>0</v>
      </c>
      <c r="O730" t="n">
        <v>0</v>
      </c>
      <c r="P730" t="n">
        <v>0</v>
      </c>
      <c r="Q730" t="n">
        <v>0</v>
      </c>
      <c r="R730" s="2" t="inlineStr"/>
    </row>
    <row r="731" ht="15" customHeight="1">
      <c r="A731" t="inlineStr">
        <is>
          <t>A 23207-2023</t>
        </is>
      </c>
      <c r="B731" s="1" t="n">
        <v>45071</v>
      </c>
      <c r="C731" s="1" t="n">
        <v>46002</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5935-2023</t>
        </is>
      </c>
      <c r="B732" s="1" t="n">
        <v>44963</v>
      </c>
      <c r="C732" s="1" t="n">
        <v>46002</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11104-2023</t>
        </is>
      </c>
      <c r="B733" s="1" t="n">
        <v>44992</v>
      </c>
      <c r="C733" s="1" t="n">
        <v>46002</v>
      </c>
      <c r="D733" t="inlineStr">
        <is>
          <t>SÖDERMANLANDS LÄN</t>
        </is>
      </c>
      <c r="E733" t="inlineStr">
        <is>
          <t>KATRINEHOLM</t>
        </is>
      </c>
      <c r="F733" t="inlineStr">
        <is>
          <t>Allmännings- och besparingsskogar</t>
        </is>
      </c>
      <c r="G733" t="n">
        <v>7.8</v>
      </c>
      <c r="H733" t="n">
        <v>0</v>
      </c>
      <c r="I733" t="n">
        <v>0</v>
      </c>
      <c r="J733" t="n">
        <v>0</v>
      </c>
      <c r="K733" t="n">
        <v>0</v>
      </c>
      <c r="L733" t="n">
        <v>0</v>
      </c>
      <c r="M733" t="n">
        <v>0</v>
      </c>
      <c r="N733" t="n">
        <v>0</v>
      </c>
      <c r="O733" t="n">
        <v>0</v>
      </c>
      <c r="P733" t="n">
        <v>0</v>
      </c>
      <c r="Q733" t="n">
        <v>0</v>
      </c>
      <c r="R733" s="2" t="inlineStr"/>
    </row>
    <row r="734" ht="15" customHeight="1">
      <c r="A734" t="inlineStr">
        <is>
          <t>A 40159-2023</t>
        </is>
      </c>
      <c r="B734" s="1" t="n">
        <v>45169</v>
      </c>
      <c r="C734" s="1" t="n">
        <v>46002</v>
      </c>
      <c r="D734" t="inlineStr">
        <is>
          <t>SÖDERMANLANDS LÄN</t>
        </is>
      </c>
      <c r="E734" t="inlineStr">
        <is>
          <t>KATRINEHOLM</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36562-2023</t>
        </is>
      </c>
      <c r="B735" s="1" t="n">
        <v>45153</v>
      </c>
      <c r="C735" s="1" t="n">
        <v>46002</v>
      </c>
      <c r="D735" t="inlineStr">
        <is>
          <t>SÖDERMANLANDS LÄN</t>
        </is>
      </c>
      <c r="E735" t="inlineStr">
        <is>
          <t>KATRINEHOLM</t>
        </is>
      </c>
      <c r="G735" t="n">
        <v>5.8</v>
      </c>
      <c r="H735" t="n">
        <v>0</v>
      </c>
      <c r="I735" t="n">
        <v>0</v>
      </c>
      <c r="J735" t="n">
        <v>0</v>
      </c>
      <c r="K735" t="n">
        <v>0</v>
      </c>
      <c r="L735" t="n">
        <v>0</v>
      </c>
      <c r="M735" t="n">
        <v>0</v>
      </c>
      <c r="N735" t="n">
        <v>0</v>
      </c>
      <c r="O735" t="n">
        <v>0</v>
      </c>
      <c r="P735" t="n">
        <v>0</v>
      </c>
      <c r="Q735" t="n">
        <v>0</v>
      </c>
      <c r="R735" s="2" t="inlineStr"/>
    </row>
    <row r="736" ht="15" customHeight="1">
      <c r="A736" t="inlineStr">
        <is>
          <t>A 4872-2024</t>
        </is>
      </c>
      <c r="B736" s="1" t="n">
        <v>45329</v>
      </c>
      <c r="C736" s="1" t="n">
        <v>46002</v>
      </c>
      <c r="D736" t="inlineStr">
        <is>
          <t>SÖDERMANLANDS LÄN</t>
        </is>
      </c>
      <c r="E736" t="inlineStr">
        <is>
          <t>KATRINEHOLM</t>
        </is>
      </c>
      <c r="G736" t="n">
        <v>0.5</v>
      </c>
      <c r="H736" t="n">
        <v>0</v>
      </c>
      <c r="I736" t="n">
        <v>0</v>
      </c>
      <c r="J736" t="n">
        <v>0</v>
      </c>
      <c r="K736" t="n">
        <v>0</v>
      </c>
      <c r="L736" t="n">
        <v>0</v>
      </c>
      <c r="M736" t="n">
        <v>0</v>
      </c>
      <c r="N736" t="n">
        <v>0</v>
      </c>
      <c r="O736" t="n">
        <v>0</v>
      </c>
      <c r="P736" t="n">
        <v>0</v>
      </c>
      <c r="Q736" t="n">
        <v>0</v>
      </c>
      <c r="R736" s="2" t="inlineStr"/>
    </row>
    <row r="737" ht="15" customHeight="1">
      <c r="A737" t="inlineStr">
        <is>
          <t>A 6611-2023</t>
        </is>
      </c>
      <c r="B737" s="1" t="n">
        <v>44963</v>
      </c>
      <c r="C737" s="1" t="n">
        <v>46002</v>
      </c>
      <c r="D737" t="inlineStr">
        <is>
          <t>SÖDERMANLANDS LÄN</t>
        </is>
      </c>
      <c r="E737" t="inlineStr">
        <is>
          <t>KATRINEHOLM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25823-2023</t>
        </is>
      </c>
      <c r="B738" s="1" t="n">
        <v>45090.55078703703</v>
      </c>
      <c r="C738" s="1" t="n">
        <v>46002</v>
      </c>
      <c r="D738" t="inlineStr">
        <is>
          <t>SÖDERMANLANDS LÄN</t>
        </is>
      </c>
      <c r="E738" t="inlineStr">
        <is>
          <t>KATRINEHOLM</t>
        </is>
      </c>
      <c r="F738" t="inlineStr">
        <is>
          <t>Kyrkan</t>
        </is>
      </c>
      <c r="G738" t="n">
        <v>10.2</v>
      </c>
      <c r="H738" t="n">
        <v>0</v>
      </c>
      <c r="I738" t="n">
        <v>0</v>
      </c>
      <c r="J738" t="n">
        <v>0</v>
      </c>
      <c r="K738" t="n">
        <v>0</v>
      </c>
      <c r="L738" t="n">
        <v>0</v>
      </c>
      <c r="M738" t="n">
        <v>0</v>
      </c>
      <c r="N738" t="n">
        <v>0</v>
      </c>
      <c r="O738" t="n">
        <v>0</v>
      </c>
      <c r="P738" t="n">
        <v>0</v>
      </c>
      <c r="Q738" t="n">
        <v>0</v>
      </c>
      <c r="R738" s="2" t="inlineStr"/>
    </row>
    <row r="739" ht="15" customHeight="1">
      <c r="A739" t="inlineStr">
        <is>
          <t>A 61398-2024</t>
        </is>
      </c>
      <c r="B739" s="1" t="n">
        <v>45646.42608796297</v>
      </c>
      <c r="C739" s="1" t="n">
        <v>46002</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20480-2022</t>
        </is>
      </c>
      <c r="B740" s="1" t="n">
        <v>44699</v>
      </c>
      <c r="C740" s="1" t="n">
        <v>46002</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3060-2022</t>
        </is>
      </c>
      <c r="B741" s="1" t="n">
        <v>44582.40109953703</v>
      </c>
      <c r="C741" s="1" t="n">
        <v>46002</v>
      </c>
      <c r="D741" t="inlineStr">
        <is>
          <t>SÖDERMANLANDS LÄN</t>
        </is>
      </c>
      <c r="E741" t="inlineStr">
        <is>
          <t>KATRINEHOLM</t>
        </is>
      </c>
      <c r="G741" t="n">
        <v>1.6</v>
      </c>
      <c r="H741" t="n">
        <v>0</v>
      </c>
      <c r="I741" t="n">
        <v>0</v>
      </c>
      <c r="J741" t="n">
        <v>0</v>
      </c>
      <c r="K741" t="n">
        <v>0</v>
      </c>
      <c r="L741" t="n">
        <v>0</v>
      </c>
      <c r="M741" t="n">
        <v>0</v>
      </c>
      <c r="N741" t="n">
        <v>0</v>
      </c>
      <c r="O741" t="n">
        <v>0</v>
      </c>
      <c r="P741" t="n">
        <v>0</v>
      </c>
      <c r="Q741" t="n">
        <v>0</v>
      </c>
      <c r="R741" s="2" t="inlineStr"/>
    </row>
    <row r="742" ht="15" customHeight="1">
      <c r="A742" t="inlineStr">
        <is>
          <t>A 3075-2022</t>
        </is>
      </c>
      <c r="B742" s="1" t="n">
        <v>44582</v>
      </c>
      <c r="C742" s="1" t="n">
        <v>46002</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9388-2021</t>
        </is>
      </c>
      <c r="B743" s="1" t="n">
        <v>44250</v>
      </c>
      <c r="C743" s="1" t="n">
        <v>46002</v>
      </c>
      <c r="D743" t="inlineStr">
        <is>
          <t>SÖDERMANLANDS LÄN</t>
        </is>
      </c>
      <c r="E743" t="inlineStr">
        <is>
          <t>KATRINEHOLM</t>
        </is>
      </c>
      <c r="G743" t="n">
        <v>5.4</v>
      </c>
      <c r="H743" t="n">
        <v>0</v>
      </c>
      <c r="I743" t="n">
        <v>0</v>
      </c>
      <c r="J743" t="n">
        <v>0</v>
      </c>
      <c r="K743" t="n">
        <v>0</v>
      </c>
      <c r="L743" t="n">
        <v>0</v>
      </c>
      <c r="M743" t="n">
        <v>0</v>
      </c>
      <c r="N743" t="n">
        <v>0</v>
      </c>
      <c r="O743" t="n">
        <v>0</v>
      </c>
      <c r="P743" t="n">
        <v>0</v>
      </c>
      <c r="Q743" t="n">
        <v>0</v>
      </c>
      <c r="R743" s="2" t="inlineStr"/>
    </row>
    <row r="744" ht="15" customHeight="1">
      <c r="A744" t="inlineStr">
        <is>
          <t>A 13175-2024</t>
        </is>
      </c>
      <c r="B744" s="1" t="n">
        <v>45386</v>
      </c>
      <c r="C744" s="1" t="n">
        <v>46002</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26081-2024</t>
        </is>
      </c>
      <c r="B745" s="1" t="n">
        <v>45462</v>
      </c>
      <c r="C745" s="1" t="n">
        <v>46002</v>
      </c>
      <c r="D745" t="inlineStr">
        <is>
          <t>SÖDERMANLANDS LÄN</t>
        </is>
      </c>
      <c r="E745" t="inlineStr">
        <is>
          <t>KATRINEHOLM</t>
        </is>
      </c>
      <c r="G745" t="n">
        <v>4.1</v>
      </c>
      <c r="H745" t="n">
        <v>0</v>
      </c>
      <c r="I745" t="n">
        <v>0</v>
      </c>
      <c r="J745" t="n">
        <v>0</v>
      </c>
      <c r="K745" t="n">
        <v>0</v>
      </c>
      <c r="L745" t="n">
        <v>0</v>
      </c>
      <c r="M745" t="n">
        <v>0</v>
      </c>
      <c r="N745" t="n">
        <v>0</v>
      </c>
      <c r="O745" t="n">
        <v>0</v>
      </c>
      <c r="P745" t="n">
        <v>0</v>
      </c>
      <c r="Q745" t="n">
        <v>0</v>
      </c>
      <c r="R745" s="2" t="inlineStr"/>
    </row>
    <row r="746" ht="15" customHeight="1">
      <c r="A746" t="inlineStr">
        <is>
          <t>A 4667-2024</t>
        </is>
      </c>
      <c r="B746" s="1" t="n">
        <v>45328.47</v>
      </c>
      <c r="C746" s="1" t="n">
        <v>46002</v>
      </c>
      <c r="D746" t="inlineStr">
        <is>
          <t>SÖDERMANLANDS LÄN</t>
        </is>
      </c>
      <c r="E746" t="inlineStr">
        <is>
          <t>KATRINEHOLM</t>
        </is>
      </c>
      <c r="F746" t="inlineStr">
        <is>
          <t>Övriga Aktiebolag</t>
        </is>
      </c>
      <c r="G746" t="n">
        <v>10.2</v>
      </c>
      <c r="H746" t="n">
        <v>0</v>
      </c>
      <c r="I746" t="n">
        <v>0</v>
      </c>
      <c r="J746" t="n">
        <v>0</v>
      </c>
      <c r="K746" t="n">
        <v>0</v>
      </c>
      <c r="L746" t="n">
        <v>0</v>
      </c>
      <c r="M746" t="n">
        <v>0</v>
      </c>
      <c r="N746" t="n">
        <v>0</v>
      </c>
      <c r="O746" t="n">
        <v>0</v>
      </c>
      <c r="P746" t="n">
        <v>0</v>
      </c>
      <c r="Q746" t="n">
        <v>0</v>
      </c>
      <c r="R746" s="2" t="inlineStr"/>
    </row>
    <row r="747" ht="15" customHeight="1">
      <c r="A747" t="inlineStr">
        <is>
          <t>A 5953-2021</t>
        </is>
      </c>
      <c r="B747" s="1" t="n">
        <v>44231</v>
      </c>
      <c r="C747" s="1" t="n">
        <v>46002</v>
      </c>
      <c r="D747" t="inlineStr">
        <is>
          <t>SÖDERMANLANDS LÄN</t>
        </is>
      </c>
      <c r="E747" t="inlineStr">
        <is>
          <t>KATRINEHOLM</t>
        </is>
      </c>
      <c r="G747" t="n">
        <v>3.1</v>
      </c>
      <c r="H747" t="n">
        <v>0</v>
      </c>
      <c r="I747" t="n">
        <v>0</v>
      </c>
      <c r="J747" t="n">
        <v>0</v>
      </c>
      <c r="K747" t="n">
        <v>0</v>
      </c>
      <c r="L747" t="n">
        <v>0</v>
      </c>
      <c r="M747" t="n">
        <v>0</v>
      </c>
      <c r="N747" t="n">
        <v>0</v>
      </c>
      <c r="O747" t="n">
        <v>0</v>
      </c>
      <c r="P747" t="n">
        <v>0</v>
      </c>
      <c r="Q747" t="n">
        <v>0</v>
      </c>
      <c r="R747" s="2" t="inlineStr"/>
    </row>
    <row r="748" ht="15" customHeight="1">
      <c r="A748" t="inlineStr">
        <is>
          <t>A 19107-2022</t>
        </is>
      </c>
      <c r="B748" s="1" t="n">
        <v>44691.54077546296</v>
      </c>
      <c r="C748" s="1" t="n">
        <v>46002</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19442-2023</t>
        </is>
      </c>
      <c r="B749" s="1" t="n">
        <v>45050</v>
      </c>
      <c r="C749" s="1" t="n">
        <v>46002</v>
      </c>
      <c r="D749" t="inlineStr">
        <is>
          <t>SÖDERMANLANDS LÄN</t>
        </is>
      </c>
      <c r="E749" t="inlineStr">
        <is>
          <t>KATRINEHOLM</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59093-2024</t>
        </is>
      </c>
      <c r="B750" s="1" t="n">
        <v>45636</v>
      </c>
      <c r="C750" s="1" t="n">
        <v>46002</v>
      </c>
      <c r="D750" t="inlineStr">
        <is>
          <t>SÖDERMANLANDS LÄN</t>
        </is>
      </c>
      <c r="E750" t="inlineStr">
        <is>
          <t>KATRINEHOLM</t>
        </is>
      </c>
      <c r="G750" t="n">
        <v>2.8</v>
      </c>
      <c r="H750" t="n">
        <v>0</v>
      </c>
      <c r="I750" t="n">
        <v>0</v>
      </c>
      <c r="J750" t="n">
        <v>0</v>
      </c>
      <c r="K750" t="n">
        <v>0</v>
      </c>
      <c r="L750" t="n">
        <v>0</v>
      </c>
      <c r="M750" t="n">
        <v>0</v>
      </c>
      <c r="N750" t="n">
        <v>0</v>
      </c>
      <c r="O750" t="n">
        <v>0</v>
      </c>
      <c r="P750" t="n">
        <v>0</v>
      </c>
      <c r="Q750" t="n">
        <v>0</v>
      </c>
      <c r="R750" s="2" t="inlineStr"/>
    </row>
    <row r="751" ht="15" customHeight="1">
      <c r="A751" t="inlineStr">
        <is>
          <t>A 2606-2025</t>
        </is>
      </c>
      <c r="B751" s="1" t="n">
        <v>45674</v>
      </c>
      <c r="C751" s="1" t="n">
        <v>46002</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48763-2024</t>
        </is>
      </c>
      <c r="B752" s="1" t="n">
        <v>45593.60288194445</v>
      </c>
      <c r="C752" s="1" t="n">
        <v>46002</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38872-2024</t>
        </is>
      </c>
      <c r="B753" s="1" t="n">
        <v>45547</v>
      </c>
      <c r="C753" s="1" t="n">
        <v>46002</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41229-2022</t>
        </is>
      </c>
      <c r="B754" s="1" t="n">
        <v>44825</v>
      </c>
      <c r="C754" s="1" t="n">
        <v>46002</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1091-2025</t>
        </is>
      </c>
      <c r="B755" s="1" t="n">
        <v>45666</v>
      </c>
      <c r="C755" s="1" t="n">
        <v>46002</v>
      </c>
      <c r="D755" t="inlineStr">
        <is>
          <t>SÖDERMANLANDS LÄN</t>
        </is>
      </c>
      <c r="E755" t="inlineStr">
        <is>
          <t>KATRINEHOLM</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39010-2021</t>
        </is>
      </c>
      <c r="B756" s="1" t="n">
        <v>44412</v>
      </c>
      <c r="C756" s="1" t="n">
        <v>46002</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6311-2025</t>
        </is>
      </c>
      <c r="B757" s="1" t="n">
        <v>45698</v>
      </c>
      <c r="C757" s="1" t="n">
        <v>46002</v>
      </c>
      <c r="D757" t="inlineStr">
        <is>
          <t>SÖDERMANLANDS LÄN</t>
        </is>
      </c>
      <c r="E757" t="inlineStr">
        <is>
          <t>KATRINEHOLM</t>
        </is>
      </c>
      <c r="G757" t="n">
        <v>0.3</v>
      </c>
      <c r="H757" t="n">
        <v>0</v>
      </c>
      <c r="I757" t="n">
        <v>0</v>
      </c>
      <c r="J757" t="n">
        <v>0</v>
      </c>
      <c r="K757" t="n">
        <v>0</v>
      </c>
      <c r="L757" t="n">
        <v>0</v>
      </c>
      <c r="M757" t="n">
        <v>0</v>
      </c>
      <c r="N757" t="n">
        <v>0</v>
      </c>
      <c r="O757" t="n">
        <v>0</v>
      </c>
      <c r="P757" t="n">
        <v>0</v>
      </c>
      <c r="Q757" t="n">
        <v>0</v>
      </c>
      <c r="R757" s="2" t="inlineStr"/>
    </row>
    <row r="758" ht="15" customHeight="1">
      <c r="A758" t="inlineStr">
        <is>
          <t>A 22113-2025</t>
        </is>
      </c>
      <c r="B758" s="1" t="n">
        <v>45785</v>
      </c>
      <c r="C758" s="1" t="n">
        <v>46002</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22119-2025</t>
        </is>
      </c>
      <c r="B759" s="1" t="n">
        <v>45785</v>
      </c>
      <c r="C759" s="1" t="n">
        <v>46002</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24983-2024</t>
        </is>
      </c>
      <c r="B760" s="1" t="n">
        <v>45461</v>
      </c>
      <c r="C760" s="1" t="n">
        <v>46002</v>
      </c>
      <c r="D760" t="inlineStr">
        <is>
          <t>SÖDERMANLANDS LÄN</t>
        </is>
      </c>
      <c r="E760" t="inlineStr">
        <is>
          <t>KATRINEHOLM</t>
        </is>
      </c>
      <c r="G760" t="n">
        <v>2.6</v>
      </c>
      <c r="H760" t="n">
        <v>0</v>
      </c>
      <c r="I760" t="n">
        <v>0</v>
      </c>
      <c r="J760" t="n">
        <v>0</v>
      </c>
      <c r="K760" t="n">
        <v>0</v>
      </c>
      <c r="L760" t="n">
        <v>0</v>
      </c>
      <c r="M760" t="n">
        <v>0</v>
      </c>
      <c r="N760" t="n">
        <v>0</v>
      </c>
      <c r="O760" t="n">
        <v>0</v>
      </c>
      <c r="P760" t="n">
        <v>0</v>
      </c>
      <c r="Q760" t="n">
        <v>0</v>
      </c>
      <c r="R760" s="2" t="inlineStr"/>
    </row>
    <row r="761" ht="15" customHeight="1">
      <c r="A761" t="inlineStr">
        <is>
          <t>A 22336-2025</t>
        </is>
      </c>
      <c r="B761" s="1" t="n">
        <v>45786.44217592593</v>
      </c>
      <c r="C761" s="1" t="n">
        <v>46002</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32943-2024</t>
        </is>
      </c>
      <c r="B762" s="1" t="n">
        <v>45517</v>
      </c>
      <c r="C762" s="1" t="n">
        <v>46002</v>
      </c>
      <c r="D762" t="inlineStr">
        <is>
          <t>SÖDERMANLANDS LÄN</t>
        </is>
      </c>
      <c r="E762" t="inlineStr">
        <is>
          <t>KATRINEHOLM</t>
        </is>
      </c>
      <c r="G762" t="n">
        <v>1.8</v>
      </c>
      <c r="H762" t="n">
        <v>0</v>
      </c>
      <c r="I762" t="n">
        <v>0</v>
      </c>
      <c r="J762" t="n">
        <v>0</v>
      </c>
      <c r="K762" t="n">
        <v>0</v>
      </c>
      <c r="L762" t="n">
        <v>0</v>
      </c>
      <c r="M762" t="n">
        <v>0</v>
      </c>
      <c r="N762" t="n">
        <v>0</v>
      </c>
      <c r="O762" t="n">
        <v>0</v>
      </c>
      <c r="P762" t="n">
        <v>0</v>
      </c>
      <c r="Q762" t="n">
        <v>0</v>
      </c>
      <c r="R762" s="2" t="inlineStr"/>
    </row>
    <row r="763" ht="15" customHeight="1">
      <c r="A763" t="inlineStr">
        <is>
          <t>A 22476-2025</t>
        </is>
      </c>
      <c r="B763" s="1" t="n">
        <v>45786</v>
      </c>
      <c r="C763" s="1" t="n">
        <v>46002</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23838-2021</t>
        </is>
      </c>
      <c r="B764" s="1" t="n">
        <v>44335</v>
      </c>
      <c r="C764" s="1" t="n">
        <v>46002</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c r="A765" t="inlineStr">
        <is>
          <t>A 23050-2025</t>
        </is>
      </c>
      <c r="B765" s="1" t="n">
        <v>45790.69971064815</v>
      </c>
      <c r="C765" s="1" t="n">
        <v>46002</v>
      </c>
      <c r="D765" t="inlineStr">
        <is>
          <t>SÖDERMANLANDS LÄN</t>
        </is>
      </c>
      <c r="E765" t="inlineStr">
        <is>
          <t>KATRINEHOLM</t>
        </is>
      </c>
      <c r="G765" t="n">
        <v>3.7</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2025-12-11T10:27:29Z</dcterms:created>
  <dcterms:modified xmlns:dcterms="http://purl.org/dc/terms/" xmlns:xsi="http://www.w3.org/2001/XMLSchema-instance" xsi:type="dcterms:W3CDTF">2025-12-11T10:27:30Z</dcterms:modified>
</cp:coreProperties>
</file>