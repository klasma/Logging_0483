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45344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45344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45344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45344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45344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45344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45344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45344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45344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45344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45344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45344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45344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45344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45344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50626-2022</t>
        </is>
      </c>
      <c r="B17" s="1" t="n">
        <v>44866</v>
      </c>
      <c r="C17" s="1" t="n">
        <v>45344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Kyrkan</t>
        </is>
      </c>
      <c r="G17" t="n">
        <v>5.7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Blomkålssvamp</t>
        </is>
      </c>
      <c r="S17">
        <f>HYPERLINK("https://klasma.github.io/Logging_0483/artfynd/A 50626-2022 artfynd.xlsx", "A 50626-2022")</f>
        <v/>
      </c>
      <c r="T17">
        <f>HYPERLINK("https://klasma.github.io/Logging_0483/kartor/A 50626-2022 karta.png", "A 50626-2022")</f>
        <v/>
      </c>
      <c r="V17">
        <f>HYPERLINK("https://klasma.github.io/Logging_0483/klagomål/A 50626-2022 FSC-klagomål.docx", "A 50626-2022")</f>
        <v/>
      </c>
      <c r="W17">
        <f>HYPERLINK("https://klasma.github.io/Logging_0483/klagomålsmail/A 50626-2022 FSC-klagomål mail.docx", "A 50626-2022")</f>
        <v/>
      </c>
      <c r="X17">
        <f>HYPERLINK("https://klasma.github.io/Logging_0483/tillsyn/A 50626-2022 tillsynsbegäran.docx", "A 50626-2022")</f>
        <v/>
      </c>
      <c r="Y17">
        <f>HYPERLINK("https://klasma.github.io/Logging_0483/tillsynsmail/A 50626-2022 tillsynsbegäran mail.docx", "A 50626-2022")</f>
        <v/>
      </c>
      <c r="Z17">
        <f>HYPERLINK("https://klasma.github.io/Logging_0483/fåglar/A 50626-2022 prioriterade fågelarter.docx", "A 50626-2022")</f>
        <v/>
      </c>
    </row>
    <row r="18" ht="15" customHeight="1">
      <c r="A18" t="inlineStr">
        <is>
          <t>A 7585-2023</t>
        </is>
      </c>
      <c r="B18" s="1" t="n">
        <v>44972</v>
      </c>
      <c r="C18" s="1" t="n">
        <v>45344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2.8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Fällmossa
Blåsippa</t>
        </is>
      </c>
      <c r="S18">
        <f>HYPERLINK("https://klasma.github.io/Logging_0483/artfynd/A 7585-2023 artfynd.xlsx", "A 7585-2023")</f>
        <v/>
      </c>
      <c r="T18">
        <f>HYPERLINK("https://klasma.github.io/Logging_0483/kartor/A 7585-2023 karta.png", "A 7585-2023")</f>
        <v/>
      </c>
      <c r="V18">
        <f>HYPERLINK("https://klasma.github.io/Logging_0483/klagomål/A 7585-2023 FSC-klagomål.docx", "A 7585-2023")</f>
        <v/>
      </c>
      <c r="W18">
        <f>HYPERLINK("https://klasma.github.io/Logging_0483/klagomålsmail/A 7585-2023 FSC-klagomål mail.docx", "A 7585-2023")</f>
        <v/>
      </c>
      <c r="X18">
        <f>HYPERLINK("https://klasma.github.io/Logging_0483/tillsyn/A 7585-2023 tillsynsbegäran.docx", "A 7585-2023")</f>
        <v/>
      </c>
      <c r="Y18">
        <f>HYPERLINK("https://klasma.github.io/Logging_0483/tillsynsmail/A 7585-2023 tillsynsbegäran mail.docx", "A 7585-2023")</f>
        <v/>
      </c>
    </row>
    <row r="19" ht="15" customHeight="1">
      <c r="A19" t="inlineStr">
        <is>
          <t>A 43429-2023</t>
        </is>
      </c>
      <c r="B19" s="1" t="n">
        <v>45184</v>
      </c>
      <c r="C19" s="1" t="n">
        <v>45344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Övriga Aktiebolag</t>
        </is>
      </c>
      <c r="G19" t="n">
        <v>23.2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Tibast
Blåsippa</t>
        </is>
      </c>
      <c r="S19">
        <f>HYPERLINK("https://klasma.github.io/Logging_0483/artfynd/A 43429-2023 artfynd.xlsx", "A 43429-2023")</f>
        <v/>
      </c>
      <c r="T19">
        <f>HYPERLINK("https://klasma.github.io/Logging_0483/kartor/A 43429-2023 karta.png", "A 43429-2023")</f>
        <v/>
      </c>
      <c r="V19">
        <f>HYPERLINK("https://klasma.github.io/Logging_0483/klagomål/A 43429-2023 FSC-klagomål.docx", "A 43429-2023")</f>
        <v/>
      </c>
      <c r="W19">
        <f>HYPERLINK("https://klasma.github.io/Logging_0483/klagomålsmail/A 43429-2023 FSC-klagomål mail.docx", "A 43429-2023")</f>
        <v/>
      </c>
      <c r="X19">
        <f>HYPERLINK("https://klasma.github.io/Logging_0483/tillsyn/A 43429-2023 tillsynsbegäran.docx", "A 43429-2023")</f>
        <v/>
      </c>
      <c r="Y19">
        <f>HYPERLINK("https://klasma.github.io/Logging_0483/tillsynsmail/A 43429-2023 tillsynsbegäran mail.docx", "A 43429-2023")</f>
        <v/>
      </c>
    </row>
    <row r="20" ht="15" customHeight="1">
      <c r="A20" t="inlineStr">
        <is>
          <t>A 40257-2020</t>
        </is>
      </c>
      <c r="B20" s="1" t="n">
        <v>44068</v>
      </c>
      <c r="C20" s="1" t="n">
        <v>45344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Mindre märgborre
Smal svampklubba</t>
        </is>
      </c>
      <c r="S20">
        <f>HYPERLINK("https://klasma.github.io/Logging_0483/artfynd/A 40257-2020 artfynd.xlsx", "A 40257-2020")</f>
        <v/>
      </c>
      <c r="T20">
        <f>HYPERLINK("https://klasma.github.io/Logging_0483/kartor/A 40257-2020 karta.png", "A 40257-2020")</f>
        <v/>
      </c>
      <c r="U20">
        <f>HYPERLINK("https://klasma.github.io/Logging_0483/knärot/A 40257-2020 karta knärot.png", "A 40257-2020")</f>
        <v/>
      </c>
      <c r="V20">
        <f>HYPERLINK("https://klasma.github.io/Logging_0483/klagomål/A 40257-2020 FSC-klagomål.docx", "A 40257-2020")</f>
        <v/>
      </c>
      <c r="W20">
        <f>HYPERLINK("https://klasma.github.io/Logging_0483/klagomålsmail/A 40257-2020 FSC-klagomål mail.docx", "A 40257-2020")</f>
        <v/>
      </c>
      <c r="X20">
        <f>HYPERLINK("https://klasma.github.io/Logging_0483/tillsyn/A 40257-2020 tillsynsbegäran.docx", "A 40257-2020")</f>
        <v/>
      </c>
      <c r="Y20">
        <f>HYPERLINK("https://klasma.github.io/Logging_0483/tillsynsmail/A 40257-2020 tillsynsbegäran mail.docx", "A 40257-2020")</f>
        <v/>
      </c>
    </row>
    <row r="21" ht="15" customHeight="1">
      <c r="A21" t="inlineStr">
        <is>
          <t>A 65111-2020</t>
        </is>
      </c>
      <c r="B21" s="1" t="n">
        <v>44168</v>
      </c>
      <c r="C21" s="1" t="n">
        <v>45344</v>
      </c>
      <c r="D21" t="inlineStr">
        <is>
          <t>SÖDERMANLANDS LÄN</t>
        </is>
      </c>
      <c r="E21" t="inlineStr">
        <is>
          <t>KATRINEHOLM</t>
        </is>
      </c>
      <c r="G21" t="n">
        <v>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Blåsippa</t>
        </is>
      </c>
      <c r="S21">
        <f>HYPERLINK("https://klasma.github.io/Logging_0483/artfynd/A 65111-2020 artfynd.xlsx", "A 65111-2020")</f>
        <v/>
      </c>
      <c r="T21">
        <f>HYPERLINK("https://klasma.github.io/Logging_0483/kartor/A 65111-2020 karta.png", "A 65111-2020")</f>
        <v/>
      </c>
      <c r="V21">
        <f>HYPERLINK("https://klasma.github.io/Logging_0483/klagomål/A 65111-2020 FSC-klagomål.docx", "A 65111-2020")</f>
        <v/>
      </c>
      <c r="W21">
        <f>HYPERLINK("https://klasma.github.io/Logging_0483/klagomålsmail/A 65111-2020 FSC-klagomål mail.docx", "A 65111-2020")</f>
        <v/>
      </c>
      <c r="X21">
        <f>HYPERLINK("https://klasma.github.io/Logging_0483/tillsyn/A 65111-2020 tillsynsbegäran.docx", "A 65111-2020")</f>
        <v/>
      </c>
      <c r="Y21">
        <f>HYPERLINK("https://klasma.github.io/Logging_0483/tillsynsmail/A 65111-2020 tillsynsbegäran mail.docx", "A 65111-2020")</f>
        <v/>
      </c>
      <c r="Z21">
        <f>HYPERLINK("https://klasma.github.io/Logging_0483/fåglar/A 65111-2020 prioriterade fågelarter.docx", "A 65111-2020")</f>
        <v/>
      </c>
    </row>
    <row r="22" ht="15" customHeight="1">
      <c r="A22" t="inlineStr">
        <is>
          <t>A 56897-2021</t>
        </is>
      </c>
      <c r="B22" s="1" t="n">
        <v>44481</v>
      </c>
      <c r="C22" s="1" t="n">
        <v>45344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Kommuner</t>
        </is>
      </c>
      <c r="G22" t="n">
        <v>9.4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Hökuggla
Blåsippa</t>
        </is>
      </c>
      <c r="S22">
        <f>HYPERLINK("https://klasma.github.io/Logging_0483/artfynd/A 56897-2021 artfynd.xlsx", "A 56897-2021")</f>
        <v/>
      </c>
      <c r="T22">
        <f>HYPERLINK("https://klasma.github.io/Logging_0483/kartor/A 56897-2021 karta.png", "A 56897-2021")</f>
        <v/>
      </c>
      <c r="V22">
        <f>HYPERLINK("https://klasma.github.io/Logging_0483/klagomål/A 56897-2021 FSC-klagomål.docx", "A 56897-2021")</f>
        <v/>
      </c>
      <c r="W22">
        <f>HYPERLINK("https://klasma.github.io/Logging_0483/klagomålsmail/A 56897-2021 FSC-klagomål mail.docx", "A 56897-2021")</f>
        <v/>
      </c>
      <c r="X22">
        <f>HYPERLINK("https://klasma.github.io/Logging_0483/tillsyn/A 56897-2021 tillsynsbegäran.docx", "A 56897-2021")</f>
        <v/>
      </c>
      <c r="Y22">
        <f>HYPERLINK("https://klasma.github.io/Logging_0483/tillsynsmail/A 56897-2021 tillsynsbegäran mail.docx", "A 56897-2021")</f>
        <v/>
      </c>
      <c r="Z22">
        <f>HYPERLINK("https://klasma.github.io/Logging_0483/fåglar/A 56897-2021 prioriterade fågelarter.docx", "A 56897-2021")</f>
        <v/>
      </c>
    </row>
    <row r="23" ht="15" customHeight="1">
      <c r="A23" t="inlineStr">
        <is>
          <t>A 61384-2021</t>
        </is>
      </c>
      <c r="B23" s="1" t="n">
        <v>44500</v>
      </c>
      <c r="C23" s="1" t="n">
        <v>45344</v>
      </c>
      <c r="D23" t="inlineStr">
        <is>
          <t>SÖDERMANLANDS LÄN</t>
        </is>
      </c>
      <c r="E23" t="inlineStr">
        <is>
          <t>KATRINEHOLM</t>
        </is>
      </c>
      <c r="G23" t="n">
        <v>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Kungsspindling</t>
        </is>
      </c>
      <c r="S23">
        <f>HYPERLINK("https://klasma.github.io/Logging_0483/artfynd/A 61384-2021 artfynd.xlsx", "A 61384-2021")</f>
        <v/>
      </c>
      <c r="T23">
        <f>HYPERLINK("https://klasma.github.io/Logging_0483/kartor/A 61384-2021 karta.png", "A 61384-2021")</f>
        <v/>
      </c>
      <c r="U23">
        <f>HYPERLINK("https://klasma.github.io/Logging_0483/knärot/A 61384-2021 karta knärot.png", "A 61384-2021")</f>
        <v/>
      </c>
      <c r="V23">
        <f>HYPERLINK("https://klasma.github.io/Logging_0483/klagomål/A 61384-2021 FSC-klagomål.docx", "A 61384-2021")</f>
        <v/>
      </c>
      <c r="W23">
        <f>HYPERLINK("https://klasma.github.io/Logging_0483/klagomålsmail/A 61384-2021 FSC-klagomål mail.docx", "A 61384-2021")</f>
        <v/>
      </c>
      <c r="X23">
        <f>HYPERLINK("https://klasma.github.io/Logging_0483/tillsyn/A 61384-2021 tillsynsbegäran.docx", "A 61384-2021")</f>
        <v/>
      </c>
      <c r="Y23">
        <f>HYPERLINK("https://klasma.github.io/Logging_0483/tillsynsmail/A 61384-2021 tillsynsbegäran mail.docx", "A 61384-2021")</f>
        <v/>
      </c>
    </row>
    <row r="24" ht="15" customHeight="1">
      <c r="A24" t="inlineStr">
        <is>
          <t>A 70501-2021</t>
        </is>
      </c>
      <c r="B24" s="1" t="n">
        <v>44536</v>
      </c>
      <c r="C24" s="1" t="n">
        <v>45344</v>
      </c>
      <c r="D24" t="inlineStr">
        <is>
          <t>SÖDERMANLANDS LÄN</t>
        </is>
      </c>
      <c r="E24" t="inlineStr">
        <is>
          <t>KATRINEHOLM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Grovticka</t>
        </is>
      </c>
      <c r="S24">
        <f>HYPERLINK("https://klasma.github.io/Logging_0483/artfynd/A 70501-2021 artfynd.xlsx", "A 70501-2021")</f>
        <v/>
      </c>
      <c r="T24">
        <f>HYPERLINK("https://klasma.github.io/Logging_0483/kartor/A 70501-2021 karta.png", "A 70501-2021")</f>
        <v/>
      </c>
      <c r="V24">
        <f>HYPERLINK("https://klasma.github.io/Logging_0483/klagomål/A 70501-2021 FSC-klagomål.docx", "A 70501-2021")</f>
        <v/>
      </c>
      <c r="W24">
        <f>HYPERLINK("https://klasma.github.io/Logging_0483/klagomålsmail/A 70501-2021 FSC-klagomål mail.docx", "A 70501-2021")</f>
        <v/>
      </c>
      <c r="X24">
        <f>HYPERLINK("https://klasma.github.io/Logging_0483/tillsyn/A 70501-2021 tillsynsbegäran.docx", "A 70501-2021")</f>
        <v/>
      </c>
      <c r="Y24">
        <f>HYPERLINK("https://klasma.github.io/Logging_0483/tillsynsmail/A 70501-2021 tillsynsbegäran mail.docx", "A 70501-2021")</f>
        <v/>
      </c>
    </row>
    <row r="25" ht="15" customHeight="1">
      <c r="A25" t="inlineStr">
        <is>
          <t>A 37537-2022</t>
        </is>
      </c>
      <c r="B25" s="1" t="n">
        <v>44809</v>
      </c>
      <c r="C25" s="1" t="n">
        <v>45344</v>
      </c>
      <c r="D25" t="inlineStr">
        <is>
          <t>SÖDERMANLANDS LÄN</t>
        </is>
      </c>
      <c r="E25" t="inlineStr">
        <is>
          <t>KATRINEHOLM</t>
        </is>
      </c>
      <c r="G25" t="n">
        <v>1.4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Myskmadra
Svart trolldruva</t>
        </is>
      </c>
      <c r="S25">
        <f>HYPERLINK("https://klasma.github.io/Logging_0483/artfynd/A 37537-2022 artfynd.xlsx", "A 37537-2022")</f>
        <v/>
      </c>
      <c r="T25">
        <f>HYPERLINK("https://klasma.github.io/Logging_0483/kartor/A 37537-2022 karta.png", "A 37537-2022")</f>
        <v/>
      </c>
      <c r="V25">
        <f>HYPERLINK("https://klasma.github.io/Logging_0483/klagomål/A 37537-2022 FSC-klagomål.docx", "A 37537-2022")</f>
        <v/>
      </c>
      <c r="W25">
        <f>HYPERLINK("https://klasma.github.io/Logging_0483/klagomålsmail/A 37537-2022 FSC-klagomål mail.docx", "A 37537-2022")</f>
        <v/>
      </c>
      <c r="X25">
        <f>HYPERLINK("https://klasma.github.io/Logging_0483/tillsyn/A 37537-2022 tillsynsbegäran.docx", "A 37537-2022")</f>
        <v/>
      </c>
      <c r="Y25">
        <f>HYPERLINK("https://klasma.github.io/Logging_0483/tillsynsmail/A 37537-2022 tillsynsbegäran mail.docx", "A 37537-2022")</f>
        <v/>
      </c>
    </row>
    <row r="26" ht="15" customHeight="1">
      <c r="A26" t="inlineStr">
        <is>
          <t>A 1270-2023</t>
        </is>
      </c>
      <c r="B26" s="1" t="n">
        <v>44936</v>
      </c>
      <c r="C26" s="1" t="n">
        <v>45344</v>
      </c>
      <c r="D26" t="inlineStr">
        <is>
          <t>SÖDERMANLANDS LÄN</t>
        </is>
      </c>
      <c r="E26" t="inlineStr">
        <is>
          <t>KATRINEHOLM</t>
        </is>
      </c>
      <c r="G26" t="n">
        <v>5.9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Grönfink
Mattlummer</t>
        </is>
      </c>
      <c r="S26">
        <f>HYPERLINK("https://klasma.github.io/Logging_0483/artfynd/A 1270-2023 artfynd.xlsx", "A 1270-2023")</f>
        <v/>
      </c>
      <c r="T26">
        <f>HYPERLINK("https://klasma.github.io/Logging_0483/kartor/A 1270-2023 karta.png", "A 1270-2023")</f>
        <v/>
      </c>
      <c r="V26">
        <f>HYPERLINK("https://klasma.github.io/Logging_0483/klagomål/A 1270-2023 FSC-klagomål.docx", "A 1270-2023")</f>
        <v/>
      </c>
      <c r="W26">
        <f>HYPERLINK("https://klasma.github.io/Logging_0483/klagomålsmail/A 1270-2023 FSC-klagomål mail.docx", "A 1270-2023")</f>
        <v/>
      </c>
      <c r="X26">
        <f>HYPERLINK("https://klasma.github.io/Logging_0483/tillsyn/A 1270-2023 tillsynsbegäran.docx", "A 1270-2023")</f>
        <v/>
      </c>
      <c r="Y26">
        <f>HYPERLINK("https://klasma.github.io/Logging_0483/tillsynsmail/A 1270-2023 tillsynsbegäran mail.docx", "A 1270-2023")</f>
        <v/>
      </c>
    </row>
    <row r="27" ht="15" customHeight="1">
      <c r="A27" t="inlineStr">
        <is>
          <t>A 37383-2023</t>
        </is>
      </c>
      <c r="B27" s="1" t="n">
        <v>45155</v>
      </c>
      <c r="C27" s="1" t="n">
        <v>45344</v>
      </c>
      <c r="D27" t="inlineStr">
        <is>
          <t>SÖDERMANLANDS LÄN</t>
        </is>
      </c>
      <c r="E27" t="inlineStr">
        <is>
          <t>KATRINEHOLM</t>
        </is>
      </c>
      <c r="G27" t="n">
        <v>10.1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HYPERLINK("https://klasma.github.io/Logging_0483/artfynd/A 37383-2023 artfynd.xlsx", "A 37383-2023")</f>
        <v/>
      </c>
      <c r="T27">
        <f>HYPERLINK("https://klasma.github.io/Logging_0483/kartor/A 37383-2023 karta.png", "A 37383-2023")</f>
        <v/>
      </c>
      <c r="V27">
        <f>HYPERLINK("https://klasma.github.io/Logging_0483/klagomål/A 37383-2023 FSC-klagomål.docx", "A 37383-2023")</f>
        <v/>
      </c>
      <c r="W27">
        <f>HYPERLINK("https://klasma.github.io/Logging_0483/klagomålsmail/A 37383-2023 FSC-klagomål mail.docx", "A 37383-2023")</f>
        <v/>
      </c>
      <c r="X27">
        <f>HYPERLINK("https://klasma.github.io/Logging_0483/tillsyn/A 37383-2023 tillsynsbegäran.docx", "A 37383-2023")</f>
        <v/>
      </c>
      <c r="Y27">
        <f>HYPERLINK("https://klasma.github.io/Logging_0483/tillsynsmail/A 37383-2023 tillsynsbegäran mail.docx", "A 37383-2023")</f>
        <v/>
      </c>
    </row>
    <row r="28" ht="15" customHeight="1">
      <c r="A28" t="inlineStr">
        <is>
          <t>A 39893-2023</t>
        </is>
      </c>
      <c r="B28" s="1" t="n">
        <v>45168</v>
      </c>
      <c r="C28" s="1" t="n">
        <v>45344</v>
      </c>
      <c r="D28" t="inlineStr">
        <is>
          <t>SÖDERMANLANDS LÄN</t>
        </is>
      </c>
      <c r="E28" t="inlineStr">
        <is>
          <t>KATRINEHOLM</t>
        </is>
      </c>
      <c r="G28" t="n">
        <v>7.3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HYPERLINK("https://klasma.github.io/Logging_0483/artfynd/A 39893-2023 artfynd.xlsx", "A 39893-2023")</f>
        <v/>
      </c>
      <c r="T28">
        <f>HYPERLINK("https://klasma.github.io/Logging_0483/kartor/A 39893-2023 karta.png", "A 39893-2023")</f>
        <v/>
      </c>
      <c r="V28">
        <f>HYPERLINK("https://klasma.github.io/Logging_0483/klagomål/A 39893-2023 FSC-klagomål.docx", "A 39893-2023")</f>
        <v/>
      </c>
      <c r="W28">
        <f>HYPERLINK("https://klasma.github.io/Logging_0483/klagomålsmail/A 39893-2023 FSC-klagomål mail.docx", "A 39893-2023")</f>
        <v/>
      </c>
      <c r="X28">
        <f>HYPERLINK("https://klasma.github.io/Logging_0483/tillsyn/A 39893-2023 tillsynsbegäran.docx", "A 39893-2023")</f>
        <v/>
      </c>
      <c r="Y28">
        <f>HYPERLINK("https://klasma.github.io/Logging_0483/tillsynsmail/A 39893-2023 tillsynsbegäran mail.docx", "A 39893-2023")</f>
        <v/>
      </c>
    </row>
    <row r="29" ht="15" customHeight="1">
      <c r="A29" t="inlineStr">
        <is>
          <t>A 4392-2024</t>
        </is>
      </c>
      <c r="B29" s="1" t="n">
        <v>45327</v>
      </c>
      <c r="C29" s="1" t="n">
        <v>45344</v>
      </c>
      <c r="D29" t="inlineStr">
        <is>
          <t>SÖDERMANLANDS LÄN</t>
        </is>
      </c>
      <c r="E29" t="inlineStr">
        <is>
          <t>KATRINEHOLM</t>
        </is>
      </c>
      <c r="G29" t="n">
        <v>2.3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HYPERLINK("https://klasma.github.io/Logging_0483/artfynd/A 4392-2024 artfynd.xlsx", "A 4392-2024")</f>
        <v/>
      </c>
      <c r="T29">
        <f>HYPERLINK("https://klasma.github.io/Logging_0483/kartor/A 4392-2024 karta.png", "A 4392-2024")</f>
        <v/>
      </c>
      <c r="V29">
        <f>HYPERLINK("https://klasma.github.io/Logging_0483/klagomål/A 4392-2024 FSC-klagomål.docx", "A 4392-2024")</f>
        <v/>
      </c>
      <c r="W29">
        <f>HYPERLINK("https://klasma.github.io/Logging_0483/klagomålsmail/A 4392-2024 FSC-klagomål mail.docx", "A 4392-2024")</f>
        <v/>
      </c>
      <c r="X29">
        <f>HYPERLINK("https://klasma.github.io/Logging_0483/tillsyn/A 4392-2024 tillsynsbegäran.docx", "A 4392-2024")</f>
        <v/>
      </c>
      <c r="Y29">
        <f>HYPERLINK("https://klasma.github.io/Logging_0483/tillsynsmail/A 4392-2024 tillsynsbegäran mail.docx", "A 4392-2024")</f>
        <v/>
      </c>
      <c r="Z29">
        <f>HYPERLINK("https://klasma.github.io/Logging_0483/fåglar/A 4392-2024 prioriterade fågelarter.docx", "A 4392-2024")</f>
        <v/>
      </c>
    </row>
    <row r="30" ht="15" customHeight="1">
      <c r="A30" t="inlineStr">
        <is>
          <t>A 4518-2024</t>
        </is>
      </c>
      <c r="B30" s="1" t="n">
        <v>45327</v>
      </c>
      <c r="C30" s="1" t="n">
        <v>45344</v>
      </c>
      <c r="D30" t="inlineStr">
        <is>
          <t>SÖDERMANLANDS LÄN</t>
        </is>
      </c>
      <c r="E30" t="inlineStr">
        <is>
          <t>KATRINEHOLM</t>
        </is>
      </c>
      <c r="G30" t="n">
        <v>2.5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4518-2024 artfynd.xlsx", "A 4518-2024")</f>
        <v/>
      </c>
      <c r="T30">
        <f>HYPERLINK("https://klasma.github.io/Logging_0483/kartor/A 4518-2024 karta.png", "A 4518-2024")</f>
        <v/>
      </c>
      <c r="V30">
        <f>HYPERLINK("https://klasma.github.io/Logging_0483/klagomål/A 4518-2024 FSC-klagomål.docx", "A 4518-2024")</f>
        <v/>
      </c>
      <c r="W30">
        <f>HYPERLINK("https://klasma.github.io/Logging_0483/klagomålsmail/A 4518-2024 FSC-klagomål mail.docx", "A 4518-2024")</f>
        <v/>
      </c>
      <c r="X30">
        <f>HYPERLINK("https://klasma.github.io/Logging_0483/tillsyn/A 4518-2024 tillsynsbegäran.docx", "A 4518-2024")</f>
        <v/>
      </c>
      <c r="Y30">
        <f>HYPERLINK("https://klasma.github.io/Logging_0483/tillsynsmail/A 4518-2024 tillsynsbegäran mail.docx", "A 4518-2024")</f>
        <v/>
      </c>
      <c r="Z30">
        <f>HYPERLINK("https://klasma.github.io/Logging_0483/fåglar/A 4518-2024 prioriterade fågelarter.docx", "A 4518-2024")</f>
        <v/>
      </c>
    </row>
    <row r="31" ht="15" customHeight="1">
      <c r="A31" t="inlineStr">
        <is>
          <t>A 51231-2018</t>
        </is>
      </c>
      <c r="B31" s="1" t="n">
        <v>43382</v>
      </c>
      <c r="C31" s="1" t="n">
        <v>45344</v>
      </c>
      <c r="D31" t="inlineStr">
        <is>
          <t>SÖDERMANLANDS LÄN</t>
        </is>
      </c>
      <c r="E31" t="inlineStr">
        <is>
          <t>KATRINEHOLM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HYPERLINK("https://klasma.github.io/Logging_0483/artfynd/A 51231-2018 artfynd.xlsx", "A 51231-2018")</f>
        <v/>
      </c>
      <c r="T31">
        <f>HYPERLINK("https://klasma.github.io/Logging_0483/kartor/A 51231-2018 karta.png", "A 51231-2018")</f>
        <v/>
      </c>
      <c r="V31">
        <f>HYPERLINK("https://klasma.github.io/Logging_0483/klagomål/A 51231-2018 FSC-klagomål.docx", "A 51231-2018")</f>
        <v/>
      </c>
      <c r="W31">
        <f>HYPERLINK("https://klasma.github.io/Logging_0483/klagomålsmail/A 51231-2018 FSC-klagomål mail.docx", "A 51231-2018")</f>
        <v/>
      </c>
      <c r="X31">
        <f>HYPERLINK("https://klasma.github.io/Logging_0483/tillsyn/A 51231-2018 tillsynsbegäran.docx", "A 51231-2018")</f>
        <v/>
      </c>
      <c r="Y31">
        <f>HYPERLINK("https://klasma.github.io/Logging_0483/tillsynsmail/A 51231-2018 tillsynsbegäran mail.docx", "A 51231-2018")</f>
        <v/>
      </c>
    </row>
    <row r="32" ht="15" customHeight="1">
      <c r="A32" t="inlineStr">
        <is>
          <t>A 3499-2019</t>
        </is>
      </c>
      <c r="B32" s="1" t="n">
        <v>43474</v>
      </c>
      <c r="C32" s="1" t="n">
        <v>45344</v>
      </c>
      <c r="D32" t="inlineStr">
        <is>
          <t>SÖDERMANLANDS LÄN</t>
        </is>
      </c>
      <c r="E32" t="inlineStr">
        <is>
          <t>KATRINEHOLM</t>
        </is>
      </c>
      <c r="G32" t="n">
        <v>30.3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HYPERLINK("https://klasma.github.io/Logging_0483/artfynd/A 3499-2019 artfynd.xlsx", "A 3499-2019")</f>
        <v/>
      </c>
      <c r="T32">
        <f>HYPERLINK("https://klasma.github.io/Logging_0483/kartor/A 3499-2019 karta.png", "A 3499-2019")</f>
        <v/>
      </c>
      <c r="V32">
        <f>HYPERLINK("https://klasma.github.io/Logging_0483/klagomål/A 3499-2019 FSC-klagomål.docx", "A 3499-2019")</f>
        <v/>
      </c>
      <c r="W32">
        <f>HYPERLINK("https://klasma.github.io/Logging_0483/klagomålsmail/A 3499-2019 FSC-klagomål mail.docx", "A 3499-2019")</f>
        <v/>
      </c>
      <c r="X32">
        <f>HYPERLINK("https://klasma.github.io/Logging_0483/tillsyn/A 3499-2019 tillsynsbegäran.docx", "A 3499-2019")</f>
        <v/>
      </c>
      <c r="Y32">
        <f>HYPERLINK("https://klasma.github.io/Logging_0483/tillsynsmail/A 3499-2019 tillsynsbegäran mail.docx", "A 3499-2019")</f>
        <v/>
      </c>
    </row>
    <row r="33" ht="15" customHeight="1">
      <c r="A33" t="inlineStr">
        <is>
          <t>A 21540-2019</t>
        </is>
      </c>
      <c r="B33" s="1" t="n">
        <v>43580</v>
      </c>
      <c r="C33" s="1" t="n">
        <v>45344</v>
      </c>
      <c r="D33" t="inlineStr">
        <is>
          <t>SÖDERMANLANDS LÄN</t>
        </is>
      </c>
      <c r="E33" t="inlineStr">
        <is>
          <t>KATRINEHOLM</t>
        </is>
      </c>
      <c r="F33" t="inlineStr">
        <is>
          <t>Kommuner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HYPERLINK("https://klasma.github.io/Logging_0483/artfynd/A 21540-2019 artfynd.xlsx", "A 21540-2019")</f>
        <v/>
      </c>
      <c r="T33">
        <f>HYPERLINK("https://klasma.github.io/Logging_0483/kartor/A 21540-2019 karta.png", "A 21540-2019")</f>
        <v/>
      </c>
      <c r="V33">
        <f>HYPERLINK("https://klasma.github.io/Logging_0483/klagomål/A 21540-2019 FSC-klagomål.docx", "A 21540-2019")</f>
        <v/>
      </c>
      <c r="W33">
        <f>HYPERLINK("https://klasma.github.io/Logging_0483/klagomålsmail/A 21540-2019 FSC-klagomål mail.docx", "A 21540-2019")</f>
        <v/>
      </c>
      <c r="X33">
        <f>HYPERLINK("https://klasma.github.io/Logging_0483/tillsyn/A 21540-2019 tillsynsbegäran.docx", "A 21540-2019")</f>
        <v/>
      </c>
      <c r="Y33">
        <f>HYPERLINK("https://klasma.github.io/Logging_0483/tillsynsmail/A 21540-2019 tillsynsbegäran mail.docx", "A 21540-2019")</f>
        <v/>
      </c>
    </row>
    <row r="34" ht="15" customHeight="1">
      <c r="A34" t="inlineStr">
        <is>
          <t>A 51874-2019</t>
        </is>
      </c>
      <c r="B34" s="1" t="n">
        <v>43741</v>
      </c>
      <c r="C34" s="1" t="n">
        <v>45344</v>
      </c>
      <c r="D34" t="inlineStr">
        <is>
          <t>SÖDERMANLANDS LÄN</t>
        </is>
      </c>
      <c r="E34" t="inlineStr">
        <is>
          <t>KATRINEHOLM</t>
        </is>
      </c>
      <c r="G34" t="n">
        <v>19.9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51874-2019 artfynd.xlsx", "A 51874-2019")</f>
        <v/>
      </c>
      <c r="T34">
        <f>HYPERLINK("https://klasma.github.io/Logging_0483/kartor/A 51874-2019 karta.png", "A 51874-2019")</f>
        <v/>
      </c>
      <c r="V34">
        <f>HYPERLINK("https://klasma.github.io/Logging_0483/klagomål/A 51874-2019 FSC-klagomål.docx", "A 51874-2019")</f>
        <v/>
      </c>
      <c r="W34">
        <f>HYPERLINK("https://klasma.github.io/Logging_0483/klagomålsmail/A 51874-2019 FSC-klagomål mail.docx", "A 51874-2019")</f>
        <v/>
      </c>
      <c r="X34">
        <f>HYPERLINK("https://klasma.github.io/Logging_0483/tillsyn/A 51874-2019 tillsynsbegäran.docx", "A 51874-2019")</f>
        <v/>
      </c>
      <c r="Y34">
        <f>HYPERLINK("https://klasma.github.io/Logging_0483/tillsynsmail/A 51874-2019 tillsynsbegäran mail.docx", "A 51874-2019")</f>
        <v/>
      </c>
    </row>
    <row r="35" ht="15" customHeight="1">
      <c r="A35" t="inlineStr">
        <is>
          <t>A 52557-2019</t>
        </is>
      </c>
      <c r="B35" s="1" t="n">
        <v>43745</v>
      </c>
      <c r="C35" s="1" t="n">
        <v>45344</v>
      </c>
      <c r="D35" t="inlineStr">
        <is>
          <t>SÖDERMANLANDS LÄN</t>
        </is>
      </c>
      <c r="E35" t="inlineStr">
        <is>
          <t>KATRINEHOLM</t>
        </is>
      </c>
      <c r="G35" t="n">
        <v>12.3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HYPERLINK("https://klasma.github.io/Logging_0483/artfynd/A 52557-2019 artfynd.xlsx", "A 52557-2019")</f>
        <v/>
      </c>
      <c r="T35">
        <f>HYPERLINK("https://klasma.github.io/Logging_0483/kartor/A 52557-2019 karta.png", "A 52557-2019")</f>
        <v/>
      </c>
      <c r="V35">
        <f>HYPERLINK("https://klasma.github.io/Logging_0483/klagomål/A 52557-2019 FSC-klagomål.docx", "A 52557-2019")</f>
        <v/>
      </c>
      <c r="W35">
        <f>HYPERLINK("https://klasma.github.io/Logging_0483/klagomålsmail/A 52557-2019 FSC-klagomål mail.docx", "A 52557-2019")</f>
        <v/>
      </c>
      <c r="X35">
        <f>HYPERLINK("https://klasma.github.io/Logging_0483/tillsyn/A 52557-2019 tillsynsbegäran.docx", "A 52557-2019")</f>
        <v/>
      </c>
      <c r="Y35">
        <f>HYPERLINK("https://klasma.github.io/Logging_0483/tillsynsmail/A 52557-2019 tillsynsbegäran mail.docx", "A 52557-2019")</f>
        <v/>
      </c>
    </row>
    <row r="36" ht="15" customHeight="1">
      <c r="A36" t="inlineStr">
        <is>
          <t>A 18283-2020</t>
        </is>
      </c>
      <c r="B36" s="1" t="n">
        <v>43928</v>
      </c>
      <c r="C36" s="1" t="n">
        <v>45344</v>
      </c>
      <c r="D36" t="inlineStr">
        <is>
          <t>SÖDERMANLANDS LÄN</t>
        </is>
      </c>
      <c r="E36" t="inlineStr">
        <is>
          <t>KATRINEHOLM</t>
        </is>
      </c>
      <c r="F36" t="inlineStr">
        <is>
          <t>Kommuner</t>
        </is>
      </c>
      <c r="G36" t="n">
        <v>8.1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HYPERLINK("https://klasma.github.io/Logging_0483/artfynd/A 18283-2020 artfynd.xlsx", "A 18283-2020")</f>
        <v/>
      </c>
      <c r="T36">
        <f>HYPERLINK("https://klasma.github.io/Logging_0483/kartor/A 18283-2020 karta.png", "A 18283-2020")</f>
        <v/>
      </c>
      <c r="U36">
        <f>HYPERLINK("https://klasma.github.io/Logging_0483/knärot/A 18283-2020 karta knärot.png", "A 18283-2020")</f>
        <v/>
      </c>
      <c r="V36">
        <f>HYPERLINK("https://klasma.github.io/Logging_0483/klagomål/A 18283-2020 FSC-klagomål.docx", "A 18283-2020")</f>
        <v/>
      </c>
      <c r="W36">
        <f>HYPERLINK("https://klasma.github.io/Logging_0483/klagomålsmail/A 18283-2020 FSC-klagomål mail.docx", "A 18283-2020")</f>
        <v/>
      </c>
      <c r="X36">
        <f>HYPERLINK("https://klasma.github.io/Logging_0483/tillsyn/A 18283-2020 tillsynsbegäran.docx", "A 18283-2020")</f>
        <v/>
      </c>
      <c r="Y36">
        <f>HYPERLINK("https://klasma.github.io/Logging_0483/tillsynsmail/A 18283-2020 tillsynsbegäran mail.docx", "A 18283-2020")</f>
        <v/>
      </c>
    </row>
    <row r="37" ht="15" customHeight="1">
      <c r="A37" t="inlineStr">
        <is>
          <t>A 21808-2020</t>
        </is>
      </c>
      <c r="B37" s="1" t="n">
        <v>43958</v>
      </c>
      <c r="C37" s="1" t="n">
        <v>45344</v>
      </c>
      <c r="D37" t="inlineStr">
        <is>
          <t>SÖDERMANLANDS LÄN</t>
        </is>
      </c>
      <c r="E37" t="inlineStr">
        <is>
          <t>KATRINEHOLM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HYPERLINK("https://klasma.github.io/Logging_0483/artfynd/A 21808-2020 artfynd.xlsx", "A 21808-2020")</f>
        <v/>
      </c>
      <c r="T37">
        <f>HYPERLINK("https://klasma.github.io/Logging_0483/kartor/A 21808-2020 karta.png", "A 21808-2020")</f>
        <v/>
      </c>
      <c r="V37">
        <f>HYPERLINK("https://klasma.github.io/Logging_0483/klagomål/A 21808-2020 FSC-klagomål.docx", "A 21808-2020")</f>
        <v/>
      </c>
      <c r="W37">
        <f>HYPERLINK("https://klasma.github.io/Logging_0483/klagomålsmail/A 21808-2020 FSC-klagomål mail.docx", "A 21808-2020")</f>
        <v/>
      </c>
      <c r="X37">
        <f>HYPERLINK("https://klasma.github.io/Logging_0483/tillsyn/A 21808-2020 tillsynsbegäran.docx", "A 21808-2020")</f>
        <v/>
      </c>
      <c r="Y37">
        <f>HYPERLINK("https://klasma.github.io/Logging_0483/tillsynsmail/A 21808-2020 tillsynsbegäran mail.docx", "A 21808-2020")</f>
        <v/>
      </c>
    </row>
    <row r="38" ht="15" customHeight="1">
      <c r="A38" t="inlineStr">
        <is>
          <t>A 47989-2020</t>
        </is>
      </c>
      <c r="B38" s="1" t="n">
        <v>44099</v>
      </c>
      <c r="C38" s="1" t="n">
        <v>45344</v>
      </c>
      <c r="D38" t="inlineStr">
        <is>
          <t>SÖDERMANLANDS LÄN</t>
        </is>
      </c>
      <c r="E38" t="inlineStr">
        <is>
          <t>KATRINEHOLM</t>
        </is>
      </c>
      <c r="F38" t="inlineStr">
        <is>
          <t>Övriga statliga verk och myndigheter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HYPERLINK("https://klasma.github.io/Logging_0483/artfynd/A 47989-2020 artfynd.xlsx", "A 47989-2020")</f>
        <v/>
      </c>
      <c r="T38">
        <f>HYPERLINK("https://klasma.github.io/Logging_0483/kartor/A 47989-2020 karta.png", "A 47989-2020")</f>
        <v/>
      </c>
      <c r="V38">
        <f>HYPERLINK("https://klasma.github.io/Logging_0483/klagomål/A 47989-2020 FSC-klagomål.docx", "A 47989-2020")</f>
        <v/>
      </c>
      <c r="W38">
        <f>HYPERLINK("https://klasma.github.io/Logging_0483/klagomålsmail/A 47989-2020 FSC-klagomål mail.docx", "A 47989-2020")</f>
        <v/>
      </c>
      <c r="X38">
        <f>HYPERLINK("https://klasma.github.io/Logging_0483/tillsyn/A 47989-2020 tillsynsbegäran.docx", "A 47989-2020")</f>
        <v/>
      </c>
      <c r="Y38">
        <f>HYPERLINK("https://klasma.github.io/Logging_0483/tillsynsmail/A 47989-2020 tillsynsbegäran mail.docx", "A 47989-2020")</f>
        <v/>
      </c>
    </row>
    <row r="39" ht="15" customHeight="1">
      <c r="A39" t="inlineStr">
        <is>
          <t>A 64626-2020</t>
        </is>
      </c>
      <c r="B39" s="1" t="n">
        <v>44169</v>
      </c>
      <c r="C39" s="1" t="n">
        <v>45344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Holmen skog AB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Hökuggla</t>
        </is>
      </c>
      <c r="S39">
        <f>HYPERLINK("https://klasma.github.io/Logging_0483/artfynd/A 64626-2020 artfynd.xlsx", "A 64626-2020")</f>
        <v/>
      </c>
      <c r="T39">
        <f>HYPERLINK("https://klasma.github.io/Logging_0483/kartor/A 64626-2020 karta.png", "A 64626-2020")</f>
        <v/>
      </c>
      <c r="V39">
        <f>HYPERLINK("https://klasma.github.io/Logging_0483/klagomål/A 64626-2020 FSC-klagomål.docx", "A 64626-2020")</f>
        <v/>
      </c>
      <c r="W39">
        <f>HYPERLINK("https://klasma.github.io/Logging_0483/klagomålsmail/A 64626-2020 FSC-klagomål mail.docx", "A 64626-2020")</f>
        <v/>
      </c>
      <c r="X39">
        <f>HYPERLINK("https://klasma.github.io/Logging_0483/tillsyn/A 64626-2020 tillsynsbegäran.docx", "A 64626-2020")</f>
        <v/>
      </c>
      <c r="Y39">
        <f>HYPERLINK("https://klasma.github.io/Logging_0483/tillsynsmail/A 64626-2020 tillsynsbegäran mail.docx", "A 64626-2020")</f>
        <v/>
      </c>
      <c r="Z39">
        <f>HYPERLINK("https://klasma.github.io/Logging_0483/fåglar/A 64626-2020 prioriterade fågelarter.docx", "A 64626-2020")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45344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45344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45344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45344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45344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45344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45344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45344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45344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45344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45344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45344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45344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45344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45344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45344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45344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45344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45344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45344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45344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45344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45344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45344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45344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45344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45344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45344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45344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45344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45344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45344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45344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45344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45344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45344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45344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45344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45344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45344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45344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45344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45344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45344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45344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45344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45344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45344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45344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45344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45344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45344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45344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45344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45344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45344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45344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45344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45344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45344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45344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45344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45344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45344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45344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45344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45344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45344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45344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45344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45344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45344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45344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45344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45344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45344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45344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45344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45344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45344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45344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45344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45344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45344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45344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45344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45344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45344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45344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45344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45344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45344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45344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45344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45344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45344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45344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45344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45344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45344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45344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45344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45344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45344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45344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45344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45344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45344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45344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45344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45344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45344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45344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45344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45344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45344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45344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45344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45344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45344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45344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45344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45344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45344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45344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45344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45344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45344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45344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45344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45344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45344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45344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45344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45344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45344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45344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45344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45344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45344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45344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45344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45344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45344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45344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45344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45344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45344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45344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45344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45344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45344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45344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45344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45344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45344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45344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45344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45344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45344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45344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45344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45344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45344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45344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45344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45344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45344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45344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45344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45344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45344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45344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45344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45344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45344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45344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45344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45344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45344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45344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45344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45344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45344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45344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45344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45344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45344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45344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45344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45344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45344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45344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45344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45344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45344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45344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45344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45344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45344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45344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45344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45344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45344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45344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45344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45344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45344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45344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45344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45344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45344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45344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45344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45344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45344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45344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45344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45344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45344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45344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45344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45344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45344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45344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45344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45344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45344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45344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45344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45344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45344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45344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45344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45344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45344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45344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45344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45344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45344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45344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45344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45344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45344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45344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45344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45344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45344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45344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45344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45344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45344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45344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45344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45344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45344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45344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45344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45344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45344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45344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45344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45344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45344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45344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45344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45344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45344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45344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45344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45344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45344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45344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45344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45344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45344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45344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45344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45344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45344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45344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45344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45344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45344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45344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45344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45344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45344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45344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45344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45344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45344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45344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45344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45344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45344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45344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45344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45344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45344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45344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45344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45344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45344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45344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45344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45344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45344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45344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45344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45344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45344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45344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45344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45344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45344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45344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45344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45344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45344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45344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45344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45344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45344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45344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45344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45344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45344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45344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45344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45344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45344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45344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45344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45344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45344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45344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45344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45344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45344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45344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45344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45344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45344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45344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45344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45344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45344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45344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45344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45344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45344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45344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45344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45344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45344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45344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45344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45344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45344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45344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45344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45344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45344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45344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45344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45344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45344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45344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45344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45344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45344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45344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45344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45344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45344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45344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45344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45344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45344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45344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45344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45344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45344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45344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45344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45344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45344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45344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45344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45344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45344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45344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45344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45344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45344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45344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45344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45344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45344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45344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45344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45344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45344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45344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45344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45344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45344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45344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45344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45344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45344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45344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45344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45344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45344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45344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45344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45344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45344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45344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45344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45344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45344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45344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45344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45344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45344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45344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45344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45344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45344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45344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45344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45344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45344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45344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45344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45344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45344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45344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45344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45344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45344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45344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45344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45344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45344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45344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45344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45344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45344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45344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45344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45344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45344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45344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45344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45344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45344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45344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45344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45344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45344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45344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45344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45344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45344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45344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45344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45344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45344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45344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45344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45344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45344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45344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45344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45344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45344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45344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45344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45344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45344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45344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45344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45344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45344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45344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45344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45344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45344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45344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45344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45344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45344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45344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45344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45344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45344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45344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45344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45344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45344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45344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45344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45344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45344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45344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45344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45344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45344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45344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45344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45344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45344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45344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45344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45344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45344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45344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45344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45344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45344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45344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45344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45344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45344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45344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45344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45344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45344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45344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45344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45344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45344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45344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45344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45344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45344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45344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45344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45344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45344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45344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45344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45344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45344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45344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45344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45344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45344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45344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45344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45344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45344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45344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45344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45344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45344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45344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45344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45344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45344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45344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45344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45344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45344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45344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45344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45344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45344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45344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45344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45344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45344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45344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45344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45344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45344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45344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45344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45344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45344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45344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45344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45344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45344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45344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45344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45344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45344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45344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45344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45344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45344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45344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45344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45344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45344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45344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45344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45344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45344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45344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45344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45344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45344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45344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45344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45344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45344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45344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45344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45344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45344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45344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45344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45344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45344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45344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45344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45344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45344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45344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45344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45344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45344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45344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45344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45344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45344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45344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45344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45344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45344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45344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45344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45344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45344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45344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45344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45344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45344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45344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45344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45344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45344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45344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45344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45344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45344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45344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45344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45344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45344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45344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45344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45344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45344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45344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45344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45344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45344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45344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45344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45344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45344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45344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45344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45344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45344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45344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45344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45344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45344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45344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45344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45344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45344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45344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45344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45344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45344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45344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45344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45344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45344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45344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45344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45344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45344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45344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45344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45344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45344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45344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45344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45344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45344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45344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45344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45344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45344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45344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45344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45344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45344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45344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45344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45344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45344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45344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45344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45344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45344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45344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45344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45344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45344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45344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45344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45344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45344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45344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45344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45344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45344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45344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45344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45344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45344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45344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45344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45344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45344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45344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45344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45344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45344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45344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45344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45344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45344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45344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45344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45344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45344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45344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45344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45344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45344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45344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45344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45344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45344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45344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45344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45344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45344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45344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45344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45344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45344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45344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45344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45344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45344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45344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45344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45344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45344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45344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45344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45344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45344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45344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45344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45344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45344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45344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45344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45344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45344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45344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45344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45344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45344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45344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45344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45344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45344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45344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45344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45344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45344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45344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45344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45344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45344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45344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45344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45344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45344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45344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45344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45344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45344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45344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45344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45344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45344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45344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45344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45344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45344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45344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45344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45344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45344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45344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45344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45344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45344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45344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45344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45344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45344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45344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45344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45344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45344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45344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45344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45344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45344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45344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45344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45344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45344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45344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45344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45344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45344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45344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45344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45344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45344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45344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45344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45344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45344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45344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45344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45344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45344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45344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45344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45344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45344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45344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45344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45344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45344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45344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45344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45344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45344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45344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45344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45344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45344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45344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45344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45344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45344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45344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45344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45344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45344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45344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45344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45344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45344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45344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45344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45344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45344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45344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45344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45344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45344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45344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45344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45344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45344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45344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45344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45344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45344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45344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45344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45344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45344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45344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45344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45344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45344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45344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45344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45344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45344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45344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45344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45344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45344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45344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45344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45344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45344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45344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45344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45344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45344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45344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45344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45344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45344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45344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45344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45344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45344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45344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45344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45344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45344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45344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45344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45344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45344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45344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45344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45344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45344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45344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45344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45344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45344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45344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45344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45344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45344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45344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45344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45344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45344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45344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45344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45344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45344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45344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45344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45344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45344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45344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45344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45344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45344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45344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45344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45344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45344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45344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45344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45344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45344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45344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45344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45344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45344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45344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45344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45344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45344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45344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45344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45344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45344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45344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45344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45344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45344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45344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45344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45344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45344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45344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45344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45344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45344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45344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45344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45344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45344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45344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45344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45344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45344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45344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45344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45344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45344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45344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45344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45344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45344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45344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45344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45344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45344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45344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45344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45344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45344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45344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45344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45344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45344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45344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45344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45344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45344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45344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45344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45344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45344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45344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45344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45344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45344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45344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45344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45344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45344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45344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45344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45344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45344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45344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45344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45344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45344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45344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45344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45344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45344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45344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45344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45344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45344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45344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45344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45344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45344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45344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45344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45344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45344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45344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45344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45344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45344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45344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45344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45344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45344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45344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45344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45344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45344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45344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45344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45344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45344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45344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45344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45344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45344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45344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45344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45344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45344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45344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45344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45344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45344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45344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45344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45344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45344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45344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45344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45344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45344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45344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45344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45344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45344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45344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45344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45344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45344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45344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45344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45344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45344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45344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45344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45344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45344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45344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45344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45344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45344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45344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45344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45344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45344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45344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45344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45344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45344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45344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45344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45344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45344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45344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45344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45344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45344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45344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45344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45344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45344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45344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45344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45344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45344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45344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45344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45344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45344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45344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45344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45344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45344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45344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45344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45344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45344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45344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45344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45344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45344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45344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45344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45344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45344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45344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45344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45344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45344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45344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45344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45344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45344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45344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45344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45344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45344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45344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45344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45344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45344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45344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45344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3115-2024</t>
        </is>
      </c>
      <c r="B1226" s="1" t="n">
        <v>45316</v>
      </c>
      <c r="C1226" s="1" t="n">
        <v>45344</v>
      </c>
      <c r="D1226" t="inlineStr">
        <is>
          <t>SÖDERMANLANDS LÄN</t>
        </is>
      </c>
      <c r="E1226" t="inlineStr">
        <is>
          <t>KATRINEHOLM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3123-2024</t>
        </is>
      </c>
      <c r="B1227" s="1" t="n">
        <v>45316</v>
      </c>
      <c r="C1227" s="1" t="n">
        <v>45344</v>
      </c>
      <c r="D1227" t="inlineStr">
        <is>
          <t>SÖDERMANLANDS LÄN</t>
        </is>
      </c>
      <c r="E1227" t="inlineStr">
        <is>
          <t>KATRINEHOLM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3125-2024</t>
        </is>
      </c>
      <c r="B1228" s="1" t="n">
        <v>45316</v>
      </c>
      <c r="C1228" s="1" t="n">
        <v>45344</v>
      </c>
      <c r="D1228" t="inlineStr">
        <is>
          <t>SÖDERMANLANDS LÄN</t>
        </is>
      </c>
      <c r="E1228" t="inlineStr">
        <is>
          <t>KATRINEHOLM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45344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3980-2024</t>
        </is>
      </c>
      <c r="B1230" s="1" t="n">
        <v>45322</v>
      </c>
      <c r="C1230" s="1" t="n">
        <v>45344</v>
      </c>
      <c r="D1230" t="inlineStr">
        <is>
          <t>SÖDERMANLANDS LÄN</t>
        </is>
      </c>
      <c r="E1230" t="inlineStr">
        <is>
          <t>KATRINEHOLM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3982-2024</t>
        </is>
      </c>
      <c r="B1231" s="1" t="n">
        <v>45322</v>
      </c>
      <c r="C1231" s="1" t="n">
        <v>45344</v>
      </c>
      <c r="D1231" t="inlineStr">
        <is>
          <t>SÖDERMANLANDS LÄN</t>
        </is>
      </c>
      <c r="E1231" t="inlineStr">
        <is>
          <t>KATRINEHOLM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3986-2024</t>
        </is>
      </c>
      <c r="B1232" s="1" t="n">
        <v>45322</v>
      </c>
      <c r="C1232" s="1" t="n">
        <v>45344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45344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4650-2024</t>
        </is>
      </c>
      <c r="B1234" s="1" t="n">
        <v>45328</v>
      </c>
      <c r="C1234" s="1" t="n">
        <v>45344</v>
      </c>
      <c r="D1234" t="inlineStr">
        <is>
          <t>SÖDERMANLANDS LÄN</t>
        </is>
      </c>
      <c r="E1234" t="inlineStr">
        <is>
          <t>KATRINEHOLM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4645-2024</t>
        </is>
      </c>
      <c r="B1235" s="1" t="n">
        <v>45328</v>
      </c>
      <c r="C1235" s="1" t="n">
        <v>45344</v>
      </c>
      <c r="D1235" t="inlineStr">
        <is>
          <t>SÖDERMANLANDS LÄN</t>
        </is>
      </c>
      <c r="E1235" t="inlineStr">
        <is>
          <t>KATRINEHOLM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4655-2024</t>
        </is>
      </c>
      <c r="B1236" s="1" t="n">
        <v>45328</v>
      </c>
      <c r="C1236" s="1" t="n">
        <v>45344</v>
      </c>
      <c r="D1236" t="inlineStr">
        <is>
          <t>SÖDERMANLANDS LÄN</t>
        </is>
      </c>
      <c r="E1236" t="inlineStr">
        <is>
          <t>KATRINEHOLM</t>
        </is>
      </c>
      <c r="G1236" t="n">
        <v>17.7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4667-2024</t>
        </is>
      </c>
      <c r="B1237" s="1" t="n">
        <v>45328</v>
      </c>
      <c r="C1237" s="1" t="n">
        <v>45344</v>
      </c>
      <c r="D1237" t="inlineStr">
        <is>
          <t>SÖDERMANLANDS LÄN</t>
        </is>
      </c>
      <c r="E1237" t="inlineStr">
        <is>
          <t>KATRINEHOLM</t>
        </is>
      </c>
      <c r="F1237" t="inlineStr">
        <is>
          <t>Övriga Aktiebolag</t>
        </is>
      </c>
      <c r="G1237" t="n">
        <v>10.2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4652-2024</t>
        </is>
      </c>
      <c r="B1238" s="1" t="n">
        <v>45328</v>
      </c>
      <c r="C1238" s="1" t="n">
        <v>45344</v>
      </c>
      <c r="D1238" t="inlineStr">
        <is>
          <t>SÖDERMANLANDS LÄN</t>
        </is>
      </c>
      <c r="E1238" t="inlineStr">
        <is>
          <t>KATRINEHOLM</t>
        </is>
      </c>
      <c r="F1238" t="inlineStr">
        <is>
          <t>Övriga Aktiebolag</t>
        </is>
      </c>
      <c r="G1238" t="n">
        <v>6.1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4967-2024</t>
        </is>
      </c>
      <c r="B1239" s="1" t="n">
        <v>45329</v>
      </c>
      <c r="C1239" s="1" t="n">
        <v>45344</v>
      </c>
      <c r="D1239" t="inlineStr">
        <is>
          <t>SÖDERMANLANDS LÄN</t>
        </is>
      </c>
      <c r="E1239" t="inlineStr">
        <is>
          <t>KATRINEHOLM</t>
        </is>
      </c>
      <c r="G1239" t="n">
        <v>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5029-2024</t>
        </is>
      </c>
      <c r="B1240" s="1" t="n">
        <v>45329</v>
      </c>
      <c r="C1240" s="1" t="n">
        <v>45344</v>
      </c>
      <c r="D1240" t="inlineStr">
        <is>
          <t>SÖDERMANLANDS LÄN</t>
        </is>
      </c>
      <c r="E1240" t="inlineStr">
        <is>
          <t>KATRINEHOLM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4872-2024</t>
        </is>
      </c>
      <c r="B1241" s="1" t="n">
        <v>45329</v>
      </c>
      <c r="C1241" s="1" t="n">
        <v>45344</v>
      </c>
      <c r="D1241" t="inlineStr">
        <is>
          <t>SÖDERMANLANDS LÄN</t>
        </is>
      </c>
      <c r="E1241" t="inlineStr">
        <is>
          <t>KATRINEHOLM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4958-2024</t>
        </is>
      </c>
      <c r="B1242" s="1" t="n">
        <v>45329</v>
      </c>
      <c r="C1242" s="1" t="n">
        <v>45344</v>
      </c>
      <c r="D1242" t="inlineStr">
        <is>
          <t>SÖDERMANLANDS LÄN</t>
        </is>
      </c>
      <c r="E1242" t="inlineStr">
        <is>
          <t>KATRINEHOLM</t>
        </is>
      </c>
      <c r="G1242" t="n">
        <v>10.1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4987-2024</t>
        </is>
      </c>
      <c r="B1243" s="1" t="n">
        <v>45329</v>
      </c>
      <c r="C1243" s="1" t="n">
        <v>45344</v>
      </c>
      <c r="D1243" t="inlineStr">
        <is>
          <t>SÖDERMANLANDS LÄN</t>
        </is>
      </c>
      <c r="E1243" t="inlineStr">
        <is>
          <t>KATRINEHOLM</t>
        </is>
      </c>
      <c r="F1243" t="inlineStr">
        <is>
          <t>Allmännings- och besparingsskogar</t>
        </is>
      </c>
      <c r="G1243" t="n">
        <v>4.3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5032-2024</t>
        </is>
      </c>
      <c r="B1244" s="1" t="n">
        <v>45329</v>
      </c>
      <c r="C1244" s="1" t="n">
        <v>45344</v>
      </c>
      <c r="D1244" t="inlineStr">
        <is>
          <t>SÖDERMANLANDS LÄN</t>
        </is>
      </c>
      <c r="E1244" t="inlineStr">
        <is>
          <t>KATRINEHOLM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5493-2024</t>
        </is>
      </c>
      <c r="B1245" s="1" t="n">
        <v>45334</v>
      </c>
      <c r="C1245" s="1" t="n">
        <v>45344</v>
      </c>
      <c r="D1245" t="inlineStr">
        <is>
          <t>SÖDERMANLANDS LÄN</t>
        </is>
      </c>
      <c r="E1245" t="inlineStr">
        <is>
          <t>KATRINEHOLM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5641-2024</t>
        </is>
      </c>
      <c r="B1246" s="1" t="n">
        <v>45334</v>
      </c>
      <c r="C1246" s="1" t="n">
        <v>45344</v>
      </c>
      <c r="D1246" t="inlineStr">
        <is>
          <t>SÖDERMANLANDS LÄN</t>
        </is>
      </c>
      <c r="E1246" t="inlineStr">
        <is>
          <t>KATRINEHOLM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>
      <c r="A1247" t="inlineStr">
        <is>
          <t>A 6298-2024</t>
        </is>
      </c>
      <c r="B1247" s="1" t="n">
        <v>45338</v>
      </c>
      <c r="C1247" s="1" t="n">
        <v>45344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2024-02-22T06:47:07Z</dcterms:created>
  <dcterms:modified xmlns:dcterms="http://purl.org/dc/terms/" xmlns:xsi="http://www.w3.org/2001/XMLSchema-instance" xsi:type="dcterms:W3CDTF">2024-02-22T06:47:08Z</dcterms:modified>
</cp:coreProperties>
</file>