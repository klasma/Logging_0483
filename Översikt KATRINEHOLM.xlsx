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45825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45825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45825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45825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45825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45825</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45825</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45825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45825</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45825</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45825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45825</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45825</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45825</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45825</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45825</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45825</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45825</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45825</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45825</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45825</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45825</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45825</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45825</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45825</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45825</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45825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45825</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45825</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45825</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45825</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45825</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45825</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45825</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45825</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45825</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45825</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45825</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45825</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45825</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45825</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45825</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45825</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45825</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45825</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45825</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45825</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45825</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45825</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45825</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45825</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45825</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45825</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45825</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45825</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45825</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45825</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45825</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45825</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45825</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45825</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45825</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45825</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45825</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45825</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45825</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45825</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45825</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45825</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45825</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45825</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45825</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45825</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45825</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45825</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45825</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45825</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45825</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45825</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45825</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45825</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45825</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45825</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45825</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45825</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44632-2023</t>
        </is>
      </c>
      <c r="B88" s="1" t="n">
        <v>45184</v>
      </c>
      <c r="C88" s="1" t="n">
        <v>45825</v>
      </c>
      <c r="D88" t="inlineStr">
        <is>
          <t>SÖDERMANLANDS LÄN</t>
        </is>
      </c>
      <c r="E88" t="inlineStr">
        <is>
          <t>KATRINEHOLM</t>
        </is>
      </c>
      <c r="G88" t="n">
        <v>6.2</v>
      </c>
      <c r="H88" t="n">
        <v>0</v>
      </c>
      <c r="I88" t="n">
        <v>0</v>
      </c>
      <c r="J88" t="n">
        <v>1</v>
      </c>
      <c r="K88" t="n">
        <v>0</v>
      </c>
      <c r="L88" t="n">
        <v>0</v>
      </c>
      <c r="M88" t="n">
        <v>0</v>
      </c>
      <c r="N88" t="n">
        <v>0</v>
      </c>
      <c r="O88" t="n">
        <v>1</v>
      </c>
      <c r="P88" t="n">
        <v>0</v>
      </c>
      <c r="Q88" t="n">
        <v>1</v>
      </c>
      <c r="R88" s="2" t="inlineStr">
        <is>
          <t>Motaggsvamp</t>
        </is>
      </c>
      <c r="S88">
        <f>HYPERLINK("https://klasma.github.io/Logging_0483/artfynd/A 44632-2023 artfynd.xlsx", "A 44632-2023")</f>
        <v/>
      </c>
      <c r="T88">
        <f>HYPERLINK("https://klasma.github.io/Logging_0483/kartor/A 44632-2023 karta.png", "A 44632-2023")</f>
        <v/>
      </c>
      <c r="V88">
        <f>HYPERLINK("https://klasma.github.io/Logging_0483/klagomål/A 44632-2023 FSC-klagomål.docx", "A 44632-2023")</f>
        <v/>
      </c>
      <c r="W88">
        <f>HYPERLINK("https://klasma.github.io/Logging_0483/klagomålsmail/A 44632-2023 FSC-klagomål mail.docx", "A 44632-2023")</f>
        <v/>
      </c>
      <c r="X88">
        <f>HYPERLINK("https://klasma.github.io/Logging_0483/tillsyn/A 44632-2023 tillsynsbegäran.docx", "A 44632-2023")</f>
        <v/>
      </c>
      <c r="Y88">
        <f>HYPERLINK("https://klasma.github.io/Logging_0483/tillsynsmail/A 44632-2023 tillsynsbegäran mail.docx", "A 44632-2023")</f>
        <v/>
      </c>
    </row>
    <row r="89" ht="15" customHeight="1">
      <c r="A89" t="inlineStr">
        <is>
          <t>A 52768-2023</t>
        </is>
      </c>
      <c r="B89" s="1" t="n">
        <v>45226</v>
      </c>
      <c r="C89" s="1" t="n">
        <v>45825</v>
      </c>
      <c r="D89" t="inlineStr">
        <is>
          <t>SÖDERMANLANDS LÄN</t>
        </is>
      </c>
      <c r="E89" t="inlineStr">
        <is>
          <t>KATRINEHOLM</t>
        </is>
      </c>
      <c r="G89" t="n">
        <v>2.1</v>
      </c>
      <c r="H89" t="n">
        <v>0</v>
      </c>
      <c r="I89" t="n">
        <v>0</v>
      </c>
      <c r="J89" t="n">
        <v>1</v>
      </c>
      <c r="K89" t="n">
        <v>0</v>
      </c>
      <c r="L89" t="n">
        <v>0</v>
      </c>
      <c r="M89" t="n">
        <v>0</v>
      </c>
      <c r="N89" t="n">
        <v>0</v>
      </c>
      <c r="O89" t="n">
        <v>1</v>
      </c>
      <c r="P89" t="n">
        <v>0</v>
      </c>
      <c r="Q89" t="n">
        <v>1</v>
      </c>
      <c r="R89" s="2" t="inlineStr">
        <is>
          <t>Tallticka</t>
        </is>
      </c>
      <c r="S89">
        <f>HYPERLINK("https://klasma.github.io/Logging_0483/artfynd/A 52768-2023 artfynd.xlsx", "A 52768-2023")</f>
        <v/>
      </c>
      <c r="T89">
        <f>HYPERLINK("https://klasma.github.io/Logging_0483/kartor/A 52768-2023 karta.png", "A 52768-2023")</f>
        <v/>
      </c>
      <c r="V89">
        <f>HYPERLINK("https://klasma.github.io/Logging_0483/klagomål/A 52768-2023 FSC-klagomål.docx", "A 52768-2023")</f>
        <v/>
      </c>
      <c r="W89">
        <f>HYPERLINK("https://klasma.github.io/Logging_0483/klagomålsmail/A 52768-2023 FSC-klagomål mail.docx", "A 52768-2023")</f>
        <v/>
      </c>
      <c r="X89">
        <f>HYPERLINK("https://klasma.github.io/Logging_0483/tillsyn/A 52768-2023 tillsynsbegäran.docx", "A 52768-2023")</f>
        <v/>
      </c>
      <c r="Y89">
        <f>HYPERLINK("https://klasma.github.io/Logging_0483/tillsynsmail/A 52768-2023 tillsynsbegäran mail.docx", "A 52768-2023")</f>
        <v/>
      </c>
    </row>
    <row r="90" ht="15" customHeight="1">
      <c r="A90" t="inlineStr">
        <is>
          <t>A 53154-2023</t>
        </is>
      </c>
      <c r="B90" s="1" t="n">
        <v>45229</v>
      </c>
      <c r="C90" s="1" t="n">
        <v>45825</v>
      </c>
      <c r="D90" t="inlineStr">
        <is>
          <t>SÖDERMANLANDS LÄN</t>
        </is>
      </c>
      <c r="E90" t="inlineStr">
        <is>
          <t>KATRINEHOLM</t>
        </is>
      </c>
      <c r="G90" t="n">
        <v>2.1</v>
      </c>
      <c r="H90" t="n">
        <v>1</v>
      </c>
      <c r="I90" t="n">
        <v>0</v>
      </c>
      <c r="J90" t="n">
        <v>0</v>
      </c>
      <c r="K90" t="n">
        <v>0</v>
      </c>
      <c r="L90" t="n">
        <v>0</v>
      </c>
      <c r="M90" t="n">
        <v>0</v>
      </c>
      <c r="N90" t="n">
        <v>0</v>
      </c>
      <c r="O90" t="n">
        <v>0</v>
      </c>
      <c r="P90" t="n">
        <v>0</v>
      </c>
      <c r="Q90" t="n">
        <v>1</v>
      </c>
      <c r="R90" s="2" t="inlineStr">
        <is>
          <t>Skogsduva</t>
        </is>
      </c>
      <c r="S90">
        <f>HYPERLINK("https://klasma.github.io/Logging_0483/artfynd/A 53154-2023 artfynd.xlsx", "A 53154-2023")</f>
        <v/>
      </c>
      <c r="T90">
        <f>HYPERLINK("https://klasma.github.io/Logging_0483/kartor/A 53154-2023 karta.png", "A 53154-2023")</f>
        <v/>
      </c>
      <c r="V90">
        <f>HYPERLINK("https://klasma.github.io/Logging_0483/klagomål/A 53154-2023 FSC-klagomål.docx", "A 53154-2023")</f>
        <v/>
      </c>
      <c r="W90">
        <f>HYPERLINK("https://klasma.github.io/Logging_0483/klagomålsmail/A 53154-2023 FSC-klagomål mail.docx", "A 53154-2023")</f>
        <v/>
      </c>
      <c r="X90">
        <f>HYPERLINK("https://klasma.github.io/Logging_0483/tillsyn/A 53154-2023 tillsynsbegäran.docx", "A 53154-2023")</f>
        <v/>
      </c>
      <c r="Y90">
        <f>HYPERLINK("https://klasma.github.io/Logging_0483/tillsynsmail/A 53154-2023 tillsynsbegäran mail.docx", "A 53154-2023")</f>
        <v/>
      </c>
      <c r="Z90">
        <f>HYPERLINK("https://klasma.github.io/Logging_0483/fåglar/A 53154-2023 prioriterade fågelarter.docx", "A 53154-2023")</f>
        <v/>
      </c>
    </row>
    <row r="91" ht="15" customHeight="1">
      <c r="A91" t="inlineStr">
        <is>
          <t>A 53990-2023</t>
        </is>
      </c>
      <c r="B91" s="1" t="n">
        <v>45231</v>
      </c>
      <c r="C91" s="1" t="n">
        <v>45825</v>
      </c>
      <c r="D91" t="inlineStr">
        <is>
          <t>SÖDERMANLANDS LÄN</t>
        </is>
      </c>
      <c r="E91" t="inlineStr">
        <is>
          <t>KATRINEHOLM</t>
        </is>
      </c>
      <c r="G91" t="n">
        <v>6.1</v>
      </c>
      <c r="H91" t="n">
        <v>0</v>
      </c>
      <c r="I91" t="n">
        <v>0</v>
      </c>
      <c r="J91" t="n">
        <v>1</v>
      </c>
      <c r="K91" t="n">
        <v>0</v>
      </c>
      <c r="L91" t="n">
        <v>0</v>
      </c>
      <c r="M91" t="n">
        <v>0</v>
      </c>
      <c r="N91" t="n">
        <v>0</v>
      </c>
      <c r="O91" t="n">
        <v>1</v>
      </c>
      <c r="P91" t="n">
        <v>0</v>
      </c>
      <c r="Q91" t="n">
        <v>1</v>
      </c>
      <c r="R91" s="2" t="inlineStr">
        <is>
          <t>Motaggsvamp</t>
        </is>
      </c>
      <c r="S91">
        <f>HYPERLINK("https://klasma.github.io/Logging_0483/artfynd/A 53990-2023 artfynd.xlsx", "A 53990-2023")</f>
        <v/>
      </c>
      <c r="T91">
        <f>HYPERLINK("https://klasma.github.io/Logging_0483/kartor/A 53990-2023 karta.png", "A 53990-2023")</f>
        <v/>
      </c>
      <c r="V91">
        <f>HYPERLINK("https://klasma.github.io/Logging_0483/klagomål/A 53990-2023 FSC-klagomål.docx", "A 53990-2023")</f>
        <v/>
      </c>
      <c r="W91">
        <f>HYPERLINK("https://klasma.github.io/Logging_0483/klagomålsmail/A 53990-2023 FSC-klagomål mail.docx", "A 53990-2023")</f>
        <v/>
      </c>
      <c r="X91">
        <f>HYPERLINK("https://klasma.github.io/Logging_0483/tillsyn/A 53990-2023 tillsynsbegäran.docx", "A 53990-2023")</f>
        <v/>
      </c>
      <c r="Y91">
        <f>HYPERLINK("https://klasma.github.io/Logging_0483/tillsynsmail/A 53990-2023 tillsynsbegäran mail.docx", "A 53990-2023")</f>
        <v/>
      </c>
    </row>
    <row r="92" ht="15" customHeight="1">
      <c r="A92" t="inlineStr">
        <is>
          <t>A 21312-2024</t>
        </is>
      </c>
      <c r="B92" s="1" t="n">
        <v>45440</v>
      </c>
      <c r="C92" s="1" t="n">
        <v>45825</v>
      </c>
      <c r="D92" t="inlineStr">
        <is>
          <t>SÖDERMANLANDS LÄN</t>
        </is>
      </c>
      <c r="E92" t="inlineStr">
        <is>
          <t>KATRINEHOLM</t>
        </is>
      </c>
      <c r="G92" t="n">
        <v>2</v>
      </c>
      <c r="H92" t="n">
        <v>1</v>
      </c>
      <c r="I92" t="n">
        <v>0</v>
      </c>
      <c r="J92" t="n">
        <v>0</v>
      </c>
      <c r="K92" t="n">
        <v>0</v>
      </c>
      <c r="L92" t="n">
        <v>0</v>
      </c>
      <c r="M92" t="n">
        <v>0</v>
      </c>
      <c r="N92" t="n">
        <v>0</v>
      </c>
      <c r="O92" t="n">
        <v>0</v>
      </c>
      <c r="P92" t="n">
        <v>0</v>
      </c>
      <c r="Q92" t="n">
        <v>1</v>
      </c>
      <c r="R92" s="2" t="inlineStr">
        <is>
          <t>Blåsippa</t>
        </is>
      </c>
      <c r="S92">
        <f>HYPERLINK("https://klasma.github.io/Logging_0483/artfynd/A 21312-2024 artfynd.xlsx", "A 21312-2024")</f>
        <v/>
      </c>
      <c r="T92">
        <f>HYPERLINK("https://klasma.github.io/Logging_0483/kartor/A 21312-2024 karta.png", "A 21312-2024")</f>
        <v/>
      </c>
      <c r="V92">
        <f>HYPERLINK("https://klasma.github.io/Logging_0483/klagomål/A 21312-2024 FSC-klagomål.docx", "A 21312-2024")</f>
        <v/>
      </c>
      <c r="W92">
        <f>HYPERLINK("https://klasma.github.io/Logging_0483/klagomålsmail/A 21312-2024 FSC-klagomål mail.docx", "A 21312-2024")</f>
        <v/>
      </c>
      <c r="X92">
        <f>HYPERLINK("https://klasma.github.io/Logging_0483/tillsyn/A 21312-2024 tillsynsbegäran.docx", "A 21312-2024")</f>
        <v/>
      </c>
      <c r="Y92">
        <f>HYPERLINK("https://klasma.github.io/Logging_0483/tillsynsmail/A 21312-2024 tillsynsbegäran mail.docx", "A 21312-2024")</f>
        <v/>
      </c>
    </row>
    <row r="93" ht="15" customHeight="1">
      <c r="A93" t="inlineStr">
        <is>
          <t>A 43919-2024</t>
        </is>
      </c>
      <c r="B93" s="1" t="n">
        <v>45570</v>
      </c>
      <c r="C93" s="1" t="n">
        <v>45825</v>
      </c>
      <c r="D93" t="inlineStr">
        <is>
          <t>SÖDERMANLANDS LÄN</t>
        </is>
      </c>
      <c r="E93" t="inlineStr">
        <is>
          <t>KATRINEHOLM</t>
        </is>
      </c>
      <c r="G93" t="n">
        <v>4</v>
      </c>
      <c r="H93" t="n">
        <v>1</v>
      </c>
      <c r="I93" t="n">
        <v>0</v>
      </c>
      <c r="J93" t="n">
        <v>0</v>
      </c>
      <c r="K93" t="n">
        <v>0</v>
      </c>
      <c r="L93" t="n">
        <v>0</v>
      </c>
      <c r="M93" t="n">
        <v>0</v>
      </c>
      <c r="N93" t="n">
        <v>0</v>
      </c>
      <c r="O93" t="n">
        <v>0</v>
      </c>
      <c r="P93" t="n">
        <v>0</v>
      </c>
      <c r="Q93" t="n">
        <v>1</v>
      </c>
      <c r="R93" s="2" t="inlineStr">
        <is>
          <t>Mattlummer</t>
        </is>
      </c>
      <c r="S93">
        <f>HYPERLINK("https://klasma.github.io/Logging_0483/artfynd/A 43919-2024 artfynd.xlsx", "A 43919-2024")</f>
        <v/>
      </c>
      <c r="T93">
        <f>HYPERLINK("https://klasma.github.io/Logging_0483/kartor/A 43919-2024 karta.png", "A 43919-2024")</f>
        <v/>
      </c>
      <c r="V93">
        <f>HYPERLINK("https://klasma.github.io/Logging_0483/klagomål/A 43919-2024 FSC-klagomål.docx", "A 43919-2024")</f>
        <v/>
      </c>
      <c r="W93">
        <f>HYPERLINK("https://klasma.github.io/Logging_0483/klagomålsmail/A 43919-2024 FSC-klagomål mail.docx", "A 43919-2024")</f>
        <v/>
      </c>
      <c r="X93">
        <f>HYPERLINK("https://klasma.github.io/Logging_0483/tillsyn/A 43919-2024 tillsynsbegäran.docx", "A 43919-2024")</f>
        <v/>
      </c>
      <c r="Y93">
        <f>HYPERLINK("https://klasma.github.io/Logging_0483/tillsynsmail/A 43919-2024 tillsynsbegäran mail.docx", "A 43919-2024")</f>
        <v/>
      </c>
    </row>
    <row r="94" ht="15" customHeight="1">
      <c r="A94" t="inlineStr">
        <is>
          <t>A 44413-2024</t>
        </is>
      </c>
      <c r="B94" s="1" t="n">
        <v>45573</v>
      </c>
      <c r="C94" s="1" t="n">
        <v>45825</v>
      </c>
      <c r="D94" t="inlineStr">
        <is>
          <t>SÖDERMANLANDS LÄN</t>
        </is>
      </c>
      <c r="E94" t="inlineStr">
        <is>
          <t>KATRINEHOLM</t>
        </is>
      </c>
      <c r="G94" t="n">
        <v>0.7</v>
      </c>
      <c r="H94" t="n">
        <v>1</v>
      </c>
      <c r="I94" t="n">
        <v>0</v>
      </c>
      <c r="J94" t="n">
        <v>0</v>
      </c>
      <c r="K94" t="n">
        <v>1</v>
      </c>
      <c r="L94" t="n">
        <v>0</v>
      </c>
      <c r="M94" t="n">
        <v>0</v>
      </c>
      <c r="N94" t="n">
        <v>0</v>
      </c>
      <c r="O94" t="n">
        <v>1</v>
      </c>
      <c r="P94" t="n">
        <v>1</v>
      </c>
      <c r="Q94" t="n">
        <v>1</v>
      </c>
      <c r="R94" s="2" t="inlineStr">
        <is>
          <t>Knärot</t>
        </is>
      </c>
      <c r="S94">
        <f>HYPERLINK("https://klasma.github.io/Logging_0483/artfynd/A 44413-2024 artfynd.xlsx", "A 44413-2024")</f>
        <v/>
      </c>
      <c r="T94">
        <f>HYPERLINK("https://klasma.github.io/Logging_0483/kartor/A 44413-2024 karta.png", "A 44413-2024")</f>
        <v/>
      </c>
      <c r="U94">
        <f>HYPERLINK("https://klasma.github.io/Logging_0483/knärot/A 44413-2024 karta knärot.png", "A 44413-2024")</f>
        <v/>
      </c>
      <c r="V94">
        <f>HYPERLINK("https://klasma.github.io/Logging_0483/klagomål/A 44413-2024 FSC-klagomål.docx", "A 44413-2024")</f>
        <v/>
      </c>
      <c r="W94">
        <f>HYPERLINK("https://klasma.github.io/Logging_0483/klagomålsmail/A 44413-2024 FSC-klagomål mail.docx", "A 44413-2024")</f>
        <v/>
      </c>
      <c r="X94">
        <f>HYPERLINK("https://klasma.github.io/Logging_0483/tillsyn/A 44413-2024 tillsynsbegäran.docx", "A 44413-2024")</f>
        <v/>
      </c>
      <c r="Y94">
        <f>HYPERLINK("https://klasma.github.io/Logging_0483/tillsynsmail/A 44413-2024 tillsynsbegäran mail.docx", "A 44413-2024")</f>
        <v/>
      </c>
    </row>
    <row r="95" ht="15" customHeight="1">
      <c r="A95" t="inlineStr">
        <is>
          <t>A 48004-2024</t>
        </is>
      </c>
      <c r="B95" s="1" t="n">
        <v>45589</v>
      </c>
      <c r="C95" s="1" t="n">
        <v>45825</v>
      </c>
      <c r="D95" t="inlineStr">
        <is>
          <t>SÖDERMANLANDS LÄN</t>
        </is>
      </c>
      <c r="E95" t="inlineStr">
        <is>
          <t>KATRINEHOLM</t>
        </is>
      </c>
      <c r="G95" t="n">
        <v>2.2</v>
      </c>
      <c r="H95" t="n">
        <v>0</v>
      </c>
      <c r="I95" t="n">
        <v>0</v>
      </c>
      <c r="J95" t="n">
        <v>0</v>
      </c>
      <c r="K95" t="n">
        <v>1</v>
      </c>
      <c r="L95" t="n">
        <v>0</v>
      </c>
      <c r="M95" t="n">
        <v>0</v>
      </c>
      <c r="N95" t="n">
        <v>0</v>
      </c>
      <c r="O95" t="n">
        <v>1</v>
      </c>
      <c r="P95" t="n">
        <v>1</v>
      </c>
      <c r="Q95" t="n">
        <v>1</v>
      </c>
      <c r="R95" s="2" t="inlineStr">
        <is>
          <t>Grenticka</t>
        </is>
      </c>
      <c r="S95">
        <f>HYPERLINK("https://klasma.github.io/Logging_0483/artfynd/A 48004-2024 artfynd.xlsx", "A 48004-2024")</f>
        <v/>
      </c>
      <c r="T95">
        <f>HYPERLINK("https://klasma.github.io/Logging_0483/kartor/A 48004-2024 karta.png", "A 48004-2024")</f>
        <v/>
      </c>
      <c r="V95">
        <f>HYPERLINK("https://klasma.github.io/Logging_0483/klagomål/A 48004-2024 FSC-klagomål.docx", "A 48004-2024")</f>
        <v/>
      </c>
      <c r="W95">
        <f>HYPERLINK("https://klasma.github.io/Logging_0483/klagomålsmail/A 48004-2024 FSC-klagomål mail.docx", "A 48004-2024")</f>
        <v/>
      </c>
      <c r="X95">
        <f>HYPERLINK("https://klasma.github.io/Logging_0483/tillsyn/A 48004-2024 tillsynsbegäran.docx", "A 48004-2024")</f>
        <v/>
      </c>
      <c r="Y95">
        <f>HYPERLINK("https://klasma.github.io/Logging_0483/tillsynsmail/A 48004-2024 tillsynsbegäran mail.docx", "A 48004-2024")</f>
        <v/>
      </c>
    </row>
    <row r="96" ht="15" customHeight="1">
      <c r="A96" t="inlineStr">
        <is>
          <t>A 22474-2025</t>
        </is>
      </c>
      <c r="B96" s="1" t="n">
        <v>45786</v>
      </c>
      <c r="C96" s="1" t="n">
        <v>45825</v>
      </c>
      <c r="D96" t="inlineStr">
        <is>
          <t>SÖDERMANLANDS LÄN</t>
        </is>
      </c>
      <c r="E96" t="inlineStr">
        <is>
          <t>KATRINEHOLM</t>
        </is>
      </c>
      <c r="F96" t="inlineStr">
        <is>
          <t>Övriga Aktiebolag</t>
        </is>
      </c>
      <c r="G96" t="n">
        <v>7.6</v>
      </c>
      <c r="H96" t="n">
        <v>1</v>
      </c>
      <c r="I96" t="n">
        <v>0</v>
      </c>
      <c r="J96" t="n">
        <v>0</v>
      </c>
      <c r="K96" t="n">
        <v>0</v>
      </c>
      <c r="L96" t="n">
        <v>0</v>
      </c>
      <c r="M96" t="n">
        <v>0</v>
      </c>
      <c r="N96" t="n">
        <v>0</v>
      </c>
      <c r="O96" t="n">
        <v>0</v>
      </c>
      <c r="P96" t="n">
        <v>0</v>
      </c>
      <c r="Q96" t="n">
        <v>1</v>
      </c>
      <c r="R96" s="2" t="inlineStr">
        <is>
          <t>Mattlummer</t>
        </is>
      </c>
      <c r="S96">
        <f>HYPERLINK("https://klasma.github.io/Logging_040483/artfynd/A 22474-2025 artfynd.xlsx", "A 22474-2025")</f>
        <v/>
      </c>
      <c r="T96">
        <f>HYPERLINK("https://klasma.github.io/Logging_040483/kartor/A 22474-2025 karta.png", "A 22474-2025")</f>
        <v/>
      </c>
      <c r="V96">
        <f>HYPERLINK("https://klasma.github.io/Logging_040483/klagomål/A 22474-2025 FSC-klagomål.docx", "A 22474-2025")</f>
        <v/>
      </c>
      <c r="W96">
        <f>HYPERLINK("https://klasma.github.io/Logging_040483/klagomålsmail/A 22474-2025 FSC-klagomål mail.docx", "A 22474-2025")</f>
        <v/>
      </c>
      <c r="X96">
        <f>HYPERLINK("https://klasma.github.io/Logging_040483/tillsyn/A 22474-2025 tillsynsbegäran.docx", "A 22474-2025")</f>
        <v/>
      </c>
      <c r="Y96">
        <f>HYPERLINK("https://klasma.github.io/Logging_040483/tillsynsmail/A 22474-2025 tillsynsbegäran mail.docx", "A 22474-2025")</f>
        <v/>
      </c>
    </row>
    <row r="97" ht="15" customHeight="1">
      <c r="A97" t="inlineStr">
        <is>
          <t>A 27926-2025</t>
        </is>
      </c>
      <c r="B97" s="1" t="n">
        <v>45814</v>
      </c>
      <c r="C97" s="1" t="n">
        <v>45825</v>
      </c>
      <c r="D97" t="inlineStr">
        <is>
          <t>SÖDERMANLANDS LÄN</t>
        </is>
      </c>
      <c r="E97" t="inlineStr">
        <is>
          <t>KATRINEHOLM</t>
        </is>
      </c>
      <c r="F97" t="inlineStr">
        <is>
          <t>Allmännings- och besparingsskogar</t>
        </is>
      </c>
      <c r="G97" t="n">
        <v>10.7</v>
      </c>
      <c r="H97" t="n">
        <v>1</v>
      </c>
      <c r="I97" t="n">
        <v>0</v>
      </c>
      <c r="J97" t="n">
        <v>0</v>
      </c>
      <c r="K97" t="n">
        <v>0</v>
      </c>
      <c r="L97" t="n">
        <v>0</v>
      </c>
      <c r="M97" t="n">
        <v>0</v>
      </c>
      <c r="N97" t="n">
        <v>0</v>
      </c>
      <c r="O97" t="n">
        <v>0</v>
      </c>
      <c r="P97" t="n">
        <v>0</v>
      </c>
      <c r="Q97" t="n">
        <v>1</v>
      </c>
      <c r="R97" s="2" t="inlineStr">
        <is>
          <t>Revlummer</t>
        </is>
      </c>
      <c r="S97">
        <f>HYPERLINK("https://klasma.github.io/Logging_040483/artfynd/A 27926-2025 artfynd.xlsx", "A 27926-2025")</f>
        <v/>
      </c>
      <c r="T97">
        <f>HYPERLINK("https://klasma.github.io/Logging_040483/kartor/A 27926-2025 karta.png", "A 27926-2025")</f>
        <v/>
      </c>
      <c r="V97">
        <f>HYPERLINK("https://klasma.github.io/Logging_040483/klagomål/A 27926-2025 FSC-klagomål.docx", "A 27926-2025")</f>
        <v/>
      </c>
      <c r="W97">
        <f>HYPERLINK("https://klasma.github.io/Logging_040483/klagomålsmail/A 27926-2025 FSC-klagomål mail.docx", "A 27926-2025")</f>
        <v/>
      </c>
      <c r="X97">
        <f>HYPERLINK("https://klasma.github.io/Logging_040483/tillsyn/A 27926-2025 tillsynsbegäran.docx", "A 27926-2025")</f>
        <v/>
      </c>
      <c r="Y97">
        <f>HYPERLINK("https://klasma.github.io/Logging_040483/tillsynsmail/A 27926-2025 tillsynsbegäran mail.docx", "A 27926-2025")</f>
        <v/>
      </c>
    </row>
    <row r="98" ht="15" customHeight="1">
      <c r="A98" t="inlineStr">
        <is>
          <t>A 18431-2019</t>
        </is>
      </c>
      <c r="B98" s="1" t="n">
        <v>43559</v>
      </c>
      <c r="C98" s="1" t="n">
        <v>45825</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18869-2019</t>
        </is>
      </c>
      <c r="B99" s="1" t="n">
        <v>43563</v>
      </c>
      <c r="C99" s="1" t="n">
        <v>45825</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19374-2019</t>
        </is>
      </c>
      <c r="B100" s="1" t="n">
        <v>43565</v>
      </c>
      <c r="C100" s="1" t="n">
        <v>45825</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20084-2019</t>
        </is>
      </c>
      <c r="B101" s="1" t="n">
        <v>43570</v>
      </c>
      <c r="C101" s="1" t="n">
        <v>45825</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20081-2019</t>
        </is>
      </c>
      <c r="B102" s="1" t="n">
        <v>43570</v>
      </c>
      <c r="C102" s="1" t="n">
        <v>45825</v>
      </c>
      <c r="D102" t="inlineStr">
        <is>
          <t>SÖDERMANLANDS LÄN</t>
        </is>
      </c>
      <c r="E102" t="inlineStr">
        <is>
          <t>KATRINEHOLM</t>
        </is>
      </c>
      <c r="G102" t="n">
        <v>2.8</v>
      </c>
      <c r="H102" t="n">
        <v>0</v>
      </c>
      <c r="I102" t="n">
        <v>0</v>
      </c>
      <c r="J102" t="n">
        <v>0</v>
      </c>
      <c r="K102" t="n">
        <v>0</v>
      </c>
      <c r="L102" t="n">
        <v>0</v>
      </c>
      <c r="M102" t="n">
        <v>0</v>
      </c>
      <c r="N102" t="n">
        <v>0</v>
      </c>
      <c r="O102" t="n">
        <v>0</v>
      </c>
      <c r="P102" t="n">
        <v>0</v>
      </c>
      <c r="Q102" t="n">
        <v>0</v>
      </c>
      <c r="R102" s="2" t="inlineStr"/>
    </row>
    <row r="103" ht="15" customHeight="1">
      <c r="A103" t="inlineStr">
        <is>
          <t>A 20089-2019</t>
        </is>
      </c>
      <c r="B103" s="1" t="n">
        <v>43570</v>
      </c>
      <c r="C103" s="1" t="n">
        <v>45825</v>
      </c>
      <c r="D103" t="inlineStr">
        <is>
          <t>SÖDERMANLANDS LÄN</t>
        </is>
      </c>
      <c r="E103" t="inlineStr">
        <is>
          <t>KATRINEHOLM</t>
        </is>
      </c>
      <c r="G103" t="n">
        <v>1.6</v>
      </c>
      <c r="H103" t="n">
        <v>0</v>
      </c>
      <c r="I103" t="n">
        <v>0</v>
      </c>
      <c r="J103" t="n">
        <v>0</v>
      </c>
      <c r="K103" t="n">
        <v>0</v>
      </c>
      <c r="L103" t="n">
        <v>0</v>
      </c>
      <c r="M103" t="n">
        <v>0</v>
      </c>
      <c r="N103" t="n">
        <v>0</v>
      </c>
      <c r="O103" t="n">
        <v>0</v>
      </c>
      <c r="P103" t="n">
        <v>0</v>
      </c>
      <c r="Q103" t="n">
        <v>0</v>
      </c>
      <c r="R103" s="2" t="inlineStr"/>
    </row>
    <row r="104" ht="15" customHeight="1">
      <c r="A104" t="inlineStr">
        <is>
          <t>A 21994-2019</t>
        </is>
      </c>
      <c r="B104" s="1" t="n">
        <v>43581</v>
      </c>
      <c r="C104" s="1" t="n">
        <v>45825</v>
      </c>
      <c r="D104" t="inlineStr">
        <is>
          <t>SÖDERMANLANDS LÄN</t>
        </is>
      </c>
      <c r="E104" t="inlineStr">
        <is>
          <t>KATRINEHOLM</t>
        </is>
      </c>
      <c r="G104" t="n">
        <v>0.9</v>
      </c>
      <c r="H104" t="n">
        <v>0</v>
      </c>
      <c r="I104" t="n">
        <v>0</v>
      </c>
      <c r="J104" t="n">
        <v>0</v>
      </c>
      <c r="K104" t="n">
        <v>0</v>
      </c>
      <c r="L104" t="n">
        <v>0</v>
      </c>
      <c r="M104" t="n">
        <v>0</v>
      </c>
      <c r="N104" t="n">
        <v>0</v>
      </c>
      <c r="O104" t="n">
        <v>0</v>
      </c>
      <c r="P104" t="n">
        <v>0</v>
      </c>
      <c r="Q104" t="n">
        <v>0</v>
      </c>
      <c r="R104" s="2" t="inlineStr"/>
    </row>
    <row r="105" ht="15" customHeight="1">
      <c r="A105" t="inlineStr">
        <is>
          <t>A 22691-2019</t>
        </is>
      </c>
      <c r="B105" s="1" t="n">
        <v>43588</v>
      </c>
      <c r="C105" s="1" t="n">
        <v>45825</v>
      </c>
      <c r="D105" t="inlineStr">
        <is>
          <t>SÖDERMANLANDS LÄN</t>
        </is>
      </c>
      <c r="E105" t="inlineStr">
        <is>
          <t>KATRINEHOLM</t>
        </is>
      </c>
      <c r="G105" t="n">
        <v>2.4</v>
      </c>
      <c r="H105" t="n">
        <v>0</v>
      </c>
      <c r="I105" t="n">
        <v>0</v>
      </c>
      <c r="J105" t="n">
        <v>0</v>
      </c>
      <c r="K105" t="n">
        <v>0</v>
      </c>
      <c r="L105" t="n">
        <v>0</v>
      </c>
      <c r="M105" t="n">
        <v>0</v>
      </c>
      <c r="N105" t="n">
        <v>0</v>
      </c>
      <c r="O105" t="n">
        <v>0</v>
      </c>
      <c r="P105" t="n">
        <v>0</v>
      </c>
      <c r="Q105" t="n">
        <v>0</v>
      </c>
      <c r="R105" s="2" t="inlineStr"/>
    </row>
    <row r="106" ht="15" customHeight="1">
      <c r="A106" t="inlineStr">
        <is>
          <t>A 22839-2019</t>
        </is>
      </c>
      <c r="B106" s="1" t="n">
        <v>43591</v>
      </c>
      <c r="C106" s="1" t="n">
        <v>45825</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23679-2019</t>
        </is>
      </c>
      <c r="B107" s="1" t="n">
        <v>43594</v>
      </c>
      <c r="C107" s="1" t="n">
        <v>45825</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24192-2019</t>
        </is>
      </c>
      <c r="B108" s="1" t="n">
        <v>43599</v>
      </c>
      <c r="C108" s="1" t="n">
        <v>45825</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25195-2019</t>
        </is>
      </c>
      <c r="B109" s="1" t="n">
        <v>43605</v>
      </c>
      <c r="C109" s="1" t="n">
        <v>45825</v>
      </c>
      <c r="D109" t="inlineStr">
        <is>
          <t>SÖDERMANLANDS LÄN</t>
        </is>
      </c>
      <c r="E109" t="inlineStr">
        <is>
          <t>KATRINEHOLM</t>
        </is>
      </c>
      <c r="F109" t="inlineStr">
        <is>
          <t>Kommuner</t>
        </is>
      </c>
      <c r="G109" t="n">
        <v>1.6</v>
      </c>
      <c r="H109" t="n">
        <v>0</v>
      </c>
      <c r="I109" t="n">
        <v>0</v>
      </c>
      <c r="J109" t="n">
        <v>0</v>
      </c>
      <c r="K109" t="n">
        <v>0</v>
      </c>
      <c r="L109" t="n">
        <v>0</v>
      </c>
      <c r="M109" t="n">
        <v>0</v>
      </c>
      <c r="N109" t="n">
        <v>0</v>
      </c>
      <c r="O109" t="n">
        <v>0</v>
      </c>
      <c r="P109" t="n">
        <v>0</v>
      </c>
      <c r="Q109" t="n">
        <v>0</v>
      </c>
      <c r="R109" s="2" t="inlineStr"/>
    </row>
    <row r="110" ht="15" customHeight="1">
      <c r="A110" t="inlineStr">
        <is>
          <t>A 25570-2019</t>
        </is>
      </c>
      <c r="B110" s="1" t="n">
        <v>43607</v>
      </c>
      <c r="C110" s="1" t="n">
        <v>45825</v>
      </c>
      <c r="D110" t="inlineStr">
        <is>
          <t>SÖDERMANLANDS LÄN</t>
        </is>
      </c>
      <c r="E110" t="inlineStr">
        <is>
          <t>KATRINEHOLM</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25936-2019</t>
        </is>
      </c>
      <c r="B111" s="1" t="n">
        <v>43608</v>
      </c>
      <c r="C111" s="1" t="n">
        <v>45825</v>
      </c>
      <c r="D111" t="inlineStr">
        <is>
          <t>SÖDERMANLANDS LÄN</t>
        </is>
      </c>
      <c r="E111" t="inlineStr">
        <is>
          <t>KATRINEHOLM</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26339-2019</t>
        </is>
      </c>
      <c r="B112" s="1" t="n">
        <v>43612</v>
      </c>
      <c r="C112" s="1" t="n">
        <v>45825</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26532-2019</t>
        </is>
      </c>
      <c r="B113" s="1" t="n">
        <v>43612</v>
      </c>
      <c r="C113" s="1" t="n">
        <v>45825</v>
      </c>
      <c r="D113" t="inlineStr">
        <is>
          <t>SÖDERMANLANDS LÄN</t>
        </is>
      </c>
      <c r="E113" t="inlineStr">
        <is>
          <t>KATRINEHOLM</t>
        </is>
      </c>
      <c r="G113" t="n">
        <v>4.2</v>
      </c>
      <c r="H113" t="n">
        <v>0</v>
      </c>
      <c r="I113" t="n">
        <v>0</v>
      </c>
      <c r="J113" t="n">
        <v>0</v>
      </c>
      <c r="K113" t="n">
        <v>0</v>
      </c>
      <c r="L113" t="n">
        <v>0</v>
      </c>
      <c r="M113" t="n">
        <v>0</v>
      </c>
      <c r="N113" t="n">
        <v>0</v>
      </c>
      <c r="O113" t="n">
        <v>0</v>
      </c>
      <c r="P113" t="n">
        <v>0</v>
      </c>
      <c r="Q113" t="n">
        <v>0</v>
      </c>
      <c r="R113" s="2" t="inlineStr"/>
    </row>
    <row r="114" ht="15" customHeight="1">
      <c r="A114" t="inlineStr">
        <is>
          <t>A 28673-2019</t>
        </is>
      </c>
      <c r="B114" s="1" t="n">
        <v>43614</v>
      </c>
      <c r="C114" s="1" t="n">
        <v>45825</v>
      </c>
      <c r="D114" t="inlineStr">
        <is>
          <t>SÖDERMANLANDS LÄN</t>
        </is>
      </c>
      <c r="E114" t="inlineStr">
        <is>
          <t>KATRINEHOLM</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29433-2019</t>
        </is>
      </c>
      <c r="B115" s="1" t="n">
        <v>43623</v>
      </c>
      <c r="C115" s="1" t="n">
        <v>45825</v>
      </c>
      <c r="D115" t="inlineStr">
        <is>
          <t>SÖDERMANLANDS LÄN</t>
        </is>
      </c>
      <c r="E115" t="inlineStr">
        <is>
          <t>KATRINEHOLM</t>
        </is>
      </c>
      <c r="G115" t="n">
        <v>16.7</v>
      </c>
      <c r="H115" t="n">
        <v>0</v>
      </c>
      <c r="I115" t="n">
        <v>0</v>
      </c>
      <c r="J115" t="n">
        <v>0</v>
      </c>
      <c r="K115" t="n">
        <v>0</v>
      </c>
      <c r="L115" t="n">
        <v>0</v>
      </c>
      <c r="M115" t="n">
        <v>0</v>
      </c>
      <c r="N115" t="n">
        <v>0</v>
      </c>
      <c r="O115" t="n">
        <v>0</v>
      </c>
      <c r="P115" t="n">
        <v>0</v>
      </c>
      <c r="Q115" t="n">
        <v>0</v>
      </c>
      <c r="R115" s="2" t="inlineStr"/>
    </row>
    <row r="116" ht="15" customHeight="1">
      <c r="A116" t="inlineStr">
        <is>
          <t>A 30604-2019</t>
        </is>
      </c>
      <c r="B116" s="1" t="n">
        <v>43635</v>
      </c>
      <c r="C116" s="1" t="n">
        <v>45825</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32194-2019</t>
        </is>
      </c>
      <c r="B117" s="1" t="n">
        <v>43643</v>
      </c>
      <c r="C117" s="1" t="n">
        <v>45825</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32555-2019</t>
        </is>
      </c>
      <c r="B118" s="1" t="n">
        <v>43645</v>
      </c>
      <c r="C118" s="1" t="n">
        <v>45825</v>
      </c>
      <c r="D118" t="inlineStr">
        <is>
          <t>SÖDERMANLANDS LÄN</t>
        </is>
      </c>
      <c r="E118" t="inlineStr">
        <is>
          <t>KATRINEHOLM</t>
        </is>
      </c>
      <c r="G118" t="n">
        <v>0.6</v>
      </c>
      <c r="H118" t="n">
        <v>0</v>
      </c>
      <c r="I118" t="n">
        <v>0</v>
      </c>
      <c r="J118" t="n">
        <v>0</v>
      </c>
      <c r="K118" t="n">
        <v>0</v>
      </c>
      <c r="L118" t="n">
        <v>0</v>
      </c>
      <c r="M118" t="n">
        <v>0</v>
      </c>
      <c r="N118" t="n">
        <v>0</v>
      </c>
      <c r="O118" t="n">
        <v>0</v>
      </c>
      <c r="P118" t="n">
        <v>0</v>
      </c>
      <c r="Q118" t="n">
        <v>0</v>
      </c>
      <c r="R118" s="2" t="inlineStr"/>
    </row>
    <row r="119" ht="15" customHeight="1">
      <c r="A119" t="inlineStr">
        <is>
          <t>A 34856-2019</t>
        </is>
      </c>
      <c r="B119" s="1" t="n">
        <v>43650</v>
      </c>
      <c r="C119" s="1" t="n">
        <v>45825</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35428-2019</t>
        </is>
      </c>
      <c r="B120" s="1" t="n">
        <v>43654</v>
      </c>
      <c r="C120" s="1" t="n">
        <v>45825</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36250-2019</t>
        </is>
      </c>
      <c r="B121" s="1" t="n">
        <v>43660</v>
      </c>
      <c r="C121" s="1" t="n">
        <v>45825</v>
      </c>
      <c r="D121" t="inlineStr">
        <is>
          <t>SÖDERMANLANDS LÄN</t>
        </is>
      </c>
      <c r="E121" t="inlineStr">
        <is>
          <t>KATRINEHOLM</t>
        </is>
      </c>
      <c r="G121" t="n">
        <v>5.4</v>
      </c>
      <c r="H121" t="n">
        <v>0</v>
      </c>
      <c r="I121" t="n">
        <v>0</v>
      </c>
      <c r="J121" t="n">
        <v>0</v>
      </c>
      <c r="K121" t="n">
        <v>0</v>
      </c>
      <c r="L121" t="n">
        <v>0</v>
      </c>
      <c r="M121" t="n">
        <v>0</v>
      </c>
      <c r="N121" t="n">
        <v>0</v>
      </c>
      <c r="O121" t="n">
        <v>0</v>
      </c>
      <c r="P121" t="n">
        <v>0</v>
      </c>
      <c r="Q121" t="n">
        <v>0</v>
      </c>
      <c r="R121" s="2" t="inlineStr"/>
    </row>
    <row r="122" ht="15" customHeight="1">
      <c r="A122" t="inlineStr">
        <is>
          <t>A 36280-2019</t>
        </is>
      </c>
      <c r="B122" s="1" t="n">
        <v>43661</v>
      </c>
      <c r="C122" s="1" t="n">
        <v>45825</v>
      </c>
      <c r="D122" t="inlineStr">
        <is>
          <t>SÖDERMANLANDS LÄN</t>
        </is>
      </c>
      <c r="E122" t="inlineStr">
        <is>
          <t>KATRINEHOLM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36279-2019</t>
        </is>
      </c>
      <c r="B123" s="1" t="n">
        <v>43661</v>
      </c>
      <c r="C123" s="1" t="n">
        <v>45825</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35432-2019</t>
        </is>
      </c>
      <c r="B124" s="1" t="n">
        <v>43663</v>
      </c>
      <c r="C124" s="1" t="n">
        <v>45825</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35784-2019</t>
        </is>
      </c>
      <c r="B125" s="1" t="n">
        <v>43665</v>
      </c>
      <c r="C125" s="1" t="n">
        <v>45825</v>
      </c>
      <c r="D125" t="inlineStr">
        <is>
          <t>SÖDERMANLANDS LÄN</t>
        </is>
      </c>
      <c r="E125" t="inlineStr">
        <is>
          <t>KATRINEHOLM</t>
        </is>
      </c>
      <c r="G125" t="n">
        <v>1.3</v>
      </c>
      <c r="H125" t="n">
        <v>0</v>
      </c>
      <c r="I125" t="n">
        <v>0</v>
      </c>
      <c r="J125" t="n">
        <v>0</v>
      </c>
      <c r="K125" t="n">
        <v>0</v>
      </c>
      <c r="L125" t="n">
        <v>0</v>
      </c>
      <c r="M125" t="n">
        <v>0</v>
      </c>
      <c r="N125" t="n">
        <v>0</v>
      </c>
      <c r="O125" t="n">
        <v>0</v>
      </c>
      <c r="P125" t="n">
        <v>0</v>
      </c>
      <c r="Q125" t="n">
        <v>0</v>
      </c>
      <c r="R125" s="2" t="inlineStr"/>
    </row>
    <row r="126" ht="15" customHeight="1">
      <c r="A126" t="inlineStr">
        <is>
          <t>A 36613-2019</t>
        </is>
      </c>
      <c r="B126" s="1" t="n">
        <v>43669</v>
      </c>
      <c r="C126" s="1" t="n">
        <v>45825</v>
      </c>
      <c r="D126" t="inlineStr">
        <is>
          <t>SÖDERMANLANDS LÄN</t>
        </is>
      </c>
      <c r="E126" t="inlineStr">
        <is>
          <t>KATRINEHOLM</t>
        </is>
      </c>
      <c r="G126" t="n">
        <v>3</v>
      </c>
      <c r="H126" t="n">
        <v>0</v>
      </c>
      <c r="I126" t="n">
        <v>0</v>
      </c>
      <c r="J126" t="n">
        <v>0</v>
      </c>
      <c r="K126" t="n">
        <v>0</v>
      </c>
      <c r="L126" t="n">
        <v>0</v>
      </c>
      <c r="M126" t="n">
        <v>0</v>
      </c>
      <c r="N126" t="n">
        <v>0</v>
      </c>
      <c r="O126" t="n">
        <v>0</v>
      </c>
      <c r="P126" t="n">
        <v>0</v>
      </c>
      <c r="Q126" t="n">
        <v>0</v>
      </c>
      <c r="R126" s="2" t="inlineStr"/>
    </row>
    <row r="127" ht="15" customHeight="1">
      <c r="A127" t="inlineStr">
        <is>
          <t>A 36603-2019</t>
        </is>
      </c>
      <c r="B127" s="1" t="n">
        <v>43669</v>
      </c>
      <c r="C127" s="1" t="n">
        <v>45825</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36408-2019</t>
        </is>
      </c>
      <c r="B128" s="1" t="n">
        <v>43670</v>
      </c>
      <c r="C128" s="1" t="n">
        <v>45825</v>
      </c>
      <c r="D128" t="inlineStr">
        <is>
          <t>SÖDERMANLANDS LÄN</t>
        </is>
      </c>
      <c r="E128" t="inlineStr">
        <is>
          <t>KATRINEHOLM</t>
        </is>
      </c>
      <c r="G128" t="n">
        <v>13.6</v>
      </c>
      <c r="H128" t="n">
        <v>0</v>
      </c>
      <c r="I128" t="n">
        <v>0</v>
      </c>
      <c r="J128" t="n">
        <v>0</v>
      </c>
      <c r="K128" t="n">
        <v>0</v>
      </c>
      <c r="L128" t="n">
        <v>0</v>
      </c>
      <c r="M128" t="n">
        <v>0</v>
      </c>
      <c r="N128" t="n">
        <v>0</v>
      </c>
      <c r="O128" t="n">
        <v>0</v>
      </c>
      <c r="P128" t="n">
        <v>0</v>
      </c>
      <c r="Q128" t="n">
        <v>0</v>
      </c>
      <c r="R128" s="2" t="inlineStr"/>
    </row>
    <row r="129" ht="15" customHeight="1">
      <c r="A129" t="inlineStr">
        <is>
          <t>A 36780-2019</t>
        </is>
      </c>
      <c r="B129" s="1" t="n">
        <v>43672</v>
      </c>
      <c r="C129" s="1" t="n">
        <v>45825</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37321-2019</t>
        </is>
      </c>
      <c r="B130" s="1" t="n">
        <v>43678</v>
      </c>
      <c r="C130" s="1" t="n">
        <v>45825</v>
      </c>
      <c r="D130" t="inlineStr">
        <is>
          <t>SÖDERMANLANDS LÄN</t>
        </is>
      </c>
      <c r="E130" t="inlineStr">
        <is>
          <t>KATRINEHOLM</t>
        </is>
      </c>
      <c r="G130" t="n">
        <v>5.5</v>
      </c>
      <c r="H130" t="n">
        <v>0</v>
      </c>
      <c r="I130" t="n">
        <v>0</v>
      </c>
      <c r="J130" t="n">
        <v>0</v>
      </c>
      <c r="K130" t="n">
        <v>0</v>
      </c>
      <c r="L130" t="n">
        <v>0</v>
      </c>
      <c r="M130" t="n">
        <v>0</v>
      </c>
      <c r="N130" t="n">
        <v>0</v>
      </c>
      <c r="O130" t="n">
        <v>0</v>
      </c>
      <c r="P130" t="n">
        <v>0</v>
      </c>
      <c r="Q130" t="n">
        <v>0</v>
      </c>
      <c r="R130" s="2" t="inlineStr"/>
    </row>
    <row r="131" ht="15" customHeight="1">
      <c r="A131" t="inlineStr">
        <is>
          <t>A 37462-2019</t>
        </is>
      </c>
      <c r="B131" s="1" t="n">
        <v>43678</v>
      </c>
      <c r="C131" s="1" t="n">
        <v>45825</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37420-2019</t>
        </is>
      </c>
      <c r="B132" s="1" t="n">
        <v>43678</v>
      </c>
      <c r="C132" s="1" t="n">
        <v>45825</v>
      </c>
      <c r="D132" t="inlineStr">
        <is>
          <t>SÖDERMANLANDS LÄN</t>
        </is>
      </c>
      <c r="E132" t="inlineStr">
        <is>
          <t>KATRINEHOLM</t>
        </is>
      </c>
      <c r="G132" t="n">
        <v>1.6</v>
      </c>
      <c r="H132" t="n">
        <v>0</v>
      </c>
      <c r="I132" t="n">
        <v>0</v>
      </c>
      <c r="J132" t="n">
        <v>0</v>
      </c>
      <c r="K132" t="n">
        <v>0</v>
      </c>
      <c r="L132" t="n">
        <v>0</v>
      </c>
      <c r="M132" t="n">
        <v>0</v>
      </c>
      <c r="N132" t="n">
        <v>0</v>
      </c>
      <c r="O132" t="n">
        <v>0</v>
      </c>
      <c r="P132" t="n">
        <v>0</v>
      </c>
      <c r="Q132" t="n">
        <v>0</v>
      </c>
      <c r="R132" s="2" t="inlineStr"/>
    </row>
    <row r="133" ht="15" customHeight="1">
      <c r="A133" t="inlineStr">
        <is>
          <t>A 39424-2019</t>
        </is>
      </c>
      <c r="B133" s="1" t="n">
        <v>43690</v>
      </c>
      <c r="C133" s="1" t="n">
        <v>45825</v>
      </c>
      <c r="D133" t="inlineStr">
        <is>
          <t>SÖDERMANLANDS LÄN</t>
        </is>
      </c>
      <c r="E133" t="inlineStr">
        <is>
          <t>KATRINEHOLM</t>
        </is>
      </c>
      <c r="G133" t="n">
        <v>25.1</v>
      </c>
      <c r="H133" t="n">
        <v>0</v>
      </c>
      <c r="I133" t="n">
        <v>0</v>
      </c>
      <c r="J133" t="n">
        <v>0</v>
      </c>
      <c r="K133" t="n">
        <v>0</v>
      </c>
      <c r="L133" t="n">
        <v>0</v>
      </c>
      <c r="M133" t="n">
        <v>0</v>
      </c>
      <c r="N133" t="n">
        <v>0</v>
      </c>
      <c r="O133" t="n">
        <v>0</v>
      </c>
      <c r="P133" t="n">
        <v>0</v>
      </c>
      <c r="Q133" t="n">
        <v>0</v>
      </c>
      <c r="R133" s="2" t="inlineStr"/>
    </row>
    <row r="134" ht="15" customHeight="1">
      <c r="A134" t="inlineStr">
        <is>
          <t>A 41126-2019</t>
        </is>
      </c>
      <c r="B134" s="1" t="n">
        <v>43691</v>
      </c>
      <c r="C134" s="1" t="n">
        <v>45825</v>
      </c>
      <c r="D134" t="inlineStr">
        <is>
          <t>SÖDERMANLANDS LÄN</t>
        </is>
      </c>
      <c r="E134" t="inlineStr">
        <is>
          <t>KATRINEHOLM</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40455-2019</t>
        </is>
      </c>
      <c r="B135" s="1" t="n">
        <v>43696</v>
      </c>
      <c r="C135" s="1" t="n">
        <v>45825</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40800-2019</t>
        </is>
      </c>
      <c r="B136" s="1" t="n">
        <v>43697</v>
      </c>
      <c r="C136" s="1" t="n">
        <v>45825</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40778-2019</t>
        </is>
      </c>
      <c r="B137" s="1" t="n">
        <v>43697</v>
      </c>
      <c r="C137" s="1" t="n">
        <v>45825</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40798-2019</t>
        </is>
      </c>
      <c r="B138" s="1" t="n">
        <v>43697</v>
      </c>
      <c r="C138" s="1" t="n">
        <v>45825</v>
      </c>
      <c r="D138" t="inlineStr">
        <is>
          <t>SÖDERMANLANDS LÄN</t>
        </is>
      </c>
      <c r="E138" t="inlineStr">
        <is>
          <t>KATRINEHOLM</t>
        </is>
      </c>
      <c r="G138" t="n">
        <v>4.8</v>
      </c>
      <c r="H138" t="n">
        <v>0</v>
      </c>
      <c r="I138" t="n">
        <v>0</v>
      </c>
      <c r="J138" t="n">
        <v>0</v>
      </c>
      <c r="K138" t="n">
        <v>0</v>
      </c>
      <c r="L138" t="n">
        <v>0</v>
      </c>
      <c r="M138" t="n">
        <v>0</v>
      </c>
      <c r="N138" t="n">
        <v>0</v>
      </c>
      <c r="O138" t="n">
        <v>0</v>
      </c>
      <c r="P138" t="n">
        <v>0</v>
      </c>
      <c r="Q138" t="n">
        <v>0</v>
      </c>
      <c r="R138" s="2" t="inlineStr"/>
    </row>
    <row r="139" ht="15" customHeight="1">
      <c r="A139" t="inlineStr">
        <is>
          <t>A 40812-2019</t>
        </is>
      </c>
      <c r="B139" s="1" t="n">
        <v>43697</v>
      </c>
      <c r="C139" s="1" t="n">
        <v>45825</v>
      </c>
      <c r="D139" t="inlineStr">
        <is>
          <t>SÖDERMANLANDS LÄN</t>
        </is>
      </c>
      <c r="E139" t="inlineStr">
        <is>
          <t>KATRINEHOLM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40773-2019</t>
        </is>
      </c>
      <c r="B140" s="1" t="n">
        <v>43697</v>
      </c>
      <c r="C140" s="1" t="n">
        <v>45825</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40775-2019</t>
        </is>
      </c>
      <c r="B141" s="1" t="n">
        <v>43697</v>
      </c>
      <c r="C141" s="1" t="n">
        <v>45825</v>
      </c>
      <c r="D141" t="inlineStr">
        <is>
          <t>SÖDERMANLANDS LÄN</t>
        </is>
      </c>
      <c r="E141" t="inlineStr">
        <is>
          <t>KATRINEHOLM</t>
        </is>
      </c>
      <c r="G141" t="n">
        <v>1</v>
      </c>
      <c r="H141" t="n">
        <v>0</v>
      </c>
      <c r="I141" t="n">
        <v>0</v>
      </c>
      <c r="J141" t="n">
        <v>0</v>
      </c>
      <c r="K141" t="n">
        <v>0</v>
      </c>
      <c r="L141" t="n">
        <v>0</v>
      </c>
      <c r="M141" t="n">
        <v>0</v>
      </c>
      <c r="N141" t="n">
        <v>0</v>
      </c>
      <c r="O141" t="n">
        <v>0</v>
      </c>
      <c r="P141" t="n">
        <v>0</v>
      </c>
      <c r="Q141" t="n">
        <v>0</v>
      </c>
      <c r="R141" s="2" t="inlineStr"/>
    </row>
    <row r="142" ht="15" customHeight="1">
      <c r="A142" t="inlineStr">
        <is>
          <t>A 40891-2019</t>
        </is>
      </c>
      <c r="B142" s="1" t="n">
        <v>43697</v>
      </c>
      <c r="C142" s="1" t="n">
        <v>45825</v>
      </c>
      <c r="D142" t="inlineStr">
        <is>
          <t>SÖDERMANLANDS LÄN</t>
        </is>
      </c>
      <c r="E142" t="inlineStr">
        <is>
          <t>KATRINEHOLM</t>
        </is>
      </c>
      <c r="G142" t="n">
        <v>10.5</v>
      </c>
      <c r="H142" t="n">
        <v>0</v>
      </c>
      <c r="I142" t="n">
        <v>0</v>
      </c>
      <c r="J142" t="n">
        <v>0</v>
      </c>
      <c r="K142" t="n">
        <v>0</v>
      </c>
      <c r="L142" t="n">
        <v>0</v>
      </c>
      <c r="M142" t="n">
        <v>0</v>
      </c>
      <c r="N142" t="n">
        <v>0</v>
      </c>
      <c r="O142" t="n">
        <v>0</v>
      </c>
      <c r="P142" t="n">
        <v>0</v>
      </c>
      <c r="Q142" t="n">
        <v>0</v>
      </c>
      <c r="R142" s="2" t="inlineStr"/>
    </row>
    <row r="143" ht="15" customHeight="1">
      <c r="A143" t="inlineStr">
        <is>
          <t>A 40820-2019</t>
        </is>
      </c>
      <c r="B143" s="1" t="n">
        <v>43697</v>
      </c>
      <c r="C143" s="1" t="n">
        <v>45825</v>
      </c>
      <c r="D143" t="inlineStr">
        <is>
          <t>SÖDERMANLANDS LÄN</t>
        </is>
      </c>
      <c r="E143" t="inlineStr">
        <is>
          <t>KATRINEHOLM</t>
        </is>
      </c>
      <c r="G143" t="n">
        <v>1.7</v>
      </c>
      <c r="H143" t="n">
        <v>0</v>
      </c>
      <c r="I143" t="n">
        <v>0</v>
      </c>
      <c r="J143" t="n">
        <v>0</v>
      </c>
      <c r="K143" t="n">
        <v>0</v>
      </c>
      <c r="L143" t="n">
        <v>0</v>
      </c>
      <c r="M143" t="n">
        <v>0</v>
      </c>
      <c r="N143" t="n">
        <v>0</v>
      </c>
      <c r="O143" t="n">
        <v>0</v>
      </c>
      <c r="P143" t="n">
        <v>0</v>
      </c>
      <c r="Q143" t="n">
        <v>0</v>
      </c>
      <c r="R143" s="2" t="inlineStr"/>
    </row>
    <row r="144" ht="15" customHeight="1">
      <c r="A144" t="inlineStr">
        <is>
          <t>A 42618-2019</t>
        </is>
      </c>
      <c r="B144" s="1" t="n">
        <v>43699</v>
      </c>
      <c r="C144" s="1" t="n">
        <v>45825</v>
      </c>
      <c r="D144" t="inlineStr">
        <is>
          <t>SÖDERMANLANDS LÄN</t>
        </is>
      </c>
      <c r="E144" t="inlineStr">
        <is>
          <t>KATRINEHOLM</t>
        </is>
      </c>
      <c r="G144" t="n">
        <v>24.1</v>
      </c>
      <c r="H144" t="n">
        <v>0</v>
      </c>
      <c r="I144" t="n">
        <v>0</v>
      </c>
      <c r="J144" t="n">
        <v>0</v>
      </c>
      <c r="K144" t="n">
        <v>0</v>
      </c>
      <c r="L144" t="n">
        <v>0</v>
      </c>
      <c r="M144" t="n">
        <v>0</v>
      </c>
      <c r="N144" t="n">
        <v>0</v>
      </c>
      <c r="O144" t="n">
        <v>0</v>
      </c>
      <c r="P144" t="n">
        <v>0</v>
      </c>
      <c r="Q144" t="n">
        <v>0</v>
      </c>
      <c r="R144" s="2" t="inlineStr"/>
    </row>
    <row r="145" ht="15" customHeight="1">
      <c r="A145" t="inlineStr">
        <is>
          <t>A 42397-2019</t>
        </is>
      </c>
      <c r="B145" s="1" t="n">
        <v>43703</v>
      </c>
      <c r="C145" s="1" t="n">
        <v>45825</v>
      </c>
      <c r="D145" t="inlineStr">
        <is>
          <t>SÖDERMANLANDS LÄN</t>
        </is>
      </c>
      <c r="E145" t="inlineStr">
        <is>
          <t>KATRINEHOLM</t>
        </is>
      </c>
      <c r="G145" t="n">
        <v>2.7</v>
      </c>
      <c r="H145" t="n">
        <v>0</v>
      </c>
      <c r="I145" t="n">
        <v>0</v>
      </c>
      <c r="J145" t="n">
        <v>0</v>
      </c>
      <c r="K145" t="n">
        <v>0</v>
      </c>
      <c r="L145" t="n">
        <v>0</v>
      </c>
      <c r="M145" t="n">
        <v>0</v>
      </c>
      <c r="N145" t="n">
        <v>0</v>
      </c>
      <c r="O145" t="n">
        <v>0</v>
      </c>
      <c r="P145" t="n">
        <v>0</v>
      </c>
      <c r="Q145" t="n">
        <v>0</v>
      </c>
      <c r="R145" s="2" t="inlineStr"/>
    </row>
    <row r="146" ht="15" customHeight="1">
      <c r="A146" t="inlineStr">
        <is>
          <t>A 42392-2019</t>
        </is>
      </c>
      <c r="B146" s="1" t="n">
        <v>43703</v>
      </c>
      <c r="C146" s="1" t="n">
        <v>45825</v>
      </c>
      <c r="D146" t="inlineStr">
        <is>
          <t>SÖDERMANLANDS LÄN</t>
        </is>
      </c>
      <c r="E146" t="inlineStr">
        <is>
          <t>KATRINEHOLM</t>
        </is>
      </c>
      <c r="G146" t="n">
        <v>1.3</v>
      </c>
      <c r="H146" t="n">
        <v>0</v>
      </c>
      <c r="I146" t="n">
        <v>0</v>
      </c>
      <c r="J146" t="n">
        <v>0</v>
      </c>
      <c r="K146" t="n">
        <v>0</v>
      </c>
      <c r="L146" t="n">
        <v>0</v>
      </c>
      <c r="M146" t="n">
        <v>0</v>
      </c>
      <c r="N146" t="n">
        <v>0</v>
      </c>
      <c r="O146" t="n">
        <v>0</v>
      </c>
      <c r="P146" t="n">
        <v>0</v>
      </c>
      <c r="Q146" t="n">
        <v>0</v>
      </c>
      <c r="R146" s="2" t="inlineStr"/>
    </row>
    <row r="147" ht="15" customHeight="1">
      <c r="A147" t="inlineStr">
        <is>
          <t>A 42394-2019</t>
        </is>
      </c>
      <c r="B147" s="1" t="n">
        <v>43703</v>
      </c>
      <c r="C147" s="1" t="n">
        <v>45825</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42244-2019</t>
        </is>
      </c>
      <c r="B148" s="1" t="n">
        <v>43703</v>
      </c>
      <c r="C148" s="1" t="n">
        <v>45825</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42897-2019</t>
        </is>
      </c>
      <c r="B149" s="1" t="n">
        <v>43705</v>
      </c>
      <c r="C149" s="1" t="n">
        <v>45825</v>
      </c>
      <c r="D149" t="inlineStr">
        <is>
          <t>SÖDERMANLANDS LÄN</t>
        </is>
      </c>
      <c r="E149" t="inlineStr">
        <is>
          <t>KATRINEHOLM</t>
        </is>
      </c>
      <c r="G149" t="n">
        <v>6</v>
      </c>
      <c r="H149" t="n">
        <v>0</v>
      </c>
      <c r="I149" t="n">
        <v>0</v>
      </c>
      <c r="J149" t="n">
        <v>0</v>
      </c>
      <c r="K149" t="n">
        <v>0</v>
      </c>
      <c r="L149" t="n">
        <v>0</v>
      </c>
      <c r="M149" t="n">
        <v>0</v>
      </c>
      <c r="N149" t="n">
        <v>0</v>
      </c>
      <c r="O149" t="n">
        <v>0</v>
      </c>
      <c r="P149" t="n">
        <v>0</v>
      </c>
      <c r="Q149" t="n">
        <v>0</v>
      </c>
      <c r="R149" s="2" t="inlineStr"/>
    </row>
    <row r="150" ht="15" customHeight="1">
      <c r="A150" t="inlineStr">
        <is>
          <t>A 44403-2019</t>
        </is>
      </c>
      <c r="B150" s="1" t="n">
        <v>43705</v>
      </c>
      <c r="C150" s="1" t="n">
        <v>45825</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43579-2019</t>
        </is>
      </c>
      <c r="B151" s="1" t="n">
        <v>43706</v>
      </c>
      <c r="C151" s="1" t="n">
        <v>45825</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43580-2019</t>
        </is>
      </c>
      <c r="B152" s="1" t="n">
        <v>43706</v>
      </c>
      <c r="C152" s="1" t="n">
        <v>45825</v>
      </c>
      <c r="D152" t="inlineStr">
        <is>
          <t>SÖDERMANLANDS LÄN</t>
        </is>
      </c>
      <c r="E152" t="inlineStr">
        <is>
          <t>KATRINEHOLM</t>
        </is>
      </c>
      <c r="G152" t="n">
        <v>3.6</v>
      </c>
      <c r="H152" t="n">
        <v>0</v>
      </c>
      <c r="I152" t="n">
        <v>0</v>
      </c>
      <c r="J152" t="n">
        <v>0</v>
      </c>
      <c r="K152" t="n">
        <v>0</v>
      </c>
      <c r="L152" t="n">
        <v>0</v>
      </c>
      <c r="M152" t="n">
        <v>0</v>
      </c>
      <c r="N152" t="n">
        <v>0</v>
      </c>
      <c r="O152" t="n">
        <v>0</v>
      </c>
      <c r="P152" t="n">
        <v>0</v>
      </c>
      <c r="Q152" t="n">
        <v>0</v>
      </c>
      <c r="R152" s="2" t="inlineStr"/>
    </row>
    <row r="153" ht="15" customHeight="1">
      <c r="A153" t="inlineStr">
        <is>
          <t>A 43575-2019</t>
        </is>
      </c>
      <c r="B153" s="1" t="n">
        <v>43706</v>
      </c>
      <c r="C153" s="1" t="n">
        <v>45825</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43577-2019</t>
        </is>
      </c>
      <c r="B154" s="1" t="n">
        <v>43706</v>
      </c>
      <c r="C154" s="1" t="n">
        <v>45825</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45332-2019</t>
        </is>
      </c>
      <c r="B155" s="1" t="n">
        <v>43709</v>
      </c>
      <c r="C155" s="1" t="n">
        <v>45825</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45326-2019</t>
        </is>
      </c>
      <c r="B156" s="1" t="n">
        <v>43709</v>
      </c>
      <c r="C156" s="1" t="n">
        <v>45825</v>
      </c>
      <c r="D156" t="inlineStr">
        <is>
          <t>SÖDERMANLANDS LÄN</t>
        </is>
      </c>
      <c r="E156" t="inlineStr">
        <is>
          <t>KATRINEHOLM</t>
        </is>
      </c>
      <c r="G156" t="n">
        <v>0.7</v>
      </c>
      <c r="H156" t="n">
        <v>0</v>
      </c>
      <c r="I156" t="n">
        <v>0</v>
      </c>
      <c r="J156" t="n">
        <v>0</v>
      </c>
      <c r="K156" t="n">
        <v>0</v>
      </c>
      <c r="L156" t="n">
        <v>0</v>
      </c>
      <c r="M156" t="n">
        <v>0</v>
      </c>
      <c r="N156" t="n">
        <v>0</v>
      </c>
      <c r="O156" t="n">
        <v>0</v>
      </c>
      <c r="P156" t="n">
        <v>0</v>
      </c>
      <c r="Q156" t="n">
        <v>0</v>
      </c>
      <c r="R156" s="2" t="inlineStr"/>
    </row>
    <row r="157" ht="15" customHeight="1">
      <c r="A157" t="inlineStr">
        <is>
          <t>A 44215-2019</t>
        </is>
      </c>
      <c r="B157" s="1" t="n">
        <v>43710</v>
      </c>
      <c r="C157" s="1" t="n">
        <v>45825</v>
      </c>
      <c r="D157" t="inlineStr">
        <is>
          <t>SÖDERMANLANDS LÄN</t>
        </is>
      </c>
      <c r="E157" t="inlineStr">
        <is>
          <t>KATRINEHOLM</t>
        </is>
      </c>
      <c r="G157" t="n">
        <v>3.1</v>
      </c>
      <c r="H157" t="n">
        <v>0</v>
      </c>
      <c r="I157" t="n">
        <v>0</v>
      </c>
      <c r="J157" t="n">
        <v>0</v>
      </c>
      <c r="K157" t="n">
        <v>0</v>
      </c>
      <c r="L157" t="n">
        <v>0</v>
      </c>
      <c r="M157" t="n">
        <v>0</v>
      </c>
      <c r="N157" t="n">
        <v>0</v>
      </c>
      <c r="O157" t="n">
        <v>0</v>
      </c>
      <c r="P157" t="n">
        <v>0</v>
      </c>
      <c r="Q157" t="n">
        <v>0</v>
      </c>
      <c r="R157" s="2" t="inlineStr"/>
    </row>
    <row r="158" ht="15" customHeight="1">
      <c r="A158" t="inlineStr">
        <is>
          <t>A 44276-2019</t>
        </is>
      </c>
      <c r="B158" s="1" t="n">
        <v>43710</v>
      </c>
      <c r="C158" s="1" t="n">
        <v>45825</v>
      </c>
      <c r="D158" t="inlineStr">
        <is>
          <t>SÖDERMANLANDS LÄN</t>
        </is>
      </c>
      <c r="E158" t="inlineStr">
        <is>
          <t>KATRINEHOLM</t>
        </is>
      </c>
      <c r="G158" t="n">
        <v>14.2</v>
      </c>
      <c r="H158" t="n">
        <v>0</v>
      </c>
      <c r="I158" t="n">
        <v>0</v>
      </c>
      <c r="J158" t="n">
        <v>0</v>
      </c>
      <c r="K158" t="n">
        <v>0</v>
      </c>
      <c r="L158" t="n">
        <v>0</v>
      </c>
      <c r="M158" t="n">
        <v>0</v>
      </c>
      <c r="N158" t="n">
        <v>0</v>
      </c>
      <c r="O158" t="n">
        <v>0</v>
      </c>
      <c r="P158" t="n">
        <v>0</v>
      </c>
      <c r="Q158" t="n">
        <v>0</v>
      </c>
      <c r="R158" s="2" t="inlineStr"/>
    </row>
    <row r="159" ht="15" customHeight="1">
      <c r="A159" t="inlineStr">
        <is>
          <t>A 44283-2019</t>
        </is>
      </c>
      <c r="B159" s="1" t="n">
        <v>43710</v>
      </c>
      <c r="C159" s="1" t="n">
        <v>45825</v>
      </c>
      <c r="D159" t="inlineStr">
        <is>
          <t>SÖDERMANLANDS LÄN</t>
        </is>
      </c>
      <c r="E159" t="inlineStr">
        <is>
          <t>KATRINEHOLM</t>
        </is>
      </c>
      <c r="G159" t="n">
        <v>10.5</v>
      </c>
      <c r="H159" t="n">
        <v>0</v>
      </c>
      <c r="I159" t="n">
        <v>0</v>
      </c>
      <c r="J159" t="n">
        <v>0</v>
      </c>
      <c r="K159" t="n">
        <v>0</v>
      </c>
      <c r="L159" t="n">
        <v>0</v>
      </c>
      <c r="M159" t="n">
        <v>0</v>
      </c>
      <c r="N159" t="n">
        <v>0</v>
      </c>
      <c r="O159" t="n">
        <v>0</v>
      </c>
      <c r="P159" t="n">
        <v>0</v>
      </c>
      <c r="Q159" t="n">
        <v>0</v>
      </c>
      <c r="R159" s="2" t="inlineStr"/>
    </row>
    <row r="160" ht="15" customHeight="1">
      <c r="A160" t="inlineStr">
        <is>
          <t>A 44184-2019</t>
        </is>
      </c>
      <c r="B160" s="1" t="n">
        <v>43710</v>
      </c>
      <c r="C160" s="1" t="n">
        <v>45825</v>
      </c>
      <c r="D160" t="inlineStr">
        <is>
          <t>SÖDERMANLANDS LÄN</t>
        </is>
      </c>
      <c r="E160" t="inlineStr">
        <is>
          <t>KATRINEHOLM</t>
        </is>
      </c>
      <c r="G160" t="n">
        <v>1.6</v>
      </c>
      <c r="H160" t="n">
        <v>0</v>
      </c>
      <c r="I160" t="n">
        <v>0</v>
      </c>
      <c r="J160" t="n">
        <v>0</v>
      </c>
      <c r="K160" t="n">
        <v>0</v>
      </c>
      <c r="L160" t="n">
        <v>0</v>
      </c>
      <c r="M160" t="n">
        <v>0</v>
      </c>
      <c r="N160" t="n">
        <v>0</v>
      </c>
      <c r="O160" t="n">
        <v>0</v>
      </c>
      <c r="P160" t="n">
        <v>0</v>
      </c>
      <c r="Q160" t="n">
        <v>0</v>
      </c>
      <c r="R160" s="2" t="inlineStr"/>
    </row>
    <row r="161" ht="15" customHeight="1">
      <c r="A161" t="inlineStr">
        <is>
          <t>A 44286-2019</t>
        </is>
      </c>
      <c r="B161" s="1" t="n">
        <v>43710</v>
      </c>
      <c r="C161" s="1" t="n">
        <v>45825</v>
      </c>
      <c r="D161" t="inlineStr">
        <is>
          <t>SÖDERMANLANDS LÄN</t>
        </is>
      </c>
      <c r="E161" t="inlineStr">
        <is>
          <t>KATRINEHOLM</t>
        </is>
      </c>
      <c r="G161" t="n">
        <v>18.9</v>
      </c>
      <c r="H161" t="n">
        <v>0</v>
      </c>
      <c r="I161" t="n">
        <v>0</v>
      </c>
      <c r="J161" t="n">
        <v>0</v>
      </c>
      <c r="K161" t="n">
        <v>0</v>
      </c>
      <c r="L161" t="n">
        <v>0</v>
      </c>
      <c r="M161" t="n">
        <v>0</v>
      </c>
      <c r="N161" t="n">
        <v>0</v>
      </c>
      <c r="O161" t="n">
        <v>0</v>
      </c>
      <c r="P161" t="n">
        <v>0</v>
      </c>
      <c r="Q161" t="n">
        <v>0</v>
      </c>
      <c r="R161" s="2" t="inlineStr"/>
    </row>
    <row r="162" ht="15" customHeight="1">
      <c r="A162" t="inlineStr">
        <is>
          <t>A 45318-2019</t>
        </is>
      </c>
      <c r="B162" s="1" t="n">
        <v>43710</v>
      </c>
      <c r="C162" s="1" t="n">
        <v>45825</v>
      </c>
      <c r="D162" t="inlineStr">
        <is>
          <t>SÖDERMANLANDS LÄN</t>
        </is>
      </c>
      <c r="E162" t="inlineStr">
        <is>
          <t>KATRINEHOLM</t>
        </is>
      </c>
      <c r="G162" t="n">
        <v>7</v>
      </c>
      <c r="H162" t="n">
        <v>0</v>
      </c>
      <c r="I162" t="n">
        <v>0</v>
      </c>
      <c r="J162" t="n">
        <v>0</v>
      </c>
      <c r="K162" t="n">
        <v>0</v>
      </c>
      <c r="L162" t="n">
        <v>0</v>
      </c>
      <c r="M162" t="n">
        <v>0</v>
      </c>
      <c r="N162" t="n">
        <v>0</v>
      </c>
      <c r="O162" t="n">
        <v>0</v>
      </c>
      <c r="P162" t="n">
        <v>0</v>
      </c>
      <c r="Q162" t="n">
        <v>0</v>
      </c>
      <c r="R162" s="2" t="inlineStr"/>
    </row>
    <row r="163" ht="15" customHeight="1">
      <c r="A163" t="inlineStr">
        <is>
          <t>A 45642-2019</t>
        </is>
      </c>
      <c r="B163" s="1" t="n">
        <v>43711</v>
      </c>
      <c r="C163" s="1" t="n">
        <v>45825</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45780-2019</t>
        </is>
      </c>
      <c r="B164" s="1" t="n">
        <v>43711</v>
      </c>
      <c r="C164" s="1" t="n">
        <v>45825</v>
      </c>
      <c r="D164" t="inlineStr">
        <is>
          <t>SÖDERMANLANDS LÄN</t>
        </is>
      </c>
      <c r="E164" t="inlineStr">
        <is>
          <t>KATRINEHOLM</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44862-2019</t>
        </is>
      </c>
      <c r="B165" s="1" t="n">
        <v>43712</v>
      </c>
      <c r="C165" s="1" t="n">
        <v>45825</v>
      </c>
      <c r="D165" t="inlineStr">
        <is>
          <t>SÖDERMANLANDS LÄN</t>
        </is>
      </c>
      <c r="E165" t="inlineStr">
        <is>
          <t>KATRINEHOLM</t>
        </is>
      </c>
      <c r="G165" t="n">
        <v>26</v>
      </c>
      <c r="H165" t="n">
        <v>0</v>
      </c>
      <c r="I165" t="n">
        <v>0</v>
      </c>
      <c r="J165" t="n">
        <v>0</v>
      </c>
      <c r="K165" t="n">
        <v>0</v>
      </c>
      <c r="L165" t="n">
        <v>0</v>
      </c>
      <c r="M165" t="n">
        <v>0</v>
      </c>
      <c r="N165" t="n">
        <v>0</v>
      </c>
      <c r="O165" t="n">
        <v>0</v>
      </c>
      <c r="P165" t="n">
        <v>0</v>
      </c>
      <c r="Q165" t="n">
        <v>0</v>
      </c>
      <c r="R165" s="2" t="inlineStr"/>
    </row>
    <row r="166" ht="15" customHeight="1">
      <c r="A166" t="inlineStr">
        <is>
          <t>A 44859-2019</t>
        </is>
      </c>
      <c r="B166" s="1" t="n">
        <v>43712</v>
      </c>
      <c r="C166" s="1" t="n">
        <v>45825</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45246-2019</t>
        </is>
      </c>
      <c r="B167" s="1" t="n">
        <v>43713</v>
      </c>
      <c r="C167" s="1" t="n">
        <v>45825</v>
      </c>
      <c r="D167" t="inlineStr">
        <is>
          <t>SÖDERMANLANDS LÄN</t>
        </is>
      </c>
      <c r="E167" t="inlineStr">
        <is>
          <t>KATRINEHOLM</t>
        </is>
      </c>
      <c r="G167" t="n">
        <v>3.2</v>
      </c>
      <c r="H167" t="n">
        <v>0</v>
      </c>
      <c r="I167" t="n">
        <v>0</v>
      </c>
      <c r="J167" t="n">
        <v>0</v>
      </c>
      <c r="K167" t="n">
        <v>0</v>
      </c>
      <c r="L167" t="n">
        <v>0</v>
      </c>
      <c r="M167" t="n">
        <v>0</v>
      </c>
      <c r="N167" t="n">
        <v>0</v>
      </c>
      <c r="O167" t="n">
        <v>0</v>
      </c>
      <c r="P167" t="n">
        <v>0</v>
      </c>
      <c r="Q167" t="n">
        <v>0</v>
      </c>
      <c r="R167" s="2" t="inlineStr"/>
    </row>
    <row r="168" ht="15" customHeight="1">
      <c r="A168" t="inlineStr">
        <is>
          <t>A 45248-2019</t>
        </is>
      </c>
      <c r="B168" s="1" t="n">
        <v>43713</v>
      </c>
      <c r="C168" s="1" t="n">
        <v>45825</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47935-2019</t>
        </is>
      </c>
      <c r="B169" s="1" t="n">
        <v>43725</v>
      </c>
      <c r="C169" s="1" t="n">
        <v>45825</v>
      </c>
      <c r="D169" t="inlineStr">
        <is>
          <t>SÖDERMANLANDS LÄN</t>
        </is>
      </c>
      <c r="E169" t="inlineStr">
        <is>
          <t>KATRINEHOLM</t>
        </is>
      </c>
      <c r="G169" t="n">
        <v>1.9</v>
      </c>
      <c r="H169" t="n">
        <v>0</v>
      </c>
      <c r="I169" t="n">
        <v>0</v>
      </c>
      <c r="J169" t="n">
        <v>0</v>
      </c>
      <c r="K169" t="n">
        <v>0</v>
      </c>
      <c r="L169" t="n">
        <v>0</v>
      </c>
      <c r="M169" t="n">
        <v>0</v>
      </c>
      <c r="N169" t="n">
        <v>0</v>
      </c>
      <c r="O169" t="n">
        <v>0</v>
      </c>
      <c r="P169" t="n">
        <v>0</v>
      </c>
      <c r="Q169" t="n">
        <v>0</v>
      </c>
      <c r="R169" s="2" t="inlineStr"/>
    </row>
    <row r="170" ht="15" customHeight="1">
      <c r="A170" t="inlineStr">
        <is>
          <t>A 48581-2019</t>
        </is>
      </c>
      <c r="B170" s="1" t="n">
        <v>43727</v>
      </c>
      <c r="C170" s="1" t="n">
        <v>45825</v>
      </c>
      <c r="D170" t="inlineStr">
        <is>
          <t>SÖDERMANLANDS LÄN</t>
        </is>
      </c>
      <c r="E170" t="inlineStr">
        <is>
          <t>KATRINEHOLM</t>
        </is>
      </c>
      <c r="G170" t="n">
        <v>14.3</v>
      </c>
      <c r="H170" t="n">
        <v>0</v>
      </c>
      <c r="I170" t="n">
        <v>0</v>
      </c>
      <c r="J170" t="n">
        <v>0</v>
      </c>
      <c r="K170" t="n">
        <v>0</v>
      </c>
      <c r="L170" t="n">
        <v>0</v>
      </c>
      <c r="M170" t="n">
        <v>0</v>
      </c>
      <c r="N170" t="n">
        <v>0</v>
      </c>
      <c r="O170" t="n">
        <v>0</v>
      </c>
      <c r="P170" t="n">
        <v>0</v>
      </c>
      <c r="Q170" t="n">
        <v>0</v>
      </c>
      <c r="R170" s="2" t="inlineStr"/>
    </row>
    <row r="171" ht="15" customHeight="1">
      <c r="A171" t="inlineStr">
        <is>
          <t>A 49346-2019</t>
        </is>
      </c>
      <c r="B171" s="1" t="n">
        <v>43731</v>
      </c>
      <c r="C171" s="1" t="n">
        <v>45825</v>
      </c>
      <c r="D171" t="inlineStr">
        <is>
          <t>SÖDERMANLANDS LÄN</t>
        </is>
      </c>
      <c r="E171" t="inlineStr">
        <is>
          <t>KATRINEHOLM</t>
        </is>
      </c>
      <c r="G171" t="n">
        <v>4.1</v>
      </c>
      <c r="H171" t="n">
        <v>0</v>
      </c>
      <c r="I171" t="n">
        <v>0</v>
      </c>
      <c r="J171" t="n">
        <v>0</v>
      </c>
      <c r="K171" t="n">
        <v>0</v>
      </c>
      <c r="L171" t="n">
        <v>0</v>
      </c>
      <c r="M171" t="n">
        <v>0</v>
      </c>
      <c r="N171" t="n">
        <v>0</v>
      </c>
      <c r="O171" t="n">
        <v>0</v>
      </c>
      <c r="P171" t="n">
        <v>0</v>
      </c>
      <c r="Q171" t="n">
        <v>0</v>
      </c>
      <c r="R171" s="2" t="inlineStr"/>
    </row>
    <row r="172" ht="15" customHeight="1">
      <c r="A172" t="inlineStr">
        <is>
          <t>A 51109-2019</t>
        </is>
      </c>
      <c r="B172" s="1" t="n">
        <v>43739</v>
      </c>
      <c r="C172" s="1" t="n">
        <v>45825</v>
      </c>
      <c r="D172" t="inlineStr">
        <is>
          <t>SÖDERMANLANDS LÄN</t>
        </is>
      </c>
      <c r="E172" t="inlineStr">
        <is>
          <t>KATRINEHOLM</t>
        </is>
      </c>
      <c r="G172" t="n">
        <v>7.8</v>
      </c>
      <c r="H172" t="n">
        <v>0</v>
      </c>
      <c r="I172" t="n">
        <v>0</v>
      </c>
      <c r="J172" t="n">
        <v>0</v>
      </c>
      <c r="K172" t="n">
        <v>0</v>
      </c>
      <c r="L172" t="n">
        <v>0</v>
      </c>
      <c r="M172" t="n">
        <v>0</v>
      </c>
      <c r="N172" t="n">
        <v>0</v>
      </c>
      <c r="O172" t="n">
        <v>0</v>
      </c>
      <c r="P172" t="n">
        <v>0</v>
      </c>
      <c r="Q172" t="n">
        <v>0</v>
      </c>
      <c r="R172" s="2" t="inlineStr"/>
    </row>
    <row r="173" ht="15" customHeight="1">
      <c r="A173" t="inlineStr">
        <is>
          <t>A 51233-2019</t>
        </is>
      </c>
      <c r="B173" s="1" t="n">
        <v>43739</v>
      </c>
      <c r="C173" s="1" t="n">
        <v>45825</v>
      </c>
      <c r="D173" t="inlineStr">
        <is>
          <t>SÖDERMANLANDS LÄN</t>
        </is>
      </c>
      <c r="E173" t="inlineStr">
        <is>
          <t>KATRINEHOLM</t>
        </is>
      </c>
      <c r="G173" t="n">
        <v>7.4</v>
      </c>
      <c r="H173" t="n">
        <v>0</v>
      </c>
      <c r="I173" t="n">
        <v>0</v>
      </c>
      <c r="J173" t="n">
        <v>0</v>
      </c>
      <c r="K173" t="n">
        <v>0</v>
      </c>
      <c r="L173" t="n">
        <v>0</v>
      </c>
      <c r="M173" t="n">
        <v>0</v>
      </c>
      <c r="N173" t="n">
        <v>0</v>
      </c>
      <c r="O173" t="n">
        <v>0</v>
      </c>
      <c r="P173" t="n">
        <v>0</v>
      </c>
      <c r="Q173" t="n">
        <v>0</v>
      </c>
      <c r="R173" s="2" t="inlineStr"/>
    </row>
    <row r="174" ht="15" customHeight="1">
      <c r="A174" t="inlineStr">
        <is>
          <t>A 51871-2019</t>
        </is>
      </c>
      <c r="B174" s="1" t="n">
        <v>43741</v>
      </c>
      <c r="C174" s="1" t="n">
        <v>45825</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54305-2019</t>
        </is>
      </c>
      <c r="B175" s="1" t="n">
        <v>43745</v>
      </c>
      <c r="C175" s="1" t="n">
        <v>45825</v>
      </c>
      <c r="D175" t="inlineStr">
        <is>
          <t>SÖDERMANLANDS LÄN</t>
        </is>
      </c>
      <c r="E175" t="inlineStr">
        <is>
          <t>KATRINEHOLM</t>
        </is>
      </c>
      <c r="G175" t="n">
        <v>9.6</v>
      </c>
      <c r="H175" t="n">
        <v>0</v>
      </c>
      <c r="I175" t="n">
        <v>0</v>
      </c>
      <c r="J175" t="n">
        <v>0</v>
      </c>
      <c r="K175" t="n">
        <v>0</v>
      </c>
      <c r="L175" t="n">
        <v>0</v>
      </c>
      <c r="M175" t="n">
        <v>0</v>
      </c>
      <c r="N175" t="n">
        <v>0</v>
      </c>
      <c r="O175" t="n">
        <v>0</v>
      </c>
      <c r="P175" t="n">
        <v>0</v>
      </c>
      <c r="Q175" t="n">
        <v>0</v>
      </c>
      <c r="R175" s="2" t="inlineStr"/>
    </row>
    <row r="176" ht="15" customHeight="1">
      <c r="A176" t="inlineStr">
        <is>
          <t>A 54310-2019</t>
        </is>
      </c>
      <c r="B176" s="1" t="n">
        <v>43745</v>
      </c>
      <c r="C176" s="1" t="n">
        <v>45825</v>
      </c>
      <c r="D176" t="inlineStr">
        <is>
          <t>SÖDERMANLANDS LÄN</t>
        </is>
      </c>
      <c r="E176" t="inlineStr">
        <is>
          <t>KATRINEHOLM</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54321-2019</t>
        </is>
      </c>
      <c r="B177" s="1" t="n">
        <v>43745</v>
      </c>
      <c r="C177" s="1" t="n">
        <v>45825</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53762-2019</t>
        </is>
      </c>
      <c r="B178" s="1" t="n">
        <v>43750</v>
      </c>
      <c r="C178" s="1" t="n">
        <v>45825</v>
      </c>
      <c r="D178" t="inlineStr">
        <is>
          <t>SÖDERMANLANDS LÄN</t>
        </is>
      </c>
      <c r="E178" t="inlineStr">
        <is>
          <t>KATRINEHOLM</t>
        </is>
      </c>
      <c r="G178" t="n">
        <v>2.5</v>
      </c>
      <c r="H178" t="n">
        <v>0</v>
      </c>
      <c r="I178" t="n">
        <v>0</v>
      </c>
      <c r="J178" t="n">
        <v>0</v>
      </c>
      <c r="K178" t="n">
        <v>0</v>
      </c>
      <c r="L178" t="n">
        <v>0</v>
      </c>
      <c r="M178" t="n">
        <v>0</v>
      </c>
      <c r="N178" t="n">
        <v>0</v>
      </c>
      <c r="O178" t="n">
        <v>0</v>
      </c>
      <c r="P178" t="n">
        <v>0</v>
      </c>
      <c r="Q178" t="n">
        <v>0</v>
      </c>
      <c r="R178" s="2" t="inlineStr"/>
    </row>
    <row r="179" ht="15" customHeight="1">
      <c r="A179" t="inlineStr">
        <is>
          <t>A 54263-2019</t>
        </is>
      </c>
      <c r="B179" s="1" t="n">
        <v>43753</v>
      </c>
      <c r="C179" s="1" t="n">
        <v>45825</v>
      </c>
      <c r="D179" t="inlineStr">
        <is>
          <t>SÖDERMANLANDS LÄN</t>
        </is>
      </c>
      <c r="E179" t="inlineStr">
        <is>
          <t>KATRINEHOLM</t>
        </is>
      </c>
      <c r="G179" t="n">
        <v>2</v>
      </c>
      <c r="H179" t="n">
        <v>0</v>
      </c>
      <c r="I179" t="n">
        <v>0</v>
      </c>
      <c r="J179" t="n">
        <v>0</v>
      </c>
      <c r="K179" t="n">
        <v>0</v>
      </c>
      <c r="L179" t="n">
        <v>0</v>
      </c>
      <c r="M179" t="n">
        <v>0</v>
      </c>
      <c r="N179" t="n">
        <v>0</v>
      </c>
      <c r="O179" t="n">
        <v>0</v>
      </c>
      <c r="P179" t="n">
        <v>0</v>
      </c>
      <c r="Q179" t="n">
        <v>0</v>
      </c>
      <c r="R179" s="2" t="inlineStr"/>
    </row>
    <row r="180" ht="15" customHeight="1">
      <c r="A180" t="inlineStr">
        <is>
          <t>A 55232-2019</t>
        </is>
      </c>
      <c r="B180" s="1" t="n">
        <v>43753</v>
      </c>
      <c r="C180" s="1" t="n">
        <v>45825</v>
      </c>
      <c r="D180" t="inlineStr">
        <is>
          <t>SÖDERMANLANDS LÄN</t>
        </is>
      </c>
      <c r="E180" t="inlineStr">
        <is>
          <t>KATRINEHOLM</t>
        </is>
      </c>
      <c r="G180" t="n">
        <v>4</v>
      </c>
      <c r="H180" t="n">
        <v>0</v>
      </c>
      <c r="I180" t="n">
        <v>0</v>
      </c>
      <c r="J180" t="n">
        <v>0</v>
      </c>
      <c r="K180" t="n">
        <v>0</v>
      </c>
      <c r="L180" t="n">
        <v>0</v>
      </c>
      <c r="M180" t="n">
        <v>0</v>
      </c>
      <c r="N180" t="n">
        <v>0</v>
      </c>
      <c r="O180" t="n">
        <v>0</v>
      </c>
      <c r="P180" t="n">
        <v>0</v>
      </c>
      <c r="Q180" t="n">
        <v>0</v>
      </c>
      <c r="R180" s="2" t="inlineStr"/>
    </row>
    <row r="181" ht="15" customHeight="1">
      <c r="A181" t="inlineStr">
        <is>
          <t>A 55333-2019</t>
        </is>
      </c>
      <c r="B181" s="1" t="n">
        <v>43756</v>
      </c>
      <c r="C181" s="1" t="n">
        <v>45825</v>
      </c>
      <c r="D181" t="inlineStr">
        <is>
          <t>SÖDERMANLANDS LÄN</t>
        </is>
      </c>
      <c r="E181" t="inlineStr">
        <is>
          <t>KATRINEHOLM</t>
        </is>
      </c>
      <c r="G181" t="n">
        <v>2.8</v>
      </c>
      <c r="H181" t="n">
        <v>0</v>
      </c>
      <c r="I181" t="n">
        <v>0</v>
      </c>
      <c r="J181" t="n">
        <v>0</v>
      </c>
      <c r="K181" t="n">
        <v>0</v>
      </c>
      <c r="L181" t="n">
        <v>0</v>
      </c>
      <c r="M181" t="n">
        <v>0</v>
      </c>
      <c r="N181" t="n">
        <v>0</v>
      </c>
      <c r="O181" t="n">
        <v>0</v>
      </c>
      <c r="P181" t="n">
        <v>0</v>
      </c>
      <c r="Q181" t="n">
        <v>0</v>
      </c>
      <c r="R181" s="2" t="inlineStr"/>
    </row>
    <row r="182" ht="15" customHeight="1">
      <c r="A182" t="inlineStr">
        <is>
          <t>A 55330-2019</t>
        </is>
      </c>
      <c r="B182" s="1" t="n">
        <v>43756</v>
      </c>
      <c r="C182" s="1" t="n">
        <v>45825</v>
      </c>
      <c r="D182" t="inlineStr">
        <is>
          <t>SÖDERMANLANDS LÄN</t>
        </is>
      </c>
      <c r="E182" t="inlineStr">
        <is>
          <t>KATRINEHOLM</t>
        </is>
      </c>
      <c r="G182" t="n">
        <v>5.5</v>
      </c>
      <c r="H182" t="n">
        <v>0</v>
      </c>
      <c r="I182" t="n">
        <v>0</v>
      </c>
      <c r="J182" t="n">
        <v>0</v>
      </c>
      <c r="K182" t="n">
        <v>0</v>
      </c>
      <c r="L182" t="n">
        <v>0</v>
      </c>
      <c r="M182" t="n">
        <v>0</v>
      </c>
      <c r="N182" t="n">
        <v>0</v>
      </c>
      <c r="O182" t="n">
        <v>0</v>
      </c>
      <c r="P182" t="n">
        <v>0</v>
      </c>
      <c r="Q182" t="n">
        <v>0</v>
      </c>
      <c r="R182" s="2" t="inlineStr"/>
    </row>
    <row r="183" ht="15" customHeight="1">
      <c r="A183" t="inlineStr">
        <is>
          <t>A 57787-2019</t>
        </is>
      </c>
      <c r="B183" s="1" t="n">
        <v>43768</v>
      </c>
      <c r="C183" s="1" t="n">
        <v>45825</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59039-2019</t>
        </is>
      </c>
      <c r="B184" s="1" t="n">
        <v>43768</v>
      </c>
      <c r="C184" s="1" t="n">
        <v>45825</v>
      </c>
      <c r="D184" t="inlineStr">
        <is>
          <t>SÖDERMANLANDS LÄN</t>
        </is>
      </c>
      <c r="E184" t="inlineStr">
        <is>
          <t>KATRINEHOLM</t>
        </is>
      </c>
      <c r="G184" t="n">
        <v>22.3</v>
      </c>
      <c r="H184" t="n">
        <v>0</v>
      </c>
      <c r="I184" t="n">
        <v>0</v>
      </c>
      <c r="J184" t="n">
        <v>0</v>
      </c>
      <c r="K184" t="n">
        <v>0</v>
      </c>
      <c r="L184" t="n">
        <v>0</v>
      </c>
      <c r="M184" t="n">
        <v>0</v>
      </c>
      <c r="N184" t="n">
        <v>0</v>
      </c>
      <c r="O184" t="n">
        <v>0</v>
      </c>
      <c r="P184" t="n">
        <v>0</v>
      </c>
      <c r="Q184" t="n">
        <v>0</v>
      </c>
      <c r="R184" s="2" t="inlineStr"/>
    </row>
    <row r="185" ht="15" customHeight="1">
      <c r="A185" t="inlineStr">
        <is>
          <t>A 57793-2019</t>
        </is>
      </c>
      <c r="B185" s="1" t="n">
        <v>43768</v>
      </c>
      <c r="C185" s="1" t="n">
        <v>45825</v>
      </c>
      <c r="D185" t="inlineStr">
        <is>
          <t>SÖDERMANLANDS LÄN</t>
        </is>
      </c>
      <c r="E185" t="inlineStr">
        <is>
          <t>KATRINEHOLM</t>
        </is>
      </c>
      <c r="G185" t="n">
        <v>4.5</v>
      </c>
      <c r="H185" t="n">
        <v>0</v>
      </c>
      <c r="I185" t="n">
        <v>0</v>
      </c>
      <c r="J185" t="n">
        <v>0</v>
      </c>
      <c r="K185" t="n">
        <v>0</v>
      </c>
      <c r="L185" t="n">
        <v>0</v>
      </c>
      <c r="M185" t="n">
        <v>0</v>
      </c>
      <c r="N185" t="n">
        <v>0</v>
      </c>
      <c r="O185" t="n">
        <v>0</v>
      </c>
      <c r="P185" t="n">
        <v>0</v>
      </c>
      <c r="Q185" t="n">
        <v>0</v>
      </c>
      <c r="R185" s="2" t="inlineStr"/>
    </row>
    <row r="186" ht="15" customHeight="1">
      <c r="A186" t="inlineStr">
        <is>
          <t>A 58938-2019</t>
        </is>
      </c>
      <c r="B186" s="1" t="n">
        <v>43769</v>
      </c>
      <c r="C186" s="1" t="n">
        <v>45825</v>
      </c>
      <c r="D186" t="inlineStr">
        <is>
          <t>SÖDERMANLANDS LÄN</t>
        </is>
      </c>
      <c r="E186" t="inlineStr">
        <is>
          <t>KATRINEHOLM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59913-2019</t>
        </is>
      </c>
      <c r="B187" s="1" t="n">
        <v>43777</v>
      </c>
      <c r="C187" s="1" t="n">
        <v>45825</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59905-2019</t>
        </is>
      </c>
      <c r="B188" s="1" t="n">
        <v>43777</v>
      </c>
      <c r="C188" s="1" t="n">
        <v>45825</v>
      </c>
      <c r="D188" t="inlineStr">
        <is>
          <t>SÖDERMANLANDS LÄN</t>
        </is>
      </c>
      <c r="E188" t="inlineStr">
        <is>
          <t>KATRINEHOLM</t>
        </is>
      </c>
      <c r="G188" t="n">
        <v>4.7</v>
      </c>
      <c r="H188" t="n">
        <v>0</v>
      </c>
      <c r="I188" t="n">
        <v>0</v>
      </c>
      <c r="J188" t="n">
        <v>0</v>
      </c>
      <c r="K188" t="n">
        <v>0</v>
      </c>
      <c r="L188" t="n">
        <v>0</v>
      </c>
      <c r="M188" t="n">
        <v>0</v>
      </c>
      <c r="N188" t="n">
        <v>0</v>
      </c>
      <c r="O188" t="n">
        <v>0</v>
      </c>
      <c r="P188" t="n">
        <v>0</v>
      </c>
      <c r="Q188" t="n">
        <v>0</v>
      </c>
      <c r="R188" s="2" t="inlineStr"/>
    </row>
    <row r="189" ht="15" customHeight="1">
      <c r="A189" t="inlineStr">
        <is>
          <t>A 59981-2019</t>
        </is>
      </c>
      <c r="B189" s="1" t="n">
        <v>43777</v>
      </c>
      <c r="C189" s="1" t="n">
        <v>45825</v>
      </c>
      <c r="D189" t="inlineStr">
        <is>
          <t>SÖDERMANLANDS LÄN</t>
        </is>
      </c>
      <c r="E189" t="inlineStr">
        <is>
          <t>KATRINEHOLM</t>
        </is>
      </c>
      <c r="F189" t="inlineStr">
        <is>
          <t>Kyrkan</t>
        </is>
      </c>
      <c r="G189" t="n">
        <v>0.9</v>
      </c>
      <c r="H189" t="n">
        <v>0</v>
      </c>
      <c r="I189" t="n">
        <v>0</v>
      </c>
      <c r="J189" t="n">
        <v>0</v>
      </c>
      <c r="K189" t="n">
        <v>0</v>
      </c>
      <c r="L189" t="n">
        <v>0</v>
      </c>
      <c r="M189" t="n">
        <v>0</v>
      </c>
      <c r="N189" t="n">
        <v>0</v>
      </c>
      <c r="O189" t="n">
        <v>0</v>
      </c>
      <c r="P189" t="n">
        <v>0</v>
      </c>
      <c r="Q189" t="n">
        <v>0</v>
      </c>
      <c r="R189" s="2" t="inlineStr"/>
    </row>
    <row r="190" ht="15" customHeight="1">
      <c r="A190" t="inlineStr">
        <is>
          <t>A 60672-2019</t>
        </is>
      </c>
      <c r="B190" s="1" t="n">
        <v>43777</v>
      </c>
      <c r="C190" s="1" t="n">
        <v>45825</v>
      </c>
      <c r="D190" t="inlineStr">
        <is>
          <t>SÖDERMANLANDS LÄN</t>
        </is>
      </c>
      <c r="E190" t="inlineStr">
        <is>
          <t>KATRINEHOLM</t>
        </is>
      </c>
      <c r="G190" t="n">
        <v>6.5</v>
      </c>
      <c r="H190" t="n">
        <v>0</v>
      </c>
      <c r="I190" t="n">
        <v>0</v>
      </c>
      <c r="J190" t="n">
        <v>0</v>
      </c>
      <c r="K190" t="n">
        <v>0</v>
      </c>
      <c r="L190" t="n">
        <v>0</v>
      </c>
      <c r="M190" t="n">
        <v>0</v>
      </c>
      <c r="N190" t="n">
        <v>0</v>
      </c>
      <c r="O190" t="n">
        <v>0</v>
      </c>
      <c r="P190" t="n">
        <v>0</v>
      </c>
      <c r="Q190" t="n">
        <v>0</v>
      </c>
      <c r="R190" s="2" t="inlineStr"/>
    </row>
    <row r="191" ht="15" customHeight="1">
      <c r="A191" t="inlineStr">
        <is>
          <t>A 60136-2019</t>
        </is>
      </c>
      <c r="B191" s="1" t="n">
        <v>43779</v>
      </c>
      <c r="C191" s="1" t="n">
        <v>45825</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60675-2019</t>
        </is>
      </c>
      <c r="B192" s="1" t="n">
        <v>43781</v>
      </c>
      <c r="C192" s="1" t="n">
        <v>45825</v>
      </c>
      <c r="D192" t="inlineStr">
        <is>
          <t>SÖDERMANLANDS LÄN</t>
        </is>
      </c>
      <c r="E192" t="inlineStr">
        <is>
          <t>KATRINEHOLM</t>
        </is>
      </c>
      <c r="G192" t="n">
        <v>2.6</v>
      </c>
      <c r="H192" t="n">
        <v>0</v>
      </c>
      <c r="I192" t="n">
        <v>0</v>
      </c>
      <c r="J192" t="n">
        <v>0</v>
      </c>
      <c r="K192" t="n">
        <v>0</v>
      </c>
      <c r="L192" t="n">
        <v>0</v>
      </c>
      <c r="M192" t="n">
        <v>0</v>
      </c>
      <c r="N192" t="n">
        <v>0</v>
      </c>
      <c r="O192" t="n">
        <v>0</v>
      </c>
      <c r="P192" t="n">
        <v>0</v>
      </c>
      <c r="Q192" t="n">
        <v>0</v>
      </c>
      <c r="R192" s="2" t="inlineStr"/>
    </row>
    <row r="193" ht="15" customHeight="1">
      <c r="A193" t="inlineStr">
        <is>
          <t>A 61999-2019</t>
        </is>
      </c>
      <c r="B193" s="1" t="n">
        <v>43781</v>
      </c>
      <c r="C193" s="1" t="n">
        <v>45825</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61161-2019</t>
        </is>
      </c>
      <c r="B194" s="1" t="n">
        <v>43782</v>
      </c>
      <c r="C194" s="1" t="n">
        <v>45825</v>
      </c>
      <c r="D194" t="inlineStr">
        <is>
          <t>SÖDERMANLANDS LÄN</t>
        </is>
      </c>
      <c r="E194" t="inlineStr">
        <is>
          <t>KATRINEHOLM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61867-2019</t>
        </is>
      </c>
      <c r="B195" s="1" t="n">
        <v>43784</v>
      </c>
      <c r="C195" s="1" t="n">
        <v>45825</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64409-2019</t>
        </is>
      </c>
      <c r="B196" s="1" t="n">
        <v>43793</v>
      </c>
      <c r="C196" s="1" t="n">
        <v>45825</v>
      </c>
      <c r="D196" t="inlineStr">
        <is>
          <t>SÖDERMANLANDS LÄN</t>
        </is>
      </c>
      <c r="E196" t="inlineStr">
        <is>
          <t>KATRINEHOLM</t>
        </is>
      </c>
      <c r="G196" t="n">
        <v>15.8</v>
      </c>
      <c r="H196" t="n">
        <v>0</v>
      </c>
      <c r="I196" t="n">
        <v>0</v>
      </c>
      <c r="J196" t="n">
        <v>0</v>
      </c>
      <c r="K196" t="n">
        <v>0</v>
      </c>
      <c r="L196" t="n">
        <v>0</v>
      </c>
      <c r="M196" t="n">
        <v>0</v>
      </c>
      <c r="N196" t="n">
        <v>0</v>
      </c>
      <c r="O196" t="n">
        <v>0</v>
      </c>
      <c r="P196" t="n">
        <v>0</v>
      </c>
      <c r="Q196" t="n">
        <v>0</v>
      </c>
      <c r="R196" s="2" t="inlineStr"/>
    </row>
    <row r="197" ht="15" customHeight="1">
      <c r="A197" t="inlineStr">
        <is>
          <t>A 64364-2019</t>
        </is>
      </c>
      <c r="B197" s="1" t="n">
        <v>43793</v>
      </c>
      <c r="C197" s="1" t="n">
        <v>45825</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63275-2019</t>
        </is>
      </c>
      <c r="B198" s="1" t="n">
        <v>43794</v>
      </c>
      <c r="C198" s="1" t="n">
        <v>45825</v>
      </c>
      <c r="D198" t="inlineStr">
        <is>
          <t>SÖDERMANLANDS LÄN</t>
        </is>
      </c>
      <c r="E198" t="inlineStr">
        <is>
          <t>KATRINEHOLM</t>
        </is>
      </c>
      <c r="G198" t="n">
        <v>13.2</v>
      </c>
      <c r="H198" t="n">
        <v>0</v>
      </c>
      <c r="I198" t="n">
        <v>0</v>
      </c>
      <c r="J198" t="n">
        <v>0</v>
      </c>
      <c r="K198" t="n">
        <v>0</v>
      </c>
      <c r="L198" t="n">
        <v>0</v>
      </c>
      <c r="M198" t="n">
        <v>0</v>
      </c>
      <c r="N198" t="n">
        <v>0</v>
      </c>
      <c r="O198" t="n">
        <v>0</v>
      </c>
      <c r="P198" t="n">
        <v>0</v>
      </c>
      <c r="Q198" t="n">
        <v>0</v>
      </c>
      <c r="R198" s="2" t="inlineStr"/>
    </row>
    <row r="199" ht="15" customHeight="1">
      <c r="A199" t="inlineStr">
        <is>
          <t>A 63712-2019</t>
        </is>
      </c>
      <c r="B199" s="1" t="n">
        <v>43795</v>
      </c>
      <c r="C199" s="1" t="n">
        <v>45825</v>
      </c>
      <c r="D199" t="inlineStr">
        <is>
          <t>SÖDERMANLANDS LÄN</t>
        </is>
      </c>
      <c r="E199" t="inlineStr">
        <is>
          <t>KATRINEHOLM</t>
        </is>
      </c>
      <c r="G199" t="n">
        <v>6.6</v>
      </c>
      <c r="H199" t="n">
        <v>0</v>
      </c>
      <c r="I199" t="n">
        <v>0</v>
      </c>
      <c r="J199" t="n">
        <v>0</v>
      </c>
      <c r="K199" t="n">
        <v>0</v>
      </c>
      <c r="L199" t="n">
        <v>0</v>
      </c>
      <c r="M199" t="n">
        <v>0</v>
      </c>
      <c r="N199" t="n">
        <v>0</v>
      </c>
      <c r="O199" t="n">
        <v>0</v>
      </c>
      <c r="P199" t="n">
        <v>0</v>
      </c>
      <c r="Q199" t="n">
        <v>0</v>
      </c>
      <c r="R199" s="2" t="inlineStr"/>
    </row>
    <row r="200" ht="15" customHeight="1">
      <c r="A200" t="inlineStr">
        <is>
          <t>A 64711-2019</t>
        </is>
      </c>
      <c r="B200" s="1" t="n">
        <v>43798</v>
      </c>
      <c r="C200" s="1" t="n">
        <v>45825</v>
      </c>
      <c r="D200" t="inlineStr">
        <is>
          <t>SÖDERMANLANDS LÄN</t>
        </is>
      </c>
      <c r="E200" t="inlineStr">
        <is>
          <t>KATRINEHOLM</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65305-2019</t>
        </is>
      </c>
      <c r="B201" s="1" t="n">
        <v>43802</v>
      </c>
      <c r="C201" s="1" t="n">
        <v>45825</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65301-2019</t>
        </is>
      </c>
      <c r="B202" s="1" t="n">
        <v>43802</v>
      </c>
      <c r="C202" s="1" t="n">
        <v>45825</v>
      </c>
      <c r="D202" t="inlineStr">
        <is>
          <t>SÖDERMANLANDS LÄN</t>
        </is>
      </c>
      <c r="E202" t="inlineStr">
        <is>
          <t>KATRINEHOLM</t>
        </is>
      </c>
      <c r="G202" t="n">
        <v>9.6</v>
      </c>
      <c r="H202" t="n">
        <v>0</v>
      </c>
      <c r="I202" t="n">
        <v>0</v>
      </c>
      <c r="J202" t="n">
        <v>0</v>
      </c>
      <c r="K202" t="n">
        <v>0</v>
      </c>
      <c r="L202" t="n">
        <v>0</v>
      </c>
      <c r="M202" t="n">
        <v>0</v>
      </c>
      <c r="N202" t="n">
        <v>0</v>
      </c>
      <c r="O202" t="n">
        <v>0</v>
      </c>
      <c r="P202" t="n">
        <v>0</v>
      </c>
      <c r="Q202" t="n">
        <v>0</v>
      </c>
      <c r="R202" s="2" t="inlineStr"/>
    </row>
    <row r="203" ht="15" customHeight="1">
      <c r="A203" t="inlineStr">
        <is>
          <t>A 65245-2019</t>
        </is>
      </c>
      <c r="B203" s="1" t="n">
        <v>43802</v>
      </c>
      <c r="C203" s="1" t="n">
        <v>45825</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65307-2019</t>
        </is>
      </c>
      <c r="B204" s="1" t="n">
        <v>43802</v>
      </c>
      <c r="C204" s="1" t="n">
        <v>45825</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66407-2019</t>
        </is>
      </c>
      <c r="B205" s="1" t="n">
        <v>43809</v>
      </c>
      <c r="C205" s="1" t="n">
        <v>45825</v>
      </c>
      <c r="D205" t="inlineStr">
        <is>
          <t>SÖDERMANLANDS LÄN</t>
        </is>
      </c>
      <c r="E205" t="inlineStr">
        <is>
          <t>KATRINEHOLM</t>
        </is>
      </c>
      <c r="F205" t="inlineStr">
        <is>
          <t>Övriga Aktiebolag</t>
        </is>
      </c>
      <c r="G205" t="n">
        <v>3.9</v>
      </c>
      <c r="H205" t="n">
        <v>0</v>
      </c>
      <c r="I205" t="n">
        <v>0</v>
      </c>
      <c r="J205" t="n">
        <v>0</v>
      </c>
      <c r="K205" t="n">
        <v>0</v>
      </c>
      <c r="L205" t="n">
        <v>0</v>
      </c>
      <c r="M205" t="n">
        <v>0</v>
      </c>
      <c r="N205" t="n">
        <v>0</v>
      </c>
      <c r="O205" t="n">
        <v>0</v>
      </c>
      <c r="P205" t="n">
        <v>0</v>
      </c>
      <c r="Q205" t="n">
        <v>0</v>
      </c>
      <c r="R205" s="2" t="inlineStr"/>
    </row>
    <row r="206" ht="15" customHeight="1">
      <c r="A206" t="inlineStr">
        <is>
          <t>A 66860-2019</t>
        </is>
      </c>
      <c r="B206" s="1" t="n">
        <v>43810</v>
      </c>
      <c r="C206" s="1" t="n">
        <v>45825</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66826-2019</t>
        </is>
      </c>
      <c r="B207" s="1" t="n">
        <v>43810</v>
      </c>
      <c r="C207" s="1" t="n">
        <v>45825</v>
      </c>
      <c r="D207" t="inlineStr">
        <is>
          <t>SÖDERMANLANDS LÄN</t>
        </is>
      </c>
      <c r="E207" t="inlineStr">
        <is>
          <t>KATRINEHOLM</t>
        </is>
      </c>
      <c r="G207" t="n">
        <v>2.1</v>
      </c>
      <c r="H207" t="n">
        <v>0</v>
      </c>
      <c r="I207" t="n">
        <v>0</v>
      </c>
      <c r="J207" t="n">
        <v>0</v>
      </c>
      <c r="K207" t="n">
        <v>0</v>
      </c>
      <c r="L207" t="n">
        <v>0</v>
      </c>
      <c r="M207" t="n">
        <v>0</v>
      </c>
      <c r="N207" t="n">
        <v>0</v>
      </c>
      <c r="O207" t="n">
        <v>0</v>
      </c>
      <c r="P207" t="n">
        <v>0</v>
      </c>
      <c r="Q207" t="n">
        <v>0</v>
      </c>
      <c r="R207" s="2" t="inlineStr"/>
    </row>
    <row r="208" ht="15" customHeight="1">
      <c r="A208" t="inlineStr">
        <is>
          <t>A 66879-2019</t>
        </is>
      </c>
      <c r="B208" s="1" t="n">
        <v>43810</v>
      </c>
      <c r="C208" s="1" t="n">
        <v>45825</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66821-2019</t>
        </is>
      </c>
      <c r="B209" s="1" t="n">
        <v>43810</v>
      </c>
      <c r="C209" s="1" t="n">
        <v>45825</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66851-2019</t>
        </is>
      </c>
      <c r="B210" s="1" t="n">
        <v>43810</v>
      </c>
      <c r="C210" s="1" t="n">
        <v>45825</v>
      </c>
      <c r="D210" t="inlineStr">
        <is>
          <t>SÖDERMANLANDS LÄN</t>
        </is>
      </c>
      <c r="E210" t="inlineStr">
        <is>
          <t>KATRINEHOLM</t>
        </is>
      </c>
      <c r="G210" t="n">
        <v>6</v>
      </c>
      <c r="H210" t="n">
        <v>0</v>
      </c>
      <c r="I210" t="n">
        <v>0</v>
      </c>
      <c r="J210" t="n">
        <v>0</v>
      </c>
      <c r="K210" t="n">
        <v>0</v>
      </c>
      <c r="L210" t="n">
        <v>0</v>
      </c>
      <c r="M210" t="n">
        <v>0</v>
      </c>
      <c r="N210" t="n">
        <v>0</v>
      </c>
      <c r="O210" t="n">
        <v>0</v>
      </c>
      <c r="P210" t="n">
        <v>0</v>
      </c>
      <c r="Q210" t="n">
        <v>0</v>
      </c>
      <c r="R210" s="2" t="inlineStr"/>
    </row>
    <row r="211" ht="15" customHeight="1">
      <c r="A211" t="inlineStr">
        <is>
          <t>A 67270-2019</t>
        </is>
      </c>
      <c r="B211" s="1" t="n">
        <v>43812</v>
      </c>
      <c r="C211" s="1" t="n">
        <v>45825</v>
      </c>
      <c r="D211" t="inlineStr">
        <is>
          <t>SÖDERMANLANDS LÄN</t>
        </is>
      </c>
      <c r="E211" t="inlineStr">
        <is>
          <t>KATRINEHOLM</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1367-2020</t>
        </is>
      </c>
      <c r="B212" s="1" t="n">
        <v>43822</v>
      </c>
      <c r="C212" s="1" t="n">
        <v>45825</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2319-2020</t>
        </is>
      </c>
      <c r="B213" s="1" t="n">
        <v>43846</v>
      </c>
      <c r="C213" s="1" t="n">
        <v>45825</v>
      </c>
      <c r="D213" t="inlineStr">
        <is>
          <t>SÖDERMANLANDS LÄN</t>
        </is>
      </c>
      <c r="E213" t="inlineStr">
        <is>
          <t>KATRINEHOLM</t>
        </is>
      </c>
      <c r="G213" t="n">
        <v>2.8</v>
      </c>
      <c r="H213" t="n">
        <v>0</v>
      </c>
      <c r="I213" t="n">
        <v>0</v>
      </c>
      <c r="J213" t="n">
        <v>0</v>
      </c>
      <c r="K213" t="n">
        <v>0</v>
      </c>
      <c r="L213" t="n">
        <v>0</v>
      </c>
      <c r="M213" t="n">
        <v>0</v>
      </c>
      <c r="N213" t="n">
        <v>0</v>
      </c>
      <c r="O213" t="n">
        <v>0</v>
      </c>
      <c r="P213" t="n">
        <v>0</v>
      </c>
      <c r="Q213" t="n">
        <v>0</v>
      </c>
      <c r="R213" s="2" t="inlineStr"/>
    </row>
    <row r="214" ht="15" customHeight="1">
      <c r="A214" t="inlineStr">
        <is>
          <t>A 3540-2020</t>
        </is>
      </c>
      <c r="B214" s="1" t="n">
        <v>43853</v>
      </c>
      <c r="C214" s="1" t="n">
        <v>45825</v>
      </c>
      <c r="D214" t="inlineStr">
        <is>
          <t>SÖDERMANLANDS LÄN</t>
        </is>
      </c>
      <c r="E214" t="inlineStr">
        <is>
          <t>KATRINEHOLM</t>
        </is>
      </c>
      <c r="G214" t="n">
        <v>11.7</v>
      </c>
      <c r="H214" t="n">
        <v>0</v>
      </c>
      <c r="I214" t="n">
        <v>0</v>
      </c>
      <c r="J214" t="n">
        <v>0</v>
      </c>
      <c r="K214" t="n">
        <v>0</v>
      </c>
      <c r="L214" t="n">
        <v>0</v>
      </c>
      <c r="M214" t="n">
        <v>0</v>
      </c>
      <c r="N214" t="n">
        <v>0</v>
      </c>
      <c r="O214" t="n">
        <v>0</v>
      </c>
      <c r="P214" t="n">
        <v>0</v>
      </c>
      <c r="Q214" t="n">
        <v>0</v>
      </c>
      <c r="R214" s="2" t="inlineStr"/>
    </row>
    <row r="215" ht="15" customHeight="1">
      <c r="A215" t="inlineStr">
        <is>
          <t>A 3571-2020</t>
        </is>
      </c>
      <c r="B215" s="1" t="n">
        <v>43853</v>
      </c>
      <c r="C215" s="1" t="n">
        <v>45825</v>
      </c>
      <c r="D215" t="inlineStr">
        <is>
          <t>SÖDERMANLANDS LÄN</t>
        </is>
      </c>
      <c r="E215" t="inlineStr">
        <is>
          <t>KATRINEHOLM</t>
        </is>
      </c>
      <c r="G215" t="n">
        <v>10.9</v>
      </c>
      <c r="H215" t="n">
        <v>0</v>
      </c>
      <c r="I215" t="n">
        <v>0</v>
      </c>
      <c r="J215" t="n">
        <v>0</v>
      </c>
      <c r="K215" t="n">
        <v>0</v>
      </c>
      <c r="L215" t="n">
        <v>0</v>
      </c>
      <c r="M215" t="n">
        <v>0</v>
      </c>
      <c r="N215" t="n">
        <v>0</v>
      </c>
      <c r="O215" t="n">
        <v>0</v>
      </c>
      <c r="P215" t="n">
        <v>0</v>
      </c>
      <c r="Q215" t="n">
        <v>0</v>
      </c>
      <c r="R215" s="2" t="inlineStr"/>
    </row>
    <row r="216" ht="15" customHeight="1">
      <c r="A216" t="inlineStr">
        <is>
          <t>A 4354-2020</t>
        </is>
      </c>
      <c r="B216" s="1" t="n">
        <v>43857</v>
      </c>
      <c r="C216" s="1" t="n">
        <v>45825</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4357-2020</t>
        </is>
      </c>
      <c r="B217" s="1" t="n">
        <v>43857</v>
      </c>
      <c r="C217" s="1" t="n">
        <v>45825</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4355-2020</t>
        </is>
      </c>
      <c r="B218" s="1" t="n">
        <v>43857</v>
      </c>
      <c r="C218" s="1" t="n">
        <v>45825</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6220-2020</t>
        </is>
      </c>
      <c r="B219" s="1" t="n">
        <v>43865</v>
      </c>
      <c r="C219" s="1" t="n">
        <v>45825</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6175-2020</t>
        </is>
      </c>
      <c r="B220" s="1" t="n">
        <v>43865</v>
      </c>
      <c r="C220" s="1" t="n">
        <v>45825</v>
      </c>
      <c r="D220" t="inlineStr">
        <is>
          <t>SÖDERMANLANDS LÄN</t>
        </is>
      </c>
      <c r="E220" t="inlineStr">
        <is>
          <t>KATRINEHOLM</t>
        </is>
      </c>
      <c r="F220" t="inlineStr">
        <is>
          <t>Holmen skog AB</t>
        </is>
      </c>
      <c r="G220" t="n">
        <v>0.4</v>
      </c>
      <c r="H220" t="n">
        <v>0</v>
      </c>
      <c r="I220" t="n">
        <v>0</v>
      </c>
      <c r="J220" t="n">
        <v>0</v>
      </c>
      <c r="K220" t="n">
        <v>0</v>
      </c>
      <c r="L220" t="n">
        <v>0</v>
      </c>
      <c r="M220" t="n">
        <v>0</v>
      </c>
      <c r="N220" t="n">
        <v>0</v>
      </c>
      <c r="O220" t="n">
        <v>0</v>
      </c>
      <c r="P220" t="n">
        <v>0</v>
      </c>
      <c r="Q220" t="n">
        <v>0</v>
      </c>
      <c r="R220" s="2" t="inlineStr"/>
    </row>
    <row r="221" ht="15" customHeight="1">
      <c r="A221" t="inlineStr">
        <is>
          <t>A 6455-2020</t>
        </is>
      </c>
      <c r="B221" s="1" t="n">
        <v>43866</v>
      </c>
      <c r="C221" s="1" t="n">
        <v>45825</v>
      </c>
      <c r="D221" t="inlineStr">
        <is>
          <t>SÖDERMANLANDS LÄN</t>
        </is>
      </c>
      <c r="E221" t="inlineStr">
        <is>
          <t>KATRINEHOLM</t>
        </is>
      </c>
      <c r="F221" t="inlineStr">
        <is>
          <t>Allmännings- och besparingsskogar</t>
        </is>
      </c>
      <c r="G221" t="n">
        <v>1.6</v>
      </c>
      <c r="H221" t="n">
        <v>0</v>
      </c>
      <c r="I221" t="n">
        <v>0</v>
      </c>
      <c r="J221" t="n">
        <v>0</v>
      </c>
      <c r="K221" t="n">
        <v>0</v>
      </c>
      <c r="L221" t="n">
        <v>0</v>
      </c>
      <c r="M221" t="n">
        <v>0</v>
      </c>
      <c r="N221" t="n">
        <v>0</v>
      </c>
      <c r="O221" t="n">
        <v>0</v>
      </c>
      <c r="P221" t="n">
        <v>0</v>
      </c>
      <c r="Q221" t="n">
        <v>0</v>
      </c>
      <c r="R221" s="2" t="inlineStr"/>
    </row>
    <row r="222" ht="15" customHeight="1">
      <c r="A222" t="inlineStr">
        <is>
          <t>A 6740-2020</t>
        </is>
      </c>
      <c r="B222" s="1" t="n">
        <v>43866</v>
      </c>
      <c r="C222" s="1" t="n">
        <v>45825</v>
      </c>
      <c r="D222" t="inlineStr">
        <is>
          <t>SÖDERMANLANDS LÄN</t>
        </is>
      </c>
      <c r="E222" t="inlineStr">
        <is>
          <t>KATRINEHOLM</t>
        </is>
      </c>
      <c r="G222" t="n">
        <v>5.4</v>
      </c>
      <c r="H222" t="n">
        <v>0</v>
      </c>
      <c r="I222" t="n">
        <v>0</v>
      </c>
      <c r="J222" t="n">
        <v>0</v>
      </c>
      <c r="K222" t="n">
        <v>0</v>
      </c>
      <c r="L222" t="n">
        <v>0</v>
      </c>
      <c r="M222" t="n">
        <v>0</v>
      </c>
      <c r="N222" t="n">
        <v>0</v>
      </c>
      <c r="O222" t="n">
        <v>0</v>
      </c>
      <c r="P222" t="n">
        <v>0</v>
      </c>
      <c r="Q222" t="n">
        <v>0</v>
      </c>
      <c r="R222" s="2" t="inlineStr"/>
    </row>
    <row r="223" ht="15" customHeight="1">
      <c r="A223" t="inlineStr">
        <is>
          <t>A 6679-2020</t>
        </is>
      </c>
      <c r="B223" s="1" t="n">
        <v>43867</v>
      </c>
      <c r="C223" s="1" t="n">
        <v>45825</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7352-2020</t>
        </is>
      </c>
      <c r="B224" s="1" t="n">
        <v>43871</v>
      </c>
      <c r="C224" s="1" t="n">
        <v>45825</v>
      </c>
      <c r="D224" t="inlineStr">
        <is>
          <t>SÖDERMANLANDS LÄN</t>
        </is>
      </c>
      <c r="E224" t="inlineStr">
        <is>
          <t>KATRINEHOLM</t>
        </is>
      </c>
      <c r="G224" t="n">
        <v>1.5</v>
      </c>
      <c r="H224" t="n">
        <v>0</v>
      </c>
      <c r="I224" t="n">
        <v>0</v>
      </c>
      <c r="J224" t="n">
        <v>0</v>
      </c>
      <c r="K224" t="n">
        <v>0</v>
      </c>
      <c r="L224" t="n">
        <v>0</v>
      </c>
      <c r="M224" t="n">
        <v>0</v>
      </c>
      <c r="N224" t="n">
        <v>0</v>
      </c>
      <c r="O224" t="n">
        <v>0</v>
      </c>
      <c r="P224" t="n">
        <v>0</v>
      </c>
      <c r="Q224" t="n">
        <v>0</v>
      </c>
      <c r="R224" s="2" t="inlineStr"/>
    </row>
    <row r="225" ht="15" customHeight="1">
      <c r="A225" t="inlineStr">
        <is>
          <t>A 7623-2020</t>
        </is>
      </c>
      <c r="B225" s="1" t="n">
        <v>43872</v>
      </c>
      <c r="C225" s="1" t="n">
        <v>45825</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7629-2020</t>
        </is>
      </c>
      <c r="B226" s="1" t="n">
        <v>43872</v>
      </c>
      <c r="C226" s="1" t="n">
        <v>45825</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8571-2020</t>
        </is>
      </c>
      <c r="B227" s="1" t="n">
        <v>43875</v>
      </c>
      <c r="C227" s="1" t="n">
        <v>45825</v>
      </c>
      <c r="D227" t="inlineStr">
        <is>
          <t>SÖDERMANLANDS LÄN</t>
        </is>
      </c>
      <c r="E227" t="inlineStr">
        <is>
          <t>KATRINEHOLM</t>
        </is>
      </c>
      <c r="G227" t="n">
        <v>3.9</v>
      </c>
      <c r="H227" t="n">
        <v>0</v>
      </c>
      <c r="I227" t="n">
        <v>0</v>
      </c>
      <c r="J227" t="n">
        <v>0</v>
      </c>
      <c r="K227" t="n">
        <v>0</v>
      </c>
      <c r="L227" t="n">
        <v>0</v>
      </c>
      <c r="M227" t="n">
        <v>0</v>
      </c>
      <c r="N227" t="n">
        <v>0</v>
      </c>
      <c r="O227" t="n">
        <v>0</v>
      </c>
      <c r="P227" t="n">
        <v>0</v>
      </c>
      <c r="Q227" t="n">
        <v>0</v>
      </c>
      <c r="R227" s="2" t="inlineStr"/>
    </row>
    <row r="228" ht="15" customHeight="1">
      <c r="A228" t="inlineStr">
        <is>
          <t>A 8549-2020</t>
        </is>
      </c>
      <c r="B228" s="1" t="n">
        <v>43877</v>
      </c>
      <c r="C228" s="1" t="n">
        <v>45825</v>
      </c>
      <c r="D228" t="inlineStr">
        <is>
          <t>SÖDERMANLANDS LÄN</t>
        </is>
      </c>
      <c r="E228" t="inlineStr">
        <is>
          <t>KATRINEHOLM</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8833-2020</t>
        </is>
      </c>
      <c r="B229" s="1" t="n">
        <v>43878</v>
      </c>
      <c r="C229" s="1" t="n">
        <v>45825</v>
      </c>
      <c r="D229" t="inlineStr">
        <is>
          <t>SÖDERMANLANDS LÄN</t>
        </is>
      </c>
      <c r="E229" t="inlineStr">
        <is>
          <t>KATRINEHOLM</t>
        </is>
      </c>
      <c r="G229" t="n">
        <v>2.9</v>
      </c>
      <c r="H229" t="n">
        <v>0</v>
      </c>
      <c r="I229" t="n">
        <v>0</v>
      </c>
      <c r="J229" t="n">
        <v>0</v>
      </c>
      <c r="K229" t="n">
        <v>0</v>
      </c>
      <c r="L229" t="n">
        <v>0</v>
      </c>
      <c r="M229" t="n">
        <v>0</v>
      </c>
      <c r="N229" t="n">
        <v>0</v>
      </c>
      <c r="O229" t="n">
        <v>0</v>
      </c>
      <c r="P229" t="n">
        <v>0</v>
      </c>
      <c r="Q229" t="n">
        <v>0</v>
      </c>
      <c r="R229" s="2" t="inlineStr"/>
    </row>
    <row r="230" ht="15" customHeight="1">
      <c r="A230" t="inlineStr">
        <is>
          <t>A 9258-2020</t>
        </is>
      </c>
      <c r="B230" s="1" t="n">
        <v>43879</v>
      </c>
      <c r="C230" s="1" t="n">
        <v>45825</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9256-2020</t>
        </is>
      </c>
      <c r="B231" s="1" t="n">
        <v>43879</v>
      </c>
      <c r="C231" s="1" t="n">
        <v>45825</v>
      </c>
      <c r="D231" t="inlineStr">
        <is>
          <t>SÖDERMANLANDS LÄN</t>
        </is>
      </c>
      <c r="E231" t="inlineStr">
        <is>
          <t>KATRINEHOLM</t>
        </is>
      </c>
      <c r="G231" t="n">
        <v>2.5</v>
      </c>
      <c r="H231" t="n">
        <v>0</v>
      </c>
      <c r="I231" t="n">
        <v>0</v>
      </c>
      <c r="J231" t="n">
        <v>0</v>
      </c>
      <c r="K231" t="n">
        <v>0</v>
      </c>
      <c r="L231" t="n">
        <v>0</v>
      </c>
      <c r="M231" t="n">
        <v>0</v>
      </c>
      <c r="N231" t="n">
        <v>0</v>
      </c>
      <c r="O231" t="n">
        <v>0</v>
      </c>
      <c r="P231" t="n">
        <v>0</v>
      </c>
      <c r="Q231" t="n">
        <v>0</v>
      </c>
      <c r="R231" s="2" t="inlineStr"/>
    </row>
    <row r="232" ht="15" customHeight="1">
      <c r="A232" t="inlineStr">
        <is>
          <t>A 9535-2020</t>
        </is>
      </c>
      <c r="B232" s="1" t="n">
        <v>43881</v>
      </c>
      <c r="C232" s="1" t="n">
        <v>45825</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9786-2020</t>
        </is>
      </c>
      <c r="B233" s="1" t="n">
        <v>43881</v>
      </c>
      <c r="C233" s="1" t="n">
        <v>45825</v>
      </c>
      <c r="D233" t="inlineStr">
        <is>
          <t>SÖDERMANLANDS LÄN</t>
        </is>
      </c>
      <c r="E233" t="inlineStr">
        <is>
          <t>KATRINEHOLM</t>
        </is>
      </c>
      <c r="G233" t="n">
        <v>5.8</v>
      </c>
      <c r="H233" t="n">
        <v>0</v>
      </c>
      <c r="I233" t="n">
        <v>0</v>
      </c>
      <c r="J233" t="n">
        <v>0</v>
      </c>
      <c r="K233" t="n">
        <v>0</v>
      </c>
      <c r="L233" t="n">
        <v>0</v>
      </c>
      <c r="M233" t="n">
        <v>0</v>
      </c>
      <c r="N233" t="n">
        <v>0</v>
      </c>
      <c r="O233" t="n">
        <v>0</v>
      </c>
      <c r="P233" t="n">
        <v>0</v>
      </c>
      <c r="Q233" t="n">
        <v>0</v>
      </c>
      <c r="R233" s="2" t="inlineStr"/>
    </row>
    <row r="234" ht="15" customHeight="1">
      <c r="A234" t="inlineStr">
        <is>
          <t>A 10401-2020</t>
        </is>
      </c>
      <c r="B234" s="1" t="n">
        <v>43885</v>
      </c>
      <c r="C234" s="1" t="n">
        <v>45825</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10527-2020</t>
        </is>
      </c>
      <c r="B235" s="1" t="n">
        <v>43886</v>
      </c>
      <c r="C235" s="1" t="n">
        <v>45825</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10486-2020</t>
        </is>
      </c>
      <c r="B236" s="1" t="n">
        <v>43886</v>
      </c>
      <c r="C236" s="1" t="n">
        <v>45825</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12557-2020</t>
        </is>
      </c>
      <c r="B237" s="1" t="n">
        <v>43898</v>
      </c>
      <c r="C237" s="1" t="n">
        <v>45825</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13279-2020</t>
        </is>
      </c>
      <c r="B238" s="1" t="n">
        <v>43901</v>
      </c>
      <c r="C238" s="1" t="n">
        <v>45825</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13261-2020</t>
        </is>
      </c>
      <c r="B239" s="1" t="n">
        <v>43901</v>
      </c>
      <c r="C239" s="1" t="n">
        <v>45825</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13505-2020</t>
        </is>
      </c>
      <c r="B240" s="1" t="n">
        <v>43902</v>
      </c>
      <c r="C240" s="1" t="n">
        <v>45825</v>
      </c>
      <c r="D240" t="inlineStr">
        <is>
          <t>SÖDERMANLANDS LÄN</t>
        </is>
      </c>
      <c r="E240" t="inlineStr">
        <is>
          <t>KATRINEHOLM</t>
        </is>
      </c>
      <c r="G240" t="n">
        <v>5.3</v>
      </c>
      <c r="H240" t="n">
        <v>0</v>
      </c>
      <c r="I240" t="n">
        <v>0</v>
      </c>
      <c r="J240" t="n">
        <v>0</v>
      </c>
      <c r="K240" t="n">
        <v>0</v>
      </c>
      <c r="L240" t="n">
        <v>0</v>
      </c>
      <c r="M240" t="n">
        <v>0</v>
      </c>
      <c r="N240" t="n">
        <v>0</v>
      </c>
      <c r="O240" t="n">
        <v>0</v>
      </c>
      <c r="P240" t="n">
        <v>0</v>
      </c>
      <c r="Q240" t="n">
        <v>0</v>
      </c>
      <c r="R240" s="2" t="inlineStr"/>
    </row>
    <row r="241" ht="15" customHeight="1">
      <c r="A241" t="inlineStr">
        <is>
          <t>A 13972-2020</t>
        </is>
      </c>
      <c r="B241" s="1" t="n">
        <v>43906</v>
      </c>
      <c r="C241" s="1" t="n">
        <v>45825</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14389-2020</t>
        </is>
      </c>
      <c r="B242" s="1" t="n">
        <v>43908</v>
      </c>
      <c r="C242" s="1" t="n">
        <v>45825</v>
      </c>
      <c r="D242" t="inlineStr">
        <is>
          <t>SÖDERMANLANDS LÄN</t>
        </is>
      </c>
      <c r="E242" t="inlineStr">
        <is>
          <t>KATRINEHOLM</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15069-2020</t>
        </is>
      </c>
      <c r="B243" s="1" t="n">
        <v>43910</v>
      </c>
      <c r="C243" s="1" t="n">
        <v>45825</v>
      </c>
      <c r="D243" t="inlineStr">
        <is>
          <t>SÖDERMANLANDS LÄN</t>
        </is>
      </c>
      <c r="E243" t="inlineStr">
        <is>
          <t>KATRINEHOLM</t>
        </is>
      </c>
      <c r="G243" t="n">
        <v>6.6</v>
      </c>
      <c r="H243" t="n">
        <v>0</v>
      </c>
      <c r="I243" t="n">
        <v>0</v>
      </c>
      <c r="J243" t="n">
        <v>0</v>
      </c>
      <c r="K243" t="n">
        <v>0</v>
      </c>
      <c r="L243" t="n">
        <v>0</v>
      </c>
      <c r="M243" t="n">
        <v>0</v>
      </c>
      <c r="N243" t="n">
        <v>0</v>
      </c>
      <c r="O243" t="n">
        <v>0</v>
      </c>
      <c r="P243" t="n">
        <v>0</v>
      </c>
      <c r="Q243" t="n">
        <v>0</v>
      </c>
      <c r="R243" s="2" t="inlineStr"/>
    </row>
    <row r="244" ht="15" customHeight="1">
      <c r="A244" t="inlineStr">
        <is>
          <t>A 17164-2020</t>
        </is>
      </c>
      <c r="B244" s="1" t="n">
        <v>43915</v>
      </c>
      <c r="C244" s="1" t="n">
        <v>45825</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17391-2020</t>
        </is>
      </c>
      <c r="B245" s="1" t="n">
        <v>43923</v>
      </c>
      <c r="C245" s="1" t="n">
        <v>45825</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17758-2020</t>
        </is>
      </c>
      <c r="B246" s="1" t="n">
        <v>43923</v>
      </c>
      <c r="C246" s="1" t="n">
        <v>45825</v>
      </c>
      <c r="D246" t="inlineStr">
        <is>
          <t>SÖDERMANLANDS LÄN</t>
        </is>
      </c>
      <c r="E246" t="inlineStr">
        <is>
          <t>KATRINEHOLM</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18050-2020</t>
        </is>
      </c>
      <c r="B247" s="1" t="n">
        <v>43924</v>
      </c>
      <c r="C247" s="1" t="n">
        <v>45825</v>
      </c>
      <c r="D247" t="inlineStr">
        <is>
          <t>SÖDERMANLANDS LÄN</t>
        </is>
      </c>
      <c r="E247" t="inlineStr">
        <is>
          <t>KATRINEHOLM</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18162-2020</t>
        </is>
      </c>
      <c r="B248" s="1" t="n">
        <v>43924</v>
      </c>
      <c r="C248" s="1" t="n">
        <v>45825</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18153-2020</t>
        </is>
      </c>
      <c r="B249" s="1" t="n">
        <v>43927</v>
      </c>
      <c r="C249" s="1" t="n">
        <v>45825</v>
      </c>
      <c r="D249" t="inlineStr">
        <is>
          <t>SÖDERMANLANDS LÄN</t>
        </is>
      </c>
      <c r="E249" t="inlineStr">
        <is>
          <t>KATRINEHOLM</t>
        </is>
      </c>
      <c r="G249" t="n">
        <v>3.6</v>
      </c>
      <c r="H249" t="n">
        <v>0</v>
      </c>
      <c r="I249" t="n">
        <v>0</v>
      </c>
      <c r="J249" t="n">
        <v>0</v>
      </c>
      <c r="K249" t="n">
        <v>0</v>
      </c>
      <c r="L249" t="n">
        <v>0</v>
      </c>
      <c r="M249" t="n">
        <v>0</v>
      </c>
      <c r="N249" t="n">
        <v>0</v>
      </c>
      <c r="O249" t="n">
        <v>0</v>
      </c>
      <c r="P249" t="n">
        <v>0</v>
      </c>
      <c r="Q249" t="n">
        <v>0</v>
      </c>
      <c r="R249" s="2" t="inlineStr"/>
    </row>
    <row r="250" ht="15" customHeight="1">
      <c r="A250" t="inlineStr">
        <is>
          <t>A 18279-2020</t>
        </is>
      </c>
      <c r="B250" s="1" t="n">
        <v>43928</v>
      </c>
      <c r="C250" s="1" t="n">
        <v>45825</v>
      </c>
      <c r="D250" t="inlineStr">
        <is>
          <t>SÖDERMANLANDS LÄN</t>
        </is>
      </c>
      <c r="E250" t="inlineStr">
        <is>
          <t>KATRINEHOLM</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18275-2020</t>
        </is>
      </c>
      <c r="B251" s="1" t="n">
        <v>43928</v>
      </c>
      <c r="C251" s="1" t="n">
        <v>45825</v>
      </c>
      <c r="D251" t="inlineStr">
        <is>
          <t>SÖDERMANLANDS LÄN</t>
        </is>
      </c>
      <c r="E251" t="inlineStr">
        <is>
          <t>KATRINEHOLM</t>
        </is>
      </c>
      <c r="F251" t="inlineStr">
        <is>
          <t>Kommuner</t>
        </is>
      </c>
      <c r="G251" t="n">
        <v>3.6</v>
      </c>
      <c r="H251" t="n">
        <v>0</v>
      </c>
      <c r="I251" t="n">
        <v>0</v>
      </c>
      <c r="J251" t="n">
        <v>0</v>
      </c>
      <c r="K251" t="n">
        <v>0</v>
      </c>
      <c r="L251" t="n">
        <v>0</v>
      </c>
      <c r="M251" t="n">
        <v>0</v>
      </c>
      <c r="N251" t="n">
        <v>0</v>
      </c>
      <c r="O251" t="n">
        <v>0</v>
      </c>
      <c r="P251" t="n">
        <v>0</v>
      </c>
      <c r="Q251" t="n">
        <v>0</v>
      </c>
      <c r="R251" s="2" t="inlineStr"/>
    </row>
    <row r="252" ht="15" customHeight="1">
      <c r="A252" t="inlineStr">
        <is>
          <t>A 18281-2020</t>
        </is>
      </c>
      <c r="B252" s="1" t="n">
        <v>43928</v>
      </c>
      <c r="C252" s="1" t="n">
        <v>45825</v>
      </c>
      <c r="D252" t="inlineStr">
        <is>
          <t>SÖDERMANLANDS LÄN</t>
        </is>
      </c>
      <c r="E252" t="inlineStr">
        <is>
          <t>KATRINEHOLM</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18277-2020</t>
        </is>
      </c>
      <c r="B253" s="1" t="n">
        <v>43928</v>
      </c>
      <c r="C253" s="1" t="n">
        <v>45825</v>
      </c>
      <c r="D253" t="inlineStr">
        <is>
          <t>SÖDERMANLANDS LÄN</t>
        </is>
      </c>
      <c r="E253" t="inlineStr">
        <is>
          <t>KATRINEHOLM</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19197-2020</t>
        </is>
      </c>
      <c r="B254" s="1" t="n">
        <v>43935</v>
      </c>
      <c r="C254" s="1" t="n">
        <v>45825</v>
      </c>
      <c r="D254" t="inlineStr">
        <is>
          <t>SÖDERMANLANDS LÄN</t>
        </is>
      </c>
      <c r="E254" t="inlineStr">
        <is>
          <t>KATRINEHOLM</t>
        </is>
      </c>
      <c r="F254" t="inlineStr">
        <is>
          <t>Kyrkan</t>
        </is>
      </c>
      <c r="G254" t="n">
        <v>4.4</v>
      </c>
      <c r="H254" t="n">
        <v>0</v>
      </c>
      <c r="I254" t="n">
        <v>0</v>
      </c>
      <c r="J254" t="n">
        <v>0</v>
      </c>
      <c r="K254" t="n">
        <v>0</v>
      </c>
      <c r="L254" t="n">
        <v>0</v>
      </c>
      <c r="M254" t="n">
        <v>0</v>
      </c>
      <c r="N254" t="n">
        <v>0</v>
      </c>
      <c r="O254" t="n">
        <v>0</v>
      </c>
      <c r="P254" t="n">
        <v>0</v>
      </c>
      <c r="Q254" t="n">
        <v>0</v>
      </c>
      <c r="R254" s="2" t="inlineStr"/>
    </row>
    <row r="255" ht="15" customHeight="1">
      <c r="A255" t="inlineStr">
        <is>
          <t>A 20012-2020</t>
        </is>
      </c>
      <c r="B255" s="1" t="n">
        <v>43943</v>
      </c>
      <c r="C255" s="1" t="n">
        <v>45825</v>
      </c>
      <c r="D255" t="inlineStr">
        <is>
          <t>SÖDERMANLANDS LÄN</t>
        </is>
      </c>
      <c r="E255" t="inlineStr">
        <is>
          <t>KATRINEHOLM</t>
        </is>
      </c>
      <c r="G255" t="n">
        <v>4.8</v>
      </c>
      <c r="H255" t="n">
        <v>0</v>
      </c>
      <c r="I255" t="n">
        <v>0</v>
      </c>
      <c r="J255" t="n">
        <v>0</v>
      </c>
      <c r="K255" t="n">
        <v>0</v>
      </c>
      <c r="L255" t="n">
        <v>0</v>
      </c>
      <c r="M255" t="n">
        <v>0</v>
      </c>
      <c r="N255" t="n">
        <v>0</v>
      </c>
      <c r="O255" t="n">
        <v>0</v>
      </c>
      <c r="P255" t="n">
        <v>0</v>
      </c>
      <c r="Q255" t="n">
        <v>0</v>
      </c>
      <c r="R255" s="2" t="inlineStr"/>
    </row>
    <row r="256" ht="15" customHeight="1">
      <c r="A256" t="inlineStr">
        <is>
          <t>A 20016-2020</t>
        </is>
      </c>
      <c r="B256" s="1" t="n">
        <v>43943</v>
      </c>
      <c r="C256" s="1" t="n">
        <v>45825</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21755-2020</t>
        </is>
      </c>
      <c r="B257" s="1" t="n">
        <v>43957</v>
      </c>
      <c r="C257" s="1" t="n">
        <v>45825</v>
      </c>
      <c r="D257" t="inlineStr">
        <is>
          <t>SÖDERMANLANDS LÄN</t>
        </is>
      </c>
      <c r="E257" t="inlineStr">
        <is>
          <t>KATRINEHOLM</t>
        </is>
      </c>
      <c r="G257" t="n">
        <v>10.4</v>
      </c>
      <c r="H257" t="n">
        <v>0</v>
      </c>
      <c r="I257" t="n">
        <v>0</v>
      </c>
      <c r="J257" t="n">
        <v>0</v>
      </c>
      <c r="K257" t="n">
        <v>0</v>
      </c>
      <c r="L257" t="n">
        <v>0</v>
      </c>
      <c r="M257" t="n">
        <v>0</v>
      </c>
      <c r="N257" t="n">
        <v>0</v>
      </c>
      <c r="O257" t="n">
        <v>0</v>
      </c>
      <c r="P257" t="n">
        <v>0</v>
      </c>
      <c r="Q257" t="n">
        <v>0</v>
      </c>
      <c r="R257" s="2" t="inlineStr"/>
    </row>
    <row r="258" ht="15" customHeight="1">
      <c r="A258" t="inlineStr">
        <is>
          <t>A 21818-2020</t>
        </is>
      </c>
      <c r="B258" s="1" t="n">
        <v>43958</v>
      </c>
      <c r="C258" s="1" t="n">
        <v>45825</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27010-2020</t>
        </is>
      </c>
      <c r="B259" s="1" t="n">
        <v>43990</v>
      </c>
      <c r="C259" s="1" t="n">
        <v>45825</v>
      </c>
      <c r="D259" t="inlineStr">
        <is>
          <t>SÖDERMANLANDS LÄN</t>
        </is>
      </c>
      <c r="E259" t="inlineStr">
        <is>
          <t>KATRINEHOLM</t>
        </is>
      </c>
      <c r="G259" t="n">
        <v>3.3</v>
      </c>
      <c r="H259" t="n">
        <v>0</v>
      </c>
      <c r="I259" t="n">
        <v>0</v>
      </c>
      <c r="J259" t="n">
        <v>0</v>
      </c>
      <c r="K259" t="n">
        <v>0</v>
      </c>
      <c r="L259" t="n">
        <v>0</v>
      </c>
      <c r="M259" t="n">
        <v>0</v>
      </c>
      <c r="N259" t="n">
        <v>0</v>
      </c>
      <c r="O259" t="n">
        <v>0</v>
      </c>
      <c r="P259" t="n">
        <v>0</v>
      </c>
      <c r="Q259" t="n">
        <v>0</v>
      </c>
      <c r="R259" s="2" t="inlineStr"/>
    </row>
    <row r="260" ht="15" customHeight="1">
      <c r="A260" t="inlineStr">
        <is>
          <t>A 27228-2020</t>
        </is>
      </c>
      <c r="B260" s="1" t="n">
        <v>43992</v>
      </c>
      <c r="C260" s="1" t="n">
        <v>45825</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27420-2020</t>
        </is>
      </c>
      <c r="B261" s="1" t="n">
        <v>43993</v>
      </c>
      <c r="C261" s="1" t="n">
        <v>45825</v>
      </c>
      <c r="D261" t="inlineStr">
        <is>
          <t>SÖDERMANLANDS LÄN</t>
        </is>
      </c>
      <c r="E261" t="inlineStr">
        <is>
          <t>KATRINEHOLM</t>
        </is>
      </c>
      <c r="G261" t="n">
        <v>4.4</v>
      </c>
      <c r="H261" t="n">
        <v>0</v>
      </c>
      <c r="I261" t="n">
        <v>0</v>
      </c>
      <c r="J261" t="n">
        <v>0</v>
      </c>
      <c r="K261" t="n">
        <v>0</v>
      </c>
      <c r="L261" t="n">
        <v>0</v>
      </c>
      <c r="M261" t="n">
        <v>0</v>
      </c>
      <c r="N261" t="n">
        <v>0</v>
      </c>
      <c r="O261" t="n">
        <v>0</v>
      </c>
      <c r="P261" t="n">
        <v>0</v>
      </c>
      <c r="Q261" t="n">
        <v>0</v>
      </c>
      <c r="R261" s="2" t="inlineStr"/>
    </row>
    <row r="262" ht="15" customHeight="1">
      <c r="A262" t="inlineStr">
        <is>
          <t>A 28067-2020</t>
        </is>
      </c>
      <c r="B262" s="1" t="n">
        <v>43997</v>
      </c>
      <c r="C262" s="1" t="n">
        <v>45825</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28255-2020</t>
        </is>
      </c>
      <c r="B263" s="1" t="n">
        <v>43998</v>
      </c>
      <c r="C263" s="1" t="n">
        <v>45825</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28491-2020</t>
        </is>
      </c>
      <c r="B264" s="1" t="n">
        <v>43998</v>
      </c>
      <c r="C264" s="1" t="n">
        <v>45825</v>
      </c>
      <c r="D264" t="inlineStr">
        <is>
          <t>SÖDERMANLANDS LÄN</t>
        </is>
      </c>
      <c r="E264" t="inlineStr">
        <is>
          <t>KATRINEHOLM</t>
        </is>
      </c>
      <c r="G264" t="n">
        <v>2.6</v>
      </c>
      <c r="H264" t="n">
        <v>0</v>
      </c>
      <c r="I264" t="n">
        <v>0</v>
      </c>
      <c r="J264" t="n">
        <v>0</v>
      </c>
      <c r="K264" t="n">
        <v>0</v>
      </c>
      <c r="L264" t="n">
        <v>0</v>
      </c>
      <c r="M264" t="n">
        <v>0</v>
      </c>
      <c r="N264" t="n">
        <v>0</v>
      </c>
      <c r="O264" t="n">
        <v>0</v>
      </c>
      <c r="P264" t="n">
        <v>0</v>
      </c>
      <c r="Q264" t="n">
        <v>0</v>
      </c>
      <c r="R264" s="2" t="inlineStr"/>
    </row>
    <row r="265" ht="15" customHeight="1">
      <c r="A265" t="inlineStr">
        <is>
          <t>A 28589-2020</t>
        </is>
      </c>
      <c r="B265" s="1" t="n">
        <v>43999</v>
      </c>
      <c r="C265" s="1" t="n">
        <v>45825</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29463-2020</t>
        </is>
      </c>
      <c r="B266" s="1" t="n">
        <v>44004</v>
      </c>
      <c r="C266" s="1" t="n">
        <v>45825</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30720-2020</t>
        </is>
      </c>
      <c r="B267" s="1" t="n">
        <v>44008</v>
      </c>
      <c r="C267" s="1" t="n">
        <v>45825</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31387-2020</t>
        </is>
      </c>
      <c r="B268" s="1" t="n">
        <v>44012</v>
      </c>
      <c r="C268" s="1" t="n">
        <v>45825</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32364-2020</t>
        </is>
      </c>
      <c r="B269" s="1" t="n">
        <v>44017</v>
      </c>
      <c r="C269" s="1" t="n">
        <v>45825</v>
      </c>
      <c r="D269" t="inlineStr">
        <is>
          <t>SÖDERMANLANDS LÄN</t>
        </is>
      </c>
      <c r="E269" t="inlineStr">
        <is>
          <t>KATRINEHOLM</t>
        </is>
      </c>
      <c r="G269" t="n">
        <v>4.4</v>
      </c>
      <c r="H269" t="n">
        <v>0</v>
      </c>
      <c r="I269" t="n">
        <v>0</v>
      </c>
      <c r="J269" t="n">
        <v>0</v>
      </c>
      <c r="K269" t="n">
        <v>0</v>
      </c>
      <c r="L269" t="n">
        <v>0</v>
      </c>
      <c r="M269" t="n">
        <v>0</v>
      </c>
      <c r="N269" t="n">
        <v>0</v>
      </c>
      <c r="O269" t="n">
        <v>0</v>
      </c>
      <c r="P269" t="n">
        <v>0</v>
      </c>
      <c r="Q269" t="n">
        <v>0</v>
      </c>
      <c r="R269" s="2" t="inlineStr"/>
    </row>
    <row r="270" ht="15" customHeight="1">
      <c r="A270" t="inlineStr">
        <is>
          <t>A 33232-2020</t>
        </is>
      </c>
      <c r="B270" s="1" t="n">
        <v>44021</v>
      </c>
      <c r="C270" s="1" t="n">
        <v>45825</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33471-2020</t>
        </is>
      </c>
      <c r="B271" s="1" t="n">
        <v>44023</v>
      </c>
      <c r="C271" s="1" t="n">
        <v>45825</v>
      </c>
      <c r="D271" t="inlineStr">
        <is>
          <t>SÖDERMANLANDS LÄN</t>
        </is>
      </c>
      <c r="E271" t="inlineStr">
        <is>
          <t>KATRINEHOLM</t>
        </is>
      </c>
      <c r="G271" t="n">
        <v>2.9</v>
      </c>
      <c r="H271" t="n">
        <v>0</v>
      </c>
      <c r="I271" t="n">
        <v>0</v>
      </c>
      <c r="J271" t="n">
        <v>0</v>
      </c>
      <c r="K271" t="n">
        <v>0</v>
      </c>
      <c r="L271" t="n">
        <v>0</v>
      </c>
      <c r="M271" t="n">
        <v>0</v>
      </c>
      <c r="N271" t="n">
        <v>0</v>
      </c>
      <c r="O271" t="n">
        <v>0</v>
      </c>
      <c r="P271" t="n">
        <v>0</v>
      </c>
      <c r="Q271" t="n">
        <v>0</v>
      </c>
      <c r="R271" s="2" t="inlineStr"/>
    </row>
    <row r="272" ht="15" customHeight="1">
      <c r="A272" t="inlineStr">
        <is>
          <t>A 33976-2020</t>
        </is>
      </c>
      <c r="B272" s="1" t="n">
        <v>44028</v>
      </c>
      <c r="C272" s="1" t="n">
        <v>45825</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34070-2020</t>
        </is>
      </c>
      <c r="B273" s="1" t="n">
        <v>44028</v>
      </c>
      <c r="C273" s="1" t="n">
        <v>45825</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35583-2020</t>
        </is>
      </c>
      <c r="B274" s="1" t="n">
        <v>44043</v>
      </c>
      <c r="C274" s="1" t="n">
        <v>45825</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35970-2020</t>
        </is>
      </c>
      <c r="B275" s="1" t="n">
        <v>44047</v>
      </c>
      <c r="C275" s="1" t="n">
        <v>45825</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36424-2020</t>
        </is>
      </c>
      <c r="B276" s="1" t="n">
        <v>44049</v>
      </c>
      <c r="C276" s="1" t="n">
        <v>45825</v>
      </c>
      <c r="D276" t="inlineStr">
        <is>
          <t>SÖDERMANLANDS LÄN</t>
        </is>
      </c>
      <c r="E276" t="inlineStr">
        <is>
          <t>KATRINEHOLM</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38301-2020</t>
        </is>
      </c>
      <c r="B277" s="1" t="n">
        <v>44060</v>
      </c>
      <c r="C277" s="1" t="n">
        <v>45825</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38584-2020</t>
        </is>
      </c>
      <c r="B278" s="1" t="n">
        <v>44061</v>
      </c>
      <c r="C278" s="1" t="n">
        <v>45825</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38625-2020</t>
        </is>
      </c>
      <c r="B279" s="1" t="n">
        <v>44061</v>
      </c>
      <c r="C279" s="1" t="n">
        <v>45825</v>
      </c>
      <c r="D279" t="inlineStr">
        <is>
          <t>SÖDERMANLANDS LÄN</t>
        </is>
      </c>
      <c r="E279" t="inlineStr">
        <is>
          <t>KATRINEHOLM</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38883-2020</t>
        </is>
      </c>
      <c r="B280" s="1" t="n">
        <v>44062</v>
      </c>
      <c r="C280" s="1" t="n">
        <v>45825</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40230-2020</t>
        </is>
      </c>
      <c r="B281" s="1" t="n">
        <v>44068</v>
      </c>
      <c r="C281" s="1" t="n">
        <v>45825</v>
      </c>
      <c r="D281" t="inlineStr">
        <is>
          <t>SÖDERMANLANDS LÄN</t>
        </is>
      </c>
      <c r="E281" t="inlineStr">
        <is>
          <t>KATRINEHOLM</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40259-2020</t>
        </is>
      </c>
      <c r="B282" s="1" t="n">
        <v>44068</v>
      </c>
      <c r="C282" s="1" t="n">
        <v>45825</v>
      </c>
      <c r="D282" t="inlineStr">
        <is>
          <t>SÖDERMANLANDS LÄN</t>
        </is>
      </c>
      <c r="E282" t="inlineStr">
        <is>
          <t>KATRINEHOLM</t>
        </is>
      </c>
      <c r="F282" t="inlineStr">
        <is>
          <t>Kommuner</t>
        </is>
      </c>
      <c r="G282" t="n">
        <v>1.9</v>
      </c>
      <c r="H282" t="n">
        <v>0</v>
      </c>
      <c r="I282" t="n">
        <v>0</v>
      </c>
      <c r="J282" t="n">
        <v>0</v>
      </c>
      <c r="K282" t="n">
        <v>0</v>
      </c>
      <c r="L282" t="n">
        <v>0</v>
      </c>
      <c r="M282" t="n">
        <v>0</v>
      </c>
      <c r="N282" t="n">
        <v>0</v>
      </c>
      <c r="O282" t="n">
        <v>0</v>
      </c>
      <c r="P282" t="n">
        <v>0</v>
      </c>
      <c r="Q282" t="n">
        <v>0</v>
      </c>
      <c r="R282" s="2" t="inlineStr"/>
      <c r="U282">
        <f>HYPERLINK("https://klasma.github.io/Logging_0483/knärot/A 40259-2020 karta knärot.png", "A 40259-2020")</f>
        <v/>
      </c>
      <c r="V282">
        <f>HYPERLINK("https://klasma.github.io/Logging_0483/klagomål/A 40259-2020 FSC-klagomål.docx", "A 40259-2020")</f>
        <v/>
      </c>
      <c r="W282">
        <f>HYPERLINK("https://klasma.github.io/Logging_0483/klagomålsmail/A 40259-2020 FSC-klagomål mail.docx", "A 40259-2020")</f>
        <v/>
      </c>
      <c r="X282">
        <f>HYPERLINK("https://klasma.github.io/Logging_0483/tillsyn/A 40259-2020 tillsynsbegäran.docx", "A 40259-2020")</f>
        <v/>
      </c>
      <c r="Y282">
        <f>HYPERLINK("https://klasma.github.io/Logging_0483/tillsynsmail/A 40259-2020 tillsynsbegäran mail.docx", "A 40259-2020")</f>
        <v/>
      </c>
    </row>
    <row r="283" ht="15" customHeight="1">
      <c r="A283" t="inlineStr">
        <is>
          <t>A 42641-2020</t>
        </is>
      </c>
      <c r="B283" s="1" t="n">
        <v>44075</v>
      </c>
      <c r="C283" s="1" t="n">
        <v>45825</v>
      </c>
      <c r="D283" t="inlineStr">
        <is>
          <t>SÖDERMANLANDS LÄN</t>
        </is>
      </c>
      <c r="E283" t="inlineStr">
        <is>
          <t>KATRINEHOLM</t>
        </is>
      </c>
      <c r="G283" t="n">
        <v>2.8</v>
      </c>
      <c r="H283" t="n">
        <v>0</v>
      </c>
      <c r="I283" t="n">
        <v>0</v>
      </c>
      <c r="J283" t="n">
        <v>0</v>
      </c>
      <c r="K283" t="n">
        <v>0</v>
      </c>
      <c r="L283" t="n">
        <v>0</v>
      </c>
      <c r="M283" t="n">
        <v>0</v>
      </c>
      <c r="N283" t="n">
        <v>0</v>
      </c>
      <c r="O283" t="n">
        <v>0</v>
      </c>
      <c r="P283" t="n">
        <v>0</v>
      </c>
      <c r="Q283" t="n">
        <v>0</v>
      </c>
      <c r="R283" s="2" t="inlineStr"/>
    </row>
    <row r="284" ht="15" customHeight="1">
      <c r="A284" t="inlineStr">
        <is>
          <t>A 42689-2020</t>
        </is>
      </c>
      <c r="B284" s="1" t="n">
        <v>44075</v>
      </c>
      <c r="C284" s="1" t="n">
        <v>45825</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43649-2020</t>
        </is>
      </c>
      <c r="B285" s="1" t="n">
        <v>44082</v>
      </c>
      <c r="C285" s="1" t="n">
        <v>45825</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44691-2020</t>
        </is>
      </c>
      <c r="B286" s="1" t="n">
        <v>44085</v>
      </c>
      <c r="C286" s="1" t="n">
        <v>45825</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44783-2020</t>
        </is>
      </c>
      <c r="B287" s="1" t="n">
        <v>44085</v>
      </c>
      <c r="C287" s="1" t="n">
        <v>45825</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46833-2020</t>
        </is>
      </c>
      <c r="B288" s="1" t="n">
        <v>44089</v>
      </c>
      <c r="C288" s="1" t="n">
        <v>45825</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46830-2020</t>
        </is>
      </c>
      <c r="B289" s="1" t="n">
        <v>44089</v>
      </c>
      <c r="C289" s="1" t="n">
        <v>45825</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46806-2020</t>
        </is>
      </c>
      <c r="B290" s="1" t="n">
        <v>44090</v>
      </c>
      <c r="C290" s="1" t="n">
        <v>45825</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48838-2020</t>
        </is>
      </c>
      <c r="B291" s="1" t="n">
        <v>44099</v>
      </c>
      <c r="C291" s="1" t="n">
        <v>45825</v>
      </c>
      <c r="D291" t="inlineStr">
        <is>
          <t>SÖDERMANLANDS LÄN</t>
        </is>
      </c>
      <c r="E291" t="inlineStr">
        <is>
          <t>KATRINEHOLM</t>
        </is>
      </c>
      <c r="G291" t="n">
        <v>6.8</v>
      </c>
      <c r="H291" t="n">
        <v>0</v>
      </c>
      <c r="I291" t="n">
        <v>0</v>
      </c>
      <c r="J291" t="n">
        <v>0</v>
      </c>
      <c r="K291" t="n">
        <v>0</v>
      </c>
      <c r="L291" t="n">
        <v>0</v>
      </c>
      <c r="M291" t="n">
        <v>0</v>
      </c>
      <c r="N291" t="n">
        <v>0</v>
      </c>
      <c r="O291" t="n">
        <v>0</v>
      </c>
      <c r="P291" t="n">
        <v>0</v>
      </c>
      <c r="Q291" t="n">
        <v>0</v>
      </c>
      <c r="R291" s="2" t="inlineStr"/>
    </row>
    <row r="292" ht="15" customHeight="1">
      <c r="A292" t="inlineStr">
        <is>
          <t>A 48834-2020</t>
        </is>
      </c>
      <c r="B292" s="1" t="n">
        <v>44099</v>
      </c>
      <c r="C292" s="1" t="n">
        <v>45825</v>
      </c>
      <c r="D292" t="inlineStr">
        <is>
          <t>SÖDERMANLANDS LÄN</t>
        </is>
      </c>
      <c r="E292" t="inlineStr">
        <is>
          <t>KATRINEHOLM</t>
        </is>
      </c>
      <c r="G292" t="n">
        <v>12.9</v>
      </c>
      <c r="H292" t="n">
        <v>0</v>
      </c>
      <c r="I292" t="n">
        <v>0</v>
      </c>
      <c r="J292" t="n">
        <v>0</v>
      </c>
      <c r="K292" t="n">
        <v>0</v>
      </c>
      <c r="L292" t="n">
        <v>0</v>
      </c>
      <c r="M292" t="n">
        <v>0</v>
      </c>
      <c r="N292" t="n">
        <v>0</v>
      </c>
      <c r="O292" t="n">
        <v>0</v>
      </c>
      <c r="P292" t="n">
        <v>0</v>
      </c>
      <c r="Q292" t="n">
        <v>0</v>
      </c>
      <c r="R292" s="2" t="inlineStr"/>
    </row>
    <row r="293" ht="15" customHeight="1">
      <c r="A293" t="inlineStr">
        <is>
          <t>A 48925-2020</t>
        </is>
      </c>
      <c r="B293" s="1" t="n">
        <v>44099</v>
      </c>
      <c r="C293" s="1" t="n">
        <v>45825</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49089-2020</t>
        </is>
      </c>
      <c r="B294" s="1" t="n">
        <v>44102</v>
      </c>
      <c r="C294" s="1" t="n">
        <v>45825</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48576-2020</t>
        </is>
      </c>
      <c r="B295" s="1" t="n">
        <v>44103</v>
      </c>
      <c r="C295" s="1" t="n">
        <v>45825</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48619-2020</t>
        </is>
      </c>
      <c r="B296" s="1" t="n">
        <v>44103</v>
      </c>
      <c r="C296" s="1" t="n">
        <v>45825</v>
      </c>
      <c r="D296" t="inlineStr">
        <is>
          <t>SÖDERMANLANDS LÄN</t>
        </is>
      </c>
      <c r="E296" t="inlineStr">
        <is>
          <t>KATRINEHOLM</t>
        </is>
      </c>
      <c r="F296" t="inlineStr">
        <is>
          <t>Övriga statliga verk och myndigheter</t>
        </is>
      </c>
      <c r="G296" t="n">
        <v>0.9</v>
      </c>
      <c r="H296" t="n">
        <v>0</v>
      </c>
      <c r="I296" t="n">
        <v>0</v>
      </c>
      <c r="J296" t="n">
        <v>0</v>
      </c>
      <c r="K296" t="n">
        <v>0</v>
      </c>
      <c r="L296" t="n">
        <v>0</v>
      </c>
      <c r="M296" t="n">
        <v>0</v>
      </c>
      <c r="N296" t="n">
        <v>0</v>
      </c>
      <c r="O296" t="n">
        <v>0</v>
      </c>
      <c r="P296" t="n">
        <v>0</v>
      </c>
      <c r="Q296" t="n">
        <v>0</v>
      </c>
      <c r="R296" s="2" t="inlineStr"/>
    </row>
    <row r="297" ht="15" customHeight="1">
      <c r="A297" t="inlineStr">
        <is>
          <t>A 52134-2020</t>
        </is>
      </c>
      <c r="B297" s="1" t="n">
        <v>44110</v>
      </c>
      <c r="C297" s="1" t="n">
        <v>45825</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51218-2020</t>
        </is>
      </c>
      <c r="B298" s="1" t="n">
        <v>44112</v>
      </c>
      <c r="C298" s="1" t="n">
        <v>45825</v>
      </c>
      <c r="D298" t="inlineStr">
        <is>
          <t>SÖDERMANLANDS LÄN</t>
        </is>
      </c>
      <c r="E298" t="inlineStr">
        <is>
          <t>KATRINEHOLM</t>
        </is>
      </c>
      <c r="F298" t="inlineStr">
        <is>
          <t>Kommuner</t>
        </is>
      </c>
      <c r="G298" t="n">
        <v>1.5</v>
      </c>
      <c r="H298" t="n">
        <v>0</v>
      </c>
      <c r="I298" t="n">
        <v>0</v>
      </c>
      <c r="J298" t="n">
        <v>0</v>
      </c>
      <c r="K298" t="n">
        <v>0</v>
      </c>
      <c r="L298" t="n">
        <v>0</v>
      </c>
      <c r="M298" t="n">
        <v>0</v>
      </c>
      <c r="N298" t="n">
        <v>0</v>
      </c>
      <c r="O298" t="n">
        <v>0</v>
      </c>
      <c r="P298" t="n">
        <v>0</v>
      </c>
      <c r="Q298" t="n">
        <v>0</v>
      </c>
      <c r="R298" s="2" t="inlineStr"/>
    </row>
    <row r="299" ht="15" customHeight="1">
      <c r="A299" t="inlineStr">
        <is>
          <t>A 51766-2020</t>
        </is>
      </c>
      <c r="B299" s="1" t="n">
        <v>44115</v>
      </c>
      <c r="C299" s="1" t="n">
        <v>45825</v>
      </c>
      <c r="D299" t="inlineStr">
        <is>
          <t>SÖDERMANLANDS LÄN</t>
        </is>
      </c>
      <c r="E299" t="inlineStr">
        <is>
          <t>KATRINEHOLM</t>
        </is>
      </c>
      <c r="G299" t="n">
        <v>2.6</v>
      </c>
      <c r="H299" t="n">
        <v>0</v>
      </c>
      <c r="I299" t="n">
        <v>0</v>
      </c>
      <c r="J299" t="n">
        <v>0</v>
      </c>
      <c r="K299" t="n">
        <v>0</v>
      </c>
      <c r="L299" t="n">
        <v>0</v>
      </c>
      <c r="M299" t="n">
        <v>0</v>
      </c>
      <c r="N299" t="n">
        <v>0</v>
      </c>
      <c r="O299" t="n">
        <v>0</v>
      </c>
      <c r="P299" t="n">
        <v>0</v>
      </c>
      <c r="Q299" t="n">
        <v>0</v>
      </c>
      <c r="R299" s="2" t="inlineStr"/>
    </row>
    <row r="300" ht="15" customHeight="1">
      <c r="A300" t="inlineStr">
        <is>
          <t>A 53634-2020</t>
        </is>
      </c>
      <c r="B300" s="1" t="n">
        <v>44124</v>
      </c>
      <c r="C300" s="1" t="n">
        <v>45825</v>
      </c>
      <c r="D300" t="inlineStr">
        <is>
          <t>SÖDERMANLANDS LÄN</t>
        </is>
      </c>
      <c r="E300" t="inlineStr">
        <is>
          <t>KATRINEHOLM</t>
        </is>
      </c>
      <c r="G300" t="n">
        <v>2.5</v>
      </c>
      <c r="H300" t="n">
        <v>0</v>
      </c>
      <c r="I300" t="n">
        <v>0</v>
      </c>
      <c r="J300" t="n">
        <v>0</v>
      </c>
      <c r="K300" t="n">
        <v>0</v>
      </c>
      <c r="L300" t="n">
        <v>0</v>
      </c>
      <c r="M300" t="n">
        <v>0</v>
      </c>
      <c r="N300" t="n">
        <v>0</v>
      </c>
      <c r="O300" t="n">
        <v>0</v>
      </c>
      <c r="P300" t="n">
        <v>0</v>
      </c>
      <c r="Q300" t="n">
        <v>0</v>
      </c>
      <c r="R300" s="2" t="inlineStr"/>
    </row>
    <row r="301" ht="15" customHeight="1">
      <c r="A301" t="inlineStr">
        <is>
          <t>A 54905-2020</t>
        </is>
      </c>
      <c r="B301" s="1" t="n">
        <v>44128</v>
      </c>
      <c r="C301" s="1" t="n">
        <v>45825</v>
      </c>
      <c r="D301" t="inlineStr">
        <is>
          <t>SÖDERMANLANDS LÄN</t>
        </is>
      </c>
      <c r="E301" t="inlineStr">
        <is>
          <t>KATRINEHOLM</t>
        </is>
      </c>
      <c r="G301" t="n">
        <v>6.9</v>
      </c>
      <c r="H301" t="n">
        <v>0</v>
      </c>
      <c r="I301" t="n">
        <v>0</v>
      </c>
      <c r="J301" t="n">
        <v>0</v>
      </c>
      <c r="K301" t="n">
        <v>0</v>
      </c>
      <c r="L301" t="n">
        <v>0</v>
      </c>
      <c r="M301" t="n">
        <v>0</v>
      </c>
      <c r="N301" t="n">
        <v>0</v>
      </c>
      <c r="O301" t="n">
        <v>0</v>
      </c>
      <c r="P301" t="n">
        <v>0</v>
      </c>
      <c r="Q301" t="n">
        <v>0</v>
      </c>
      <c r="R301" s="2" t="inlineStr"/>
    </row>
    <row r="302" ht="15" customHeight="1">
      <c r="A302" t="inlineStr">
        <is>
          <t>A 55038-2020</t>
        </is>
      </c>
      <c r="B302" s="1" t="n">
        <v>44130</v>
      </c>
      <c r="C302" s="1" t="n">
        <v>45825</v>
      </c>
      <c r="D302" t="inlineStr">
        <is>
          <t>SÖDERMANLANDS LÄN</t>
        </is>
      </c>
      <c r="E302" t="inlineStr">
        <is>
          <t>KATRINEHOLM</t>
        </is>
      </c>
      <c r="G302" t="n">
        <v>3.2</v>
      </c>
      <c r="H302" t="n">
        <v>0</v>
      </c>
      <c r="I302" t="n">
        <v>0</v>
      </c>
      <c r="J302" t="n">
        <v>0</v>
      </c>
      <c r="K302" t="n">
        <v>0</v>
      </c>
      <c r="L302" t="n">
        <v>0</v>
      </c>
      <c r="M302" t="n">
        <v>0</v>
      </c>
      <c r="N302" t="n">
        <v>0</v>
      </c>
      <c r="O302" t="n">
        <v>0</v>
      </c>
      <c r="P302" t="n">
        <v>0</v>
      </c>
      <c r="Q302" t="n">
        <v>0</v>
      </c>
      <c r="R302" s="2" t="inlineStr"/>
    </row>
    <row r="303" ht="15" customHeight="1">
      <c r="A303" t="inlineStr">
        <is>
          <t>A 55048-2020</t>
        </is>
      </c>
      <c r="B303" s="1" t="n">
        <v>44130</v>
      </c>
      <c r="C303" s="1" t="n">
        <v>45825</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55074-2020</t>
        </is>
      </c>
      <c r="B304" s="1" t="n">
        <v>44130</v>
      </c>
      <c r="C304" s="1" t="n">
        <v>45825</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55040-2020</t>
        </is>
      </c>
      <c r="B305" s="1" t="n">
        <v>44130</v>
      </c>
      <c r="C305" s="1" t="n">
        <v>45825</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55079-2020</t>
        </is>
      </c>
      <c r="B306" s="1" t="n">
        <v>44130</v>
      </c>
      <c r="C306" s="1" t="n">
        <v>45825</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55033-2020</t>
        </is>
      </c>
      <c r="B307" s="1" t="n">
        <v>44130</v>
      </c>
      <c r="C307" s="1" t="n">
        <v>45825</v>
      </c>
      <c r="D307" t="inlineStr">
        <is>
          <t>SÖDERMANLANDS LÄN</t>
        </is>
      </c>
      <c r="E307" t="inlineStr">
        <is>
          <t>KATRINEHOLM</t>
        </is>
      </c>
      <c r="G307" t="n">
        <v>2.2</v>
      </c>
      <c r="H307" t="n">
        <v>0</v>
      </c>
      <c r="I307" t="n">
        <v>0</v>
      </c>
      <c r="J307" t="n">
        <v>0</v>
      </c>
      <c r="K307" t="n">
        <v>0</v>
      </c>
      <c r="L307" t="n">
        <v>0</v>
      </c>
      <c r="M307" t="n">
        <v>0</v>
      </c>
      <c r="N307" t="n">
        <v>0</v>
      </c>
      <c r="O307" t="n">
        <v>0</v>
      </c>
      <c r="P307" t="n">
        <v>0</v>
      </c>
      <c r="Q307" t="n">
        <v>0</v>
      </c>
      <c r="R307" s="2" t="inlineStr"/>
    </row>
    <row r="308" ht="15" customHeight="1">
      <c r="A308" t="inlineStr">
        <is>
          <t>A 55031-2020</t>
        </is>
      </c>
      <c r="B308" s="1" t="n">
        <v>44130</v>
      </c>
      <c r="C308" s="1" t="n">
        <v>45825</v>
      </c>
      <c r="D308" t="inlineStr">
        <is>
          <t>SÖDERMANLANDS LÄN</t>
        </is>
      </c>
      <c r="E308" t="inlineStr">
        <is>
          <t>KATRINEHOLM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55136-2020</t>
        </is>
      </c>
      <c r="B309" s="1" t="n">
        <v>44130</v>
      </c>
      <c r="C309" s="1" t="n">
        <v>45825</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57125-2020</t>
        </is>
      </c>
      <c r="B310" s="1" t="n">
        <v>44138</v>
      </c>
      <c r="C310" s="1" t="n">
        <v>45825</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57132-2020</t>
        </is>
      </c>
      <c r="B311" s="1" t="n">
        <v>44139</v>
      </c>
      <c r="C311" s="1" t="n">
        <v>45825</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57462-2020</t>
        </is>
      </c>
      <c r="B312" s="1" t="n">
        <v>44140</v>
      </c>
      <c r="C312" s="1" t="n">
        <v>45825</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57645-2020</t>
        </is>
      </c>
      <c r="B313" s="1" t="n">
        <v>44140</v>
      </c>
      <c r="C313" s="1" t="n">
        <v>45825</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57687-2020</t>
        </is>
      </c>
      <c r="B314" s="1" t="n">
        <v>44140</v>
      </c>
      <c r="C314" s="1" t="n">
        <v>45825</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57693-2020</t>
        </is>
      </c>
      <c r="B315" s="1" t="n">
        <v>44140</v>
      </c>
      <c r="C315" s="1" t="n">
        <v>45825</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57648-2020</t>
        </is>
      </c>
      <c r="B316" s="1" t="n">
        <v>44140</v>
      </c>
      <c r="C316" s="1" t="n">
        <v>45825</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57745-2020</t>
        </is>
      </c>
      <c r="B317" s="1" t="n">
        <v>44141</v>
      </c>
      <c r="C317" s="1" t="n">
        <v>45825</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57947-2020</t>
        </is>
      </c>
      <c r="B318" s="1" t="n">
        <v>44142</v>
      </c>
      <c r="C318" s="1" t="n">
        <v>45825</v>
      </c>
      <c r="D318" t="inlineStr">
        <is>
          <t>SÖDERMANLANDS LÄN</t>
        </is>
      </c>
      <c r="E318" t="inlineStr">
        <is>
          <t>KATRINEHOLM</t>
        </is>
      </c>
      <c r="G318" t="n">
        <v>9.6</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45825</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59308-2020</t>
        </is>
      </c>
      <c r="B320" s="1" t="n">
        <v>44147</v>
      </c>
      <c r="C320" s="1" t="n">
        <v>45825</v>
      </c>
      <c r="D320" t="inlineStr">
        <is>
          <t>SÖDERMANLANDS LÄN</t>
        </is>
      </c>
      <c r="E320" t="inlineStr">
        <is>
          <t>KATRINEHOLM</t>
        </is>
      </c>
      <c r="G320" t="n">
        <v>2</v>
      </c>
      <c r="H320" t="n">
        <v>0</v>
      </c>
      <c r="I320" t="n">
        <v>0</v>
      </c>
      <c r="J320" t="n">
        <v>0</v>
      </c>
      <c r="K320" t="n">
        <v>0</v>
      </c>
      <c r="L320" t="n">
        <v>0</v>
      </c>
      <c r="M320" t="n">
        <v>0</v>
      </c>
      <c r="N320" t="n">
        <v>0</v>
      </c>
      <c r="O320" t="n">
        <v>0</v>
      </c>
      <c r="P320" t="n">
        <v>0</v>
      </c>
      <c r="Q320" t="n">
        <v>0</v>
      </c>
      <c r="R320" s="2" t="inlineStr"/>
    </row>
    <row r="321" ht="15" customHeight="1">
      <c r="A321" t="inlineStr">
        <is>
          <t>A 59749-2020</t>
        </is>
      </c>
      <c r="B321" s="1" t="n">
        <v>44151</v>
      </c>
      <c r="C321" s="1" t="n">
        <v>45825</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59887-2020</t>
        </is>
      </c>
      <c r="B322" s="1" t="n">
        <v>44151</v>
      </c>
      <c r="C322" s="1" t="n">
        <v>45825</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59877-2020</t>
        </is>
      </c>
      <c r="B323" s="1" t="n">
        <v>44151</v>
      </c>
      <c r="C323" s="1" t="n">
        <v>45825</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61167-2020</t>
        </is>
      </c>
      <c r="B324" s="1" t="n">
        <v>44155</v>
      </c>
      <c r="C324" s="1" t="n">
        <v>45825</v>
      </c>
      <c r="D324" t="inlineStr">
        <is>
          <t>SÖDERMANLANDS LÄN</t>
        </is>
      </c>
      <c r="E324" t="inlineStr">
        <is>
          <t>KATRINEHOLM</t>
        </is>
      </c>
      <c r="G324" t="n">
        <v>3.8</v>
      </c>
      <c r="H324" t="n">
        <v>0</v>
      </c>
      <c r="I324" t="n">
        <v>0</v>
      </c>
      <c r="J324" t="n">
        <v>0</v>
      </c>
      <c r="K324" t="n">
        <v>0</v>
      </c>
      <c r="L324" t="n">
        <v>0</v>
      </c>
      <c r="M324" t="n">
        <v>0</v>
      </c>
      <c r="N324" t="n">
        <v>0</v>
      </c>
      <c r="O324" t="n">
        <v>0</v>
      </c>
      <c r="P324" t="n">
        <v>0</v>
      </c>
      <c r="Q324" t="n">
        <v>0</v>
      </c>
      <c r="R324" s="2" t="inlineStr"/>
    </row>
    <row r="325" ht="15" customHeight="1">
      <c r="A325" t="inlineStr">
        <is>
          <t>A 61674-2020</t>
        </is>
      </c>
      <c r="B325" s="1" t="n">
        <v>44158</v>
      </c>
      <c r="C325" s="1" t="n">
        <v>45825</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61867-2020</t>
        </is>
      </c>
      <c r="B326" s="1" t="n">
        <v>44159</v>
      </c>
      <c r="C326" s="1" t="n">
        <v>45825</v>
      </c>
      <c r="D326" t="inlineStr">
        <is>
          <t>SÖDERMANLANDS LÄN</t>
        </is>
      </c>
      <c r="E326" t="inlineStr">
        <is>
          <t>KATRINEHOLM</t>
        </is>
      </c>
      <c r="G326" t="n">
        <v>2.9</v>
      </c>
      <c r="H326" t="n">
        <v>0</v>
      </c>
      <c r="I326" t="n">
        <v>0</v>
      </c>
      <c r="J326" t="n">
        <v>0</v>
      </c>
      <c r="K326" t="n">
        <v>0</v>
      </c>
      <c r="L326" t="n">
        <v>0</v>
      </c>
      <c r="M326" t="n">
        <v>0</v>
      </c>
      <c r="N326" t="n">
        <v>0</v>
      </c>
      <c r="O326" t="n">
        <v>0</v>
      </c>
      <c r="P326" t="n">
        <v>0</v>
      </c>
      <c r="Q326" t="n">
        <v>0</v>
      </c>
      <c r="R326" s="2" t="inlineStr"/>
    </row>
    <row r="327" ht="15" customHeight="1">
      <c r="A327" t="inlineStr">
        <is>
          <t>A 62424-2020</t>
        </is>
      </c>
      <c r="B327" s="1" t="n">
        <v>44160</v>
      </c>
      <c r="C327" s="1" t="n">
        <v>45825</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63694-2020</t>
        </is>
      </c>
      <c r="B328" s="1" t="n">
        <v>44166</v>
      </c>
      <c r="C328" s="1" t="n">
        <v>45825</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63677-2020</t>
        </is>
      </c>
      <c r="B329" s="1" t="n">
        <v>44166</v>
      </c>
      <c r="C329" s="1" t="n">
        <v>45825</v>
      </c>
      <c r="D329" t="inlineStr">
        <is>
          <t>SÖDERMANLANDS LÄN</t>
        </is>
      </c>
      <c r="E329" t="inlineStr">
        <is>
          <t>KATRINEHOLM</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63682-2020</t>
        </is>
      </c>
      <c r="B330" s="1" t="n">
        <v>44166</v>
      </c>
      <c r="C330" s="1" t="n">
        <v>45825</v>
      </c>
      <c r="D330" t="inlineStr">
        <is>
          <t>SÖDERMANLANDS LÄN</t>
        </is>
      </c>
      <c r="E330" t="inlineStr">
        <is>
          <t>KATRINEHOLM</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63954-2020</t>
        </is>
      </c>
      <c r="B331" s="1" t="n">
        <v>44167</v>
      </c>
      <c r="C331" s="1" t="n">
        <v>45825</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64027-2020</t>
        </is>
      </c>
      <c r="B332" s="1" t="n">
        <v>44167</v>
      </c>
      <c r="C332" s="1" t="n">
        <v>45825</v>
      </c>
      <c r="D332" t="inlineStr">
        <is>
          <t>SÖDERMANLANDS LÄN</t>
        </is>
      </c>
      <c r="E332" t="inlineStr">
        <is>
          <t>KATRINEHOLM</t>
        </is>
      </c>
      <c r="F332" t="inlineStr">
        <is>
          <t>Holmen skog AB</t>
        </is>
      </c>
      <c r="G332" t="n">
        <v>0.8</v>
      </c>
      <c r="H332" t="n">
        <v>0</v>
      </c>
      <c r="I332" t="n">
        <v>0</v>
      </c>
      <c r="J332" t="n">
        <v>0</v>
      </c>
      <c r="K332" t="n">
        <v>0</v>
      </c>
      <c r="L332" t="n">
        <v>0</v>
      </c>
      <c r="M332" t="n">
        <v>0</v>
      </c>
      <c r="N332" t="n">
        <v>0</v>
      </c>
      <c r="O332" t="n">
        <v>0</v>
      </c>
      <c r="P332" t="n">
        <v>0</v>
      </c>
      <c r="Q332" t="n">
        <v>0</v>
      </c>
      <c r="R332" s="2" t="inlineStr"/>
    </row>
    <row r="333" ht="15" customHeight="1">
      <c r="A333" t="inlineStr">
        <is>
          <t>A 64463-2020</t>
        </is>
      </c>
      <c r="B333" s="1" t="n">
        <v>44168</v>
      </c>
      <c r="C333" s="1" t="n">
        <v>45825</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65093-2020</t>
        </is>
      </c>
      <c r="B334" s="1" t="n">
        <v>44168</v>
      </c>
      <c r="C334" s="1" t="n">
        <v>45825</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64633-2020</t>
        </is>
      </c>
      <c r="B335" s="1" t="n">
        <v>44169</v>
      </c>
      <c r="C335" s="1" t="n">
        <v>45825</v>
      </c>
      <c r="D335" t="inlineStr">
        <is>
          <t>SÖDERMANLANDS LÄN</t>
        </is>
      </c>
      <c r="E335" t="inlineStr">
        <is>
          <t>KATRINEHOLM</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64657-2020</t>
        </is>
      </c>
      <c r="B336" s="1" t="n">
        <v>44169</v>
      </c>
      <c r="C336" s="1" t="n">
        <v>45825</v>
      </c>
      <c r="D336" t="inlineStr">
        <is>
          <t>SÖDERMANLANDS LÄN</t>
        </is>
      </c>
      <c r="E336" t="inlineStr">
        <is>
          <t>KATRINEHOLM</t>
        </is>
      </c>
      <c r="F336" t="inlineStr">
        <is>
          <t>Kyrkan</t>
        </is>
      </c>
      <c r="G336" t="n">
        <v>7.6</v>
      </c>
      <c r="H336" t="n">
        <v>0</v>
      </c>
      <c r="I336" t="n">
        <v>0</v>
      </c>
      <c r="J336" t="n">
        <v>0</v>
      </c>
      <c r="K336" t="n">
        <v>0</v>
      </c>
      <c r="L336" t="n">
        <v>0</v>
      </c>
      <c r="M336" t="n">
        <v>0</v>
      </c>
      <c r="N336" t="n">
        <v>0</v>
      </c>
      <c r="O336" t="n">
        <v>0</v>
      </c>
      <c r="P336" t="n">
        <v>0</v>
      </c>
      <c r="Q336" t="n">
        <v>0</v>
      </c>
      <c r="R336" s="2" t="inlineStr"/>
    </row>
    <row r="337" ht="15" customHeight="1">
      <c r="A337" t="inlineStr">
        <is>
          <t>A 64738-2020</t>
        </is>
      </c>
      <c r="B337" s="1" t="n">
        <v>44169</v>
      </c>
      <c r="C337" s="1" t="n">
        <v>45825</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64680-2020</t>
        </is>
      </c>
      <c r="B338" s="1" t="n">
        <v>44169</v>
      </c>
      <c r="C338" s="1" t="n">
        <v>45825</v>
      </c>
      <c r="D338" t="inlineStr">
        <is>
          <t>SÖDERMANLANDS LÄN</t>
        </is>
      </c>
      <c r="E338" t="inlineStr">
        <is>
          <t>KATRINEHOLM</t>
        </is>
      </c>
      <c r="F338" t="inlineStr">
        <is>
          <t>Kyrkan</t>
        </is>
      </c>
      <c r="G338" t="n">
        <v>19</v>
      </c>
      <c r="H338" t="n">
        <v>0</v>
      </c>
      <c r="I338" t="n">
        <v>0</v>
      </c>
      <c r="J338" t="n">
        <v>0</v>
      </c>
      <c r="K338" t="n">
        <v>0</v>
      </c>
      <c r="L338" t="n">
        <v>0</v>
      </c>
      <c r="M338" t="n">
        <v>0</v>
      </c>
      <c r="N338" t="n">
        <v>0</v>
      </c>
      <c r="O338" t="n">
        <v>0</v>
      </c>
      <c r="P338" t="n">
        <v>0</v>
      </c>
      <c r="Q338" t="n">
        <v>0</v>
      </c>
      <c r="R338" s="2" t="inlineStr"/>
    </row>
    <row r="339" ht="15" customHeight="1">
      <c r="A339" t="inlineStr">
        <is>
          <t>A 65117-2020</t>
        </is>
      </c>
      <c r="B339" s="1" t="n">
        <v>44172</v>
      </c>
      <c r="C339" s="1" t="n">
        <v>45825</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65152-2020</t>
        </is>
      </c>
      <c r="B340" s="1" t="n">
        <v>44172</v>
      </c>
      <c r="C340" s="1" t="n">
        <v>45825</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65077-2020</t>
        </is>
      </c>
      <c r="B341" s="1" t="n">
        <v>44172</v>
      </c>
      <c r="C341" s="1" t="n">
        <v>45825</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65186-2020</t>
        </is>
      </c>
      <c r="B342" s="1" t="n">
        <v>44172</v>
      </c>
      <c r="C342" s="1" t="n">
        <v>45825</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65312-2020</t>
        </is>
      </c>
      <c r="B343" s="1" t="n">
        <v>44173</v>
      </c>
      <c r="C343" s="1" t="n">
        <v>45825</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65485-2020</t>
        </is>
      </c>
      <c r="B344" s="1" t="n">
        <v>44173</v>
      </c>
      <c r="C344" s="1" t="n">
        <v>45825</v>
      </c>
      <c r="D344" t="inlineStr">
        <is>
          <t>SÖDERMANLANDS LÄN</t>
        </is>
      </c>
      <c r="E344" t="inlineStr">
        <is>
          <t>KATRINEHOLM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65358-2020</t>
        </is>
      </c>
      <c r="B345" s="1" t="n">
        <v>44173</v>
      </c>
      <c r="C345" s="1" t="n">
        <v>45825</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66025-2020</t>
        </is>
      </c>
      <c r="B346" s="1" t="n">
        <v>44175</v>
      </c>
      <c r="C346" s="1" t="n">
        <v>45825</v>
      </c>
      <c r="D346" t="inlineStr">
        <is>
          <t>SÖDERMANLANDS LÄN</t>
        </is>
      </c>
      <c r="E346" t="inlineStr">
        <is>
          <t>KATRINEHOLM</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66796-2020</t>
        </is>
      </c>
      <c r="B347" s="1" t="n">
        <v>44179</v>
      </c>
      <c r="C347" s="1" t="n">
        <v>45825</v>
      </c>
      <c r="D347" t="inlineStr">
        <is>
          <t>SÖDERMANLANDS LÄN</t>
        </is>
      </c>
      <c r="E347" t="inlineStr">
        <is>
          <t>KATRINEHOLM</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66880-2020</t>
        </is>
      </c>
      <c r="B348" s="1" t="n">
        <v>44180</v>
      </c>
      <c r="C348" s="1" t="n">
        <v>45825</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66896-2020</t>
        </is>
      </c>
      <c r="B349" s="1" t="n">
        <v>44180</v>
      </c>
      <c r="C349" s="1" t="n">
        <v>45825</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67959-2020</t>
        </is>
      </c>
      <c r="B350" s="1" t="n">
        <v>44182</v>
      </c>
      <c r="C350" s="1" t="n">
        <v>45825</v>
      </c>
      <c r="D350" t="inlineStr">
        <is>
          <t>SÖDERMANLANDS LÄN</t>
        </is>
      </c>
      <c r="E350" t="inlineStr">
        <is>
          <t>KATRINEHOLM</t>
        </is>
      </c>
      <c r="G350" t="n">
        <v>11.5</v>
      </c>
      <c r="H350" t="n">
        <v>0</v>
      </c>
      <c r="I350" t="n">
        <v>0</v>
      </c>
      <c r="J350" t="n">
        <v>0</v>
      </c>
      <c r="K350" t="n">
        <v>0</v>
      </c>
      <c r="L350" t="n">
        <v>0</v>
      </c>
      <c r="M350" t="n">
        <v>0</v>
      </c>
      <c r="N350" t="n">
        <v>0</v>
      </c>
      <c r="O350" t="n">
        <v>0</v>
      </c>
      <c r="P350" t="n">
        <v>0</v>
      </c>
      <c r="Q350" t="n">
        <v>0</v>
      </c>
      <c r="R350" s="2" t="inlineStr"/>
    </row>
    <row r="351" ht="15" customHeight="1">
      <c r="A351" t="inlineStr">
        <is>
          <t>A 67957-2020</t>
        </is>
      </c>
      <c r="B351" s="1" t="n">
        <v>44182</v>
      </c>
      <c r="C351" s="1" t="n">
        <v>45825</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69332-2020</t>
        </is>
      </c>
      <c r="B352" s="1" t="n">
        <v>44193</v>
      </c>
      <c r="C352" s="1" t="n">
        <v>45825</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69600-2020</t>
        </is>
      </c>
      <c r="B353" s="1" t="n">
        <v>44195</v>
      </c>
      <c r="C353" s="1" t="n">
        <v>45825</v>
      </c>
      <c r="D353" t="inlineStr">
        <is>
          <t>SÖDERMANLANDS LÄN</t>
        </is>
      </c>
      <c r="E353" t="inlineStr">
        <is>
          <t>KATRINEHOLM</t>
        </is>
      </c>
      <c r="G353" t="n">
        <v>11.3</v>
      </c>
      <c r="H353" t="n">
        <v>0</v>
      </c>
      <c r="I353" t="n">
        <v>0</v>
      </c>
      <c r="J353" t="n">
        <v>0</v>
      </c>
      <c r="K353" t="n">
        <v>0</v>
      </c>
      <c r="L353" t="n">
        <v>0</v>
      </c>
      <c r="M353" t="n">
        <v>0</v>
      </c>
      <c r="N353" t="n">
        <v>0</v>
      </c>
      <c r="O353" t="n">
        <v>0</v>
      </c>
      <c r="P353" t="n">
        <v>0</v>
      </c>
      <c r="Q353" t="n">
        <v>0</v>
      </c>
      <c r="R353" s="2" t="inlineStr"/>
    </row>
    <row r="354" ht="15" customHeight="1">
      <c r="A354" t="inlineStr">
        <is>
          <t>A 2297-2021</t>
        </is>
      </c>
      <c r="B354" s="1" t="n">
        <v>44212</v>
      </c>
      <c r="C354" s="1" t="n">
        <v>45825</v>
      </c>
      <c r="D354" t="inlineStr">
        <is>
          <t>SÖDERMANLANDS LÄN</t>
        </is>
      </c>
      <c r="E354" t="inlineStr">
        <is>
          <t>KATRINEHOLM</t>
        </is>
      </c>
      <c r="G354" t="n">
        <v>14.4</v>
      </c>
      <c r="H354" t="n">
        <v>0</v>
      </c>
      <c r="I354" t="n">
        <v>0</v>
      </c>
      <c r="J354" t="n">
        <v>0</v>
      </c>
      <c r="K354" t="n">
        <v>0</v>
      </c>
      <c r="L354" t="n">
        <v>0</v>
      </c>
      <c r="M354" t="n">
        <v>0</v>
      </c>
      <c r="N354" t="n">
        <v>0</v>
      </c>
      <c r="O354" t="n">
        <v>0</v>
      </c>
      <c r="P354" t="n">
        <v>0</v>
      </c>
      <c r="Q354" t="n">
        <v>0</v>
      </c>
      <c r="R354" s="2" t="inlineStr"/>
    </row>
    <row r="355" ht="15" customHeight="1">
      <c r="A355" t="inlineStr">
        <is>
          <t>A 2298-2021</t>
        </is>
      </c>
      <c r="B355" s="1" t="n">
        <v>44212</v>
      </c>
      <c r="C355" s="1" t="n">
        <v>45825</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2435-2021</t>
        </is>
      </c>
      <c r="B356" s="1" t="n">
        <v>44214</v>
      </c>
      <c r="C356" s="1" t="n">
        <v>45825</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4533-2021</t>
        </is>
      </c>
      <c r="B357" s="1" t="n">
        <v>44223</v>
      </c>
      <c r="C357" s="1" t="n">
        <v>45825</v>
      </c>
      <c r="D357" t="inlineStr">
        <is>
          <t>SÖDERMANLANDS LÄN</t>
        </is>
      </c>
      <c r="E357" t="inlineStr">
        <is>
          <t>KATRINEHOLM</t>
        </is>
      </c>
      <c r="G357" t="n">
        <v>1.9</v>
      </c>
      <c r="H357" t="n">
        <v>0</v>
      </c>
      <c r="I357" t="n">
        <v>0</v>
      </c>
      <c r="J357" t="n">
        <v>0</v>
      </c>
      <c r="K357" t="n">
        <v>0</v>
      </c>
      <c r="L357" t="n">
        <v>0</v>
      </c>
      <c r="M357" t="n">
        <v>0</v>
      </c>
      <c r="N357" t="n">
        <v>0</v>
      </c>
      <c r="O357" t="n">
        <v>0</v>
      </c>
      <c r="P357" t="n">
        <v>0</v>
      </c>
      <c r="Q357" t="n">
        <v>0</v>
      </c>
      <c r="R357" s="2" t="inlineStr"/>
    </row>
    <row r="358" ht="15" customHeight="1">
      <c r="A358" t="inlineStr">
        <is>
          <t>A 4767-2021</t>
        </is>
      </c>
      <c r="B358" s="1" t="n">
        <v>44225</v>
      </c>
      <c r="C358" s="1" t="n">
        <v>45825</v>
      </c>
      <c r="D358" t="inlineStr">
        <is>
          <t>SÖDERMANLANDS LÄN</t>
        </is>
      </c>
      <c r="E358" t="inlineStr">
        <is>
          <t>KATRINEHOLM</t>
        </is>
      </c>
      <c r="G358" t="n">
        <v>3.8</v>
      </c>
      <c r="H358" t="n">
        <v>0</v>
      </c>
      <c r="I358" t="n">
        <v>0</v>
      </c>
      <c r="J358" t="n">
        <v>0</v>
      </c>
      <c r="K358" t="n">
        <v>0</v>
      </c>
      <c r="L358" t="n">
        <v>0</v>
      </c>
      <c r="M358" t="n">
        <v>0</v>
      </c>
      <c r="N358" t="n">
        <v>0</v>
      </c>
      <c r="O358" t="n">
        <v>0</v>
      </c>
      <c r="P358" t="n">
        <v>0</v>
      </c>
      <c r="Q358" t="n">
        <v>0</v>
      </c>
      <c r="R358" s="2" t="inlineStr"/>
    </row>
    <row r="359" ht="15" customHeight="1">
      <c r="A359" t="inlineStr">
        <is>
          <t>A 5953-2021</t>
        </is>
      </c>
      <c r="B359" s="1" t="n">
        <v>44231</v>
      </c>
      <c r="C359" s="1" t="n">
        <v>45825</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6087-2021</t>
        </is>
      </c>
      <c r="B360" s="1" t="n">
        <v>44232</v>
      </c>
      <c r="C360" s="1" t="n">
        <v>45825</v>
      </c>
      <c r="D360" t="inlineStr">
        <is>
          <t>SÖDERMANLANDS LÄN</t>
        </is>
      </c>
      <c r="E360" t="inlineStr">
        <is>
          <t>KATRINEHOLM</t>
        </is>
      </c>
      <c r="G360" t="n">
        <v>2.6</v>
      </c>
      <c r="H360" t="n">
        <v>0</v>
      </c>
      <c r="I360" t="n">
        <v>0</v>
      </c>
      <c r="J360" t="n">
        <v>0</v>
      </c>
      <c r="K360" t="n">
        <v>0</v>
      </c>
      <c r="L360" t="n">
        <v>0</v>
      </c>
      <c r="M360" t="n">
        <v>0</v>
      </c>
      <c r="N360" t="n">
        <v>0</v>
      </c>
      <c r="O360" t="n">
        <v>0</v>
      </c>
      <c r="P360" t="n">
        <v>0</v>
      </c>
      <c r="Q360" t="n">
        <v>0</v>
      </c>
      <c r="R360" s="2" t="inlineStr"/>
    </row>
    <row r="361" ht="15" customHeight="1">
      <c r="A361" t="inlineStr">
        <is>
          <t>A 7240-2021</t>
        </is>
      </c>
      <c r="B361" s="1" t="n">
        <v>44238</v>
      </c>
      <c r="C361" s="1" t="n">
        <v>45825</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7254-2021</t>
        </is>
      </c>
      <c r="B362" s="1" t="n">
        <v>44238</v>
      </c>
      <c r="C362" s="1" t="n">
        <v>45825</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7669-2021</t>
        </is>
      </c>
      <c r="B363" s="1" t="n">
        <v>44242</v>
      </c>
      <c r="C363" s="1" t="n">
        <v>45825</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7705-2021</t>
        </is>
      </c>
      <c r="B364" s="1" t="n">
        <v>44242</v>
      </c>
      <c r="C364" s="1" t="n">
        <v>45825</v>
      </c>
      <c r="D364" t="inlineStr">
        <is>
          <t>SÖDERMANLANDS LÄN</t>
        </is>
      </c>
      <c r="E364" t="inlineStr">
        <is>
          <t>KATRINEHOLM</t>
        </is>
      </c>
      <c r="F364" t="inlineStr">
        <is>
          <t>Allmännings- och besparingsskogar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7855-2021</t>
        </is>
      </c>
      <c r="B365" s="1" t="n">
        <v>44242</v>
      </c>
      <c r="C365" s="1" t="n">
        <v>45825</v>
      </c>
      <c r="D365" t="inlineStr">
        <is>
          <t>SÖDERMANLANDS LÄN</t>
        </is>
      </c>
      <c r="E365" t="inlineStr">
        <is>
          <t>KATRINEHOLM</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8289-2021</t>
        </is>
      </c>
      <c r="B366" s="1" t="n">
        <v>44244</v>
      </c>
      <c r="C366" s="1" t="n">
        <v>45825</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9388-2021</t>
        </is>
      </c>
      <c r="B367" s="1" t="n">
        <v>44250</v>
      </c>
      <c r="C367" s="1" t="n">
        <v>45825</v>
      </c>
      <c r="D367" t="inlineStr">
        <is>
          <t>SÖDERMANLANDS LÄN</t>
        </is>
      </c>
      <c r="E367" t="inlineStr">
        <is>
          <t>KATRINEHOLM</t>
        </is>
      </c>
      <c r="G367" t="n">
        <v>5.4</v>
      </c>
      <c r="H367" t="n">
        <v>0</v>
      </c>
      <c r="I367" t="n">
        <v>0</v>
      </c>
      <c r="J367" t="n">
        <v>0</v>
      </c>
      <c r="K367" t="n">
        <v>0</v>
      </c>
      <c r="L367" t="n">
        <v>0</v>
      </c>
      <c r="M367" t="n">
        <v>0</v>
      </c>
      <c r="N367" t="n">
        <v>0</v>
      </c>
      <c r="O367" t="n">
        <v>0</v>
      </c>
      <c r="P367" t="n">
        <v>0</v>
      </c>
      <c r="Q367" t="n">
        <v>0</v>
      </c>
      <c r="R367" s="2" t="inlineStr"/>
    </row>
    <row r="368" ht="15" customHeight="1">
      <c r="A368" t="inlineStr">
        <is>
          <t>A 9576-2021</t>
        </is>
      </c>
      <c r="B368" s="1" t="n">
        <v>44251</v>
      </c>
      <c r="C368" s="1" t="n">
        <v>45825</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10093-2021</t>
        </is>
      </c>
      <c r="B369" s="1" t="n">
        <v>44256</v>
      </c>
      <c r="C369" s="1" t="n">
        <v>45825</v>
      </c>
      <c r="D369" t="inlineStr">
        <is>
          <t>SÖDERMANLANDS LÄN</t>
        </is>
      </c>
      <c r="E369" t="inlineStr">
        <is>
          <t>KATRINEHOLM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10662-2021</t>
        </is>
      </c>
      <c r="B370" s="1" t="n">
        <v>44258</v>
      </c>
      <c r="C370" s="1" t="n">
        <v>45825</v>
      </c>
      <c r="D370" t="inlineStr">
        <is>
          <t>SÖDERMANLANDS LÄN</t>
        </is>
      </c>
      <c r="E370" t="inlineStr">
        <is>
          <t>KATRINEHOLM</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11070-2021</t>
        </is>
      </c>
      <c r="B371" s="1" t="n">
        <v>44260</v>
      </c>
      <c r="C371" s="1" t="n">
        <v>45825</v>
      </c>
      <c r="D371" t="inlineStr">
        <is>
          <t>SÖDERMANLANDS LÄN</t>
        </is>
      </c>
      <c r="E371" t="inlineStr">
        <is>
          <t>KATRINEHOLM</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11676-2021</t>
        </is>
      </c>
      <c r="B372" s="1" t="n">
        <v>44264</v>
      </c>
      <c r="C372" s="1" t="n">
        <v>45825</v>
      </c>
      <c r="D372" t="inlineStr">
        <is>
          <t>SÖDERMANLANDS LÄN</t>
        </is>
      </c>
      <c r="E372" t="inlineStr">
        <is>
          <t>KATRINEHOLM</t>
        </is>
      </c>
      <c r="F372" t="inlineStr">
        <is>
          <t>Allmännings- och besparingsskogar</t>
        </is>
      </c>
      <c r="G372" t="n">
        <v>1</v>
      </c>
      <c r="H372" t="n">
        <v>0</v>
      </c>
      <c r="I372" t="n">
        <v>0</v>
      </c>
      <c r="J372" t="n">
        <v>0</v>
      </c>
      <c r="K372" t="n">
        <v>0</v>
      </c>
      <c r="L372" t="n">
        <v>0</v>
      </c>
      <c r="M372" t="n">
        <v>0</v>
      </c>
      <c r="N372" t="n">
        <v>0</v>
      </c>
      <c r="O372" t="n">
        <v>0</v>
      </c>
      <c r="P372" t="n">
        <v>0</v>
      </c>
      <c r="Q372" t="n">
        <v>0</v>
      </c>
      <c r="R372" s="2" t="inlineStr"/>
    </row>
    <row r="373" ht="15" customHeight="1">
      <c r="A373" t="inlineStr">
        <is>
          <t>A 11812-2021</t>
        </is>
      </c>
      <c r="B373" s="1" t="n">
        <v>44265</v>
      </c>
      <c r="C373" s="1" t="n">
        <v>45825</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11893-2021</t>
        </is>
      </c>
      <c r="B374" s="1" t="n">
        <v>44265</v>
      </c>
      <c r="C374" s="1" t="n">
        <v>45825</v>
      </c>
      <c r="D374" t="inlineStr">
        <is>
          <t>SÖDERMANLANDS LÄN</t>
        </is>
      </c>
      <c r="E374" t="inlineStr">
        <is>
          <t>KATRINEHOLM</t>
        </is>
      </c>
      <c r="G374" t="n">
        <v>7.1</v>
      </c>
      <c r="H374" t="n">
        <v>0</v>
      </c>
      <c r="I374" t="n">
        <v>0</v>
      </c>
      <c r="J374" t="n">
        <v>0</v>
      </c>
      <c r="K374" t="n">
        <v>0</v>
      </c>
      <c r="L374" t="n">
        <v>0</v>
      </c>
      <c r="M374" t="n">
        <v>0</v>
      </c>
      <c r="N374" t="n">
        <v>0</v>
      </c>
      <c r="O374" t="n">
        <v>0</v>
      </c>
      <c r="P374" t="n">
        <v>0</v>
      </c>
      <c r="Q374" t="n">
        <v>0</v>
      </c>
      <c r="R374" s="2" t="inlineStr"/>
    </row>
    <row r="375" ht="15" customHeight="1">
      <c r="A375" t="inlineStr">
        <is>
          <t>A 12068-2021</t>
        </is>
      </c>
      <c r="B375" s="1" t="n">
        <v>44266</v>
      </c>
      <c r="C375" s="1" t="n">
        <v>45825</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12063-2021</t>
        </is>
      </c>
      <c r="B376" s="1" t="n">
        <v>44266</v>
      </c>
      <c r="C376" s="1" t="n">
        <v>45825</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12070-2021</t>
        </is>
      </c>
      <c r="B377" s="1" t="n">
        <v>44266</v>
      </c>
      <c r="C377" s="1" t="n">
        <v>45825</v>
      </c>
      <c r="D377" t="inlineStr">
        <is>
          <t>SÖDERMANLANDS LÄN</t>
        </is>
      </c>
      <c r="E377" t="inlineStr">
        <is>
          <t>KATRINEHOLM</t>
        </is>
      </c>
      <c r="G377" t="n">
        <v>2.4</v>
      </c>
      <c r="H377" t="n">
        <v>0</v>
      </c>
      <c r="I377" t="n">
        <v>0</v>
      </c>
      <c r="J377" t="n">
        <v>0</v>
      </c>
      <c r="K377" t="n">
        <v>0</v>
      </c>
      <c r="L377" t="n">
        <v>0</v>
      </c>
      <c r="M377" t="n">
        <v>0</v>
      </c>
      <c r="N377" t="n">
        <v>0</v>
      </c>
      <c r="O377" t="n">
        <v>0</v>
      </c>
      <c r="P377" t="n">
        <v>0</v>
      </c>
      <c r="Q377" t="n">
        <v>0</v>
      </c>
      <c r="R377" s="2" t="inlineStr"/>
    </row>
    <row r="378" ht="15" customHeight="1">
      <c r="A378" t="inlineStr">
        <is>
          <t>A 12239-2021</t>
        </is>
      </c>
      <c r="B378" s="1" t="n">
        <v>44266</v>
      </c>
      <c r="C378" s="1" t="n">
        <v>45825</v>
      </c>
      <c r="D378" t="inlineStr">
        <is>
          <t>SÖDERMANLANDS LÄN</t>
        </is>
      </c>
      <c r="E378" t="inlineStr">
        <is>
          <t>KATRINEHOLM</t>
        </is>
      </c>
      <c r="G378" t="n">
        <v>0.3</v>
      </c>
      <c r="H378" t="n">
        <v>0</v>
      </c>
      <c r="I378" t="n">
        <v>0</v>
      </c>
      <c r="J378" t="n">
        <v>0</v>
      </c>
      <c r="K378" t="n">
        <v>0</v>
      </c>
      <c r="L378" t="n">
        <v>0</v>
      </c>
      <c r="M378" t="n">
        <v>0</v>
      </c>
      <c r="N378" t="n">
        <v>0</v>
      </c>
      <c r="O378" t="n">
        <v>0</v>
      </c>
      <c r="P378" t="n">
        <v>0</v>
      </c>
      <c r="Q378" t="n">
        <v>0</v>
      </c>
      <c r="R378" s="2" t="inlineStr"/>
    </row>
    <row r="379" ht="15" customHeight="1">
      <c r="A379" t="inlineStr">
        <is>
          <t>A 12238-2021</t>
        </is>
      </c>
      <c r="B379" s="1" t="n">
        <v>44266</v>
      </c>
      <c r="C379" s="1" t="n">
        <v>45825</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12760-2021</t>
        </is>
      </c>
      <c r="B380" s="1" t="n">
        <v>44270</v>
      </c>
      <c r="C380" s="1" t="n">
        <v>45825</v>
      </c>
      <c r="D380" t="inlineStr">
        <is>
          <t>SÖDERMANLANDS LÄN</t>
        </is>
      </c>
      <c r="E380" t="inlineStr">
        <is>
          <t>KATRINEHOLM</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12766-2021</t>
        </is>
      </c>
      <c r="B381" s="1" t="n">
        <v>44270</v>
      </c>
      <c r="C381" s="1" t="n">
        <v>45825</v>
      </c>
      <c r="D381" t="inlineStr">
        <is>
          <t>SÖDERMANLANDS LÄN</t>
        </is>
      </c>
      <c r="E381" t="inlineStr">
        <is>
          <t>KATRINEHOLM</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16031-2021</t>
        </is>
      </c>
      <c r="B382" s="1" t="n">
        <v>44287</v>
      </c>
      <c r="C382" s="1" t="n">
        <v>45825</v>
      </c>
      <c r="D382" t="inlineStr">
        <is>
          <t>SÖDERMANLANDS LÄN</t>
        </is>
      </c>
      <c r="E382" t="inlineStr">
        <is>
          <t>KATRINEHOLM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17444-2021</t>
        </is>
      </c>
      <c r="B383" s="1" t="n">
        <v>44299</v>
      </c>
      <c r="C383" s="1" t="n">
        <v>45825</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17430-2021</t>
        </is>
      </c>
      <c r="B384" s="1" t="n">
        <v>44299</v>
      </c>
      <c r="C384" s="1" t="n">
        <v>45825</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17693-2021</t>
        </is>
      </c>
      <c r="B385" s="1" t="n">
        <v>44299</v>
      </c>
      <c r="C385" s="1" t="n">
        <v>45825</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17710-2021</t>
        </is>
      </c>
      <c r="B386" s="1" t="n">
        <v>44299</v>
      </c>
      <c r="C386" s="1" t="n">
        <v>45825</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45825</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45825</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19195-2021</t>
        </is>
      </c>
      <c r="B389" s="1" t="n">
        <v>44308</v>
      </c>
      <c r="C389" s="1" t="n">
        <v>45825</v>
      </c>
      <c r="D389" t="inlineStr">
        <is>
          <t>SÖDERMANLANDS LÄN</t>
        </is>
      </c>
      <c r="E389" t="inlineStr">
        <is>
          <t>KATRINEHOLM</t>
        </is>
      </c>
      <c r="G389" t="n">
        <v>8.1</v>
      </c>
      <c r="H389" t="n">
        <v>0</v>
      </c>
      <c r="I389" t="n">
        <v>0</v>
      </c>
      <c r="J389" t="n">
        <v>0</v>
      </c>
      <c r="K389" t="n">
        <v>0</v>
      </c>
      <c r="L389" t="n">
        <v>0</v>
      </c>
      <c r="M389" t="n">
        <v>0</v>
      </c>
      <c r="N389" t="n">
        <v>0</v>
      </c>
      <c r="O389" t="n">
        <v>0</v>
      </c>
      <c r="P389" t="n">
        <v>0</v>
      </c>
      <c r="Q389" t="n">
        <v>0</v>
      </c>
      <c r="R389" s="2" t="inlineStr"/>
    </row>
    <row r="390" ht="15" customHeight="1">
      <c r="A390" t="inlineStr">
        <is>
          <t>A 20042-2021</t>
        </is>
      </c>
      <c r="B390" s="1" t="n">
        <v>44314</v>
      </c>
      <c r="C390" s="1" t="n">
        <v>45825</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20039-2021</t>
        </is>
      </c>
      <c r="B391" s="1" t="n">
        <v>44314</v>
      </c>
      <c r="C391" s="1" t="n">
        <v>45825</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20949-2021</t>
        </is>
      </c>
      <c r="B392" s="1" t="n">
        <v>44319</v>
      </c>
      <c r="C392" s="1" t="n">
        <v>45825</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22087-2021</t>
        </is>
      </c>
      <c r="B393" s="1" t="n">
        <v>44323</v>
      </c>
      <c r="C393" s="1" t="n">
        <v>45825</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23838-2021</t>
        </is>
      </c>
      <c r="B394" s="1" t="n">
        <v>44335</v>
      </c>
      <c r="C394" s="1" t="n">
        <v>45825</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25337-2021</t>
        </is>
      </c>
      <c r="B395" s="1" t="n">
        <v>44342</v>
      </c>
      <c r="C395" s="1" t="n">
        <v>45825</v>
      </c>
      <c r="D395" t="inlineStr">
        <is>
          <t>SÖDERMANLANDS LÄN</t>
        </is>
      </c>
      <c r="E395" t="inlineStr">
        <is>
          <t>KATRINEHOLM</t>
        </is>
      </c>
      <c r="F395" t="inlineStr">
        <is>
          <t>Övriga Aktiebolag</t>
        </is>
      </c>
      <c r="G395" t="n">
        <v>5.5</v>
      </c>
      <c r="H395" t="n">
        <v>0</v>
      </c>
      <c r="I395" t="n">
        <v>0</v>
      </c>
      <c r="J395" t="n">
        <v>0</v>
      </c>
      <c r="K395" t="n">
        <v>0</v>
      </c>
      <c r="L395" t="n">
        <v>0</v>
      </c>
      <c r="M395" t="n">
        <v>0</v>
      </c>
      <c r="N395" t="n">
        <v>0</v>
      </c>
      <c r="O395" t="n">
        <v>0</v>
      </c>
      <c r="P395" t="n">
        <v>0</v>
      </c>
      <c r="Q395" t="n">
        <v>0</v>
      </c>
      <c r="R395" s="2" t="inlineStr"/>
    </row>
    <row r="396" ht="15" customHeight="1">
      <c r="A396" t="inlineStr">
        <is>
          <t>A 27298-2021</t>
        </is>
      </c>
      <c r="B396" s="1" t="n">
        <v>44351</v>
      </c>
      <c r="C396" s="1" t="n">
        <v>45825</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29264-2021</t>
        </is>
      </c>
      <c r="B397" s="1" t="n">
        <v>44361</v>
      </c>
      <c r="C397" s="1" t="n">
        <v>45825</v>
      </c>
      <c r="D397" t="inlineStr">
        <is>
          <t>SÖDERMANLANDS LÄN</t>
        </is>
      </c>
      <c r="E397" t="inlineStr">
        <is>
          <t>KATRINEHOLM</t>
        </is>
      </c>
      <c r="G397" t="n">
        <v>5.3</v>
      </c>
      <c r="H397" t="n">
        <v>0</v>
      </c>
      <c r="I397" t="n">
        <v>0</v>
      </c>
      <c r="J397" t="n">
        <v>0</v>
      </c>
      <c r="K397" t="n">
        <v>0</v>
      </c>
      <c r="L397" t="n">
        <v>0</v>
      </c>
      <c r="M397" t="n">
        <v>0</v>
      </c>
      <c r="N397" t="n">
        <v>0</v>
      </c>
      <c r="O397" t="n">
        <v>0</v>
      </c>
      <c r="P397" t="n">
        <v>0</v>
      </c>
      <c r="Q397" t="n">
        <v>0</v>
      </c>
      <c r="R397" s="2" t="inlineStr"/>
    </row>
    <row r="398" ht="15" customHeight="1">
      <c r="A398" t="inlineStr">
        <is>
          <t>A 29665-2021</t>
        </is>
      </c>
      <c r="B398" s="1" t="n">
        <v>44362</v>
      </c>
      <c r="C398" s="1" t="n">
        <v>45825</v>
      </c>
      <c r="D398" t="inlineStr">
        <is>
          <t>SÖDERMANLANDS LÄN</t>
        </is>
      </c>
      <c r="E398" t="inlineStr">
        <is>
          <t>KATRINEHOLM</t>
        </is>
      </c>
      <c r="G398" t="n">
        <v>14.3</v>
      </c>
      <c r="H398" t="n">
        <v>0</v>
      </c>
      <c r="I398" t="n">
        <v>0</v>
      </c>
      <c r="J398" t="n">
        <v>0</v>
      </c>
      <c r="K398" t="n">
        <v>0</v>
      </c>
      <c r="L398" t="n">
        <v>0</v>
      </c>
      <c r="M398" t="n">
        <v>0</v>
      </c>
      <c r="N398" t="n">
        <v>0</v>
      </c>
      <c r="O398" t="n">
        <v>0</v>
      </c>
      <c r="P398" t="n">
        <v>0</v>
      </c>
      <c r="Q398" t="n">
        <v>0</v>
      </c>
      <c r="R398" s="2" t="inlineStr"/>
    </row>
    <row r="399" ht="15" customHeight="1">
      <c r="A399" t="inlineStr">
        <is>
          <t>A 29662-2021</t>
        </is>
      </c>
      <c r="B399" s="1" t="n">
        <v>44362</v>
      </c>
      <c r="C399" s="1" t="n">
        <v>45825</v>
      </c>
      <c r="D399" t="inlineStr">
        <is>
          <t>SÖDERMANLANDS LÄN</t>
        </is>
      </c>
      <c r="E399" t="inlineStr">
        <is>
          <t>KATRINEHOLM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29702-2021</t>
        </is>
      </c>
      <c r="B400" s="1" t="n">
        <v>44362</v>
      </c>
      <c r="C400" s="1" t="n">
        <v>45825</v>
      </c>
      <c r="D400" t="inlineStr">
        <is>
          <t>SÖDERMANLANDS LÄN</t>
        </is>
      </c>
      <c r="E400" t="inlineStr">
        <is>
          <t>KATRINEHOLM</t>
        </is>
      </c>
      <c r="F400" t="inlineStr">
        <is>
          <t>Holmen skog AB</t>
        </is>
      </c>
      <c r="G400" t="n">
        <v>0.3</v>
      </c>
      <c r="H400" t="n">
        <v>0</v>
      </c>
      <c r="I400" t="n">
        <v>0</v>
      </c>
      <c r="J400" t="n">
        <v>0</v>
      </c>
      <c r="K400" t="n">
        <v>0</v>
      </c>
      <c r="L400" t="n">
        <v>0</v>
      </c>
      <c r="M400" t="n">
        <v>0</v>
      </c>
      <c r="N400" t="n">
        <v>0</v>
      </c>
      <c r="O400" t="n">
        <v>0</v>
      </c>
      <c r="P400" t="n">
        <v>0</v>
      </c>
      <c r="Q400" t="n">
        <v>0</v>
      </c>
      <c r="R400" s="2" t="inlineStr"/>
    </row>
    <row r="401" ht="15" customHeight="1">
      <c r="A401" t="inlineStr">
        <is>
          <t>A 31684-2021</t>
        </is>
      </c>
      <c r="B401" s="1" t="n">
        <v>44369</v>
      </c>
      <c r="C401" s="1" t="n">
        <v>45825</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31836-2021</t>
        </is>
      </c>
      <c r="B402" s="1" t="n">
        <v>44370</v>
      </c>
      <c r="C402" s="1" t="n">
        <v>45825</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31846-2021</t>
        </is>
      </c>
      <c r="B403" s="1" t="n">
        <v>44370</v>
      </c>
      <c r="C403" s="1" t="n">
        <v>45825</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31878-2021</t>
        </is>
      </c>
      <c r="B404" s="1" t="n">
        <v>44370</v>
      </c>
      <c r="C404" s="1" t="n">
        <v>45825</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32733-2021</t>
        </is>
      </c>
      <c r="B405" s="1" t="n">
        <v>44375</v>
      </c>
      <c r="C405" s="1" t="n">
        <v>45825</v>
      </c>
      <c r="D405" t="inlineStr">
        <is>
          <t>SÖDERMANLANDS LÄN</t>
        </is>
      </c>
      <c r="E405" t="inlineStr">
        <is>
          <t>KATRINEHOLM</t>
        </is>
      </c>
      <c r="G405" t="n">
        <v>9</v>
      </c>
      <c r="H405" t="n">
        <v>0</v>
      </c>
      <c r="I405" t="n">
        <v>0</v>
      </c>
      <c r="J405" t="n">
        <v>0</v>
      </c>
      <c r="K405" t="n">
        <v>0</v>
      </c>
      <c r="L405" t="n">
        <v>0</v>
      </c>
      <c r="M405" t="n">
        <v>0</v>
      </c>
      <c r="N405" t="n">
        <v>0</v>
      </c>
      <c r="O405" t="n">
        <v>0</v>
      </c>
      <c r="P405" t="n">
        <v>0</v>
      </c>
      <c r="Q405" t="n">
        <v>0</v>
      </c>
      <c r="R405" s="2" t="inlineStr"/>
      <c r="U405">
        <f>HYPERLINK("https://klasma.github.io/Logging_0483/knärot/A 32733-2021 karta knärot.png", "A 32733-2021")</f>
        <v/>
      </c>
      <c r="V405">
        <f>HYPERLINK("https://klasma.github.io/Logging_0483/klagomål/A 32733-2021 FSC-klagomål.docx", "A 32733-2021")</f>
        <v/>
      </c>
      <c r="W405">
        <f>HYPERLINK("https://klasma.github.io/Logging_0483/klagomålsmail/A 32733-2021 FSC-klagomål mail.docx", "A 32733-2021")</f>
        <v/>
      </c>
      <c r="X405">
        <f>HYPERLINK("https://klasma.github.io/Logging_0483/tillsyn/A 32733-2021 tillsynsbegäran.docx", "A 32733-2021")</f>
        <v/>
      </c>
      <c r="Y405">
        <f>HYPERLINK("https://klasma.github.io/Logging_0483/tillsynsmail/A 32733-2021 tillsynsbegäran mail.docx", "A 32733-2021")</f>
        <v/>
      </c>
    </row>
    <row r="406" ht="15" customHeight="1">
      <c r="A406" t="inlineStr">
        <is>
          <t>A 33949-2021</t>
        </is>
      </c>
      <c r="B406" s="1" t="n">
        <v>44378</v>
      </c>
      <c r="C406" s="1" t="n">
        <v>45825</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34794-2021</t>
        </is>
      </c>
      <c r="B407" s="1" t="n">
        <v>44383</v>
      </c>
      <c r="C407" s="1" t="n">
        <v>45825</v>
      </c>
      <c r="D407" t="inlineStr">
        <is>
          <t>SÖDERMANLANDS LÄN</t>
        </is>
      </c>
      <c r="E407" t="inlineStr">
        <is>
          <t>KATRINEHOLM</t>
        </is>
      </c>
      <c r="G407" t="n">
        <v>4.1</v>
      </c>
      <c r="H407" t="n">
        <v>0</v>
      </c>
      <c r="I407" t="n">
        <v>0</v>
      </c>
      <c r="J407" t="n">
        <v>0</v>
      </c>
      <c r="K407" t="n">
        <v>0</v>
      </c>
      <c r="L407" t="n">
        <v>0</v>
      </c>
      <c r="M407" t="n">
        <v>0</v>
      </c>
      <c r="N407" t="n">
        <v>0</v>
      </c>
      <c r="O407" t="n">
        <v>0</v>
      </c>
      <c r="P407" t="n">
        <v>0</v>
      </c>
      <c r="Q407" t="n">
        <v>0</v>
      </c>
      <c r="R407" s="2" t="inlineStr"/>
    </row>
    <row r="408" ht="15" customHeight="1">
      <c r="A408" t="inlineStr">
        <is>
          <t>A 36133-2021</t>
        </is>
      </c>
      <c r="B408" s="1" t="n">
        <v>44386</v>
      </c>
      <c r="C408" s="1" t="n">
        <v>45825</v>
      </c>
      <c r="D408" t="inlineStr">
        <is>
          <t>SÖDERMANLANDS LÄN</t>
        </is>
      </c>
      <c r="E408" t="inlineStr">
        <is>
          <t>KATRINEHOLM</t>
        </is>
      </c>
      <c r="F408" t="inlineStr">
        <is>
          <t>Övriga Aktiebolag</t>
        </is>
      </c>
      <c r="G408" t="n">
        <v>8.9</v>
      </c>
      <c r="H408" t="n">
        <v>0</v>
      </c>
      <c r="I408" t="n">
        <v>0</v>
      </c>
      <c r="J408" t="n">
        <v>0</v>
      </c>
      <c r="K408" t="n">
        <v>0</v>
      </c>
      <c r="L408" t="n">
        <v>0</v>
      </c>
      <c r="M408" t="n">
        <v>0</v>
      </c>
      <c r="N408" t="n">
        <v>0</v>
      </c>
      <c r="O408" t="n">
        <v>0</v>
      </c>
      <c r="P408" t="n">
        <v>0</v>
      </c>
      <c r="Q408" t="n">
        <v>0</v>
      </c>
      <c r="R408" s="2" t="inlineStr"/>
    </row>
    <row r="409" ht="15" customHeight="1">
      <c r="A409" t="inlineStr">
        <is>
          <t>A 36608-2021</t>
        </is>
      </c>
      <c r="B409" s="1" t="n">
        <v>44391</v>
      </c>
      <c r="C409" s="1" t="n">
        <v>45825</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36605-2021</t>
        </is>
      </c>
      <c r="B410" s="1" t="n">
        <v>44391</v>
      </c>
      <c r="C410" s="1" t="n">
        <v>45825</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36856-2021</t>
        </is>
      </c>
      <c r="B411" s="1" t="n">
        <v>44393</v>
      </c>
      <c r="C411" s="1" t="n">
        <v>45825</v>
      </c>
      <c r="D411" t="inlineStr">
        <is>
          <t>SÖDERMANLANDS LÄN</t>
        </is>
      </c>
      <c r="E411" t="inlineStr">
        <is>
          <t>KATRINEHOLM</t>
        </is>
      </c>
      <c r="G411" t="n">
        <v>3.1</v>
      </c>
      <c r="H411" t="n">
        <v>0</v>
      </c>
      <c r="I411" t="n">
        <v>0</v>
      </c>
      <c r="J411" t="n">
        <v>0</v>
      </c>
      <c r="K411" t="n">
        <v>0</v>
      </c>
      <c r="L411" t="n">
        <v>0</v>
      </c>
      <c r="M411" t="n">
        <v>0</v>
      </c>
      <c r="N411" t="n">
        <v>0</v>
      </c>
      <c r="O411" t="n">
        <v>0</v>
      </c>
      <c r="P411" t="n">
        <v>0</v>
      </c>
      <c r="Q411" t="n">
        <v>0</v>
      </c>
      <c r="R411" s="2" t="inlineStr"/>
    </row>
    <row r="412" ht="15" customHeight="1">
      <c r="A412" t="inlineStr">
        <is>
          <t>A 36964-2021</t>
        </is>
      </c>
      <c r="B412" s="1" t="n">
        <v>44393</v>
      </c>
      <c r="C412" s="1" t="n">
        <v>45825</v>
      </c>
      <c r="D412" t="inlineStr">
        <is>
          <t>SÖDERMANLANDS LÄN</t>
        </is>
      </c>
      <c r="E412" t="inlineStr">
        <is>
          <t>KATRINEHOLM</t>
        </is>
      </c>
      <c r="G412" t="n">
        <v>3.5</v>
      </c>
      <c r="H412" t="n">
        <v>0</v>
      </c>
      <c r="I412" t="n">
        <v>0</v>
      </c>
      <c r="J412" t="n">
        <v>0</v>
      </c>
      <c r="K412" t="n">
        <v>0</v>
      </c>
      <c r="L412" t="n">
        <v>0</v>
      </c>
      <c r="M412" t="n">
        <v>0</v>
      </c>
      <c r="N412" t="n">
        <v>0</v>
      </c>
      <c r="O412" t="n">
        <v>0</v>
      </c>
      <c r="P412" t="n">
        <v>0</v>
      </c>
      <c r="Q412" t="n">
        <v>0</v>
      </c>
      <c r="R412" s="2" t="inlineStr"/>
    </row>
    <row r="413" ht="15" customHeight="1">
      <c r="A413" t="inlineStr">
        <is>
          <t>A 38158-2021</t>
        </is>
      </c>
      <c r="B413" s="1" t="n">
        <v>44405</v>
      </c>
      <c r="C413" s="1" t="n">
        <v>45825</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38308-2021</t>
        </is>
      </c>
      <c r="B414" s="1" t="n">
        <v>44406</v>
      </c>
      <c r="C414" s="1" t="n">
        <v>45825</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38471-2021</t>
        </is>
      </c>
      <c r="B415" s="1" t="n">
        <v>44407</v>
      </c>
      <c r="C415" s="1" t="n">
        <v>45825</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38607-2021</t>
        </is>
      </c>
      <c r="B416" s="1" t="n">
        <v>44409</v>
      </c>
      <c r="C416" s="1" t="n">
        <v>45825</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38606-2021</t>
        </is>
      </c>
      <c r="B417" s="1" t="n">
        <v>44409</v>
      </c>
      <c r="C417" s="1" t="n">
        <v>45825</v>
      </c>
      <c r="D417" t="inlineStr">
        <is>
          <t>SÖDERMANLANDS LÄN</t>
        </is>
      </c>
      <c r="E417" t="inlineStr">
        <is>
          <t>KATRINEHOLM</t>
        </is>
      </c>
      <c r="G417" t="n">
        <v>2.2</v>
      </c>
      <c r="H417" t="n">
        <v>0</v>
      </c>
      <c r="I417" t="n">
        <v>0</v>
      </c>
      <c r="J417" t="n">
        <v>0</v>
      </c>
      <c r="K417" t="n">
        <v>0</v>
      </c>
      <c r="L417" t="n">
        <v>0</v>
      </c>
      <c r="M417" t="n">
        <v>0</v>
      </c>
      <c r="N417" t="n">
        <v>0</v>
      </c>
      <c r="O417" t="n">
        <v>0</v>
      </c>
      <c r="P417" t="n">
        <v>0</v>
      </c>
      <c r="Q417" t="n">
        <v>0</v>
      </c>
      <c r="R417" s="2" t="inlineStr"/>
    </row>
    <row r="418" ht="15" customHeight="1">
      <c r="A418" t="inlineStr">
        <is>
          <t>A 38611-2021</t>
        </is>
      </c>
      <c r="B418" s="1" t="n">
        <v>44409</v>
      </c>
      <c r="C418" s="1" t="n">
        <v>45825</v>
      </c>
      <c r="D418" t="inlineStr">
        <is>
          <t>SÖDERMANLANDS LÄN</t>
        </is>
      </c>
      <c r="E418" t="inlineStr">
        <is>
          <t>KATRINEHOLM</t>
        </is>
      </c>
      <c r="G418" t="n">
        <v>7.7</v>
      </c>
      <c r="H418" t="n">
        <v>0</v>
      </c>
      <c r="I418" t="n">
        <v>0</v>
      </c>
      <c r="J418" t="n">
        <v>0</v>
      </c>
      <c r="K418" t="n">
        <v>0</v>
      </c>
      <c r="L418" t="n">
        <v>0</v>
      </c>
      <c r="M418" t="n">
        <v>0</v>
      </c>
      <c r="N418" t="n">
        <v>0</v>
      </c>
      <c r="O418" t="n">
        <v>0</v>
      </c>
      <c r="P418" t="n">
        <v>0</v>
      </c>
      <c r="Q418" t="n">
        <v>0</v>
      </c>
      <c r="R418" s="2" t="inlineStr"/>
    </row>
    <row r="419" ht="15" customHeight="1">
      <c r="A419" t="inlineStr">
        <is>
          <t>A 38826-2021</t>
        </is>
      </c>
      <c r="B419" s="1" t="n">
        <v>44411</v>
      </c>
      <c r="C419" s="1" t="n">
        <v>45825</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38835-2021</t>
        </is>
      </c>
      <c r="B420" s="1" t="n">
        <v>44411</v>
      </c>
      <c r="C420" s="1" t="n">
        <v>45825</v>
      </c>
      <c r="D420" t="inlineStr">
        <is>
          <t>SÖDERMANLANDS LÄN</t>
        </is>
      </c>
      <c r="E420" t="inlineStr">
        <is>
          <t>KATRINEHOLM</t>
        </is>
      </c>
      <c r="G420" t="n">
        <v>10.2</v>
      </c>
      <c r="H420" t="n">
        <v>0</v>
      </c>
      <c r="I420" t="n">
        <v>0</v>
      </c>
      <c r="J420" t="n">
        <v>0</v>
      </c>
      <c r="K420" t="n">
        <v>0</v>
      </c>
      <c r="L420" t="n">
        <v>0</v>
      </c>
      <c r="M420" t="n">
        <v>0</v>
      </c>
      <c r="N420" t="n">
        <v>0</v>
      </c>
      <c r="O420" t="n">
        <v>0</v>
      </c>
      <c r="P420" t="n">
        <v>0</v>
      </c>
      <c r="Q420" t="n">
        <v>0</v>
      </c>
      <c r="R420" s="2" t="inlineStr"/>
    </row>
    <row r="421" ht="15" customHeight="1">
      <c r="A421" t="inlineStr">
        <is>
          <t>A 39001-2021</t>
        </is>
      </c>
      <c r="B421" s="1" t="n">
        <v>44412</v>
      </c>
      <c r="C421" s="1" t="n">
        <v>45825</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39010-2021</t>
        </is>
      </c>
      <c r="B422" s="1" t="n">
        <v>44412</v>
      </c>
      <c r="C422" s="1" t="n">
        <v>45825</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39527-2021</t>
        </is>
      </c>
      <c r="B423" s="1" t="n">
        <v>44415</v>
      </c>
      <c r="C423" s="1" t="n">
        <v>45825</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39549-2021</t>
        </is>
      </c>
      <c r="B424" s="1" t="n">
        <v>44416</v>
      </c>
      <c r="C424" s="1" t="n">
        <v>45825</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39546-2021</t>
        </is>
      </c>
      <c r="B425" s="1" t="n">
        <v>44416</v>
      </c>
      <c r="C425" s="1" t="n">
        <v>45825</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39862-2021</t>
        </is>
      </c>
      <c r="B426" s="1" t="n">
        <v>44417</v>
      </c>
      <c r="C426" s="1" t="n">
        <v>45825</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45825</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40400-2021</t>
        </is>
      </c>
      <c r="B428" s="1" t="n">
        <v>44419</v>
      </c>
      <c r="C428" s="1" t="n">
        <v>45825</v>
      </c>
      <c r="D428" t="inlineStr">
        <is>
          <t>SÖDERMANLANDS LÄN</t>
        </is>
      </c>
      <c r="E428" t="inlineStr">
        <is>
          <t>KATRINEHOLM</t>
        </is>
      </c>
      <c r="G428" t="n">
        <v>12.2</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45825</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41205-2021</t>
        </is>
      </c>
      <c r="B430" s="1" t="n">
        <v>44424</v>
      </c>
      <c r="C430" s="1" t="n">
        <v>45825</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41863-2021</t>
        </is>
      </c>
      <c r="B431" s="1" t="n">
        <v>44426</v>
      </c>
      <c r="C431" s="1" t="n">
        <v>45825</v>
      </c>
      <c r="D431" t="inlineStr">
        <is>
          <t>SÖDERMANLANDS LÄN</t>
        </is>
      </c>
      <c r="E431" t="inlineStr">
        <is>
          <t>KATRINEHOLM</t>
        </is>
      </c>
      <c r="G431" t="n">
        <v>0.3</v>
      </c>
      <c r="H431" t="n">
        <v>0</v>
      </c>
      <c r="I431" t="n">
        <v>0</v>
      </c>
      <c r="J431" t="n">
        <v>0</v>
      </c>
      <c r="K431" t="n">
        <v>0</v>
      </c>
      <c r="L431" t="n">
        <v>0</v>
      </c>
      <c r="M431" t="n">
        <v>0</v>
      </c>
      <c r="N431" t="n">
        <v>0</v>
      </c>
      <c r="O431" t="n">
        <v>0</v>
      </c>
      <c r="P431" t="n">
        <v>0</v>
      </c>
      <c r="Q431" t="n">
        <v>0</v>
      </c>
      <c r="R431" s="2" t="inlineStr"/>
    </row>
    <row r="432" ht="15" customHeight="1">
      <c r="A432" t="inlineStr">
        <is>
          <t>A 41876-2021</t>
        </is>
      </c>
      <c r="B432" s="1" t="n">
        <v>44426</v>
      </c>
      <c r="C432" s="1" t="n">
        <v>45825</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42853-2021</t>
        </is>
      </c>
      <c r="B433" s="1" t="n">
        <v>44430</v>
      </c>
      <c r="C433" s="1" t="n">
        <v>45825</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43499-2021</t>
        </is>
      </c>
      <c r="B434" s="1" t="n">
        <v>44433</v>
      </c>
      <c r="C434" s="1" t="n">
        <v>45825</v>
      </c>
      <c r="D434" t="inlineStr">
        <is>
          <t>SÖDERMANLANDS LÄN</t>
        </is>
      </c>
      <c r="E434" t="inlineStr">
        <is>
          <t>KATRINEHOLM</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43569-2021</t>
        </is>
      </c>
      <c r="B435" s="1" t="n">
        <v>44433</v>
      </c>
      <c r="C435" s="1" t="n">
        <v>45825</v>
      </c>
      <c r="D435" t="inlineStr">
        <is>
          <t>SÖDERMANLANDS LÄN</t>
        </is>
      </c>
      <c r="E435" t="inlineStr">
        <is>
          <t>KATRINEHOLM</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44024-2021</t>
        </is>
      </c>
      <c r="B436" s="1" t="n">
        <v>44434</v>
      </c>
      <c r="C436" s="1" t="n">
        <v>45825</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45130-2021</t>
        </is>
      </c>
      <c r="B437" s="1" t="n">
        <v>44439</v>
      </c>
      <c r="C437" s="1" t="n">
        <v>45825</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45147-2021</t>
        </is>
      </c>
      <c r="B438" s="1" t="n">
        <v>44439</v>
      </c>
      <c r="C438" s="1" t="n">
        <v>45825</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45142-2021</t>
        </is>
      </c>
      <c r="B439" s="1" t="n">
        <v>44439</v>
      </c>
      <c r="C439" s="1" t="n">
        <v>45825</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45435-2021</t>
        </is>
      </c>
      <c r="B440" s="1" t="n">
        <v>44440</v>
      </c>
      <c r="C440" s="1" t="n">
        <v>45825</v>
      </c>
      <c r="D440" t="inlineStr">
        <is>
          <t>SÖDERMANLANDS LÄN</t>
        </is>
      </c>
      <c r="E440" t="inlineStr">
        <is>
          <t>KATRINEHOLM</t>
        </is>
      </c>
      <c r="F440" t="inlineStr">
        <is>
          <t>Kommuner</t>
        </is>
      </c>
      <c r="G440" t="n">
        <v>3</v>
      </c>
      <c r="H440" t="n">
        <v>0</v>
      </c>
      <c r="I440" t="n">
        <v>0</v>
      </c>
      <c r="J440" t="n">
        <v>0</v>
      </c>
      <c r="K440" t="n">
        <v>0</v>
      </c>
      <c r="L440" t="n">
        <v>0</v>
      </c>
      <c r="M440" t="n">
        <v>0</v>
      </c>
      <c r="N440" t="n">
        <v>0</v>
      </c>
      <c r="O440" t="n">
        <v>0</v>
      </c>
      <c r="P440" t="n">
        <v>0</v>
      </c>
      <c r="Q440" t="n">
        <v>0</v>
      </c>
      <c r="R440" s="2" t="inlineStr"/>
    </row>
    <row r="441" ht="15" customHeight="1">
      <c r="A441" t="inlineStr">
        <is>
          <t>A 45438-2021</t>
        </is>
      </c>
      <c r="B441" s="1" t="n">
        <v>44440</v>
      </c>
      <c r="C441" s="1" t="n">
        <v>45825</v>
      </c>
      <c r="D441" t="inlineStr">
        <is>
          <t>SÖDERMANLANDS LÄN</t>
        </is>
      </c>
      <c r="E441" t="inlineStr">
        <is>
          <t>KATRINEHOLM</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45785-2021</t>
        </is>
      </c>
      <c r="B442" s="1" t="n">
        <v>44441</v>
      </c>
      <c r="C442" s="1" t="n">
        <v>45825</v>
      </c>
      <c r="D442" t="inlineStr">
        <is>
          <t>SÖDERMANLANDS LÄN</t>
        </is>
      </c>
      <c r="E442" t="inlineStr">
        <is>
          <t>KATRINEHOLM</t>
        </is>
      </c>
      <c r="G442" t="n">
        <v>2.5</v>
      </c>
      <c r="H442" t="n">
        <v>0</v>
      </c>
      <c r="I442" t="n">
        <v>0</v>
      </c>
      <c r="J442" t="n">
        <v>0</v>
      </c>
      <c r="K442" t="n">
        <v>0</v>
      </c>
      <c r="L442" t="n">
        <v>0</v>
      </c>
      <c r="M442" t="n">
        <v>0</v>
      </c>
      <c r="N442" t="n">
        <v>0</v>
      </c>
      <c r="O442" t="n">
        <v>0</v>
      </c>
      <c r="P442" t="n">
        <v>0</v>
      </c>
      <c r="Q442" t="n">
        <v>0</v>
      </c>
      <c r="R442" s="2" t="inlineStr"/>
    </row>
    <row r="443" ht="15" customHeight="1">
      <c r="A443" t="inlineStr">
        <is>
          <t>A 45914-2021</t>
        </is>
      </c>
      <c r="B443" s="1" t="n">
        <v>44441</v>
      </c>
      <c r="C443" s="1" t="n">
        <v>45825</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46011-2021</t>
        </is>
      </c>
      <c r="B444" s="1" t="n">
        <v>44441</v>
      </c>
      <c r="C444" s="1" t="n">
        <v>45825</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45921-2021</t>
        </is>
      </c>
      <c r="B445" s="1" t="n">
        <v>44441</v>
      </c>
      <c r="C445" s="1" t="n">
        <v>45825</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46257-2021</t>
        </is>
      </c>
      <c r="B446" s="1" t="n">
        <v>44442</v>
      </c>
      <c r="C446" s="1" t="n">
        <v>45825</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46640-2021</t>
        </is>
      </c>
      <c r="B447" s="1" t="n">
        <v>44445</v>
      </c>
      <c r="C447" s="1" t="n">
        <v>45825</v>
      </c>
      <c r="D447" t="inlineStr">
        <is>
          <t>SÖDERMANLANDS LÄN</t>
        </is>
      </c>
      <c r="E447" t="inlineStr">
        <is>
          <t>KATRINEHOLM</t>
        </is>
      </c>
      <c r="G447" t="n">
        <v>5.6</v>
      </c>
      <c r="H447" t="n">
        <v>0</v>
      </c>
      <c r="I447" t="n">
        <v>0</v>
      </c>
      <c r="J447" t="n">
        <v>0</v>
      </c>
      <c r="K447" t="n">
        <v>0</v>
      </c>
      <c r="L447" t="n">
        <v>0</v>
      </c>
      <c r="M447" t="n">
        <v>0</v>
      </c>
      <c r="N447" t="n">
        <v>0</v>
      </c>
      <c r="O447" t="n">
        <v>0</v>
      </c>
      <c r="P447" t="n">
        <v>0</v>
      </c>
      <c r="Q447" t="n">
        <v>0</v>
      </c>
      <c r="R447" s="2" t="inlineStr"/>
    </row>
    <row r="448" ht="15" customHeight="1">
      <c r="A448" t="inlineStr">
        <is>
          <t>A 46584-2021</t>
        </is>
      </c>
      <c r="B448" s="1" t="n">
        <v>44445</v>
      </c>
      <c r="C448" s="1" t="n">
        <v>45825</v>
      </c>
      <c r="D448" t="inlineStr">
        <is>
          <t>SÖDERMANLANDS LÄN</t>
        </is>
      </c>
      <c r="E448" t="inlineStr">
        <is>
          <t>KATRINEHOLM</t>
        </is>
      </c>
      <c r="G448" t="n">
        <v>7.2</v>
      </c>
      <c r="H448" t="n">
        <v>0</v>
      </c>
      <c r="I448" t="n">
        <v>0</v>
      </c>
      <c r="J448" t="n">
        <v>0</v>
      </c>
      <c r="K448" t="n">
        <v>0</v>
      </c>
      <c r="L448" t="n">
        <v>0</v>
      </c>
      <c r="M448" t="n">
        <v>0</v>
      </c>
      <c r="N448" t="n">
        <v>0</v>
      </c>
      <c r="O448" t="n">
        <v>0</v>
      </c>
      <c r="P448" t="n">
        <v>0</v>
      </c>
      <c r="Q448" t="n">
        <v>0</v>
      </c>
      <c r="R448" s="2" t="inlineStr"/>
    </row>
    <row r="449" ht="15" customHeight="1">
      <c r="A449" t="inlineStr">
        <is>
          <t>A 46703-2021</t>
        </is>
      </c>
      <c r="B449" s="1" t="n">
        <v>44445</v>
      </c>
      <c r="C449" s="1" t="n">
        <v>45825</v>
      </c>
      <c r="D449" t="inlineStr">
        <is>
          <t>SÖDERMANLANDS LÄN</t>
        </is>
      </c>
      <c r="E449" t="inlineStr">
        <is>
          <t>KATRINEHOLM</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46723-2021</t>
        </is>
      </c>
      <c r="B450" s="1" t="n">
        <v>44445</v>
      </c>
      <c r="C450" s="1" t="n">
        <v>45825</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46670-2021</t>
        </is>
      </c>
      <c r="B451" s="1" t="n">
        <v>44445</v>
      </c>
      <c r="C451" s="1" t="n">
        <v>45825</v>
      </c>
      <c r="D451" t="inlineStr">
        <is>
          <t>SÖDERMANLANDS LÄN</t>
        </is>
      </c>
      <c r="E451" t="inlineStr">
        <is>
          <t>KATRINEHOLM</t>
        </is>
      </c>
      <c r="G451" t="n">
        <v>4.4</v>
      </c>
      <c r="H451" t="n">
        <v>0</v>
      </c>
      <c r="I451" t="n">
        <v>0</v>
      </c>
      <c r="J451" t="n">
        <v>0</v>
      </c>
      <c r="K451" t="n">
        <v>0</v>
      </c>
      <c r="L451" t="n">
        <v>0</v>
      </c>
      <c r="M451" t="n">
        <v>0</v>
      </c>
      <c r="N451" t="n">
        <v>0</v>
      </c>
      <c r="O451" t="n">
        <v>0</v>
      </c>
      <c r="P451" t="n">
        <v>0</v>
      </c>
      <c r="Q451" t="n">
        <v>0</v>
      </c>
      <c r="R451" s="2" t="inlineStr"/>
    </row>
    <row r="452" ht="15" customHeight="1">
      <c r="A452" t="inlineStr">
        <is>
          <t>A 52063-2021</t>
        </is>
      </c>
      <c r="B452" s="1" t="n">
        <v>44449</v>
      </c>
      <c r="C452" s="1" t="n">
        <v>45825</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49677-2021</t>
        </is>
      </c>
      <c r="B453" s="1" t="n">
        <v>44455</v>
      </c>
      <c r="C453" s="1" t="n">
        <v>45825</v>
      </c>
      <c r="D453" t="inlineStr">
        <is>
          <t>SÖDERMANLANDS LÄN</t>
        </is>
      </c>
      <c r="E453" t="inlineStr">
        <is>
          <t>KATRINEHOLM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49784-2021</t>
        </is>
      </c>
      <c r="B454" s="1" t="n">
        <v>44455</v>
      </c>
      <c r="C454" s="1" t="n">
        <v>45825</v>
      </c>
      <c r="D454" t="inlineStr">
        <is>
          <t>SÖDERMANLANDS LÄN</t>
        </is>
      </c>
      <c r="E454" t="inlineStr">
        <is>
          <t>KATRINEHOLM</t>
        </is>
      </c>
      <c r="G454" t="n">
        <v>2.2</v>
      </c>
      <c r="H454" t="n">
        <v>0</v>
      </c>
      <c r="I454" t="n">
        <v>0</v>
      </c>
      <c r="J454" t="n">
        <v>0</v>
      </c>
      <c r="K454" t="n">
        <v>0</v>
      </c>
      <c r="L454" t="n">
        <v>0</v>
      </c>
      <c r="M454" t="n">
        <v>0</v>
      </c>
      <c r="N454" t="n">
        <v>0</v>
      </c>
      <c r="O454" t="n">
        <v>0</v>
      </c>
      <c r="P454" t="n">
        <v>0</v>
      </c>
      <c r="Q454" t="n">
        <v>0</v>
      </c>
      <c r="R454" s="2" t="inlineStr"/>
    </row>
    <row r="455" ht="15" customHeight="1">
      <c r="A455" t="inlineStr">
        <is>
          <t>A 51128-2021</t>
        </is>
      </c>
      <c r="B455" s="1" t="n">
        <v>44460</v>
      </c>
      <c r="C455" s="1" t="n">
        <v>45825</v>
      </c>
      <c r="D455" t="inlineStr">
        <is>
          <t>SÖDERMANLANDS LÄN</t>
        </is>
      </c>
      <c r="E455" t="inlineStr">
        <is>
          <t>KATRINEHOLM</t>
        </is>
      </c>
      <c r="G455" t="n">
        <v>7.8</v>
      </c>
      <c r="H455" t="n">
        <v>0</v>
      </c>
      <c r="I455" t="n">
        <v>0</v>
      </c>
      <c r="J455" t="n">
        <v>0</v>
      </c>
      <c r="K455" t="n">
        <v>0</v>
      </c>
      <c r="L455" t="n">
        <v>0</v>
      </c>
      <c r="M455" t="n">
        <v>0</v>
      </c>
      <c r="N455" t="n">
        <v>0</v>
      </c>
      <c r="O455" t="n">
        <v>0</v>
      </c>
      <c r="P455" t="n">
        <v>0</v>
      </c>
      <c r="Q455" t="n">
        <v>0</v>
      </c>
      <c r="R455" s="2" t="inlineStr"/>
    </row>
    <row r="456" ht="15" customHeight="1">
      <c r="A456" t="inlineStr">
        <is>
          <t>A 51133-2021</t>
        </is>
      </c>
      <c r="B456" s="1" t="n">
        <v>44461</v>
      </c>
      <c r="C456" s="1" t="n">
        <v>45825</v>
      </c>
      <c r="D456" t="inlineStr">
        <is>
          <t>SÖDERMANLANDS LÄN</t>
        </is>
      </c>
      <c r="E456" t="inlineStr">
        <is>
          <t>KATRINEHOLM</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51264-2021</t>
        </is>
      </c>
      <c r="B457" s="1" t="n">
        <v>44461</v>
      </c>
      <c r="C457" s="1" t="n">
        <v>45825</v>
      </c>
      <c r="D457" t="inlineStr">
        <is>
          <t>SÖDERMANLANDS LÄN</t>
        </is>
      </c>
      <c r="E457" t="inlineStr">
        <is>
          <t>KATRINEHOLM</t>
        </is>
      </c>
      <c r="G457" t="n">
        <v>3.1</v>
      </c>
      <c r="H457" t="n">
        <v>0</v>
      </c>
      <c r="I457" t="n">
        <v>0</v>
      </c>
      <c r="J457" t="n">
        <v>0</v>
      </c>
      <c r="K457" t="n">
        <v>0</v>
      </c>
      <c r="L457" t="n">
        <v>0</v>
      </c>
      <c r="M457" t="n">
        <v>0</v>
      </c>
      <c r="N457" t="n">
        <v>0</v>
      </c>
      <c r="O457" t="n">
        <v>0</v>
      </c>
      <c r="P457" t="n">
        <v>0</v>
      </c>
      <c r="Q457" t="n">
        <v>0</v>
      </c>
      <c r="R457" s="2" t="inlineStr"/>
    </row>
    <row r="458" ht="15" customHeight="1">
      <c r="A458" t="inlineStr">
        <is>
          <t>A 51260-2021</t>
        </is>
      </c>
      <c r="B458" s="1" t="n">
        <v>44461</v>
      </c>
      <c r="C458" s="1" t="n">
        <v>45825</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51741-2021</t>
        </is>
      </c>
      <c r="B459" s="1" t="n">
        <v>44461</v>
      </c>
      <c r="C459" s="1" t="n">
        <v>45825</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52044-2021</t>
        </is>
      </c>
      <c r="B460" s="1" t="n">
        <v>44463</v>
      </c>
      <c r="C460" s="1" t="n">
        <v>45825</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52348-2021</t>
        </is>
      </c>
      <c r="B461" s="1" t="n">
        <v>44464</v>
      </c>
      <c r="C461" s="1" t="n">
        <v>45825</v>
      </c>
      <c r="D461" t="inlineStr">
        <is>
          <t>SÖDERMANLANDS LÄN</t>
        </is>
      </c>
      <c r="E461" t="inlineStr">
        <is>
          <t>KATRINEHOLM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52857-2021</t>
        </is>
      </c>
      <c r="B462" s="1" t="n">
        <v>44466</v>
      </c>
      <c r="C462" s="1" t="n">
        <v>45825</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53240-2021</t>
        </is>
      </c>
      <c r="B463" s="1" t="n">
        <v>44466</v>
      </c>
      <c r="C463" s="1" t="n">
        <v>45825</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61174-2021</t>
        </is>
      </c>
      <c r="B464" s="1" t="n">
        <v>44466</v>
      </c>
      <c r="C464" s="1" t="n">
        <v>45825</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53829-2021</t>
        </is>
      </c>
      <c r="B465" s="1" t="n">
        <v>44467</v>
      </c>
      <c r="C465" s="1" t="n">
        <v>45825</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53823-2021</t>
        </is>
      </c>
      <c r="B466" s="1" t="n">
        <v>44467</v>
      </c>
      <c r="C466" s="1" t="n">
        <v>45825</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53860-2021</t>
        </is>
      </c>
      <c r="B467" s="1" t="n">
        <v>44467</v>
      </c>
      <c r="C467" s="1" t="n">
        <v>45825</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53809-2021</t>
        </is>
      </c>
      <c r="B468" s="1" t="n">
        <v>44467</v>
      </c>
      <c r="C468" s="1" t="n">
        <v>45825</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53846-2021</t>
        </is>
      </c>
      <c r="B469" s="1" t="n">
        <v>44467</v>
      </c>
      <c r="C469" s="1" t="n">
        <v>45825</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53349-2021</t>
        </is>
      </c>
      <c r="B470" s="1" t="n">
        <v>44468</v>
      </c>
      <c r="C470" s="1" t="n">
        <v>45825</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45825</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54698-2021</t>
        </is>
      </c>
      <c r="B472" s="1" t="n">
        <v>44473</v>
      </c>
      <c r="C472" s="1" t="n">
        <v>45825</v>
      </c>
      <c r="D472" t="inlineStr">
        <is>
          <t>SÖDERMANLANDS LÄN</t>
        </is>
      </c>
      <c r="E472" t="inlineStr">
        <is>
          <t>KATRINEHOLM</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54704-2021</t>
        </is>
      </c>
      <c r="B473" s="1" t="n">
        <v>44473</v>
      </c>
      <c r="C473" s="1" t="n">
        <v>45825</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55034-2021</t>
        </is>
      </c>
      <c r="B474" s="1" t="n">
        <v>44474</v>
      </c>
      <c r="C474" s="1" t="n">
        <v>45825</v>
      </c>
      <c r="D474" t="inlineStr">
        <is>
          <t>SÖDERMANLANDS LÄN</t>
        </is>
      </c>
      <c r="E474" t="inlineStr">
        <is>
          <t>KATRINEHOLM</t>
        </is>
      </c>
      <c r="G474" t="n">
        <v>5</v>
      </c>
      <c r="H474" t="n">
        <v>0</v>
      </c>
      <c r="I474" t="n">
        <v>0</v>
      </c>
      <c r="J474" t="n">
        <v>0</v>
      </c>
      <c r="K474" t="n">
        <v>0</v>
      </c>
      <c r="L474" t="n">
        <v>0</v>
      </c>
      <c r="M474" t="n">
        <v>0</v>
      </c>
      <c r="N474" t="n">
        <v>0</v>
      </c>
      <c r="O474" t="n">
        <v>0</v>
      </c>
      <c r="P474" t="n">
        <v>0</v>
      </c>
      <c r="Q474" t="n">
        <v>0</v>
      </c>
      <c r="R474" s="2" t="inlineStr"/>
    </row>
    <row r="475" ht="15" customHeight="1">
      <c r="A475" t="inlineStr">
        <is>
          <t>A 55349-2021</t>
        </is>
      </c>
      <c r="B475" s="1" t="n">
        <v>44475</v>
      </c>
      <c r="C475" s="1" t="n">
        <v>45825</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55773-2021</t>
        </is>
      </c>
      <c r="B476" s="1" t="n">
        <v>44476</v>
      </c>
      <c r="C476" s="1" t="n">
        <v>45825</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45825</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56337-2021</t>
        </is>
      </c>
      <c r="B478" s="1" t="n">
        <v>44480</v>
      </c>
      <c r="C478" s="1" t="n">
        <v>45825</v>
      </c>
      <c r="D478" t="inlineStr">
        <is>
          <t>SÖDERMANLANDS LÄN</t>
        </is>
      </c>
      <c r="E478" t="inlineStr">
        <is>
          <t>KATRINEHOLM</t>
        </is>
      </c>
      <c r="F478" t="inlineStr">
        <is>
          <t>Holmen skog AB</t>
        </is>
      </c>
      <c r="G478" t="n">
        <v>0.6</v>
      </c>
      <c r="H478" t="n">
        <v>0</v>
      </c>
      <c r="I478" t="n">
        <v>0</v>
      </c>
      <c r="J478" t="n">
        <v>0</v>
      </c>
      <c r="K478" t="n">
        <v>0</v>
      </c>
      <c r="L478" t="n">
        <v>0</v>
      </c>
      <c r="M478" t="n">
        <v>0</v>
      </c>
      <c r="N478" t="n">
        <v>0</v>
      </c>
      <c r="O478" t="n">
        <v>0</v>
      </c>
      <c r="P478" t="n">
        <v>0</v>
      </c>
      <c r="Q478" t="n">
        <v>0</v>
      </c>
      <c r="R478" s="2" t="inlineStr"/>
    </row>
    <row r="479" ht="15" customHeight="1">
      <c r="A479" t="inlineStr">
        <is>
          <t>A 56572-2021</t>
        </is>
      </c>
      <c r="B479" s="1" t="n">
        <v>44480</v>
      </c>
      <c r="C479" s="1" t="n">
        <v>45825</v>
      </c>
      <c r="D479" t="inlineStr">
        <is>
          <t>SÖDERMANLANDS LÄN</t>
        </is>
      </c>
      <c r="E479" t="inlineStr">
        <is>
          <t>KATRINEHOLM</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56628-2021</t>
        </is>
      </c>
      <c r="B480" s="1" t="n">
        <v>44480</v>
      </c>
      <c r="C480" s="1" t="n">
        <v>45825</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56712-2021</t>
        </is>
      </c>
      <c r="B481" s="1" t="n">
        <v>44480</v>
      </c>
      <c r="C481" s="1" t="n">
        <v>45825</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56661-2021</t>
        </is>
      </c>
      <c r="B482" s="1" t="n">
        <v>44481</v>
      </c>
      <c r="C482" s="1" t="n">
        <v>45825</v>
      </c>
      <c r="D482" t="inlineStr">
        <is>
          <t>SÖDERMANLANDS LÄN</t>
        </is>
      </c>
      <c r="E482" t="inlineStr">
        <is>
          <t>KATRINEHOLM</t>
        </is>
      </c>
      <c r="G482" t="n">
        <v>5.8</v>
      </c>
      <c r="H482" t="n">
        <v>0</v>
      </c>
      <c r="I482" t="n">
        <v>0</v>
      </c>
      <c r="J482" t="n">
        <v>0</v>
      </c>
      <c r="K482" t="n">
        <v>0</v>
      </c>
      <c r="L482" t="n">
        <v>0</v>
      </c>
      <c r="M482" t="n">
        <v>0</v>
      </c>
      <c r="N482" t="n">
        <v>0</v>
      </c>
      <c r="O482" t="n">
        <v>0</v>
      </c>
      <c r="P482" t="n">
        <v>0</v>
      </c>
      <c r="Q482" t="n">
        <v>0</v>
      </c>
      <c r="R482" s="2" t="inlineStr"/>
    </row>
    <row r="483" ht="15" customHeight="1">
      <c r="A483" t="inlineStr">
        <is>
          <t>A 57510-2021</t>
        </is>
      </c>
      <c r="B483" s="1" t="n">
        <v>44483</v>
      </c>
      <c r="C483" s="1" t="n">
        <v>45825</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57521-2021</t>
        </is>
      </c>
      <c r="B484" s="1" t="n">
        <v>44483</v>
      </c>
      <c r="C484" s="1" t="n">
        <v>45825</v>
      </c>
      <c r="D484" t="inlineStr">
        <is>
          <t>SÖDERMANLANDS LÄN</t>
        </is>
      </c>
      <c r="E484" t="inlineStr">
        <is>
          <t>KATRINEHOLM</t>
        </is>
      </c>
      <c r="G484" t="n">
        <v>6.5</v>
      </c>
      <c r="H484" t="n">
        <v>0</v>
      </c>
      <c r="I484" t="n">
        <v>0</v>
      </c>
      <c r="J484" t="n">
        <v>0</v>
      </c>
      <c r="K484" t="n">
        <v>0</v>
      </c>
      <c r="L484" t="n">
        <v>0</v>
      </c>
      <c r="M484" t="n">
        <v>0</v>
      </c>
      <c r="N484" t="n">
        <v>0</v>
      </c>
      <c r="O484" t="n">
        <v>0</v>
      </c>
      <c r="P484" t="n">
        <v>0</v>
      </c>
      <c r="Q484" t="n">
        <v>0</v>
      </c>
      <c r="R484" s="2" t="inlineStr"/>
    </row>
    <row r="485" ht="15" customHeight="1">
      <c r="A485" t="inlineStr">
        <is>
          <t>A 57524-2021</t>
        </is>
      </c>
      <c r="B485" s="1" t="n">
        <v>44483</v>
      </c>
      <c r="C485" s="1" t="n">
        <v>45825</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58473-2021</t>
        </is>
      </c>
      <c r="B486" s="1" t="n">
        <v>44488</v>
      </c>
      <c r="C486" s="1" t="n">
        <v>45825</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59212-2021</t>
        </is>
      </c>
      <c r="B487" s="1" t="n">
        <v>44490</v>
      </c>
      <c r="C487" s="1" t="n">
        <v>45825</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59474-2021</t>
        </is>
      </c>
      <c r="B488" s="1" t="n">
        <v>44491</v>
      </c>
      <c r="C488" s="1" t="n">
        <v>45825</v>
      </c>
      <c r="D488" t="inlineStr">
        <is>
          <t>SÖDERMANLANDS LÄN</t>
        </is>
      </c>
      <c r="E488" t="inlineStr">
        <is>
          <t>KATRINEHOLM</t>
        </is>
      </c>
      <c r="G488" t="n">
        <v>2.7</v>
      </c>
      <c r="H488" t="n">
        <v>0</v>
      </c>
      <c r="I488" t="n">
        <v>0</v>
      </c>
      <c r="J488" t="n">
        <v>0</v>
      </c>
      <c r="K488" t="n">
        <v>0</v>
      </c>
      <c r="L488" t="n">
        <v>0</v>
      </c>
      <c r="M488" t="n">
        <v>0</v>
      </c>
      <c r="N488" t="n">
        <v>0</v>
      </c>
      <c r="O488" t="n">
        <v>0</v>
      </c>
      <c r="P488" t="n">
        <v>0</v>
      </c>
      <c r="Q488" t="n">
        <v>0</v>
      </c>
      <c r="R488" s="2" t="inlineStr"/>
    </row>
    <row r="489" ht="15" customHeight="1">
      <c r="A489" t="inlineStr">
        <is>
          <t>A 59477-2021</t>
        </is>
      </c>
      <c r="B489" s="1" t="n">
        <v>44491</v>
      </c>
      <c r="C489" s="1" t="n">
        <v>45825</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60537-2021</t>
        </is>
      </c>
      <c r="B490" s="1" t="n">
        <v>44496</v>
      </c>
      <c r="C490" s="1" t="n">
        <v>45825</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60596-2021</t>
        </is>
      </c>
      <c r="B491" s="1" t="n">
        <v>44496</v>
      </c>
      <c r="C491" s="1" t="n">
        <v>45825</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60515-2021</t>
        </is>
      </c>
      <c r="B492" s="1" t="n">
        <v>44496</v>
      </c>
      <c r="C492" s="1" t="n">
        <v>45825</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60478-2021</t>
        </is>
      </c>
      <c r="B493" s="1" t="n">
        <v>44496</v>
      </c>
      <c r="C493" s="1" t="n">
        <v>45825</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60501-2021</t>
        </is>
      </c>
      <c r="B494" s="1" t="n">
        <v>44496</v>
      </c>
      <c r="C494" s="1" t="n">
        <v>45825</v>
      </c>
      <c r="D494" t="inlineStr">
        <is>
          <t>SÖDERMANLANDS LÄN</t>
        </is>
      </c>
      <c r="E494" t="inlineStr">
        <is>
          <t>KATRINEHOLM</t>
        </is>
      </c>
      <c r="G494" t="n">
        <v>2.2</v>
      </c>
      <c r="H494" t="n">
        <v>0</v>
      </c>
      <c r="I494" t="n">
        <v>0</v>
      </c>
      <c r="J494" t="n">
        <v>0</v>
      </c>
      <c r="K494" t="n">
        <v>0</v>
      </c>
      <c r="L494" t="n">
        <v>0</v>
      </c>
      <c r="M494" t="n">
        <v>0</v>
      </c>
      <c r="N494" t="n">
        <v>0</v>
      </c>
      <c r="O494" t="n">
        <v>0</v>
      </c>
      <c r="P494" t="n">
        <v>0</v>
      </c>
      <c r="Q494" t="n">
        <v>0</v>
      </c>
      <c r="R494" s="2" t="inlineStr"/>
    </row>
    <row r="495" ht="15" customHeight="1">
      <c r="A495" t="inlineStr">
        <is>
          <t>A 61236-2021</t>
        </is>
      </c>
      <c r="B495" s="1" t="n">
        <v>44498</v>
      </c>
      <c r="C495" s="1" t="n">
        <v>45825</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61219-2021</t>
        </is>
      </c>
      <c r="B496" s="1" t="n">
        <v>44498</v>
      </c>
      <c r="C496" s="1" t="n">
        <v>45825</v>
      </c>
      <c r="D496" t="inlineStr">
        <is>
          <t>SÖDERMANLANDS LÄN</t>
        </is>
      </c>
      <c r="E496" t="inlineStr">
        <is>
          <t>KATRINEHOLM</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61915-2021</t>
        </is>
      </c>
      <c r="B497" s="1" t="n">
        <v>44502</v>
      </c>
      <c r="C497" s="1" t="n">
        <v>45825</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v>
      </c>
      <c r="C498" s="1" t="n">
        <v>45825</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62894-2021</t>
        </is>
      </c>
      <c r="B499" s="1" t="n">
        <v>44504</v>
      </c>
      <c r="C499" s="1" t="n">
        <v>45825</v>
      </c>
      <c r="D499" t="inlineStr">
        <is>
          <t>SÖDERMANLANDS LÄN</t>
        </is>
      </c>
      <c r="E499" t="inlineStr">
        <is>
          <t>KATRINEHOLM</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62912-2021</t>
        </is>
      </c>
      <c r="B500" s="1" t="n">
        <v>44504</v>
      </c>
      <c r="C500" s="1" t="n">
        <v>45825</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63188-2021</t>
        </is>
      </c>
      <c r="B501" s="1" t="n">
        <v>44507</v>
      </c>
      <c r="C501" s="1" t="n">
        <v>45825</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63473-2021</t>
        </is>
      </c>
      <c r="B502" s="1" t="n">
        <v>44508</v>
      </c>
      <c r="C502" s="1" t="n">
        <v>45825</v>
      </c>
      <c r="D502" t="inlineStr">
        <is>
          <t>SÖDERMANLANDS LÄN</t>
        </is>
      </c>
      <c r="E502" t="inlineStr">
        <is>
          <t>KATRINEHOLM</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63943-2021</t>
        </is>
      </c>
      <c r="B503" s="1" t="n">
        <v>44509</v>
      </c>
      <c r="C503" s="1" t="n">
        <v>45825</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63648-2021</t>
        </is>
      </c>
      <c r="B504" s="1" t="n">
        <v>44509</v>
      </c>
      <c r="C504" s="1" t="n">
        <v>45825</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64261-2021</t>
        </is>
      </c>
      <c r="B505" s="1" t="n">
        <v>44510</v>
      </c>
      <c r="C505" s="1" t="n">
        <v>45825</v>
      </c>
      <c r="D505" t="inlineStr">
        <is>
          <t>SÖDERMANLANDS LÄN</t>
        </is>
      </c>
      <c r="E505" t="inlineStr">
        <is>
          <t>KATRINEHOLM</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65188-2021</t>
        </is>
      </c>
      <c r="B506" s="1" t="n">
        <v>44512</v>
      </c>
      <c r="C506" s="1" t="n">
        <v>45825</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65162-2021</t>
        </is>
      </c>
      <c r="B507" s="1" t="n">
        <v>44512</v>
      </c>
      <c r="C507" s="1" t="n">
        <v>45825</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65589-2021</t>
        </is>
      </c>
      <c r="B508" s="1" t="n">
        <v>44515</v>
      </c>
      <c r="C508" s="1" t="n">
        <v>45825</v>
      </c>
      <c r="D508" t="inlineStr">
        <is>
          <t>SÖDERMANLANDS LÄN</t>
        </is>
      </c>
      <c r="E508" t="inlineStr">
        <is>
          <t>KATRINEHOLM</t>
        </is>
      </c>
      <c r="G508" t="n">
        <v>2.6</v>
      </c>
      <c r="H508" t="n">
        <v>0</v>
      </c>
      <c r="I508" t="n">
        <v>0</v>
      </c>
      <c r="J508" t="n">
        <v>0</v>
      </c>
      <c r="K508" t="n">
        <v>0</v>
      </c>
      <c r="L508" t="n">
        <v>0</v>
      </c>
      <c r="M508" t="n">
        <v>0</v>
      </c>
      <c r="N508" t="n">
        <v>0</v>
      </c>
      <c r="O508" t="n">
        <v>0</v>
      </c>
      <c r="P508" t="n">
        <v>0</v>
      </c>
      <c r="Q508" t="n">
        <v>0</v>
      </c>
      <c r="R508" s="2" t="inlineStr"/>
    </row>
    <row r="509" ht="15" customHeight="1">
      <c r="A509" t="inlineStr">
        <is>
          <t>A 66097-2021</t>
        </is>
      </c>
      <c r="B509" s="1" t="n">
        <v>44517</v>
      </c>
      <c r="C509" s="1" t="n">
        <v>45825</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45825</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66540-2021</t>
        </is>
      </c>
      <c r="B511" s="1" t="n">
        <v>44519</v>
      </c>
      <c r="C511" s="1" t="n">
        <v>45825</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66655-2021</t>
        </is>
      </c>
      <c r="B512" s="1" t="n">
        <v>44519</v>
      </c>
      <c r="C512" s="1" t="n">
        <v>45825</v>
      </c>
      <c r="D512" t="inlineStr">
        <is>
          <t>SÖDERMANLANDS LÄN</t>
        </is>
      </c>
      <c r="E512" t="inlineStr">
        <is>
          <t>KATRINEHOLM</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66801-2021</t>
        </is>
      </c>
      <c r="B513" s="1" t="n">
        <v>44522</v>
      </c>
      <c r="C513" s="1" t="n">
        <v>45825</v>
      </c>
      <c r="D513" t="inlineStr">
        <is>
          <t>SÖDERMANLANDS LÄN</t>
        </is>
      </c>
      <c r="E513" t="inlineStr">
        <is>
          <t>KATRINEHOLM</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67337-2021</t>
        </is>
      </c>
      <c r="B514" s="1" t="n">
        <v>44523</v>
      </c>
      <c r="C514" s="1" t="n">
        <v>45825</v>
      </c>
      <c r="D514" t="inlineStr">
        <is>
          <t>SÖDERMANLANDS LÄN</t>
        </is>
      </c>
      <c r="E514" t="inlineStr">
        <is>
          <t>KATRINEHOLM</t>
        </is>
      </c>
      <c r="G514" t="n">
        <v>5.2</v>
      </c>
      <c r="H514" t="n">
        <v>0</v>
      </c>
      <c r="I514" t="n">
        <v>0</v>
      </c>
      <c r="J514" t="n">
        <v>0</v>
      </c>
      <c r="K514" t="n">
        <v>0</v>
      </c>
      <c r="L514" t="n">
        <v>0</v>
      </c>
      <c r="M514" t="n">
        <v>0</v>
      </c>
      <c r="N514" t="n">
        <v>0</v>
      </c>
      <c r="O514" t="n">
        <v>0</v>
      </c>
      <c r="P514" t="n">
        <v>0</v>
      </c>
      <c r="Q514" t="n">
        <v>0</v>
      </c>
      <c r="R514" s="2" t="inlineStr"/>
    </row>
    <row r="515" ht="15" customHeight="1">
      <c r="A515" t="inlineStr">
        <is>
          <t>A 67351-2021</t>
        </is>
      </c>
      <c r="B515" s="1" t="n">
        <v>44523</v>
      </c>
      <c r="C515" s="1" t="n">
        <v>45825</v>
      </c>
      <c r="D515" t="inlineStr">
        <is>
          <t>SÖDERMANLANDS LÄN</t>
        </is>
      </c>
      <c r="E515" t="inlineStr">
        <is>
          <t>KATRINEHOLM</t>
        </is>
      </c>
      <c r="G515" t="n">
        <v>5.4</v>
      </c>
      <c r="H515" t="n">
        <v>0</v>
      </c>
      <c r="I515" t="n">
        <v>0</v>
      </c>
      <c r="J515" t="n">
        <v>0</v>
      </c>
      <c r="K515" t="n">
        <v>0</v>
      </c>
      <c r="L515" t="n">
        <v>0</v>
      </c>
      <c r="M515" t="n">
        <v>0</v>
      </c>
      <c r="N515" t="n">
        <v>0</v>
      </c>
      <c r="O515" t="n">
        <v>0</v>
      </c>
      <c r="P515" t="n">
        <v>0</v>
      </c>
      <c r="Q515" t="n">
        <v>0</v>
      </c>
      <c r="R515" s="2" t="inlineStr"/>
    </row>
    <row r="516" ht="15" customHeight="1">
      <c r="A516" t="inlineStr">
        <is>
          <t>A 68206-2021</t>
        </is>
      </c>
      <c r="B516" s="1" t="n">
        <v>44526</v>
      </c>
      <c r="C516" s="1" t="n">
        <v>45825</v>
      </c>
      <c r="D516" t="inlineStr">
        <is>
          <t>SÖDERMANLANDS LÄN</t>
        </is>
      </c>
      <c r="E516" t="inlineStr">
        <is>
          <t>KATRINEHOLM</t>
        </is>
      </c>
      <c r="G516" t="n">
        <v>2.9</v>
      </c>
      <c r="H516" t="n">
        <v>0</v>
      </c>
      <c r="I516" t="n">
        <v>0</v>
      </c>
      <c r="J516" t="n">
        <v>0</v>
      </c>
      <c r="K516" t="n">
        <v>0</v>
      </c>
      <c r="L516" t="n">
        <v>0</v>
      </c>
      <c r="M516" t="n">
        <v>0</v>
      </c>
      <c r="N516" t="n">
        <v>0</v>
      </c>
      <c r="O516" t="n">
        <v>0</v>
      </c>
      <c r="P516" t="n">
        <v>0</v>
      </c>
      <c r="Q516" t="n">
        <v>0</v>
      </c>
      <c r="R516" s="2" t="inlineStr"/>
    </row>
    <row r="517" ht="15" customHeight="1">
      <c r="A517" t="inlineStr">
        <is>
          <t>A 69117-2021</t>
        </is>
      </c>
      <c r="B517" s="1" t="n">
        <v>44530</v>
      </c>
      <c r="C517" s="1" t="n">
        <v>45825</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69429-2021</t>
        </is>
      </c>
      <c r="B518" s="1" t="n">
        <v>44531</v>
      </c>
      <c r="C518" s="1" t="n">
        <v>45825</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45825</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45825</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71129-2021</t>
        </is>
      </c>
      <c r="B521" s="1" t="n">
        <v>44539</v>
      </c>
      <c r="C521" s="1" t="n">
        <v>45825</v>
      </c>
      <c r="D521" t="inlineStr">
        <is>
          <t>SÖDERMANLANDS LÄN</t>
        </is>
      </c>
      <c r="E521" t="inlineStr">
        <is>
          <t>KATRINEHOLM</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71177-2021</t>
        </is>
      </c>
      <c r="B522" s="1" t="n">
        <v>44539</v>
      </c>
      <c r="C522" s="1" t="n">
        <v>45825</v>
      </c>
      <c r="D522" t="inlineStr">
        <is>
          <t>SÖDERMANLANDS LÄN</t>
        </is>
      </c>
      <c r="E522" t="inlineStr">
        <is>
          <t>KATRINEHOLM</t>
        </is>
      </c>
      <c r="G522" t="n">
        <v>3.9</v>
      </c>
      <c r="H522" t="n">
        <v>0</v>
      </c>
      <c r="I522" t="n">
        <v>0</v>
      </c>
      <c r="J522" t="n">
        <v>0</v>
      </c>
      <c r="K522" t="n">
        <v>0</v>
      </c>
      <c r="L522" t="n">
        <v>0</v>
      </c>
      <c r="M522" t="n">
        <v>0</v>
      </c>
      <c r="N522" t="n">
        <v>0</v>
      </c>
      <c r="O522" t="n">
        <v>0</v>
      </c>
      <c r="P522" t="n">
        <v>0</v>
      </c>
      <c r="Q522" t="n">
        <v>0</v>
      </c>
      <c r="R522" s="2" t="inlineStr"/>
    </row>
    <row r="523" ht="15" customHeight="1">
      <c r="A523" t="inlineStr">
        <is>
          <t>A 72822-2021</t>
        </is>
      </c>
      <c r="B523" s="1" t="n">
        <v>44546</v>
      </c>
      <c r="C523" s="1" t="n">
        <v>45825</v>
      </c>
      <c r="D523" t="inlineStr">
        <is>
          <t>SÖDERMANLANDS LÄN</t>
        </is>
      </c>
      <c r="E523" t="inlineStr">
        <is>
          <t>KATRINEHOLM</t>
        </is>
      </c>
      <c r="G523" t="n">
        <v>6.3</v>
      </c>
      <c r="H523" t="n">
        <v>0</v>
      </c>
      <c r="I523" t="n">
        <v>0</v>
      </c>
      <c r="J523" t="n">
        <v>0</v>
      </c>
      <c r="K523" t="n">
        <v>0</v>
      </c>
      <c r="L523" t="n">
        <v>0</v>
      </c>
      <c r="M523" t="n">
        <v>0</v>
      </c>
      <c r="N523" t="n">
        <v>0</v>
      </c>
      <c r="O523" t="n">
        <v>0</v>
      </c>
      <c r="P523" t="n">
        <v>0</v>
      </c>
      <c r="Q523" t="n">
        <v>0</v>
      </c>
      <c r="R523" s="2" t="inlineStr"/>
    </row>
    <row r="524" ht="15" customHeight="1">
      <c r="A524" t="inlineStr">
        <is>
          <t>A 72984-2021</t>
        </is>
      </c>
      <c r="B524" s="1" t="n">
        <v>44549</v>
      </c>
      <c r="C524" s="1" t="n">
        <v>45825</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73142-2021</t>
        </is>
      </c>
      <c r="B525" s="1" t="n">
        <v>44550</v>
      </c>
      <c r="C525" s="1" t="n">
        <v>45825</v>
      </c>
      <c r="D525" t="inlineStr">
        <is>
          <t>SÖDERMANLANDS LÄN</t>
        </is>
      </c>
      <c r="E525" t="inlineStr">
        <is>
          <t>KATRINEHOLM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45825</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73361-2021</t>
        </is>
      </c>
      <c r="B527" s="1" t="n">
        <v>44551</v>
      </c>
      <c r="C527" s="1" t="n">
        <v>45825</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73407-2021</t>
        </is>
      </c>
      <c r="B528" s="1" t="n">
        <v>44551</v>
      </c>
      <c r="C528" s="1" t="n">
        <v>45825</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73415-2021</t>
        </is>
      </c>
      <c r="B529" s="1" t="n">
        <v>44551</v>
      </c>
      <c r="C529" s="1" t="n">
        <v>45825</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45825</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73929-2021</t>
        </is>
      </c>
      <c r="B531" s="1" t="n">
        <v>44553</v>
      </c>
      <c r="C531" s="1" t="n">
        <v>45825</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73987-2021</t>
        </is>
      </c>
      <c r="B532" s="1" t="n">
        <v>44556</v>
      </c>
      <c r="C532" s="1" t="n">
        <v>45825</v>
      </c>
      <c r="D532" t="inlineStr">
        <is>
          <t>SÖDERMANLANDS LÄN</t>
        </is>
      </c>
      <c r="E532" t="inlineStr">
        <is>
          <t>KATRINEHOLM</t>
        </is>
      </c>
      <c r="G532" t="n">
        <v>10.2</v>
      </c>
      <c r="H532" t="n">
        <v>0</v>
      </c>
      <c r="I532" t="n">
        <v>0</v>
      </c>
      <c r="J532" t="n">
        <v>0</v>
      </c>
      <c r="K532" t="n">
        <v>0</v>
      </c>
      <c r="L532" t="n">
        <v>0</v>
      </c>
      <c r="M532" t="n">
        <v>0</v>
      </c>
      <c r="N532" t="n">
        <v>0</v>
      </c>
      <c r="O532" t="n">
        <v>0</v>
      </c>
      <c r="P532" t="n">
        <v>0</v>
      </c>
      <c r="Q532" t="n">
        <v>0</v>
      </c>
      <c r="R532" s="2" t="inlineStr"/>
    </row>
    <row r="533" ht="15" customHeight="1">
      <c r="A533" t="inlineStr">
        <is>
          <t>A 250-2022</t>
        </is>
      </c>
      <c r="B533" s="1" t="n">
        <v>44565</v>
      </c>
      <c r="C533" s="1" t="n">
        <v>45825</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272-2022</t>
        </is>
      </c>
      <c r="B534" s="1" t="n">
        <v>44565</v>
      </c>
      <c r="C534" s="1" t="n">
        <v>45825</v>
      </c>
      <c r="D534" t="inlineStr">
        <is>
          <t>SÖDERMANLANDS LÄN</t>
        </is>
      </c>
      <c r="E534" t="inlineStr">
        <is>
          <t>KATRINEHOLM</t>
        </is>
      </c>
      <c r="G534" t="n">
        <v>5.7</v>
      </c>
      <c r="H534" t="n">
        <v>0</v>
      </c>
      <c r="I534" t="n">
        <v>0</v>
      </c>
      <c r="J534" t="n">
        <v>0</v>
      </c>
      <c r="K534" t="n">
        <v>0</v>
      </c>
      <c r="L534" t="n">
        <v>0</v>
      </c>
      <c r="M534" t="n">
        <v>0</v>
      </c>
      <c r="N534" t="n">
        <v>0</v>
      </c>
      <c r="O534" t="n">
        <v>0</v>
      </c>
      <c r="P534" t="n">
        <v>0</v>
      </c>
      <c r="Q534" t="n">
        <v>0</v>
      </c>
      <c r="R534" s="2" t="inlineStr"/>
    </row>
    <row r="535" ht="15" customHeight="1">
      <c r="A535" t="inlineStr">
        <is>
          <t>A 398-2022</t>
        </is>
      </c>
      <c r="B535" s="1" t="n">
        <v>44565</v>
      </c>
      <c r="C535" s="1" t="n">
        <v>45825</v>
      </c>
      <c r="D535" t="inlineStr">
        <is>
          <t>SÖDERMANLANDS LÄN</t>
        </is>
      </c>
      <c r="E535" t="inlineStr">
        <is>
          <t>KATRINEHOLM</t>
        </is>
      </c>
      <c r="G535" t="n">
        <v>6.2</v>
      </c>
      <c r="H535" t="n">
        <v>0</v>
      </c>
      <c r="I535" t="n">
        <v>0</v>
      </c>
      <c r="J535" t="n">
        <v>0</v>
      </c>
      <c r="K535" t="n">
        <v>0</v>
      </c>
      <c r="L535" t="n">
        <v>0</v>
      </c>
      <c r="M535" t="n">
        <v>0</v>
      </c>
      <c r="N535" t="n">
        <v>0</v>
      </c>
      <c r="O535" t="n">
        <v>0</v>
      </c>
      <c r="P535" t="n">
        <v>0</v>
      </c>
      <c r="Q535" t="n">
        <v>0</v>
      </c>
      <c r="R535" s="2" t="inlineStr"/>
    </row>
    <row r="536" ht="15" customHeight="1">
      <c r="A536" t="inlineStr">
        <is>
          <t>A 912-2022</t>
        </is>
      </c>
      <c r="B536" s="1" t="n">
        <v>44571</v>
      </c>
      <c r="C536" s="1" t="n">
        <v>45825</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1701-2022</t>
        </is>
      </c>
      <c r="B537" s="1" t="n">
        <v>44574</v>
      </c>
      <c r="C537" s="1" t="n">
        <v>45825</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1721-2022</t>
        </is>
      </c>
      <c r="B538" s="1" t="n">
        <v>44574</v>
      </c>
      <c r="C538" s="1" t="n">
        <v>45825</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2289-2022</t>
        </is>
      </c>
      <c r="B539" s="1" t="n">
        <v>44578</v>
      </c>
      <c r="C539" s="1" t="n">
        <v>45825</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2636-2022</t>
        </is>
      </c>
      <c r="B540" s="1" t="n">
        <v>44580</v>
      </c>
      <c r="C540" s="1" t="n">
        <v>45825</v>
      </c>
      <c r="D540" t="inlineStr">
        <is>
          <t>SÖDERMANLANDS LÄN</t>
        </is>
      </c>
      <c r="E540" t="inlineStr">
        <is>
          <t>KATRINEHOLM</t>
        </is>
      </c>
      <c r="F540" t="inlineStr">
        <is>
          <t>Övriga Aktiebolag</t>
        </is>
      </c>
      <c r="G540" t="n">
        <v>2.5</v>
      </c>
      <c r="H540" t="n">
        <v>0</v>
      </c>
      <c r="I540" t="n">
        <v>0</v>
      </c>
      <c r="J540" t="n">
        <v>0</v>
      </c>
      <c r="K540" t="n">
        <v>0</v>
      </c>
      <c r="L540" t="n">
        <v>0</v>
      </c>
      <c r="M540" t="n">
        <v>0</v>
      </c>
      <c r="N540" t="n">
        <v>0</v>
      </c>
      <c r="O540" t="n">
        <v>0</v>
      </c>
      <c r="P540" t="n">
        <v>0</v>
      </c>
      <c r="Q540" t="n">
        <v>0</v>
      </c>
      <c r="R540" s="2" t="inlineStr"/>
    </row>
    <row r="541" ht="15" customHeight="1">
      <c r="A541" t="inlineStr">
        <is>
          <t>A 2877-2022</t>
        </is>
      </c>
      <c r="B541" s="1" t="n">
        <v>44581</v>
      </c>
      <c r="C541" s="1" t="n">
        <v>45825</v>
      </c>
      <c r="D541" t="inlineStr">
        <is>
          <t>SÖDERMANLANDS LÄN</t>
        </is>
      </c>
      <c r="E541" t="inlineStr">
        <is>
          <t>KATRINEHOLM</t>
        </is>
      </c>
      <c r="G541" t="n">
        <v>10.3</v>
      </c>
      <c r="H541" t="n">
        <v>0</v>
      </c>
      <c r="I541" t="n">
        <v>0</v>
      </c>
      <c r="J541" t="n">
        <v>0</v>
      </c>
      <c r="K541" t="n">
        <v>0</v>
      </c>
      <c r="L541" t="n">
        <v>0</v>
      </c>
      <c r="M541" t="n">
        <v>0</v>
      </c>
      <c r="N541" t="n">
        <v>0</v>
      </c>
      <c r="O541" t="n">
        <v>0</v>
      </c>
      <c r="P541" t="n">
        <v>0</v>
      </c>
      <c r="Q541" t="n">
        <v>0</v>
      </c>
      <c r="R541" s="2" t="inlineStr"/>
    </row>
    <row r="542" ht="15" customHeight="1">
      <c r="A542" t="inlineStr">
        <is>
          <t>A 2884-2022</t>
        </is>
      </c>
      <c r="B542" s="1" t="n">
        <v>44581</v>
      </c>
      <c r="C542" s="1" t="n">
        <v>45825</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3060-2022</t>
        </is>
      </c>
      <c r="B543" s="1" t="n">
        <v>44582</v>
      </c>
      <c r="C543" s="1" t="n">
        <v>45825</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45825</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3572-2022</t>
        </is>
      </c>
      <c r="B545" s="1" t="n">
        <v>44585</v>
      </c>
      <c r="C545" s="1" t="n">
        <v>45825</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3939-2022</t>
        </is>
      </c>
      <c r="B546" s="1" t="n">
        <v>44587</v>
      </c>
      <c r="C546" s="1" t="n">
        <v>45825</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5547-2022</t>
        </is>
      </c>
      <c r="B547" s="1" t="n">
        <v>44595</v>
      </c>
      <c r="C547" s="1" t="n">
        <v>45825</v>
      </c>
      <c r="D547" t="inlineStr">
        <is>
          <t>SÖDERMANLANDS LÄN</t>
        </is>
      </c>
      <c r="E547" t="inlineStr">
        <is>
          <t>KATRINEHOLM</t>
        </is>
      </c>
      <c r="G547" t="n">
        <v>6.8</v>
      </c>
      <c r="H547" t="n">
        <v>0</v>
      </c>
      <c r="I547" t="n">
        <v>0</v>
      </c>
      <c r="J547" t="n">
        <v>0</v>
      </c>
      <c r="K547" t="n">
        <v>0</v>
      </c>
      <c r="L547" t="n">
        <v>0</v>
      </c>
      <c r="M547" t="n">
        <v>0</v>
      </c>
      <c r="N547" t="n">
        <v>0</v>
      </c>
      <c r="O547" t="n">
        <v>0</v>
      </c>
      <c r="P547" t="n">
        <v>0</v>
      </c>
      <c r="Q547" t="n">
        <v>0</v>
      </c>
      <c r="R547" s="2" t="inlineStr"/>
    </row>
    <row r="548" ht="15" customHeight="1">
      <c r="A548" t="inlineStr">
        <is>
          <t>A 5790-2022</t>
        </is>
      </c>
      <c r="B548" s="1" t="n">
        <v>44596</v>
      </c>
      <c r="C548" s="1" t="n">
        <v>45825</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v>
      </c>
      <c r="C549" s="1" t="n">
        <v>45825</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5795-2022</t>
        </is>
      </c>
      <c r="B550" s="1" t="n">
        <v>44596</v>
      </c>
      <c r="C550" s="1" t="n">
        <v>45825</v>
      </c>
      <c r="D550" t="inlineStr">
        <is>
          <t>SÖDERMANLANDS LÄN</t>
        </is>
      </c>
      <c r="E550" t="inlineStr">
        <is>
          <t>KATRINEHOLM</t>
        </is>
      </c>
      <c r="G550" t="n">
        <v>8.1</v>
      </c>
      <c r="H550" t="n">
        <v>0</v>
      </c>
      <c r="I550" t="n">
        <v>0</v>
      </c>
      <c r="J550" t="n">
        <v>0</v>
      </c>
      <c r="K550" t="n">
        <v>0</v>
      </c>
      <c r="L550" t="n">
        <v>0</v>
      </c>
      <c r="M550" t="n">
        <v>0</v>
      </c>
      <c r="N550" t="n">
        <v>0</v>
      </c>
      <c r="O550" t="n">
        <v>0</v>
      </c>
      <c r="P550" t="n">
        <v>0</v>
      </c>
      <c r="Q550" t="n">
        <v>0</v>
      </c>
      <c r="R550" s="2" t="inlineStr"/>
    </row>
    <row r="551" ht="15" customHeight="1">
      <c r="A551" t="inlineStr">
        <is>
          <t>A 6087-2022</t>
        </is>
      </c>
      <c r="B551" s="1" t="n">
        <v>44599</v>
      </c>
      <c r="C551" s="1" t="n">
        <v>45825</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6145-2022</t>
        </is>
      </c>
      <c r="B552" s="1" t="n">
        <v>44599</v>
      </c>
      <c r="C552" s="1" t="n">
        <v>45825</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6446-2022</t>
        </is>
      </c>
      <c r="B553" s="1" t="n">
        <v>44600</v>
      </c>
      <c r="C553" s="1" t="n">
        <v>45825</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6499-2022</t>
        </is>
      </c>
      <c r="B554" s="1" t="n">
        <v>44601</v>
      </c>
      <c r="C554" s="1" t="n">
        <v>45825</v>
      </c>
      <c r="D554" t="inlineStr">
        <is>
          <t>SÖDERMANLANDS LÄN</t>
        </is>
      </c>
      <c r="E554" t="inlineStr">
        <is>
          <t>KATRINEHOLM</t>
        </is>
      </c>
      <c r="F554" t="inlineStr">
        <is>
          <t>Kyrkan</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6531-2022</t>
        </is>
      </c>
      <c r="B555" s="1" t="n">
        <v>44601</v>
      </c>
      <c r="C555" s="1" t="n">
        <v>45825</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6533-2022</t>
        </is>
      </c>
      <c r="B556" s="1" t="n">
        <v>44601</v>
      </c>
      <c r="C556" s="1" t="n">
        <v>45825</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6628-2022</t>
        </is>
      </c>
      <c r="B557" s="1" t="n">
        <v>44601</v>
      </c>
      <c r="C557" s="1" t="n">
        <v>45825</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6606-2022</t>
        </is>
      </c>
      <c r="B558" s="1" t="n">
        <v>44601</v>
      </c>
      <c r="C558" s="1" t="n">
        <v>45825</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6746-2022</t>
        </is>
      </c>
      <c r="B559" s="1" t="n">
        <v>44602</v>
      </c>
      <c r="C559" s="1" t="n">
        <v>45825</v>
      </c>
      <c r="D559" t="inlineStr">
        <is>
          <t>SÖDERMANLANDS LÄN</t>
        </is>
      </c>
      <c r="E559" t="inlineStr">
        <is>
          <t>KATRINEHOLM</t>
        </is>
      </c>
      <c r="G559" t="n">
        <v>3.6</v>
      </c>
      <c r="H559" t="n">
        <v>0</v>
      </c>
      <c r="I559" t="n">
        <v>0</v>
      </c>
      <c r="J559" t="n">
        <v>0</v>
      </c>
      <c r="K559" t="n">
        <v>0</v>
      </c>
      <c r="L559" t="n">
        <v>0</v>
      </c>
      <c r="M559" t="n">
        <v>0</v>
      </c>
      <c r="N559" t="n">
        <v>0</v>
      </c>
      <c r="O559" t="n">
        <v>0</v>
      </c>
      <c r="P559" t="n">
        <v>0</v>
      </c>
      <c r="Q559" t="n">
        <v>0</v>
      </c>
      <c r="R559" s="2" t="inlineStr"/>
    </row>
    <row r="560" ht="15" customHeight="1">
      <c r="A560" t="inlineStr">
        <is>
          <t>A 6753-2022</t>
        </is>
      </c>
      <c r="B560" s="1" t="n">
        <v>44602</v>
      </c>
      <c r="C560" s="1" t="n">
        <v>45825</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6763-2022</t>
        </is>
      </c>
      <c r="B561" s="1" t="n">
        <v>44602</v>
      </c>
      <c r="C561" s="1" t="n">
        <v>45825</v>
      </c>
      <c r="D561" t="inlineStr">
        <is>
          <t>SÖDERMANLANDS LÄN</t>
        </is>
      </c>
      <c r="E561" t="inlineStr">
        <is>
          <t>KATRINEHOLM</t>
        </is>
      </c>
      <c r="G561" t="n">
        <v>6.7</v>
      </c>
      <c r="H561" t="n">
        <v>0</v>
      </c>
      <c r="I561" t="n">
        <v>0</v>
      </c>
      <c r="J561" t="n">
        <v>0</v>
      </c>
      <c r="K561" t="n">
        <v>0</v>
      </c>
      <c r="L561" t="n">
        <v>0</v>
      </c>
      <c r="M561" t="n">
        <v>0</v>
      </c>
      <c r="N561" t="n">
        <v>0</v>
      </c>
      <c r="O561" t="n">
        <v>0</v>
      </c>
      <c r="P561" t="n">
        <v>0</v>
      </c>
      <c r="Q561" t="n">
        <v>0</v>
      </c>
      <c r="R561" s="2" t="inlineStr"/>
    </row>
    <row r="562" ht="15" customHeight="1">
      <c r="A562" t="inlineStr">
        <is>
          <t>A 6203-2022</t>
        </is>
      </c>
      <c r="B562" s="1" t="n">
        <v>44602</v>
      </c>
      <c r="C562" s="1" t="n">
        <v>45825</v>
      </c>
      <c r="D562" t="inlineStr">
        <is>
          <t>SÖDERMANLANDS LÄN</t>
        </is>
      </c>
      <c r="E562" t="inlineStr">
        <is>
          <t>KATRINEHOLM</t>
        </is>
      </c>
      <c r="G562" t="n">
        <v>11.5</v>
      </c>
      <c r="H562" t="n">
        <v>0</v>
      </c>
      <c r="I562" t="n">
        <v>0</v>
      </c>
      <c r="J562" t="n">
        <v>0</v>
      </c>
      <c r="K562" t="n">
        <v>0</v>
      </c>
      <c r="L562" t="n">
        <v>0</v>
      </c>
      <c r="M562" t="n">
        <v>0</v>
      </c>
      <c r="N562" t="n">
        <v>0</v>
      </c>
      <c r="O562" t="n">
        <v>0</v>
      </c>
      <c r="P562" t="n">
        <v>0</v>
      </c>
      <c r="Q562" t="n">
        <v>0</v>
      </c>
      <c r="R562" s="2" t="inlineStr"/>
    </row>
    <row r="563" ht="15" customHeight="1">
      <c r="A563" t="inlineStr">
        <is>
          <t>A 6722-2022</t>
        </is>
      </c>
      <c r="B563" s="1" t="n">
        <v>44602</v>
      </c>
      <c r="C563" s="1" t="n">
        <v>45825</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6789-2022</t>
        </is>
      </c>
      <c r="B564" s="1" t="n">
        <v>44602</v>
      </c>
      <c r="C564" s="1" t="n">
        <v>45825</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6695-2022</t>
        </is>
      </c>
      <c r="B565" s="1" t="n">
        <v>44602</v>
      </c>
      <c r="C565" s="1" t="n">
        <v>45825</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6765-2022</t>
        </is>
      </c>
      <c r="B566" s="1" t="n">
        <v>44602</v>
      </c>
      <c r="C566" s="1" t="n">
        <v>45825</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6796-2022</t>
        </is>
      </c>
      <c r="B567" s="1" t="n">
        <v>44602</v>
      </c>
      <c r="C567" s="1" t="n">
        <v>45825</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6826-2022</t>
        </is>
      </c>
      <c r="B568" s="1" t="n">
        <v>44602</v>
      </c>
      <c r="C568" s="1" t="n">
        <v>45825</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9044-2022</t>
        </is>
      </c>
      <c r="B569" s="1" t="n">
        <v>44602</v>
      </c>
      <c r="C569" s="1" t="n">
        <v>45825</v>
      </c>
      <c r="D569" t="inlineStr">
        <is>
          <t>SÖDERMANLANDS LÄN</t>
        </is>
      </c>
      <c r="E569" t="inlineStr">
        <is>
          <t>KATRINEHOLM</t>
        </is>
      </c>
      <c r="G569" t="n">
        <v>5.8</v>
      </c>
      <c r="H569" t="n">
        <v>0</v>
      </c>
      <c r="I569" t="n">
        <v>0</v>
      </c>
      <c r="J569" t="n">
        <v>0</v>
      </c>
      <c r="K569" t="n">
        <v>0</v>
      </c>
      <c r="L569" t="n">
        <v>0</v>
      </c>
      <c r="M569" t="n">
        <v>0</v>
      </c>
      <c r="N569" t="n">
        <v>0</v>
      </c>
      <c r="O569" t="n">
        <v>0</v>
      </c>
      <c r="P569" t="n">
        <v>0</v>
      </c>
      <c r="Q569" t="n">
        <v>0</v>
      </c>
      <c r="R569" s="2" t="inlineStr"/>
    </row>
    <row r="570" ht="15" customHeight="1">
      <c r="A570" t="inlineStr">
        <is>
          <t>A 7056-2022</t>
        </is>
      </c>
      <c r="B570" s="1" t="n">
        <v>44603</v>
      </c>
      <c r="C570" s="1" t="n">
        <v>45825</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7223-2022</t>
        </is>
      </c>
      <c r="B571" s="1" t="n">
        <v>44603</v>
      </c>
      <c r="C571" s="1" t="n">
        <v>45825</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7189-2022</t>
        </is>
      </c>
      <c r="B572" s="1" t="n">
        <v>44605</v>
      </c>
      <c r="C572" s="1" t="n">
        <v>45825</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7550-2022</t>
        </is>
      </c>
      <c r="B573" s="1" t="n">
        <v>44607</v>
      </c>
      <c r="C573" s="1" t="n">
        <v>45825</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7459-2022</t>
        </is>
      </c>
      <c r="B574" s="1" t="n">
        <v>44607</v>
      </c>
      <c r="C574" s="1" t="n">
        <v>45825</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7929-2022</t>
        </is>
      </c>
      <c r="B575" s="1" t="n">
        <v>44608</v>
      </c>
      <c r="C575" s="1" t="n">
        <v>45825</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8087-2022</t>
        </is>
      </c>
      <c r="B576" s="1" t="n">
        <v>44609</v>
      </c>
      <c r="C576" s="1" t="n">
        <v>45825</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9190-2022</t>
        </is>
      </c>
      <c r="B577" s="1" t="n">
        <v>44615</v>
      </c>
      <c r="C577" s="1" t="n">
        <v>45825</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9188-2022</t>
        </is>
      </c>
      <c r="B578" s="1" t="n">
        <v>44615</v>
      </c>
      <c r="C578" s="1" t="n">
        <v>45825</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9419-2022</t>
        </is>
      </c>
      <c r="B579" s="1" t="n">
        <v>44616</v>
      </c>
      <c r="C579" s="1" t="n">
        <v>45825</v>
      </c>
      <c r="D579" t="inlineStr">
        <is>
          <t>SÖDERMANLANDS LÄN</t>
        </is>
      </c>
      <c r="E579" t="inlineStr">
        <is>
          <t>KATRINEHOLM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9228-2022</t>
        </is>
      </c>
      <c r="B580" s="1" t="n">
        <v>44616</v>
      </c>
      <c r="C580" s="1" t="n">
        <v>45825</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9437-2022</t>
        </is>
      </c>
      <c r="B581" s="1" t="n">
        <v>44616</v>
      </c>
      <c r="C581" s="1" t="n">
        <v>45825</v>
      </c>
      <c r="D581" t="inlineStr">
        <is>
          <t>SÖDERMANLANDS LÄN</t>
        </is>
      </c>
      <c r="E581" t="inlineStr">
        <is>
          <t>KATRINEHOLM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9786-2022</t>
        </is>
      </c>
      <c r="B582" s="1" t="n">
        <v>44619</v>
      </c>
      <c r="C582" s="1" t="n">
        <v>45825</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9992-2022</t>
        </is>
      </c>
      <c r="B583" s="1" t="n">
        <v>44621</v>
      </c>
      <c r="C583" s="1" t="n">
        <v>45825</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10341-2022</t>
        </is>
      </c>
      <c r="B584" s="1" t="n">
        <v>44623</v>
      </c>
      <c r="C584" s="1" t="n">
        <v>45825</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10388-2022</t>
        </is>
      </c>
      <c r="B585" s="1" t="n">
        <v>44623</v>
      </c>
      <c r="C585" s="1" t="n">
        <v>45825</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10732-2022</t>
        </is>
      </c>
      <c r="B586" s="1" t="n">
        <v>44627</v>
      </c>
      <c r="C586" s="1" t="n">
        <v>45825</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10996-2022</t>
        </is>
      </c>
      <c r="B587" s="1" t="n">
        <v>44628</v>
      </c>
      <c r="C587" s="1" t="n">
        <v>45825</v>
      </c>
      <c r="D587" t="inlineStr">
        <is>
          <t>SÖDERMANLANDS LÄN</t>
        </is>
      </c>
      <c r="E587" t="inlineStr">
        <is>
          <t>KATRINEHOLM</t>
        </is>
      </c>
      <c r="G587" t="n">
        <v>0.3</v>
      </c>
      <c r="H587" t="n">
        <v>0</v>
      </c>
      <c r="I587" t="n">
        <v>0</v>
      </c>
      <c r="J587" t="n">
        <v>0</v>
      </c>
      <c r="K587" t="n">
        <v>0</v>
      </c>
      <c r="L587" t="n">
        <v>0</v>
      </c>
      <c r="M587" t="n">
        <v>0</v>
      </c>
      <c r="N587" t="n">
        <v>0</v>
      </c>
      <c r="O587" t="n">
        <v>0</v>
      </c>
      <c r="P587" t="n">
        <v>0</v>
      </c>
      <c r="Q587" t="n">
        <v>0</v>
      </c>
      <c r="R587" s="2" t="inlineStr"/>
    </row>
    <row r="588" ht="15" customHeight="1">
      <c r="A588" t="inlineStr">
        <is>
          <t>A 11024-2022</t>
        </is>
      </c>
      <c r="B588" s="1" t="n">
        <v>44628</v>
      </c>
      <c r="C588" s="1" t="n">
        <v>45825</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12633-2022</t>
        </is>
      </c>
      <c r="B589" s="1" t="n">
        <v>44638</v>
      </c>
      <c r="C589" s="1" t="n">
        <v>45825</v>
      </c>
      <c r="D589" t="inlineStr">
        <is>
          <t>SÖDERMANLANDS LÄN</t>
        </is>
      </c>
      <c r="E589" t="inlineStr">
        <is>
          <t>KATRINEHOLM</t>
        </is>
      </c>
      <c r="G589" t="n">
        <v>6.4</v>
      </c>
      <c r="H589" t="n">
        <v>0</v>
      </c>
      <c r="I589" t="n">
        <v>0</v>
      </c>
      <c r="J589" t="n">
        <v>0</v>
      </c>
      <c r="K589" t="n">
        <v>0</v>
      </c>
      <c r="L589" t="n">
        <v>0</v>
      </c>
      <c r="M589" t="n">
        <v>0</v>
      </c>
      <c r="N589" t="n">
        <v>0</v>
      </c>
      <c r="O589" t="n">
        <v>0</v>
      </c>
      <c r="P589" t="n">
        <v>0</v>
      </c>
      <c r="Q589" t="n">
        <v>0</v>
      </c>
      <c r="R589" s="2" t="inlineStr"/>
    </row>
    <row r="590" ht="15" customHeight="1">
      <c r="A590" t="inlineStr">
        <is>
          <t>A 12658-2022</t>
        </is>
      </c>
      <c r="B590" s="1" t="n">
        <v>44641</v>
      </c>
      <c r="C590" s="1" t="n">
        <v>45825</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12975-2022</t>
        </is>
      </c>
      <c r="B591" s="1" t="n">
        <v>44643</v>
      </c>
      <c r="C591" s="1" t="n">
        <v>45825</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13198-2022</t>
        </is>
      </c>
      <c r="B592" s="1" t="n">
        <v>44644</v>
      </c>
      <c r="C592" s="1" t="n">
        <v>45825</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13860-2022</t>
        </is>
      </c>
      <c r="B593" s="1" t="n">
        <v>44649</v>
      </c>
      <c r="C593" s="1" t="n">
        <v>45825</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13959-2022</t>
        </is>
      </c>
      <c r="B594" s="1" t="n">
        <v>44650</v>
      </c>
      <c r="C594" s="1" t="n">
        <v>45825</v>
      </c>
      <c r="D594" t="inlineStr">
        <is>
          <t>SÖDERMANLANDS LÄN</t>
        </is>
      </c>
      <c r="E594" t="inlineStr">
        <is>
          <t>KATRINEHOLM</t>
        </is>
      </c>
      <c r="G594" t="n">
        <v>2.4</v>
      </c>
      <c r="H594" t="n">
        <v>0</v>
      </c>
      <c r="I594" t="n">
        <v>0</v>
      </c>
      <c r="J594" t="n">
        <v>0</v>
      </c>
      <c r="K594" t="n">
        <v>0</v>
      </c>
      <c r="L594" t="n">
        <v>0</v>
      </c>
      <c r="M594" t="n">
        <v>0</v>
      </c>
      <c r="N594" t="n">
        <v>0</v>
      </c>
      <c r="O594" t="n">
        <v>0</v>
      </c>
      <c r="P594" t="n">
        <v>0</v>
      </c>
      <c r="Q594" t="n">
        <v>0</v>
      </c>
      <c r="R594" s="2" t="inlineStr"/>
    </row>
    <row r="595" ht="15" customHeight="1">
      <c r="A595" t="inlineStr">
        <is>
          <t>A 15108-2022</t>
        </is>
      </c>
      <c r="B595" s="1" t="n">
        <v>44658</v>
      </c>
      <c r="C595" s="1" t="n">
        <v>45825</v>
      </c>
      <c r="D595" t="inlineStr">
        <is>
          <t>SÖDERMANLANDS LÄN</t>
        </is>
      </c>
      <c r="E595" t="inlineStr">
        <is>
          <t>KATRINEHOLM</t>
        </is>
      </c>
      <c r="G595" t="n">
        <v>2.5</v>
      </c>
      <c r="H595" t="n">
        <v>0</v>
      </c>
      <c r="I595" t="n">
        <v>0</v>
      </c>
      <c r="J595" t="n">
        <v>0</v>
      </c>
      <c r="K595" t="n">
        <v>0</v>
      </c>
      <c r="L595" t="n">
        <v>0</v>
      </c>
      <c r="M595" t="n">
        <v>0</v>
      </c>
      <c r="N595" t="n">
        <v>0</v>
      </c>
      <c r="O595" t="n">
        <v>0</v>
      </c>
      <c r="P595" t="n">
        <v>0</v>
      </c>
      <c r="Q595" t="n">
        <v>0</v>
      </c>
      <c r="R595" s="2" t="inlineStr"/>
    </row>
    <row r="596" ht="15" customHeight="1">
      <c r="A596" t="inlineStr">
        <is>
          <t>A 15399-2022</t>
        </is>
      </c>
      <c r="B596" s="1" t="n">
        <v>44659</v>
      </c>
      <c r="C596" s="1" t="n">
        <v>45825</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15898-2022</t>
        </is>
      </c>
      <c r="B597" s="1" t="n">
        <v>44664</v>
      </c>
      <c r="C597" s="1" t="n">
        <v>45825</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15910-2022</t>
        </is>
      </c>
      <c r="B598" s="1" t="n">
        <v>44664</v>
      </c>
      <c r="C598" s="1" t="n">
        <v>45825</v>
      </c>
      <c r="D598" t="inlineStr">
        <is>
          <t>SÖDERMANLANDS LÄN</t>
        </is>
      </c>
      <c r="E598" t="inlineStr">
        <is>
          <t>KATRINEHOLM</t>
        </is>
      </c>
      <c r="G598" t="n">
        <v>5.6</v>
      </c>
      <c r="H598" t="n">
        <v>0</v>
      </c>
      <c r="I598" t="n">
        <v>0</v>
      </c>
      <c r="J598" t="n">
        <v>0</v>
      </c>
      <c r="K598" t="n">
        <v>0</v>
      </c>
      <c r="L598" t="n">
        <v>0</v>
      </c>
      <c r="M598" t="n">
        <v>0</v>
      </c>
      <c r="N598" t="n">
        <v>0</v>
      </c>
      <c r="O598" t="n">
        <v>0</v>
      </c>
      <c r="P598" t="n">
        <v>0</v>
      </c>
      <c r="Q598" t="n">
        <v>0</v>
      </c>
      <c r="R598" s="2" t="inlineStr"/>
    </row>
    <row r="599" ht="15" customHeight="1">
      <c r="A599" t="inlineStr">
        <is>
          <t>A 17276-2022</t>
        </is>
      </c>
      <c r="B599" s="1" t="n">
        <v>44678</v>
      </c>
      <c r="C599" s="1" t="n">
        <v>45825</v>
      </c>
      <c r="D599" t="inlineStr">
        <is>
          <t>SÖDERMANLANDS LÄN</t>
        </is>
      </c>
      <c r="E599" t="inlineStr">
        <is>
          <t>KATRINEHOLM</t>
        </is>
      </c>
      <c r="F599" t="inlineStr">
        <is>
          <t>Övriga Aktiebolag</t>
        </is>
      </c>
      <c r="G599" t="n">
        <v>8.5</v>
      </c>
      <c r="H599" t="n">
        <v>0</v>
      </c>
      <c r="I599" t="n">
        <v>0</v>
      </c>
      <c r="J599" t="n">
        <v>0</v>
      </c>
      <c r="K599" t="n">
        <v>0</v>
      </c>
      <c r="L599" t="n">
        <v>0</v>
      </c>
      <c r="M599" t="n">
        <v>0</v>
      </c>
      <c r="N599" t="n">
        <v>0</v>
      </c>
      <c r="O599" t="n">
        <v>0</v>
      </c>
      <c r="P599" t="n">
        <v>0</v>
      </c>
      <c r="Q599" t="n">
        <v>0</v>
      </c>
      <c r="R599" s="2" t="inlineStr"/>
    </row>
    <row r="600" ht="15" customHeight="1">
      <c r="A600" t="inlineStr">
        <is>
          <t>A 17360-2022</t>
        </is>
      </c>
      <c r="B600" s="1" t="n">
        <v>44678</v>
      </c>
      <c r="C600" s="1" t="n">
        <v>45825</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17800-2022</t>
        </is>
      </c>
      <c r="B601" s="1" t="n">
        <v>44683</v>
      </c>
      <c r="C601" s="1" t="n">
        <v>45825</v>
      </c>
      <c r="D601" t="inlineStr">
        <is>
          <t>SÖDERMANLANDS LÄN</t>
        </is>
      </c>
      <c r="E601" t="inlineStr">
        <is>
          <t>KATRINEHOLM</t>
        </is>
      </c>
      <c r="G601" t="n">
        <v>8.1</v>
      </c>
      <c r="H601" t="n">
        <v>0</v>
      </c>
      <c r="I601" t="n">
        <v>0</v>
      </c>
      <c r="J601" t="n">
        <v>0</v>
      </c>
      <c r="K601" t="n">
        <v>0</v>
      </c>
      <c r="L601" t="n">
        <v>0</v>
      </c>
      <c r="M601" t="n">
        <v>0</v>
      </c>
      <c r="N601" t="n">
        <v>0</v>
      </c>
      <c r="O601" t="n">
        <v>0</v>
      </c>
      <c r="P601" t="n">
        <v>0</v>
      </c>
      <c r="Q601" t="n">
        <v>0</v>
      </c>
      <c r="R601" s="2" t="inlineStr"/>
    </row>
    <row r="602" ht="15" customHeight="1">
      <c r="A602" t="inlineStr">
        <is>
          <t>A 19098-2022</t>
        </is>
      </c>
      <c r="B602" s="1" t="n">
        <v>44691</v>
      </c>
      <c r="C602" s="1" t="n">
        <v>45825</v>
      </c>
      <c r="D602" t="inlineStr">
        <is>
          <t>SÖDERMANLANDS LÄN</t>
        </is>
      </c>
      <c r="E602" t="inlineStr">
        <is>
          <t>KATRINEHOLM</t>
        </is>
      </c>
      <c r="G602" t="n">
        <v>5.5</v>
      </c>
      <c r="H602" t="n">
        <v>0</v>
      </c>
      <c r="I602" t="n">
        <v>0</v>
      </c>
      <c r="J602" t="n">
        <v>0</v>
      </c>
      <c r="K602" t="n">
        <v>0</v>
      </c>
      <c r="L602" t="n">
        <v>0</v>
      </c>
      <c r="M602" t="n">
        <v>0</v>
      </c>
      <c r="N602" t="n">
        <v>0</v>
      </c>
      <c r="O602" t="n">
        <v>0</v>
      </c>
      <c r="P602" t="n">
        <v>0</v>
      </c>
      <c r="Q602" t="n">
        <v>0</v>
      </c>
      <c r="R602" s="2" t="inlineStr"/>
    </row>
    <row r="603" ht="15" customHeight="1">
      <c r="A603" t="inlineStr">
        <is>
          <t>A 19107-2022</t>
        </is>
      </c>
      <c r="B603" s="1" t="n">
        <v>44691</v>
      </c>
      <c r="C603" s="1" t="n">
        <v>45825</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19479-2022</t>
        </is>
      </c>
      <c r="B604" s="1" t="n">
        <v>44693</v>
      </c>
      <c r="C604" s="1" t="n">
        <v>45825</v>
      </c>
      <c r="D604" t="inlineStr">
        <is>
          <t>SÖDERMANLANDS LÄN</t>
        </is>
      </c>
      <c r="E604" t="inlineStr">
        <is>
          <t>KATRINEHOLM</t>
        </is>
      </c>
      <c r="G604" t="n">
        <v>6.2</v>
      </c>
      <c r="H604" t="n">
        <v>0</v>
      </c>
      <c r="I604" t="n">
        <v>0</v>
      </c>
      <c r="J604" t="n">
        <v>0</v>
      </c>
      <c r="K604" t="n">
        <v>0</v>
      </c>
      <c r="L604" t="n">
        <v>0</v>
      </c>
      <c r="M604" t="n">
        <v>0</v>
      </c>
      <c r="N604" t="n">
        <v>0</v>
      </c>
      <c r="O604" t="n">
        <v>0</v>
      </c>
      <c r="P604" t="n">
        <v>0</v>
      </c>
      <c r="Q604" t="n">
        <v>0</v>
      </c>
      <c r="R604" s="2" t="inlineStr"/>
    </row>
    <row r="605" ht="15" customHeight="1">
      <c r="A605" t="inlineStr">
        <is>
          <t>A 19685-2022</t>
        </is>
      </c>
      <c r="B605" s="1" t="n">
        <v>44694</v>
      </c>
      <c r="C605" s="1" t="n">
        <v>45825</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45825</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19868-2022</t>
        </is>
      </c>
      <c r="B607" s="1" t="n">
        <v>44696</v>
      </c>
      <c r="C607" s="1" t="n">
        <v>45825</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19912-2022</t>
        </is>
      </c>
      <c r="B608" s="1" t="n">
        <v>44697</v>
      </c>
      <c r="C608" s="1" t="n">
        <v>45825</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20485-2022</t>
        </is>
      </c>
      <c r="B609" s="1" t="n">
        <v>44699</v>
      </c>
      <c r="C609" s="1" t="n">
        <v>45825</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20480-2022</t>
        </is>
      </c>
      <c r="B610" s="1" t="n">
        <v>44699</v>
      </c>
      <c r="C610" s="1" t="n">
        <v>45825</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20768-2022</t>
        </is>
      </c>
      <c r="B611" s="1" t="n">
        <v>44701</v>
      </c>
      <c r="C611" s="1" t="n">
        <v>45825</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20826-2022</t>
        </is>
      </c>
      <c r="B612" s="1" t="n">
        <v>44701</v>
      </c>
      <c r="C612" s="1" t="n">
        <v>45825</v>
      </c>
      <c r="D612" t="inlineStr">
        <is>
          <t>SÖDERMANLANDS LÄN</t>
        </is>
      </c>
      <c r="E612" t="inlineStr">
        <is>
          <t>KATRINEHOLM</t>
        </is>
      </c>
      <c r="G612" t="n">
        <v>6.8</v>
      </c>
      <c r="H612" t="n">
        <v>0</v>
      </c>
      <c r="I612" t="n">
        <v>0</v>
      </c>
      <c r="J612" t="n">
        <v>0</v>
      </c>
      <c r="K612" t="n">
        <v>0</v>
      </c>
      <c r="L612" t="n">
        <v>0</v>
      </c>
      <c r="M612" t="n">
        <v>0</v>
      </c>
      <c r="N612" t="n">
        <v>0</v>
      </c>
      <c r="O612" t="n">
        <v>0</v>
      </c>
      <c r="P612" t="n">
        <v>0</v>
      </c>
      <c r="Q612" t="n">
        <v>0</v>
      </c>
      <c r="R612" s="2" t="inlineStr"/>
    </row>
    <row r="613" ht="15" customHeight="1">
      <c r="A613" t="inlineStr">
        <is>
          <t>A 20843-2022</t>
        </is>
      </c>
      <c r="B613" s="1" t="n">
        <v>44701</v>
      </c>
      <c r="C613" s="1" t="n">
        <v>45825</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20799-2022</t>
        </is>
      </c>
      <c r="B614" s="1" t="n">
        <v>44701</v>
      </c>
      <c r="C614" s="1" t="n">
        <v>45825</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20846-2022</t>
        </is>
      </c>
      <c r="B615" s="1" t="n">
        <v>44701</v>
      </c>
      <c r="C615" s="1" t="n">
        <v>45825</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20847-2022</t>
        </is>
      </c>
      <c r="B616" s="1" t="n">
        <v>44701</v>
      </c>
      <c r="C616" s="1" t="n">
        <v>45825</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21272-2022</t>
        </is>
      </c>
      <c r="B617" s="1" t="n">
        <v>44705</v>
      </c>
      <c r="C617" s="1" t="n">
        <v>45825</v>
      </c>
      <c r="D617" t="inlineStr">
        <is>
          <t>SÖDERMANLANDS LÄN</t>
        </is>
      </c>
      <c r="E617" t="inlineStr">
        <is>
          <t>KATRINEHOLM</t>
        </is>
      </c>
      <c r="G617" t="n">
        <v>3.3</v>
      </c>
      <c r="H617" t="n">
        <v>0</v>
      </c>
      <c r="I617" t="n">
        <v>0</v>
      </c>
      <c r="J617" t="n">
        <v>0</v>
      </c>
      <c r="K617" t="n">
        <v>0</v>
      </c>
      <c r="L617" t="n">
        <v>0</v>
      </c>
      <c r="M617" t="n">
        <v>0</v>
      </c>
      <c r="N617" t="n">
        <v>0</v>
      </c>
      <c r="O617" t="n">
        <v>0</v>
      </c>
      <c r="P617" t="n">
        <v>0</v>
      </c>
      <c r="Q617" t="n">
        <v>0</v>
      </c>
      <c r="R617" s="2" t="inlineStr"/>
    </row>
    <row r="618" ht="15" customHeight="1">
      <c r="A618" t="inlineStr">
        <is>
          <t>A 21576-2022</t>
        </is>
      </c>
      <c r="B618" s="1" t="n">
        <v>44706</v>
      </c>
      <c r="C618" s="1" t="n">
        <v>45825</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21959-2022</t>
        </is>
      </c>
      <c r="B619" s="1" t="n">
        <v>44708</v>
      </c>
      <c r="C619" s="1" t="n">
        <v>45825</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22197-2022</t>
        </is>
      </c>
      <c r="B620" s="1" t="n">
        <v>44712</v>
      </c>
      <c r="C620" s="1" t="n">
        <v>45825</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45825</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23028-2022</t>
        </is>
      </c>
      <c r="B622" s="1" t="n">
        <v>44719</v>
      </c>
      <c r="C622" s="1" t="n">
        <v>45825</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23239-2022</t>
        </is>
      </c>
      <c r="B623" s="1" t="n">
        <v>44719</v>
      </c>
      <c r="C623" s="1" t="n">
        <v>45825</v>
      </c>
      <c r="D623" t="inlineStr">
        <is>
          <t>SÖDERMANLANDS LÄN</t>
        </is>
      </c>
      <c r="E623" t="inlineStr">
        <is>
          <t>KATRINEHOLM</t>
        </is>
      </c>
      <c r="G623" t="n">
        <v>7.4</v>
      </c>
      <c r="H623" t="n">
        <v>0</v>
      </c>
      <c r="I623" t="n">
        <v>0</v>
      </c>
      <c r="J623" t="n">
        <v>0</v>
      </c>
      <c r="K623" t="n">
        <v>0</v>
      </c>
      <c r="L623" t="n">
        <v>0</v>
      </c>
      <c r="M623" t="n">
        <v>0</v>
      </c>
      <c r="N623" t="n">
        <v>0</v>
      </c>
      <c r="O623" t="n">
        <v>0</v>
      </c>
      <c r="P623" t="n">
        <v>0</v>
      </c>
      <c r="Q623" t="n">
        <v>0</v>
      </c>
      <c r="R623" s="2" t="inlineStr"/>
    </row>
    <row r="624" ht="15" customHeight="1">
      <c r="A624" t="inlineStr">
        <is>
          <t>A 24098-2022</t>
        </is>
      </c>
      <c r="B624" s="1" t="n">
        <v>44725</v>
      </c>
      <c r="C624" s="1" t="n">
        <v>45825</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24199-2022</t>
        </is>
      </c>
      <c r="B625" s="1" t="n">
        <v>44725</v>
      </c>
      <c r="C625" s="1" t="n">
        <v>45825</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45825</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24097-2022</t>
        </is>
      </c>
      <c r="B627" s="1" t="n">
        <v>44725</v>
      </c>
      <c r="C627" s="1" t="n">
        <v>45825</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24099-2022</t>
        </is>
      </c>
      <c r="B628" s="1" t="n">
        <v>44725</v>
      </c>
      <c r="C628" s="1" t="n">
        <v>45825</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24635-2022</t>
        </is>
      </c>
      <c r="B629" s="1" t="n">
        <v>44727</v>
      </c>
      <c r="C629" s="1" t="n">
        <v>45825</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25309-2022</t>
        </is>
      </c>
      <c r="B630" s="1" t="n">
        <v>44731</v>
      </c>
      <c r="C630" s="1" t="n">
        <v>45825</v>
      </c>
      <c r="D630" t="inlineStr">
        <is>
          <t>SÖDERMANLANDS LÄN</t>
        </is>
      </c>
      <c r="E630" t="inlineStr">
        <is>
          <t>KATRINEHOLM</t>
        </is>
      </c>
      <c r="G630" t="n">
        <v>6.1</v>
      </c>
      <c r="H630" t="n">
        <v>0</v>
      </c>
      <c r="I630" t="n">
        <v>0</v>
      </c>
      <c r="J630" t="n">
        <v>0</v>
      </c>
      <c r="K630" t="n">
        <v>0</v>
      </c>
      <c r="L630" t="n">
        <v>0</v>
      </c>
      <c r="M630" t="n">
        <v>0</v>
      </c>
      <c r="N630" t="n">
        <v>0</v>
      </c>
      <c r="O630" t="n">
        <v>0</v>
      </c>
      <c r="P630" t="n">
        <v>0</v>
      </c>
      <c r="Q630" t="n">
        <v>0</v>
      </c>
      <c r="R630" s="2" t="inlineStr"/>
    </row>
    <row r="631" ht="15" customHeight="1">
      <c r="A631" t="inlineStr">
        <is>
          <t>A 25716-2022</t>
        </is>
      </c>
      <c r="B631" s="1" t="n">
        <v>44733</v>
      </c>
      <c r="C631" s="1" t="n">
        <v>45825</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25893-2022</t>
        </is>
      </c>
      <c r="B632" s="1" t="n">
        <v>44733</v>
      </c>
      <c r="C632" s="1" t="n">
        <v>45825</v>
      </c>
      <c r="D632" t="inlineStr">
        <is>
          <t>SÖDERMANLANDS LÄN</t>
        </is>
      </c>
      <c r="E632" t="inlineStr">
        <is>
          <t>KATRINEHOLM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27398-2022</t>
        </is>
      </c>
      <c r="B633" s="1" t="n">
        <v>44742</v>
      </c>
      <c r="C633" s="1" t="n">
        <v>45825</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27443-2022</t>
        </is>
      </c>
      <c r="B634" s="1" t="n">
        <v>44742</v>
      </c>
      <c r="C634" s="1" t="n">
        <v>45825</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27470-2022</t>
        </is>
      </c>
      <c r="B635" s="1" t="n">
        <v>44742</v>
      </c>
      <c r="C635" s="1" t="n">
        <v>45825</v>
      </c>
      <c r="D635" t="inlineStr">
        <is>
          <t>SÖDERMANLANDS LÄN</t>
        </is>
      </c>
      <c r="E635" t="inlineStr">
        <is>
          <t>KATRINEHOLM</t>
        </is>
      </c>
      <c r="G635" t="n">
        <v>13.3</v>
      </c>
      <c r="H635" t="n">
        <v>0</v>
      </c>
      <c r="I635" t="n">
        <v>0</v>
      </c>
      <c r="J635" t="n">
        <v>0</v>
      </c>
      <c r="K635" t="n">
        <v>0</v>
      </c>
      <c r="L635" t="n">
        <v>0</v>
      </c>
      <c r="M635" t="n">
        <v>0</v>
      </c>
      <c r="N635" t="n">
        <v>0</v>
      </c>
      <c r="O635" t="n">
        <v>0</v>
      </c>
      <c r="P635" t="n">
        <v>0</v>
      </c>
      <c r="Q635" t="n">
        <v>0</v>
      </c>
      <c r="R635" s="2" t="inlineStr"/>
    </row>
    <row r="636" ht="15" customHeight="1">
      <c r="A636" t="inlineStr">
        <is>
          <t>A 30087-2022</t>
        </is>
      </c>
      <c r="B636" s="1" t="n">
        <v>44757</v>
      </c>
      <c r="C636" s="1" t="n">
        <v>45825</v>
      </c>
      <c r="D636" t="inlineStr">
        <is>
          <t>SÖDERMANLANDS LÄN</t>
        </is>
      </c>
      <c r="E636" t="inlineStr">
        <is>
          <t>KATRINEHOLM</t>
        </is>
      </c>
      <c r="G636" t="n">
        <v>4.1</v>
      </c>
      <c r="H636" t="n">
        <v>0</v>
      </c>
      <c r="I636" t="n">
        <v>0</v>
      </c>
      <c r="J636" t="n">
        <v>0</v>
      </c>
      <c r="K636" t="n">
        <v>0</v>
      </c>
      <c r="L636" t="n">
        <v>0</v>
      </c>
      <c r="M636" t="n">
        <v>0</v>
      </c>
      <c r="N636" t="n">
        <v>0</v>
      </c>
      <c r="O636" t="n">
        <v>0</v>
      </c>
      <c r="P636" t="n">
        <v>0</v>
      </c>
      <c r="Q636" t="n">
        <v>0</v>
      </c>
      <c r="R636" s="2" t="inlineStr"/>
    </row>
    <row r="637" ht="15" customHeight="1">
      <c r="A637" t="inlineStr">
        <is>
          <t>A 30567-2022</t>
        </is>
      </c>
      <c r="B637" s="1" t="n">
        <v>44762</v>
      </c>
      <c r="C637" s="1" t="n">
        <v>45825</v>
      </c>
      <c r="D637" t="inlineStr">
        <is>
          <t>SÖDERMANLANDS LÄN</t>
        </is>
      </c>
      <c r="E637" t="inlineStr">
        <is>
          <t>KATRINEHOLM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30981-2022</t>
        </is>
      </c>
      <c r="B638" s="1" t="n">
        <v>44768</v>
      </c>
      <c r="C638" s="1" t="n">
        <v>45825</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31221-2022</t>
        </is>
      </c>
      <c r="B639" s="1" t="n">
        <v>44771</v>
      </c>
      <c r="C639" s="1" t="n">
        <v>45825</v>
      </c>
      <c r="D639" t="inlineStr">
        <is>
          <t>SÖDERMANLANDS LÄN</t>
        </is>
      </c>
      <c r="E639" t="inlineStr">
        <is>
          <t>KATRINEHOLM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31740-2022</t>
        </is>
      </c>
      <c r="B640" s="1" t="n">
        <v>44776</v>
      </c>
      <c r="C640" s="1" t="n">
        <v>45825</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32164-2022</t>
        </is>
      </c>
      <c r="B641" s="1" t="n">
        <v>44781</v>
      </c>
      <c r="C641" s="1" t="n">
        <v>45825</v>
      </c>
      <c r="D641" t="inlineStr">
        <is>
          <t>SÖDERMANLANDS LÄN</t>
        </is>
      </c>
      <c r="E641" t="inlineStr">
        <is>
          <t>KATRINEHOLM</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32166-2022</t>
        </is>
      </c>
      <c r="B642" s="1" t="n">
        <v>44781</v>
      </c>
      <c r="C642" s="1" t="n">
        <v>45825</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32169-2022</t>
        </is>
      </c>
      <c r="B643" s="1" t="n">
        <v>44781</v>
      </c>
      <c r="C643" s="1" t="n">
        <v>45825</v>
      </c>
      <c r="D643" t="inlineStr">
        <is>
          <t>SÖDERMANLANDS LÄN</t>
        </is>
      </c>
      <c r="E643" t="inlineStr">
        <is>
          <t>KATRINEHOLM</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32160-2022</t>
        </is>
      </c>
      <c r="B644" s="1" t="n">
        <v>44781</v>
      </c>
      <c r="C644" s="1" t="n">
        <v>45825</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32606-2022</t>
        </is>
      </c>
      <c r="B645" s="1" t="n">
        <v>44783</v>
      </c>
      <c r="C645" s="1" t="n">
        <v>45825</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32600-2022</t>
        </is>
      </c>
      <c r="B646" s="1" t="n">
        <v>44783</v>
      </c>
      <c r="C646" s="1" t="n">
        <v>45825</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32639-2022</t>
        </is>
      </c>
      <c r="B647" s="1" t="n">
        <v>44783</v>
      </c>
      <c r="C647" s="1" t="n">
        <v>45825</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32598-2022</t>
        </is>
      </c>
      <c r="B648" s="1" t="n">
        <v>44783</v>
      </c>
      <c r="C648" s="1" t="n">
        <v>45825</v>
      </c>
      <c r="D648" t="inlineStr">
        <is>
          <t>SÖDERMANLANDS LÄN</t>
        </is>
      </c>
      <c r="E648" t="inlineStr">
        <is>
          <t>KATRINEHOLM</t>
        </is>
      </c>
      <c r="G648" t="n">
        <v>7.7</v>
      </c>
      <c r="H648" t="n">
        <v>0</v>
      </c>
      <c r="I648" t="n">
        <v>0</v>
      </c>
      <c r="J648" t="n">
        <v>0</v>
      </c>
      <c r="K648" t="n">
        <v>0</v>
      </c>
      <c r="L648" t="n">
        <v>0</v>
      </c>
      <c r="M648" t="n">
        <v>0</v>
      </c>
      <c r="N648" t="n">
        <v>0</v>
      </c>
      <c r="O648" t="n">
        <v>0</v>
      </c>
      <c r="P648" t="n">
        <v>0</v>
      </c>
      <c r="Q648" t="n">
        <v>0</v>
      </c>
      <c r="R648" s="2" t="inlineStr"/>
    </row>
    <row r="649" ht="15" customHeight="1">
      <c r="A649" t="inlineStr">
        <is>
          <t>A 32632-2022</t>
        </is>
      </c>
      <c r="B649" s="1" t="n">
        <v>44783</v>
      </c>
      <c r="C649" s="1" t="n">
        <v>45825</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32786-2022</t>
        </is>
      </c>
      <c r="B650" s="1" t="n">
        <v>44784</v>
      </c>
      <c r="C650" s="1" t="n">
        <v>45825</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32855-2022</t>
        </is>
      </c>
      <c r="B651" s="1" t="n">
        <v>44784</v>
      </c>
      <c r="C651" s="1" t="n">
        <v>45825</v>
      </c>
      <c r="D651" t="inlineStr">
        <is>
          <t>SÖDERMANLANDS LÄN</t>
        </is>
      </c>
      <c r="E651" t="inlineStr">
        <is>
          <t>KATRINEHOLM</t>
        </is>
      </c>
      <c r="G651" t="n">
        <v>3.2</v>
      </c>
      <c r="H651" t="n">
        <v>0</v>
      </c>
      <c r="I651" t="n">
        <v>0</v>
      </c>
      <c r="J651" t="n">
        <v>0</v>
      </c>
      <c r="K651" t="n">
        <v>0</v>
      </c>
      <c r="L651" t="n">
        <v>0</v>
      </c>
      <c r="M651" t="n">
        <v>0</v>
      </c>
      <c r="N651" t="n">
        <v>0</v>
      </c>
      <c r="O651" t="n">
        <v>0</v>
      </c>
      <c r="P651" t="n">
        <v>0</v>
      </c>
      <c r="Q651" t="n">
        <v>0</v>
      </c>
      <c r="R651" s="2" t="inlineStr"/>
    </row>
    <row r="652" ht="15" customHeight="1">
      <c r="A652" t="inlineStr">
        <is>
          <t>A 33538-2022</t>
        </is>
      </c>
      <c r="B652" s="1" t="n">
        <v>44789</v>
      </c>
      <c r="C652" s="1" t="n">
        <v>45825</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33753-2022</t>
        </is>
      </c>
      <c r="B653" s="1" t="n">
        <v>44789</v>
      </c>
      <c r="C653" s="1" t="n">
        <v>45825</v>
      </c>
      <c r="D653" t="inlineStr">
        <is>
          <t>SÖDERMANLANDS LÄN</t>
        </is>
      </c>
      <c r="E653" t="inlineStr">
        <is>
          <t>KATRINEHOLM</t>
        </is>
      </c>
      <c r="G653" t="n">
        <v>4.9</v>
      </c>
      <c r="H653" t="n">
        <v>0</v>
      </c>
      <c r="I653" t="n">
        <v>0</v>
      </c>
      <c r="J653" t="n">
        <v>0</v>
      </c>
      <c r="K653" t="n">
        <v>0</v>
      </c>
      <c r="L653" t="n">
        <v>0</v>
      </c>
      <c r="M653" t="n">
        <v>0</v>
      </c>
      <c r="N653" t="n">
        <v>0</v>
      </c>
      <c r="O653" t="n">
        <v>0</v>
      </c>
      <c r="P653" t="n">
        <v>0</v>
      </c>
      <c r="Q653" t="n">
        <v>0</v>
      </c>
      <c r="R653" s="2" t="inlineStr"/>
    </row>
    <row r="654" ht="15" customHeight="1">
      <c r="A654" t="inlineStr">
        <is>
          <t>A 33712-2022</t>
        </is>
      </c>
      <c r="B654" s="1" t="n">
        <v>44789</v>
      </c>
      <c r="C654" s="1" t="n">
        <v>45825</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33717-2022</t>
        </is>
      </c>
      <c r="B655" s="1" t="n">
        <v>44789</v>
      </c>
      <c r="C655" s="1" t="n">
        <v>45825</v>
      </c>
      <c r="D655" t="inlineStr">
        <is>
          <t>SÖDERMANLANDS LÄN</t>
        </is>
      </c>
      <c r="E655" t="inlineStr">
        <is>
          <t>KATRINEHOLM</t>
        </is>
      </c>
      <c r="G655" t="n">
        <v>4.4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45825</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34040-2022</t>
        </is>
      </c>
      <c r="B657" s="1" t="n">
        <v>44790</v>
      </c>
      <c r="C657" s="1" t="n">
        <v>45825</v>
      </c>
      <c r="D657" t="inlineStr">
        <is>
          <t>SÖDERMANLANDS LÄN</t>
        </is>
      </c>
      <c r="E657" t="inlineStr">
        <is>
          <t>KATRINEHOLM</t>
        </is>
      </c>
      <c r="F657" t="inlineStr">
        <is>
          <t>Allmännings- och besparingsskogar</t>
        </is>
      </c>
      <c r="G657" t="n">
        <v>2.5</v>
      </c>
      <c r="H657" t="n">
        <v>0</v>
      </c>
      <c r="I657" t="n">
        <v>0</v>
      </c>
      <c r="J657" t="n">
        <v>0</v>
      </c>
      <c r="K657" t="n">
        <v>0</v>
      </c>
      <c r="L657" t="n">
        <v>0</v>
      </c>
      <c r="M657" t="n">
        <v>0</v>
      </c>
      <c r="N657" t="n">
        <v>0</v>
      </c>
      <c r="O657" t="n">
        <v>0</v>
      </c>
      <c r="P657" t="n">
        <v>0</v>
      </c>
      <c r="Q657" t="n">
        <v>0</v>
      </c>
      <c r="R657" s="2" t="inlineStr"/>
    </row>
    <row r="658" ht="15" customHeight="1">
      <c r="A658" t="inlineStr">
        <is>
          <t>A 34070-2022</t>
        </is>
      </c>
      <c r="B658" s="1" t="n">
        <v>44791</v>
      </c>
      <c r="C658" s="1" t="n">
        <v>45825</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34539-2022</t>
        </is>
      </c>
      <c r="B659" s="1" t="n">
        <v>44793</v>
      </c>
      <c r="C659" s="1" t="n">
        <v>45825</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34625-2022</t>
        </is>
      </c>
      <c r="B660" s="1" t="n">
        <v>44795</v>
      </c>
      <c r="C660" s="1" t="n">
        <v>45825</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34732-2022</t>
        </is>
      </c>
      <c r="B661" s="1" t="n">
        <v>44795</v>
      </c>
      <c r="C661" s="1" t="n">
        <v>45825</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35088-2022</t>
        </is>
      </c>
      <c r="B662" s="1" t="n">
        <v>44797</v>
      </c>
      <c r="C662" s="1" t="n">
        <v>45825</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35188-2022</t>
        </is>
      </c>
      <c r="B663" s="1" t="n">
        <v>44797</v>
      </c>
      <c r="C663" s="1" t="n">
        <v>45825</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35194-2022</t>
        </is>
      </c>
      <c r="B664" s="1" t="n">
        <v>44797</v>
      </c>
      <c r="C664" s="1" t="n">
        <v>45825</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35183-2022</t>
        </is>
      </c>
      <c r="B665" s="1" t="n">
        <v>44797</v>
      </c>
      <c r="C665" s="1" t="n">
        <v>45825</v>
      </c>
      <c r="D665" t="inlineStr">
        <is>
          <t>SÖDERMANLANDS LÄN</t>
        </is>
      </c>
      <c r="E665" t="inlineStr">
        <is>
          <t>KATRINEHOLM</t>
        </is>
      </c>
      <c r="G665" t="n">
        <v>4.6</v>
      </c>
      <c r="H665" t="n">
        <v>0</v>
      </c>
      <c r="I665" t="n">
        <v>0</v>
      </c>
      <c r="J665" t="n">
        <v>0</v>
      </c>
      <c r="K665" t="n">
        <v>0</v>
      </c>
      <c r="L665" t="n">
        <v>0</v>
      </c>
      <c r="M665" t="n">
        <v>0</v>
      </c>
      <c r="N665" t="n">
        <v>0</v>
      </c>
      <c r="O665" t="n">
        <v>0</v>
      </c>
      <c r="P665" t="n">
        <v>0</v>
      </c>
      <c r="Q665" t="n">
        <v>0</v>
      </c>
      <c r="R665" s="2" t="inlineStr"/>
    </row>
    <row r="666" ht="15" customHeight="1">
      <c r="A666" t="inlineStr">
        <is>
          <t>A 35364-2022</t>
        </is>
      </c>
      <c r="B666" s="1" t="n">
        <v>44798</v>
      </c>
      <c r="C666" s="1" t="n">
        <v>45825</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35342-2022</t>
        </is>
      </c>
      <c r="B667" s="1" t="n">
        <v>44798</v>
      </c>
      <c r="C667" s="1" t="n">
        <v>45825</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36210-2022</t>
        </is>
      </c>
      <c r="B668" s="1" t="n">
        <v>44803</v>
      </c>
      <c r="C668" s="1" t="n">
        <v>45825</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36396-2022</t>
        </is>
      </c>
      <c r="B669" s="1" t="n">
        <v>44804</v>
      </c>
      <c r="C669" s="1" t="n">
        <v>45825</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36767-2022</t>
        </is>
      </c>
      <c r="B670" s="1" t="n">
        <v>44805</v>
      </c>
      <c r="C670" s="1" t="n">
        <v>45825</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37542-2022</t>
        </is>
      </c>
      <c r="B671" s="1" t="n">
        <v>44809</v>
      </c>
      <c r="C671" s="1" t="n">
        <v>45825</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37546-2022</t>
        </is>
      </c>
      <c r="B672" s="1" t="n">
        <v>44809</v>
      </c>
      <c r="C672" s="1" t="n">
        <v>45825</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37528-2022</t>
        </is>
      </c>
      <c r="B673" s="1" t="n">
        <v>44809</v>
      </c>
      <c r="C673" s="1" t="n">
        <v>45825</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37544-2022</t>
        </is>
      </c>
      <c r="B674" s="1" t="n">
        <v>44809</v>
      </c>
      <c r="C674" s="1" t="n">
        <v>45825</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37549-2022</t>
        </is>
      </c>
      <c r="B675" s="1" t="n">
        <v>44809</v>
      </c>
      <c r="C675" s="1" t="n">
        <v>45825</v>
      </c>
      <c r="D675" t="inlineStr">
        <is>
          <t>SÖDERMANLANDS LÄN</t>
        </is>
      </c>
      <c r="E675" t="inlineStr">
        <is>
          <t>KATRINEHOLM</t>
        </is>
      </c>
      <c r="G675" t="n">
        <v>6.9</v>
      </c>
      <c r="H675" t="n">
        <v>0</v>
      </c>
      <c r="I675" t="n">
        <v>0</v>
      </c>
      <c r="J675" t="n">
        <v>0</v>
      </c>
      <c r="K675" t="n">
        <v>0</v>
      </c>
      <c r="L675" t="n">
        <v>0</v>
      </c>
      <c r="M675" t="n">
        <v>0</v>
      </c>
      <c r="N675" t="n">
        <v>0</v>
      </c>
      <c r="O675" t="n">
        <v>0</v>
      </c>
      <c r="P675" t="n">
        <v>0</v>
      </c>
      <c r="Q675" t="n">
        <v>0</v>
      </c>
      <c r="R675" s="2" t="inlineStr"/>
    </row>
    <row r="676" ht="15" customHeight="1">
      <c r="A676" t="inlineStr">
        <is>
          <t>A 37734-2022</t>
        </is>
      </c>
      <c r="B676" s="1" t="n">
        <v>44810</v>
      </c>
      <c r="C676" s="1" t="n">
        <v>45825</v>
      </c>
      <c r="D676" t="inlineStr">
        <is>
          <t>SÖDERMANLANDS LÄN</t>
        </is>
      </c>
      <c r="E676" t="inlineStr">
        <is>
          <t>KATRINEHOLM</t>
        </is>
      </c>
      <c r="G676" t="n">
        <v>2.8</v>
      </c>
      <c r="H676" t="n">
        <v>0</v>
      </c>
      <c r="I676" t="n">
        <v>0</v>
      </c>
      <c r="J676" t="n">
        <v>0</v>
      </c>
      <c r="K676" t="n">
        <v>0</v>
      </c>
      <c r="L676" t="n">
        <v>0</v>
      </c>
      <c r="M676" t="n">
        <v>0</v>
      </c>
      <c r="N676" t="n">
        <v>0</v>
      </c>
      <c r="O676" t="n">
        <v>0</v>
      </c>
      <c r="P676" t="n">
        <v>0</v>
      </c>
      <c r="Q676" t="n">
        <v>0</v>
      </c>
      <c r="R676" s="2" t="inlineStr"/>
    </row>
    <row r="677" ht="15" customHeight="1">
      <c r="A677" t="inlineStr">
        <is>
          <t>A 37719-2022</t>
        </is>
      </c>
      <c r="B677" s="1" t="n">
        <v>44810</v>
      </c>
      <c r="C677" s="1" t="n">
        <v>45825</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38019-2022</t>
        </is>
      </c>
      <c r="B678" s="1" t="n">
        <v>44811</v>
      </c>
      <c r="C678" s="1" t="n">
        <v>45825</v>
      </c>
      <c r="D678" t="inlineStr">
        <is>
          <t>SÖDERMANLANDS LÄN</t>
        </is>
      </c>
      <c r="E678" t="inlineStr">
        <is>
          <t>KATRINEHOLM</t>
        </is>
      </c>
      <c r="G678" t="n">
        <v>5.8</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45825</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39136-2022</t>
        </is>
      </c>
      <c r="B680" s="1" t="n">
        <v>44817</v>
      </c>
      <c r="C680" s="1" t="n">
        <v>45825</v>
      </c>
      <c r="D680" t="inlineStr">
        <is>
          <t>SÖDERMANLANDS LÄN</t>
        </is>
      </c>
      <c r="E680" t="inlineStr">
        <is>
          <t>KATRINEHOLM</t>
        </is>
      </c>
      <c r="F680" t="inlineStr">
        <is>
          <t>Övriga Aktiebolag</t>
        </is>
      </c>
      <c r="G680" t="n">
        <v>3.8</v>
      </c>
      <c r="H680" t="n">
        <v>0</v>
      </c>
      <c r="I680" t="n">
        <v>0</v>
      </c>
      <c r="J680" t="n">
        <v>0</v>
      </c>
      <c r="K680" t="n">
        <v>0</v>
      </c>
      <c r="L680" t="n">
        <v>0</v>
      </c>
      <c r="M680" t="n">
        <v>0</v>
      </c>
      <c r="N680" t="n">
        <v>0</v>
      </c>
      <c r="O680" t="n">
        <v>0</v>
      </c>
      <c r="P680" t="n">
        <v>0</v>
      </c>
      <c r="Q680" t="n">
        <v>0</v>
      </c>
      <c r="R680" s="2" t="inlineStr"/>
    </row>
    <row r="681" ht="15" customHeight="1">
      <c r="A681" t="inlineStr">
        <is>
          <t>A 39055-2022</t>
        </is>
      </c>
      <c r="B681" s="1" t="n">
        <v>44817</v>
      </c>
      <c r="C681" s="1" t="n">
        <v>45825</v>
      </c>
      <c r="D681" t="inlineStr">
        <is>
          <t>SÖDERMANLANDS LÄN</t>
        </is>
      </c>
      <c r="E681" t="inlineStr">
        <is>
          <t>KATRINEHOLM</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39305-2022</t>
        </is>
      </c>
      <c r="B682" s="1" t="n">
        <v>44817</v>
      </c>
      <c r="C682" s="1" t="n">
        <v>45825</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39239-2022</t>
        </is>
      </c>
      <c r="B683" s="1" t="n">
        <v>44817</v>
      </c>
      <c r="C683" s="1" t="n">
        <v>45825</v>
      </c>
      <c r="D683" t="inlineStr">
        <is>
          <t>SÖDERMANLANDS LÄN</t>
        </is>
      </c>
      <c r="E683" t="inlineStr">
        <is>
          <t>KATRINEHOLM</t>
        </is>
      </c>
      <c r="G683" t="n">
        <v>4.5</v>
      </c>
      <c r="H683" t="n">
        <v>0</v>
      </c>
      <c r="I683" t="n">
        <v>0</v>
      </c>
      <c r="J683" t="n">
        <v>0</v>
      </c>
      <c r="K683" t="n">
        <v>0</v>
      </c>
      <c r="L683" t="n">
        <v>0</v>
      </c>
      <c r="M683" t="n">
        <v>0</v>
      </c>
      <c r="N683" t="n">
        <v>0</v>
      </c>
      <c r="O683" t="n">
        <v>0</v>
      </c>
      <c r="P683" t="n">
        <v>0</v>
      </c>
      <c r="Q683" t="n">
        <v>0</v>
      </c>
      <c r="R683" s="2" t="inlineStr"/>
    </row>
    <row r="684" ht="15" customHeight="1">
      <c r="A684" t="inlineStr">
        <is>
          <t>A 39522-2022</t>
        </is>
      </c>
      <c r="B684" s="1" t="n">
        <v>44817</v>
      </c>
      <c r="C684" s="1" t="n">
        <v>45825</v>
      </c>
      <c r="D684" t="inlineStr">
        <is>
          <t>SÖDERMANLANDS LÄN</t>
        </is>
      </c>
      <c r="E684" t="inlineStr">
        <is>
          <t>KATRINEHOLM</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39748-2022</t>
        </is>
      </c>
      <c r="B685" s="1" t="n">
        <v>44817</v>
      </c>
      <c r="C685" s="1" t="n">
        <v>45825</v>
      </c>
      <c r="D685" t="inlineStr">
        <is>
          <t>SÖDERMANLANDS LÄN</t>
        </is>
      </c>
      <c r="E685" t="inlineStr">
        <is>
          <t>KATRINEHOLM</t>
        </is>
      </c>
      <c r="G685" t="n">
        <v>10.2</v>
      </c>
      <c r="H685" t="n">
        <v>0</v>
      </c>
      <c r="I685" t="n">
        <v>0</v>
      </c>
      <c r="J685" t="n">
        <v>0</v>
      </c>
      <c r="K685" t="n">
        <v>0</v>
      </c>
      <c r="L685" t="n">
        <v>0</v>
      </c>
      <c r="M685" t="n">
        <v>0</v>
      </c>
      <c r="N685" t="n">
        <v>0</v>
      </c>
      <c r="O685" t="n">
        <v>0</v>
      </c>
      <c r="P685" t="n">
        <v>0</v>
      </c>
      <c r="Q685" t="n">
        <v>0</v>
      </c>
      <c r="R685" s="2" t="inlineStr"/>
    </row>
    <row r="686" ht="15" customHeight="1">
      <c r="A686" t="inlineStr">
        <is>
          <t>A 40393-2022</t>
        </is>
      </c>
      <c r="B686" s="1" t="n">
        <v>44823</v>
      </c>
      <c r="C686" s="1" t="n">
        <v>45825</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40402-2022</t>
        </is>
      </c>
      <c r="B687" s="1" t="n">
        <v>44823</v>
      </c>
      <c r="C687" s="1" t="n">
        <v>45825</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40448-2022</t>
        </is>
      </c>
      <c r="B688" s="1" t="n">
        <v>44823</v>
      </c>
      <c r="C688" s="1" t="n">
        <v>45825</v>
      </c>
      <c r="D688" t="inlineStr">
        <is>
          <t>SÖDERMANLANDS LÄN</t>
        </is>
      </c>
      <c r="E688" t="inlineStr">
        <is>
          <t>KATRINEHOLM</t>
        </is>
      </c>
      <c r="G688" t="n">
        <v>0.4</v>
      </c>
      <c r="H688" t="n">
        <v>0</v>
      </c>
      <c r="I688" t="n">
        <v>0</v>
      </c>
      <c r="J688" t="n">
        <v>0</v>
      </c>
      <c r="K688" t="n">
        <v>0</v>
      </c>
      <c r="L688" t="n">
        <v>0</v>
      </c>
      <c r="M688" t="n">
        <v>0</v>
      </c>
      <c r="N688" t="n">
        <v>0</v>
      </c>
      <c r="O688" t="n">
        <v>0</v>
      </c>
      <c r="P688" t="n">
        <v>0</v>
      </c>
      <c r="Q688" t="n">
        <v>0</v>
      </c>
      <c r="R688" s="2" t="inlineStr"/>
    </row>
    <row r="689" ht="15" customHeight="1">
      <c r="A689" t="inlineStr">
        <is>
          <t>A 40452-2022</t>
        </is>
      </c>
      <c r="B689" s="1" t="n">
        <v>44823</v>
      </c>
      <c r="C689" s="1" t="n">
        <v>45825</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40749-2022</t>
        </is>
      </c>
      <c r="B690" s="1" t="n">
        <v>44824</v>
      </c>
      <c r="C690" s="1" t="n">
        <v>45825</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40753-2022</t>
        </is>
      </c>
      <c r="B691" s="1" t="n">
        <v>44824</v>
      </c>
      <c r="C691" s="1" t="n">
        <v>45825</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v>
      </c>
      <c r="C692" s="1" t="n">
        <v>45825</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40814-2022</t>
        </is>
      </c>
      <c r="B693" s="1" t="n">
        <v>44824</v>
      </c>
      <c r="C693" s="1" t="n">
        <v>45825</v>
      </c>
      <c r="D693" t="inlineStr">
        <is>
          <t>SÖDERMANLANDS LÄN</t>
        </is>
      </c>
      <c r="E693" t="inlineStr">
        <is>
          <t>KATRINEHOLM</t>
        </is>
      </c>
      <c r="G693" t="n">
        <v>0.2</v>
      </c>
      <c r="H693" t="n">
        <v>0</v>
      </c>
      <c r="I693" t="n">
        <v>0</v>
      </c>
      <c r="J693" t="n">
        <v>0</v>
      </c>
      <c r="K693" t="n">
        <v>0</v>
      </c>
      <c r="L693" t="n">
        <v>0</v>
      </c>
      <c r="M693" t="n">
        <v>0</v>
      </c>
      <c r="N693" t="n">
        <v>0</v>
      </c>
      <c r="O693" t="n">
        <v>0</v>
      </c>
      <c r="P693" t="n">
        <v>0</v>
      </c>
      <c r="Q693" t="n">
        <v>0</v>
      </c>
      <c r="R693" s="2" t="inlineStr"/>
    </row>
    <row r="694" ht="15" customHeight="1">
      <c r="A694" t="inlineStr">
        <is>
          <t>A 40818-2022</t>
        </is>
      </c>
      <c r="B694" s="1" t="n">
        <v>44824</v>
      </c>
      <c r="C694" s="1" t="n">
        <v>45825</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41229-2022</t>
        </is>
      </c>
      <c r="B695" s="1" t="n">
        <v>44825</v>
      </c>
      <c r="C695" s="1" t="n">
        <v>45825</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41534-2022</t>
        </is>
      </c>
      <c r="B696" s="1" t="n">
        <v>44827</v>
      </c>
      <c r="C696" s="1" t="n">
        <v>45825</v>
      </c>
      <c r="D696" t="inlineStr">
        <is>
          <t>SÖDERMANLANDS LÄN</t>
        </is>
      </c>
      <c r="E696" t="inlineStr">
        <is>
          <t>KATRINEHOLM</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41642-2022</t>
        </is>
      </c>
      <c r="B697" s="1" t="n">
        <v>44827</v>
      </c>
      <c r="C697" s="1" t="n">
        <v>45825</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41950-2022</t>
        </is>
      </c>
      <c r="B698" s="1" t="n">
        <v>44830</v>
      </c>
      <c r="C698" s="1" t="n">
        <v>45825</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42025-2022</t>
        </is>
      </c>
      <c r="B699" s="1" t="n">
        <v>44830</v>
      </c>
      <c r="C699" s="1" t="n">
        <v>45825</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41946-2022</t>
        </is>
      </c>
      <c r="B700" s="1" t="n">
        <v>44830</v>
      </c>
      <c r="C700" s="1" t="n">
        <v>45825</v>
      </c>
      <c r="D700" t="inlineStr">
        <is>
          <t>SÖDERMANLANDS LÄN</t>
        </is>
      </c>
      <c r="E700" t="inlineStr">
        <is>
          <t>KATRINEHOLM</t>
        </is>
      </c>
      <c r="G700" t="n">
        <v>1</v>
      </c>
      <c r="H700" t="n">
        <v>0</v>
      </c>
      <c r="I700" t="n">
        <v>0</v>
      </c>
      <c r="J700" t="n">
        <v>0</v>
      </c>
      <c r="K700" t="n">
        <v>0</v>
      </c>
      <c r="L700" t="n">
        <v>0</v>
      </c>
      <c r="M700" t="n">
        <v>0</v>
      </c>
      <c r="N700" t="n">
        <v>0</v>
      </c>
      <c r="O700" t="n">
        <v>0</v>
      </c>
      <c r="P700" t="n">
        <v>0</v>
      </c>
      <c r="Q700" t="n">
        <v>0</v>
      </c>
      <c r="R700" s="2" t="inlineStr"/>
    </row>
    <row r="701" ht="15" customHeight="1">
      <c r="A701" t="inlineStr">
        <is>
          <t>A 42020-2022</t>
        </is>
      </c>
      <c r="B701" s="1" t="n">
        <v>44830</v>
      </c>
      <c r="C701" s="1" t="n">
        <v>45825</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42111-2022</t>
        </is>
      </c>
      <c r="B702" s="1" t="n">
        <v>44830</v>
      </c>
      <c r="C702" s="1" t="n">
        <v>45825</v>
      </c>
      <c r="D702" t="inlineStr">
        <is>
          <t>SÖDERMANLANDS LÄN</t>
        </is>
      </c>
      <c r="E702" t="inlineStr">
        <is>
          <t>KATRINEHOLM</t>
        </is>
      </c>
      <c r="G702" t="n">
        <v>2.5</v>
      </c>
      <c r="H702" t="n">
        <v>0</v>
      </c>
      <c r="I702" t="n">
        <v>0</v>
      </c>
      <c r="J702" t="n">
        <v>0</v>
      </c>
      <c r="K702" t="n">
        <v>0</v>
      </c>
      <c r="L702" t="n">
        <v>0</v>
      </c>
      <c r="M702" t="n">
        <v>0</v>
      </c>
      <c r="N702" t="n">
        <v>0</v>
      </c>
      <c r="O702" t="n">
        <v>0</v>
      </c>
      <c r="P702" t="n">
        <v>0</v>
      </c>
      <c r="Q702" t="n">
        <v>0</v>
      </c>
      <c r="R702" s="2" t="inlineStr"/>
    </row>
    <row r="703" ht="15" customHeight="1">
      <c r="A703" t="inlineStr">
        <is>
          <t>A 42015-2022</t>
        </is>
      </c>
      <c r="B703" s="1" t="n">
        <v>44830</v>
      </c>
      <c r="C703" s="1" t="n">
        <v>45825</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42595-2022</t>
        </is>
      </c>
      <c r="B704" s="1" t="n">
        <v>44831</v>
      </c>
      <c r="C704" s="1" t="n">
        <v>45825</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42590-2022</t>
        </is>
      </c>
      <c r="B705" s="1" t="n">
        <v>44831</v>
      </c>
      <c r="C705" s="1" t="n">
        <v>45825</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42735-2022</t>
        </is>
      </c>
      <c r="B706" s="1" t="n">
        <v>44832</v>
      </c>
      <c r="C706" s="1" t="n">
        <v>45825</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43088-2022</t>
        </is>
      </c>
      <c r="B707" s="1" t="n">
        <v>44833</v>
      </c>
      <c r="C707" s="1" t="n">
        <v>45825</v>
      </c>
      <c r="D707" t="inlineStr">
        <is>
          <t>SÖDERMANLANDS LÄN</t>
        </is>
      </c>
      <c r="E707" t="inlineStr">
        <is>
          <t>KATRINEHOLM</t>
        </is>
      </c>
      <c r="G707" t="n">
        <v>6.6</v>
      </c>
      <c r="H707" t="n">
        <v>0</v>
      </c>
      <c r="I707" t="n">
        <v>0</v>
      </c>
      <c r="J707" t="n">
        <v>0</v>
      </c>
      <c r="K707" t="n">
        <v>0</v>
      </c>
      <c r="L707" t="n">
        <v>0</v>
      </c>
      <c r="M707" t="n">
        <v>0</v>
      </c>
      <c r="N707" t="n">
        <v>0</v>
      </c>
      <c r="O707" t="n">
        <v>0</v>
      </c>
      <c r="P707" t="n">
        <v>0</v>
      </c>
      <c r="Q707" t="n">
        <v>0</v>
      </c>
      <c r="R707" s="2" t="inlineStr"/>
    </row>
    <row r="708" ht="15" customHeight="1">
      <c r="A708" t="inlineStr">
        <is>
          <t>A 43967-2022</t>
        </is>
      </c>
      <c r="B708" s="1" t="n">
        <v>44837</v>
      </c>
      <c r="C708" s="1" t="n">
        <v>45825</v>
      </c>
      <c r="D708" t="inlineStr">
        <is>
          <t>SÖDERMANLANDS LÄN</t>
        </is>
      </c>
      <c r="E708" t="inlineStr">
        <is>
          <t>KATRINEHOLM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43964-2022</t>
        </is>
      </c>
      <c r="B709" s="1" t="n">
        <v>44837</v>
      </c>
      <c r="C709" s="1" t="n">
        <v>45825</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43837-2022</t>
        </is>
      </c>
      <c r="B710" s="1" t="n">
        <v>44838</v>
      </c>
      <c r="C710" s="1" t="n">
        <v>45825</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44012-2022</t>
        </is>
      </c>
      <c r="B711" s="1" t="n">
        <v>44838</v>
      </c>
      <c r="C711" s="1" t="n">
        <v>45825</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44138-2022</t>
        </is>
      </c>
      <c r="B712" s="1" t="n">
        <v>44839</v>
      </c>
      <c r="C712" s="1" t="n">
        <v>45825</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44989-2022</t>
        </is>
      </c>
      <c r="B713" s="1" t="n">
        <v>44840</v>
      </c>
      <c r="C713" s="1" t="n">
        <v>45825</v>
      </c>
      <c r="D713" t="inlineStr">
        <is>
          <t>SÖDERMANLANDS LÄN</t>
        </is>
      </c>
      <c r="E713" t="inlineStr">
        <is>
          <t>KATRINEHOLM</t>
        </is>
      </c>
      <c r="G713" t="n">
        <v>6</v>
      </c>
      <c r="H713" t="n">
        <v>0</v>
      </c>
      <c r="I713" t="n">
        <v>0</v>
      </c>
      <c r="J713" t="n">
        <v>0</v>
      </c>
      <c r="K713" t="n">
        <v>0</v>
      </c>
      <c r="L713" t="n">
        <v>0</v>
      </c>
      <c r="M713" t="n">
        <v>0</v>
      </c>
      <c r="N713" t="n">
        <v>0</v>
      </c>
      <c r="O713" t="n">
        <v>0</v>
      </c>
      <c r="P713" t="n">
        <v>0</v>
      </c>
      <c r="Q713" t="n">
        <v>0</v>
      </c>
      <c r="R713" s="2" t="inlineStr"/>
    </row>
    <row r="714" ht="15" customHeight="1">
      <c r="A714" t="inlineStr">
        <is>
          <t>A 44915-2022</t>
        </is>
      </c>
      <c r="B714" s="1" t="n">
        <v>44840</v>
      </c>
      <c r="C714" s="1" t="n">
        <v>45825</v>
      </c>
      <c r="D714" t="inlineStr">
        <is>
          <t>SÖDERMANLANDS LÄN</t>
        </is>
      </c>
      <c r="E714" t="inlineStr">
        <is>
          <t>KATRINEHOLM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45038-2022</t>
        </is>
      </c>
      <c r="B715" s="1" t="n">
        <v>44840</v>
      </c>
      <c r="C715" s="1" t="n">
        <v>45825</v>
      </c>
      <c r="D715" t="inlineStr">
        <is>
          <t>SÖDERMANLANDS LÄN</t>
        </is>
      </c>
      <c r="E715" t="inlineStr">
        <is>
          <t>KATRINEHOLM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45376-2022</t>
        </is>
      </c>
      <c r="B716" s="1" t="n">
        <v>44844</v>
      </c>
      <c r="C716" s="1" t="n">
        <v>45825</v>
      </c>
      <c r="D716" t="inlineStr">
        <is>
          <t>SÖDERMANLANDS LÄN</t>
        </is>
      </c>
      <c r="E716" t="inlineStr">
        <is>
          <t>KATRINEHOLM</t>
        </is>
      </c>
      <c r="G716" t="n">
        <v>4.7</v>
      </c>
      <c r="H716" t="n">
        <v>0</v>
      </c>
      <c r="I716" t="n">
        <v>0</v>
      </c>
      <c r="J716" t="n">
        <v>0</v>
      </c>
      <c r="K716" t="n">
        <v>0</v>
      </c>
      <c r="L716" t="n">
        <v>0</v>
      </c>
      <c r="M716" t="n">
        <v>0</v>
      </c>
      <c r="N716" t="n">
        <v>0</v>
      </c>
      <c r="O716" t="n">
        <v>0</v>
      </c>
      <c r="P716" t="n">
        <v>0</v>
      </c>
      <c r="Q716" t="n">
        <v>0</v>
      </c>
      <c r="R716" s="2" t="inlineStr"/>
    </row>
    <row r="717" ht="15" customHeight="1">
      <c r="A717" t="inlineStr">
        <is>
          <t>A 45222-2022</t>
        </is>
      </c>
      <c r="B717" s="1" t="n">
        <v>44844</v>
      </c>
      <c r="C717" s="1" t="n">
        <v>45825</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45274-2022</t>
        </is>
      </c>
      <c r="B718" s="1" t="n">
        <v>44844</v>
      </c>
      <c r="C718" s="1" t="n">
        <v>45825</v>
      </c>
      <c r="D718" t="inlineStr">
        <is>
          <t>SÖDERMANLANDS LÄN</t>
        </is>
      </c>
      <c r="E718" t="inlineStr">
        <is>
          <t>KATRINEHOLM</t>
        </is>
      </c>
      <c r="G718" t="n">
        <v>0.4</v>
      </c>
      <c r="H718" t="n">
        <v>0</v>
      </c>
      <c r="I718" t="n">
        <v>0</v>
      </c>
      <c r="J718" t="n">
        <v>0</v>
      </c>
      <c r="K718" t="n">
        <v>0</v>
      </c>
      <c r="L718" t="n">
        <v>0</v>
      </c>
      <c r="M718" t="n">
        <v>0</v>
      </c>
      <c r="N718" t="n">
        <v>0</v>
      </c>
      <c r="O718" t="n">
        <v>0</v>
      </c>
      <c r="P718" t="n">
        <v>0</v>
      </c>
      <c r="Q718" t="n">
        <v>0</v>
      </c>
      <c r="R718" s="2" t="inlineStr"/>
    </row>
    <row r="719" ht="15" customHeight="1">
      <c r="A719" t="inlineStr">
        <is>
          <t>A 45793-2022</t>
        </is>
      </c>
      <c r="B719" s="1" t="n">
        <v>44844</v>
      </c>
      <c r="C719" s="1" t="n">
        <v>45825</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45878-2022</t>
        </is>
      </c>
      <c r="B720" s="1" t="n">
        <v>44844</v>
      </c>
      <c r="C720" s="1" t="n">
        <v>45825</v>
      </c>
      <c r="D720" t="inlineStr">
        <is>
          <t>SÖDERMANLANDS LÄN</t>
        </is>
      </c>
      <c r="E720" t="inlineStr">
        <is>
          <t>KATRINEHOLM</t>
        </is>
      </c>
      <c r="G720" t="n">
        <v>22.4</v>
      </c>
      <c r="H720" t="n">
        <v>0</v>
      </c>
      <c r="I720" t="n">
        <v>0</v>
      </c>
      <c r="J720" t="n">
        <v>0</v>
      </c>
      <c r="K720" t="n">
        <v>0</v>
      </c>
      <c r="L720" t="n">
        <v>0</v>
      </c>
      <c r="M720" t="n">
        <v>0</v>
      </c>
      <c r="N720" t="n">
        <v>0</v>
      </c>
      <c r="O720" t="n">
        <v>0</v>
      </c>
      <c r="P720" t="n">
        <v>0</v>
      </c>
      <c r="Q720" t="n">
        <v>0</v>
      </c>
      <c r="R720" s="2" t="inlineStr"/>
    </row>
    <row r="721" ht="15" customHeight="1">
      <c r="A721" t="inlineStr">
        <is>
          <t>A 46487-2022</t>
        </is>
      </c>
      <c r="B721" s="1" t="n">
        <v>44847</v>
      </c>
      <c r="C721" s="1" t="n">
        <v>45825</v>
      </c>
      <c r="D721" t="inlineStr">
        <is>
          <t>SÖDERMANLANDS LÄN</t>
        </is>
      </c>
      <c r="E721" t="inlineStr">
        <is>
          <t>KATRINEHOLM</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46569-2022</t>
        </is>
      </c>
      <c r="B722" s="1" t="n">
        <v>44847</v>
      </c>
      <c r="C722" s="1" t="n">
        <v>45825</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46412-2022</t>
        </is>
      </c>
      <c r="B723" s="1" t="n">
        <v>44848</v>
      </c>
      <c r="C723" s="1" t="n">
        <v>45825</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46899-2022</t>
        </is>
      </c>
      <c r="B724" s="1" t="n">
        <v>44848</v>
      </c>
      <c r="C724" s="1" t="n">
        <v>45825</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46862-2022</t>
        </is>
      </c>
      <c r="B725" s="1" t="n">
        <v>44851</v>
      </c>
      <c r="C725" s="1" t="n">
        <v>45825</v>
      </c>
      <c r="D725" t="inlineStr">
        <is>
          <t>SÖDERMANLANDS LÄN</t>
        </is>
      </c>
      <c r="E725" t="inlineStr">
        <is>
          <t>KATRINEHOLM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46867-2022</t>
        </is>
      </c>
      <c r="B726" s="1" t="n">
        <v>44851</v>
      </c>
      <c r="C726" s="1" t="n">
        <v>45825</v>
      </c>
      <c r="D726" t="inlineStr">
        <is>
          <t>SÖDERMANLANDS LÄN</t>
        </is>
      </c>
      <c r="E726" t="inlineStr">
        <is>
          <t>KATRINEHOLM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45825</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47456-2022</t>
        </is>
      </c>
      <c r="B728" s="1" t="n">
        <v>44852</v>
      </c>
      <c r="C728" s="1" t="n">
        <v>45825</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47331-2022</t>
        </is>
      </c>
      <c r="B729" s="1" t="n">
        <v>44853</v>
      </c>
      <c r="C729" s="1" t="n">
        <v>45825</v>
      </c>
      <c r="D729" t="inlineStr">
        <is>
          <t>SÖDERMANLANDS LÄN</t>
        </is>
      </c>
      <c r="E729" t="inlineStr">
        <is>
          <t>KATRINEHOLM</t>
        </is>
      </c>
      <c r="G729" t="n">
        <v>4.6</v>
      </c>
      <c r="H729" t="n">
        <v>0</v>
      </c>
      <c r="I729" t="n">
        <v>0</v>
      </c>
      <c r="J729" t="n">
        <v>0</v>
      </c>
      <c r="K729" t="n">
        <v>0</v>
      </c>
      <c r="L729" t="n">
        <v>0</v>
      </c>
      <c r="M729" t="n">
        <v>0</v>
      </c>
      <c r="N729" t="n">
        <v>0</v>
      </c>
      <c r="O729" t="n">
        <v>0</v>
      </c>
      <c r="P729" t="n">
        <v>0</v>
      </c>
      <c r="Q729" t="n">
        <v>0</v>
      </c>
      <c r="R729" s="2" t="inlineStr"/>
    </row>
    <row r="730" ht="15" customHeight="1">
      <c r="A730" t="inlineStr">
        <is>
          <t>A 47472-2022</t>
        </is>
      </c>
      <c r="B730" s="1" t="n">
        <v>44853</v>
      </c>
      <c r="C730" s="1" t="n">
        <v>45825</v>
      </c>
      <c r="D730" t="inlineStr">
        <is>
          <t>SÖDERMANLANDS LÄN</t>
        </is>
      </c>
      <c r="E730" t="inlineStr">
        <is>
          <t>KATRINEHOLM</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48018-2022</t>
        </is>
      </c>
      <c r="B731" s="1" t="n">
        <v>44853</v>
      </c>
      <c r="C731" s="1" t="n">
        <v>45825</v>
      </c>
      <c r="D731" t="inlineStr">
        <is>
          <t>SÖDERMANLANDS LÄN</t>
        </is>
      </c>
      <c r="E731" t="inlineStr">
        <is>
          <t>KATRINEHOLM</t>
        </is>
      </c>
      <c r="G731" t="n">
        <v>15.1</v>
      </c>
      <c r="H731" t="n">
        <v>0</v>
      </c>
      <c r="I731" t="n">
        <v>0</v>
      </c>
      <c r="J731" t="n">
        <v>0</v>
      </c>
      <c r="K731" t="n">
        <v>0</v>
      </c>
      <c r="L731" t="n">
        <v>0</v>
      </c>
      <c r="M731" t="n">
        <v>0</v>
      </c>
      <c r="N731" t="n">
        <v>0</v>
      </c>
      <c r="O731" t="n">
        <v>0</v>
      </c>
      <c r="P731" t="n">
        <v>0</v>
      </c>
      <c r="Q731" t="n">
        <v>0</v>
      </c>
      <c r="R731" s="2" t="inlineStr"/>
    </row>
    <row r="732" ht="15" customHeight="1">
      <c r="A732" t="inlineStr">
        <is>
          <t>A 48160-2022</t>
        </is>
      </c>
      <c r="B732" s="1" t="n">
        <v>44853</v>
      </c>
      <c r="C732" s="1" t="n">
        <v>45825</v>
      </c>
      <c r="D732" t="inlineStr">
        <is>
          <t>SÖDERMANLANDS LÄN</t>
        </is>
      </c>
      <c r="E732" t="inlineStr">
        <is>
          <t>KATRINEHOLM</t>
        </is>
      </c>
      <c r="F732" t="inlineStr">
        <is>
          <t>Övriga statliga verk och myndigheter</t>
        </is>
      </c>
      <c r="G732" t="n">
        <v>2.2</v>
      </c>
      <c r="H732" t="n">
        <v>0</v>
      </c>
      <c r="I732" t="n">
        <v>0</v>
      </c>
      <c r="J732" t="n">
        <v>0</v>
      </c>
      <c r="K732" t="n">
        <v>0</v>
      </c>
      <c r="L732" t="n">
        <v>0</v>
      </c>
      <c r="M732" t="n">
        <v>0</v>
      </c>
      <c r="N732" t="n">
        <v>0</v>
      </c>
      <c r="O732" t="n">
        <v>0</v>
      </c>
      <c r="P732" t="n">
        <v>0</v>
      </c>
      <c r="Q732" t="n">
        <v>0</v>
      </c>
      <c r="R732" s="2" t="inlineStr"/>
    </row>
    <row r="733" ht="15" customHeight="1">
      <c r="A733" t="inlineStr">
        <is>
          <t>A 48173-2022</t>
        </is>
      </c>
      <c r="B733" s="1" t="n">
        <v>44853</v>
      </c>
      <c r="C733" s="1" t="n">
        <v>45825</v>
      </c>
      <c r="D733" t="inlineStr">
        <is>
          <t>SÖDERMANLANDS LÄN</t>
        </is>
      </c>
      <c r="E733" t="inlineStr">
        <is>
          <t>KATRINEHOLM</t>
        </is>
      </c>
      <c r="F733" t="inlineStr">
        <is>
          <t>Övriga statliga verk och myndigheter</t>
        </is>
      </c>
      <c r="G733" t="n">
        <v>3.2</v>
      </c>
      <c r="H733" t="n">
        <v>0</v>
      </c>
      <c r="I733" t="n">
        <v>0</v>
      </c>
      <c r="J733" t="n">
        <v>0</v>
      </c>
      <c r="K733" t="n">
        <v>0</v>
      </c>
      <c r="L733" t="n">
        <v>0</v>
      </c>
      <c r="M733" t="n">
        <v>0</v>
      </c>
      <c r="N733" t="n">
        <v>0</v>
      </c>
      <c r="O733" t="n">
        <v>0</v>
      </c>
      <c r="P733" t="n">
        <v>0</v>
      </c>
      <c r="Q733" t="n">
        <v>0</v>
      </c>
      <c r="R733" s="2" t="inlineStr"/>
    </row>
    <row r="734" ht="15" customHeight="1">
      <c r="A734" t="inlineStr">
        <is>
          <t>A 48166-2022</t>
        </is>
      </c>
      <c r="B734" s="1" t="n">
        <v>44853</v>
      </c>
      <c r="C734" s="1" t="n">
        <v>45825</v>
      </c>
      <c r="D734" t="inlineStr">
        <is>
          <t>SÖDERMANLANDS LÄN</t>
        </is>
      </c>
      <c r="E734" t="inlineStr">
        <is>
          <t>KATRINEHOLM</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48840-2022</t>
        </is>
      </c>
      <c r="B735" s="1" t="n">
        <v>44854</v>
      </c>
      <c r="C735" s="1" t="n">
        <v>45825</v>
      </c>
      <c r="D735" t="inlineStr">
        <is>
          <t>SÖDERMANLANDS LÄN</t>
        </is>
      </c>
      <c r="E735" t="inlineStr">
        <is>
          <t>KATRINEHOLM</t>
        </is>
      </c>
      <c r="G735" t="n">
        <v>6.2</v>
      </c>
      <c r="H735" t="n">
        <v>0</v>
      </c>
      <c r="I735" t="n">
        <v>0</v>
      </c>
      <c r="J735" t="n">
        <v>0</v>
      </c>
      <c r="K735" t="n">
        <v>0</v>
      </c>
      <c r="L735" t="n">
        <v>0</v>
      </c>
      <c r="M735" t="n">
        <v>0</v>
      </c>
      <c r="N735" t="n">
        <v>0</v>
      </c>
      <c r="O735" t="n">
        <v>0</v>
      </c>
      <c r="P735" t="n">
        <v>0</v>
      </c>
      <c r="Q735" t="n">
        <v>0</v>
      </c>
      <c r="R735" s="2" t="inlineStr"/>
    </row>
    <row r="736" ht="15" customHeight="1">
      <c r="A736" t="inlineStr">
        <is>
          <t>A 48846-2022</t>
        </is>
      </c>
      <c r="B736" s="1" t="n">
        <v>44854</v>
      </c>
      <c r="C736" s="1" t="n">
        <v>45825</v>
      </c>
      <c r="D736" t="inlineStr">
        <is>
          <t>SÖDERMANLANDS LÄN</t>
        </is>
      </c>
      <c r="E736" t="inlineStr">
        <is>
          <t>KATRINEHOLM</t>
        </is>
      </c>
      <c r="G736" t="n">
        <v>3.2</v>
      </c>
      <c r="H736" t="n">
        <v>0</v>
      </c>
      <c r="I736" t="n">
        <v>0</v>
      </c>
      <c r="J736" t="n">
        <v>0</v>
      </c>
      <c r="K736" t="n">
        <v>0</v>
      </c>
      <c r="L736" t="n">
        <v>0</v>
      </c>
      <c r="M736" t="n">
        <v>0</v>
      </c>
      <c r="N736" t="n">
        <v>0</v>
      </c>
      <c r="O736" t="n">
        <v>0</v>
      </c>
      <c r="P736" t="n">
        <v>0</v>
      </c>
      <c r="Q736" t="n">
        <v>0</v>
      </c>
      <c r="R736" s="2" t="inlineStr"/>
    </row>
    <row r="737" ht="15" customHeight="1">
      <c r="A737" t="inlineStr">
        <is>
          <t>A 48028-2022</t>
        </is>
      </c>
      <c r="B737" s="1" t="n">
        <v>44855</v>
      </c>
      <c r="C737" s="1" t="n">
        <v>45825</v>
      </c>
      <c r="D737" t="inlineStr">
        <is>
          <t>SÖDERMANLANDS LÄN</t>
        </is>
      </c>
      <c r="E737" t="inlineStr">
        <is>
          <t>KATRINEHOLM</t>
        </is>
      </c>
      <c r="F737" t="inlineStr">
        <is>
          <t>Allmännings- och besparingsskogar</t>
        </is>
      </c>
      <c r="G737" t="n">
        <v>1</v>
      </c>
      <c r="H737" t="n">
        <v>0</v>
      </c>
      <c r="I737" t="n">
        <v>0</v>
      </c>
      <c r="J737" t="n">
        <v>0</v>
      </c>
      <c r="K737" t="n">
        <v>0</v>
      </c>
      <c r="L737" t="n">
        <v>0</v>
      </c>
      <c r="M737" t="n">
        <v>0</v>
      </c>
      <c r="N737" t="n">
        <v>0</v>
      </c>
      <c r="O737" t="n">
        <v>0</v>
      </c>
      <c r="P737" t="n">
        <v>0</v>
      </c>
      <c r="Q737" t="n">
        <v>0</v>
      </c>
      <c r="R737" s="2" t="inlineStr"/>
    </row>
    <row r="738" ht="15" customHeight="1">
      <c r="A738" t="inlineStr">
        <is>
          <t>A 48030-2022</t>
        </is>
      </c>
      <c r="B738" s="1" t="n">
        <v>44855</v>
      </c>
      <c r="C738" s="1" t="n">
        <v>45825</v>
      </c>
      <c r="D738" t="inlineStr">
        <is>
          <t>SÖDERMANLANDS LÄN</t>
        </is>
      </c>
      <c r="E738" t="inlineStr">
        <is>
          <t>KATRINEHOLM</t>
        </is>
      </c>
      <c r="F738" t="inlineStr">
        <is>
          <t>Allmännings- och besparingsskogar</t>
        </is>
      </c>
      <c r="G738" t="n">
        <v>1.5</v>
      </c>
      <c r="H738" t="n">
        <v>0</v>
      </c>
      <c r="I738" t="n">
        <v>0</v>
      </c>
      <c r="J738" t="n">
        <v>0</v>
      </c>
      <c r="K738" t="n">
        <v>0</v>
      </c>
      <c r="L738" t="n">
        <v>0</v>
      </c>
      <c r="M738" t="n">
        <v>0</v>
      </c>
      <c r="N738" t="n">
        <v>0</v>
      </c>
      <c r="O738" t="n">
        <v>0</v>
      </c>
      <c r="P738" t="n">
        <v>0</v>
      </c>
      <c r="Q738" t="n">
        <v>0</v>
      </c>
      <c r="R738" s="2" t="inlineStr"/>
    </row>
    <row r="739" ht="15" customHeight="1">
      <c r="A739" t="inlineStr">
        <is>
          <t>A 48398-2022</t>
        </is>
      </c>
      <c r="B739" s="1" t="n">
        <v>44858</v>
      </c>
      <c r="C739" s="1" t="n">
        <v>45825</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48253-2022</t>
        </is>
      </c>
      <c r="B740" s="1" t="n">
        <v>44858</v>
      </c>
      <c r="C740" s="1" t="n">
        <v>45825</v>
      </c>
      <c r="D740" t="inlineStr">
        <is>
          <t>SÖDERMANLANDS LÄN</t>
        </is>
      </c>
      <c r="E740" t="inlineStr">
        <is>
          <t>KATRINEHOLM</t>
        </is>
      </c>
      <c r="G740" t="n">
        <v>4.7</v>
      </c>
      <c r="H740" t="n">
        <v>0</v>
      </c>
      <c r="I740" t="n">
        <v>0</v>
      </c>
      <c r="J740" t="n">
        <v>0</v>
      </c>
      <c r="K740" t="n">
        <v>0</v>
      </c>
      <c r="L740" t="n">
        <v>0</v>
      </c>
      <c r="M740" t="n">
        <v>0</v>
      </c>
      <c r="N740" t="n">
        <v>0</v>
      </c>
      <c r="O740" t="n">
        <v>0</v>
      </c>
      <c r="P740" t="n">
        <v>0</v>
      </c>
      <c r="Q740" t="n">
        <v>0</v>
      </c>
      <c r="R740" s="2" t="inlineStr"/>
    </row>
    <row r="741" ht="15" customHeight="1">
      <c r="A741" t="inlineStr">
        <is>
          <t>A 48259-2022</t>
        </is>
      </c>
      <c r="B741" s="1" t="n">
        <v>44858</v>
      </c>
      <c r="C741" s="1" t="n">
        <v>45825</v>
      </c>
      <c r="D741" t="inlineStr">
        <is>
          <t>SÖDERMANLANDS LÄN</t>
        </is>
      </c>
      <c r="E741" t="inlineStr">
        <is>
          <t>KATRINEHOLM</t>
        </is>
      </c>
      <c r="G741" t="n">
        <v>3.5</v>
      </c>
      <c r="H741" t="n">
        <v>0</v>
      </c>
      <c r="I741" t="n">
        <v>0</v>
      </c>
      <c r="J741" t="n">
        <v>0</v>
      </c>
      <c r="K741" t="n">
        <v>0</v>
      </c>
      <c r="L741" t="n">
        <v>0</v>
      </c>
      <c r="M741" t="n">
        <v>0</v>
      </c>
      <c r="N741" t="n">
        <v>0</v>
      </c>
      <c r="O741" t="n">
        <v>0</v>
      </c>
      <c r="P741" t="n">
        <v>0</v>
      </c>
      <c r="Q741" t="n">
        <v>0</v>
      </c>
      <c r="R741" s="2" t="inlineStr"/>
    </row>
    <row r="742" ht="15" customHeight="1">
      <c r="A742" t="inlineStr">
        <is>
          <t>A 48685-2022</t>
        </is>
      </c>
      <c r="B742" s="1" t="n">
        <v>44859</v>
      </c>
      <c r="C742" s="1" t="n">
        <v>45825</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48877-2022</t>
        </is>
      </c>
      <c r="B743" s="1" t="n">
        <v>44859</v>
      </c>
      <c r="C743" s="1" t="n">
        <v>45825</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48682-2022</t>
        </is>
      </c>
      <c r="B744" s="1" t="n">
        <v>44859</v>
      </c>
      <c r="C744" s="1" t="n">
        <v>45825</v>
      </c>
      <c r="D744" t="inlineStr">
        <is>
          <t>SÖDERMANLANDS LÄN</t>
        </is>
      </c>
      <c r="E744" t="inlineStr">
        <is>
          <t>KATRINEHOLM</t>
        </is>
      </c>
      <c r="G744" t="n">
        <v>2</v>
      </c>
      <c r="H744" t="n">
        <v>0</v>
      </c>
      <c r="I744" t="n">
        <v>0</v>
      </c>
      <c r="J744" t="n">
        <v>0</v>
      </c>
      <c r="K744" t="n">
        <v>0</v>
      </c>
      <c r="L744" t="n">
        <v>0</v>
      </c>
      <c r="M744" t="n">
        <v>0</v>
      </c>
      <c r="N744" t="n">
        <v>0</v>
      </c>
      <c r="O744" t="n">
        <v>0</v>
      </c>
      <c r="P744" t="n">
        <v>0</v>
      </c>
      <c r="Q744" t="n">
        <v>0</v>
      </c>
      <c r="R744" s="2" t="inlineStr"/>
    </row>
    <row r="745" ht="15" customHeight="1">
      <c r="A745" t="inlineStr">
        <is>
          <t>A 50032-2022</t>
        </is>
      </c>
      <c r="B745" s="1" t="n">
        <v>44860</v>
      </c>
      <c r="C745" s="1" t="n">
        <v>45825</v>
      </c>
      <c r="D745" t="inlineStr">
        <is>
          <t>SÖDERMANLANDS LÄN</t>
        </is>
      </c>
      <c r="E745" t="inlineStr">
        <is>
          <t>KATRINEHOLM</t>
        </is>
      </c>
      <c r="G745" t="n">
        <v>7.5</v>
      </c>
      <c r="H745" t="n">
        <v>0</v>
      </c>
      <c r="I745" t="n">
        <v>0</v>
      </c>
      <c r="J745" t="n">
        <v>0</v>
      </c>
      <c r="K745" t="n">
        <v>0</v>
      </c>
      <c r="L745" t="n">
        <v>0</v>
      </c>
      <c r="M745" t="n">
        <v>0</v>
      </c>
      <c r="N745" t="n">
        <v>0</v>
      </c>
      <c r="O745" t="n">
        <v>0</v>
      </c>
      <c r="P745" t="n">
        <v>0</v>
      </c>
      <c r="Q745" t="n">
        <v>0</v>
      </c>
      <c r="R745" s="2" t="inlineStr"/>
    </row>
    <row r="746" ht="15" customHeight="1">
      <c r="A746" t="inlineStr">
        <is>
          <t>A 49700-2022</t>
        </is>
      </c>
      <c r="B746" s="1" t="n">
        <v>44862</v>
      </c>
      <c r="C746" s="1" t="n">
        <v>45825</v>
      </c>
      <c r="D746" t="inlineStr">
        <is>
          <t>SÖDERMANLANDS LÄN</t>
        </is>
      </c>
      <c r="E746" t="inlineStr">
        <is>
          <t>KATRINEHOLM</t>
        </is>
      </c>
      <c r="G746" t="n">
        <v>19.5</v>
      </c>
      <c r="H746" t="n">
        <v>0</v>
      </c>
      <c r="I746" t="n">
        <v>0</v>
      </c>
      <c r="J746" t="n">
        <v>0</v>
      </c>
      <c r="K746" t="n">
        <v>0</v>
      </c>
      <c r="L746" t="n">
        <v>0</v>
      </c>
      <c r="M746" t="n">
        <v>0</v>
      </c>
      <c r="N746" t="n">
        <v>0</v>
      </c>
      <c r="O746" t="n">
        <v>0</v>
      </c>
      <c r="P746" t="n">
        <v>0</v>
      </c>
      <c r="Q746" t="n">
        <v>0</v>
      </c>
      <c r="R746" s="2" t="inlineStr"/>
    </row>
    <row r="747" ht="15" customHeight="1">
      <c r="A747" t="inlineStr">
        <is>
          <t>A 49800-2022</t>
        </is>
      </c>
      <c r="B747" s="1" t="n">
        <v>44862</v>
      </c>
      <c r="C747" s="1" t="n">
        <v>45825</v>
      </c>
      <c r="D747" t="inlineStr">
        <is>
          <t>SÖDERMANLANDS LÄN</t>
        </is>
      </c>
      <c r="E747" t="inlineStr">
        <is>
          <t>KATRINEHOLM</t>
        </is>
      </c>
      <c r="F747" t="inlineStr">
        <is>
          <t>Kyrkan</t>
        </is>
      </c>
      <c r="G747" t="n">
        <v>4.2</v>
      </c>
      <c r="H747" t="n">
        <v>0</v>
      </c>
      <c r="I747" t="n">
        <v>0</v>
      </c>
      <c r="J747" t="n">
        <v>0</v>
      </c>
      <c r="K747" t="n">
        <v>0</v>
      </c>
      <c r="L747" t="n">
        <v>0</v>
      </c>
      <c r="M747" t="n">
        <v>0</v>
      </c>
      <c r="N747" t="n">
        <v>0</v>
      </c>
      <c r="O747" t="n">
        <v>0</v>
      </c>
      <c r="P747" t="n">
        <v>0</v>
      </c>
      <c r="Q747" t="n">
        <v>0</v>
      </c>
      <c r="R747" s="2" t="inlineStr"/>
    </row>
    <row r="748" ht="15" customHeight="1">
      <c r="A748" t="inlineStr">
        <is>
          <t>A 50840-2022</t>
        </is>
      </c>
      <c r="B748" s="1" t="n">
        <v>44862</v>
      </c>
      <c r="C748" s="1" t="n">
        <v>45825</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50061-2022</t>
        </is>
      </c>
      <c r="B749" s="1" t="n">
        <v>44865</v>
      </c>
      <c r="C749" s="1" t="n">
        <v>45825</v>
      </c>
      <c r="D749" t="inlineStr">
        <is>
          <t>SÖDERMANLANDS LÄN</t>
        </is>
      </c>
      <c r="E749" t="inlineStr">
        <is>
          <t>KATRINEHOLM</t>
        </is>
      </c>
      <c r="G749" t="n">
        <v>4.9</v>
      </c>
      <c r="H749" t="n">
        <v>0</v>
      </c>
      <c r="I749" t="n">
        <v>0</v>
      </c>
      <c r="J749" t="n">
        <v>0</v>
      </c>
      <c r="K749" t="n">
        <v>0</v>
      </c>
      <c r="L749" t="n">
        <v>0</v>
      </c>
      <c r="M749" t="n">
        <v>0</v>
      </c>
      <c r="N749" t="n">
        <v>0</v>
      </c>
      <c r="O749" t="n">
        <v>0</v>
      </c>
      <c r="P749" t="n">
        <v>0</v>
      </c>
      <c r="Q749" t="n">
        <v>0</v>
      </c>
      <c r="R749" s="2" t="inlineStr"/>
    </row>
    <row r="750" ht="15" customHeight="1">
      <c r="A750" t="inlineStr">
        <is>
          <t>A 50079-2022</t>
        </is>
      </c>
      <c r="B750" s="1" t="n">
        <v>44865</v>
      </c>
      <c r="C750" s="1" t="n">
        <v>45825</v>
      </c>
      <c r="D750" t="inlineStr">
        <is>
          <t>SÖDERMANLANDS LÄN</t>
        </is>
      </c>
      <c r="E750" t="inlineStr">
        <is>
          <t>KATRINEHOLM</t>
        </is>
      </c>
      <c r="F750" t="inlineStr">
        <is>
          <t>Kyrkan</t>
        </is>
      </c>
      <c r="G750" t="n">
        <v>8.1</v>
      </c>
      <c r="H750" t="n">
        <v>0</v>
      </c>
      <c r="I750" t="n">
        <v>0</v>
      </c>
      <c r="J750" t="n">
        <v>0</v>
      </c>
      <c r="K750" t="n">
        <v>0</v>
      </c>
      <c r="L750" t="n">
        <v>0</v>
      </c>
      <c r="M750" t="n">
        <v>0</v>
      </c>
      <c r="N750" t="n">
        <v>0</v>
      </c>
      <c r="O750" t="n">
        <v>0</v>
      </c>
      <c r="P750" t="n">
        <v>0</v>
      </c>
      <c r="Q750" t="n">
        <v>0</v>
      </c>
      <c r="R750" s="2" t="inlineStr"/>
    </row>
    <row r="751" ht="15" customHeight="1">
      <c r="A751" t="inlineStr">
        <is>
          <t>A 51186-2022</t>
        </is>
      </c>
      <c r="B751" s="1" t="n">
        <v>44865</v>
      </c>
      <c r="C751" s="1" t="n">
        <v>45825</v>
      </c>
      <c r="D751" t="inlineStr">
        <is>
          <t>SÖDERMANLANDS LÄN</t>
        </is>
      </c>
      <c r="E751" t="inlineStr">
        <is>
          <t>KATRINEHOLM</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50625-2022</t>
        </is>
      </c>
      <c r="B752" s="1" t="n">
        <v>44866</v>
      </c>
      <c r="C752" s="1" t="n">
        <v>45825</v>
      </c>
      <c r="D752" t="inlineStr">
        <is>
          <t>SÖDERMANLANDS LÄN</t>
        </is>
      </c>
      <c r="E752" t="inlineStr">
        <is>
          <t>KATRINEHOLM</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51602-2022</t>
        </is>
      </c>
      <c r="B753" s="1" t="n">
        <v>44871</v>
      </c>
      <c r="C753" s="1" t="n">
        <v>45825</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51613-2022</t>
        </is>
      </c>
      <c r="B754" s="1" t="n">
        <v>44871</v>
      </c>
      <c r="C754" s="1" t="n">
        <v>45825</v>
      </c>
      <c r="D754" t="inlineStr">
        <is>
          <t>SÖDERMANLANDS LÄN</t>
        </is>
      </c>
      <c r="E754" t="inlineStr">
        <is>
          <t>KATRINEHOLM</t>
        </is>
      </c>
      <c r="G754" t="n">
        <v>3</v>
      </c>
      <c r="H754" t="n">
        <v>0</v>
      </c>
      <c r="I754" t="n">
        <v>0</v>
      </c>
      <c r="J754" t="n">
        <v>0</v>
      </c>
      <c r="K754" t="n">
        <v>0</v>
      </c>
      <c r="L754" t="n">
        <v>0</v>
      </c>
      <c r="M754" t="n">
        <v>0</v>
      </c>
      <c r="N754" t="n">
        <v>0</v>
      </c>
      <c r="O754" t="n">
        <v>0</v>
      </c>
      <c r="P754" t="n">
        <v>0</v>
      </c>
      <c r="Q754" t="n">
        <v>0</v>
      </c>
      <c r="R754" s="2" t="inlineStr"/>
    </row>
    <row r="755" ht="15" customHeight="1">
      <c r="A755" t="inlineStr">
        <is>
          <t>A 51848-2022</t>
        </is>
      </c>
      <c r="B755" s="1" t="n">
        <v>44872</v>
      </c>
      <c r="C755" s="1" t="n">
        <v>45825</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51885-2022</t>
        </is>
      </c>
      <c r="B756" s="1" t="n">
        <v>44872</v>
      </c>
      <c r="C756" s="1" t="n">
        <v>45825</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51805-2022</t>
        </is>
      </c>
      <c r="B757" s="1" t="n">
        <v>44872</v>
      </c>
      <c r="C757" s="1" t="n">
        <v>45825</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51817-2022</t>
        </is>
      </c>
      <c r="B758" s="1" t="n">
        <v>44872</v>
      </c>
      <c r="C758" s="1" t="n">
        <v>45825</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51835-2022</t>
        </is>
      </c>
      <c r="B759" s="1" t="n">
        <v>44872</v>
      </c>
      <c r="C759" s="1" t="n">
        <v>45825</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51868-2022</t>
        </is>
      </c>
      <c r="B760" s="1" t="n">
        <v>44872</v>
      </c>
      <c r="C760" s="1" t="n">
        <v>45825</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52402-2022</t>
        </is>
      </c>
      <c r="B761" s="1" t="n">
        <v>44874</v>
      </c>
      <c r="C761" s="1" t="n">
        <v>45825</v>
      </c>
      <c r="D761" t="inlineStr">
        <is>
          <t>SÖDERMANLANDS LÄN</t>
        </is>
      </c>
      <c r="E761" t="inlineStr">
        <is>
          <t>KATRINEHOLM</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53750-2022</t>
        </is>
      </c>
      <c r="B762" s="1" t="n">
        <v>44875</v>
      </c>
      <c r="C762" s="1" t="n">
        <v>45825</v>
      </c>
      <c r="D762" t="inlineStr">
        <is>
          <t>SÖDERMANLANDS LÄN</t>
        </is>
      </c>
      <c r="E762" t="inlineStr">
        <is>
          <t>KATRINEHOLM</t>
        </is>
      </c>
      <c r="F762" t="inlineStr">
        <is>
          <t>Övriga Aktiebolag</t>
        </is>
      </c>
      <c r="G762" t="n">
        <v>12.6</v>
      </c>
      <c r="H762" t="n">
        <v>0</v>
      </c>
      <c r="I762" t="n">
        <v>0</v>
      </c>
      <c r="J762" t="n">
        <v>0</v>
      </c>
      <c r="K762" t="n">
        <v>0</v>
      </c>
      <c r="L762" t="n">
        <v>0</v>
      </c>
      <c r="M762" t="n">
        <v>0</v>
      </c>
      <c r="N762" t="n">
        <v>0</v>
      </c>
      <c r="O762" t="n">
        <v>0</v>
      </c>
      <c r="P762" t="n">
        <v>0</v>
      </c>
      <c r="Q762" t="n">
        <v>0</v>
      </c>
      <c r="R762" s="2" t="inlineStr"/>
    </row>
    <row r="763" ht="15" customHeight="1">
      <c r="A763" t="inlineStr">
        <is>
          <t>A 53332-2022</t>
        </is>
      </c>
      <c r="B763" s="1" t="n">
        <v>44879</v>
      </c>
      <c r="C763" s="1" t="n">
        <v>45825</v>
      </c>
      <c r="D763" t="inlineStr">
        <is>
          <t>SÖDERMANLANDS LÄN</t>
        </is>
      </c>
      <c r="E763" t="inlineStr">
        <is>
          <t>KATRINEHOLM</t>
        </is>
      </c>
      <c r="F763" t="inlineStr">
        <is>
          <t>Allmännings- och besparingsskogar</t>
        </is>
      </c>
      <c r="G763" t="n">
        <v>7.2</v>
      </c>
      <c r="H763" t="n">
        <v>0</v>
      </c>
      <c r="I763" t="n">
        <v>0</v>
      </c>
      <c r="J763" t="n">
        <v>0</v>
      </c>
      <c r="K763" t="n">
        <v>0</v>
      </c>
      <c r="L763" t="n">
        <v>0</v>
      </c>
      <c r="M763" t="n">
        <v>0</v>
      </c>
      <c r="N763" t="n">
        <v>0</v>
      </c>
      <c r="O763" t="n">
        <v>0</v>
      </c>
      <c r="P763" t="n">
        <v>0</v>
      </c>
      <c r="Q763" t="n">
        <v>0</v>
      </c>
      <c r="R763" s="2" t="inlineStr"/>
    </row>
    <row r="764" ht="15" customHeight="1">
      <c r="A764" t="inlineStr">
        <is>
          <t>A 55172-2022</t>
        </is>
      </c>
      <c r="B764" s="1" t="n">
        <v>44886</v>
      </c>
      <c r="C764" s="1" t="n">
        <v>45825</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55122-2022</t>
        </is>
      </c>
      <c r="B765" s="1" t="n">
        <v>44886</v>
      </c>
      <c r="C765" s="1" t="n">
        <v>45825</v>
      </c>
      <c r="D765" t="inlineStr">
        <is>
          <t>SÖDERMANLANDS LÄN</t>
        </is>
      </c>
      <c r="E765" t="inlineStr">
        <is>
          <t>KATRINEHOLM</t>
        </is>
      </c>
      <c r="G765" t="n">
        <v>6.5</v>
      </c>
      <c r="H765" t="n">
        <v>0</v>
      </c>
      <c r="I765" t="n">
        <v>0</v>
      </c>
      <c r="J765" t="n">
        <v>0</v>
      </c>
      <c r="K765" t="n">
        <v>0</v>
      </c>
      <c r="L765" t="n">
        <v>0</v>
      </c>
      <c r="M765" t="n">
        <v>0</v>
      </c>
      <c r="N765" t="n">
        <v>0</v>
      </c>
      <c r="O765" t="n">
        <v>0</v>
      </c>
      <c r="P765" t="n">
        <v>0</v>
      </c>
      <c r="Q765" t="n">
        <v>0</v>
      </c>
      <c r="R765" s="2" t="inlineStr"/>
    </row>
    <row r="766" ht="15" customHeight="1">
      <c r="A766" t="inlineStr">
        <is>
          <t>A 55169-2022</t>
        </is>
      </c>
      <c r="B766" s="1" t="n">
        <v>44886</v>
      </c>
      <c r="C766" s="1" t="n">
        <v>45825</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55825-2022</t>
        </is>
      </c>
      <c r="B767" s="1" t="n">
        <v>44886</v>
      </c>
      <c r="C767" s="1" t="n">
        <v>45825</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55296-2022</t>
        </is>
      </c>
      <c r="B768" s="1" t="n">
        <v>44887</v>
      </c>
      <c r="C768" s="1" t="n">
        <v>45825</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55846-2022</t>
        </is>
      </c>
      <c r="B769" s="1" t="n">
        <v>44888</v>
      </c>
      <c r="C769" s="1" t="n">
        <v>45825</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55863-2022</t>
        </is>
      </c>
      <c r="B770" s="1" t="n">
        <v>44888</v>
      </c>
      <c r="C770" s="1" t="n">
        <v>45825</v>
      </c>
      <c r="D770" t="inlineStr">
        <is>
          <t>SÖDERMANLANDS LÄN</t>
        </is>
      </c>
      <c r="E770" t="inlineStr">
        <is>
          <t>KATRINEHOLM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55856-2022</t>
        </is>
      </c>
      <c r="B771" s="1" t="n">
        <v>44888</v>
      </c>
      <c r="C771" s="1" t="n">
        <v>45825</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55865-2022</t>
        </is>
      </c>
      <c r="B772" s="1" t="n">
        <v>44888</v>
      </c>
      <c r="C772" s="1" t="n">
        <v>45825</v>
      </c>
      <c r="D772" t="inlineStr">
        <is>
          <t>SÖDERMANLANDS LÄN</t>
        </is>
      </c>
      <c r="E772" t="inlineStr">
        <is>
          <t>KATRINEHOLM</t>
        </is>
      </c>
      <c r="G772" t="n">
        <v>9.1</v>
      </c>
      <c r="H772" t="n">
        <v>0</v>
      </c>
      <c r="I772" t="n">
        <v>0</v>
      </c>
      <c r="J772" t="n">
        <v>0</v>
      </c>
      <c r="K772" t="n">
        <v>0</v>
      </c>
      <c r="L772" t="n">
        <v>0</v>
      </c>
      <c r="M772" t="n">
        <v>0</v>
      </c>
      <c r="N772" t="n">
        <v>0</v>
      </c>
      <c r="O772" t="n">
        <v>0</v>
      </c>
      <c r="P772" t="n">
        <v>0</v>
      </c>
      <c r="Q772" t="n">
        <v>0</v>
      </c>
      <c r="R772" s="2" t="inlineStr"/>
    </row>
    <row r="773" ht="15" customHeight="1">
      <c r="A773" t="inlineStr">
        <is>
          <t>A 55857-2022</t>
        </is>
      </c>
      <c r="B773" s="1" t="n">
        <v>44888</v>
      </c>
      <c r="C773" s="1" t="n">
        <v>45825</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57548-2022</t>
        </is>
      </c>
      <c r="B774" s="1" t="n">
        <v>44889</v>
      </c>
      <c r="C774" s="1" t="n">
        <v>45825</v>
      </c>
      <c r="D774" t="inlineStr">
        <is>
          <t>SÖDERMANLANDS LÄN</t>
        </is>
      </c>
      <c r="E774" t="inlineStr">
        <is>
          <t>KATRINEHOLM</t>
        </is>
      </c>
      <c r="G774" t="n">
        <v>5.3</v>
      </c>
      <c r="H774" t="n">
        <v>0</v>
      </c>
      <c r="I774" t="n">
        <v>0</v>
      </c>
      <c r="J774" t="n">
        <v>0</v>
      </c>
      <c r="K774" t="n">
        <v>0</v>
      </c>
      <c r="L774" t="n">
        <v>0</v>
      </c>
      <c r="M774" t="n">
        <v>0</v>
      </c>
      <c r="N774" t="n">
        <v>0</v>
      </c>
      <c r="O774" t="n">
        <v>0</v>
      </c>
      <c r="P774" t="n">
        <v>0</v>
      </c>
      <c r="Q774" t="n">
        <v>0</v>
      </c>
      <c r="R774" s="2" t="inlineStr"/>
    </row>
    <row r="775" ht="15" customHeight="1">
      <c r="A775" t="inlineStr">
        <is>
          <t>A 56221-2022</t>
        </is>
      </c>
      <c r="B775" s="1" t="n">
        <v>44890</v>
      </c>
      <c r="C775" s="1" t="n">
        <v>45825</v>
      </c>
      <c r="D775" t="inlineStr">
        <is>
          <t>SÖDERMANLANDS LÄN</t>
        </is>
      </c>
      <c r="E775" t="inlineStr">
        <is>
          <t>KATRINEHOLM</t>
        </is>
      </c>
      <c r="G775" t="n">
        <v>4.6</v>
      </c>
      <c r="H775" t="n">
        <v>0</v>
      </c>
      <c r="I775" t="n">
        <v>0</v>
      </c>
      <c r="J775" t="n">
        <v>0</v>
      </c>
      <c r="K775" t="n">
        <v>0</v>
      </c>
      <c r="L775" t="n">
        <v>0</v>
      </c>
      <c r="M775" t="n">
        <v>0</v>
      </c>
      <c r="N775" t="n">
        <v>0</v>
      </c>
      <c r="O775" t="n">
        <v>0</v>
      </c>
      <c r="P775" t="n">
        <v>0</v>
      </c>
      <c r="Q775" t="n">
        <v>0</v>
      </c>
      <c r="R775" s="2" t="inlineStr"/>
    </row>
    <row r="776" ht="15" customHeight="1">
      <c r="A776" t="inlineStr">
        <is>
          <t>A 56216-2022</t>
        </is>
      </c>
      <c r="B776" s="1" t="n">
        <v>44890</v>
      </c>
      <c r="C776" s="1" t="n">
        <v>45825</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56220-2022</t>
        </is>
      </c>
      <c r="B777" s="1" t="n">
        <v>44890</v>
      </c>
      <c r="C777" s="1" t="n">
        <v>45825</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56304-2022</t>
        </is>
      </c>
      <c r="B778" s="1" t="n">
        <v>44890</v>
      </c>
      <c r="C778" s="1" t="n">
        <v>45825</v>
      </c>
      <c r="D778" t="inlineStr">
        <is>
          <t>SÖDERMANLANDS LÄN</t>
        </is>
      </c>
      <c r="E778" t="inlineStr">
        <is>
          <t>KATRINEHOLM</t>
        </is>
      </c>
      <c r="G778" t="n">
        <v>9</v>
      </c>
      <c r="H778" t="n">
        <v>0</v>
      </c>
      <c r="I778" t="n">
        <v>0</v>
      </c>
      <c r="J778" t="n">
        <v>0</v>
      </c>
      <c r="K778" t="n">
        <v>0</v>
      </c>
      <c r="L778" t="n">
        <v>0</v>
      </c>
      <c r="M778" t="n">
        <v>0</v>
      </c>
      <c r="N778" t="n">
        <v>0</v>
      </c>
      <c r="O778" t="n">
        <v>0</v>
      </c>
      <c r="P778" t="n">
        <v>0</v>
      </c>
      <c r="Q778" t="n">
        <v>0</v>
      </c>
      <c r="R778" s="2" t="inlineStr"/>
    </row>
    <row r="779" ht="15" customHeight="1">
      <c r="A779" t="inlineStr">
        <is>
          <t>A 57696-2022</t>
        </is>
      </c>
      <c r="B779" s="1" t="n">
        <v>44890</v>
      </c>
      <c r="C779" s="1" t="n">
        <v>45825</v>
      </c>
      <c r="D779" t="inlineStr">
        <is>
          <t>SÖDERMANLANDS LÄN</t>
        </is>
      </c>
      <c r="E779" t="inlineStr">
        <is>
          <t>KATRINEHOLM</t>
        </is>
      </c>
      <c r="G779" t="n">
        <v>1.6</v>
      </c>
      <c r="H779" t="n">
        <v>0</v>
      </c>
      <c r="I779" t="n">
        <v>0</v>
      </c>
      <c r="J779" t="n">
        <v>0</v>
      </c>
      <c r="K779" t="n">
        <v>0</v>
      </c>
      <c r="L779" t="n">
        <v>0</v>
      </c>
      <c r="M779" t="n">
        <v>0</v>
      </c>
      <c r="N779" t="n">
        <v>0</v>
      </c>
      <c r="O779" t="n">
        <v>0</v>
      </c>
      <c r="P779" t="n">
        <v>0</v>
      </c>
      <c r="Q779" t="n">
        <v>0</v>
      </c>
      <c r="R779" s="2" t="inlineStr"/>
    </row>
    <row r="780" ht="15" customHeight="1">
      <c r="A780" t="inlineStr">
        <is>
          <t>A 57727-2022</t>
        </is>
      </c>
      <c r="B780" s="1" t="n">
        <v>44890</v>
      </c>
      <c r="C780" s="1" t="n">
        <v>45825</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57265-2022</t>
        </is>
      </c>
      <c r="B781" s="1" t="n">
        <v>44895</v>
      </c>
      <c r="C781" s="1" t="n">
        <v>45825</v>
      </c>
      <c r="D781" t="inlineStr">
        <is>
          <t>SÖDERMANLANDS LÄN</t>
        </is>
      </c>
      <c r="E781" t="inlineStr">
        <is>
          <t>KATRINEHOLM</t>
        </is>
      </c>
      <c r="G781" t="n">
        <v>2</v>
      </c>
      <c r="H781" t="n">
        <v>0</v>
      </c>
      <c r="I781" t="n">
        <v>0</v>
      </c>
      <c r="J781" t="n">
        <v>0</v>
      </c>
      <c r="K781" t="n">
        <v>0</v>
      </c>
      <c r="L781" t="n">
        <v>0</v>
      </c>
      <c r="M781" t="n">
        <v>0</v>
      </c>
      <c r="N781" t="n">
        <v>0</v>
      </c>
      <c r="O781" t="n">
        <v>0</v>
      </c>
      <c r="P781" t="n">
        <v>0</v>
      </c>
      <c r="Q781" t="n">
        <v>0</v>
      </c>
      <c r="R781" s="2" t="inlineStr"/>
    </row>
    <row r="782" ht="15" customHeight="1">
      <c r="A782" t="inlineStr">
        <is>
          <t>A 57263-2022</t>
        </is>
      </c>
      <c r="B782" s="1" t="n">
        <v>44895</v>
      </c>
      <c r="C782" s="1" t="n">
        <v>45825</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59386-2022</t>
        </is>
      </c>
      <c r="B783" s="1" t="n">
        <v>44905</v>
      </c>
      <c r="C783" s="1" t="n">
        <v>45825</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59384-2022</t>
        </is>
      </c>
      <c r="B784" s="1" t="n">
        <v>44905</v>
      </c>
      <c r="C784" s="1" t="n">
        <v>45825</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59898-2022</t>
        </is>
      </c>
      <c r="B785" s="1" t="n">
        <v>44908</v>
      </c>
      <c r="C785" s="1" t="n">
        <v>45825</v>
      </c>
      <c r="D785" t="inlineStr">
        <is>
          <t>SÖDERMANLANDS LÄN</t>
        </is>
      </c>
      <c r="E785" t="inlineStr">
        <is>
          <t>KATRINEHOLM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59896-2022</t>
        </is>
      </c>
      <c r="B786" s="1" t="n">
        <v>44908</v>
      </c>
      <c r="C786" s="1" t="n">
        <v>45825</v>
      </c>
      <c r="D786" t="inlineStr">
        <is>
          <t>SÖDERMANLANDS LÄN</t>
        </is>
      </c>
      <c r="E786" t="inlineStr">
        <is>
          <t>KATRINEHOLM</t>
        </is>
      </c>
      <c r="G786" t="n">
        <v>2.4</v>
      </c>
      <c r="H786" t="n">
        <v>0</v>
      </c>
      <c r="I786" t="n">
        <v>0</v>
      </c>
      <c r="J786" t="n">
        <v>0</v>
      </c>
      <c r="K786" t="n">
        <v>0</v>
      </c>
      <c r="L786" t="n">
        <v>0</v>
      </c>
      <c r="M786" t="n">
        <v>0</v>
      </c>
      <c r="N786" t="n">
        <v>0</v>
      </c>
      <c r="O786" t="n">
        <v>0</v>
      </c>
      <c r="P786" t="n">
        <v>0</v>
      </c>
      <c r="Q786" t="n">
        <v>0</v>
      </c>
      <c r="R786" s="2" t="inlineStr"/>
    </row>
    <row r="787" ht="15" customHeight="1">
      <c r="A787" t="inlineStr">
        <is>
          <t>A 60160-2022</t>
        </is>
      </c>
      <c r="B787" s="1" t="n">
        <v>44909</v>
      </c>
      <c r="C787" s="1" t="n">
        <v>45825</v>
      </c>
      <c r="D787" t="inlineStr">
        <is>
          <t>SÖDERMANLANDS LÄN</t>
        </is>
      </c>
      <c r="E787" t="inlineStr">
        <is>
          <t>KATRINEHOLM</t>
        </is>
      </c>
      <c r="F787" t="inlineStr">
        <is>
          <t>Allmännings- och besparingsskogar</t>
        </is>
      </c>
      <c r="G787" t="n">
        <v>2</v>
      </c>
      <c r="H787" t="n">
        <v>0</v>
      </c>
      <c r="I787" t="n">
        <v>0</v>
      </c>
      <c r="J787" t="n">
        <v>0</v>
      </c>
      <c r="K787" t="n">
        <v>0</v>
      </c>
      <c r="L787" t="n">
        <v>0</v>
      </c>
      <c r="M787" t="n">
        <v>0</v>
      </c>
      <c r="N787" t="n">
        <v>0</v>
      </c>
      <c r="O787" t="n">
        <v>0</v>
      </c>
      <c r="P787" t="n">
        <v>0</v>
      </c>
      <c r="Q787" t="n">
        <v>0</v>
      </c>
      <c r="R787" s="2" t="inlineStr"/>
    </row>
    <row r="788" ht="15" customHeight="1">
      <c r="A788" t="inlineStr">
        <is>
          <t>A 61010-2022</t>
        </is>
      </c>
      <c r="B788" s="1" t="n">
        <v>44914</v>
      </c>
      <c r="C788" s="1" t="n">
        <v>45825</v>
      </c>
      <c r="D788" t="inlineStr">
        <is>
          <t>SÖDERMANLANDS LÄN</t>
        </is>
      </c>
      <c r="E788" t="inlineStr">
        <is>
          <t>KATRINEHOLM</t>
        </is>
      </c>
      <c r="G788" t="n">
        <v>1.3</v>
      </c>
      <c r="H788" t="n">
        <v>0</v>
      </c>
      <c r="I788" t="n">
        <v>0</v>
      </c>
      <c r="J788" t="n">
        <v>0</v>
      </c>
      <c r="K788" t="n">
        <v>0</v>
      </c>
      <c r="L788" t="n">
        <v>0</v>
      </c>
      <c r="M788" t="n">
        <v>0</v>
      </c>
      <c r="N788" t="n">
        <v>0</v>
      </c>
      <c r="O788" t="n">
        <v>0</v>
      </c>
      <c r="P788" t="n">
        <v>0</v>
      </c>
      <c r="Q788" t="n">
        <v>0</v>
      </c>
      <c r="R788" s="2" t="inlineStr"/>
    </row>
    <row r="789" ht="15" customHeight="1">
      <c r="A789" t="inlineStr">
        <is>
          <t>A 62140-2022</t>
        </is>
      </c>
      <c r="B789" s="1" t="n">
        <v>44922</v>
      </c>
      <c r="C789" s="1" t="n">
        <v>45825</v>
      </c>
      <c r="D789" t="inlineStr">
        <is>
          <t>SÖDERMANLANDS LÄN</t>
        </is>
      </c>
      <c r="E789" t="inlineStr">
        <is>
          <t>KATRINEHOLM</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62506-2022</t>
        </is>
      </c>
      <c r="B790" s="1" t="n">
        <v>44924</v>
      </c>
      <c r="C790" s="1" t="n">
        <v>45825</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36-2023</t>
        </is>
      </c>
      <c r="B791" s="1" t="n">
        <v>44928</v>
      </c>
      <c r="C791" s="1" t="n">
        <v>45825</v>
      </c>
      <c r="D791" t="inlineStr">
        <is>
          <t>SÖDERMANLANDS LÄN</t>
        </is>
      </c>
      <c r="E791" t="inlineStr">
        <is>
          <t>KATRINEHOLM</t>
        </is>
      </c>
      <c r="G791" t="n">
        <v>3.7</v>
      </c>
      <c r="H791" t="n">
        <v>0</v>
      </c>
      <c r="I791" t="n">
        <v>0</v>
      </c>
      <c r="J791" t="n">
        <v>0</v>
      </c>
      <c r="K791" t="n">
        <v>0</v>
      </c>
      <c r="L791" t="n">
        <v>0</v>
      </c>
      <c r="M791" t="n">
        <v>0</v>
      </c>
      <c r="N791" t="n">
        <v>0</v>
      </c>
      <c r="O791" t="n">
        <v>0</v>
      </c>
      <c r="P791" t="n">
        <v>0</v>
      </c>
      <c r="Q791" t="n">
        <v>0</v>
      </c>
      <c r="R791" s="2" t="inlineStr"/>
    </row>
    <row r="792" ht="15" customHeight="1">
      <c r="A792" t="inlineStr">
        <is>
          <t>A 931-2023</t>
        </is>
      </c>
      <c r="B792" s="1" t="n">
        <v>44932</v>
      </c>
      <c r="C792" s="1" t="n">
        <v>45825</v>
      </c>
      <c r="D792" t="inlineStr">
        <is>
          <t>SÖDERMANLANDS LÄN</t>
        </is>
      </c>
      <c r="E792" t="inlineStr">
        <is>
          <t>KATRINEHOLM</t>
        </is>
      </c>
      <c r="G792" t="n">
        <v>4</v>
      </c>
      <c r="H792" t="n">
        <v>0</v>
      </c>
      <c r="I792" t="n">
        <v>0</v>
      </c>
      <c r="J792" t="n">
        <v>0</v>
      </c>
      <c r="K792" t="n">
        <v>0</v>
      </c>
      <c r="L792" t="n">
        <v>0</v>
      </c>
      <c r="M792" t="n">
        <v>0</v>
      </c>
      <c r="N792" t="n">
        <v>0</v>
      </c>
      <c r="O792" t="n">
        <v>0</v>
      </c>
      <c r="P792" t="n">
        <v>0</v>
      </c>
      <c r="Q792" t="n">
        <v>0</v>
      </c>
      <c r="R792" s="2" t="inlineStr"/>
    </row>
    <row r="793" ht="15" customHeight="1">
      <c r="A793" t="inlineStr">
        <is>
          <t>A 948-2023</t>
        </is>
      </c>
      <c r="B793" s="1" t="n">
        <v>44934</v>
      </c>
      <c r="C793" s="1" t="n">
        <v>45825</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1552-2023</t>
        </is>
      </c>
      <c r="B794" s="1" t="n">
        <v>44937</v>
      </c>
      <c r="C794" s="1" t="n">
        <v>45825</v>
      </c>
      <c r="D794" t="inlineStr">
        <is>
          <t>SÖDERMANLANDS LÄN</t>
        </is>
      </c>
      <c r="E794" t="inlineStr">
        <is>
          <t>KATRINEHOLM</t>
        </is>
      </c>
      <c r="G794" t="n">
        <v>7.2</v>
      </c>
      <c r="H794" t="n">
        <v>0</v>
      </c>
      <c r="I794" t="n">
        <v>0</v>
      </c>
      <c r="J794" t="n">
        <v>0</v>
      </c>
      <c r="K794" t="n">
        <v>0</v>
      </c>
      <c r="L794" t="n">
        <v>0</v>
      </c>
      <c r="M794" t="n">
        <v>0</v>
      </c>
      <c r="N794" t="n">
        <v>0</v>
      </c>
      <c r="O794" t="n">
        <v>0</v>
      </c>
      <c r="P794" t="n">
        <v>0</v>
      </c>
      <c r="Q794" t="n">
        <v>0</v>
      </c>
      <c r="R794" s="2" t="inlineStr"/>
    </row>
    <row r="795" ht="15" customHeight="1">
      <c r="A795" t="inlineStr">
        <is>
          <t>A 2233-2023</t>
        </is>
      </c>
      <c r="B795" s="1" t="n">
        <v>44942</v>
      </c>
      <c r="C795" s="1" t="n">
        <v>45825</v>
      </c>
      <c r="D795" t="inlineStr">
        <is>
          <t>SÖDERMANLANDS LÄN</t>
        </is>
      </c>
      <c r="E795" t="inlineStr">
        <is>
          <t>KATRINEHOLM</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2325-2023</t>
        </is>
      </c>
      <c r="B796" s="1" t="n">
        <v>44942</v>
      </c>
      <c r="C796" s="1" t="n">
        <v>45825</v>
      </c>
      <c r="D796" t="inlineStr">
        <is>
          <t>SÖDERMANLANDS LÄN</t>
        </is>
      </c>
      <c r="E796" t="inlineStr">
        <is>
          <t>KATRINEHOLM</t>
        </is>
      </c>
      <c r="G796" t="n">
        <v>5.6</v>
      </c>
      <c r="H796" t="n">
        <v>0</v>
      </c>
      <c r="I796" t="n">
        <v>0</v>
      </c>
      <c r="J796" t="n">
        <v>0</v>
      </c>
      <c r="K796" t="n">
        <v>0</v>
      </c>
      <c r="L796" t="n">
        <v>0</v>
      </c>
      <c r="M796" t="n">
        <v>0</v>
      </c>
      <c r="N796" t="n">
        <v>0</v>
      </c>
      <c r="O796" t="n">
        <v>0</v>
      </c>
      <c r="P796" t="n">
        <v>0</v>
      </c>
      <c r="Q796" t="n">
        <v>0</v>
      </c>
      <c r="R796" s="2" t="inlineStr"/>
    </row>
    <row r="797" ht="15" customHeight="1">
      <c r="A797" t="inlineStr">
        <is>
          <t>A 2320-2023</t>
        </is>
      </c>
      <c r="B797" s="1" t="n">
        <v>44942</v>
      </c>
      <c r="C797" s="1" t="n">
        <v>45825</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2613-2023</t>
        </is>
      </c>
      <c r="B798" s="1" t="n">
        <v>44944</v>
      </c>
      <c r="C798" s="1" t="n">
        <v>45825</v>
      </c>
      <c r="D798" t="inlineStr">
        <is>
          <t>SÖDERMANLANDS LÄN</t>
        </is>
      </c>
      <c r="E798" t="inlineStr">
        <is>
          <t>KATRINEHOLM</t>
        </is>
      </c>
      <c r="G798" t="n">
        <v>7.9</v>
      </c>
      <c r="H798" t="n">
        <v>0</v>
      </c>
      <c r="I798" t="n">
        <v>0</v>
      </c>
      <c r="J798" t="n">
        <v>0</v>
      </c>
      <c r="K798" t="n">
        <v>0</v>
      </c>
      <c r="L798" t="n">
        <v>0</v>
      </c>
      <c r="M798" t="n">
        <v>0</v>
      </c>
      <c r="N798" t="n">
        <v>0</v>
      </c>
      <c r="O798" t="n">
        <v>0</v>
      </c>
      <c r="P798" t="n">
        <v>0</v>
      </c>
      <c r="Q798" t="n">
        <v>0</v>
      </c>
      <c r="R798" s="2" t="inlineStr"/>
    </row>
    <row r="799" ht="15" customHeight="1">
      <c r="A799" t="inlineStr">
        <is>
          <t>A 3315-2023</t>
        </is>
      </c>
      <c r="B799" s="1" t="n">
        <v>44945</v>
      </c>
      <c r="C799" s="1" t="n">
        <v>45825</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3317-2023</t>
        </is>
      </c>
      <c r="B800" s="1" t="n">
        <v>44945</v>
      </c>
      <c r="C800" s="1" t="n">
        <v>45825</v>
      </c>
      <c r="D800" t="inlineStr">
        <is>
          <t>SÖDERMANLANDS LÄN</t>
        </is>
      </c>
      <c r="E800" t="inlineStr">
        <is>
          <t>KATRINEHOLM</t>
        </is>
      </c>
      <c r="G800" t="n">
        <v>3.2</v>
      </c>
      <c r="H800" t="n">
        <v>0</v>
      </c>
      <c r="I800" t="n">
        <v>0</v>
      </c>
      <c r="J800" t="n">
        <v>0</v>
      </c>
      <c r="K800" t="n">
        <v>0</v>
      </c>
      <c r="L800" t="n">
        <v>0</v>
      </c>
      <c r="M800" t="n">
        <v>0</v>
      </c>
      <c r="N800" t="n">
        <v>0</v>
      </c>
      <c r="O800" t="n">
        <v>0</v>
      </c>
      <c r="P800" t="n">
        <v>0</v>
      </c>
      <c r="Q800" t="n">
        <v>0</v>
      </c>
      <c r="R800" s="2" t="inlineStr"/>
    </row>
    <row r="801" ht="15" customHeight="1">
      <c r="A801" t="inlineStr">
        <is>
          <t>A 3290-2023</t>
        </is>
      </c>
      <c r="B801" s="1" t="n">
        <v>44949</v>
      </c>
      <c r="C801" s="1" t="n">
        <v>45825</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3492-2023</t>
        </is>
      </c>
      <c r="B802" s="1" t="n">
        <v>44949</v>
      </c>
      <c r="C802" s="1" t="n">
        <v>45825</v>
      </c>
      <c r="D802" t="inlineStr">
        <is>
          <t>SÖDERMANLANDS LÄN</t>
        </is>
      </c>
      <c r="E802" t="inlineStr">
        <is>
          <t>KATRINEHOLM</t>
        </is>
      </c>
      <c r="G802" t="n">
        <v>5.5</v>
      </c>
      <c r="H802" t="n">
        <v>0</v>
      </c>
      <c r="I802" t="n">
        <v>0</v>
      </c>
      <c r="J802" t="n">
        <v>0</v>
      </c>
      <c r="K802" t="n">
        <v>0</v>
      </c>
      <c r="L802" t="n">
        <v>0</v>
      </c>
      <c r="M802" t="n">
        <v>0</v>
      </c>
      <c r="N802" t="n">
        <v>0</v>
      </c>
      <c r="O802" t="n">
        <v>0</v>
      </c>
      <c r="P802" t="n">
        <v>0</v>
      </c>
      <c r="Q802" t="n">
        <v>0</v>
      </c>
      <c r="R802" s="2" t="inlineStr"/>
    </row>
    <row r="803" ht="15" customHeight="1">
      <c r="A803" t="inlineStr">
        <is>
          <t>A 4122-2023</t>
        </is>
      </c>
      <c r="B803" s="1" t="n">
        <v>44952</v>
      </c>
      <c r="C803" s="1" t="n">
        <v>45825</v>
      </c>
      <c r="D803" t="inlineStr">
        <is>
          <t>SÖDERMANLANDS LÄN</t>
        </is>
      </c>
      <c r="E803" t="inlineStr">
        <is>
          <t>KATRINEHOLM</t>
        </is>
      </c>
      <c r="G803" t="n">
        <v>9</v>
      </c>
      <c r="H803" t="n">
        <v>0</v>
      </c>
      <c r="I803" t="n">
        <v>0</v>
      </c>
      <c r="J803" t="n">
        <v>0</v>
      </c>
      <c r="K803" t="n">
        <v>0</v>
      </c>
      <c r="L803" t="n">
        <v>0</v>
      </c>
      <c r="M803" t="n">
        <v>0</v>
      </c>
      <c r="N803" t="n">
        <v>0</v>
      </c>
      <c r="O803" t="n">
        <v>0</v>
      </c>
      <c r="P803" t="n">
        <v>0</v>
      </c>
      <c r="Q803" t="n">
        <v>0</v>
      </c>
      <c r="R803" s="2" t="inlineStr"/>
    </row>
    <row r="804" ht="15" customHeight="1">
      <c r="A804" t="inlineStr">
        <is>
          <t>A 4689-2023</t>
        </is>
      </c>
      <c r="B804" s="1" t="n">
        <v>44957</v>
      </c>
      <c r="C804" s="1" t="n">
        <v>45825</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4662-2023</t>
        </is>
      </c>
      <c r="B805" s="1" t="n">
        <v>44957</v>
      </c>
      <c r="C805" s="1" t="n">
        <v>45825</v>
      </c>
      <c r="D805" t="inlineStr">
        <is>
          <t>SÖDERMANLANDS LÄN</t>
        </is>
      </c>
      <c r="E805" t="inlineStr">
        <is>
          <t>KATRINEHOLM</t>
        </is>
      </c>
      <c r="F805" t="inlineStr">
        <is>
          <t>Holmen skog AB</t>
        </is>
      </c>
      <c r="G805" t="n">
        <v>0.4</v>
      </c>
      <c r="H805" t="n">
        <v>0</v>
      </c>
      <c r="I805" t="n">
        <v>0</v>
      </c>
      <c r="J805" t="n">
        <v>0</v>
      </c>
      <c r="K805" t="n">
        <v>0</v>
      </c>
      <c r="L805" t="n">
        <v>0</v>
      </c>
      <c r="M805" t="n">
        <v>0</v>
      </c>
      <c r="N805" t="n">
        <v>0</v>
      </c>
      <c r="O805" t="n">
        <v>0</v>
      </c>
      <c r="P805" t="n">
        <v>0</v>
      </c>
      <c r="Q805" t="n">
        <v>0</v>
      </c>
      <c r="R805" s="2" t="inlineStr"/>
    </row>
    <row r="806" ht="15" customHeight="1">
      <c r="A806" t="inlineStr">
        <is>
          <t>A 4669-2023</t>
        </is>
      </c>
      <c r="B806" s="1" t="n">
        <v>44957</v>
      </c>
      <c r="C806" s="1" t="n">
        <v>45825</v>
      </c>
      <c r="D806" t="inlineStr">
        <is>
          <t>SÖDERMANLANDS LÄN</t>
        </is>
      </c>
      <c r="E806" t="inlineStr">
        <is>
          <t>KATRINEHOLM</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4679-2023</t>
        </is>
      </c>
      <c r="B807" s="1" t="n">
        <v>44957</v>
      </c>
      <c r="C807" s="1" t="n">
        <v>45825</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4724-2023</t>
        </is>
      </c>
      <c r="B808" s="1" t="n">
        <v>44957</v>
      </c>
      <c r="C808" s="1" t="n">
        <v>45825</v>
      </c>
      <c r="D808" t="inlineStr">
        <is>
          <t>SÖDERMANLANDS LÄN</t>
        </is>
      </c>
      <c r="E808" t="inlineStr">
        <is>
          <t>KATRINEHOLM</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4656-2023</t>
        </is>
      </c>
      <c r="B809" s="1" t="n">
        <v>44957</v>
      </c>
      <c r="C809" s="1" t="n">
        <v>45825</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5191-2023</t>
        </is>
      </c>
      <c r="B810" s="1" t="n">
        <v>44959</v>
      </c>
      <c r="C810" s="1" t="n">
        <v>45825</v>
      </c>
      <c r="D810" t="inlineStr">
        <is>
          <t>SÖDERMANLANDS LÄN</t>
        </is>
      </c>
      <c r="E810" t="inlineStr">
        <is>
          <t>KATRINEHOLM</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5935-2023</t>
        </is>
      </c>
      <c r="B811" s="1" t="n">
        <v>44963</v>
      </c>
      <c r="C811" s="1" t="n">
        <v>45825</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6608-2023</t>
        </is>
      </c>
      <c r="B812" s="1" t="n">
        <v>44963</v>
      </c>
      <c r="C812" s="1" t="n">
        <v>45825</v>
      </c>
      <c r="D812" t="inlineStr">
        <is>
          <t>SÖDERMANLANDS LÄN</t>
        </is>
      </c>
      <c r="E812" t="inlineStr">
        <is>
          <t>KATRINEHOLM</t>
        </is>
      </c>
      <c r="F812" t="inlineStr">
        <is>
          <t>Övriga Aktiebolag</t>
        </is>
      </c>
      <c r="G812" t="n">
        <v>5.8</v>
      </c>
      <c r="H812" t="n">
        <v>0</v>
      </c>
      <c r="I812" t="n">
        <v>0</v>
      </c>
      <c r="J812" t="n">
        <v>0</v>
      </c>
      <c r="K812" t="n">
        <v>0</v>
      </c>
      <c r="L812" t="n">
        <v>0</v>
      </c>
      <c r="M812" t="n">
        <v>0</v>
      </c>
      <c r="N812" t="n">
        <v>0</v>
      </c>
      <c r="O812" t="n">
        <v>0</v>
      </c>
      <c r="P812" t="n">
        <v>0</v>
      </c>
      <c r="Q812" t="n">
        <v>0</v>
      </c>
      <c r="R812" s="2" t="inlineStr"/>
    </row>
    <row r="813" ht="15" customHeight="1">
      <c r="A813" t="inlineStr">
        <is>
          <t>A 6611-2023</t>
        </is>
      </c>
      <c r="B813" s="1" t="n">
        <v>44963</v>
      </c>
      <c r="C813" s="1" t="n">
        <v>45825</v>
      </c>
      <c r="D813" t="inlineStr">
        <is>
          <t>SÖDERMANLANDS LÄN</t>
        </is>
      </c>
      <c r="E813" t="inlineStr">
        <is>
          <t>KATRINEHOLM</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6622-2023</t>
        </is>
      </c>
      <c r="B814" s="1" t="n">
        <v>44963</v>
      </c>
      <c r="C814" s="1" t="n">
        <v>45825</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6175-2023</t>
        </is>
      </c>
      <c r="B815" s="1" t="n">
        <v>44964</v>
      </c>
      <c r="C815" s="1" t="n">
        <v>45825</v>
      </c>
      <c r="D815" t="inlineStr">
        <is>
          <t>SÖDERMANLANDS LÄN</t>
        </is>
      </c>
      <c r="E815" t="inlineStr">
        <is>
          <t>KATRINEHOLM</t>
        </is>
      </c>
      <c r="G815" t="n">
        <v>11.2</v>
      </c>
      <c r="H815" t="n">
        <v>0</v>
      </c>
      <c r="I815" t="n">
        <v>0</v>
      </c>
      <c r="J815" t="n">
        <v>0</v>
      </c>
      <c r="K815" t="n">
        <v>0</v>
      </c>
      <c r="L815" t="n">
        <v>0</v>
      </c>
      <c r="M815" t="n">
        <v>0</v>
      </c>
      <c r="N815" t="n">
        <v>0</v>
      </c>
      <c r="O815" t="n">
        <v>0</v>
      </c>
      <c r="P815" t="n">
        <v>0</v>
      </c>
      <c r="Q815" t="n">
        <v>0</v>
      </c>
      <c r="R815" s="2" t="inlineStr"/>
    </row>
    <row r="816" ht="15" customHeight="1">
      <c r="A816" t="inlineStr">
        <is>
          <t>A 6810-2023</t>
        </is>
      </c>
      <c r="B816" s="1" t="n">
        <v>44964</v>
      </c>
      <c r="C816" s="1" t="n">
        <v>45825</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5970-2023</t>
        </is>
      </c>
      <c r="B817" s="1" t="n">
        <v>44964</v>
      </c>
      <c r="C817" s="1" t="n">
        <v>45825</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6808-2023</t>
        </is>
      </c>
      <c r="B818" s="1" t="n">
        <v>44964</v>
      </c>
      <c r="C818" s="1" t="n">
        <v>45825</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6807-2023</t>
        </is>
      </c>
      <c r="B819" s="1" t="n">
        <v>44964</v>
      </c>
      <c r="C819" s="1" t="n">
        <v>45825</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6303-2023</t>
        </is>
      </c>
      <c r="B820" s="1" t="n">
        <v>44965</v>
      </c>
      <c r="C820" s="1" t="n">
        <v>45825</v>
      </c>
      <c r="D820" t="inlineStr">
        <is>
          <t>SÖDERMANLANDS LÄN</t>
        </is>
      </c>
      <c r="E820" t="inlineStr">
        <is>
          <t>KATRINEHOLM</t>
        </is>
      </c>
      <c r="F820" t="inlineStr">
        <is>
          <t>Allmännings- och besparingsskogar</t>
        </is>
      </c>
      <c r="G820" t="n">
        <v>53.1</v>
      </c>
      <c r="H820" t="n">
        <v>0</v>
      </c>
      <c r="I820" t="n">
        <v>0</v>
      </c>
      <c r="J820" t="n">
        <v>0</v>
      </c>
      <c r="K820" t="n">
        <v>0</v>
      </c>
      <c r="L820" t="n">
        <v>0</v>
      </c>
      <c r="M820" t="n">
        <v>0</v>
      </c>
      <c r="N820" t="n">
        <v>0</v>
      </c>
      <c r="O820" t="n">
        <v>0</v>
      </c>
      <c r="P820" t="n">
        <v>0</v>
      </c>
      <c r="Q820" t="n">
        <v>0</v>
      </c>
      <c r="R820" s="2" t="inlineStr"/>
    </row>
    <row r="821" ht="15" customHeight="1">
      <c r="A821" t="inlineStr">
        <is>
          <t>A 7106-2023</t>
        </is>
      </c>
      <c r="B821" s="1" t="n">
        <v>44965</v>
      </c>
      <c r="C821" s="1" t="n">
        <v>45825</v>
      </c>
      <c r="D821" t="inlineStr">
        <is>
          <t>SÖDERMANLANDS LÄN</t>
        </is>
      </c>
      <c r="E821" t="inlineStr">
        <is>
          <t>KATRINEHOLM</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7191-2023</t>
        </is>
      </c>
      <c r="B822" s="1" t="n">
        <v>44965</v>
      </c>
      <c r="C822" s="1" t="n">
        <v>45825</v>
      </c>
      <c r="D822" t="inlineStr">
        <is>
          <t>SÖDERMANLANDS LÄN</t>
        </is>
      </c>
      <c r="E822" t="inlineStr">
        <is>
          <t>KATRINEHOLM</t>
        </is>
      </c>
      <c r="G822" t="n">
        <v>14.1</v>
      </c>
      <c r="H822" t="n">
        <v>0</v>
      </c>
      <c r="I822" t="n">
        <v>0</v>
      </c>
      <c r="J822" t="n">
        <v>0</v>
      </c>
      <c r="K822" t="n">
        <v>0</v>
      </c>
      <c r="L822" t="n">
        <v>0</v>
      </c>
      <c r="M822" t="n">
        <v>0</v>
      </c>
      <c r="N822" t="n">
        <v>0</v>
      </c>
      <c r="O822" t="n">
        <v>0</v>
      </c>
      <c r="P822" t="n">
        <v>0</v>
      </c>
      <c r="Q822" t="n">
        <v>0</v>
      </c>
      <c r="R822" s="2" t="inlineStr"/>
    </row>
    <row r="823" ht="15" customHeight="1">
      <c r="A823" t="inlineStr">
        <is>
          <t>A 7197-2023</t>
        </is>
      </c>
      <c r="B823" s="1" t="n">
        <v>44965</v>
      </c>
      <c r="C823" s="1" t="n">
        <v>45825</v>
      </c>
      <c r="D823" t="inlineStr">
        <is>
          <t>SÖDERMANLANDS LÄN</t>
        </is>
      </c>
      <c r="E823" t="inlineStr">
        <is>
          <t>KATRINEHOLM</t>
        </is>
      </c>
      <c r="G823" t="n">
        <v>5.3</v>
      </c>
      <c r="H823" t="n">
        <v>0</v>
      </c>
      <c r="I823" t="n">
        <v>0</v>
      </c>
      <c r="J823" t="n">
        <v>0</v>
      </c>
      <c r="K823" t="n">
        <v>0</v>
      </c>
      <c r="L823" t="n">
        <v>0</v>
      </c>
      <c r="M823" t="n">
        <v>0</v>
      </c>
      <c r="N823" t="n">
        <v>0</v>
      </c>
      <c r="O823" t="n">
        <v>0</v>
      </c>
      <c r="P823" t="n">
        <v>0</v>
      </c>
      <c r="Q823" t="n">
        <v>0</v>
      </c>
      <c r="R823" s="2" t="inlineStr"/>
    </row>
    <row r="824" ht="15" customHeight="1">
      <c r="A824" t="inlineStr">
        <is>
          <t>A 7704-2023</t>
        </is>
      </c>
      <c r="B824" s="1" t="n">
        <v>44968</v>
      </c>
      <c r="C824" s="1" t="n">
        <v>45825</v>
      </c>
      <c r="D824" t="inlineStr">
        <is>
          <t>SÖDERMANLANDS LÄN</t>
        </is>
      </c>
      <c r="E824" t="inlineStr">
        <is>
          <t>KATRINEHOLM</t>
        </is>
      </c>
      <c r="G824" t="n">
        <v>7.3</v>
      </c>
      <c r="H824" t="n">
        <v>0</v>
      </c>
      <c r="I824" t="n">
        <v>0</v>
      </c>
      <c r="J824" t="n">
        <v>0</v>
      </c>
      <c r="K824" t="n">
        <v>0</v>
      </c>
      <c r="L824" t="n">
        <v>0</v>
      </c>
      <c r="M824" t="n">
        <v>0</v>
      </c>
      <c r="N824" t="n">
        <v>0</v>
      </c>
      <c r="O824" t="n">
        <v>0</v>
      </c>
      <c r="P824" t="n">
        <v>0</v>
      </c>
      <c r="Q824" t="n">
        <v>0</v>
      </c>
      <c r="R824" s="2" t="inlineStr"/>
    </row>
    <row r="825" ht="15" customHeight="1">
      <c r="A825" t="inlineStr">
        <is>
          <t>A 7156-2023</t>
        </is>
      </c>
      <c r="B825" s="1" t="n">
        <v>44970</v>
      </c>
      <c r="C825" s="1" t="n">
        <v>45825</v>
      </c>
      <c r="D825" t="inlineStr">
        <is>
          <t>SÖDERMANLANDS LÄN</t>
        </is>
      </c>
      <c r="E825" t="inlineStr">
        <is>
          <t>KATRINEHOLM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7322-2023</t>
        </is>
      </c>
      <c r="B826" s="1" t="n">
        <v>44970</v>
      </c>
      <c r="C826" s="1" t="n">
        <v>45825</v>
      </c>
      <c r="D826" t="inlineStr">
        <is>
          <t>SÖDERMANLANDS LÄN</t>
        </is>
      </c>
      <c r="E826" t="inlineStr">
        <is>
          <t>KATRINEHOLM</t>
        </is>
      </c>
      <c r="G826" t="n">
        <v>2.1</v>
      </c>
      <c r="H826" t="n">
        <v>0</v>
      </c>
      <c r="I826" t="n">
        <v>0</v>
      </c>
      <c r="J826" t="n">
        <v>0</v>
      </c>
      <c r="K826" t="n">
        <v>0</v>
      </c>
      <c r="L826" t="n">
        <v>0</v>
      </c>
      <c r="M826" t="n">
        <v>0</v>
      </c>
      <c r="N826" t="n">
        <v>0</v>
      </c>
      <c r="O826" t="n">
        <v>0</v>
      </c>
      <c r="P826" t="n">
        <v>0</v>
      </c>
      <c r="Q826" t="n">
        <v>0</v>
      </c>
      <c r="R826" s="2" t="inlineStr"/>
    </row>
    <row r="827" ht="15" customHeight="1">
      <c r="A827" t="inlineStr">
        <is>
          <t>A 8074-2023</t>
        </is>
      </c>
      <c r="B827" s="1" t="n">
        <v>44974</v>
      </c>
      <c r="C827" s="1" t="n">
        <v>45825</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8288-2023</t>
        </is>
      </c>
      <c r="B828" s="1" t="n">
        <v>44974</v>
      </c>
      <c r="C828" s="1" t="n">
        <v>45825</v>
      </c>
      <c r="D828" t="inlineStr">
        <is>
          <t>SÖDERMANLANDS LÄN</t>
        </is>
      </c>
      <c r="E828" t="inlineStr">
        <is>
          <t>KATRINEHOLM</t>
        </is>
      </c>
      <c r="F828" t="inlineStr">
        <is>
          <t>Allmännings- och besparingsskogar</t>
        </is>
      </c>
      <c r="G828" t="n">
        <v>5.6</v>
      </c>
      <c r="H828" t="n">
        <v>0</v>
      </c>
      <c r="I828" t="n">
        <v>0</v>
      </c>
      <c r="J828" t="n">
        <v>0</v>
      </c>
      <c r="K828" t="n">
        <v>0</v>
      </c>
      <c r="L828" t="n">
        <v>0</v>
      </c>
      <c r="M828" t="n">
        <v>0</v>
      </c>
      <c r="N828" t="n">
        <v>0</v>
      </c>
      <c r="O828" t="n">
        <v>0</v>
      </c>
      <c r="P828" t="n">
        <v>0</v>
      </c>
      <c r="Q828" t="n">
        <v>0</v>
      </c>
      <c r="R828" s="2" t="inlineStr"/>
    </row>
    <row r="829" ht="15" customHeight="1">
      <c r="A829" t="inlineStr">
        <is>
          <t>A 8071-2023</t>
        </is>
      </c>
      <c r="B829" s="1" t="n">
        <v>44974</v>
      </c>
      <c r="C829" s="1" t="n">
        <v>45825</v>
      </c>
      <c r="D829" t="inlineStr">
        <is>
          <t>SÖDERMANLANDS LÄN</t>
        </is>
      </c>
      <c r="E829" t="inlineStr">
        <is>
          <t>KATRINEHOLM</t>
        </is>
      </c>
      <c r="G829" t="n">
        <v>4.7</v>
      </c>
      <c r="H829" t="n">
        <v>0</v>
      </c>
      <c r="I829" t="n">
        <v>0</v>
      </c>
      <c r="J829" t="n">
        <v>0</v>
      </c>
      <c r="K829" t="n">
        <v>0</v>
      </c>
      <c r="L829" t="n">
        <v>0</v>
      </c>
      <c r="M829" t="n">
        <v>0</v>
      </c>
      <c r="N829" t="n">
        <v>0</v>
      </c>
      <c r="O829" t="n">
        <v>0</v>
      </c>
      <c r="P829" t="n">
        <v>0</v>
      </c>
      <c r="Q829" t="n">
        <v>0</v>
      </c>
      <c r="R829" s="2" t="inlineStr"/>
    </row>
    <row r="830" ht="15" customHeight="1">
      <c r="A830" t="inlineStr">
        <is>
          <t>A 8077-2023</t>
        </is>
      </c>
      <c r="B830" s="1" t="n">
        <v>44974</v>
      </c>
      <c r="C830" s="1" t="n">
        <v>45825</v>
      </c>
      <c r="D830" t="inlineStr">
        <is>
          <t>SÖDERMANLANDS LÄN</t>
        </is>
      </c>
      <c r="E830" t="inlineStr">
        <is>
          <t>KATRINEHOLM</t>
        </is>
      </c>
      <c r="G830" t="n">
        <v>8.1</v>
      </c>
      <c r="H830" t="n">
        <v>0</v>
      </c>
      <c r="I830" t="n">
        <v>0</v>
      </c>
      <c r="J830" t="n">
        <v>0</v>
      </c>
      <c r="K830" t="n">
        <v>0</v>
      </c>
      <c r="L830" t="n">
        <v>0</v>
      </c>
      <c r="M830" t="n">
        <v>0</v>
      </c>
      <c r="N830" t="n">
        <v>0</v>
      </c>
      <c r="O830" t="n">
        <v>0</v>
      </c>
      <c r="P830" t="n">
        <v>0</v>
      </c>
      <c r="Q830" t="n">
        <v>0</v>
      </c>
      <c r="R830" s="2" t="inlineStr"/>
    </row>
    <row r="831" ht="15" customHeight="1">
      <c r="A831" t="inlineStr">
        <is>
          <t>A 8106-2023</t>
        </is>
      </c>
      <c r="B831" s="1" t="n">
        <v>44974</v>
      </c>
      <c r="C831" s="1" t="n">
        <v>45825</v>
      </c>
      <c r="D831" t="inlineStr">
        <is>
          <t>SÖDERMANLANDS LÄN</t>
        </is>
      </c>
      <c r="E831" t="inlineStr">
        <is>
          <t>KATRINEHOLM</t>
        </is>
      </c>
      <c r="G831" t="n">
        <v>4.4</v>
      </c>
      <c r="H831" t="n">
        <v>0</v>
      </c>
      <c r="I831" t="n">
        <v>0</v>
      </c>
      <c r="J831" t="n">
        <v>0</v>
      </c>
      <c r="K831" t="n">
        <v>0</v>
      </c>
      <c r="L831" t="n">
        <v>0</v>
      </c>
      <c r="M831" t="n">
        <v>0</v>
      </c>
      <c r="N831" t="n">
        <v>0</v>
      </c>
      <c r="O831" t="n">
        <v>0</v>
      </c>
      <c r="P831" t="n">
        <v>0</v>
      </c>
      <c r="Q831" t="n">
        <v>0</v>
      </c>
      <c r="R831" s="2" t="inlineStr"/>
    </row>
    <row r="832" ht="15" customHeight="1">
      <c r="A832" t="inlineStr">
        <is>
          <t>A 8298-2023</t>
        </is>
      </c>
      <c r="B832" s="1" t="n">
        <v>44974</v>
      </c>
      <c r="C832" s="1" t="n">
        <v>45825</v>
      </c>
      <c r="D832" t="inlineStr">
        <is>
          <t>SÖDERMANLANDS LÄN</t>
        </is>
      </c>
      <c r="E832" t="inlineStr">
        <is>
          <t>KATRINEHOLM</t>
        </is>
      </c>
      <c r="F832" t="inlineStr">
        <is>
          <t>Allmännings- och besparingsskogar</t>
        </is>
      </c>
      <c r="G832" t="n">
        <v>33.4</v>
      </c>
      <c r="H832" t="n">
        <v>0</v>
      </c>
      <c r="I832" t="n">
        <v>0</v>
      </c>
      <c r="J832" t="n">
        <v>0</v>
      </c>
      <c r="K832" t="n">
        <v>0</v>
      </c>
      <c r="L832" t="n">
        <v>0</v>
      </c>
      <c r="M832" t="n">
        <v>0</v>
      </c>
      <c r="N832" t="n">
        <v>0</v>
      </c>
      <c r="O832" t="n">
        <v>0</v>
      </c>
      <c r="P832" t="n">
        <v>0</v>
      </c>
      <c r="Q832" t="n">
        <v>0</v>
      </c>
      <c r="R832" s="2" t="inlineStr"/>
    </row>
    <row r="833" ht="15" customHeight="1">
      <c r="A833" t="inlineStr">
        <is>
          <t>A 8457-2023</t>
        </is>
      </c>
      <c r="B833" s="1" t="n">
        <v>44977</v>
      </c>
      <c r="C833" s="1" t="n">
        <v>45825</v>
      </c>
      <c r="D833" t="inlineStr">
        <is>
          <t>SÖDERMANLANDS LÄN</t>
        </is>
      </c>
      <c r="E833" t="inlineStr">
        <is>
          <t>KATRINEHOLM</t>
        </is>
      </c>
      <c r="F833" t="inlineStr">
        <is>
          <t>Allmännings- och besparingsskogar</t>
        </is>
      </c>
      <c r="G833" t="n">
        <v>16.1</v>
      </c>
      <c r="H833" t="n">
        <v>0</v>
      </c>
      <c r="I833" t="n">
        <v>0</v>
      </c>
      <c r="J833" t="n">
        <v>0</v>
      </c>
      <c r="K833" t="n">
        <v>0</v>
      </c>
      <c r="L833" t="n">
        <v>0</v>
      </c>
      <c r="M833" t="n">
        <v>0</v>
      </c>
      <c r="N833" t="n">
        <v>0</v>
      </c>
      <c r="O833" t="n">
        <v>0</v>
      </c>
      <c r="P833" t="n">
        <v>0</v>
      </c>
      <c r="Q833" t="n">
        <v>0</v>
      </c>
      <c r="R833" s="2" t="inlineStr"/>
    </row>
    <row r="834" ht="15" customHeight="1">
      <c r="A834" t="inlineStr">
        <is>
          <t>A 8475-2023</t>
        </is>
      </c>
      <c r="B834" s="1" t="n">
        <v>44977</v>
      </c>
      <c r="C834" s="1" t="n">
        <v>45825</v>
      </c>
      <c r="D834" t="inlineStr">
        <is>
          <t>SÖDERMANLANDS LÄN</t>
        </is>
      </c>
      <c r="E834" t="inlineStr">
        <is>
          <t>KATRINEHOLM</t>
        </is>
      </c>
      <c r="F834" t="inlineStr">
        <is>
          <t>Allmännings- och besparingsskogar</t>
        </is>
      </c>
      <c r="G834" t="n">
        <v>8.1</v>
      </c>
      <c r="H834" t="n">
        <v>0</v>
      </c>
      <c r="I834" t="n">
        <v>0</v>
      </c>
      <c r="J834" t="n">
        <v>0</v>
      </c>
      <c r="K834" t="n">
        <v>0</v>
      </c>
      <c r="L834" t="n">
        <v>0</v>
      </c>
      <c r="M834" t="n">
        <v>0</v>
      </c>
      <c r="N834" t="n">
        <v>0</v>
      </c>
      <c r="O834" t="n">
        <v>0</v>
      </c>
      <c r="P834" t="n">
        <v>0</v>
      </c>
      <c r="Q834" t="n">
        <v>0</v>
      </c>
      <c r="R834" s="2" t="inlineStr"/>
    </row>
    <row r="835" ht="15" customHeight="1">
      <c r="A835" t="inlineStr">
        <is>
          <t>A 8518-2023</t>
        </is>
      </c>
      <c r="B835" s="1" t="n">
        <v>44977</v>
      </c>
      <c r="C835" s="1" t="n">
        <v>45825</v>
      </c>
      <c r="D835" t="inlineStr">
        <is>
          <t>SÖDERMANLANDS LÄN</t>
        </is>
      </c>
      <c r="E835" t="inlineStr">
        <is>
          <t>KATRINEHOLM</t>
        </is>
      </c>
      <c r="F835" t="inlineStr">
        <is>
          <t>Allmännings- och besparingsskogar</t>
        </is>
      </c>
      <c r="G835" t="n">
        <v>35.3</v>
      </c>
      <c r="H835" t="n">
        <v>0</v>
      </c>
      <c r="I835" t="n">
        <v>0</v>
      </c>
      <c r="J835" t="n">
        <v>0</v>
      </c>
      <c r="K835" t="n">
        <v>0</v>
      </c>
      <c r="L835" t="n">
        <v>0</v>
      </c>
      <c r="M835" t="n">
        <v>0</v>
      </c>
      <c r="N835" t="n">
        <v>0</v>
      </c>
      <c r="O835" t="n">
        <v>0</v>
      </c>
      <c r="P835" t="n">
        <v>0</v>
      </c>
      <c r="Q835" t="n">
        <v>0</v>
      </c>
      <c r="R835" s="2" t="inlineStr"/>
    </row>
    <row r="836" ht="15" customHeight="1">
      <c r="A836" t="inlineStr">
        <is>
          <t>A 8791-2023</t>
        </is>
      </c>
      <c r="B836" s="1" t="n">
        <v>44978</v>
      </c>
      <c r="C836" s="1" t="n">
        <v>45825</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8765-2023</t>
        </is>
      </c>
      <c r="B837" s="1" t="n">
        <v>44978</v>
      </c>
      <c r="C837" s="1" t="n">
        <v>45825</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8778-2023</t>
        </is>
      </c>
      <c r="B838" s="1" t="n">
        <v>44978</v>
      </c>
      <c r="C838" s="1" t="n">
        <v>45825</v>
      </c>
      <c r="D838" t="inlineStr">
        <is>
          <t>SÖDERMANLANDS LÄN</t>
        </is>
      </c>
      <c r="E838" t="inlineStr">
        <is>
          <t>KATRINEHOLM</t>
        </is>
      </c>
      <c r="G838" t="n">
        <v>4.5</v>
      </c>
      <c r="H838" t="n">
        <v>0</v>
      </c>
      <c r="I838" t="n">
        <v>0</v>
      </c>
      <c r="J838" t="n">
        <v>0</v>
      </c>
      <c r="K838" t="n">
        <v>0</v>
      </c>
      <c r="L838" t="n">
        <v>0</v>
      </c>
      <c r="M838" t="n">
        <v>0</v>
      </c>
      <c r="N838" t="n">
        <v>0</v>
      </c>
      <c r="O838" t="n">
        <v>0</v>
      </c>
      <c r="P838" t="n">
        <v>0</v>
      </c>
      <c r="Q838" t="n">
        <v>0</v>
      </c>
      <c r="R838" s="2" t="inlineStr"/>
    </row>
    <row r="839" ht="15" customHeight="1">
      <c r="A839" t="inlineStr">
        <is>
          <t>A 8761-2023</t>
        </is>
      </c>
      <c r="B839" s="1" t="n">
        <v>44978</v>
      </c>
      <c r="C839" s="1" t="n">
        <v>45825</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9036-2023</t>
        </is>
      </c>
      <c r="B840" s="1" t="n">
        <v>44979</v>
      </c>
      <c r="C840" s="1" t="n">
        <v>45825</v>
      </c>
      <c r="D840" t="inlineStr">
        <is>
          <t>SÖDERMANLANDS LÄN</t>
        </is>
      </c>
      <c r="E840" t="inlineStr">
        <is>
          <t>KATRINEHOLM</t>
        </is>
      </c>
      <c r="G840" t="n">
        <v>6.5</v>
      </c>
      <c r="H840" t="n">
        <v>0</v>
      </c>
      <c r="I840" t="n">
        <v>0</v>
      </c>
      <c r="J840" t="n">
        <v>0</v>
      </c>
      <c r="K840" t="n">
        <v>0</v>
      </c>
      <c r="L840" t="n">
        <v>0</v>
      </c>
      <c r="M840" t="n">
        <v>0</v>
      </c>
      <c r="N840" t="n">
        <v>0</v>
      </c>
      <c r="O840" t="n">
        <v>0</v>
      </c>
      <c r="P840" t="n">
        <v>0</v>
      </c>
      <c r="Q840" t="n">
        <v>0</v>
      </c>
      <c r="R840" s="2" t="inlineStr"/>
    </row>
    <row r="841" ht="15" customHeight="1">
      <c r="A841" t="inlineStr">
        <is>
          <t>A 9207-2023</t>
        </is>
      </c>
      <c r="B841" s="1" t="n">
        <v>44980</v>
      </c>
      <c r="C841" s="1" t="n">
        <v>45825</v>
      </c>
      <c r="D841" t="inlineStr">
        <is>
          <t>SÖDERMANLANDS LÄN</t>
        </is>
      </c>
      <c r="E841" t="inlineStr">
        <is>
          <t>KATRINEHOLM</t>
        </is>
      </c>
      <c r="F841" t="inlineStr">
        <is>
          <t>Övriga Aktiebolag</t>
        </is>
      </c>
      <c r="G841" t="n">
        <v>9</v>
      </c>
      <c r="H841" t="n">
        <v>0</v>
      </c>
      <c r="I841" t="n">
        <v>0</v>
      </c>
      <c r="J841" t="n">
        <v>0</v>
      </c>
      <c r="K841" t="n">
        <v>0</v>
      </c>
      <c r="L841" t="n">
        <v>0</v>
      </c>
      <c r="M841" t="n">
        <v>0</v>
      </c>
      <c r="N841" t="n">
        <v>0</v>
      </c>
      <c r="O841" t="n">
        <v>0</v>
      </c>
      <c r="P841" t="n">
        <v>0</v>
      </c>
      <c r="Q841" t="n">
        <v>0</v>
      </c>
      <c r="R841" s="2" t="inlineStr"/>
    </row>
    <row r="842" ht="15" customHeight="1">
      <c r="A842" t="inlineStr">
        <is>
          <t>A 9192-2023</t>
        </is>
      </c>
      <c r="B842" s="1" t="n">
        <v>44980</v>
      </c>
      <c r="C842" s="1" t="n">
        <v>45825</v>
      </c>
      <c r="D842" t="inlineStr">
        <is>
          <t>SÖDERMANLANDS LÄN</t>
        </is>
      </c>
      <c r="E842" t="inlineStr">
        <is>
          <t>KATRINEHOLM</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9668-2023</t>
        </is>
      </c>
      <c r="B843" s="1" t="n">
        <v>44984</v>
      </c>
      <c r="C843" s="1" t="n">
        <v>45825</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9929-2023</t>
        </is>
      </c>
      <c r="B844" s="1" t="n">
        <v>44985</v>
      </c>
      <c r="C844" s="1" t="n">
        <v>45825</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9899-2023</t>
        </is>
      </c>
      <c r="B845" s="1" t="n">
        <v>44985</v>
      </c>
      <c r="C845" s="1" t="n">
        <v>45825</v>
      </c>
      <c r="D845" t="inlineStr">
        <is>
          <t>SÖDERMANLANDS LÄN</t>
        </is>
      </c>
      <c r="E845" t="inlineStr">
        <is>
          <t>KATRINEHOLM</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9936-2023</t>
        </is>
      </c>
      <c r="B846" s="1" t="n">
        <v>44985</v>
      </c>
      <c r="C846" s="1" t="n">
        <v>45825</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9932-2023</t>
        </is>
      </c>
      <c r="B847" s="1" t="n">
        <v>44985</v>
      </c>
      <c r="C847" s="1" t="n">
        <v>45825</v>
      </c>
      <c r="D847" t="inlineStr">
        <is>
          <t>SÖDERMANLANDS LÄN</t>
        </is>
      </c>
      <c r="E847" t="inlineStr">
        <is>
          <t>KATRINEHOLM</t>
        </is>
      </c>
      <c r="G847" t="n">
        <v>0.3</v>
      </c>
      <c r="H847" t="n">
        <v>0</v>
      </c>
      <c r="I847" t="n">
        <v>0</v>
      </c>
      <c r="J847" t="n">
        <v>0</v>
      </c>
      <c r="K847" t="n">
        <v>0</v>
      </c>
      <c r="L847" t="n">
        <v>0</v>
      </c>
      <c r="M847" t="n">
        <v>0</v>
      </c>
      <c r="N847" t="n">
        <v>0</v>
      </c>
      <c r="O847" t="n">
        <v>0</v>
      </c>
      <c r="P847" t="n">
        <v>0</v>
      </c>
      <c r="Q847" t="n">
        <v>0</v>
      </c>
      <c r="R847" s="2" t="inlineStr"/>
    </row>
    <row r="848" ht="15" customHeight="1">
      <c r="A848" t="inlineStr">
        <is>
          <t>A 10932-2023</t>
        </is>
      </c>
      <c r="B848" s="1" t="n">
        <v>44985</v>
      </c>
      <c r="C848" s="1" t="n">
        <v>45825</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11127-2023</t>
        </is>
      </c>
      <c r="B849" s="1" t="n">
        <v>44987</v>
      </c>
      <c r="C849" s="1" t="n">
        <v>45825</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11104-2023</t>
        </is>
      </c>
      <c r="B850" s="1" t="n">
        <v>44992</v>
      </c>
      <c r="C850" s="1" t="n">
        <v>45825</v>
      </c>
      <c r="D850" t="inlineStr">
        <is>
          <t>SÖDERMANLANDS LÄN</t>
        </is>
      </c>
      <c r="E850" t="inlineStr">
        <is>
          <t>KATRINEHOLM</t>
        </is>
      </c>
      <c r="F850" t="inlineStr">
        <is>
          <t>Allmännings- och besparingsskogar</t>
        </is>
      </c>
      <c r="G850" t="n">
        <v>7.8</v>
      </c>
      <c r="H850" t="n">
        <v>0</v>
      </c>
      <c r="I850" t="n">
        <v>0</v>
      </c>
      <c r="J850" t="n">
        <v>0</v>
      </c>
      <c r="K850" t="n">
        <v>0</v>
      </c>
      <c r="L850" t="n">
        <v>0</v>
      </c>
      <c r="M850" t="n">
        <v>0</v>
      </c>
      <c r="N850" t="n">
        <v>0</v>
      </c>
      <c r="O850" t="n">
        <v>0</v>
      </c>
      <c r="P850" t="n">
        <v>0</v>
      </c>
      <c r="Q850" t="n">
        <v>0</v>
      </c>
      <c r="R850" s="2" t="inlineStr"/>
    </row>
    <row r="851" ht="15" customHeight="1">
      <c r="A851" t="inlineStr">
        <is>
          <t>A 11635-2023</t>
        </is>
      </c>
      <c r="B851" s="1" t="n">
        <v>44994</v>
      </c>
      <c r="C851" s="1" t="n">
        <v>45825</v>
      </c>
      <c r="D851" t="inlineStr">
        <is>
          <t>SÖDERMANLANDS LÄN</t>
        </is>
      </c>
      <c r="E851" t="inlineStr">
        <is>
          <t>KATRINEHOLM</t>
        </is>
      </c>
      <c r="G851" t="n">
        <v>4.3</v>
      </c>
      <c r="H851" t="n">
        <v>0</v>
      </c>
      <c r="I851" t="n">
        <v>0</v>
      </c>
      <c r="J851" t="n">
        <v>0</v>
      </c>
      <c r="K851" t="n">
        <v>0</v>
      </c>
      <c r="L851" t="n">
        <v>0</v>
      </c>
      <c r="M851" t="n">
        <v>0</v>
      </c>
      <c r="N851" t="n">
        <v>0</v>
      </c>
      <c r="O851" t="n">
        <v>0</v>
      </c>
      <c r="P851" t="n">
        <v>0</v>
      </c>
      <c r="Q851" t="n">
        <v>0</v>
      </c>
      <c r="R851" s="2" t="inlineStr"/>
    </row>
    <row r="852" ht="15" customHeight="1">
      <c r="A852" t="inlineStr">
        <is>
          <t>A 11875-2023</t>
        </is>
      </c>
      <c r="B852" s="1" t="n">
        <v>44995</v>
      </c>
      <c r="C852" s="1" t="n">
        <v>45825</v>
      </c>
      <c r="D852" t="inlineStr">
        <is>
          <t>SÖDERMANLANDS LÄN</t>
        </is>
      </c>
      <c r="E852" t="inlineStr">
        <is>
          <t>KATRINEHOLM</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11872-2023</t>
        </is>
      </c>
      <c r="B853" s="1" t="n">
        <v>44995</v>
      </c>
      <c r="C853" s="1" t="n">
        <v>45825</v>
      </c>
      <c r="D853" t="inlineStr">
        <is>
          <t>SÖDERMANLANDS LÄN</t>
        </is>
      </c>
      <c r="E853" t="inlineStr">
        <is>
          <t>KATRINEHOLM</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12449-2023</t>
        </is>
      </c>
      <c r="B854" s="1" t="n">
        <v>44998</v>
      </c>
      <c r="C854" s="1" t="n">
        <v>45825</v>
      </c>
      <c r="D854" t="inlineStr">
        <is>
          <t>SÖDERMANLANDS LÄN</t>
        </is>
      </c>
      <c r="E854" t="inlineStr">
        <is>
          <t>KATRINEHOLM</t>
        </is>
      </c>
      <c r="G854" t="n">
        <v>6.1</v>
      </c>
      <c r="H854" t="n">
        <v>0</v>
      </c>
      <c r="I854" t="n">
        <v>0</v>
      </c>
      <c r="J854" t="n">
        <v>0</v>
      </c>
      <c r="K854" t="n">
        <v>0</v>
      </c>
      <c r="L854" t="n">
        <v>0</v>
      </c>
      <c r="M854" t="n">
        <v>0</v>
      </c>
      <c r="N854" t="n">
        <v>0</v>
      </c>
      <c r="O854" t="n">
        <v>0</v>
      </c>
      <c r="P854" t="n">
        <v>0</v>
      </c>
      <c r="Q854" t="n">
        <v>0</v>
      </c>
      <c r="R854" s="2" t="inlineStr"/>
    </row>
    <row r="855" ht="15" customHeight="1">
      <c r="A855" t="inlineStr">
        <is>
          <t>A 12494-2023</t>
        </is>
      </c>
      <c r="B855" s="1" t="n">
        <v>44999</v>
      </c>
      <c r="C855" s="1" t="n">
        <v>45825</v>
      </c>
      <c r="D855" t="inlineStr">
        <is>
          <t>SÖDERMANLANDS LÄN</t>
        </is>
      </c>
      <c r="E855" t="inlineStr">
        <is>
          <t>KATRINEHOLM</t>
        </is>
      </c>
      <c r="G855" t="n">
        <v>0.8</v>
      </c>
      <c r="H855" t="n">
        <v>0</v>
      </c>
      <c r="I855" t="n">
        <v>0</v>
      </c>
      <c r="J855" t="n">
        <v>0</v>
      </c>
      <c r="K855" t="n">
        <v>0</v>
      </c>
      <c r="L855" t="n">
        <v>0</v>
      </c>
      <c r="M855" t="n">
        <v>0</v>
      </c>
      <c r="N855" t="n">
        <v>0</v>
      </c>
      <c r="O855" t="n">
        <v>0</v>
      </c>
      <c r="P855" t="n">
        <v>0</v>
      </c>
      <c r="Q855" t="n">
        <v>0</v>
      </c>
      <c r="R855" s="2" t="inlineStr"/>
    </row>
    <row r="856" ht="15" customHeight="1">
      <c r="A856" t="inlineStr">
        <is>
          <t>A 12559-2023</t>
        </is>
      </c>
      <c r="B856" s="1" t="n">
        <v>45000</v>
      </c>
      <c r="C856" s="1" t="n">
        <v>45825</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12930-2023</t>
        </is>
      </c>
      <c r="B857" s="1" t="n">
        <v>45001</v>
      </c>
      <c r="C857" s="1" t="n">
        <v>45825</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12934-2023</t>
        </is>
      </c>
      <c r="B858" s="1" t="n">
        <v>45001</v>
      </c>
      <c r="C858" s="1" t="n">
        <v>45825</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12938-2023</t>
        </is>
      </c>
      <c r="B859" s="1" t="n">
        <v>45001</v>
      </c>
      <c r="C859" s="1" t="n">
        <v>45825</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12932-2023</t>
        </is>
      </c>
      <c r="B860" s="1" t="n">
        <v>45001</v>
      </c>
      <c r="C860" s="1" t="n">
        <v>45825</v>
      </c>
      <c r="D860" t="inlineStr">
        <is>
          <t>SÖDERMANLANDS LÄN</t>
        </is>
      </c>
      <c r="E860" t="inlineStr">
        <is>
          <t>KATRINEHOLM</t>
        </is>
      </c>
      <c r="G860" t="n">
        <v>0.6</v>
      </c>
      <c r="H860" t="n">
        <v>0</v>
      </c>
      <c r="I860" t="n">
        <v>0</v>
      </c>
      <c r="J860" t="n">
        <v>0</v>
      </c>
      <c r="K860" t="n">
        <v>0</v>
      </c>
      <c r="L860" t="n">
        <v>0</v>
      </c>
      <c r="M860" t="n">
        <v>0</v>
      </c>
      <c r="N860" t="n">
        <v>0</v>
      </c>
      <c r="O860" t="n">
        <v>0</v>
      </c>
      <c r="P860" t="n">
        <v>0</v>
      </c>
      <c r="Q860" t="n">
        <v>0</v>
      </c>
      <c r="R860" s="2" t="inlineStr"/>
    </row>
    <row r="861" ht="15" customHeight="1">
      <c r="A861" t="inlineStr">
        <is>
          <t>A 12935-2023</t>
        </is>
      </c>
      <c r="B861" s="1" t="n">
        <v>45001</v>
      </c>
      <c r="C861" s="1" t="n">
        <v>45825</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12929-2023</t>
        </is>
      </c>
      <c r="B862" s="1" t="n">
        <v>45001</v>
      </c>
      <c r="C862" s="1" t="n">
        <v>45825</v>
      </c>
      <c r="D862" t="inlineStr">
        <is>
          <t>SÖDERMANLANDS LÄN</t>
        </is>
      </c>
      <c r="E862" t="inlineStr">
        <is>
          <t>KATRINEHOLM</t>
        </is>
      </c>
      <c r="G862" t="n">
        <v>3.1</v>
      </c>
      <c r="H862" t="n">
        <v>0</v>
      </c>
      <c r="I862" t="n">
        <v>0</v>
      </c>
      <c r="J862" t="n">
        <v>0</v>
      </c>
      <c r="K862" t="n">
        <v>0</v>
      </c>
      <c r="L862" t="n">
        <v>0</v>
      </c>
      <c r="M862" t="n">
        <v>0</v>
      </c>
      <c r="N862" t="n">
        <v>0</v>
      </c>
      <c r="O862" t="n">
        <v>0</v>
      </c>
      <c r="P862" t="n">
        <v>0</v>
      </c>
      <c r="Q862" t="n">
        <v>0</v>
      </c>
      <c r="R862" s="2" t="inlineStr"/>
    </row>
    <row r="863" ht="15" customHeight="1">
      <c r="A863" t="inlineStr">
        <is>
          <t>A 12937-2023</t>
        </is>
      </c>
      <c r="B863" s="1" t="n">
        <v>45001</v>
      </c>
      <c r="C863" s="1" t="n">
        <v>45825</v>
      </c>
      <c r="D863" t="inlineStr">
        <is>
          <t>SÖDERMANLANDS LÄN</t>
        </is>
      </c>
      <c r="E863" t="inlineStr">
        <is>
          <t>KATRINEHOLM</t>
        </is>
      </c>
      <c r="G863" t="n">
        <v>0.9</v>
      </c>
      <c r="H863" t="n">
        <v>0</v>
      </c>
      <c r="I863" t="n">
        <v>0</v>
      </c>
      <c r="J863" t="n">
        <v>0</v>
      </c>
      <c r="K863" t="n">
        <v>0</v>
      </c>
      <c r="L863" t="n">
        <v>0</v>
      </c>
      <c r="M863" t="n">
        <v>0</v>
      </c>
      <c r="N863" t="n">
        <v>0</v>
      </c>
      <c r="O863" t="n">
        <v>0</v>
      </c>
      <c r="P863" t="n">
        <v>0</v>
      </c>
      <c r="Q863" t="n">
        <v>0</v>
      </c>
      <c r="R863" s="2" t="inlineStr"/>
    </row>
    <row r="864" ht="15" customHeight="1">
      <c r="A864" t="inlineStr">
        <is>
          <t>A 13113-2023</t>
        </is>
      </c>
      <c r="B864" s="1" t="n">
        <v>45002</v>
      </c>
      <c r="C864" s="1" t="n">
        <v>45825</v>
      </c>
      <c r="D864" t="inlineStr">
        <is>
          <t>SÖDERMANLANDS LÄN</t>
        </is>
      </c>
      <c r="E864" t="inlineStr">
        <is>
          <t>KATRINEHOLM</t>
        </is>
      </c>
      <c r="F864" t="inlineStr">
        <is>
          <t>Allmännings- och besparingsskogar</t>
        </is>
      </c>
      <c r="G864" t="n">
        <v>3.6</v>
      </c>
      <c r="H864" t="n">
        <v>0</v>
      </c>
      <c r="I864" t="n">
        <v>0</v>
      </c>
      <c r="J864" t="n">
        <v>0</v>
      </c>
      <c r="K864" t="n">
        <v>0</v>
      </c>
      <c r="L864" t="n">
        <v>0</v>
      </c>
      <c r="M864" t="n">
        <v>0</v>
      </c>
      <c r="N864" t="n">
        <v>0</v>
      </c>
      <c r="O864" t="n">
        <v>0</v>
      </c>
      <c r="P864" t="n">
        <v>0</v>
      </c>
      <c r="Q864" t="n">
        <v>0</v>
      </c>
      <c r="R864" s="2" t="inlineStr"/>
    </row>
    <row r="865" ht="15" customHeight="1">
      <c r="A865" t="inlineStr">
        <is>
          <t>A 13086-2023</t>
        </is>
      </c>
      <c r="B865" s="1" t="n">
        <v>45002</v>
      </c>
      <c r="C865" s="1" t="n">
        <v>45825</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13612-2023</t>
        </is>
      </c>
      <c r="B866" s="1" t="n">
        <v>45006</v>
      </c>
      <c r="C866" s="1" t="n">
        <v>45825</v>
      </c>
      <c r="D866" t="inlineStr">
        <is>
          <t>SÖDERMANLANDS LÄN</t>
        </is>
      </c>
      <c r="E866" t="inlineStr">
        <is>
          <t>KATRINEHOLM</t>
        </is>
      </c>
      <c r="G866" t="n">
        <v>2.3</v>
      </c>
      <c r="H866" t="n">
        <v>0</v>
      </c>
      <c r="I866" t="n">
        <v>0</v>
      </c>
      <c r="J866" t="n">
        <v>0</v>
      </c>
      <c r="K866" t="n">
        <v>0</v>
      </c>
      <c r="L866" t="n">
        <v>0</v>
      </c>
      <c r="M866" t="n">
        <v>0</v>
      </c>
      <c r="N866" t="n">
        <v>0</v>
      </c>
      <c r="O866" t="n">
        <v>0</v>
      </c>
      <c r="P866" t="n">
        <v>0</v>
      </c>
      <c r="Q866" t="n">
        <v>0</v>
      </c>
      <c r="R866" s="2" t="inlineStr"/>
    </row>
    <row r="867" ht="15" customHeight="1">
      <c r="A867" t="inlineStr">
        <is>
          <t>A 13610-2023</t>
        </is>
      </c>
      <c r="B867" s="1" t="n">
        <v>45006</v>
      </c>
      <c r="C867" s="1" t="n">
        <v>45825</v>
      </c>
      <c r="D867" t="inlineStr">
        <is>
          <t>SÖDERMANLANDS LÄN</t>
        </is>
      </c>
      <c r="E867" t="inlineStr">
        <is>
          <t>KATRINEHOLM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13658-2023</t>
        </is>
      </c>
      <c r="B868" s="1" t="n">
        <v>45006</v>
      </c>
      <c r="C868" s="1" t="n">
        <v>45825</v>
      </c>
      <c r="D868" t="inlineStr">
        <is>
          <t>SÖDERMANLANDS LÄN</t>
        </is>
      </c>
      <c r="E868" t="inlineStr">
        <is>
          <t>KATRINEHOLM</t>
        </is>
      </c>
      <c r="F868" t="inlineStr">
        <is>
          <t>Kyrkan</t>
        </is>
      </c>
      <c r="G868" t="n">
        <v>24.3</v>
      </c>
      <c r="H868" t="n">
        <v>0</v>
      </c>
      <c r="I868" t="n">
        <v>0</v>
      </c>
      <c r="J868" t="n">
        <v>0</v>
      </c>
      <c r="K868" t="n">
        <v>0</v>
      </c>
      <c r="L868" t="n">
        <v>0</v>
      </c>
      <c r="M868" t="n">
        <v>0</v>
      </c>
      <c r="N868" t="n">
        <v>0</v>
      </c>
      <c r="O868" t="n">
        <v>0</v>
      </c>
      <c r="P868" t="n">
        <v>0</v>
      </c>
      <c r="Q868" t="n">
        <v>0</v>
      </c>
      <c r="R868" s="2" t="inlineStr"/>
    </row>
    <row r="869" ht="15" customHeight="1">
      <c r="A869" t="inlineStr">
        <is>
          <t>A 14478-2023</t>
        </is>
      </c>
      <c r="B869" s="1" t="n">
        <v>45012</v>
      </c>
      <c r="C869" s="1" t="n">
        <v>45825</v>
      </c>
      <c r="D869" t="inlineStr">
        <is>
          <t>SÖDERMANLANDS LÄN</t>
        </is>
      </c>
      <c r="E869" t="inlineStr">
        <is>
          <t>KATRINEHOLM</t>
        </is>
      </c>
      <c r="G869" t="n">
        <v>3.9</v>
      </c>
      <c r="H869" t="n">
        <v>0</v>
      </c>
      <c r="I869" t="n">
        <v>0</v>
      </c>
      <c r="J869" t="n">
        <v>0</v>
      </c>
      <c r="K869" t="n">
        <v>0</v>
      </c>
      <c r="L869" t="n">
        <v>0</v>
      </c>
      <c r="M869" t="n">
        <v>0</v>
      </c>
      <c r="N869" t="n">
        <v>0</v>
      </c>
      <c r="O869" t="n">
        <v>0</v>
      </c>
      <c r="P869" t="n">
        <v>0</v>
      </c>
      <c r="Q869" t="n">
        <v>0</v>
      </c>
      <c r="R869" s="2" t="inlineStr"/>
    </row>
    <row r="870" ht="15" customHeight="1">
      <c r="A870" t="inlineStr">
        <is>
          <t>A 14629-2023</t>
        </is>
      </c>
      <c r="B870" s="1" t="n">
        <v>45013</v>
      </c>
      <c r="C870" s="1" t="n">
        <v>45825</v>
      </c>
      <c r="D870" t="inlineStr">
        <is>
          <t>SÖDERMANLANDS LÄN</t>
        </is>
      </c>
      <c r="E870" t="inlineStr">
        <is>
          <t>KATRINEHOLM</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15184-2023</t>
        </is>
      </c>
      <c r="B871" s="1" t="n">
        <v>45016</v>
      </c>
      <c r="C871" s="1" t="n">
        <v>45825</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15396-2023</t>
        </is>
      </c>
      <c r="B872" s="1" t="n">
        <v>45016</v>
      </c>
      <c r="C872" s="1" t="n">
        <v>45825</v>
      </c>
      <c r="D872" t="inlineStr">
        <is>
          <t>SÖDERMANLANDS LÄN</t>
        </is>
      </c>
      <c r="E872" t="inlineStr">
        <is>
          <t>KATRINEHOLM</t>
        </is>
      </c>
      <c r="F872" t="inlineStr">
        <is>
          <t>Övriga Aktiebolag</t>
        </is>
      </c>
      <c r="G872" t="n">
        <v>6.3</v>
      </c>
      <c r="H872" t="n">
        <v>0</v>
      </c>
      <c r="I872" t="n">
        <v>0</v>
      </c>
      <c r="J872" t="n">
        <v>0</v>
      </c>
      <c r="K872" t="n">
        <v>0</v>
      </c>
      <c r="L872" t="n">
        <v>0</v>
      </c>
      <c r="M872" t="n">
        <v>0</v>
      </c>
      <c r="N872" t="n">
        <v>0</v>
      </c>
      <c r="O872" t="n">
        <v>0</v>
      </c>
      <c r="P872" t="n">
        <v>0</v>
      </c>
      <c r="Q872" t="n">
        <v>0</v>
      </c>
      <c r="R872" s="2" t="inlineStr"/>
    </row>
    <row r="873" ht="15" customHeight="1">
      <c r="A873" t="inlineStr">
        <is>
          <t>A 15392-2023</t>
        </is>
      </c>
      <c r="B873" s="1" t="n">
        <v>45016</v>
      </c>
      <c r="C873" s="1" t="n">
        <v>45825</v>
      </c>
      <c r="D873" t="inlineStr">
        <is>
          <t>SÖDERMANLANDS LÄN</t>
        </is>
      </c>
      <c r="E873" t="inlineStr">
        <is>
          <t>KATRINEHOLM</t>
        </is>
      </c>
      <c r="F873" t="inlineStr">
        <is>
          <t>Övriga Aktiebolag</t>
        </is>
      </c>
      <c r="G873" t="n">
        <v>2.7</v>
      </c>
      <c r="H873" t="n">
        <v>0</v>
      </c>
      <c r="I873" t="n">
        <v>0</v>
      </c>
      <c r="J873" t="n">
        <v>0</v>
      </c>
      <c r="K873" t="n">
        <v>0</v>
      </c>
      <c r="L873" t="n">
        <v>0</v>
      </c>
      <c r="M873" t="n">
        <v>0</v>
      </c>
      <c r="N873" t="n">
        <v>0</v>
      </c>
      <c r="O873" t="n">
        <v>0</v>
      </c>
      <c r="P873" t="n">
        <v>0</v>
      </c>
      <c r="Q873" t="n">
        <v>0</v>
      </c>
      <c r="R873" s="2" t="inlineStr"/>
    </row>
    <row r="874" ht="15" customHeight="1">
      <c r="A874" t="inlineStr">
        <is>
          <t>A 15235-2023</t>
        </is>
      </c>
      <c r="B874" s="1" t="n">
        <v>45019</v>
      </c>
      <c r="C874" s="1" t="n">
        <v>45825</v>
      </c>
      <c r="D874" t="inlineStr">
        <is>
          <t>SÖDERMANLANDS LÄN</t>
        </is>
      </c>
      <c r="E874" t="inlineStr">
        <is>
          <t>KATRINEHOLM</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15284-2023</t>
        </is>
      </c>
      <c r="B875" s="1" t="n">
        <v>45019</v>
      </c>
      <c r="C875" s="1" t="n">
        <v>45825</v>
      </c>
      <c r="D875" t="inlineStr">
        <is>
          <t>SÖDERMANLANDS LÄN</t>
        </is>
      </c>
      <c r="E875" t="inlineStr">
        <is>
          <t>KATRINEHOLM</t>
        </is>
      </c>
      <c r="F875" t="inlineStr">
        <is>
          <t>Allmännings- och besparingsskogar</t>
        </is>
      </c>
      <c r="G875" t="n">
        <v>17.4</v>
      </c>
      <c r="H875" t="n">
        <v>0</v>
      </c>
      <c r="I875" t="n">
        <v>0</v>
      </c>
      <c r="J875" t="n">
        <v>0</v>
      </c>
      <c r="K875" t="n">
        <v>0</v>
      </c>
      <c r="L875" t="n">
        <v>0</v>
      </c>
      <c r="M875" t="n">
        <v>0</v>
      </c>
      <c r="N875" t="n">
        <v>0</v>
      </c>
      <c r="O875" t="n">
        <v>0</v>
      </c>
      <c r="P875" t="n">
        <v>0</v>
      </c>
      <c r="Q875" t="n">
        <v>0</v>
      </c>
      <c r="R875" s="2" t="inlineStr"/>
    </row>
    <row r="876" ht="15" customHeight="1">
      <c r="A876" t="inlineStr">
        <is>
          <t>A 15775-2023</t>
        </is>
      </c>
      <c r="B876" s="1" t="n">
        <v>45020</v>
      </c>
      <c r="C876" s="1" t="n">
        <v>45825</v>
      </c>
      <c r="D876" t="inlineStr">
        <is>
          <t>SÖDERMANLANDS LÄN</t>
        </is>
      </c>
      <c r="E876" t="inlineStr">
        <is>
          <t>KATRINEHOLM</t>
        </is>
      </c>
      <c r="G876" t="n">
        <v>39.4</v>
      </c>
      <c r="H876" t="n">
        <v>0</v>
      </c>
      <c r="I876" t="n">
        <v>0</v>
      </c>
      <c r="J876" t="n">
        <v>0</v>
      </c>
      <c r="K876" t="n">
        <v>0</v>
      </c>
      <c r="L876" t="n">
        <v>0</v>
      </c>
      <c r="M876" t="n">
        <v>0</v>
      </c>
      <c r="N876" t="n">
        <v>0</v>
      </c>
      <c r="O876" t="n">
        <v>0</v>
      </c>
      <c r="P876" t="n">
        <v>0</v>
      </c>
      <c r="Q876" t="n">
        <v>0</v>
      </c>
      <c r="R876" s="2" t="inlineStr"/>
    </row>
    <row r="877" ht="15" customHeight="1">
      <c r="A877" t="inlineStr">
        <is>
          <t>A 16087-2023</t>
        </is>
      </c>
      <c r="B877" s="1" t="n">
        <v>45026</v>
      </c>
      <c r="C877" s="1" t="n">
        <v>45825</v>
      </c>
      <c r="D877" t="inlineStr">
        <is>
          <t>SÖDERMANLANDS LÄN</t>
        </is>
      </c>
      <c r="E877" t="inlineStr">
        <is>
          <t>KATRINEHOLM</t>
        </is>
      </c>
      <c r="G877" t="n">
        <v>2</v>
      </c>
      <c r="H877" t="n">
        <v>0</v>
      </c>
      <c r="I877" t="n">
        <v>0</v>
      </c>
      <c r="J877" t="n">
        <v>0</v>
      </c>
      <c r="K877" t="n">
        <v>0</v>
      </c>
      <c r="L877" t="n">
        <v>0</v>
      </c>
      <c r="M877" t="n">
        <v>0</v>
      </c>
      <c r="N877" t="n">
        <v>0</v>
      </c>
      <c r="O877" t="n">
        <v>0</v>
      </c>
      <c r="P877" t="n">
        <v>0</v>
      </c>
      <c r="Q877" t="n">
        <v>0</v>
      </c>
      <c r="R877" s="2" t="inlineStr"/>
    </row>
    <row r="878" ht="15" customHeight="1">
      <c r="A878" t="inlineStr">
        <is>
          <t>A 16732-2023</t>
        </is>
      </c>
      <c r="B878" s="1" t="n">
        <v>45030</v>
      </c>
      <c r="C878" s="1" t="n">
        <v>45825</v>
      </c>
      <c r="D878" t="inlineStr">
        <is>
          <t>SÖDERMANLANDS LÄN</t>
        </is>
      </c>
      <c r="E878" t="inlineStr">
        <is>
          <t>KATRINEHOLM</t>
        </is>
      </c>
      <c r="F878" t="inlineStr">
        <is>
          <t>Holmen skog AB</t>
        </is>
      </c>
      <c r="G878" t="n">
        <v>6.5</v>
      </c>
      <c r="H878" t="n">
        <v>0</v>
      </c>
      <c r="I878" t="n">
        <v>0</v>
      </c>
      <c r="J878" t="n">
        <v>0</v>
      </c>
      <c r="K878" t="n">
        <v>0</v>
      </c>
      <c r="L878" t="n">
        <v>0</v>
      </c>
      <c r="M878" t="n">
        <v>0</v>
      </c>
      <c r="N878" t="n">
        <v>0</v>
      </c>
      <c r="O878" t="n">
        <v>0</v>
      </c>
      <c r="P878" t="n">
        <v>0</v>
      </c>
      <c r="Q878" t="n">
        <v>0</v>
      </c>
      <c r="R878" s="2" t="inlineStr"/>
    </row>
    <row r="879" ht="15" customHeight="1">
      <c r="A879" t="inlineStr">
        <is>
          <t>A 16738-2023</t>
        </is>
      </c>
      <c r="B879" s="1" t="n">
        <v>45030</v>
      </c>
      <c r="C879" s="1" t="n">
        <v>45825</v>
      </c>
      <c r="D879" t="inlineStr">
        <is>
          <t>SÖDERMANLANDS LÄN</t>
        </is>
      </c>
      <c r="E879" t="inlineStr">
        <is>
          <t>KATRINEHOLM</t>
        </is>
      </c>
      <c r="F879" t="inlineStr">
        <is>
          <t>Holmen skog AB</t>
        </is>
      </c>
      <c r="G879" t="n">
        <v>15.1</v>
      </c>
      <c r="H879" t="n">
        <v>0</v>
      </c>
      <c r="I879" t="n">
        <v>0</v>
      </c>
      <c r="J879" t="n">
        <v>0</v>
      </c>
      <c r="K879" t="n">
        <v>0</v>
      </c>
      <c r="L879" t="n">
        <v>0</v>
      </c>
      <c r="M879" t="n">
        <v>0</v>
      </c>
      <c r="N879" t="n">
        <v>0</v>
      </c>
      <c r="O879" t="n">
        <v>0</v>
      </c>
      <c r="P879" t="n">
        <v>0</v>
      </c>
      <c r="Q879" t="n">
        <v>0</v>
      </c>
      <c r="R879" s="2" t="inlineStr"/>
    </row>
    <row r="880" ht="15" customHeight="1">
      <c r="A880" t="inlineStr">
        <is>
          <t>A 17335-2023</t>
        </is>
      </c>
      <c r="B880" s="1" t="n">
        <v>45033</v>
      </c>
      <c r="C880" s="1" t="n">
        <v>45825</v>
      </c>
      <c r="D880" t="inlineStr">
        <is>
          <t>SÖDERMANLANDS LÄN</t>
        </is>
      </c>
      <c r="E880" t="inlineStr">
        <is>
          <t>KATRINEHOLM</t>
        </is>
      </c>
      <c r="G880" t="n">
        <v>3.3</v>
      </c>
      <c r="H880" t="n">
        <v>0</v>
      </c>
      <c r="I880" t="n">
        <v>0</v>
      </c>
      <c r="J880" t="n">
        <v>0</v>
      </c>
      <c r="K880" t="n">
        <v>0</v>
      </c>
      <c r="L880" t="n">
        <v>0</v>
      </c>
      <c r="M880" t="n">
        <v>0</v>
      </c>
      <c r="N880" t="n">
        <v>0</v>
      </c>
      <c r="O880" t="n">
        <v>0</v>
      </c>
      <c r="P880" t="n">
        <v>0</v>
      </c>
      <c r="Q880" t="n">
        <v>0</v>
      </c>
      <c r="R880" s="2" t="inlineStr"/>
    </row>
    <row r="881" ht="15" customHeight="1">
      <c r="A881" t="inlineStr">
        <is>
          <t>A 17362-2023</t>
        </is>
      </c>
      <c r="B881" s="1" t="n">
        <v>45033</v>
      </c>
      <c r="C881" s="1" t="n">
        <v>45825</v>
      </c>
      <c r="D881" t="inlineStr">
        <is>
          <t>SÖDERMANLANDS LÄN</t>
        </is>
      </c>
      <c r="E881" t="inlineStr">
        <is>
          <t>KATRINEHOLM</t>
        </is>
      </c>
      <c r="G881" t="n">
        <v>15.1</v>
      </c>
      <c r="H881" t="n">
        <v>0</v>
      </c>
      <c r="I881" t="n">
        <v>0</v>
      </c>
      <c r="J881" t="n">
        <v>0</v>
      </c>
      <c r="K881" t="n">
        <v>0</v>
      </c>
      <c r="L881" t="n">
        <v>0</v>
      </c>
      <c r="M881" t="n">
        <v>0</v>
      </c>
      <c r="N881" t="n">
        <v>0</v>
      </c>
      <c r="O881" t="n">
        <v>0</v>
      </c>
      <c r="P881" t="n">
        <v>0</v>
      </c>
      <c r="Q881" t="n">
        <v>0</v>
      </c>
      <c r="R881" s="2" t="inlineStr"/>
    </row>
    <row r="882" ht="15" customHeight="1">
      <c r="A882" t="inlineStr">
        <is>
          <t>A 17531-2023</t>
        </is>
      </c>
      <c r="B882" s="1" t="n">
        <v>45036</v>
      </c>
      <c r="C882" s="1" t="n">
        <v>45825</v>
      </c>
      <c r="D882" t="inlineStr">
        <is>
          <t>SÖDERMANLANDS LÄN</t>
        </is>
      </c>
      <c r="E882" t="inlineStr">
        <is>
          <t>KATRINEHOLM</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17598-2023</t>
        </is>
      </c>
      <c r="B883" s="1" t="n">
        <v>45036</v>
      </c>
      <c r="C883" s="1" t="n">
        <v>45825</v>
      </c>
      <c r="D883" t="inlineStr">
        <is>
          <t>SÖDERMANLANDS LÄN</t>
        </is>
      </c>
      <c r="E883" t="inlineStr">
        <is>
          <t>KATRINEHOLM</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17581-2023</t>
        </is>
      </c>
      <c r="B884" s="1" t="n">
        <v>45036</v>
      </c>
      <c r="C884" s="1" t="n">
        <v>45825</v>
      </c>
      <c r="D884" t="inlineStr">
        <is>
          <t>SÖDERMANLANDS LÄN</t>
        </is>
      </c>
      <c r="E884" t="inlineStr">
        <is>
          <t>KATRINEHOLM</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18112-2023</t>
        </is>
      </c>
      <c r="B885" s="1" t="n">
        <v>45040</v>
      </c>
      <c r="C885" s="1" t="n">
        <v>45825</v>
      </c>
      <c r="D885" t="inlineStr">
        <is>
          <t>SÖDERMANLANDS LÄN</t>
        </is>
      </c>
      <c r="E885" t="inlineStr">
        <is>
          <t>KATRINEHOLM</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17973-2023</t>
        </is>
      </c>
      <c r="B886" s="1" t="n">
        <v>45040</v>
      </c>
      <c r="C886" s="1" t="n">
        <v>45825</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18339-2023</t>
        </is>
      </c>
      <c r="B887" s="1" t="n">
        <v>45041</v>
      </c>
      <c r="C887" s="1" t="n">
        <v>45825</v>
      </c>
      <c r="D887" t="inlineStr">
        <is>
          <t>SÖDERMANLANDS LÄN</t>
        </is>
      </c>
      <c r="E887" t="inlineStr">
        <is>
          <t>KATRINEHOLM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19442-2023</t>
        </is>
      </c>
      <c r="B888" s="1" t="n">
        <v>45050</v>
      </c>
      <c r="C888" s="1" t="n">
        <v>45825</v>
      </c>
      <c r="D888" t="inlineStr">
        <is>
          <t>SÖDERMANLANDS LÄN</t>
        </is>
      </c>
      <c r="E888" t="inlineStr">
        <is>
          <t>KATRINEHOLM</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19452-2023</t>
        </is>
      </c>
      <c r="B889" s="1" t="n">
        <v>45050</v>
      </c>
      <c r="C889" s="1" t="n">
        <v>45825</v>
      </c>
      <c r="D889" t="inlineStr">
        <is>
          <t>SÖDERMANLANDS LÄN</t>
        </is>
      </c>
      <c r="E889" t="inlineStr">
        <is>
          <t>KATRINEHOLM</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19603-2023</t>
        </is>
      </c>
      <c r="B890" s="1" t="n">
        <v>45050</v>
      </c>
      <c r="C890" s="1" t="n">
        <v>45825</v>
      </c>
      <c r="D890" t="inlineStr">
        <is>
          <t>SÖDERMANLANDS LÄN</t>
        </is>
      </c>
      <c r="E890" t="inlineStr">
        <is>
          <t>KATRINEHOLM</t>
        </is>
      </c>
      <c r="F890" t="inlineStr">
        <is>
          <t>Kyrkan</t>
        </is>
      </c>
      <c r="G890" t="n">
        <v>4.4</v>
      </c>
      <c r="H890" t="n">
        <v>0</v>
      </c>
      <c r="I890" t="n">
        <v>0</v>
      </c>
      <c r="J890" t="n">
        <v>0</v>
      </c>
      <c r="K890" t="n">
        <v>0</v>
      </c>
      <c r="L890" t="n">
        <v>0</v>
      </c>
      <c r="M890" t="n">
        <v>0</v>
      </c>
      <c r="N890" t="n">
        <v>0</v>
      </c>
      <c r="O890" t="n">
        <v>0</v>
      </c>
      <c r="P890" t="n">
        <v>0</v>
      </c>
      <c r="Q890" t="n">
        <v>0</v>
      </c>
      <c r="R890" s="2" t="inlineStr"/>
    </row>
    <row r="891" ht="15" customHeight="1">
      <c r="A891" t="inlineStr">
        <is>
          <t>A 19445-2023</t>
        </is>
      </c>
      <c r="B891" s="1" t="n">
        <v>45050</v>
      </c>
      <c r="C891" s="1" t="n">
        <v>45825</v>
      </c>
      <c r="D891" t="inlineStr">
        <is>
          <t>SÖDERMANLANDS LÄN</t>
        </is>
      </c>
      <c r="E891" t="inlineStr">
        <is>
          <t>KATRINEHOLM</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19716-2023</t>
        </is>
      </c>
      <c r="B892" s="1" t="n">
        <v>45051</v>
      </c>
      <c r="C892" s="1" t="n">
        <v>45825</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19653-2023</t>
        </is>
      </c>
      <c r="B893" s="1" t="n">
        <v>45051</v>
      </c>
      <c r="C893" s="1" t="n">
        <v>45825</v>
      </c>
      <c r="D893" t="inlineStr">
        <is>
          <t>SÖDERMANLANDS LÄN</t>
        </is>
      </c>
      <c r="E893" t="inlineStr">
        <is>
          <t>KATRINEHOLM</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20312-2023</t>
        </is>
      </c>
      <c r="B894" s="1" t="n">
        <v>45056</v>
      </c>
      <c r="C894" s="1" t="n">
        <v>45825</v>
      </c>
      <c r="D894" t="inlineStr">
        <is>
          <t>SÖDERMANLANDS LÄN</t>
        </is>
      </c>
      <c r="E894" t="inlineStr">
        <is>
          <t>KATRINEHOLM</t>
        </is>
      </c>
      <c r="G894" t="n">
        <v>10.6</v>
      </c>
      <c r="H894" t="n">
        <v>0</v>
      </c>
      <c r="I894" t="n">
        <v>0</v>
      </c>
      <c r="J894" t="n">
        <v>0</v>
      </c>
      <c r="K894" t="n">
        <v>0</v>
      </c>
      <c r="L894" t="n">
        <v>0</v>
      </c>
      <c r="M894" t="n">
        <v>0</v>
      </c>
      <c r="N894" t="n">
        <v>0</v>
      </c>
      <c r="O894" t="n">
        <v>0</v>
      </c>
      <c r="P894" t="n">
        <v>0</v>
      </c>
      <c r="Q894" t="n">
        <v>0</v>
      </c>
      <c r="R894" s="2" t="inlineStr"/>
    </row>
    <row r="895" ht="15" customHeight="1">
      <c r="A895" t="inlineStr">
        <is>
          <t>A 20351-2023</t>
        </is>
      </c>
      <c r="B895" s="1" t="n">
        <v>45056</v>
      </c>
      <c r="C895" s="1" t="n">
        <v>45825</v>
      </c>
      <c r="D895" t="inlineStr">
        <is>
          <t>SÖDERMANLANDS LÄN</t>
        </is>
      </c>
      <c r="E895" t="inlineStr">
        <is>
          <t>KATRINEHOLM</t>
        </is>
      </c>
      <c r="G895" t="n">
        <v>2.3</v>
      </c>
      <c r="H895" t="n">
        <v>0</v>
      </c>
      <c r="I895" t="n">
        <v>0</v>
      </c>
      <c r="J895" t="n">
        <v>0</v>
      </c>
      <c r="K895" t="n">
        <v>0</v>
      </c>
      <c r="L895" t="n">
        <v>0</v>
      </c>
      <c r="M895" t="n">
        <v>0</v>
      </c>
      <c r="N895" t="n">
        <v>0</v>
      </c>
      <c r="O895" t="n">
        <v>0</v>
      </c>
      <c r="P895" t="n">
        <v>0</v>
      </c>
      <c r="Q895" t="n">
        <v>0</v>
      </c>
      <c r="R895" s="2" t="inlineStr"/>
    </row>
    <row r="896" ht="15" customHeight="1">
      <c r="A896" t="inlineStr">
        <is>
          <t>A 20326-2023</t>
        </is>
      </c>
      <c r="B896" s="1" t="n">
        <v>45056</v>
      </c>
      <c r="C896" s="1" t="n">
        <v>45825</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20305-2023</t>
        </is>
      </c>
      <c r="B897" s="1" t="n">
        <v>45056</v>
      </c>
      <c r="C897" s="1" t="n">
        <v>45825</v>
      </c>
      <c r="D897" t="inlineStr">
        <is>
          <t>SÖDERMANLANDS LÄN</t>
        </is>
      </c>
      <c r="E897" t="inlineStr">
        <is>
          <t>KATRINEHOLM</t>
        </is>
      </c>
      <c r="G897" t="n">
        <v>10.4</v>
      </c>
      <c r="H897" t="n">
        <v>0</v>
      </c>
      <c r="I897" t="n">
        <v>0</v>
      </c>
      <c r="J897" t="n">
        <v>0</v>
      </c>
      <c r="K897" t="n">
        <v>0</v>
      </c>
      <c r="L897" t="n">
        <v>0</v>
      </c>
      <c r="M897" t="n">
        <v>0</v>
      </c>
      <c r="N897" t="n">
        <v>0</v>
      </c>
      <c r="O897" t="n">
        <v>0</v>
      </c>
      <c r="P897" t="n">
        <v>0</v>
      </c>
      <c r="Q897" t="n">
        <v>0</v>
      </c>
      <c r="R897" s="2" t="inlineStr"/>
    </row>
    <row r="898" ht="15" customHeight="1">
      <c r="A898" t="inlineStr">
        <is>
          <t>A 20367-2023</t>
        </is>
      </c>
      <c r="B898" s="1" t="n">
        <v>45056</v>
      </c>
      <c r="C898" s="1" t="n">
        <v>45825</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20921-2023</t>
        </is>
      </c>
      <c r="B899" s="1" t="n">
        <v>45061</v>
      </c>
      <c r="C899" s="1" t="n">
        <v>45825</v>
      </c>
      <c r="D899" t="inlineStr">
        <is>
          <t>SÖDERMANLANDS LÄN</t>
        </is>
      </c>
      <c r="E899" t="inlineStr">
        <is>
          <t>KATRINEHOLM</t>
        </is>
      </c>
      <c r="G899" t="n">
        <v>8.9</v>
      </c>
      <c r="H899" t="n">
        <v>0</v>
      </c>
      <c r="I899" t="n">
        <v>0</v>
      </c>
      <c r="J899" t="n">
        <v>0</v>
      </c>
      <c r="K899" t="n">
        <v>0</v>
      </c>
      <c r="L899" t="n">
        <v>0</v>
      </c>
      <c r="M899" t="n">
        <v>0</v>
      </c>
      <c r="N899" t="n">
        <v>0</v>
      </c>
      <c r="O899" t="n">
        <v>0</v>
      </c>
      <c r="P899" t="n">
        <v>0</v>
      </c>
      <c r="Q899" t="n">
        <v>0</v>
      </c>
      <c r="R899" s="2" t="inlineStr"/>
    </row>
    <row r="900" ht="15" customHeight="1">
      <c r="A900" t="inlineStr">
        <is>
          <t>A 21075-2023</t>
        </is>
      </c>
      <c r="B900" s="1" t="n">
        <v>45061</v>
      </c>
      <c r="C900" s="1" t="n">
        <v>45825</v>
      </c>
      <c r="D900" t="inlineStr">
        <is>
          <t>SÖDERMANLANDS LÄN</t>
        </is>
      </c>
      <c r="E900" t="inlineStr">
        <is>
          <t>KATRINEHOLM</t>
        </is>
      </c>
      <c r="G900" t="n">
        <v>1</v>
      </c>
      <c r="H900" t="n">
        <v>0</v>
      </c>
      <c r="I900" t="n">
        <v>0</v>
      </c>
      <c r="J900" t="n">
        <v>0</v>
      </c>
      <c r="K900" t="n">
        <v>0</v>
      </c>
      <c r="L900" t="n">
        <v>0</v>
      </c>
      <c r="M900" t="n">
        <v>0</v>
      </c>
      <c r="N900" t="n">
        <v>0</v>
      </c>
      <c r="O900" t="n">
        <v>0</v>
      </c>
      <c r="P900" t="n">
        <v>0</v>
      </c>
      <c r="Q900" t="n">
        <v>0</v>
      </c>
      <c r="R900" s="2" t="inlineStr"/>
    </row>
    <row r="901" ht="15" customHeight="1">
      <c r="A901" t="inlineStr">
        <is>
          <t>A 21708-2023</t>
        </is>
      </c>
      <c r="B901" s="1" t="n">
        <v>45064</v>
      </c>
      <c r="C901" s="1" t="n">
        <v>45825</v>
      </c>
      <c r="D901" t="inlineStr">
        <is>
          <t>SÖDERMANLANDS LÄN</t>
        </is>
      </c>
      <c r="E901" t="inlineStr">
        <is>
          <t>KATRINEHOLM</t>
        </is>
      </c>
      <c r="G901" t="n">
        <v>5</v>
      </c>
      <c r="H901" t="n">
        <v>0</v>
      </c>
      <c r="I901" t="n">
        <v>0</v>
      </c>
      <c r="J901" t="n">
        <v>0</v>
      </c>
      <c r="K901" t="n">
        <v>0</v>
      </c>
      <c r="L901" t="n">
        <v>0</v>
      </c>
      <c r="M901" t="n">
        <v>0</v>
      </c>
      <c r="N901" t="n">
        <v>0</v>
      </c>
      <c r="O901" t="n">
        <v>0</v>
      </c>
      <c r="P901" t="n">
        <v>0</v>
      </c>
      <c r="Q901" t="n">
        <v>0</v>
      </c>
      <c r="R901" s="2" t="inlineStr"/>
    </row>
    <row r="902" ht="15" customHeight="1">
      <c r="A902" t="inlineStr">
        <is>
          <t>A 22345-2023</t>
        </is>
      </c>
      <c r="B902" s="1" t="n">
        <v>45070</v>
      </c>
      <c r="C902" s="1" t="n">
        <v>45825</v>
      </c>
      <c r="D902" t="inlineStr">
        <is>
          <t>SÖDERMANLANDS LÄN</t>
        </is>
      </c>
      <c r="E902" t="inlineStr">
        <is>
          <t>KATRINEHOLM</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22506-2023</t>
        </is>
      </c>
      <c r="B903" s="1" t="n">
        <v>45071</v>
      </c>
      <c r="C903" s="1" t="n">
        <v>45825</v>
      </c>
      <c r="D903" t="inlineStr">
        <is>
          <t>SÖDERMANLANDS LÄN</t>
        </is>
      </c>
      <c r="E903" t="inlineStr">
        <is>
          <t>KATRINEHOLM</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23207-2023</t>
        </is>
      </c>
      <c r="B904" s="1" t="n">
        <v>45071</v>
      </c>
      <c r="C904" s="1" t="n">
        <v>45825</v>
      </c>
      <c r="D904" t="inlineStr">
        <is>
          <t>SÖDERMANLANDS LÄN</t>
        </is>
      </c>
      <c r="E904" t="inlineStr">
        <is>
          <t>KATRINEHOLM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23463-2023</t>
        </is>
      </c>
      <c r="B905" s="1" t="n">
        <v>45072</v>
      </c>
      <c r="C905" s="1" t="n">
        <v>45825</v>
      </c>
      <c r="D905" t="inlineStr">
        <is>
          <t>SÖDERMANLANDS LÄN</t>
        </is>
      </c>
      <c r="E905" t="inlineStr">
        <is>
          <t>KATRINEHOLM</t>
        </is>
      </c>
      <c r="G905" t="n">
        <v>14</v>
      </c>
      <c r="H905" t="n">
        <v>0</v>
      </c>
      <c r="I905" t="n">
        <v>0</v>
      </c>
      <c r="J905" t="n">
        <v>0</v>
      </c>
      <c r="K905" t="n">
        <v>0</v>
      </c>
      <c r="L905" t="n">
        <v>0</v>
      </c>
      <c r="M905" t="n">
        <v>0</v>
      </c>
      <c r="N905" t="n">
        <v>0</v>
      </c>
      <c r="O905" t="n">
        <v>0</v>
      </c>
      <c r="P905" t="n">
        <v>0</v>
      </c>
      <c r="Q905" t="n">
        <v>0</v>
      </c>
      <c r="R905" s="2" t="inlineStr"/>
    </row>
    <row r="906" ht="15" customHeight="1">
      <c r="A906" t="inlineStr">
        <is>
          <t>A 23127-2023</t>
        </is>
      </c>
      <c r="B906" s="1" t="n">
        <v>45075</v>
      </c>
      <c r="C906" s="1" t="n">
        <v>45825</v>
      </c>
      <c r="D906" t="inlineStr">
        <is>
          <t>SÖDERMANLANDS LÄN</t>
        </is>
      </c>
      <c r="E906" t="inlineStr">
        <is>
          <t>KATRINEHOLM</t>
        </is>
      </c>
      <c r="G906" t="n">
        <v>6.5</v>
      </c>
      <c r="H906" t="n">
        <v>0</v>
      </c>
      <c r="I906" t="n">
        <v>0</v>
      </c>
      <c r="J906" t="n">
        <v>0</v>
      </c>
      <c r="K906" t="n">
        <v>0</v>
      </c>
      <c r="L906" t="n">
        <v>0</v>
      </c>
      <c r="M906" t="n">
        <v>0</v>
      </c>
      <c r="N906" t="n">
        <v>0</v>
      </c>
      <c r="O906" t="n">
        <v>0</v>
      </c>
      <c r="P906" t="n">
        <v>0</v>
      </c>
      <c r="Q906" t="n">
        <v>0</v>
      </c>
      <c r="R906" s="2" t="inlineStr"/>
    </row>
    <row r="907" ht="15" customHeight="1">
      <c r="A907" t="inlineStr">
        <is>
          <t>A 23122-2023</t>
        </is>
      </c>
      <c r="B907" s="1" t="n">
        <v>45075</v>
      </c>
      <c r="C907" s="1" t="n">
        <v>45825</v>
      </c>
      <c r="D907" t="inlineStr">
        <is>
          <t>SÖDERMANLANDS LÄN</t>
        </is>
      </c>
      <c r="E907" t="inlineStr">
        <is>
          <t>KATRINEHOLM</t>
        </is>
      </c>
      <c r="G907" t="n">
        <v>3.1</v>
      </c>
      <c r="H907" t="n">
        <v>0</v>
      </c>
      <c r="I907" t="n">
        <v>0</v>
      </c>
      <c r="J907" t="n">
        <v>0</v>
      </c>
      <c r="K907" t="n">
        <v>0</v>
      </c>
      <c r="L907" t="n">
        <v>0</v>
      </c>
      <c r="M907" t="n">
        <v>0</v>
      </c>
      <c r="N907" t="n">
        <v>0</v>
      </c>
      <c r="O907" t="n">
        <v>0</v>
      </c>
      <c r="P907" t="n">
        <v>0</v>
      </c>
      <c r="Q907" t="n">
        <v>0</v>
      </c>
      <c r="R907" s="2" t="inlineStr"/>
    </row>
    <row r="908" ht="15" customHeight="1">
      <c r="A908" t="inlineStr">
        <is>
          <t>A 23125-2023</t>
        </is>
      </c>
      <c r="B908" s="1" t="n">
        <v>45075</v>
      </c>
      <c r="C908" s="1" t="n">
        <v>45825</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23942-2023</t>
        </is>
      </c>
      <c r="B909" s="1" t="n">
        <v>45075</v>
      </c>
      <c r="C909" s="1" t="n">
        <v>45825</v>
      </c>
      <c r="D909" t="inlineStr">
        <is>
          <t>SÖDERMANLANDS LÄN</t>
        </is>
      </c>
      <c r="E909" t="inlineStr">
        <is>
          <t>KATRINEHOLM</t>
        </is>
      </c>
      <c r="G909" t="n">
        <v>21.5</v>
      </c>
      <c r="H909" t="n">
        <v>0</v>
      </c>
      <c r="I909" t="n">
        <v>0</v>
      </c>
      <c r="J909" t="n">
        <v>0</v>
      </c>
      <c r="K909" t="n">
        <v>0</v>
      </c>
      <c r="L909" t="n">
        <v>0</v>
      </c>
      <c r="M909" t="n">
        <v>0</v>
      </c>
      <c r="N909" t="n">
        <v>0</v>
      </c>
      <c r="O909" t="n">
        <v>0</v>
      </c>
      <c r="P909" t="n">
        <v>0</v>
      </c>
      <c r="Q909" t="n">
        <v>0</v>
      </c>
      <c r="R909" s="2" t="inlineStr"/>
    </row>
    <row r="910" ht="15" customHeight="1">
      <c r="A910" t="inlineStr">
        <is>
          <t>A 23916-2023</t>
        </is>
      </c>
      <c r="B910" s="1" t="n">
        <v>45075</v>
      </c>
      <c r="C910" s="1" t="n">
        <v>45825</v>
      </c>
      <c r="D910" t="inlineStr">
        <is>
          <t>SÖDERMANLANDS LÄN</t>
        </is>
      </c>
      <c r="E910" t="inlineStr">
        <is>
          <t>KATRINEHOLM</t>
        </is>
      </c>
      <c r="G910" t="n">
        <v>8</v>
      </c>
      <c r="H910" t="n">
        <v>0</v>
      </c>
      <c r="I910" t="n">
        <v>0</v>
      </c>
      <c r="J910" t="n">
        <v>0</v>
      </c>
      <c r="K910" t="n">
        <v>0</v>
      </c>
      <c r="L910" t="n">
        <v>0</v>
      </c>
      <c r="M910" t="n">
        <v>0</v>
      </c>
      <c r="N910" t="n">
        <v>0</v>
      </c>
      <c r="O910" t="n">
        <v>0</v>
      </c>
      <c r="P910" t="n">
        <v>0</v>
      </c>
      <c r="Q910" t="n">
        <v>0</v>
      </c>
      <c r="R910" s="2" t="inlineStr"/>
    </row>
    <row r="911" ht="15" customHeight="1">
      <c r="A911" t="inlineStr">
        <is>
          <t>A 23867-2023</t>
        </is>
      </c>
      <c r="B911" s="1" t="n">
        <v>45075</v>
      </c>
      <c r="C911" s="1" t="n">
        <v>45825</v>
      </c>
      <c r="D911" t="inlineStr">
        <is>
          <t>SÖDERMANLANDS LÄN</t>
        </is>
      </c>
      <c r="E911" t="inlineStr">
        <is>
          <t>KATRINEHOLM</t>
        </is>
      </c>
      <c r="G911" t="n">
        <v>18.7</v>
      </c>
      <c r="H911" t="n">
        <v>0</v>
      </c>
      <c r="I911" t="n">
        <v>0</v>
      </c>
      <c r="J911" t="n">
        <v>0</v>
      </c>
      <c r="K911" t="n">
        <v>0</v>
      </c>
      <c r="L911" t="n">
        <v>0</v>
      </c>
      <c r="M911" t="n">
        <v>0</v>
      </c>
      <c r="N911" t="n">
        <v>0</v>
      </c>
      <c r="O911" t="n">
        <v>0</v>
      </c>
      <c r="P911" t="n">
        <v>0</v>
      </c>
      <c r="Q911" t="n">
        <v>0</v>
      </c>
      <c r="R911" s="2" t="inlineStr"/>
    </row>
    <row r="912" ht="15" customHeight="1">
      <c r="A912" t="inlineStr">
        <is>
          <t>A 23842-2023</t>
        </is>
      </c>
      <c r="B912" s="1" t="n">
        <v>45075</v>
      </c>
      <c r="C912" s="1" t="n">
        <v>45825</v>
      </c>
      <c r="D912" t="inlineStr">
        <is>
          <t>SÖDERMANLANDS LÄN</t>
        </is>
      </c>
      <c r="E912" t="inlineStr">
        <is>
          <t>KATRINEHOLM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23341-2023</t>
        </is>
      </c>
      <c r="B913" s="1" t="n">
        <v>45076</v>
      </c>
      <c r="C913" s="1" t="n">
        <v>45825</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23347-2023</t>
        </is>
      </c>
      <c r="B914" s="1" t="n">
        <v>45076</v>
      </c>
      <c r="C914" s="1" t="n">
        <v>45825</v>
      </c>
      <c r="D914" t="inlineStr">
        <is>
          <t>SÖDERMANLANDS LÄN</t>
        </is>
      </c>
      <c r="E914" t="inlineStr">
        <is>
          <t>KATRINEHOLM</t>
        </is>
      </c>
      <c r="G914" t="n">
        <v>4.3</v>
      </c>
      <c r="H914" t="n">
        <v>0</v>
      </c>
      <c r="I914" t="n">
        <v>0</v>
      </c>
      <c r="J914" t="n">
        <v>0</v>
      </c>
      <c r="K914" t="n">
        <v>0</v>
      </c>
      <c r="L914" t="n">
        <v>0</v>
      </c>
      <c r="M914" t="n">
        <v>0</v>
      </c>
      <c r="N914" t="n">
        <v>0</v>
      </c>
      <c r="O914" t="n">
        <v>0</v>
      </c>
      <c r="P914" t="n">
        <v>0</v>
      </c>
      <c r="Q914" t="n">
        <v>0</v>
      </c>
      <c r="R914" s="2" t="inlineStr"/>
    </row>
    <row r="915" ht="15" customHeight="1">
      <c r="A915" t="inlineStr">
        <is>
          <t>A 23438-2023</t>
        </is>
      </c>
      <c r="B915" s="1" t="n">
        <v>45076</v>
      </c>
      <c r="C915" s="1" t="n">
        <v>45825</v>
      </c>
      <c r="D915" t="inlineStr">
        <is>
          <t>SÖDERMANLANDS LÄN</t>
        </is>
      </c>
      <c r="E915" t="inlineStr">
        <is>
          <t>KATRINEHOLM</t>
        </is>
      </c>
      <c r="G915" t="n">
        <v>4.5</v>
      </c>
      <c r="H915" t="n">
        <v>0</v>
      </c>
      <c r="I915" t="n">
        <v>0</v>
      </c>
      <c r="J915" t="n">
        <v>0</v>
      </c>
      <c r="K915" t="n">
        <v>0</v>
      </c>
      <c r="L915" t="n">
        <v>0</v>
      </c>
      <c r="M915" t="n">
        <v>0</v>
      </c>
      <c r="N915" t="n">
        <v>0</v>
      </c>
      <c r="O915" t="n">
        <v>0</v>
      </c>
      <c r="P915" t="n">
        <v>0</v>
      </c>
      <c r="Q915" t="n">
        <v>0</v>
      </c>
      <c r="R915" s="2" t="inlineStr"/>
    </row>
    <row r="916" ht="15" customHeight="1">
      <c r="A916" t="inlineStr">
        <is>
          <t>A 23705-2023</t>
        </is>
      </c>
      <c r="B916" s="1" t="n">
        <v>45077</v>
      </c>
      <c r="C916" s="1" t="n">
        <v>45825</v>
      </c>
      <c r="D916" t="inlineStr">
        <is>
          <t>SÖDERMANLANDS LÄN</t>
        </is>
      </c>
      <c r="E916" t="inlineStr">
        <is>
          <t>KATRINEHOLM</t>
        </is>
      </c>
      <c r="F916" t="inlineStr">
        <is>
          <t>Kyrkan</t>
        </is>
      </c>
      <c r="G916" t="n">
        <v>11.9</v>
      </c>
      <c r="H916" t="n">
        <v>0</v>
      </c>
      <c r="I916" t="n">
        <v>0</v>
      </c>
      <c r="J916" t="n">
        <v>0</v>
      </c>
      <c r="K916" t="n">
        <v>0</v>
      </c>
      <c r="L916" t="n">
        <v>0</v>
      </c>
      <c r="M916" t="n">
        <v>0</v>
      </c>
      <c r="N916" t="n">
        <v>0</v>
      </c>
      <c r="O916" t="n">
        <v>0</v>
      </c>
      <c r="P916" t="n">
        <v>0</v>
      </c>
      <c r="Q916" t="n">
        <v>0</v>
      </c>
      <c r="R916" s="2" t="inlineStr"/>
    </row>
    <row r="917" ht="15" customHeight="1">
      <c r="A917" t="inlineStr">
        <is>
          <t>A 23727-2023</t>
        </is>
      </c>
      <c r="B917" s="1" t="n">
        <v>45077</v>
      </c>
      <c r="C917" s="1" t="n">
        <v>45825</v>
      </c>
      <c r="D917" t="inlineStr">
        <is>
          <t>SÖDERMANLANDS LÄN</t>
        </is>
      </c>
      <c r="E917" t="inlineStr">
        <is>
          <t>KATRINEHOLM</t>
        </is>
      </c>
      <c r="F917" t="inlineStr">
        <is>
          <t>Kyrkan</t>
        </is>
      </c>
      <c r="G917" t="n">
        <v>13.7</v>
      </c>
      <c r="H917" t="n">
        <v>0</v>
      </c>
      <c r="I917" t="n">
        <v>0</v>
      </c>
      <c r="J917" t="n">
        <v>0</v>
      </c>
      <c r="K917" t="n">
        <v>0</v>
      </c>
      <c r="L917" t="n">
        <v>0</v>
      </c>
      <c r="M917" t="n">
        <v>0</v>
      </c>
      <c r="N917" t="n">
        <v>0</v>
      </c>
      <c r="O917" t="n">
        <v>0</v>
      </c>
      <c r="P917" t="n">
        <v>0</v>
      </c>
      <c r="Q917" t="n">
        <v>0</v>
      </c>
      <c r="R917" s="2" t="inlineStr"/>
    </row>
    <row r="918" ht="15" customHeight="1">
      <c r="A918" t="inlineStr">
        <is>
          <t>A 24023-2023</t>
        </is>
      </c>
      <c r="B918" s="1" t="n">
        <v>45078</v>
      </c>
      <c r="C918" s="1" t="n">
        <v>45825</v>
      </c>
      <c r="D918" t="inlineStr">
        <is>
          <t>SÖDERMANLANDS LÄN</t>
        </is>
      </c>
      <c r="E918" t="inlineStr">
        <is>
          <t>KATRINEHOLM</t>
        </is>
      </c>
      <c r="G918" t="n">
        <v>1.3</v>
      </c>
      <c r="H918" t="n">
        <v>0</v>
      </c>
      <c r="I918" t="n">
        <v>0</v>
      </c>
      <c r="J918" t="n">
        <v>0</v>
      </c>
      <c r="K918" t="n">
        <v>0</v>
      </c>
      <c r="L918" t="n">
        <v>0</v>
      </c>
      <c r="M918" t="n">
        <v>0</v>
      </c>
      <c r="N918" t="n">
        <v>0</v>
      </c>
      <c r="O918" t="n">
        <v>0</v>
      </c>
      <c r="P918" t="n">
        <v>0</v>
      </c>
      <c r="Q918" t="n">
        <v>0</v>
      </c>
      <c r="R918" s="2" t="inlineStr"/>
    </row>
    <row r="919" ht="15" customHeight="1">
      <c r="A919" t="inlineStr">
        <is>
          <t>A 24022-2023</t>
        </is>
      </c>
      <c r="B919" s="1" t="n">
        <v>45078</v>
      </c>
      <c r="C919" s="1" t="n">
        <v>45825</v>
      </c>
      <c r="D919" t="inlineStr">
        <is>
          <t>SÖDERMANLANDS LÄN</t>
        </is>
      </c>
      <c r="E919" t="inlineStr">
        <is>
          <t>KATRINEHOLM</t>
        </is>
      </c>
      <c r="G919" t="n">
        <v>7.7</v>
      </c>
      <c r="H919" t="n">
        <v>0</v>
      </c>
      <c r="I919" t="n">
        <v>0</v>
      </c>
      <c r="J919" t="n">
        <v>0</v>
      </c>
      <c r="K919" t="n">
        <v>0</v>
      </c>
      <c r="L919" t="n">
        <v>0</v>
      </c>
      <c r="M919" t="n">
        <v>0</v>
      </c>
      <c r="N919" t="n">
        <v>0</v>
      </c>
      <c r="O919" t="n">
        <v>0</v>
      </c>
      <c r="P919" t="n">
        <v>0</v>
      </c>
      <c r="Q919" t="n">
        <v>0</v>
      </c>
      <c r="R919" s="2" t="inlineStr"/>
    </row>
    <row r="920" ht="15" customHeight="1">
      <c r="A920" t="inlineStr">
        <is>
          <t>A 25379-2023</t>
        </is>
      </c>
      <c r="B920" s="1" t="n">
        <v>45079</v>
      </c>
      <c r="C920" s="1" t="n">
        <v>45825</v>
      </c>
      <c r="D920" t="inlineStr">
        <is>
          <t>SÖDERMANLANDS LÄN</t>
        </is>
      </c>
      <c r="E920" t="inlineStr">
        <is>
          <t>KATRINEHOLM</t>
        </is>
      </c>
      <c r="G920" t="n">
        <v>36.7</v>
      </c>
      <c r="H920" t="n">
        <v>0</v>
      </c>
      <c r="I920" t="n">
        <v>0</v>
      </c>
      <c r="J920" t="n">
        <v>0</v>
      </c>
      <c r="K920" t="n">
        <v>0</v>
      </c>
      <c r="L920" t="n">
        <v>0</v>
      </c>
      <c r="M920" t="n">
        <v>0</v>
      </c>
      <c r="N920" t="n">
        <v>0</v>
      </c>
      <c r="O920" t="n">
        <v>0</v>
      </c>
      <c r="P920" t="n">
        <v>0</v>
      </c>
      <c r="Q920" t="n">
        <v>0</v>
      </c>
      <c r="R920" s="2" t="inlineStr"/>
    </row>
    <row r="921" ht="15" customHeight="1">
      <c r="A921" t="inlineStr">
        <is>
          <t>A 24410-2023</t>
        </is>
      </c>
      <c r="B921" s="1" t="n">
        <v>45082</v>
      </c>
      <c r="C921" s="1" t="n">
        <v>45825</v>
      </c>
      <c r="D921" t="inlineStr">
        <is>
          <t>SÖDERMANLANDS LÄN</t>
        </is>
      </c>
      <c r="E921" t="inlineStr">
        <is>
          <t>KATRINEHOLM</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25362-2023</t>
        </is>
      </c>
      <c r="B922" s="1" t="n">
        <v>45088</v>
      </c>
      <c r="C922" s="1" t="n">
        <v>45825</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25363-2023</t>
        </is>
      </c>
      <c r="B923" s="1" t="n">
        <v>45088</v>
      </c>
      <c r="C923" s="1" t="n">
        <v>45825</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25805-2023</t>
        </is>
      </c>
      <c r="B924" s="1" t="n">
        <v>45090</v>
      </c>
      <c r="C924" s="1" t="n">
        <v>45825</v>
      </c>
      <c r="D924" t="inlineStr">
        <is>
          <t>SÖDERMANLANDS LÄN</t>
        </is>
      </c>
      <c r="E924" t="inlineStr">
        <is>
          <t>KATRINEHOLM</t>
        </is>
      </c>
      <c r="F924" t="inlineStr">
        <is>
          <t>Kyrkan</t>
        </is>
      </c>
      <c r="G924" t="n">
        <v>10</v>
      </c>
      <c r="H924" t="n">
        <v>0</v>
      </c>
      <c r="I924" t="n">
        <v>0</v>
      </c>
      <c r="J924" t="n">
        <v>0</v>
      </c>
      <c r="K924" t="n">
        <v>0</v>
      </c>
      <c r="L924" t="n">
        <v>0</v>
      </c>
      <c r="M924" t="n">
        <v>0</v>
      </c>
      <c r="N924" t="n">
        <v>0</v>
      </c>
      <c r="O924" t="n">
        <v>0</v>
      </c>
      <c r="P924" t="n">
        <v>0</v>
      </c>
      <c r="Q924" t="n">
        <v>0</v>
      </c>
      <c r="R924" s="2" t="inlineStr"/>
    </row>
    <row r="925" ht="15" customHeight="1">
      <c r="A925" t="inlineStr">
        <is>
          <t>A 25823-2023</t>
        </is>
      </c>
      <c r="B925" s="1" t="n">
        <v>45090</v>
      </c>
      <c r="C925" s="1" t="n">
        <v>45825</v>
      </c>
      <c r="D925" t="inlineStr">
        <is>
          <t>SÖDERMANLANDS LÄN</t>
        </is>
      </c>
      <c r="E925" t="inlineStr">
        <is>
          <t>KATRINEHOLM</t>
        </is>
      </c>
      <c r="F925" t="inlineStr">
        <is>
          <t>Kyrkan</t>
        </is>
      </c>
      <c r="G925" t="n">
        <v>10.2</v>
      </c>
      <c r="H925" t="n">
        <v>0</v>
      </c>
      <c r="I925" t="n">
        <v>0</v>
      </c>
      <c r="J925" t="n">
        <v>0</v>
      </c>
      <c r="K925" t="n">
        <v>0</v>
      </c>
      <c r="L925" t="n">
        <v>0</v>
      </c>
      <c r="M925" t="n">
        <v>0</v>
      </c>
      <c r="N925" t="n">
        <v>0</v>
      </c>
      <c r="O925" t="n">
        <v>0</v>
      </c>
      <c r="P925" t="n">
        <v>0</v>
      </c>
      <c r="Q925" t="n">
        <v>0</v>
      </c>
      <c r="R925" s="2" t="inlineStr"/>
    </row>
    <row r="926" ht="15" customHeight="1">
      <c r="A926" t="inlineStr">
        <is>
          <t>A 27026-2023</t>
        </is>
      </c>
      <c r="B926" s="1" t="n">
        <v>45095</v>
      </c>
      <c r="C926" s="1" t="n">
        <v>45825</v>
      </c>
      <c r="D926" t="inlineStr">
        <is>
          <t>SÖDERMANLANDS LÄN</t>
        </is>
      </c>
      <c r="E926" t="inlineStr">
        <is>
          <t>KATRINEHOLM</t>
        </is>
      </c>
      <c r="G926" t="n">
        <v>2.8</v>
      </c>
      <c r="H926" t="n">
        <v>0</v>
      </c>
      <c r="I926" t="n">
        <v>0</v>
      </c>
      <c r="J926" t="n">
        <v>0</v>
      </c>
      <c r="K926" t="n">
        <v>0</v>
      </c>
      <c r="L926" t="n">
        <v>0</v>
      </c>
      <c r="M926" t="n">
        <v>0</v>
      </c>
      <c r="N926" t="n">
        <v>0</v>
      </c>
      <c r="O926" t="n">
        <v>0</v>
      </c>
      <c r="P926" t="n">
        <v>0</v>
      </c>
      <c r="Q926" t="n">
        <v>0</v>
      </c>
      <c r="R926" s="2" t="inlineStr"/>
    </row>
    <row r="927" ht="15" customHeight="1">
      <c r="A927" t="inlineStr">
        <is>
          <t>A 27345-2023</t>
        </is>
      </c>
      <c r="B927" s="1" t="n">
        <v>45096</v>
      </c>
      <c r="C927" s="1" t="n">
        <v>45825</v>
      </c>
      <c r="D927" t="inlineStr">
        <is>
          <t>SÖDERMANLANDS LÄN</t>
        </is>
      </c>
      <c r="E927" t="inlineStr">
        <is>
          <t>KATRINEHOLM</t>
        </is>
      </c>
      <c r="G927" t="n">
        <v>1.4</v>
      </c>
      <c r="H927" t="n">
        <v>0</v>
      </c>
      <c r="I927" t="n">
        <v>0</v>
      </c>
      <c r="J927" t="n">
        <v>0</v>
      </c>
      <c r="K927" t="n">
        <v>0</v>
      </c>
      <c r="L927" t="n">
        <v>0</v>
      </c>
      <c r="M927" t="n">
        <v>0</v>
      </c>
      <c r="N927" t="n">
        <v>0</v>
      </c>
      <c r="O927" t="n">
        <v>0</v>
      </c>
      <c r="P927" t="n">
        <v>0</v>
      </c>
      <c r="Q927" t="n">
        <v>0</v>
      </c>
      <c r="R927" s="2" t="inlineStr"/>
    </row>
    <row r="928" ht="15" customHeight="1">
      <c r="A928" t="inlineStr">
        <is>
          <t>A 27334-2023</t>
        </is>
      </c>
      <c r="B928" s="1" t="n">
        <v>45096</v>
      </c>
      <c r="C928" s="1" t="n">
        <v>45825</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27335-2023</t>
        </is>
      </c>
      <c r="B929" s="1" t="n">
        <v>45096</v>
      </c>
      <c r="C929" s="1" t="n">
        <v>45825</v>
      </c>
      <c r="D929" t="inlineStr">
        <is>
          <t>SÖDERMANLANDS LÄN</t>
        </is>
      </c>
      <c r="E929" t="inlineStr">
        <is>
          <t>KATRINEHOLM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27646-2023</t>
        </is>
      </c>
      <c r="B930" s="1" t="n">
        <v>45097</v>
      </c>
      <c r="C930" s="1" t="n">
        <v>45825</v>
      </c>
      <c r="D930" t="inlineStr">
        <is>
          <t>SÖDERMANLANDS LÄN</t>
        </is>
      </c>
      <c r="E930" t="inlineStr">
        <is>
          <t>KATRINEHOLM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27852-2023</t>
        </is>
      </c>
      <c r="B931" s="1" t="n">
        <v>45098</v>
      </c>
      <c r="C931" s="1" t="n">
        <v>45825</v>
      </c>
      <c r="D931" t="inlineStr">
        <is>
          <t>SÖDERMANLANDS LÄN</t>
        </is>
      </c>
      <c r="E931" t="inlineStr">
        <is>
          <t>KATRINEHOLM</t>
        </is>
      </c>
      <c r="G931" t="n">
        <v>7.4</v>
      </c>
      <c r="H931" t="n">
        <v>0</v>
      </c>
      <c r="I931" t="n">
        <v>0</v>
      </c>
      <c r="J931" t="n">
        <v>0</v>
      </c>
      <c r="K931" t="n">
        <v>0</v>
      </c>
      <c r="L931" t="n">
        <v>0</v>
      </c>
      <c r="M931" t="n">
        <v>0</v>
      </c>
      <c r="N931" t="n">
        <v>0</v>
      </c>
      <c r="O931" t="n">
        <v>0</v>
      </c>
      <c r="P931" t="n">
        <v>0</v>
      </c>
      <c r="Q931" t="n">
        <v>0</v>
      </c>
      <c r="R931" s="2" t="inlineStr"/>
    </row>
    <row r="932" ht="15" customHeight="1">
      <c r="A932" t="inlineStr">
        <is>
          <t>A 27957-2023</t>
        </is>
      </c>
      <c r="B932" s="1" t="n">
        <v>45098</v>
      </c>
      <c r="C932" s="1" t="n">
        <v>45825</v>
      </c>
      <c r="D932" t="inlineStr">
        <is>
          <t>SÖDERMANLANDS LÄN</t>
        </is>
      </c>
      <c r="E932" t="inlineStr">
        <is>
          <t>KATRINEHOLM</t>
        </is>
      </c>
      <c r="G932" t="n">
        <v>6.8</v>
      </c>
      <c r="H932" t="n">
        <v>0</v>
      </c>
      <c r="I932" t="n">
        <v>0</v>
      </c>
      <c r="J932" t="n">
        <v>0</v>
      </c>
      <c r="K932" t="n">
        <v>0</v>
      </c>
      <c r="L932" t="n">
        <v>0</v>
      </c>
      <c r="M932" t="n">
        <v>0</v>
      </c>
      <c r="N932" t="n">
        <v>0</v>
      </c>
      <c r="O932" t="n">
        <v>0</v>
      </c>
      <c r="P932" t="n">
        <v>0</v>
      </c>
      <c r="Q932" t="n">
        <v>0</v>
      </c>
      <c r="R932" s="2" t="inlineStr"/>
    </row>
    <row r="933" ht="15" customHeight="1">
      <c r="A933" t="inlineStr">
        <is>
          <t>A 27962-2023</t>
        </is>
      </c>
      <c r="B933" s="1" t="n">
        <v>45098</v>
      </c>
      <c r="C933" s="1" t="n">
        <v>45825</v>
      </c>
      <c r="D933" t="inlineStr">
        <is>
          <t>SÖDERMANLANDS LÄN</t>
        </is>
      </c>
      <c r="E933" t="inlineStr">
        <is>
          <t>KATRINEHOLM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27955-2023</t>
        </is>
      </c>
      <c r="B934" s="1" t="n">
        <v>45098</v>
      </c>
      <c r="C934" s="1" t="n">
        <v>45825</v>
      </c>
      <c r="D934" t="inlineStr">
        <is>
          <t>SÖDERMANLANDS LÄN</t>
        </is>
      </c>
      <c r="E934" t="inlineStr">
        <is>
          <t>KATRINEHOLM</t>
        </is>
      </c>
      <c r="G934" t="n">
        <v>5.9</v>
      </c>
      <c r="H934" t="n">
        <v>0</v>
      </c>
      <c r="I934" t="n">
        <v>0</v>
      </c>
      <c r="J934" t="n">
        <v>0</v>
      </c>
      <c r="K934" t="n">
        <v>0</v>
      </c>
      <c r="L934" t="n">
        <v>0</v>
      </c>
      <c r="M934" t="n">
        <v>0</v>
      </c>
      <c r="N934" t="n">
        <v>0</v>
      </c>
      <c r="O934" t="n">
        <v>0</v>
      </c>
      <c r="P934" t="n">
        <v>0</v>
      </c>
      <c r="Q934" t="n">
        <v>0</v>
      </c>
      <c r="R934" s="2" t="inlineStr"/>
    </row>
    <row r="935" ht="15" customHeight="1">
      <c r="A935" t="inlineStr">
        <is>
          <t>A 27959-2023</t>
        </is>
      </c>
      <c r="B935" s="1" t="n">
        <v>45098</v>
      </c>
      <c r="C935" s="1" t="n">
        <v>45825</v>
      </c>
      <c r="D935" t="inlineStr">
        <is>
          <t>SÖDERMANLANDS LÄN</t>
        </is>
      </c>
      <c r="E935" t="inlineStr">
        <is>
          <t>KATRINEHOLM</t>
        </is>
      </c>
      <c r="G935" t="n">
        <v>1.4</v>
      </c>
      <c r="H935" t="n">
        <v>0</v>
      </c>
      <c r="I935" t="n">
        <v>0</v>
      </c>
      <c r="J935" t="n">
        <v>0</v>
      </c>
      <c r="K935" t="n">
        <v>0</v>
      </c>
      <c r="L935" t="n">
        <v>0</v>
      </c>
      <c r="M935" t="n">
        <v>0</v>
      </c>
      <c r="N935" t="n">
        <v>0</v>
      </c>
      <c r="O935" t="n">
        <v>0</v>
      </c>
      <c r="P935" t="n">
        <v>0</v>
      </c>
      <c r="Q935" t="n">
        <v>0</v>
      </c>
      <c r="R935" s="2" t="inlineStr"/>
    </row>
    <row r="936" ht="15" customHeight="1">
      <c r="A936" t="inlineStr">
        <is>
          <t>A 30242-2023</t>
        </is>
      </c>
      <c r="B936" s="1" t="n">
        <v>45099</v>
      </c>
      <c r="C936" s="1" t="n">
        <v>45825</v>
      </c>
      <c r="D936" t="inlineStr">
        <is>
          <t>SÖDERMANLANDS LÄN</t>
        </is>
      </c>
      <c r="E936" t="inlineStr">
        <is>
          <t>KATRINEHOLM</t>
        </is>
      </c>
      <c r="G936" t="n">
        <v>3</v>
      </c>
      <c r="H936" t="n">
        <v>0</v>
      </c>
      <c r="I936" t="n">
        <v>0</v>
      </c>
      <c r="J936" t="n">
        <v>0</v>
      </c>
      <c r="K936" t="n">
        <v>0</v>
      </c>
      <c r="L936" t="n">
        <v>0</v>
      </c>
      <c r="M936" t="n">
        <v>0</v>
      </c>
      <c r="N936" t="n">
        <v>0</v>
      </c>
      <c r="O936" t="n">
        <v>0</v>
      </c>
      <c r="P936" t="n">
        <v>0</v>
      </c>
      <c r="Q936" t="n">
        <v>0</v>
      </c>
      <c r="R936" s="2" t="inlineStr"/>
    </row>
    <row r="937" ht="15" customHeight="1">
      <c r="A937" t="inlineStr">
        <is>
          <t>A 28394-2023</t>
        </is>
      </c>
      <c r="B937" s="1" t="n">
        <v>45100</v>
      </c>
      <c r="C937" s="1" t="n">
        <v>45825</v>
      </c>
      <c r="D937" t="inlineStr">
        <is>
          <t>SÖDERMANLANDS LÄN</t>
        </is>
      </c>
      <c r="E937" t="inlineStr">
        <is>
          <t>KATRINEHOLM</t>
        </is>
      </c>
      <c r="G937" t="n">
        <v>4.2</v>
      </c>
      <c r="H937" t="n">
        <v>0</v>
      </c>
      <c r="I937" t="n">
        <v>0</v>
      </c>
      <c r="J937" t="n">
        <v>0</v>
      </c>
      <c r="K937" t="n">
        <v>0</v>
      </c>
      <c r="L937" t="n">
        <v>0</v>
      </c>
      <c r="M937" t="n">
        <v>0</v>
      </c>
      <c r="N937" t="n">
        <v>0</v>
      </c>
      <c r="O937" t="n">
        <v>0</v>
      </c>
      <c r="P937" t="n">
        <v>0</v>
      </c>
      <c r="Q937" t="n">
        <v>0</v>
      </c>
      <c r="R937" s="2" t="inlineStr"/>
    </row>
    <row r="938" ht="15" customHeight="1">
      <c r="A938" t="inlineStr">
        <is>
          <t>A 28508-2023</t>
        </is>
      </c>
      <c r="B938" s="1" t="n">
        <v>45103</v>
      </c>
      <c r="C938" s="1" t="n">
        <v>45825</v>
      </c>
      <c r="D938" t="inlineStr">
        <is>
          <t>SÖDERMANLANDS LÄN</t>
        </is>
      </c>
      <c r="E938" t="inlineStr">
        <is>
          <t>KATRINEHOLM</t>
        </is>
      </c>
      <c r="F938" t="inlineStr">
        <is>
          <t>Kyrkan</t>
        </is>
      </c>
      <c r="G938" t="n">
        <v>20.5</v>
      </c>
      <c r="H938" t="n">
        <v>0</v>
      </c>
      <c r="I938" t="n">
        <v>0</v>
      </c>
      <c r="J938" t="n">
        <v>0</v>
      </c>
      <c r="K938" t="n">
        <v>0</v>
      </c>
      <c r="L938" t="n">
        <v>0</v>
      </c>
      <c r="M938" t="n">
        <v>0</v>
      </c>
      <c r="N938" t="n">
        <v>0</v>
      </c>
      <c r="O938" t="n">
        <v>0</v>
      </c>
      <c r="P938" t="n">
        <v>0</v>
      </c>
      <c r="Q938" t="n">
        <v>0</v>
      </c>
      <c r="R938" s="2" t="inlineStr"/>
    </row>
    <row r="939" ht="15" customHeight="1">
      <c r="A939" t="inlineStr">
        <is>
          <t>A 29198-2023</t>
        </is>
      </c>
      <c r="B939" s="1" t="n">
        <v>45105</v>
      </c>
      <c r="C939" s="1" t="n">
        <v>45825</v>
      </c>
      <c r="D939" t="inlineStr">
        <is>
          <t>SÖDERMANLANDS LÄN</t>
        </is>
      </c>
      <c r="E939" t="inlineStr">
        <is>
          <t>KATRINEHOLM</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29502-2023</t>
        </is>
      </c>
      <c r="B940" s="1" t="n">
        <v>45106</v>
      </c>
      <c r="C940" s="1" t="n">
        <v>45825</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29843-2023</t>
        </is>
      </c>
      <c r="B941" s="1" t="n">
        <v>45107</v>
      </c>
      <c r="C941" s="1" t="n">
        <v>45825</v>
      </c>
      <c r="D941" t="inlineStr">
        <is>
          <t>SÖDERMANLANDS LÄN</t>
        </is>
      </c>
      <c r="E941" t="inlineStr">
        <is>
          <t>KATRINEHOLM</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29830-2023</t>
        </is>
      </c>
      <c r="B942" s="1" t="n">
        <v>45107</v>
      </c>
      <c r="C942" s="1" t="n">
        <v>45825</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29872-2023</t>
        </is>
      </c>
      <c r="B943" s="1" t="n">
        <v>45107</v>
      </c>
      <c r="C943" s="1" t="n">
        <v>45825</v>
      </c>
      <c r="D943" t="inlineStr">
        <is>
          <t>SÖDERMANLANDS LÄN</t>
        </is>
      </c>
      <c r="E943" t="inlineStr">
        <is>
          <t>KATRINEHOLM</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29977-2023</t>
        </is>
      </c>
      <c r="B944" s="1" t="n">
        <v>45108</v>
      </c>
      <c r="C944" s="1" t="n">
        <v>45825</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30039-2023</t>
        </is>
      </c>
      <c r="B945" s="1" t="n">
        <v>45110</v>
      </c>
      <c r="C945" s="1" t="n">
        <v>45825</v>
      </c>
      <c r="D945" t="inlineStr">
        <is>
          <t>SÖDERMANLANDS LÄN</t>
        </is>
      </c>
      <c r="E945" t="inlineStr">
        <is>
          <t>KATRINEHOLM</t>
        </is>
      </c>
      <c r="G945" t="n">
        <v>7.3</v>
      </c>
      <c r="H945" t="n">
        <v>0</v>
      </c>
      <c r="I945" t="n">
        <v>0</v>
      </c>
      <c r="J945" t="n">
        <v>0</v>
      </c>
      <c r="K945" t="n">
        <v>0</v>
      </c>
      <c r="L945" t="n">
        <v>0</v>
      </c>
      <c r="M945" t="n">
        <v>0</v>
      </c>
      <c r="N945" t="n">
        <v>0</v>
      </c>
      <c r="O945" t="n">
        <v>0</v>
      </c>
      <c r="P945" t="n">
        <v>0</v>
      </c>
      <c r="Q945" t="n">
        <v>0</v>
      </c>
      <c r="R945" s="2" t="inlineStr"/>
    </row>
    <row r="946" ht="15" customHeight="1">
      <c r="A946" t="inlineStr">
        <is>
          <t>A 32312-2023</t>
        </is>
      </c>
      <c r="B946" s="1" t="n">
        <v>45110</v>
      </c>
      <c r="C946" s="1" t="n">
        <v>45825</v>
      </c>
      <c r="D946" t="inlineStr">
        <is>
          <t>SÖDERMANLANDS LÄN</t>
        </is>
      </c>
      <c r="E946" t="inlineStr">
        <is>
          <t>KATRINEHOLM</t>
        </is>
      </c>
      <c r="G946" t="n">
        <v>2.1</v>
      </c>
      <c r="H946" t="n">
        <v>0</v>
      </c>
      <c r="I946" t="n">
        <v>0</v>
      </c>
      <c r="J946" t="n">
        <v>0</v>
      </c>
      <c r="K946" t="n">
        <v>0</v>
      </c>
      <c r="L946" t="n">
        <v>0</v>
      </c>
      <c r="M946" t="n">
        <v>0</v>
      </c>
      <c r="N946" t="n">
        <v>0</v>
      </c>
      <c r="O946" t="n">
        <v>0</v>
      </c>
      <c r="P946" t="n">
        <v>0</v>
      </c>
      <c r="Q946" t="n">
        <v>0</v>
      </c>
      <c r="R946" s="2" t="inlineStr"/>
    </row>
    <row r="947" ht="15" customHeight="1">
      <c r="A947" t="inlineStr">
        <is>
          <t>A 30276-2023</t>
        </is>
      </c>
      <c r="B947" s="1" t="n">
        <v>45110</v>
      </c>
      <c r="C947" s="1" t="n">
        <v>45825</v>
      </c>
      <c r="D947" t="inlineStr">
        <is>
          <t>SÖDERMANLANDS LÄN</t>
        </is>
      </c>
      <c r="E947" t="inlineStr">
        <is>
          <t>KATRINEHOLM</t>
        </is>
      </c>
      <c r="G947" t="n">
        <v>2.3</v>
      </c>
      <c r="H947" t="n">
        <v>0</v>
      </c>
      <c r="I947" t="n">
        <v>0</v>
      </c>
      <c r="J947" t="n">
        <v>0</v>
      </c>
      <c r="K947" t="n">
        <v>0</v>
      </c>
      <c r="L947" t="n">
        <v>0</v>
      </c>
      <c r="M947" t="n">
        <v>0</v>
      </c>
      <c r="N947" t="n">
        <v>0</v>
      </c>
      <c r="O947" t="n">
        <v>0</v>
      </c>
      <c r="P947" t="n">
        <v>0</v>
      </c>
      <c r="Q947" t="n">
        <v>0</v>
      </c>
      <c r="R947" s="2" t="inlineStr"/>
    </row>
    <row r="948" ht="15" customHeight="1">
      <c r="A948" t="inlineStr">
        <is>
          <t>A 32320-2023</t>
        </is>
      </c>
      <c r="B948" s="1" t="n">
        <v>45110</v>
      </c>
      <c r="C948" s="1" t="n">
        <v>45825</v>
      </c>
      <c r="D948" t="inlineStr">
        <is>
          <t>SÖDERMANLANDS LÄN</t>
        </is>
      </c>
      <c r="E948" t="inlineStr">
        <is>
          <t>KATRINEHOLM</t>
        </is>
      </c>
      <c r="G948" t="n">
        <v>1.1</v>
      </c>
      <c r="H948" t="n">
        <v>0</v>
      </c>
      <c r="I948" t="n">
        <v>0</v>
      </c>
      <c r="J948" t="n">
        <v>0</v>
      </c>
      <c r="K948" t="n">
        <v>0</v>
      </c>
      <c r="L948" t="n">
        <v>0</v>
      </c>
      <c r="M948" t="n">
        <v>0</v>
      </c>
      <c r="N948" t="n">
        <v>0</v>
      </c>
      <c r="O948" t="n">
        <v>0</v>
      </c>
      <c r="P948" t="n">
        <v>0</v>
      </c>
      <c r="Q948" t="n">
        <v>0</v>
      </c>
      <c r="R948" s="2" t="inlineStr"/>
    </row>
    <row r="949" ht="15" customHeight="1">
      <c r="A949" t="inlineStr">
        <is>
          <t>A 32547-2023</t>
        </is>
      </c>
      <c r="B949" s="1" t="n">
        <v>45110</v>
      </c>
      <c r="C949" s="1" t="n">
        <v>45825</v>
      </c>
      <c r="D949" t="inlineStr">
        <is>
          <t>SÖDERMANLANDS LÄN</t>
        </is>
      </c>
      <c r="E949" t="inlineStr">
        <is>
          <t>KATRINEHOLM</t>
        </is>
      </c>
      <c r="G949" t="n">
        <v>9.5</v>
      </c>
      <c r="H949" t="n">
        <v>0</v>
      </c>
      <c r="I949" t="n">
        <v>0</v>
      </c>
      <c r="J949" t="n">
        <v>0</v>
      </c>
      <c r="K949" t="n">
        <v>0</v>
      </c>
      <c r="L949" t="n">
        <v>0</v>
      </c>
      <c r="M949" t="n">
        <v>0</v>
      </c>
      <c r="N949" t="n">
        <v>0</v>
      </c>
      <c r="O949" t="n">
        <v>0</v>
      </c>
      <c r="P949" t="n">
        <v>0</v>
      </c>
      <c r="Q949" t="n">
        <v>0</v>
      </c>
      <c r="R949" s="2" t="inlineStr"/>
    </row>
    <row r="950" ht="15" customHeight="1">
      <c r="A950" t="inlineStr">
        <is>
          <t>A 30512-2023</t>
        </is>
      </c>
      <c r="B950" s="1" t="n">
        <v>45111</v>
      </c>
      <c r="C950" s="1" t="n">
        <v>45825</v>
      </c>
      <c r="D950" t="inlineStr">
        <is>
          <t>SÖDERMANLANDS LÄN</t>
        </is>
      </c>
      <c r="E950" t="inlineStr">
        <is>
          <t>KATRINEHOLM</t>
        </is>
      </c>
      <c r="G950" t="n">
        <v>2.8</v>
      </c>
      <c r="H950" t="n">
        <v>0</v>
      </c>
      <c r="I950" t="n">
        <v>0</v>
      </c>
      <c r="J950" t="n">
        <v>0</v>
      </c>
      <c r="K950" t="n">
        <v>0</v>
      </c>
      <c r="L950" t="n">
        <v>0</v>
      </c>
      <c r="M950" t="n">
        <v>0</v>
      </c>
      <c r="N950" t="n">
        <v>0</v>
      </c>
      <c r="O950" t="n">
        <v>0</v>
      </c>
      <c r="P950" t="n">
        <v>0</v>
      </c>
      <c r="Q950" t="n">
        <v>0</v>
      </c>
      <c r="R950" s="2" t="inlineStr"/>
    </row>
    <row r="951" ht="15" customHeight="1">
      <c r="A951" t="inlineStr">
        <is>
          <t>A 30517-2023</t>
        </is>
      </c>
      <c r="B951" s="1" t="n">
        <v>45111</v>
      </c>
      <c r="C951" s="1" t="n">
        <v>45825</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30513-2023</t>
        </is>
      </c>
      <c r="B952" s="1" t="n">
        <v>45111</v>
      </c>
      <c r="C952" s="1" t="n">
        <v>45825</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30333-2023</t>
        </is>
      </c>
      <c r="B953" s="1" t="n">
        <v>45111</v>
      </c>
      <c r="C953" s="1" t="n">
        <v>45825</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31215-2023</t>
        </is>
      </c>
      <c r="B954" s="1" t="n">
        <v>45114</v>
      </c>
      <c r="C954" s="1" t="n">
        <v>45825</v>
      </c>
      <c r="D954" t="inlineStr">
        <is>
          <t>SÖDERMANLANDS LÄN</t>
        </is>
      </c>
      <c r="E954" t="inlineStr">
        <is>
          <t>KATRINEHOLM</t>
        </is>
      </c>
      <c r="G954" t="n">
        <v>4.6</v>
      </c>
      <c r="H954" t="n">
        <v>0</v>
      </c>
      <c r="I954" t="n">
        <v>0</v>
      </c>
      <c r="J954" t="n">
        <v>0</v>
      </c>
      <c r="K954" t="n">
        <v>0</v>
      </c>
      <c r="L954" t="n">
        <v>0</v>
      </c>
      <c r="M954" t="n">
        <v>0</v>
      </c>
      <c r="N954" t="n">
        <v>0</v>
      </c>
      <c r="O954" t="n">
        <v>0</v>
      </c>
      <c r="P954" t="n">
        <v>0</v>
      </c>
      <c r="Q954" t="n">
        <v>0</v>
      </c>
      <c r="R954" s="2" t="inlineStr"/>
    </row>
    <row r="955" ht="15" customHeight="1">
      <c r="A955" t="inlineStr">
        <is>
          <t>A 32417-2023</t>
        </is>
      </c>
      <c r="B955" s="1" t="n">
        <v>45120</v>
      </c>
      <c r="C955" s="1" t="n">
        <v>45825</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33752-2023</t>
        </is>
      </c>
      <c r="B956" s="1" t="n">
        <v>45120</v>
      </c>
      <c r="C956" s="1" t="n">
        <v>45825</v>
      </c>
      <c r="D956" t="inlineStr">
        <is>
          <t>SÖDERMANLANDS LÄN</t>
        </is>
      </c>
      <c r="E956" t="inlineStr">
        <is>
          <t>KATRINEHOLM</t>
        </is>
      </c>
      <c r="G956" t="n">
        <v>1</v>
      </c>
      <c r="H956" t="n">
        <v>0</v>
      </c>
      <c r="I956" t="n">
        <v>0</v>
      </c>
      <c r="J956" t="n">
        <v>0</v>
      </c>
      <c r="K956" t="n">
        <v>0</v>
      </c>
      <c r="L956" t="n">
        <v>0</v>
      </c>
      <c r="M956" t="n">
        <v>0</v>
      </c>
      <c r="N956" t="n">
        <v>0</v>
      </c>
      <c r="O956" t="n">
        <v>0</v>
      </c>
      <c r="P956" t="n">
        <v>0</v>
      </c>
      <c r="Q956" t="n">
        <v>0</v>
      </c>
      <c r="R956" s="2" t="inlineStr"/>
    </row>
    <row r="957" ht="15" customHeight="1">
      <c r="A957" t="inlineStr">
        <is>
          <t>A 32818-2023</t>
        </is>
      </c>
      <c r="B957" s="1" t="n">
        <v>45124</v>
      </c>
      <c r="C957" s="1" t="n">
        <v>45825</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32938-2023</t>
        </is>
      </c>
      <c r="B958" s="1" t="n">
        <v>45125</v>
      </c>
      <c r="C958" s="1" t="n">
        <v>45825</v>
      </c>
      <c r="D958" t="inlineStr">
        <is>
          <t>SÖDERMANLANDS LÄN</t>
        </is>
      </c>
      <c r="E958" t="inlineStr">
        <is>
          <t>KATRINEHOLM</t>
        </is>
      </c>
      <c r="G958" t="n">
        <v>5.4</v>
      </c>
      <c r="H958" t="n">
        <v>0</v>
      </c>
      <c r="I958" t="n">
        <v>0</v>
      </c>
      <c r="J958" t="n">
        <v>0</v>
      </c>
      <c r="K958" t="n">
        <v>0</v>
      </c>
      <c r="L958" t="n">
        <v>0</v>
      </c>
      <c r="M958" t="n">
        <v>0</v>
      </c>
      <c r="N958" t="n">
        <v>0</v>
      </c>
      <c r="O958" t="n">
        <v>0</v>
      </c>
      <c r="P958" t="n">
        <v>0</v>
      </c>
      <c r="Q958" t="n">
        <v>0</v>
      </c>
      <c r="R958" s="2" t="inlineStr"/>
    </row>
    <row r="959" ht="15" customHeight="1">
      <c r="A959" t="inlineStr">
        <is>
          <t>A 32944-2023</t>
        </is>
      </c>
      <c r="B959" s="1" t="n">
        <v>45125</v>
      </c>
      <c r="C959" s="1" t="n">
        <v>45825</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32942-2023</t>
        </is>
      </c>
      <c r="B960" s="1" t="n">
        <v>45125</v>
      </c>
      <c r="C960" s="1" t="n">
        <v>45825</v>
      </c>
      <c r="D960" t="inlineStr">
        <is>
          <t>SÖDERMANLANDS LÄN</t>
        </is>
      </c>
      <c r="E960" t="inlineStr">
        <is>
          <t>KATRINEHOLM</t>
        </is>
      </c>
      <c r="G960" t="n">
        <v>4.2</v>
      </c>
      <c r="H960" t="n">
        <v>0</v>
      </c>
      <c r="I960" t="n">
        <v>0</v>
      </c>
      <c r="J960" t="n">
        <v>0</v>
      </c>
      <c r="K960" t="n">
        <v>0</v>
      </c>
      <c r="L960" t="n">
        <v>0</v>
      </c>
      <c r="M960" t="n">
        <v>0</v>
      </c>
      <c r="N960" t="n">
        <v>0</v>
      </c>
      <c r="O960" t="n">
        <v>0</v>
      </c>
      <c r="P960" t="n">
        <v>0</v>
      </c>
      <c r="Q960" t="n">
        <v>0</v>
      </c>
      <c r="R960" s="2" t="inlineStr"/>
    </row>
    <row r="961" ht="15" customHeight="1">
      <c r="A961" t="inlineStr">
        <is>
          <t>A 32962-2023</t>
        </is>
      </c>
      <c r="B961" s="1" t="n">
        <v>45125</v>
      </c>
      <c r="C961" s="1" t="n">
        <v>45825</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33141-2023</t>
        </is>
      </c>
      <c r="B962" s="1" t="n">
        <v>45126</v>
      </c>
      <c r="C962" s="1" t="n">
        <v>45825</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33744-2023</t>
        </is>
      </c>
      <c r="B963" s="1" t="n">
        <v>45133</v>
      </c>
      <c r="C963" s="1" t="n">
        <v>45825</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34133-2023</t>
        </is>
      </c>
      <c r="B964" s="1" t="n">
        <v>45135</v>
      </c>
      <c r="C964" s="1" t="n">
        <v>45825</v>
      </c>
      <c r="D964" t="inlineStr">
        <is>
          <t>SÖDERMANLANDS LÄN</t>
        </is>
      </c>
      <c r="E964" t="inlineStr">
        <is>
          <t>KATRINEHOLM</t>
        </is>
      </c>
      <c r="G964" t="n">
        <v>2.7</v>
      </c>
      <c r="H964" t="n">
        <v>0</v>
      </c>
      <c r="I964" t="n">
        <v>0</v>
      </c>
      <c r="J964" t="n">
        <v>0</v>
      </c>
      <c r="K964" t="n">
        <v>0</v>
      </c>
      <c r="L964" t="n">
        <v>0</v>
      </c>
      <c r="M964" t="n">
        <v>0</v>
      </c>
      <c r="N964" t="n">
        <v>0</v>
      </c>
      <c r="O964" t="n">
        <v>0</v>
      </c>
      <c r="P964" t="n">
        <v>0</v>
      </c>
      <c r="Q964" t="n">
        <v>0</v>
      </c>
      <c r="R964" s="2" t="inlineStr"/>
    </row>
    <row r="965" ht="15" customHeight="1">
      <c r="A965" t="inlineStr">
        <is>
          <t>A 34263-2023</t>
        </is>
      </c>
      <c r="B965" s="1" t="n">
        <v>45138</v>
      </c>
      <c r="C965" s="1" t="n">
        <v>45825</v>
      </c>
      <c r="D965" t="inlineStr">
        <is>
          <t>SÖDERMANLANDS LÄN</t>
        </is>
      </c>
      <c r="E965" t="inlineStr">
        <is>
          <t>KATRINEHOLM</t>
        </is>
      </c>
      <c r="G965" t="n">
        <v>0.7</v>
      </c>
      <c r="H965" t="n">
        <v>0</v>
      </c>
      <c r="I965" t="n">
        <v>0</v>
      </c>
      <c r="J965" t="n">
        <v>0</v>
      </c>
      <c r="K965" t="n">
        <v>0</v>
      </c>
      <c r="L965" t="n">
        <v>0</v>
      </c>
      <c r="M965" t="n">
        <v>0</v>
      </c>
      <c r="N965" t="n">
        <v>0</v>
      </c>
      <c r="O965" t="n">
        <v>0</v>
      </c>
      <c r="P965" t="n">
        <v>0</v>
      </c>
      <c r="Q965" t="n">
        <v>0</v>
      </c>
      <c r="R965" s="2" t="inlineStr"/>
    </row>
    <row r="966" ht="15" customHeight="1">
      <c r="A966" t="inlineStr">
        <is>
          <t>A 34299-2023</t>
        </is>
      </c>
      <c r="B966" s="1" t="n">
        <v>45138</v>
      </c>
      <c r="C966" s="1" t="n">
        <v>45825</v>
      </c>
      <c r="D966" t="inlineStr">
        <is>
          <t>SÖDERMANLANDS LÄN</t>
        </is>
      </c>
      <c r="E966" t="inlineStr">
        <is>
          <t>KATRINEHOLM</t>
        </is>
      </c>
      <c r="G966" t="n">
        <v>1.9</v>
      </c>
      <c r="H966" t="n">
        <v>0</v>
      </c>
      <c r="I966" t="n">
        <v>0</v>
      </c>
      <c r="J966" t="n">
        <v>0</v>
      </c>
      <c r="K966" t="n">
        <v>0</v>
      </c>
      <c r="L966" t="n">
        <v>0</v>
      </c>
      <c r="M966" t="n">
        <v>0</v>
      </c>
      <c r="N966" t="n">
        <v>0</v>
      </c>
      <c r="O966" t="n">
        <v>0</v>
      </c>
      <c r="P966" t="n">
        <v>0</v>
      </c>
      <c r="Q966" t="n">
        <v>0</v>
      </c>
      <c r="R966" s="2" t="inlineStr"/>
    </row>
    <row r="967" ht="15" customHeight="1">
      <c r="A967" t="inlineStr">
        <is>
          <t>A 34613-2023</t>
        </is>
      </c>
      <c r="B967" s="1" t="n">
        <v>45140</v>
      </c>
      <c r="C967" s="1" t="n">
        <v>45825</v>
      </c>
      <c r="D967" t="inlineStr">
        <is>
          <t>SÖDERMANLANDS LÄN</t>
        </is>
      </c>
      <c r="E967" t="inlineStr">
        <is>
          <t>KATRINEHOLM</t>
        </is>
      </c>
      <c r="G967" t="n">
        <v>2.3</v>
      </c>
      <c r="H967" t="n">
        <v>0</v>
      </c>
      <c r="I967" t="n">
        <v>0</v>
      </c>
      <c r="J967" t="n">
        <v>0</v>
      </c>
      <c r="K967" t="n">
        <v>0</v>
      </c>
      <c r="L967" t="n">
        <v>0</v>
      </c>
      <c r="M967" t="n">
        <v>0</v>
      </c>
      <c r="N967" t="n">
        <v>0</v>
      </c>
      <c r="O967" t="n">
        <v>0</v>
      </c>
      <c r="P967" t="n">
        <v>0</v>
      </c>
      <c r="Q967" t="n">
        <v>0</v>
      </c>
      <c r="R967" s="2" t="inlineStr"/>
    </row>
    <row r="968" ht="15" customHeight="1">
      <c r="A968" t="inlineStr">
        <is>
          <t>A 34739-2023</t>
        </is>
      </c>
      <c r="B968" s="1" t="n">
        <v>45141</v>
      </c>
      <c r="C968" s="1" t="n">
        <v>45825</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34731-2023</t>
        </is>
      </c>
      <c r="B969" s="1" t="n">
        <v>45141</v>
      </c>
      <c r="C969" s="1" t="n">
        <v>45825</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34939-2023</t>
        </is>
      </c>
      <c r="B970" s="1" t="n">
        <v>45141</v>
      </c>
      <c r="C970" s="1" t="n">
        <v>45825</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34925-2023</t>
        </is>
      </c>
      <c r="B971" s="1" t="n">
        <v>45141</v>
      </c>
      <c r="C971" s="1" t="n">
        <v>45825</v>
      </c>
      <c r="D971" t="inlineStr">
        <is>
          <t>SÖDERMANLANDS LÄN</t>
        </is>
      </c>
      <c r="E971" t="inlineStr">
        <is>
          <t>KATRINEHOLM</t>
        </is>
      </c>
      <c r="F971" t="inlineStr">
        <is>
          <t>Övriga Aktiebolag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34936-2023</t>
        </is>
      </c>
      <c r="B972" s="1" t="n">
        <v>45141</v>
      </c>
      <c r="C972" s="1" t="n">
        <v>45825</v>
      </c>
      <c r="D972" t="inlineStr">
        <is>
          <t>SÖDERMANLANDS LÄN</t>
        </is>
      </c>
      <c r="E972" t="inlineStr">
        <is>
          <t>KATRINEHOLM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34981-2023</t>
        </is>
      </c>
      <c r="B973" s="1" t="n">
        <v>45142</v>
      </c>
      <c r="C973" s="1" t="n">
        <v>45825</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35740-2023</t>
        </is>
      </c>
      <c r="B974" s="1" t="n">
        <v>45147</v>
      </c>
      <c r="C974" s="1" t="n">
        <v>45825</v>
      </c>
      <c r="D974" t="inlineStr">
        <is>
          <t>SÖDERMANLANDS LÄN</t>
        </is>
      </c>
      <c r="E974" t="inlineStr">
        <is>
          <t>KATRINEHOLM</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35864-2023</t>
        </is>
      </c>
      <c r="B975" s="1" t="n">
        <v>45147</v>
      </c>
      <c r="C975" s="1" t="n">
        <v>45825</v>
      </c>
      <c r="D975" t="inlineStr">
        <is>
          <t>SÖDERMANLANDS LÄN</t>
        </is>
      </c>
      <c r="E975" t="inlineStr">
        <is>
          <t>KATRINEHOLM</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36031-2023</t>
        </is>
      </c>
      <c r="B976" s="1" t="n">
        <v>45148</v>
      </c>
      <c r="C976" s="1" t="n">
        <v>45825</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35996-2023</t>
        </is>
      </c>
      <c r="B977" s="1" t="n">
        <v>45148</v>
      </c>
      <c r="C977" s="1" t="n">
        <v>45825</v>
      </c>
      <c r="D977" t="inlineStr">
        <is>
          <t>SÖDERMANLANDS LÄN</t>
        </is>
      </c>
      <c r="E977" t="inlineStr">
        <is>
          <t>KATRINEHOLM</t>
        </is>
      </c>
      <c r="F977" t="inlineStr">
        <is>
          <t>Övriga Aktiebolag</t>
        </is>
      </c>
      <c r="G977" t="n">
        <v>15.8</v>
      </c>
      <c r="H977" t="n">
        <v>0</v>
      </c>
      <c r="I977" t="n">
        <v>0</v>
      </c>
      <c r="J977" t="n">
        <v>0</v>
      </c>
      <c r="K977" t="n">
        <v>0</v>
      </c>
      <c r="L977" t="n">
        <v>0</v>
      </c>
      <c r="M977" t="n">
        <v>0</v>
      </c>
      <c r="N977" t="n">
        <v>0</v>
      </c>
      <c r="O977" t="n">
        <v>0</v>
      </c>
      <c r="P977" t="n">
        <v>0</v>
      </c>
      <c r="Q977" t="n">
        <v>0</v>
      </c>
      <c r="R977" s="2" t="inlineStr"/>
    </row>
    <row r="978" ht="15" customHeight="1">
      <c r="A978" t="inlineStr">
        <is>
          <t>A 36029-2023</t>
        </is>
      </c>
      <c r="B978" s="1" t="n">
        <v>45148</v>
      </c>
      <c r="C978" s="1" t="n">
        <v>45825</v>
      </c>
      <c r="D978" t="inlineStr">
        <is>
          <t>SÖDERMANLANDS LÄN</t>
        </is>
      </c>
      <c r="E978" t="inlineStr">
        <is>
          <t>KATRINEHOLM</t>
        </is>
      </c>
      <c r="G978" t="n">
        <v>2.6</v>
      </c>
      <c r="H978" t="n">
        <v>0</v>
      </c>
      <c r="I978" t="n">
        <v>0</v>
      </c>
      <c r="J978" t="n">
        <v>0</v>
      </c>
      <c r="K978" t="n">
        <v>0</v>
      </c>
      <c r="L978" t="n">
        <v>0</v>
      </c>
      <c r="M978" t="n">
        <v>0</v>
      </c>
      <c r="N978" t="n">
        <v>0</v>
      </c>
      <c r="O978" t="n">
        <v>0</v>
      </c>
      <c r="P978" t="n">
        <v>0</v>
      </c>
      <c r="Q978" t="n">
        <v>0</v>
      </c>
      <c r="R978" s="2" t="inlineStr"/>
    </row>
    <row r="979" ht="15" customHeight="1">
      <c r="A979" t="inlineStr">
        <is>
          <t>A 36021-2023</t>
        </is>
      </c>
      <c r="B979" s="1" t="n">
        <v>45148</v>
      </c>
      <c r="C979" s="1" t="n">
        <v>45825</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36367-2023</t>
        </is>
      </c>
      <c r="B980" s="1" t="n">
        <v>45152</v>
      </c>
      <c r="C980" s="1" t="n">
        <v>45825</v>
      </c>
      <c r="D980" t="inlineStr">
        <is>
          <t>SÖDERMANLANDS LÄN</t>
        </is>
      </c>
      <c r="E980" t="inlineStr">
        <is>
          <t>KATRINEHOLM</t>
        </is>
      </c>
      <c r="G980" t="n">
        <v>2.8</v>
      </c>
      <c r="H980" t="n">
        <v>0</v>
      </c>
      <c r="I980" t="n">
        <v>0</v>
      </c>
      <c r="J980" t="n">
        <v>0</v>
      </c>
      <c r="K980" t="n">
        <v>0</v>
      </c>
      <c r="L980" t="n">
        <v>0</v>
      </c>
      <c r="M980" t="n">
        <v>0</v>
      </c>
      <c r="N980" t="n">
        <v>0</v>
      </c>
      <c r="O980" t="n">
        <v>0</v>
      </c>
      <c r="P980" t="n">
        <v>0</v>
      </c>
      <c r="Q980" t="n">
        <v>0</v>
      </c>
      <c r="R980" s="2" t="inlineStr"/>
    </row>
    <row r="981" ht="15" customHeight="1">
      <c r="A981" t="inlineStr">
        <is>
          <t>A 36319-2023</t>
        </is>
      </c>
      <c r="B981" s="1" t="n">
        <v>45152</v>
      </c>
      <c r="C981" s="1" t="n">
        <v>45825</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36329-2023</t>
        </is>
      </c>
      <c r="B982" s="1" t="n">
        <v>45152</v>
      </c>
      <c r="C982" s="1" t="n">
        <v>45825</v>
      </c>
      <c r="D982" t="inlineStr">
        <is>
          <t>SÖDERMANLANDS LÄN</t>
        </is>
      </c>
      <c r="E982" t="inlineStr">
        <is>
          <t>KATRINEHOLM</t>
        </is>
      </c>
      <c r="G982" t="n">
        <v>6.8</v>
      </c>
      <c r="H982" t="n">
        <v>0</v>
      </c>
      <c r="I982" t="n">
        <v>0</v>
      </c>
      <c r="J982" t="n">
        <v>0</v>
      </c>
      <c r="K982" t="n">
        <v>0</v>
      </c>
      <c r="L982" t="n">
        <v>0</v>
      </c>
      <c r="M982" t="n">
        <v>0</v>
      </c>
      <c r="N982" t="n">
        <v>0</v>
      </c>
      <c r="O982" t="n">
        <v>0</v>
      </c>
      <c r="P982" t="n">
        <v>0</v>
      </c>
      <c r="Q982" t="n">
        <v>0</v>
      </c>
      <c r="R982" s="2" t="inlineStr"/>
    </row>
    <row r="983" ht="15" customHeight="1">
      <c r="A983" t="inlineStr">
        <is>
          <t>A 36362-2023</t>
        </is>
      </c>
      <c r="B983" s="1" t="n">
        <v>45152</v>
      </c>
      <c r="C983" s="1" t="n">
        <v>45825</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36366-2023</t>
        </is>
      </c>
      <c r="B984" s="1" t="n">
        <v>45152</v>
      </c>
      <c r="C984" s="1" t="n">
        <v>45825</v>
      </c>
      <c r="D984" t="inlineStr">
        <is>
          <t>SÖDERMANLANDS LÄN</t>
        </is>
      </c>
      <c r="E984" t="inlineStr">
        <is>
          <t>KATRINEHOLM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36536-2023</t>
        </is>
      </c>
      <c r="B985" s="1" t="n">
        <v>45153</v>
      </c>
      <c r="C985" s="1" t="n">
        <v>45825</v>
      </c>
      <c r="D985" t="inlineStr">
        <is>
          <t>SÖDERMANLANDS LÄN</t>
        </is>
      </c>
      <c r="E985" t="inlineStr">
        <is>
          <t>KATRINEHOLM</t>
        </is>
      </c>
      <c r="G985" t="n">
        <v>2.3</v>
      </c>
      <c r="H985" t="n">
        <v>0</v>
      </c>
      <c r="I985" t="n">
        <v>0</v>
      </c>
      <c r="J985" t="n">
        <v>0</v>
      </c>
      <c r="K985" t="n">
        <v>0</v>
      </c>
      <c r="L985" t="n">
        <v>0</v>
      </c>
      <c r="M985" t="n">
        <v>0</v>
      </c>
      <c r="N985" t="n">
        <v>0</v>
      </c>
      <c r="O985" t="n">
        <v>0</v>
      </c>
      <c r="P985" t="n">
        <v>0</v>
      </c>
      <c r="Q985" t="n">
        <v>0</v>
      </c>
      <c r="R985" s="2" t="inlineStr"/>
    </row>
    <row r="986" ht="15" customHeight="1">
      <c r="A986" t="inlineStr">
        <is>
          <t>A 36562-2023</t>
        </is>
      </c>
      <c r="B986" s="1" t="n">
        <v>45153</v>
      </c>
      <c r="C986" s="1" t="n">
        <v>45825</v>
      </c>
      <c r="D986" t="inlineStr">
        <is>
          <t>SÖDERMANLANDS LÄN</t>
        </is>
      </c>
      <c r="E986" t="inlineStr">
        <is>
          <t>KATRINEHOLM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36832-2023</t>
        </is>
      </c>
      <c r="B987" s="1" t="n">
        <v>45153</v>
      </c>
      <c r="C987" s="1" t="n">
        <v>45825</v>
      </c>
      <c r="D987" t="inlineStr">
        <is>
          <t>SÖDERMANLANDS LÄN</t>
        </is>
      </c>
      <c r="E987" t="inlineStr">
        <is>
          <t>KATRINEHOLM</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36776-2023</t>
        </is>
      </c>
      <c r="B988" s="1" t="n">
        <v>45154</v>
      </c>
      <c r="C988" s="1" t="n">
        <v>45825</v>
      </c>
      <c r="D988" t="inlineStr">
        <is>
          <t>SÖDERMANLANDS LÄN</t>
        </is>
      </c>
      <c r="E988" t="inlineStr">
        <is>
          <t>KATRINEHOLM</t>
        </is>
      </c>
      <c r="G988" t="n">
        <v>4.3</v>
      </c>
      <c r="H988" t="n">
        <v>0</v>
      </c>
      <c r="I988" t="n">
        <v>0</v>
      </c>
      <c r="J988" t="n">
        <v>0</v>
      </c>
      <c r="K988" t="n">
        <v>0</v>
      </c>
      <c r="L988" t="n">
        <v>0</v>
      </c>
      <c r="M988" t="n">
        <v>0</v>
      </c>
      <c r="N988" t="n">
        <v>0</v>
      </c>
      <c r="O988" t="n">
        <v>0</v>
      </c>
      <c r="P988" t="n">
        <v>0</v>
      </c>
      <c r="Q988" t="n">
        <v>0</v>
      </c>
      <c r="R988" s="2" t="inlineStr"/>
    </row>
    <row r="989" ht="15" customHeight="1">
      <c r="A989" t="inlineStr">
        <is>
          <t>A 36777-2023</t>
        </is>
      </c>
      <c r="B989" s="1" t="n">
        <v>45154</v>
      </c>
      <c r="C989" s="1" t="n">
        <v>45825</v>
      </c>
      <c r="D989" t="inlineStr">
        <is>
          <t>SÖDERMANLANDS LÄN</t>
        </is>
      </c>
      <c r="E989" t="inlineStr">
        <is>
          <t>KATRINEHOLM</t>
        </is>
      </c>
      <c r="G989" t="n">
        <v>2.1</v>
      </c>
      <c r="H989" t="n">
        <v>0</v>
      </c>
      <c r="I989" t="n">
        <v>0</v>
      </c>
      <c r="J989" t="n">
        <v>0</v>
      </c>
      <c r="K989" t="n">
        <v>0</v>
      </c>
      <c r="L989" t="n">
        <v>0</v>
      </c>
      <c r="M989" t="n">
        <v>0</v>
      </c>
      <c r="N989" t="n">
        <v>0</v>
      </c>
      <c r="O989" t="n">
        <v>0</v>
      </c>
      <c r="P989" t="n">
        <v>0</v>
      </c>
      <c r="Q989" t="n">
        <v>0</v>
      </c>
      <c r="R989" s="2" t="inlineStr"/>
    </row>
    <row r="990" ht="15" customHeight="1">
      <c r="A990" t="inlineStr">
        <is>
          <t>A 37185-2023</t>
        </is>
      </c>
      <c r="B990" s="1" t="n">
        <v>45154</v>
      </c>
      <c r="C990" s="1" t="n">
        <v>45825</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37388-2023</t>
        </is>
      </c>
      <c r="B991" s="1" t="n">
        <v>45155</v>
      </c>
      <c r="C991" s="1" t="n">
        <v>45825</v>
      </c>
      <c r="D991" t="inlineStr">
        <is>
          <t>SÖDERMANLANDS LÄN</t>
        </is>
      </c>
      <c r="E991" t="inlineStr">
        <is>
          <t>KATRINEHOLM</t>
        </is>
      </c>
      <c r="G991" t="n">
        <v>8.5</v>
      </c>
      <c r="H991" t="n">
        <v>0</v>
      </c>
      <c r="I991" t="n">
        <v>0</v>
      </c>
      <c r="J991" t="n">
        <v>0</v>
      </c>
      <c r="K991" t="n">
        <v>0</v>
      </c>
      <c r="L991" t="n">
        <v>0</v>
      </c>
      <c r="M991" t="n">
        <v>0</v>
      </c>
      <c r="N991" t="n">
        <v>0</v>
      </c>
      <c r="O991" t="n">
        <v>0</v>
      </c>
      <c r="P991" t="n">
        <v>0</v>
      </c>
      <c r="Q991" t="n">
        <v>0</v>
      </c>
      <c r="R991" s="2" t="inlineStr"/>
    </row>
    <row r="992" ht="15" customHeight="1">
      <c r="A992" t="inlineStr">
        <is>
          <t>A 37176-2023</t>
        </is>
      </c>
      <c r="B992" s="1" t="n">
        <v>45155</v>
      </c>
      <c r="C992" s="1" t="n">
        <v>45825</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37164-2023</t>
        </is>
      </c>
      <c r="B993" s="1" t="n">
        <v>45155</v>
      </c>
      <c r="C993" s="1" t="n">
        <v>45825</v>
      </c>
      <c r="D993" t="inlineStr">
        <is>
          <t>SÖDERMANLANDS LÄN</t>
        </is>
      </c>
      <c r="E993" t="inlineStr">
        <is>
          <t>KATRINEHOLM</t>
        </is>
      </c>
      <c r="G993" t="n">
        <v>1.3</v>
      </c>
      <c r="H993" t="n">
        <v>0</v>
      </c>
      <c r="I993" t="n">
        <v>0</v>
      </c>
      <c r="J993" t="n">
        <v>0</v>
      </c>
      <c r="K993" t="n">
        <v>0</v>
      </c>
      <c r="L993" t="n">
        <v>0</v>
      </c>
      <c r="M993" t="n">
        <v>0</v>
      </c>
      <c r="N993" t="n">
        <v>0</v>
      </c>
      <c r="O993" t="n">
        <v>0</v>
      </c>
      <c r="P993" t="n">
        <v>0</v>
      </c>
      <c r="Q993" t="n">
        <v>0</v>
      </c>
      <c r="R993" s="2" t="inlineStr"/>
    </row>
    <row r="994" ht="15" customHeight="1">
      <c r="A994" t="inlineStr">
        <is>
          <t>A 37845-2023</t>
        </is>
      </c>
      <c r="B994" s="1" t="n">
        <v>45156</v>
      </c>
      <c r="C994" s="1" t="n">
        <v>45825</v>
      </c>
      <c r="D994" t="inlineStr">
        <is>
          <t>SÖDERMANLANDS LÄN</t>
        </is>
      </c>
      <c r="E994" t="inlineStr">
        <is>
          <t>KATRINEHOLM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37650-2023</t>
        </is>
      </c>
      <c r="B995" s="1" t="n">
        <v>45159</v>
      </c>
      <c r="C995" s="1" t="n">
        <v>45825</v>
      </c>
      <c r="D995" t="inlineStr">
        <is>
          <t>SÖDERMANLANDS LÄN</t>
        </is>
      </c>
      <c r="E995" t="inlineStr">
        <is>
          <t>KATRINEHOLM</t>
        </is>
      </c>
      <c r="F995" t="inlineStr">
        <is>
          <t>Kyrkan</t>
        </is>
      </c>
      <c r="G995" t="n">
        <v>29.7</v>
      </c>
      <c r="H995" t="n">
        <v>0</v>
      </c>
      <c r="I995" t="n">
        <v>0</v>
      </c>
      <c r="J995" t="n">
        <v>0</v>
      </c>
      <c r="K995" t="n">
        <v>0</v>
      </c>
      <c r="L995" t="n">
        <v>0</v>
      </c>
      <c r="M995" t="n">
        <v>0</v>
      </c>
      <c r="N995" t="n">
        <v>0</v>
      </c>
      <c r="O995" t="n">
        <v>0</v>
      </c>
      <c r="P995" t="n">
        <v>0</v>
      </c>
      <c r="Q995" t="n">
        <v>0</v>
      </c>
      <c r="R995" s="2" t="inlineStr"/>
    </row>
    <row r="996" ht="15" customHeight="1">
      <c r="A996" t="inlineStr">
        <is>
          <t>A 37834-2023</t>
        </is>
      </c>
      <c r="B996" s="1" t="n">
        <v>45160</v>
      </c>
      <c r="C996" s="1" t="n">
        <v>45825</v>
      </c>
      <c r="D996" t="inlineStr">
        <is>
          <t>SÖDERMANLANDS LÄN</t>
        </is>
      </c>
      <c r="E996" t="inlineStr">
        <is>
          <t>KATRINEHOLM</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39037-2023</t>
        </is>
      </c>
      <c r="B997" s="1" t="n">
        <v>45163</v>
      </c>
      <c r="C997" s="1" t="n">
        <v>45825</v>
      </c>
      <c r="D997" t="inlineStr">
        <is>
          <t>SÖDERMANLANDS LÄN</t>
        </is>
      </c>
      <c r="E997" t="inlineStr">
        <is>
          <t>KATRINEHOLM</t>
        </is>
      </c>
      <c r="G997" t="n">
        <v>10.4</v>
      </c>
      <c r="H997" t="n">
        <v>0</v>
      </c>
      <c r="I997" t="n">
        <v>0</v>
      </c>
      <c r="J997" t="n">
        <v>0</v>
      </c>
      <c r="K997" t="n">
        <v>0</v>
      </c>
      <c r="L997" t="n">
        <v>0</v>
      </c>
      <c r="M997" t="n">
        <v>0</v>
      </c>
      <c r="N997" t="n">
        <v>0</v>
      </c>
      <c r="O997" t="n">
        <v>0</v>
      </c>
      <c r="P997" t="n">
        <v>0</v>
      </c>
      <c r="Q997" t="n">
        <v>0</v>
      </c>
      <c r="R997" s="2" t="inlineStr"/>
    </row>
    <row r="998" ht="15" customHeight="1">
      <c r="A998" t="inlineStr">
        <is>
          <t>A 39038-2023</t>
        </is>
      </c>
      <c r="B998" s="1" t="n">
        <v>45163</v>
      </c>
      <c r="C998" s="1" t="n">
        <v>45825</v>
      </c>
      <c r="D998" t="inlineStr">
        <is>
          <t>SÖDERMANLANDS LÄN</t>
        </is>
      </c>
      <c r="E998" t="inlineStr">
        <is>
          <t>KATRINEHOLM</t>
        </is>
      </c>
      <c r="G998" t="n">
        <v>1.7</v>
      </c>
      <c r="H998" t="n">
        <v>0</v>
      </c>
      <c r="I998" t="n">
        <v>0</v>
      </c>
      <c r="J998" t="n">
        <v>0</v>
      </c>
      <c r="K998" t="n">
        <v>0</v>
      </c>
      <c r="L998" t="n">
        <v>0</v>
      </c>
      <c r="M998" t="n">
        <v>0</v>
      </c>
      <c r="N998" t="n">
        <v>0</v>
      </c>
      <c r="O998" t="n">
        <v>0</v>
      </c>
      <c r="P998" t="n">
        <v>0</v>
      </c>
      <c r="Q998" t="n">
        <v>0</v>
      </c>
      <c r="R998" s="2" t="inlineStr"/>
    </row>
    <row r="999" ht="15" customHeight="1">
      <c r="A999" t="inlineStr">
        <is>
          <t>A 39052-2023</t>
        </is>
      </c>
      <c r="B999" s="1" t="n">
        <v>45163</v>
      </c>
      <c r="C999" s="1" t="n">
        <v>45825</v>
      </c>
      <c r="D999" t="inlineStr">
        <is>
          <t>SÖDERMANLANDS LÄN</t>
        </is>
      </c>
      <c r="E999" t="inlineStr">
        <is>
          <t>KATRINEHOLM</t>
        </is>
      </c>
      <c r="G999" t="n">
        <v>3</v>
      </c>
      <c r="H999" t="n">
        <v>0</v>
      </c>
      <c r="I999" t="n">
        <v>0</v>
      </c>
      <c r="J999" t="n">
        <v>0</v>
      </c>
      <c r="K999" t="n">
        <v>0</v>
      </c>
      <c r="L999" t="n">
        <v>0</v>
      </c>
      <c r="M999" t="n">
        <v>0</v>
      </c>
      <c r="N999" t="n">
        <v>0</v>
      </c>
      <c r="O999" t="n">
        <v>0</v>
      </c>
      <c r="P999" t="n">
        <v>0</v>
      </c>
      <c r="Q999" t="n">
        <v>0</v>
      </c>
      <c r="R999" s="2" t="inlineStr"/>
    </row>
    <row r="1000" ht="15" customHeight="1">
      <c r="A1000" t="inlineStr">
        <is>
          <t>A 38744-2023</t>
        </is>
      </c>
      <c r="B1000" s="1" t="n">
        <v>45163</v>
      </c>
      <c r="C1000" s="1" t="n">
        <v>45825</v>
      </c>
      <c r="D1000" t="inlineStr">
        <is>
          <t>SÖDERMANLANDS LÄN</t>
        </is>
      </c>
      <c r="E1000" t="inlineStr">
        <is>
          <t>KATRINEHOLM</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38761-2023</t>
        </is>
      </c>
      <c r="B1001" s="1" t="n">
        <v>45163</v>
      </c>
      <c r="C1001" s="1" t="n">
        <v>45825</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39120-2023</t>
        </is>
      </c>
      <c r="B1002" s="1" t="n">
        <v>45165</v>
      </c>
      <c r="C1002" s="1" t="n">
        <v>45825</v>
      </c>
      <c r="D1002" t="inlineStr">
        <is>
          <t>SÖDERMANLANDS LÄN</t>
        </is>
      </c>
      <c r="E1002" t="inlineStr">
        <is>
          <t>KATRINEHOLM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39363-2023</t>
        </is>
      </c>
      <c r="B1003" s="1" t="n">
        <v>45166</v>
      </c>
      <c r="C1003" s="1" t="n">
        <v>45825</v>
      </c>
      <c r="D1003" t="inlineStr">
        <is>
          <t>SÖDERMANLANDS LÄN</t>
        </is>
      </c>
      <c r="E1003" t="inlineStr">
        <is>
          <t>KATRINEHOLM</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39699-2023</t>
        </is>
      </c>
      <c r="B1004" s="1" t="n">
        <v>45167</v>
      </c>
      <c r="C1004" s="1" t="n">
        <v>45825</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39704-2023</t>
        </is>
      </c>
      <c r="B1005" s="1" t="n">
        <v>45167</v>
      </c>
      <c r="C1005" s="1" t="n">
        <v>45825</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39897-2023</t>
        </is>
      </c>
      <c r="B1006" s="1" t="n">
        <v>45168</v>
      </c>
      <c r="C1006" s="1" t="n">
        <v>45825</v>
      </c>
      <c r="D1006" t="inlineStr">
        <is>
          <t>SÖDERMANLANDS LÄN</t>
        </is>
      </c>
      <c r="E1006" t="inlineStr">
        <is>
          <t>KATRINEHOLM</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39884-2023</t>
        </is>
      </c>
      <c r="B1007" s="1" t="n">
        <v>45168</v>
      </c>
      <c r="C1007" s="1" t="n">
        <v>45825</v>
      </c>
      <c r="D1007" t="inlineStr">
        <is>
          <t>SÖDERMANLANDS LÄN</t>
        </is>
      </c>
      <c r="E1007" t="inlineStr">
        <is>
          <t>KATRINEHOLM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39881-2023</t>
        </is>
      </c>
      <c r="B1008" s="1" t="n">
        <v>45168</v>
      </c>
      <c r="C1008" s="1" t="n">
        <v>45825</v>
      </c>
      <c r="D1008" t="inlineStr">
        <is>
          <t>SÖDERMANLANDS LÄN</t>
        </is>
      </c>
      <c r="E1008" t="inlineStr">
        <is>
          <t>KATRINEHOLM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39895-2023</t>
        </is>
      </c>
      <c r="B1009" s="1" t="n">
        <v>45168</v>
      </c>
      <c r="C1009" s="1" t="n">
        <v>45825</v>
      </c>
      <c r="D1009" t="inlineStr">
        <is>
          <t>SÖDERMANLANDS LÄN</t>
        </is>
      </c>
      <c r="E1009" t="inlineStr">
        <is>
          <t>KATRINEHOLM</t>
        </is>
      </c>
      <c r="F1009" t="inlineStr">
        <is>
          <t>Övriga Aktiebolag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40518-2023</t>
        </is>
      </c>
      <c r="B1010" s="1" t="n">
        <v>45168</v>
      </c>
      <c r="C1010" s="1" t="n">
        <v>45825</v>
      </c>
      <c r="D1010" t="inlineStr">
        <is>
          <t>SÖDERMANLANDS LÄN</t>
        </is>
      </c>
      <c r="E1010" t="inlineStr">
        <is>
          <t>KATRINEHOLM</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40186-2023</t>
        </is>
      </c>
      <c r="B1011" s="1" t="n">
        <v>45169</v>
      </c>
      <c r="C1011" s="1" t="n">
        <v>45825</v>
      </c>
      <c r="D1011" t="inlineStr">
        <is>
          <t>SÖDERMANLANDS LÄN</t>
        </is>
      </c>
      <c r="E1011" t="inlineStr">
        <is>
          <t>KATRINEHOLM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40159-2023</t>
        </is>
      </c>
      <c r="B1012" s="1" t="n">
        <v>45169</v>
      </c>
      <c r="C1012" s="1" t="n">
        <v>45825</v>
      </c>
      <c r="D1012" t="inlineStr">
        <is>
          <t>SÖDERMANLANDS LÄN</t>
        </is>
      </c>
      <c r="E1012" t="inlineStr">
        <is>
          <t>KATRINEHOLM</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40541-2023</t>
        </is>
      </c>
      <c r="B1013" s="1" t="n">
        <v>45170</v>
      </c>
      <c r="C1013" s="1" t="n">
        <v>45825</v>
      </c>
      <c r="D1013" t="inlineStr">
        <is>
          <t>SÖDERMANLANDS LÄN</t>
        </is>
      </c>
      <c r="E1013" t="inlineStr">
        <is>
          <t>KATRINEHOLM</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41267-2023</t>
        </is>
      </c>
      <c r="B1014" s="1" t="n">
        <v>45174</v>
      </c>
      <c r="C1014" s="1" t="n">
        <v>45825</v>
      </c>
      <c r="D1014" t="inlineStr">
        <is>
          <t>SÖDERMANLANDS LÄN</t>
        </is>
      </c>
      <c r="E1014" t="inlineStr">
        <is>
          <t>KATRINEHOLM</t>
        </is>
      </c>
      <c r="F1014" t="inlineStr">
        <is>
          <t>Holmen skog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41166-2023</t>
        </is>
      </c>
      <c r="B1015" s="1" t="n">
        <v>45174</v>
      </c>
      <c r="C1015" s="1" t="n">
        <v>45825</v>
      </c>
      <c r="D1015" t="inlineStr">
        <is>
          <t>SÖDERMANLANDS LÄN</t>
        </is>
      </c>
      <c r="E1015" t="inlineStr">
        <is>
          <t>KATRINEHOLM</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41588-2023</t>
        </is>
      </c>
      <c r="B1016" s="1" t="n">
        <v>45175</v>
      </c>
      <c r="C1016" s="1" t="n">
        <v>45825</v>
      </c>
      <c r="D1016" t="inlineStr">
        <is>
          <t>SÖDERMANLANDS LÄN</t>
        </is>
      </c>
      <c r="E1016" t="inlineStr">
        <is>
          <t>KATRINEHOLM</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41854-2023</t>
        </is>
      </c>
      <c r="B1017" s="1" t="n">
        <v>45176</v>
      </c>
      <c r="C1017" s="1" t="n">
        <v>45825</v>
      </c>
      <c r="D1017" t="inlineStr">
        <is>
          <t>SÖDERMANLANDS LÄN</t>
        </is>
      </c>
      <c r="E1017" t="inlineStr">
        <is>
          <t>KATRINEHOLM</t>
        </is>
      </c>
      <c r="G1017" t="n">
        <v>20.9</v>
      </c>
      <c r="H1017" t="n">
        <v>0</v>
      </c>
      <c r="I1017" t="n">
        <v>0</v>
      </c>
      <c r="J1017" t="n">
        <v>0</v>
      </c>
      <c r="K1017" t="n">
        <v>0</v>
      </c>
      <c r="L1017" t="n">
        <v>0</v>
      </c>
      <c r="M1017" t="n">
        <v>0</v>
      </c>
      <c r="N1017" t="n">
        <v>0</v>
      </c>
      <c r="O1017" t="n">
        <v>0</v>
      </c>
      <c r="P1017" t="n">
        <v>0</v>
      </c>
      <c r="Q1017" t="n">
        <v>0</v>
      </c>
      <c r="R1017" s="2" t="inlineStr"/>
    </row>
    <row r="1018" ht="15" customHeight="1">
      <c r="A1018" t="inlineStr">
        <is>
          <t>A 41966-2023</t>
        </is>
      </c>
      <c r="B1018" s="1" t="n">
        <v>45177</v>
      </c>
      <c r="C1018" s="1" t="n">
        <v>45825</v>
      </c>
      <c r="D1018" t="inlineStr">
        <is>
          <t>SÖDERMANLANDS LÄN</t>
        </is>
      </c>
      <c r="E1018" t="inlineStr">
        <is>
          <t>KATRINEHOLM</t>
        </is>
      </c>
      <c r="G1018" t="n">
        <v>36.9</v>
      </c>
      <c r="H1018" t="n">
        <v>0</v>
      </c>
      <c r="I1018" t="n">
        <v>0</v>
      </c>
      <c r="J1018" t="n">
        <v>0</v>
      </c>
      <c r="K1018" t="n">
        <v>0</v>
      </c>
      <c r="L1018" t="n">
        <v>0</v>
      </c>
      <c r="M1018" t="n">
        <v>0</v>
      </c>
      <c r="N1018" t="n">
        <v>0</v>
      </c>
      <c r="O1018" t="n">
        <v>0</v>
      </c>
      <c r="P1018" t="n">
        <v>0</v>
      </c>
      <c r="Q1018" t="n">
        <v>0</v>
      </c>
      <c r="R1018" s="2" t="inlineStr"/>
    </row>
    <row r="1019" ht="15" customHeight="1">
      <c r="A1019" t="inlineStr">
        <is>
          <t>A 41959-2023</t>
        </is>
      </c>
      <c r="B1019" s="1" t="n">
        <v>45177</v>
      </c>
      <c r="C1019" s="1" t="n">
        <v>45825</v>
      </c>
      <c r="D1019" t="inlineStr">
        <is>
          <t>SÖDERMANLANDS LÄN</t>
        </is>
      </c>
      <c r="E1019" t="inlineStr">
        <is>
          <t>KATRINEHOLM</t>
        </is>
      </c>
      <c r="F1019" t="inlineStr">
        <is>
          <t>Övriga Aktiebolag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42959-2023</t>
        </is>
      </c>
      <c r="B1020" s="1" t="n">
        <v>45177</v>
      </c>
      <c r="C1020" s="1" t="n">
        <v>45825</v>
      </c>
      <c r="D1020" t="inlineStr">
        <is>
          <t>SÖDERMANLANDS LÄN</t>
        </is>
      </c>
      <c r="E1020" t="inlineStr">
        <is>
          <t>KATRINEHOLM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42221-2023</t>
        </is>
      </c>
      <c r="B1021" s="1" t="n">
        <v>45179</v>
      </c>
      <c r="C1021" s="1" t="n">
        <v>45825</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42454-2023</t>
        </is>
      </c>
      <c r="B1022" s="1" t="n">
        <v>45180</v>
      </c>
      <c r="C1022" s="1" t="n">
        <v>45825</v>
      </c>
      <c r="D1022" t="inlineStr">
        <is>
          <t>SÖDERMANLANDS LÄN</t>
        </is>
      </c>
      <c r="E1022" t="inlineStr">
        <is>
          <t>KATRINEHOLM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42451-2023</t>
        </is>
      </c>
      <c r="B1023" s="1" t="n">
        <v>45180</v>
      </c>
      <c r="C1023" s="1" t="n">
        <v>45825</v>
      </c>
      <c r="D1023" t="inlineStr">
        <is>
          <t>SÖDERMANLANDS LÄN</t>
        </is>
      </c>
      <c r="E1023" t="inlineStr">
        <is>
          <t>KATRINEHOLM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42792-2023</t>
        </is>
      </c>
      <c r="B1024" s="1" t="n">
        <v>45182</v>
      </c>
      <c r="C1024" s="1" t="n">
        <v>45825</v>
      </c>
      <c r="D1024" t="inlineStr">
        <is>
          <t>SÖDERMANLANDS LÄN</t>
        </is>
      </c>
      <c r="E1024" t="inlineStr">
        <is>
          <t>KATRINEHOLM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42791-2023</t>
        </is>
      </c>
      <c r="B1025" s="1" t="n">
        <v>45182</v>
      </c>
      <c r="C1025" s="1" t="n">
        <v>45825</v>
      </c>
      <c r="D1025" t="inlineStr">
        <is>
          <t>SÖDERMANLANDS LÄN</t>
        </is>
      </c>
      <c r="E1025" t="inlineStr">
        <is>
          <t>KATRINEHOLM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42962-2023</t>
        </is>
      </c>
      <c r="B1026" s="1" t="n">
        <v>45182</v>
      </c>
      <c r="C1026" s="1" t="n">
        <v>45825</v>
      </c>
      <c r="D1026" t="inlineStr">
        <is>
          <t>SÖDERMANLANDS LÄN</t>
        </is>
      </c>
      <c r="E1026" t="inlineStr">
        <is>
          <t>KATRINEHOLM</t>
        </is>
      </c>
      <c r="F1026" t="inlineStr">
        <is>
          <t>Övriga Aktiebolag</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43078-2023</t>
        </is>
      </c>
      <c r="B1027" s="1" t="n">
        <v>45182</v>
      </c>
      <c r="C1027" s="1" t="n">
        <v>45825</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42945-2023</t>
        </is>
      </c>
      <c r="B1028" s="1" t="n">
        <v>45182</v>
      </c>
      <c r="C1028" s="1" t="n">
        <v>45825</v>
      </c>
      <c r="D1028" t="inlineStr">
        <is>
          <t>SÖDERMANLANDS LÄN</t>
        </is>
      </c>
      <c r="E1028" t="inlineStr">
        <is>
          <t>KATRINEHOLM</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42965-2023</t>
        </is>
      </c>
      <c r="B1029" s="1" t="n">
        <v>45182</v>
      </c>
      <c r="C1029" s="1" t="n">
        <v>45825</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42970-2023</t>
        </is>
      </c>
      <c r="B1030" s="1" t="n">
        <v>45182</v>
      </c>
      <c r="C1030" s="1" t="n">
        <v>45825</v>
      </c>
      <c r="D1030" t="inlineStr">
        <is>
          <t>SÖDERMANLANDS LÄN</t>
        </is>
      </c>
      <c r="E1030" t="inlineStr">
        <is>
          <t>KATRINEHOLM</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44486-2023</t>
        </is>
      </c>
      <c r="B1031" s="1" t="n">
        <v>45183</v>
      </c>
      <c r="C1031" s="1" t="n">
        <v>45825</v>
      </c>
      <c r="D1031" t="inlineStr">
        <is>
          <t>SÖDERMANLANDS LÄN</t>
        </is>
      </c>
      <c r="E1031" t="inlineStr">
        <is>
          <t>KATRINEHOLM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45825</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45825</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45825</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45825</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45825</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45825</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45825</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45825</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45825</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45825</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45825</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45825</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45825</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45825</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45825</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45825</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45825</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45825</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45825</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45825</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45825</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45825</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45825</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45825</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45825</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45825</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45825</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45825</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45825</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45825</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45825</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45825</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45825</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45825</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45825</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45825</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45825</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45825</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45825</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45825</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45825</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45825</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45825</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45825</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45825</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45825</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45825</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45825</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45825</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45825</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45825</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45825</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45825</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45825</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45825</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45825</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45825</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45825</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45825</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45825</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45825</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45825</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45825</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45825</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45825</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45825</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45825</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45825</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45825</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45825</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45825</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45825</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45825</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45825</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45825</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45825</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45825</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45825</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45825</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45825</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45825</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45825</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45825</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45825</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45825</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45825</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45825</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45825</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45825</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45825</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45825</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45825</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45825</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45825</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45825</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45825</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45825</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45825</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45825</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45825</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45825</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45825</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45825</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45825</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45825</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45825</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45825</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45825</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45825</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45825</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45825</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45825</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45825</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45825</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45825</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45825</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45825</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45825</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45825</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45825</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45825</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45825</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45825</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45825</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45825</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45825</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45825</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45825</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45825</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45825</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45825</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45825</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45825</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45825</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45825</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45825</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45825</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45825</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45825</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45825</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45825</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45825</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45825</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45825</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45825</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45825</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45825</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45825</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45825</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45825</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45825</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45825</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45825</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45825</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45825</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45825</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45825</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45825</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45825</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45825</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45825</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45825</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45825</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45825</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45825</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45825</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45825</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45825</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45825</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45825</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45825</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45825</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45825</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45825</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45825</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45825</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45825</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45825</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45825</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45825</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45825</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45825</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45825</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45825</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45825</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45825</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45825</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45825</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45825</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45825</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45825</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45825</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45825</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45825</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45825</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45825</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45825</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45825</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45825</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45825</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45825</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45825</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45825</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45825</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45825</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45825</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45825</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45825</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45825</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45825</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45825</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45825</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45825</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45825</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45825</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45825</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45825</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45825</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45825</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45825</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45825</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45825</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45825</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45825</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45825</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45825</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45825</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45825</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45825</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45825</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45825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45825</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45825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45825</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45825</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45825</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45825</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45825</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45825</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45825</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45825</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45825</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45825</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45825</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45825</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45825</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45825</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45825</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45825</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45825</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45825</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45825</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45825</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45825</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45825</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45825</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45825</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45825</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45825</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45825</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45825</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45825</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45825</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45825</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45825</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45825</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45825</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45825</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45825</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45825</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45825</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45825</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45825</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45825</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45825</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45825</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45825</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45825</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45825</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45825</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45825</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45825</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45825</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45825</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45825</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45825</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45825</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45825</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45825</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45825</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45825</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45825</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45825</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45825</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45825</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45825</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45825</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45825</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45825</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45825</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45825</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45825</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45825</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45825</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45825</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45825</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45825</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45825</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45825</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45825</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45825</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45825</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45825</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45825</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45825</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45825</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45825</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45825</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45825</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45825</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45825</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45825</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45825</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45825</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45825</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45825</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45825</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45825</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45825</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45825</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45825</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45825</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45825</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45825</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45825</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45825</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45825</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45825</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45825</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45825</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45825</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45825</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45825</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45825</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45825</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45825</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45825</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45825</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45825</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45825</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45825</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45825</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45825</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45825</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45825</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45825</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45825</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45825</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45825</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45825</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45825</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45825</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45825</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45825</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45825</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45825</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45825</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45825</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45825</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45825</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45825</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45825</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45825</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45825</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45825</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45825</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45825</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45825</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45825</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45825</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45825</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45825</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45825</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45825</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45825</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45825</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45825</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45825</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45825</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45825</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45825</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45825</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45825</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45825</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45825</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45825</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45825</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45825</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45825</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45825</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45825</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45825</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45825</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45825</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45825</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45825</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45825</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45825</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45825</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45825</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45825</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45825</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45825</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45825</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45825</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45825</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45825</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45825</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45825</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45825</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45825</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45825</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45825</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45825</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45825</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24600-2025</t>
        </is>
      </c>
      <c r="B1457" s="1" t="n">
        <v>45798</v>
      </c>
      <c r="C1457" s="1" t="n">
        <v>45825</v>
      </c>
      <c r="D1457" t="inlineStr">
        <is>
          <t>SÖDERMANLANDS LÄN</t>
        </is>
      </c>
      <c r="E1457" t="inlineStr">
        <is>
          <t>KATRINEHOLM</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24605-2025</t>
        </is>
      </c>
      <c r="B1458" s="1" t="n">
        <v>45798</v>
      </c>
      <c r="C1458" s="1" t="n">
        <v>45825</v>
      </c>
      <c r="D1458" t="inlineStr">
        <is>
          <t>SÖDERMANLANDS LÄN</t>
        </is>
      </c>
      <c r="E1458" t="inlineStr">
        <is>
          <t>KATRINEHOLM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24566-2025</t>
        </is>
      </c>
      <c r="B1459" s="1" t="n">
        <v>45798</v>
      </c>
      <c r="C1459" s="1" t="n">
        <v>45825</v>
      </c>
      <c r="D1459" t="inlineStr">
        <is>
          <t>SÖDERMANLANDS LÄN</t>
        </is>
      </c>
      <c r="E1459" t="inlineStr">
        <is>
          <t>KATRINEHOLM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45825</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45825</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45825</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45825</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45825</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45825</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45825</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45825</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45825</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27552-2025</t>
        </is>
      </c>
      <c r="B1469" s="1" t="n">
        <v>45813</v>
      </c>
      <c r="C1469" s="1" t="n">
        <v>45825</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c r="A1470" t="inlineStr">
        <is>
          <t>A 29189-2025</t>
        </is>
      </c>
      <c r="B1470" s="1" t="n">
        <v>45822</v>
      </c>
      <c r="C1470" s="1" t="n">
        <v>45825</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2025-06-17T18:42:05Z</dcterms:created>
  <dcterms:modified xmlns:dcterms="http://purl.org/dc/terms/" xmlns:xsi="http://www.w3.org/2001/XMLSchema-instance" xsi:type="dcterms:W3CDTF">2025-06-17T18:42:06Z</dcterms:modified>
</cp:coreProperties>
</file>