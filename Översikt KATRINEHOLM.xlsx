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45907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45907</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45907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45907</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45907</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45907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45907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45907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45907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45907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45907</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45907</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45907</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188-2025</t>
        </is>
      </c>
      <c r="B16" s="1" t="n">
        <v>45649</v>
      </c>
      <c r="C16" s="1" t="n">
        <v>45907</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64626-2020</t>
        </is>
      </c>
      <c r="B17" s="1" t="n">
        <v>44169</v>
      </c>
      <c r="C17" s="1" t="n">
        <v>45907</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45907</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45907</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45907</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45907</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53471-2024</t>
        </is>
      </c>
      <c r="B22" s="1" t="n">
        <v>45614.55686342593</v>
      </c>
      <c r="C22" s="1" t="n">
        <v>45907</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37537-2022</t>
        </is>
      </c>
      <c r="B23" s="1" t="n">
        <v>44809</v>
      </c>
      <c r="C23" s="1" t="n">
        <v>45907</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30229-2023</t>
        </is>
      </c>
      <c r="B24" s="1" t="n">
        <v>45099</v>
      </c>
      <c r="C24" s="1" t="n">
        <v>45907</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45907</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24718-2025</t>
        </is>
      </c>
      <c r="B26" s="1" t="n">
        <v>45799</v>
      </c>
      <c r="C26" s="1" t="n">
        <v>45907</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56897-2021</t>
        </is>
      </c>
      <c r="B27" s="1" t="n">
        <v>44481</v>
      </c>
      <c r="C27" s="1" t="n">
        <v>45907</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45907</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45907</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45907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45907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45907</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45907</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45907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45907</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45907</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45907</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45907</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44486-2023</t>
        </is>
      </c>
      <c r="B39" s="1" t="n">
        <v>45183</v>
      </c>
      <c r="C39" s="1" t="n">
        <v>45907</v>
      </c>
      <c r="D39" t="inlineStr">
        <is>
          <t>SÖDERMANLANDS LÄN</t>
        </is>
      </c>
      <c r="E39" t="inlineStr">
        <is>
          <t>KATRINEHOLM</t>
        </is>
      </c>
      <c r="G39" t="n">
        <v>1.7</v>
      </c>
      <c r="H39" t="n">
        <v>0</v>
      </c>
      <c r="I39" t="n">
        <v>0</v>
      </c>
      <c r="J39" t="n">
        <v>1</v>
      </c>
      <c r="K39" t="n">
        <v>0</v>
      </c>
      <c r="L39" t="n">
        <v>0</v>
      </c>
      <c r="M39" t="n">
        <v>0</v>
      </c>
      <c r="N39" t="n">
        <v>0</v>
      </c>
      <c r="O39" t="n">
        <v>1</v>
      </c>
      <c r="P39" t="n">
        <v>0</v>
      </c>
      <c r="Q39" t="n">
        <v>1</v>
      </c>
      <c r="R39" s="2" t="inlineStr">
        <is>
          <t>Svedjenäva</t>
        </is>
      </c>
      <c r="S39">
        <f>HYPERLINK("https://klasma.github.io/Logging_0483/artfynd/A 44486-2023 artfynd.xlsx", "A 44486-2023")</f>
        <v/>
      </c>
      <c r="T39">
        <f>HYPERLINK("https://klasma.github.io/Logging_0483/kartor/A 44486-2023 karta.png", "A 44486-2023")</f>
        <v/>
      </c>
      <c r="V39">
        <f>HYPERLINK("https://klasma.github.io/Logging_0483/klagomål/A 44486-2023 FSC-klagomål.docx", "A 44486-2023")</f>
        <v/>
      </c>
      <c r="W39">
        <f>HYPERLINK("https://klasma.github.io/Logging_0483/klagomålsmail/A 44486-2023 FSC-klagomål mail.docx", "A 44486-2023")</f>
        <v/>
      </c>
      <c r="X39">
        <f>HYPERLINK("https://klasma.github.io/Logging_0483/tillsyn/A 44486-2023 tillsynsbegäran.docx", "A 44486-2023")</f>
        <v/>
      </c>
      <c r="Y39">
        <f>HYPERLINK("https://klasma.github.io/Logging_0483/tillsynsmail/A 44486-2023 tillsynsbegäran mail.docx", "A 44486-2023")</f>
        <v/>
      </c>
    </row>
    <row r="40" ht="15" customHeight="1">
      <c r="A40" t="inlineStr">
        <is>
          <t>A 42745-2022</t>
        </is>
      </c>
      <c r="B40" s="1" t="n">
        <v>44831</v>
      </c>
      <c r="C40" s="1" t="n">
        <v>45907</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6076-2022</t>
        </is>
      </c>
      <c r="B41" s="1" t="n">
        <v>44599</v>
      </c>
      <c r="C41" s="1" t="n">
        <v>45907</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27926-2025</t>
        </is>
      </c>
      <c r="B42" s="1" t="n">
        <v>45814</v>
      </c>
      <c r="C42" s="1" t="n">
        <v>45907</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36220-2022</t>
        </is>
      </c>
      <c r="B43" s="1" t="n">
        <v>44803</v>
      </c>
      <c r="C43" s="1" t="n">
        <v>45907</v>
      </c>
      <c r="D43" t="inlineStr">
        <is>
          <t>SÖDERMANLANDS LÄN</t>
        </is>
      </c>
      <c r="E43" t="inlineStr">
        <is>
          <t>KATRINEHOLM</t>
        </is>
      </c>
      <c r="G43" t="n">
        <v>3.1</v>
      </c>
      <c r="H43" t="n">
        <v>0</v>
      </c>
      <c r="I43" t="n">
        <v>1</v>
      </c>
      <c r="J43" t="n">
        <v>0</v>
      </c>
      <c r="K43" t="n">
        <v>0</v>
      </c>
      <c r="L43" t="n">
        <v>0</v>
      </c>
      <c r="M43" t="n">
        <v>0</v>
      </c>
      <c r="N43" t="n">
        <v>0</v>
      </c>
      <c r="O43" t="n">
        <v>0</v>
      </c>
      <c r="P43" t="n">
        <v>0</v>
      </c>
      <c r="Q43" t="n">
        <v>1</v>
      </c>
      <c r="R43" s="2" t="inlineStr">
        <is>
          <t>Granbräken</t>
        </is>
      </c>
      <c r="S43">
        <f>HYPERLINK("https://klasma.github.io/Logging_0483/artfynd/A 36220-2022 artfynd.xlsx", "A 36220-2022")</f>
        <v/>
      </c>
      <c r="T43">
        <f>HYPERLINK("https://klasma.github.io/Logging_0483/kartor/A 36220-2022 karta.png", "A 36220-2022")</f>
        <v/>
      </c>
      <c r="V43">
        <f>HYPERLINK("https://klasma.github.io/Logging_0483/klagomål/A 36220-2022 FSC-klagomål.docx", "A 36220-2022")</f>
        <v/>
      </c>
      <c r="W43">
        <f>HYPERLINK("https://klasma.github.io/Logging_0483/klagomålsmail/A 36220-2022 FSC-klagomål mail.docx", "A 36220-2022")</f>
        <v/>
      </c>
      <c r="X43">
        <f>HYPERLINK("https://klasma.github.io/Logging_0483/tillsyn/A 36220-2022 tillsynsbegäran.docx", "A 36220-2022")</f>
        <v/>
      </c>
      <c r="Y43">
        <f>HYPERLINK("https://klasma.github.io/Logging_0483/tillsynsmail/A 36220-2022 tillsynsbegäran mail.docx", "A 36220-2022")</f>
        <v/>
      </c>
    </row>
    <row r="44" ht="15" customHeight="1">
      <c r="A44" t="inlineStr">
        <is>
          <t>A 53154-2023</t>
        </is>
      </c>
      <c r="B44" s="1" t="n">
        <v>45229</v>
      </c>
      <c r="C44" s="1" t="n">
        <v>45907</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35163-2025</t>
        </is>
      </c>
      <c r="B45" s="1" t="n">
        <v>45852.71136574074</v>
      </c>
      <c r="C45" s="1" t="n">
        <v>45907</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41980-2025</t>
        </is>
      </c>
      <c r="B46" s="1" t="n">
        <v>45903</v>
      </c>
      <c r="C46" s="1" t="n">
        <v>45907</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42055-2025</t>
        </is>
      </c>
      <c r="B47" s="1" t="n">
        <v>45903.64179398148</v>
      </c>
      <c r="C47" s="1" t="n">
        <v>45907</v>
      </c>
      <c r="D47" t="inlineStr">
        <is>
          <t>SÖDERMANLANDS LÄN</t>
        </is>
      </c>
      <c r="E47" t="inlineStr">
        <is>
          <t>KATRINEHOLM</t>
        </is>
      </c>
      <c r="F47" t="inlineStr">
        <is>
          <t>Allmännings- och besparingsskogar</t>
        </is>
      </c>
      <c r="G47" t="n">
        <v>0.8</v>
      </c>
      <c r="H47" t="n">
        <v>0</v>
      </c>
      <c r="I47" t="n">
        <v>1</v>
      </c>
      <c r="J47" t="n">
        <v>0</v>
      </c>
      <c r="K47" t="n">
        <v>0</v>
      </c>
      <c r="L47" t="n">
        <v>0</v>
      </c>
      <c r="M47" t="n">
        <v>0</v>
      </c>
      <c r="N47" t="n">
        <v>0</v>
      </c>
      <c r="O47" t="n">
        <v>0</v>
      </c>
      <c r="P47" t="n">
        <v>0</v>
      </c>
      <c r="Q47" t="n">
        <v>1</v>
      </c>
      <c r="R47" s="2" t="inlineStr">
        <is>
          <t>Björksplintborre</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12238-2023</t>
        </is>
      </c>
      <c r="B48" s="1" t="n">
        <v>44995</v>
      </c>
      <c r="C48" s="1" t="n">
        <v>45907</v>
      </c>
      <c r="D48" t="inlineStr">
        <is>
          <t>SÖDERMANLANDS LÄN</t>
        </is>
      </c>
      <c r="E48" t="inlineStr">
        <is>
          <t>KATRINEHOLM</t>
        </is>
      </c>
      <c r="F48" t="inlineStr">
        <is>
          <t>Övriga Aktiebolag</t>
        </is>
      </c>
      <c r="G48" t="n">
        <v>58</v>
      </c>
      <c r="H48" t="n">
        <v>0</v>
      </c>
      <c r="I48" t="n">
        <v>0</v>
      </c>
      <c r="J48" t="n">
        <v>1</v>
      </c>
      <c r="K48" t="n">
        <v>0</v>
      </c>
      <c r="L48" t="n">
        <v>0</v>
      </c>
      <c r="M48" t="n">
        <v>0</v>
      </c>
      <c r="N48" t="n">
        <v>0</v>
      </c>
      <c r="O48" t="n">
        <v>1</v>
      </c>
      <c r="P48" t="n">
        <v>0</v>
      </c>
      <c r="Q48" t="n">
        <v>1</v>
      </c>
      <c r="R48" s="2" t="inlineStr">
        <is>
          <t>Skogsklocka</t>
        </is>
      </c>
      <c r="S48">
        <f>HYPERLINK("https://klasma.github.io/Logging_0483/artfynd/A 12238-2023 artfynd.xlsx", "A 12238-2023")</f>
        <v/>
      </c>
      <c r="T48">
        <f>HYPERLINK("https://klasma.github.io/Logging_0483/kartor/A 12238-2023 karta.png", "A 12238-2023")</f>
        <v/>
      </c>
      <c r="V48">
        <f>HYPERLINK("https://klasma.github.io/Logging_0483/klagomål/A 12238-2023 FSC-klagomål.docx", "A 12238-2023")</f>
        <v/>
      </c>
      <c r="W48">
        <f>HYPERLINK("https://klasma.github.io/Logging_0483/klagomålsmail/A 12238-2023 FSC-klagomål mail.docx", "A 12238-2023")</f>
        <v/>
      </c>
      <c r="X48">
        <f>HYPERLINK("https://klasma.github.io/Logging_0483/tillsyn/A 12238-2023 tillsynsbegäran.docx", "A 12238-2023")</f>
        <v/>
      </c>
      <c r="Y48">
        <f>HYPERLINK("https://klasma.github.io/Logging_0483/tillsynsmail/A 12238-2023 tillsynsbegäran mail.docx", "A 12238-2023")</f>
        <v/>
      </c>
    </row>
    <row r="49" ht="15" customHeight="1">
      <c r="A49" t="inlineStr">
        <is>
          <t>A 53990-2023</t>
        </is>
      </c>
      <c r="B49" s="1" t="n">
        <v>45231</v>
      </c>
      <c r="C49" s="1" t="n">
        <v>45907</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11890-2023</t>
        </is>
      </c>
      <c r="B50" s="1" t="n">
        <v>44995</v>
      </c>
      <c r="C50" s="1" t="n">
        <v>45907</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56074-2022</t>
        </is>
      </c>
      <c r="B51" s="1" t="n">
        <v>44889</v>
      </c>
      <c r="C51" s="1" t="n">
        <v>45907</v>
      </c>
      <c r="D51" t="inlineStr">
        <is>
          <t>SÖDERMANLANDS LÄN</t>
        </is>
      </c>
      <c r="E51" t="inlineStr">
        <is>
          <t>KATRINEHOLM</t>
        </is>
      </c>
      <c r="G51" t="n">
        <v>12.5</v>
      </c>
      <c r="H51" t="n">
        <v>1</v>
      </c>
      <c r="I51" t="n">
        <v>0</v>
      </c>
      <c r="J51" t="n">
        <v>0</v>
      </c>
      <c r="K51" t="n">
        <v>0</v>
      </c>
      <c r="L51" t="n">
        <v>0</v>
      </c>
      <c r="M51" t="n">
        <v>0</v>
      </c>
      <c r="N51" t="n">
        <v>0</v>
      </c>
      <c r="O51" t="n">
        <v>0</v>
      </c>
      <c r="P51" t="n">
        <v>0</v>
      </c>
      <c r="Q51" t="n">
        <v>1</v>
      </c>
      <c r="R51" s="2" t="inlineStr">
        <is>
          <t>Revlummer</t>
        </is>
      </c>
      <c r="S51">
        <f>HYPERLINK("https://klasma.github.io/Logging_0483/artfynd/A 56074-2022 artfynd.xlsx", "A 56074-2022")</f>
        <v/>
      </c>
      <c r="T51">
        <f>HYPERLINK("https://klasma.github.io/Logging_0483/kartor/A 56074-2022 karta.png", "A 56074-2022")</f>
        <v/>
      </c>
      <c r="V51">
        <f>HYPERLINK("https://klasma.github.io/Logging_0483/klagomål/A 56074-2022 FSC-klagomål.docx", "A 56074-2022")</f>
        <v/>
      </c>
      <c r="W51">
        <f>HYPERLINK("https://klasma.github.io/Logging_0483/klagomålsmail/A 56074-2022 FSC-klagomål mail.docx", "A 56074-2022")</f>
        <v/>
      </c>
      <c r="X51">
        <f>HYPERLINK("https://klasma.github.io/Logging_0483/tillsyn/A 56074-2022 tillsynsbegäran.docx", "A 56074-2022")</f>
        <v/>
      </c>
      <c r="Y51">
        <f>HYPERLINK("https://klasma.github.io/Logging_0483/tillsynsmail/A 56074-2022 tillsynsbegäran mail.docx", "A 56074-2022")</f>
        <v/>
      </c>
    </row>
    <row r="52" ht="15" customHeight="1">
      <c r="A52" t="inlineStr">
        <is>
          <t>A 33801-2023</t>
        </is>
      </c>
      <c r="B52" s="1" t="n">
        <v>45133</v>
      </c>
      <c r="C52" s="1" t="n">
        <v>45907</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44413-2024</t>
        </is>
      </c>
      <c r="B53" s="1" t="n">
        <v>45573.77701388889</v>
      </c>
      <c r="C53" s="1" t="n">
        <v>45907</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23568-2023</t>
        </is>
      </c>
      <c r="B54" s="1" t="n">
        <v>45077</v>
      </c>
      <c r="C54" s="1" t="n">
        <v>45907</v>
      </c>
      <c r="D54" t="inlineStr">
        <is>
          <t>SÖDERMANLANDS LÄN</t>
        </is>
      </c>
      <c r="E54" t="inlineStr">
        <is>
          <t>KATRINEHOLM</t>
        </is>
      </c>
      <c r="F54" t="inlineStr">
        <is>
          <t>Kommuner</t>
        </is>
      </c>
      <c r="G54" t="n">
        <v>1.4</v>
      </c>
      <c r="H54" t="n">
        <v>0</v>
      </c>
      <c r="I54" t="n">
        <v>0</v>
      </c>
      <c r="J54" t="n">
        <v>1</v>
      </c>
      <c r="K54" t="n">
        <v>0</v>
      </c>
      <c r="L54" t="n">
        <v>0</v>
      </c>
      <c r="M54" t="n">
        <v>0</v>
      </c>
      <c r="N54" t="n">
        <v>0</v>
      </c>
      <c r="O54" t="n">
        <v>1</v>
      </c>
      <c r="P54" t="n">
        <v>0</v>
      </c>
      <c r="Q54" t="n">
        <v>1</v>
      </c>
      <c r="R54" s="2" t="inlineStr">
        <is>
          <t>Fyrflikig jordstjärna</t>
        </is>
      </c>
      <c r="S54">
        <f>HYPERLINK("https://klasma.github.io/Logging_0483/artfynd/A 23568-2023 artfynd.xlsx", "A 23568-2023")</f>
        <v/>
      </c>
      <c r="T54">
        <f>HYPERLINK("https://klasma.github.io/Logging_0483/kartor/A 23568-2023 karta.png", "A 23568-2023")</f>
        <v/>
      </c>
      <c r="V54">
        <f>HYPERLINK("https://klasma.github.io/Logging_0483/klagomål/A 23568-2023 FSC-klagomål.docx", "A 23568-2023")</f>
        <v/>
      </c>
      <c r="W54">
        <f>HYPERLINK("https://klasma.github.io/Logging_0483/klagomålsmail/A 23568-2023 FSC-klagomål mail.docx", "A 23568-2023")</f>
        <v/>
      </c>
      <c r="X54">
        <f>HYPERLINK("https://klasma.github.io/Logging_0483/tillsyn/A 23568-2023 tillsynsbegäran.docx", "A 23568-2023")</f>
        <v/>
      </c>
      <c r="Y54">
        <f>HYPERLINK("https://klasma.github.io/Logging_0483/tillsynsmail/A 23568-2023 tillsynsbegäran mail.docx", "A 23568-2023")</f>
        <v/>
      </c>
    </row>
    <row r="55" ht="15" customHeight="1">
      <c r="A55" t="inlineStr">
        <is>
          <t>A 47989-2020</t>
        </is>
      </c>
      <c r="B55" s="1" t="n">
        <v>44099</v>
      </c>
      <c r="C55" s="1" t="n">
        <v>45907</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57519-2021</t>
        </is>
      </c>
      <c r="B56" s="1" t="n">
        <v>44483</v>
      </c>
      <c r="C56" s="1" t="n">
        <v>45907</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36856-2021</t>
        </is>
      </c>
      <c r="B57" s="1" t="n">
        <v>44393</v>
      </c>
      <c r="C57" s="1" t="n">
        <v>45907</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45907</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45907</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45907</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45907</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45907</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45907</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45907</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45907</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45907</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45907</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45907</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45907</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45907</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45907</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45907</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45907</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45907</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45907</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45907</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45907</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45907</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45907</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45907</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45907</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45907</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45907</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45907</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45907</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45907</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45907</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45907</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45907</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45907</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45907</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45907</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45907</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45907</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45907</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45907</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45907</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45907</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45907</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45907</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45907</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45907</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45907</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45907</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45907</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45907</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45907</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45907</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45907</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45907</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45907</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45907</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45907</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45907</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45907</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45907</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45907</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45907</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45907</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45907</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45907</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45907</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45907</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45907</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45907</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45907</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45907</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45907</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45907</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45907</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45907</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45907</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45907</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45907</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45907</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45907</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45907</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20847-2022</t>
        </is>
      </c>
      <c r="B138" s="1" t="n">
        <v>44701</v>
      </c>
      <c r="C138" s="1" t="n">
        <v>45907</v>
      </c>
      <c r="D138" t="inlineStr">
        <is>
          <t>SÖDERMANLANDS LÄN</t>
        </is>
      </c>
      <c r="E138" t="inlineStr">
        <is>
          <t>KATRINEHOLM</t>
        </is>
      </c>
      <c r="G138" t="n">
        <v>3.5</v>
      </c>
      <c r="H138" t="n">
        <v>0</v>
      </c>
      <c r="I138" t="n">
        <v>0</v>
      </c>
      <c r="J138" t="n">
        <v>0</v>
      </c>
      <c r="K138" t="n">
        <v>0</v>
      </c>
      <c r="L138" t="n">
        <v>0</v>
      </c>
      <c r="M138" t="n">
        <v>0</v>
      </c>
      <c r="N138" t="n">
        <v>0</v>
      </c>
      <c r="O138" t="n">
        <v>0</v>
      </c>
      <c r="P138" t="n">
        <v>0</v>
      </c>
      <c r="Q138" t="n">
        <v>0</v>
      </c>
      <c r="R138" s="2" t="inlineStr"/>
    </row>
    <row r="139" ht="15" customHeight="1">
      <c r="A139" t="inlineStr">
        <is>
          <t>A 55349-2021</t>
        </is>
      </c>
      <c r="B139" s="1" t="n">
        <v>44475</v>
      </c>
      <c r="C139" s="1" t="n">
        <v>45907</v>
      </c>
      <c r="D139" t="inlineStr">
        <is>
          <t>SÖDERMANLANDS LÄN</t>
        </is>
      </c>
      <c r="E139" t="inlineStr">
        <is>
          <t>KATRINEHOLM</t>
        </is>
      </c>
      <c r="G139" t="n">
        <v>2.8</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45907</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45907</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45907</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45907</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45907</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45907</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45907</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44691-2020</t>
        </is>
      </c>
      <c r="B147" s="1" t="n">
        <v>44085</v>
      </c>
      <c r="C147" s="1" t="n">
        <v>45907</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45907</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45907</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45907</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45907</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45907</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59212-2021</t>
        </is>
      </c>
      <c r="B153" s="1" t="n">
        <v>44490.60873842592</v>
      </c>
      <c r="C153" s="1" t="n">
        <v>45907</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45907</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7550-2022</t>
        </is>
      </c>
      <c r="B155" s="1" t="n">
        <v>44607</v>
      </c>
      <c r="C155" s="1" t="n">
        <v>45907</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11070-2021</t>
        </is>
      </c>
      <c r="B156" s="1" t="n">
        <v>44260</v>
      </c>
      <c r="C156" s="1" t="n">
        <v>45907</v>
      </c>
      <c r="D156" t="inlineStr">
        <is>
          <t>SÖDERMANLANDS LÄN</t>
        </is>
      </c>
      <c r="E156" t="inlineStr">
        <is>
          <t>KATRINEHOLM</t>
        </is>
      </c>
      <c r="F156" t="inlineStr">
        <is>
          <t>Allmännings- och besparingsskogar</t>
        </is>
      </c>
      <c r="G156" t="n">
        <v>2.9</v>
      </c>
      <c r="H156" t="n">
        <v>0</v>
      </c>
      <c r="I156" t="n">
        <v>0</v>
      </c>
      <c r="J156" t="n">
        <v>0</v>
      </c>
      <c r="K156" t="n">
        <v>0</v>
      </c>
      <c r="L156" t="n">
        <v>0</v>
      </c>
      <c r="M156" t="n">
        <v>0</v>
      </c>
      <c r="N156" t="n">
        <v>0</v>
      </c>
      <c r="O156" t="n">
        <v>0</v>
      </c>
      <c r="P156" t="n">
        <v>0</v>
      </c>
      <c r="Q156" t="n">
        <v>0</v>
      </c>
      <c r="R156" s="2" t="inlineStr"/>
    </row>
    <row r="157" ht="15" customHeight="1">
      <c r="A157" t="inlineStr">
        <is>
          <t>A 25893-2022</t>
        </is>
      </c>
      <c r="B157" s="1" t="n">
        <v>44733.77543981482</v>
      </c>
      <c r="C157" s="1" t="n">
        <v>45907</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38607-2021</t>
        </is>
      </c>
      <c r="B158" s="1" t="n">
        <v>44409.41428240741</v>
      </c>
      <c r="C158" s="1" t="n">
        <v>45907</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38606-2021</t>
        </is>
      </c>
      <c r="B159" s="1" t="n">
        <v>44409.40363425926</v>
      </c>
      <c r="C159" s="1" t="n">
        <v>45907</v>
      </c>
      <c r="D159" t="inlineStr">
        <is>
          <t>SÖDERMANLANDS LÄN</t>
        </is>
      </c>
      <c r="E159" t="inlineStr">
        <is>
          <t>KATRINEHOLM</t>
        </is>
      </c>
      <c r="G159" t="n">
        <v>2.2</v>
      </c>
      <c r="H159" t="n">
        <v>0</v>
      </c>
      <c r="I159" t="n">
        <v>0</v>
      </c>
      <c r="J159" t="n">
        <v>0</v>
      </c>
      <c r="K159" t="n">
        <v>0</v>
      </c>
      <c r="L159" t="n">
        <v>0</v>
      </c>
      <c r="M159" t="n">
        <v>0</v>
      </c>
      <c r="N159" t="n">
        <v>0</v>
      </c>
      <c r="O159" t="n">
        <v>0</v>
      </c>
      <c r="P159" t="n">
        <v>0</v>
      </c>
      <c r="Q159" t="n">
        <v>0</v>
      </c>
      <c r="R159" s="2" t="inlineStr"/>
    </row>
    <row r="160" ht="15" customHeight="1">
      <c r="A160" t="inlineStr">
        <is>
          <t>A 35088-2022</t>
        </is>
      </c>
      <c r="B160" s="1" t="n">
        <v>44797</v>
      </c>
      <c r="C160" s="1" t="n">
        <v>45907</v>
      </c>
      <c r="D160" t="inlineStr">
        <is>
          <t>SÖDERMANLANDS LÄN</t>
        </is>
      </c>
      <c r="E160" t="inlineStr">
        <is>
          <t>KATRINEHOLM</t>
        </is>
      </c>
      <c r="G160" t="n">
        <v>2.8</v>
      </c>
      <c r="H160" t="n">
        <v>0</v>
      </c>
      <c r="I160" t="n">
        <v>0</v>
      </c>
      <c r="J160" t="n">
        <v>0</v>
      </c>
      <c r="K160" t="n">
        <v>0</v>
      </c>
      <c r="L160" t="n">
        <v>0</v>
      </c>
      <c r="M160" t="n">
        <v>0</v>
      </c>
      <c r="N160" t="n">
        <v>0</v>
      </c>
      <c r="O160" t="n">
        <v>0</v>
      </c>
      <c r="P160" t="n">
        <v>0</v>
      </c>
      <c r="Q160" t="n">
        <v>0</v>
      </c>
      <c r="R160" s="2" t="inlineStr"/>
    </row>
    <row r="161" ht="15" customHeight="1">
      <c r="A161" t="inlineStr">
        <is>
          <t>A 24099-2022</t>
        </is>
      </c>
      <c r="B161" s="1" t="n">
        <v>44725</v>
      </c>
      <c r="C161" s="1" t="n">
        <v>45907</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24199-2022</t>
        </is>
      </c>
      <c r="B162" s="1" t="n">
        <v>44725</v>
      </c>
      <c r="C162" s="1" t="n">
        <v>45907</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38835-2021</t>
        </is>
      </c>
      <c r="B163" s="1" t="n">
        <v>44411</v>
      </c>
      <c r="C163" s="1" t="n">
        <v>45907</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45907</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31684-2021</t>
        </is>
      </c>
      <c r="B165" s="1" t="n">
        <v>44369</v>
      </c>
      <c r="C165" s="1" t="n">
        <v>45907</v>
      </c>
      <c r="D165" t="inlineStr">
        <is>
          <t>SÖDERMANLANDS LÄN</t>
        </is>
      </c>
      <c r="E165" t="inlineStr">
        <is>
          <t>KATRINEHOLM</t>
        </is>
      </c>
      <c r="G165" t="n">
        <v>3.4</v>
      </c>
      <c r="H165" t="n">
        <v>0</v>
      </c>
      <c r="I165" t="n">
        <v>0</v>
      </c>
      <c r="J165" t="n">
        <v>0</v>
      </c>
      <c r="K165" t="n">
        <v>0</v>
      </c>
      <c r="L165" t="n">
        <v>0</v>
      </c>
      <c r="M165" t="n">
        <v>0</v>
      </c>
      <c r="N165" t="n">
        <v>0</v>
      </c>
      <c r="O165" t="n">
        <v>0</v>
      </c>
      <c r="P165" t="n">
        <v>0</v>
      </c>
      <c r="Q165" t="n">
        <v>0</v>
      </c>
      <c r="R165" s="2" t="inlineStr"/>
    </row>
    <row r="166" ht="15" customHeight="1">
      <c r="A166" t="inlineStr">
        <is>
          <t>A 9419-2022</t>
        </is>
      </c>
      <c r="B166" s="1" t="n">
        <v>44616</v>
      </c>
      <c r="C166" s="1" t="n">
        <v>45907</v>
      </c>
      <c r="D166" t="inlineStr">
        <is>
          <t>SÖDERMANLANDS LÄN</t>
        </is>
      </c>
      <c r="E166" t="inlineStr">
        <is>
          <t>KATRINEHOLM</t>
        </is>
      </c>
      <c r="F166" t="inlineStr">
        <is>
          <t>Övriga Aktiebolag</t>
        </is>
      </c>
      <c r="G166" t="n">
        <v>1.7</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45907</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51885-2022</t>
        </is>
      </c>
      <c r="B168" s="1" t="n">
        <v>44872.60384259259</v>
      </c>
      <c r="C168" s="1" t="n">
        <v>45907</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42735-2022</t>
        </is>
      </c>
      <c r="B169" s="1" t="n">
        <v>44832</v>
      </c>
      <c r="C169" s="1" t="n">
        <v>45907</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45907</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45907</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34625-2022</t>
        </is>
      </c>
      <c r="B172" s="1" t="n">
        <v>44795.44392361111</v>
      </c>
      <c r="C172" s="1" t="n">
        <v>45907</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45907</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33753-2022</t>
        </is>
      </c>
      <c r="B174" s="1" t="n">
        <v>44789</v>
      </c>
      <c r="C174" s="1" t="n">
        <v>45907</v>
      </c>
      <c r="D174" t="inlineStr">
        <is>
          <t>SÖDERMANLANDS LÄN</t>
        </is>
      </c>
      <c r="E174" t="inlineStr">
        <is>
          <t>KATRINEHOLM</t>
        </is>
      </c>
      <c r="G174" t="n">
        <v>4.9</v>
      </c>
      <c r="H174" t="n">
        <v>0</v>
      </c>
      <c r="I174" t="n">
        <v>0</v>
      </c>
      <c r="J174" t="n">
        <v>0</v>
      </c>
      <c r="K174" t="n">
        <v>0</v>
      </c>
      <c r="L174" t="n">
        <v>0</v>
      </c>
      <c r="M174" t="n">
        <v>0</v>
      </c>
      <c r="N174" t="n">
        <v>0</v>
      </c>
      <c r="O174" t="n">
        <v>0</v>
      </c>
      <c r="P174" t="n">
        <v>0</v>
      </c>
      <c r="Q174" t="n">
        <v>0</v>
      </c>
      <c r="R174" s="2" t="inlineStr"/>
    </row>
    <row r="175" ht="15" customHeight="1">
      <c r="A175" t="inlineStr">
        <is>
          <t>A 41642-2022</t>
        </is>
      </c>
      <c r="B175" s="1" t="n">
        <v>44827</v>
      </c>
      <c r="C175" s="1" t="n">
        <v>45907</v>
      </c>
      <c r="D175" t="inlineStr">
        <is>
          <t>SÖDERMANLANDS LÄN</t>
        </is>
      </c>
      <c r="E175" t="inlineStr">
        <is>
          <t>KATRINEHOLM</t>
        </is>
      </c>
      <c r="G175" t="n">
        <v>2.4</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45907</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45907</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45907</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67351-2021</t>
        </is>
      </c>
      <c r="B179" s="1" t="n">
        <v>44523</v>
      </c>
      <c r="C179" s="1" t="n">
        <v>45907</v>
      </c>
      <c r="D179" t="inlineStr">
        <is>
          <t>SÖDERMANLANDS LÄN</t>
        </is>
      </c>
      <c r="E179" t="inlineStr">
        <is>
          <t>KATRINEHOLM</t>
        </is>
      </c>
      <c r="G179" t="n">
        <v>5.4</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45907</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64633-2020</t>
        </is>
      </c>
      <c r="B181" s="1" t="n">
        <v>44169</v>
      </c>
      <c r="C181" s="1" t="n">
        <v>45907</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57745-2020</t>
        </is>
      </c>
      <c r="B182" s="1" t="n">
        <v>44141</v>
      </c>
      <c r="C182" s="1" t="n">
        <v>45907</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24098-2022</t>
        </is>
      </c>
      <c r="B183" s="1" t="n">
        <v>44725</v>
      </c>
      <c r="C183" s="1" t="n">
        <v>45907</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45907</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45907</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45907</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45907</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4767-2021</t>
        </is>
      </c>
      <c r="B188" s="1" t="n">
        <v>44225</v>
      </c>
      <c r="C188" s="1" t="n">
        <v>45907</v>
      </c>
      <c r="D188" t="inlineStr">
        <is>
          <t>SÖDERMANLANDS LÄN</t>
        </is>
      </c>
      <c r="E188" t="inlineStr">
        <is>
          <t>KATRINEHOLM</t>
        </is>
      </c>
      <c r="G188" t="n">
        <v>3.8</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45907</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7189-2022</t>
        </is>
      </c>
      <c r="B190" s="1" t="n">
        <v>44605</v>
      </c>
      <c r="C190" s="1" t="n">
        <v>45907</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45907</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45147-2021</t>
        </is>
      </c>
      <c r="B192" s="1" t="n">
        <v>44439</v>
      </c>
      <c r="C192" s="1" t="n">
        <v>45907</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52044-2021</t>
        </is>
      </c>
      <c r="B193" s="1" t="n">
        <v>44463</v>
      </c>
      <c r="C193" s="1" t="n">
        <v>45907</v>
      </c>
      <c r="D193" t="inlineStr">
        <is>
          <t>SÖDERMANLANDS LÄN</t>
        </is>
      </c>
      <c r="E193" t="inlineStr">
        <is>
          <t>KATRINEHOLM</t>
        </is>
      </c>
      <c r="G193" t="n">
        <v>1.1</v>
      </c>
      <c r="H193" t="n">
        <v>0</v>
      </c>
      <c r="I193" t="n">
        <v>0</v>
      </c>
      <c r="J193" t="n">
        <v>0</v>
      </c>
      <c r="K193" t="n">
        <v>0</v>
      </c>
      <c r="L193" t="n">
        <v>0</v>
      </c>
      <c r="M193" t="n">
        <v>0</v>
      </c>
      <c r="N193" t="n">
        <v>0</v>
      </c>
      <c r="O193" t="n">
        <v>0</v>
      </c>
      <c r="P193" t="n">
        <v>0</v>
      </c>
      <c r="Q193" t="n">
        <v>0</v>
      </c>
      <c r="R193" s="2" t="inlineStr"/>
    </row>
    <row r="194" ht="15" customHeight="1">
      <c r="A194" t="inlineStr">
        <is>
          <t>A 54698-2021</t>
        </is>
      </c>
      <c r="B194" s="1" t="n">
        <v>44473</v>
      </c>
      <c r="C194" s="1" t="n">
        <v>45907</v>
      </c>
      <c r="D194" t="inlineStr">
        <is>
          <t>SÖDERMANLANDS LÄN</t>
        </is>
      </c>
      <c r="E194" t="inlineStr">
        <is>
          <t>KATRINEHOLM</t>
        </is>
      </c>
      <c r="F194" t="inlineStr">
        <is>
          <t>Holmen skog AB</t>
        </is>
      </c>
      <c r="G194" t="n">
        <v>1.7</v>
      </c>
      <c r="H194" t="n">
        <v>0</v>
      </c>
      <c r="I194" t="n">
        <v>0</v>
      </c>
      <c r="J194" t="n">
        <v>0</v>
      </c>
      <c r="K194" t="n">
        <v>0</v>
      </c>
      <c r="L194" t="n">
        <v>0</v>
      </c>
      <c r="M194" t="n">
        <v>0</v>
      </c>
      <c r="N194" t="n">
        <v>0</v>
      </c>
      <c r="O194" t="n">
        <v>0</v>
      </c>
      <c r="P194" t="n">
        <v>0</v>
      </c>
      <c r="Q194" t="n">
        <v>0</v>
      </c>
      <c r="R194" s="2" t="inlineStr"/>
    </row>
    <row r="195" ht="15" customHeight="1">
      <c r="A195" t="inlineStr">
        <is>
          <t>A 40749-2022</t>
        </is>
      </c>
      <c r="B195" s="1" t="n">
        <v>44824</v>
      </c>
      <c r="C195" s="1" t="n">
        <v>45907</v>
      </c>
      <c r="D195" t="inlineStr">
        <is>
          <t>SÖDERMANLANDS LÄN</t>
        </is>
      </c>
      <c r="E195" t="inlineStr">
        <is>
          <t>KATRINEHOLM</t>
        </is>
      </c>
      <c r="G195" t="n">
        <v>0.2</v>
      </c>
      <c r="H195" t="n">
        <v>0</v>
      </c>
      <c r="I195" t="n">
        <v>0</v>
      </c>
      <c r="J195" t="n">
        <v>0</v>
      </c>
      <c r="K195" t="n">
        <v>0</v>
      </c>
      <c r="L195" t="n">
        <v>0</v>
      </c>
      <c r="M195" t="n">
        <v>0</v>
      </c>
      <c r="N195" t="n">
        <v>0</v>
      </c>
      <c r="O195" t="n">
        <v>0</v>
      </c>
      <c r="P195" t="n">
        <v>0</v>
      </c>
      <c r="Q195" t="n">
        <v>0</v>
      </c>
      <c r="R195" s="2" t="inlineStr"/>
    </row>
    <row r="196" ht="15" customHeight="1">
      <c r="A196" t="inlineStr">
        <is>
          <t>A 55034-2021</t>
        </is>
      </c>
      <c r="B196" s="1" t="n">
        <v>44474</v>
      </c>
      <c r="C196" s="1" t="n">
        <v>45907</v>
      </c>
      <c r="D196" t="inlineStr">
        <is>
          <t>SÖDERMANLANDS LÄN</t>
        </is>
      </c>
      <c r="E196" t="inlineStr">
        <is>
          <t>KATRINEHOLM</t>
        </is>
      </c>
      <c r="G196" t="n">
        <v>5</v>
      </c>
      <c r="H196" t="n">
        <v>0</v>
      </c>
      <c r="I196" t="n">
        <v>0</v>
      </c>
      <c r="J196" t="n">
        <v>0</v>
      </c>
      <c r="K196" t="n">
        <v>0</v>
      </c>
      <c r="L196" t="n">
        <v>0</v>
      </c>
      <c r="M196" t="n">
        <v>0</v>
      </c>
      <c r="N196" t="n">
        <v>0</v>
      </c>
      <c r="O196" t="n">
        <v>0</v>
      </c>
      <c r="P196" t="n">
        <v>0</v>
      </c>
      <c r="Q196" t="n">
        <v>0</v>
      </c>
      <c r="R196" s="2" t="inlineStr"/>
    </row>
    <row r="197" ht="15" customHeight="1">
      <c r="A197" t="inlineStr">
        <is>
          <t>A 29397-2024</t>
        </is>
      </c>
      <c r="B197" s="1" t="n">
        <v>45483</v>
      </c>
      <c r="C197" s="1" t="n">
        <v>45907</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36964-2021</t>
        </is>
      </c>
      <c r="B198" s="1" t="n">
        <v>44393</v>
      </c>
      <c r="C198" s="1" t="n">
        <v>45907</v>
      </c>
      <c r="D198" t="inlineStr">
        <is>
          <t>SÖDERMANLANDS LÄN</t>
        </is>
      </c>
      <c r="E198" t="inlineStr">
        <is>
          <t>KATRINEHOLM</t>
        </is>
      </c>
      <c r="G198" t="n">
        <v>3.5</v>
      </c>
      <c r="H198" t="n">
        <v>0</v>
      </c>
      <c r="I198" t="n">
        <v>0</v>
      </c>
      <c r="J198" t="n">
        <v>0</v>
      </c>
      <c r="K198" t="n">
        <v>0</v>
      </c>
      <c r="L198" t="n">
        <v>0</v>
      </c>
      <c r="M198" t="n">
        <v>0</v>
      </c>
      <c r="N198" t="n">
        <v>0</v>
      </c>
      <c r="O198" t="n">
        <v>0</v>
      </c>
      <c r="P198" t="n">
        <v>0</v>
      </c>
      <c r="Q198" t="n">
        <v>0</v>
      </c>
      <c r="R198" s="2" t="inlineStr"/>
    </row>
    <row r="199" ht="15" customHeight="1">
      <c r="A199" t="inlineStr">
        <is>
          <t>A 30981-2022</t>
        </is>
      </c>
      <c r="B199" s="1" t="n">
        <v>44768</v>
      </c>
      <c r="C199" s="1" t="n">
        <v>45907</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6807-2023</t>
        </is>
      </c>
      <c r="B200" s="1" t="n">
        <v>44964</v>
      </c>
      <c r="C200" s="1" t="n">
        <v>45907</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53822-2023</t>
        </is>
      </c>
      <c r="B201" s="1" t="n">
        <v>45231.40846064815</v>
      </c>
      <c r="C201" s="1" t="n">
        <v>45907</v>
      </c>
      <c r="D201" t="inlineStr">
        <is>
          <t>SÖDERMANLANDS LÄN</t>
        </is>
      </c>
      <c r="E201" t="inlineStr">
        <is>
          <t>KATRINEHOLM</t>
        </is>
      </c>
      <c r="G201" t="n">
        <v>0.6</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45907</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45907</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12658-2022</t>
        </is>
      </c>
      <c r="B204" s="1" t="n">
        <v>44641</v>
      </c>
      <c r="C204" s="1" t="n">
        <v>45907</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46412-2022</t>
        </is>
      </c>
      <c r="B205" s="1" t="n">
        <v>44848.42216435185</v>
      </c>
      <c r="C205" s="1" t="n">
        <v>45907</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24179-2024</t>
        </is>
      </c>
      <c r="B206" s="1" t="n">
        <v>45456.83059027778</v>
      </c>
      <c r="C206" s="1" t="n">
        <v>45907</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56572-2021</t>
        </is>
      </c>
      <c r="B207" s="1" t="n">
        <v>44480</v>
      </c>
      <c r="C207" s="1" t="n">
        <v>45907</v>
      </c>
      <c r="D207" t="inlineStr">
        <is>
          <t>SÖDERMANLANDS LÄN</t>
        </is>
      </c>
      <c r="E207" t="inlineStr">
        <is>
          <t>KATRINEHOLM</t>
        </is>
      </c>
      <c r="F207" t="inlineStr">
        <is>
          <t>Holmen skog AB</t>
        </is>
      </c>
      <c r="G207" t="n">
        <v>0.5</v>
      </c>
      <c r="H207" t="n">
        <v>0</v>
      </c>
      <c r="I207" t="n">
        <v>0</v>
      </c>
      <c r="J207" t="n">
        <v>0</v>
      </c>
      <c r="K207" t="n">
        <v>0</v>
      </c>
      <c r="L207" t="n">
        <v>0</v>
      </c>
      <c r="M207" t="n">
        <v>0</v>
      </c>
      <c r="N207" t="n">
        <v>0</v>
      </c>
      <c r="O207" t="n">
        <v>0</v>
      </c>
      <c r="P207" t="n">
        <v>0</v>
      </c>
      <c r="Q207" t="n">
        <v>0</v>
      </c>
      <c r="R207" s="2" t="inlineStr"/>
    </row>
    <row r="208" ht="15" customHeight="1">
      <c r="A208" t="inlineStr">
        <is>
          <t>A 30276-2023</t>
        </is>
      </c>
      <c r="B208" s="1" t="n">
        <v>45110</v>
      </c>
      <c r="C208" s="1" t="n">
        <v>45907</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50061-2022</t>
        </is>
      </c>
      <c r="B209" s="1" t="n">
        <v>44865</v>
      </c>
      <c r="C209" s="1" t="n">
        <v>45907</v>
      </c>
      <c r="D209" t="inlineStr">
        <is>
          <t>SÖDERMANLANDS LÄN</t>
        </is>
      </c>
      <c r="E209" t="inlineStr">
        <is>
          <t>KATRINEHOLM</t>
        </is>
      </c>
      <c r="G209" t="n">
        <v>4.9</v>
      </c>
      <c r="H209" t="n">
        <v>0</v>
      </c>
      <c r="I209" t="n">
        <v>0</v>
      </c>
      <c r="J209" t="n">
        <v>0</v>
      </c>
      <c r="K209" t="n">
        <v>0</v>
      </c>
      <c r="L209" t="n">
        <v>0</v>
      </c>
      <c r="M209" t="n">
        <v>0</v>
      </c>
      <c r="N209" t="n">
        <v>0</v>
      </c>
      <c r="O209" t="n">
        <v>0</v>
      </c>
      <c r="P209" t="n">
        <v>0</v>
      </c>
      <c r="Q209" t="n">
        <v>0</v>
      </c>
      <c r="R209" s="2" t="inlineStr"/>
    </row>
    <row r="210" ht="15" customHeight="1">
      <c r="A210" t="inlineStr">
        <is>
          <t>A 42791-2023</t>
        </is>
      </c>
      <c r="B210" s="1" t="n">
        <v>45181.92876157408</v>
      </c>
      <c r="C210" s="1" t="n">
        <v>45907</v>
      </c>
      <c r="D210" t="inlineStr">
        <is>
          <t>SÖDERMANLANDS LÄN</t>
        </is>
      </c>
      <c r="E210" t="inlineStr">
        <is>
          <t>KATRINEHOLM</t>
        </is>
      </c>
      <c r="G210" t="n">
        <v>4.1</v>
      </c>
      <c r="H210" t="n">
        <v>0</v>
      </c>
      <c r="I210" t="n">
        <v>0</v>
      </c>
      <c r="J210" t="n">
        <v>0</v>
      </c>
      <c r="K210" t="n">
        <v>0</v>
      </c>
      <c r="L210" t="n">
        <v>0</v>
      </c>
      <c r="M210" t="n">
        <v>0</v>
      </c>
      <c r="N210" t="n">
        <v>0</v>
      </c>
      <c r="O210" t="n">
        <v>0</v>
      </c>
      <c r="P210" t="n">
        <v>0</v>
      </c>
      <c r="Q210" t="n">
        <v>0</v>
      </c>
      <c r="R210" s="2" t="inlineStr"/>
    </row>
    <row r="211" ht="15" customHeight="1">
      <c r="A211" t="inlineStr">
        <is>
          <t>A 42792-2023</t>
        </is>
      </c>
      <c r="B211" s="1" t="n">
        <v>45181.95491898148</v>
      </c>
      <c r="C211" s="1" t="n">
        <v>45907</v>
      </c>
      <c r="D211" t="inlineStr">
        <is>
          <t>SÖDERMANLANDS LÄN</t>
        </is>
      </c>
      <c r="E211" t="inlineStr">
        <is>
          <t>KATRINEHOLM</t>
        </is>
      </c>
      <c r="G211" t="n">
        <v>1.3</v>
      </c>
      <c r="H211" t="n">
        <v>0</v>
      </c>
      <c r="I211" t="n">
        <v>0</v>
      </c>
      <c r="J211" t="n">
        <v>0</v>
      </c>
      <c r="K211" t="n">
        <v>0</v>
      </c>
      <c r="L211" t="n">
        <v>0</v>
      </c>
      <c r="M211" t="n">
        <v>0</v>
      </c>
      <c r="N211" t="n">
        <v>0</v>
      </c>
      <c r="O211" t="n">
        <v>0</v>
      </c>
      <c r="P211" t="n">
        <v>0</v>
      </c>
      <c r="Q211" t="n">
        <v>0</v>
      </c>
      <c r="R211" s="2" t="inlineStr"/>
    </row>
    <row r="212" ht="15" customHeight="1">
      <c r="A212" t="inlineStr">
        <is>
          <t>A 32786-2022</t>
        </is>
      </c>
      <c r="B212" s="1" t="n">
        <v>44784</v>
      </c>
      <c r="C212" s="1" t="n">
        <v>45907</v>
      </c>
      <c r="D212" t="inlineStr">
        <is>
          <t>SÖDERMANLANDS LÄN</t>
        </is>
      </c>
      <c r="E212" t="inlineStr">
        <is>
          <t>KATRINEHOLM</t>
        </is>
      </c>
      <c r="G212" t="n">
        <v>7</v>
      </c>
      <c r="H212" t="n">
        <v>0</v>
      </c>
      <c r="I212" t="n">
        <v>0</v>
      </c>
      <c r="J212" t="n">
        <v>0</v>
      </c>
      <c r="K212" t="n">
        <v>0</v>
      </c>
      <c r="L212" t="n">
        <v>0</v>
      </c>
      <c r="M212" t="n">
        <v>0</v>
      </c>
      <c r="N212" t="n">
        <v>0</v>
      </c>
      <c r="O212" t="n">
        <v>0</v>
      </c>
      <c r="P212" t="n">
        <v>0</v>
      </c>
      <c r="Q212" t="n">
        <v>0</v>
      </c>
      <c r="R212" s="2" t="inlineStr"/>
    </row>
    <row r="213" ht="15" customHeight="1">
      <c r="A213" t="inlineStr">
        <is>
          <t>A 6789-2022</t>
        </is>
      </c>
      <c r="B213" s="1" t="n">
        <v>44602</v>
      </c>
      <c r="C213" s="1" t="n">
        <v>45907</v>
      </c>
      <c r="D213" t="inlineStr">
        <is>
          <t>SÖDERMANLANDS LÄN</t>
        </is>
      </c>
      <c r="E213" t="inlineStr">
        <is>
          <t>KATRINEHOLM</t>
        </is>
      </c>
      <c r="G213" t="n">
        <v>4.6</v>
      </c>
      <c r="H213" t="n">
        <v>0</v>
      </c>
      <c r="I213" t="n">
        <v>0</v>
      </c>
      <c r="J213" t="n">
        <v>0</v>
      </c>
      <c r="K213" t="n">
        <v>0</v>
      </c>
      <c r="L213" t="n">
        <v>0</v>
      </c>
      <c r="M213" t="n">
        <v>0</v>
      </c>
      <c r="N213" t="n">
        <v>0</v>
      </c>
      <c r="O213" t="n">
        <v>0</v>
      </c>
      <c r="P213" t="n">
        <v>0</v>
      </c>
      <c r="Q213" t="n">
        <v>0</v>
      </c>
      <c r="R213" s="2" t="inlineStr"/>
    </row>
    <row r="214" ht="15" customHeight="1">
      <c r="A214" t="inlineStr">
        <is>
          <t>A 29702-2021</t>
        </is>
      </c>
      <c r="B214" s="1" t="n">
        <v>44362</v>
      </c>
      <c r="C214" s="1" t="n">
        <v>45907</v>
      </c>
      <c r="D214" t="inlineStr">
        <is>
          <t>SÖDERMANLANDS LÄN</t>
        </is>
      </c>
      <c r="E214" t="inlineStr">
        <is>
          <t>KATRINEHOLM</t>
        </is>
      </c>
      <c r="F214" t="inlineStr">
        <is>
          <t>Holmen skog AB</t>
        </is>
      </c>
      <c r="G214" t="n">
        <v>0.3</v>
      </c>
      <c r="H214" t="n">
        <v>0</v>
      </c>
      <c r="I214" t="n">
        <v>0</v>
      </c>
      <c r="J214" t="n">
        <v>0</v>
      </c>
      <c r="K214" t="n">
        <v>0</v>
      </c>
      <c r="L214" t="n">
        <v>0</v>
      </c>
      <c r="M214" t="n">
        <v>0</v>
      </c>
      <c r="N214" t="n">
        <v>0</v>
      </c>
      <c r="O214" t="n">
        <v>0</v>
      </c>
      <c r="P214" t="n">
        <v>0</v>
      </c>
      <c r="Q214" t="n">
        <v>0</v>
      </c>
      <c r="R214" s="2" t="inlineStr"/>
    </row>
    <row r="215" ht="15" customHeight="1">
      <c r="A215" t="inlineStr">
        <is>
          <t>A 21576-2022</t>
        </is>
      </c>
      <c r="B215" s="1" t="n">
        <v>44706</v>
      </c>
      <c r="C215" s="1" t="n">
        <v>45907</v>
      </c>
      <c r="D215" t="inlineStr">
        <is>
          <t>SÖDERMANLANDS LÄN</t>
        </is>
      </c>
      <c r="E215" t="inlineStr">
        <is>
          <t>KATRINEHOLM</t>
        </is>
      </c>
      <c r="G215" t="n">
        <v>4.2</v>
      </c>
      <c r="H215" t="n">
        <v>0</v>
      </c>
      <c r="I215" t="n">
        <v>0</v>
      </c>
      <c r="J215" t="n">
        <v>0</v>
      </c>
      <c r="K215" t="n">
        <v>0</v>
      </c>
      <c r="L215" t="n">
        <v>0</v>
      </c>
      <c r="M215" t="n">
        <v>0</v>
      </c>
      <c r="N215" t="n">
        <v>0</v>
      </c>
      <c r="O215" t="n">
        <v>0</v>
      </c>
      <c r="P215" t="n">
        <v>0</v>
      </c>
      <c r="Q215" t="n">
        <v>0</v>
      </c>
      <c r="R215" s="2" t="inlineStr"/>
    </row>
    <row r="216" ht="15" customHeight="1">
      <c r="A216" t="inlineStr">
        <is>
          <t>A 43967-2022</t>
        </is>
      </c>
      <c r="B216" s="1" t="n">
        <v>44837</v>
      </c>
      <c r="C216" s="1" t="n">
        <v>45907</v>
      </c>
      <c r="D216" t="inlineStr">
        <is>
          <t>SÖDERMANLANDS LÄN</t>
        </is>
      </c>
      <c r="E216" t="inlineStr">
        <is>
          <t>KATRINEHOLM</t>
        </is>
      </c>
      <c r="G216" t="n">
        <v>6.2</v>
      </c>
      <c r="H216" t="n">
        <v>0</v>
      </c>
      <c r="I216" t="n">
        <v>0</v>
      </c>
      <c r="J216" t="n">
        <v>0</v>
      </c>
      <c r="K216" t="n">
        <v>0</v>
      </c>
      <c r="L216" t="n">
        <v>0</v>
      </c>
      <c r="M216" t="n">
        <v>0</v>
      </c>
      <c r="N216" t="n">
        <v>0</v>
      </c>
      <c r="O216" t="n">
        <v>0</v>
      </c>
      <c r="P216" t="n">
        <v>0</v>
      </c>
      <c r="Q216" t="n">
        <v>0</v>
      </c>
      <c r="R216" s="2" t="inlineStr"/>
    </row>
    <row r="217" ht="15" customHeight="1">
      <c r="A217" t="inlineStr">
        <is>
          <t>A 44012-2022</t>
        </is>
      </c>
      <c r="B217" s="1" t="n">
        <v>44838</v>
      </c>
      <c r="C217" s="1" t="n">
        <v>45907</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42025-2022</t>
        </is>
      </c>
      <c r="B218" s="1" t="n">
        <v>44830.47399305556</v>
      </c>
      <c r="C218" s="1" t="n">
        <v>45907</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4662-2023</t>
        </is>
      </c>
      <c r="B219" s="1" t="n">
        <v>44957</v>
      </c>
      <c r="C219" s="1" t="n">
        <v>45907</v>
      </c>
      <c r="D219" t="inlineStr">
        <is>
          <t>SÖDERMANLANDS LÄN</t>
        </is>
      </c>
      <c r="E219" t="inlineStr">
        <is>
          <t>KATRINEHOLM</t>
        </is>
      </c>
      <c r="F219" t="inlineStr">
        <is>
          <t>Holmen skog AB</t>
        </is>
      </c>
      <c r="G219" t="n">
        <v>0.4</v>
      </c>
      <c r="H219" t="n">
        <v>0</v>
      </c>
      <c r="I219" t="n">
        <v>0</v>
      </c>
      <c r="J219" t="n">
        <v>0</v>
      </c>
      <c r="K219" t="n">
        <v>0</v>
      </c>
      <c r="L219" t="n">
        <v>0</v>
      </c>
      <c r="M219" t="n">
        <v>0</v>
      </c>
      <c r="N219" t="n">
        <v>0</v>
      </c>
      <c r="O219" t="n">
        <v>0</v>
      </c>
      <c r="P219" t="n">
        <v>0</v>
      </c>
      <c r="Q219" t="n">
        <v>0</v>
      </c>
      <c r="R219" s="2" t="inlineStr"/>
    </row>
    <row r="220" ht="15" customHeight="1">
      <c r="A220" t="inlineStr">
        <is>
          <t>A 22304-2024</t>
        </is>
      </c>
      <c r="B220" s="1" t="n">
        <v>45446.56626157407</v>
      </c>
      <c r="C220" s="1" t="n">
        <v>45907</v>
      </c>
      <c r="D220" t="inlineStr">
        <is>
          <t>SÖDERMANLANDS LÄN</t>
        </is>
      </c>
      <c r="E220" t="inlineStr">
        <is>
          <t>KATRINEHOLM</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51835-2022</t>
        </is>
      </c>
      <c r="B221" s="1" t="n">
        <v>44872.57288194444</v>
      </c>
      <c r="C221" s="1" t="n">
        <v>45907</v>
      </c>
      <c r="D221" t="inlineStr">
        <is>
          <t>SÖDERMANLANDS LÄN</t>
        </is>
      </c>
      <c r="E221" t="inlineStr">
        <is>
          <t>KATRINEHOLM</t>
        </is>
      </c>
      <c r="G221" t="n">
        <v>0.9</v>
      </c>
      <c r="H221" t="n">
        <v>0</v>
      </c>
      <c r="I221" t="n">
        <v>0</v>
      </c>
      <c r="J221" t="n">
        <v>0</v>
      </c>
      <c r="K221" t="n">
        <v>0</v>
      </c>
      <c r="L221" t="n">
        <v>0</v>
      </c>
      <c r="M221" t="n">
        <v>0</v>
      </c>
      <c r="N221" t="n">
        <v>0</v>
      </c>
      <c r="O221" t="n">
        <v>0</v>
      </c>
      <c r="P221" t="n">
        <v>0</v>
      </c>
      <c r="Q221" t="n">
        <v>0</v>
      </c>
      <c r="R221" s="2" t="inlineStr"/>
    </row>
    <row r="222" ht="15" customHeight="1">
      <c r="A222" t="inlineStr">
        <is>
          <t>A 13658-2023</t>
        </is>
      </c>
      <c r="B222" s="1" t="n">
        <v>45006</v>
      </c>
      <c r="C222" s="1" t="n">
        <v>45907</v>
      </c>
      <c r="D222" t="inlineStr">
        <is>
          <t>SÖDERMANLANDS LÄN</t>
        </is>
      </c>
      <c r="E222" t="inlineStr">
        <is>
          <t>KATRINEHOLM</t>
        </is>
      </c>
      <c r="F222" t="inlineStr">
        <is>
          <t>Kyrkan</t>
        </is>
      </c>
      <c r="G222" t="n">
        <v>24.3</v>
      </c>
      <c r="H222" t="n">
        <v>0</v>
      </c>
      <c r="I222" t="n">
        <v>0</v>
      </c>
      <c r="J222" t="n">
        <v>0</v>
      </c>
      <c r="K222" t="n">
        <v>0</v>
      </c>
      <c r="L222" t="n">
        <v>0</v>
      </c>
      <c r="M222" t="n">
        <v>0</v>
      </c>
      <c r="N222" t="n">
        <v>0</v>
      </c>
      <c r="O222" t="n">
        <v>0</v>
      </c>
      <c r="P222" t="n">
        <v>0</v>
      </c>
      <c r="Q222" t="n">
        <v>0</v>
      </c>
      <c r="R222" s="2" t="inlineStr"/>
    </row>
    <row r="223" ht="15" customHeight="1">
      <c r="A223" t="inlineStr">
        <is>
          <t>A 13171-2024</t>
        </is>
      </c>
      <c r="B223" s="1" t="n">
        <v>45386</v>
      </c>
      <c r="C223" s="1" t="n">
        <v>45907</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45907</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2606-2025</t>
        </is>
      </c>
      <c r="B225" s="1" t="n">
        <v>45674</v>
      </c>
      <c r="C225" s="1" t="n">
        <v>45907</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28652-2024</t>
        </is>
      </c>
      <c r="B226" s="1" t="n">
        <v>45478</v>
      </c>
      <c r="C226" s="1" t="n">
        <v>45907</v>
      </c>
      <c r="D226" t="inlineStr">
        <is>
          <t>SÖDERMANLANDS LÄN</t>
        </is>
      </c>
      <c r="E226" t="inlineStr">
        <is>
          <t>KATRINEHOLM</t>
        </is>
      </c>
      <c r="G226" t="n">
        <v>1.4</v>
      </c>
      <c r="H226" t="n">
        <v>0</v>
      </c>
      <c r="I226" t="n">
        <v>0</v>
      </c>
      <c r="J226" t="n">
        <v>0</v>
      </c>
      <c r="K226" t="n">
        <v>0</v>
      </c>
      <c r="L226" t="n">
        <v>0</v>
      </c>
      <c r="M226" t="n">
        <v>0</v>
      </c>
      <c r="N226" t="n">
        <v>0</v>
      </c>
      <c r="O226" t="n">
        <v>0</v>
      </c>
      <c r="P226" t="n">
        <v>0</v>
      </c>
      <c r="Q226" t="n">
        <v>0</v>
      </c>
      <c r="R226" s="2" t="inlineStr"/>
    </row>
    <row r="227" ht="15" customHeight="1">
      <c r="A227" t="inlineStr">
        <is>
          <t>A 48763-2024</t>
        </is>
      </c>
      <c r="B227" s="1" t="n">
        <v>45593.60288194445</v>
      </c>
      <c r="C227" s="1" t="n">
        <v>45907</v>
      </c>
      <c r="D227" t="inlineStr">
        <is>
          <t>SÖDERMANLANDS LÄN</t>
        </is>
      </c>
      <c r="E227" t="inlineStr">
        <is>
          <t>KATRINEHOLM</t>
        </is>
      </c>
      <c r="G227" t="n">
        <v>1.3</v>
      </c>
      <c r="H227" t="n">
        <v>0</v>
      </c>
      <c r="I227" t="n">
        <v>0</v>
      </c>
      <c r="J227" t="n">
        <v>0</v>
      </c>
      <c r="K227" t="n">
        <v>0</v>
      </c>
      <c r="L227" t="n">
        <v>0</v>
      </c>
      <c r="M227" t="n">
        <v>0</v>
      </c>
      <c r="N227" t="n">
        <v>0</v>
      </c>
      <c r="O227" t="n">
        <v>0</v>
      </c>
      <c r="P227" t="n">
        <v>0</v>
      </c>
      <c r="Q227" t="n">
        <v>0</v>
      </c>
      <c r="R227" s="2" t="inlineStr"/>
    </row>
    <row r="228" ht="15" customHeight="1">
      <c r="A228" t="inlineStr">
        <is>
          <t>A 38872-2024</t>
        </is>
      </c>
      <c r="B228" s="1" t="n">
        <v>45547</v>
      </c>
      <c r="C228" s="1" t="n">
        <v>45907</v>
      </c>
      <c r="D228" t="inlineStr">
        <is>
          <t>SÖDERMANLANDS LÄN</t>
        </is>
      </c>
      <c r="E228" t="inlineStr">
        <is>
          <t>KATRINEHOLM</t>
        </is>
      </c>
      <c r="G228" t="n">
        <v>5.7</v>
      </c>
      <c r="H228" t="n">
        <v>0</v>
      </c>
      <c r="I228" t="n">
        <v>0</v>
      </c>
      <c r="J228" t="n">
        <v>0</v>
      </c>
      <c r="K228" t="n">
        <v>0</v>
      </c>
      <c r="L228" t="n">
        <v>0</v>
      </c>
      <c r="M228" t="n">
        <v>0</v>
      </c>
      <c r="N228" t="n">
        <v>0</v>
      </c>
      <c r="O228" t="n">
        <v>0</v>
      </c>
      <c r="P228" t="n">
        <v>0</v>
      </c>
      <c r="Q228" t="n">
        <v>0</v>
      </c>
      <c r="R228" s="2" t="inlineStr"/>
    </row>
    <row r="229" ht="15" customHeight="1">
      <c r="A229" t="inlineStr">
        <is>
          <t>A 9936-2023</t>
        </is>
      </c>
      <c r="B229" s="1" t="n">
        <v>44985.47086805556</v>
      </c>
      <c r="C229" s="1" t="n">
        <v>45907</v>
      </c>
      <c r="D229" t="inlineStr">
        <is>
          <t>SÖDERMANLANDS LÄN</t>
        </is>
      </c>
      <c r="E229" t="inlineStr">
        <is>
          <t>KATRINEHOLM</t>
        </is>
      </c>
      <c r="G229" t="n">
        <v>0.4</v>
      </c>
      <c r="H229" t="n">
        <v>0</v>
      </c>
      <c r="I229" t="n">
        <v>0</v>
      </c>
      <c r="J229" t="n">
        <v>0</v>
      </c>
      <c r="K229" t="n">
        <v>0</v>
      </c>
      <c r="L229" t="n">
        <v>0</v>
      </c>
      <c r="M229" t="n">
        <v>0</v>
      </c>
      <c r="N229" t="n">
        <v>0</v>
      </c>
      <c r="O229" t="n">
        <v>0</v>
      </c>
      <c r="P229" t="n">
        <v>0</v>
      </c>
      <c r="Q229" t="n">
        <v>0</v>
      </c>
      <c r="R229" s="2" t="inlineStr"/>
    </row>
    <row r="230" ht="15" customHeight="1">
      <c r="A230" t="inlineStr">
        <is>
          <t>A 41229-2022</t>
        </is>
      </c>
      <c r="B230" s="1" t="n">
        <v>44825</v>
      </c>
      <c r="C230" s="1" t="n">
        <v>45907</v>
      </c>
      <c r="D230" t="inlineStr">
        <is>
          <t>SÖDERMANLANDS LÄN</t>
        </is>
      </c>
      <c r="E230" t="inlineStr">
        <is>
          <t>KATRINEHOLM</t>
        </is>
      </c>
      <c r="G230" t="n">
        <v>3.8</v>
      </c>
      <c r="H230" t="n">
        <v>0</v>
      </c>
      <c r="I230" t="n">
        <v>0</v>
      </c>
      <c r="J230" t="n">
        <v>0</v>
      </c>
      <c r="K230" t="n">
        <v>0</v>
      </c>
      <c r="L230" t="n">
        <v>0</v>
      </c>
      <c r="M230" t="n">
        <v>0</v>
      </c>
      <c r="N230" t="n">
        <v>0</v>
      </c>
      <c r="O230" t="n">
        <v>0</v>
      </c>
      <c r="P230" t="n">
        <v>0</v>
      </c>
      <c r="Q230" t="n">
        <v>0</v>
      </c>
      <c r="R230" s="2" t="inlineStr"/>
    </row>
    <row r="231" ht="15" customHeight="1">
      <c r="A231" t="inlineStr">
        <is>
          <t>A 1091-2025</t>
        </is>
      </c>
      <c r="B231" s="1" t="n">
        <v>45666</v>
      </c>
      <c r="C231" s="1" t="n">
        <v>45907</v>
      </c>
      <c r="D231" t="inlineStr">
        <is>
          <t>SÖDERMANLANDS LÄN</t>
        </is>
      </c>
      <c r="E231" t="inlineStr">
        <is>
          <t>KATRINEHOLM</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7459-2022</t>
        </is>
      </c>
      <c r="B232" s="1" t="n">
        <v>44607.35009259259</v>
      </c>
      <c r="C232" s="1" t="n">
        <v>45907</v>
      </c>
      <c r="D232" t="inlineStr">
        <is>
          <t>SÖDERMANLANDS LÄN</t>
        </is>
      </c>
      <c r="E232" t="inlineStr">
        <is>
          <t>KATRINEHOLM</t>
        </is>
      </c>
      <c r="G232" t="n">
        <v>2</v>
      </c>
      <c r="H232" t="n">
        <v>0</v>
      </c>
      <c r="I232" t="n">
        <v>0</v>
      </c>
      <c r="J232" t="n">
        <v>0</v>
      </c>
      <c r="K232" t="n">
        <v>0</v>
      </c>
      <c r="L232" t="n">
        <v>0</v>
      </c>
      <c r="M232" t="n">
        <v>0</v>
      </c>
      <c r="N232" t="n">
        <v>0</v>
      </c>
      <c r="O232" t="n">
        <v>0</v>
      </c>
      <c r="P232" t="n">
        <v>0</v>
      </c>
      <c r="Q232" t="n">
        <v>0</v>
      </c>
      <c r="R232" s="2" t="inlineStr"/>
    </row>
    <row r="233" ht="15" customHeight="1">
      <c r="A233" t="inlineStr">
        <is>
          <t>A 30333-2023</t>
        </is>
      </c>
      <c r="B233" s="1" t="n">
        <v>45111</v>
      </c>
      <c r="C233" s="1" t="n">
        <v>45907</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9192-2023</t>
        </is>
      </c>
      <c r="B234" s="1" t="n">
        <v>44980</v>
      </c>
      <c r="C234" s="1" t="n">
        <v>45907</v>
      </c>
      <c r="D234" t="inlineStr">
        <is>
          <t>SÖDERMANLANDS LÄN</t>
        </is>
      </c>
      <c r="E234" t="inlineStr">
        <is>
          <t>KATRINEHOLM</t>
        </is>
      </c>
      <c r="F234" t="inlineStr">
        <is>
          <t>Övriga Aktiebolag</t>
        </is>
      </c>
      <c r="G234" t="n">
        <v>1.6</v>
      </c>
      <c r="H234" t="n">
        <v>0</v>
      </c>
      <c r="I234" t="n">
        <v>0</v>
      </c>
      <c r="J234" t="n">
        <v>0</v>
      </c>
      <c r="K234" t="n">
        <v>0</v>
      </c>
      <c r="L234" t="n">
        <v>0</v>
      </c>
      <c r="M234" t="n">
        <v>0</v>
      </c>
      <c r="N234" t="n">
        <v>0</v>
      </c>
      <c r="O234" t="n">
        <v>0</v>
      </c>
      <c r="P234" t="n">
        <v>0</v>
      </c>
      <c r="Q234" t="n">
        <v>0</v>
      </c>
      <c r="R234" s="2" t="inlineStr"/>
    </row>
    <row r="235" ht="15" customHeight="1">
      <c r="A235" t="inlineStr">
        <is>
          <t>A 39010-2021</t>
        </is>
      </c>
      <c r="B235" s="1" t="n">
        <v>44412</v>
      </c>
      <c r="C235" s="1" t="n">
        <v>45907</v>
      </c>
      <c r="D235" t="inlineStr">
        <is>
          <t>SÖDERMANLANDS LÄN</t>
        </is>
      </c>
      <c r="E235" t="inlineStr">
        <is>
          <t>KATRINEHOLM</t>
        </is>
      </c>
      <c r="G235" t="n">
        <v>0.8</v>
      </c>
      <c r="H235" t="n">
        <v>0</v>
      </c>
      <c r="I235" t="n">
        <v>0</v>
      </c>
      <c r="J235" t="n">
        <v>0</v>
      </c>
      <c r="K235" t="n">
        <v>0</v>
      </c>
      <c r="L235" t="n">
        <v>0</v>
      </c>
      <c r="M235" t="n">
        <v>0</v>
      </c>
      <c r="N235" t="n">
        <v>0</v>
      </c>
      <c r="O235" t="n">
        <v>0</v>
      </c>
      <c r="P235" t="n">
        <v>0</v>
      </c>
      <c r="Q235" t="n">
        <v>0</v>
      </c>
      <c r="R235" s="2" t="inlineStr"/>
    </row>
    <row r="236" ht="15" customHeight="1">
      <c r="A236" t="inlineStr">
        <is>
          <t>A 57462-2020</t>
        </is>
      </c>
      <c r="B236" s="1" t="n">
        <v>44140</v>
      </c>
      <c r="C236" s="1" t="n">
        <v>45907</v>
      </c>
      <c r="D236" t="inlineStr">
        <is>
          <t>SÖDERMANLANDS LÄN</t>
        </is>
      </c>
      <c r="E236" t="inlineStr">
        <is>
          <t>KATRINEHOLM</t>
        </is>
      </c>
      <c r="G236" t="n">
        <v>3.1</v>
      </c>
      <c r="H236" t="n">
        <v>0</v>
      </c>
      <c r="I236" t="n">
        <v>0</v>
      </c>
      <c r="J236" t="n">
        <v>0</v>
      </c>
      <c r="K236" t="n">
        <v>0</v>
      </c>
      <c r="L236" t="n">
        <v>0</v>
      </c>
      <c r="M236" t="n">
        <v>0</v>
      </c>
      <c r="N236" t="n">
        <v>0</v>
      </c>
      <c r="O236" t="n">
        <v>0</v>
      </c>
      <c r="P236" t="n">
        <v>0</v>
      </c>
      <c r="Q236" t="n">
        <v>0</v>
      </c>
      <c r="R236" s="2" t="inlineStr"/>
    </row>
    <row r="237" ht="15" customHeight="1">
      <c r="A237" t="inlineStr">
        <is>
          <t>A 72984-2021</t>
        </is>
      </c>
      <c r="B237" s="1" t="n">
        <v>44549.74741898148</v>
      </c>
      <c r="C237" s="1" t="n">
        <v>45907</v>
      </c>
      <c r="D237" t="inlineStr">
        <is>
          <t>SÖDERMANLANDS LÄN</t>
        </is>
      </c>
      <c r="E237" t="inlineStr">
        <is>
          <t>KATRINEHOLM</t>
        </is>
      </c>
      <c r="G237" t="n">
        <v>4.9</v>
      </c>
      <c r="H237" t="n">
        <v>0</v>
      </c>
      <c r="I237" t="n">
        <v>0</v>
      </c>
      <c r="J237" t="n">
        <v>0</v>
      </c>
      <c r="K237" t="n">
        <v>0</v>
      </c>
      <c r="L237" t="n">
        <v>0</v>
      </c>
      <c r="M237" t="n">
        <v>0</v>
      </c>
      <c r="N237" t="n">
        <v>0</v>
      </c>
      <c r="O237" t="n">
        <v>0</v>
      </c>
      <c r="P237" t="n">
        <v>0</v>
      </c>
      <c r="Q237" t="n">
        <v>0</v>
      </c>
      <c r="R237" s="2" t="inlineStr"/>
    </row>
    <row r="238" ht="15" customHeight="1">
      <c r="A238" t="inlineStr">
        <is>
          <t>A 6311-2025</t>
        </is>
      </c>
      <c r="B238" s="1" t="n">
        <v>45698</v>
      </c>
      <c r="C238" s="1" t="n">
        <v>45907</v>
      </c>
      <c r="D238" t="inlineStr">
        <is>
          <t>SÖDERMANLANDS LÄN</t>
        </is>
      </c>
      <c r="E238" t="inlineStr">
        <is>
          <t>KATRINEHOLM</t>
        </is>
      </c>
      <c r="G238" t="n">
        <v>0.3</v>
      </c>
      <c r="H238" t="n">
        <v>0</v>
      </c>
      <c r="I238" t="n">
        <v>0</v>
      </c>
      <c r="J238" t="n">
        <v>0</v>
      </c>
      <c r="K238" t="n">
        <v>0</v>
      </c>
      <c r="L238" t="n">
        <v>0</v>
      </c>
      <c r="M238" t="n">
        <v>0</v>
      </c>
      <c r="N238" t="n">
        <v>0</v>
      </c>
      <c r="O238" t="n">
        <v>0</v>
      </c>
      <c r="P238" t="n">
        <v>0</v>
      </c>
      <c r="Q238" t="n">
        <v>0</v>
      </c>
      <c r="R238" s="2" t="inlineStr"/>
    </row>
    <row r="239" ht="15" customHeight="1">
      <c r="A239" t="inlineStr">
        <is>
          <t>A 33712-2022</t>
        </is>
      </c>
      <c r="B239" s="1" t="n">
        <v>44789</v>
      </c>
      <c r="C239" s="1" t="n">
        <v>45907</v>
      </c>
      <c r="D239" t="inlineStr">
        <is>
          <t>SÖDERMANLANDS LÄN</t>
        </is>
      </c>
      <c r="E239" t="inlineStr">
        <is>
          <t>KATRINEHOLM</t>
        </is>
      </c>
      <c r="G239" t="n">
        <v>4.3</v>
      </c>
      <c r="H239" t="n">
        <v>0</v>
      </c>
      <c r="I239" t="n">
        <v>0</v>
      </c>
      <c r="J239" t="n">
        <v>0</v>
      </c>
      <c r="K239" t="n">
        <v>0</v>
      </c>
      <c r="L239" t="n">
        <v>0</v>
      </c>
      <c r="M239" t="n">
        <v>0</v>
      </c>
      <c r="N239" t="n">
        <v>0</v>
      </c>
      <c r="O239" t="n">
        <v>0</v>
      </c>
      <c r="P239" t="n">
        <v>0</v>
      </c>
      <c r="Q239" t="n">
        <v>0</v>
      </c>
      <c r="R239" s="2" t="inlineStr"/>
    </row>
    <row r="240" ht="15" customHeight="1">
      <c r="A240" t="inlineStr">
        <is>
          <t>A 33717-2022</t>
        </is>
      </c>
      <c r="B240" s="1" t="n">
        <v>44789</v>
      </c>
      <c r="C240" s="1" t="n">
        <v>45907</v>
      </c>
      <c r="D240" t="inlineStr">
        <is>
          <t>SÖDERMANLANDS LÄN</t>
        </is>
      </c>
      <c r="E240" t="inlineStr">
        <is>
          <t>KATRINEHOLM</t>
        </is>
      </c>
      <c r="G240" t="n">
        <v>4.4</v>
      </c>
      <c r="H240" t="n">
        <v>0</v>
      </c>
      <c r="I240" t="n">
        <v>0</v>
      </c>
      <c r="J240" t="n">
        <v>0</v>
      </c>
      <c r="K240" t="n">
        <v>0</v>
      </c>
      <c r="L240" t="n">
        <v>0</v>
      </c>
      <c r="M240" t="n">
        <v>0</v>
      </c>
      <c r="N240" t="n">
        <v>0</v>
      </c>
      <c r="O240" t="n">
        <v>0</v>
      </c>
      <c r="P240" t="n">
        <v>0</v>
      </c>
      <c r="Q240" t="n">
        <v>0</v>
      </c>
      <c r="R240" s="2" t="inlineStr"/>
    </row>
    <row r="241" ht="15" customHeight="1">
      <c r="A241" t="inlineStr">
        <is>
          <t>A 51440-2024</t>
        </is>
      </c>
      <c r="B241" s="1" t="n">
        <v>45604</v>
      </c>
      <c r="C241" s="1" t="n">
        <v>45907</v>
      </c>
      <c r="D241" t="inlineStr">
        <is>
          <t>SÖDERMANLANDS LÄN</t>
        </is>
      </c>
      <c r="E241" t="inlineStr">
        <is>
          <t>KATRINEHOLM</t>
        </is>
      </c>
      <c r="G241" t="n">
        <v>4.7</v>
      </c>
      <c r="H241" t="n">
        <v>0</v>
      </c>
      <c r="I241" t="n">
        <v>0</v>
      </c>
      <c r="J241" t="n">
        <v>0</v>
      </c>
      <c r="K241" t="n">
        <v>0</v>
      </c>
      <c r="L241" t="n">
        <v>0</v>
      </c>
      <c r="M241" t="n">
        <v>0</v>
      </c>
      <c r="N241" t="n">
        <v>0</v>
      </c>
      <c r="O241" t="n">
        <v>0</v>
      </c>
      <c r="P241" t="n">
        <v>0</v>
      </c>
      <c r="Q241" t="n">
        <v>0</v>
      </c>
      <c r="R241" s="2" t="inlineStr"/>
    </row>
    <row r="242" ht="15" customHeight="1">
      <c r="A242" t="inlineStr">
        <is>
          <t>A 2298-2021</t>
        </is>
      </c>
      <c r="B242" s="1" t="n">
        <v>44212</v>
      </c>
      <c r="C242" s="1" t="n">
        <v>45907</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51260-2021</t>
        </is>
      </c>
      <c r="B243" s="1" t="n">
        <v>44461</v>
      </c>
      <c r="C243" s="1" t="n">
        <v>45907</v>
      </c>
      <c r="D243" t="inlineStr">
        <is>
          <t>SÖDERMANLANDS LÄN</t>
        </is>
      </c>
      <c r="E243" t="inlineStr">
        <is>
          <t>KATRINEHOLM</t>
        </is>
      </c>
      <c r="G243" t="n">
        <v>0.7</v>
      </c>
      <c r="H243" t="n">
        <v>0</v>
      </c>
      <c r="I243" t="n">
        <v>0</v>
      </c>
      <c r="J243" t="n">
        <v>0</v>
      </c>
      <c r="K243" t="n">
        <v>0</v>
      </c>
      <c r="L243" t="n">
        <v>0</v>
      </c>
      <c r="M243" t="n">
        <v>0</v>
      </c>
      <c r="N243" t="n">
        <v>0</v>
      </c>
      <c r="O243" t="n">
        <v>0</v>
      </c>
      <c r="P243" t="n">
        <v>0</v>
      </c>
      <c r="Q243" t="n">
        <v>0</v>
      </c>
      <c r="R243" s="2" t="inlineStr"/>
    </row>
    <row r="244" ht="15" customHeight="1">
      <c r="A244" t="inlineStr">
        <is>
          <t>A 38879-2024</t>
        </is>
      </c>
      <c r="B244" s="1" t="n">
        <v>45547</v>
      </c>
      <c r="C244" s="1" t="n">
        <v>45907</v>
      </c>
      <c r="D244" t="inlineStr">
        <is>
          <t>SÖDERMANLANDS LÄN</t>
        </is>
      </c>
      <c r="E244" t="inlineStr">
        <is>
          <t>KATRINEHOLM</t>
        </is>
      </c>
      <c r="G244" t="n">
        <v>2.6</v>
      </c>
      <c r="H244" t="n">
        <v>0</v>
      </c>
      <c r="I244" t="n">
        <v>0</v>
      </c>
      <c r="J244" t="n">
        <v>0</v>
      </c>
      <c r="K244" t="n">
        <v>0</v>
      </c>
      <c r="L244" t="n">
        <v>0</v>
      </c>
      <c r="M244" t="n">
        <v>0</v>
      </c>
      <c r="N244" t="n">
        <v>0</v>
      </c>
      <c r="O244" t="n">
        <v>0</v>
      </c>
      <c r="P244" t="n">
        <v>0</v>
      </c>
      <c r="Q244" t="n">
        <v>0</v>
      </c>
      <c r="R244" s="2" t="inlineStr"/>
    </row>
    <row r="245" ht="15" customHeight="1">
      <c r="A245" t="inlineStr">
        <is>
          <t>A 6628-2022</t>
        </is>
      </c>
      <c r="B245" s="1" t="n">
        <v>44601.78850694445</v>
      </c>
      <c r="C245" s="1" t="n">
        <v>45907</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42945-2023</t>
        </is>
      </c>
      <c r="B246" s="1" t="n">
        <v>45182.5793287037</v>
      </c>
      <c r="C246" s="1" t="n">
        <v>45907</v>
      </c>
      <c r="D246" t="inlineStr">
        <is>
          <t>SÖDERMANLANDS LÄN</t>
        </is>
      </c>
      <c r="E246" t="inlineStr">
        <is>
          <t>KATRINEHOLM</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42962-2023</t>
        </is>
      </c>
      <c r="B247" s="1" t="n">
        <v>45182</v>
      </c>
      <c r="C247" s="1" t="n">
        <v>45907</v>
      </c>
      <c r="D247" t="inlineStr">
        <is>
          <t>SÖDERMANLANDS LÄN</t>
        </is>
      </c>
      <c r="E247" t="inlineStr">
        <is>
          <t>KATRINEHOLM</t>
        </is>
      </c>
      <c r="F247" t="inlineStr">
        <is>
          <t>Övriga Aktiebolag</t>
        </is>
      </c>
      <c r="G247" t="n">
        <v>10.6</v>
      </c>
      <c r="H247" t="n">
        <v>0</v>
      </c>
      <c r="I247" t="n">
        <v>0</v>
      </c>
      <c r="J247" t="n">
        <v>0</v>
      </c>
      <c r="K247" t="n">
        <v>0</v>
      </c>
      <c r="L247" t="n">
        <v>0</v>
      </c>
      <c r="M247" t="n">
        <v>0</v>
      </c>
      <c r="N247" t="n">
        <v>0</v>
      </c>
      <c r="O247" t="n">
        <v>0</v>
      </c>
      <c r="P247" t="n">
        <v>0</v>
      </c>
      <c r="Q247" t="n">
        <v>0</v>
      </c>
      <c r="R247" s="2" t="inlineStr"/>
    </row>
    <row r="248" ht="15" customHeight="1">
      <c r="A248" t="inlineStr">
        <is>
          <t>A 33538-2022</t>
        </is>
      </c>
      <c r="B248" s="1" t="n">
        <v>44789</v>
      </c>
      <c r="C248" s="1" t="n">
        <v>45907</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32890-2024</t>
        </is>
      </c>
      <c r="B249" s="1" t="n">
        <v>45516</v>
      </c>
      <c r="C249" s="1" t="n">
        <v>45907</v>
      </c>
      <c r="D249" t="inlineStr">
        <is>
          <t>SÖDERMANLANDS LÄN</t>
        </is>
      </c>
      <c r="E249" t="inlineStr">
        <is>
          <t>KATRINEHOLM</t>
        </is>
      </c>
      <c r="G249" t="n">
        <v>2.6</v>
      </c>
      <c r="H249" t="n">
        <v>0</v>
      </c>
      <c r="I249" t="n">
        <v>0</v>
      </c>
      <c r="J249" t="n">
        <v>0</v>
      </c>
      <c r="K249" t="n">
        <v>0</v>
      </c>
      <c r="L249" t="n">
        <v>0</v>
      </c>
      <c r="M249" t="n">
        <v>0</v>
      </c>
      <c r="N249" t="n">
        <v>0</v>
      </c>
      <c r="O249" t="n">
        <v>0</v>
      </c>
      <c r="P249" t="n">
        <v>0</v>
      </c>
      <c r="Q249" t="n">
        <v>0</v>
      </c>
      <c r="R249" s="2" t="inlineStr"/>
    </row>
    <row r="250" ht="15" customHeight="1">
      <c r="A250" t="inlineStr">
        <is>
          <t>A 39704-2023</t>
        </is>
      </c>
      <c r="B250" s="1" t="n">
        <v>45167</v>
      </c>
      <c r="C250" s="1" t="n">
        <v>45907</v>
      </c>
      <c r="D250" t="inlineStr">
        <is>
          <t>SÖDERMANLANDS LÄN</t>
        </is>
      </c>
      <c r="E250" t="inlineStr">
        <is>
          <t>KATRINEHOLM</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39120-2023</t>
        </is>
      </c>
      <c r="B251" s="1" t="n">
        <v>45165</v>
      </c>
      <c r="C251" s="1" t="n">
        <v>45907</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22113-2025</t>
        </is>
      </c>
      <c r="B252" s="1" t="n">
        <v>45785</v>
      </c>
      <c r="C252" s="1" t="n">
        <v>45907</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15235-2023</t>
        </is>
      </c>
      <c r="B253" s="1" t="n">
        <v>45019</v>
      </c>
      <c r="C253" s="1" t="n">
        <v>45907</v>
      </c>
      <c r="D253" t="inlineStr">
        <is>
          <t>SÖDERMANLANDS LÄN</t>
        </is>
      </c>
      <c r="E253" t="inlineStr">
        <is>
          <t>KATRINEHOLM</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24748-2024</t>
        </is>
      </c>
      <c r="B254" s="1" t="n">
        <v>45460.66567129629</v>
      </c>
      <c r="C254" s="1" t="n">
        <v>45907</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22119-2025</t>
        </is>
      </c>
      <c r="B255" s="1" t="n">
        <v>45785</v>
      </c>
      <c r="C255" s="1" t="n">
        <v>45907</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24287-2024</t>
        </is>
      </c>
      <c r="B256" s="1" t="n">
        <v>45457</v>
      </c>
      <c r="C256" s="1" t="n">
        <v>45907</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44915-2022</t>
        </is>
      </c>
      <c r="B257" s="1" t="n">
        <v>44840</v>
      </c>
      <c r="C257" s="1" t="n">
        <v>45907</v>
      </c>
      <c r="D257" t="inlineStr">
        <is>
          <t>SÖDERMANLANDS LÄN</t>
        </is>
      </c>
      <c r="E257" t="inlineStr">
        <is>
          <t>KATRINEHOLM</t>
        </is>
      </c>
      <c r="G257" t="n">
        <v>6.3</v>
      </c>
      <c r="H257" t="n">
        <v>0</v>
      </c>
      <c r="I257" t="n">
        <v>0</v>
      </c>
      <c r="J257" t="n">
        <v>0</v>
      </c>
      <c r="K257" t="n">
        <v>0</v>
      </c>
      <c r="L257" t="n">
        <v>0</v>
      </c>
      <c r="M257" t="n">
        <v>0</v>
      </c>
      <c r="N257" t="n">
        <v>0</v>
      </c>
      <c r="O257" t="n">
        <v>0</v>
      </c>
      <c r="P257" t="n">
        <v>0</v>
      </c>
      <c r="Q257" t="n">
        <v>0</v>
      </c>
      <c r="R257" s="2" t="inlineStr"/>
    </row>
    <row r="258" ht="15" customHeight="1">
      <c r="A258" t="inlineStr">
        <is>
          <t>A 16605-2025</t>
        </is>
      </c>
      <c r="B258" s="1" t="n">
        <v>45753.61614583333</v>
      </c>
      <c r="C258" s="1" t="n">
        <v>45907</v>
      </c>
      <c r="D258" t="inlineStr">
        <is>
          <t>SÖDERMANLANDS LÄN</t>
        </is>
      </c>
      <c r="E258" t="inlineStr">
        <is>
          <t>KATRINEHOLM</t>
        </is>
      </c>
      <c r="G258" t="n">
        <v>5.2</v>
      </c>
      <c r="H258" t="n">
        <v>0</v>
      </c>
      <c r="I258" t="n">
        <v>0</v>
      </c>
      <c r="J258" t="n">
        <v>0</v>
      </c>
      <c r="K258" t="n">
        <v>0</v>
      </c>
      <c r="L258" t="n">
        <v>0</v>
      </c>
      <c r="M258" t="n">
        <v>0</v>
      </c>
      <c r="N258" t="n">
        <v>0</v>
      </c>
      <c r="O258" t="n">
        <v>0</v>
      </c>
      <c r="P258" t="n">
        <v>0</v>
      </c>
      <c r="Q258" t="n">
        <v>0</v>
      </c>
      <c r="R258" s="2" t="inlineStr"/>
    </row>
    <row r="259" ht="15" customHeight="1">
      <c r="A259" t="inlineStr">
        <is>
          <t>A 40393-2022</t>
        </is>
      </c>
      <c r="B259" s="1" t="n">
        <v>44823</v>
      </c>
      <c r="C259" s="1" t="n">
        <v>45907</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45793-2022</t>
        </is>
      </c>
      <c r="B260" s="1" t="n">
        <v>44844</v>
      </c>
      <c r="C260" s="1" t="n">
        <v>45907</v>
      </c>
      <c r="D260" t="inlineStr">
        <is>
          <t>SÖDERMANLANDS LÄN</t>
        </is>
      </c>
      <c r="E260" t="inlineStr">
        <is>
          <t>KATRINEHOLM</t>
        </is>
      </c>
      <c r="G260" t="n">
        <v>2.3</v>
      </c>
      <c r="H260" t="n">
        <v>0</v>
      </c>
      <c r="I260" t="n">
        <v>0</v>
      </c>
      <c r="J260" t="n">
        <v>0</v>
      </c>
      <c r="K260" t="n">
        <v>0</v>
      </c>
      <c r="L260" t="n">
        <v>0</v>
      </c>
      <c r="M260" t="n">
        <v>0</v>
      </c>
      <c r="N260" t="n">
        <v>0</v>
      </c>
      <c r="O260" t="n">
        <v>0</v>
      </c>
      <c r="P260" t="n">
        <v>0</v>
      </c>
      <c r="Q260" t="n">
        <v>0</v>
      </c>
      <c r="R260" s="2" t="inlineStr"/>
    </row>
    <row r="261" ht="15" customHeight="1">
      <c r="A261" t="inlineStr">
        <is>
          <t>A 33934-2022</t>
        </is>
      </c>
      <c r="B261" s="1" t="n">
        <v>44790</v>
      </c>
      <c r="C261" s="1" t="n">
        <v>45907</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74354-2021</t>
        </is>
      </c>
      <c r="B262" s="1" t="n">
        <v>44559.57041666667</v>
      </c>
      <c r="C262" s="1" t="n">
        <v>45907</v>
      </c>
      <c r="D262" t="inlineStr">
        <is>
          <t>SÖDERMANLANDS LÄN</t>
        </is>
      </c>
      <c r="E262" t="inlineStr">
        <is>
          <t>KATRINEHOLM</t>
        </is>
      </c>
      <c r="G262" t="n">
        <v>0.7</v>
      </c>
      <c r="H262" t="n">
        <v>0</v>
      </c>
      <c r="I262" t="n">
        <v>0</v>
      </c>
      <c r="J262" t="n">
        <v>0</v>
      </c>
      <c r="K262" t="n">
        <v>0</v>
      </c>
      <c r="L262" t="n">
        <v>0</v>
      </c>
      <c r="M262" t="n">
        <v>0</v>
      </c>
      <c r="N262" t="n">
        <v>0</v>
      </c>
      <c r="O262" t="n">
        <v>0</v>
      </c>
      <c r="P262" t="n">
        <v>0</v>
      </c>
      <c r="Q262" t="n">
        <v>0</v>
      </c>
      <c r="R262" s="2" t="inlineStr"/>
    </row>
    <row r="263" ht="15" customHeight="1">
      <c r="A263" t="inlineStr">
        <is>
          <t>A 9699-2024</t>
        </is>
      </c>
      <c r="B263" s="1" t="n">
        <v>45362</v>
      </c>
      <c r="C263" s="1" t="n">
        <v>45907</v>
      </c>
      <c r="D263" t="inlineStr">
        <is>
          <t>SÖDERMANLANDS LÄN</t>
        </is>
      </c>
      <c r="E263" t="inlineStr">
        <is>
          <t>KATRINEHOLM</t>
        </is>
      </c>
      <c r="G263" t="n">
        <v>7.7</v>
      </c>
      <c r="H263" t="n">
        <v>0</v>
      </c>
      <c r="I263" t="n">
        <v>0</v>
      </c>
      <c r="J263" t="n">
        <v>0</v>
      </c>
      <c r="K263" t="n">
        <v>0</v>
      </c>
      <c r="L263" t="n">
        <v>0</v>
      </c>
      <c r="M263" t="n">
        <v>0</v>
      </c>
      <c r="N263" t="n">
        <v>0</v>
      </c>
      <c r="O263" t="n">
        <v>0</v>
      </c>
      <c r="P263" t="n">
        <v>0</v>
      </c>
      <c r="Q263" t="n">
        <v>0</v>
      </c>
      <c r="R263" s="2" t="inlineStr"/>
    </row>
    <row r="264" ht="15" customHeight="1">
      <c r="A264" t="inlineStr">
        <is>
          <t>A 73409-2021</t>
        </is>
      </c>
      <c r="B264" s="1" t="n">
        <v>44551</v>
      </c>
      <c r="C264" s="1" t="n">
        <v>45907</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73415-2021</t>
        </is>
      </c>
      <c r="B265" s="1" t="n">
        <v>44551</v>
      </c>
      <c r="C265" s="1" t="n">
        <v>45907</v>
      </c>
      <c r="D265" t="inlineStr">
        <is>
          <t>SÖDERMANLANDS LÄN</t>
        </is>
      </c>
      <c r="E265" t="inlineStr">
        <is>
          <t>KATRINEHOLM</t>
        </is>
      </c>
      <c r="G265" t="n">
        <v>3.2</v>
      </c>
      <c r="H265" t="n">
        <v>0</v>
      </c>
      <c r="I265" t="n">
        <v>0</v>
      </c>
      <c r="J265" t="n">
        <v>0</v>
      </c>
      <c r="K265" t="n">
        <v>0</v>
      </c>
      <c r="L265" t="n">
        <v>0</v>
      </c>
      <c r="M265" t="n">
        <v>0</v>
      </c>
      <c r="N265" t="n">
        <v>0</v>
      </c>
      <c r="O265" t="n">
        <v>0</v>
      </c>
      <c r="P265" t="n">
        <v>0</v>
      </c>
      <c r="Q265" t="n">
        <v>0</v>
      </c>
      <c r="R265" s="2" t="inlineStr"/>
    </row>
    <row r="266" ht="15" customHeight="1">
      <c r="A266" t="inlineStr">
        <is>
          <t>A 33001-2024</t>
        </is>
      </c>
      <c r="B266" s="1" t="n">
        <v>45517</v>
      </c>
      <c r="C266" s="1" t="n">
        <v>45907</v>
      </c>
      <c r="D266" t="inlineStr">
        <is>
          <t>SÖDERMANLANDS LÄN</t>
        </is>
      </c>
      <c r="E266" t="inlineStr">
        <is>
          <t>KATRINEHOLM</t>
        </is>
      </c>
      <c r="G266" t="n">
        <v>1.5</v>
      </c>
      <c r="H266" t="n">
        <v>0</v>
      </c>
      <c r="I266" t="n">
        <v>0</v>
      </c>
      <c r="J266" t="n">
        <v>0</v>
      </c>
      <c r="K266" t="n">
        <v>0</v>
      </c>
      <c r="L266" t="n">
        <v>0</v>
      </c>
      <c r="M266" t="n">
        <v>0</v>
      </c>
      <c r="N266" t="n">
        <v>0</v>
      </c>
      <c r="O266" t="n">
        <v>0</v>
      </c>
      <c r="P266" t="n">
        <v>0</v>
      </c>
      <c r="Q266" t="n">
        <v>0</v>
      </c>
      <c r="R266" s="2" t="inlineStr"/>
    </row>
    <row r="267" ht="15" customHeight="1">
      <c r="A267" t="inlineStr">
        <is>
          <t>A 63188-2021</t>
        </is>
      </c>
      <c r="B267" s="1" t="n">
        <v>44507.56865740741</v>
      </c>
      <c r="C267" s="1" t="n">
        <v>45907</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10732-2022</t>
        </is>
      </c>
      <c r="B268" s="1" t="n">
        <v>44627.34033564815</v>
      </c>
      <c r="C268" s="1" t="n">
        <v>45907</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64713-2023</t>
        </is>
      </c>
      <c r="B269" s="1" t="n">
        <v>45281</v>
      </c>
      <c r="C269" s="1" t="n">
        <v>45907</v>
      </c>
      <c r="D269" t="inlineStr">
        <is>
          <t>SÖDERMANLANDS LÄN</t>
        </is>
      </c>
      <c r="E269" t="inlineStr">
        <is>
          <t>KATRINEHOLM</t>
        </is>
      </c>
      <c r="G269" t="n">
        <v>4.9</v>
      </c>
      <c r="H269" t="n">
        <v>0</v>
      </c>
      <c r="I269" t="n">
        <v>0</v>
      </c>
      <c r="J269" t="n">
        <v>0</v>
      </c>
      <c r="K269" t="n">
        <v>0</v>
      </c>
      <c r="L269" t="n">
        <v>0</v>
      </c>
      <c r="M269" t="n">
        <v>0</v>
      </c>
      <c r="N269" t="n">
        <v>0</v>
      </c>
      <c r="O269" t="n">
        <v>0</v>
      </c>
      <c r="P269" t="n">
        <v>0</v>
      </c>
      <c r="Q269" t="n">
        <v>0</v>
      </c>
      <c r="R269" s="2" t="inlineStr"/>
    </row>
    <row r="270" ht="15" customHeight="1">
      <c r="A270" t="inlineStr">
        <is>
          <t>A 28304-2024</t>
        </is>
      </c>
      <c r="B270" s="1" t="n">
        <v>45477</v>
      </c>
      <c r="C270" s="1" t="n">
        <v>45907</v>
      </c>
      <c r="D270" t="inlineStr">
        <is>
          <t>SÖDERMANLANDS LÄN</t>
        </is>
      </c>
      <c r="E270" t="inlineStr">
        <is>
          <t>KATRINEHOLM</t>
        </is>
      </c>
      <c r="G270" t="n">
        <v>3.8</v>
      </c>
      <c r="H270" t="n">
        <v>0</v>
      </c>
      <c r="I270" t="n">
        <v>0</v>
      </c>
      <c r="J270" t="n">
        <v>0</v>
      </c>
      <c r="K270" t="n">
        <v>0</v>
      </c>
      <c r="L270" t="n">
        <v>0</v>
      </c>
      <c r="M270" t="n">
        <v>0</v>
      </c>
      <c r="N270" t="n">
        <v>0</v>
      </c>
      <c r="O270" t="n">
        <v>0</v>
      </c>
      <c r="P270" t="n">
        <v>0</v>
      </c>
      <c r="Q270" t="n">
        <v>0</v>
      </c>
      <c r="R270" s="2" t="inlineStr"/>
    </row>
    <row r="271" ht="15" customHeight="1">
      <c r="A271" t="inlineStr">
        <is>
          <t>A 8457-2023</t>
        </is>
      </c>
      <c r="B271" s="1" t="n">
        <v>44977</v>
      </c>
      <c r="C271" s="1" t="n">
        <v>45907</v>
      </c>
      <c r="D271" t="inlineStr">
        <is>
          <t>SÖDERMANLANDS LÄN</t>
        </is>
      </c>
      <c r="E271" t="inlineStr">
        <is>
          <t>KATRINEHOLM</t>
        </is>
      </c>
      <c r="F271" t="inlineStr">
        <is>
          <t>Allmännings- och besparingsskogar</t>
        </is>
      </c>
      <c r="G271" t="n">
        <v>16.1</v>
      </c>
      <c r="H271" t="n">
        <v>0</v>
      </c>
      <c r="I271" t="n">
        <v>0</v>
      </c>
      <c r="J271" t="n">
        <v>0</v>
      </c>
      <c r="K271" t="n">
        <v>0</v>
      </c>
      <c r="L271" t="n">
        <v>0</v>
      </c>
      <c r="M271" t="n">
        <v>0</v>
      </c>
      <c r="N271" t="n">
        <v>0</v>
      </c>
      <c r="O271" t="n">
        <v>0</v>
      </c>
      <c r="P271" t="n">
        <v>0</v>
      </c>
      <c r="Q271" t="n">
        <v>0</v>
      </c>
      <c r="R271" s="2" t="inlineStr"/>
    </row>
    <row r="272" ht="15" customHeight="1">
      <c r="A272" t="inlineStr">
        <is>
          <t>A 45438-2021</t>
        </is>
      </c>
      <c r="B272" s="1" t="n">
        <v>44440</v>
      </c>
      <c r="C272" s="1" t="n">
        <v>45907</v>
      </c>
      <c r="D272" t="inlineStr">
        <is>
          <t>SÖDERMANLANDS LÄN</t>
        </is>
      </c>
      <c r="E272" t="inlineStr">
        <is>
          <t>KATRINEHOLM</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52134-2020</t>
        </is>
      </c>
      <c r="B273" s="1" t="n">
        <v>44110</v>
      </c>
      <c r="C273" s="1" t="n">
        <v>45907</v>
      </c>
      <c r="D273" t="inlineStr">
        <is>
          <t>SÖDERMANLANDS LÄN</t>
        </is>
      </c>
      <c r="E273" t="inlineStr">
        <is>
          <t>KATRINEHOLM</t>
        </is>
      </c>
      <c r="G273" t="n">
        <v>2.2</v>
      </c>
      <c r="H273" t="n">
        <v>0</v>
      </c>
      <c r="I273" t="n">
        <v>0</v>
      </c>
      <c r="J273" t="n">
        <v>0</v>
      </c>
      <c r="K273" t="n">
        <v>0</v>
      </c>
      <c r="L273" t="n">
        <v>0</v>
      </c>
      <c r="M273" t="n">
        <v>0</v>
      </c>
      <c r="N273" t="n">
        <v>0</v>
      </c>
      <c r="O273" t="n">
        <v>0</v>
      </c>
      <c r="P273" t="n">
        <v>0</v>
      </c>
      <c r="Q273" t="n">
        <v>0</v>
      </c>
      <c r="R273" s="2" t="inlineStr"/>
    </row>
    <row r="274" ht="15" customHeight="1">
      <c r="A274" t="inlineStr">
        <is>
          <t>A 24983-2024</t>
        </is>
      </c>
      <c r="B274" s="1" t="n">
        <v>45461</v>
      </c>
      <c r="C274" s="1" t="n">
        <v>45907</v>
      </c>
      <c r="D274" t="inlineStr">
        <is>
          <t>SÖDERMANLANDS LÄN</t>
        </is>
      </c>
      <c r="E274" t="inlineStr">
        <is>
          <t>KATRINEHOLM</t>
        </is>
      </c>
      <c r="G274" t="n">
        <v>2.6</v>
      </c>
      <c r="H274" t="n">
        <v>0</v>
      </c>
      <c r="I274" t="n">
        <v>0</v>
      </c>
      <c r="J274" t="n">
        <v>0</v>
      </c>
      <c r="K274" t="n">
        <v>0</v>
      </c>
      <c r="L274" t="n">
        <v>0</v>
      </c>
      <c r="M274" t="n">
        <v>0</v>
      </c>
      <c r="N274" t="n">
        <v>0</v>
      </c>
      <c r="O274" t="n">
        <v>0</v>
      </c>
      <c r="P274" t="n">
        <v>0</v>
      </c>
      <c r="Q274" t="n">
        <v>0</v>
      </c>
      <c r="R274" s="2" t="inlineStr"/>
    </row>
    <row r="275" ht="15" customHeight="1">
      <c r="A275" t="inlineStr">
        <is>
          <t>A 22336-2025</t>
        </is>
      </c>
      <c r="B275" s="1" t="n">
        <v>45786.44217592593</v>
      </c>
      <c r="C275" s="1" t="n">
        <v>45907</v>
      </c>
      <c r="D275" t="inlineStr">
        <is>
          <t>SÖDERMANLANDS LÄN</t>
        </is>
      </c>
      <c r="E275" t="inlineStr">
        <is>
          <t>KATRINEHOLM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32943-2024</t>
        </is>
      </c>
      <c r="B276" s="1" t="n">
        <v>45517</v>
      </c>
      <c r="C276" s="1" t="n">
        <v>45907</v>
      </c>
      <c r="D276" t="inlineStr">
        <is>
          <t>SÖDERMANLANDS LÄN</t>
        </is>
      </c>
      <c r="E276" t="inlineStr">
        <is>
          <t>KATRINEHOLM</t>
        </is>
      </c>
      <c r="G276" t="n">
        <v>1.8</v>
      </c>
      <c r="H276" t="n">
        <v>0</v>
      </c>
      <c r="I276" t="n">
        <v>0</v>
      </c>
      <c r="J276" t="n">
        <v>0</v>
      </c>
      <c r="K276" t="n">
        <v>0</v>
      </c>
      <c r="L276" t="n">
        <v>0</v>
      </c>
      <c r="M276" t="n">
        <v>0</v>
      </c>
      <c r="N276" t="n">
        <v>0</v>
      </c>
      <c r="O276" t="n">
        <v>0</v>
      </c>
      <c r="P276" t="n">
        <v>0</v>
      </c>
      <c r="Q276" t="n">
        <v>0</v>
      </c>
      <c r="R276" s="2" t="inlineStr"/>
    </row>
    <row r="277" ht="15" customHeight="1">
      <c r="A277" t="inlineStr">
        <is>
          <t>A 7322-2023</t>
        </is>
      </c>
      <c r="B277" s="1" t="n">
        <v>44970</v>
      </c>
      <c r="C277" s="1" t="n">
        <v>45907</v>
      </c>
      <c r="D277" t="inlineStr">
        <is>
          <t>SÖDERMANLANDS LÄN</t>
        </is>
      </c>
      <c r="E277" t="inlineStr">
        <is>
          <t>KATRINEHOLM</t>
        </is>
      </c>
      <c r="G277" t="n">
        <v>2.1</v>
      </c>
      <c r="H277" t="n">
        <v>0</v>
      </c>
      <c r="I277" t="n">
        <v>0</v>
      </c>
      <c r="J277" t="n">
        <v>0</v>
      </c>
      <c r="K277" t="n">
        <v>0</v>
      </c>
      <c r="L277" t="n">
        <v>0</v>
      </c>
      <c r="M277" t="n">
        <v>0</v>
      </c>
      <c r="N277" t="n">
        <v>0</v>
      </c>
      <c r="O277" t="n">
        <v>0</v>
      </c>
      <c r="P277" t="n">
        <v>0</v>
      </c>
      <c r="Q277" t="n">
        <v>0</v>
      </c>
      <c r="R277" s="2" t="inlineStr"/>
    </row>
    <row r="278" ht="15" customHeight="1">
      <c r="A278" t="inlineStr">
        <is>
          <t>A 60160-2022</t>
        </is>
      </c>
      <c r="B278" s="1" t="n">
        <v>44909</v>
      </c>
      <c r="C278" s="1" t="n">
        <v>45907</v>
      </c>
      <c r="D278" t="inlineStr">
        <is>
          <t>SÖDERMANLANDS LÄN</t>
        </is>
      </c>
      <c r="E278" t="inlineStr">
        <is>
          <t>KATRINEHOLM</t>
        </is>
      </c>
      <c r="F278" t="inlineStr">
        <is>
          <t>Allmännings- och besparingsskogar</t>
        </is>
      </c>
      <c r="G278" t="n">
        <v>2</v>
      </c>
      <c r="H278" t="n">
        <v>0</v>
      </c>
      <c r="I278" t="n">
        <v>0</v>
      </c>
      <c r="J278" t="n">
        <v>0</v>
      </c>
      <c r="K278" t="n">
        <v>0</v>
      </c>
      <c r="L278" t="n">
        <v>0</v>
      </c>
      <c r="M278" t="n">
        <v>0</v>
      </c>
      <c r="N278" t="n">
        <v>0</v>
      </c>
      <c r="O278" t="n">
        <v>0</v>
      </c>
      <c r="P278" t="n">
        <v>0</v>
      </c>
      <c r="Q278" t="n">
        <v>0</v>
      </c>
      <c r="R278" s="2" t="inlineStr"/>
    </row>
    <row r="279" ht="15" customHeight="1">
      <c r="A279" t="inlineStr">
        <is>
          <t>A 15184-2023</t>
        </is>
      </c>
      <c r="B279" s="1" t="n">
        <v>45016</v>
      </c>
      <c r="C279" s="1" t="n">
        <v>45907</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48259-2022</t>
        </is>
      </c>
      <c r="B280" s="1" t="n">
        <v>44858</v>
      </c>
      <c r="C280" s="1" t="n">
        <v>45907</v>
      </c>
      <c r="D280" t="inlineStr">
        <is>
          <t>SÖDERMANLANDS LÄN</t>
        </is>
      </c>
      <c r="E280" t="inlineStr">
        <is>
          <t>KATRINEHOLM</t>
        </is>
      </c>
      <c r="G280" t="n">
        <v>3.5</v>
      </c>
      <c r="H280" t="n">
        <v>0</v>
      </c>
      <c r="I280" t="n">
        <v>0</v>
      </c>
      <c r="J280" t="n">
        <v>0</v>
      </c>
      <c r="K280" t="n">
        <v>0</v>
      </c>
      <c r="L280" t="n">
        <v>0</v>
      </c>
      <c r="M280" t="n">
        <v>0</v>
      </c>
      <c r="N280" t="n">
        <v>0</v>
      </c>
      <c r="O280" t="n">
        <v>0</v>
      </c>
      <c r="P280" t="n">
        <v>0</v>
      </c>
      <c r="Q280" t="n">
        <v>0</v>
      </c>
      <c r="R280" s="2" t="inlineStr"/>
    </row>
    <row r="281" ht="15" customHeight="1">
      <c r="A281" t="inlineStr">
        <is>
          <t>A 12238-2021</t>
        </is>
      </c>
      <c r="B281" s="1" t="n">
        <v>44266</v>
      </c>
      <c r="C281" s="1" t="n">
        <v>45907</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48685-2022</t>
        </is>
      </c>
      <c r="B282" s="1" t="n">
        <v>44859</v>
      </c>
      <c r="C282" s="1" t="n">
        <v>45907</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22476-2025</t>
        </is>
      </c>
      <c r="B283" s="1" t="n">
        <v>45786</v>
      </c>
      <c r="C283" s="1" t="n">
        <v>45907</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23838-2021</t>
        </is>
      </c>
      <c r="B284" s="1" t="n">
        <v>44335</v>
      </c>
      <c r="C284" s="1" t="n">
        <v>45907</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55031-2020</t>
        </is>
      </c>
      <c r="B285" s="1" t="n">
        <v>44130</v>
      </c>
      <c r="C285" s="1" t="n">
        <v>45907</v>
      </c>
      <c r="D285" t="inlineStr">
        <is>
          <t>SÖDERMANLANDS LÄN</t>
        </is>
      </c>
      <c r="E285" t="inlineStr">
        <is>
          <t>KATRINEHOLM</t>
        </is>
      </c>
      <c r="G285" t="n">
        <v>1.9</v>
      </c>
      <c r="H285" t="n">
        <v>0</v>
      </c>
      <c r="I285" t="n">
        <v>0</v>
      </c>
      <c r="J285" t="n">
        <v>0</v>
      </c>
      <c r="K285" t="n">
        <v>0</v>
      </c>
      <c r="L285" t="n">
        <v>0</v>
      </c>
      <c r="M285" t="n">
        <v>0</v>
      </c>
      <c r="N285" t="n">
        <v>0</v>
      </c>
      <c r="O285" t="n">
        <v>0</v>
      </c>
      <c r="P285" t="n">
        <v>0</v>
      </c>
      <c r="Q285" t="n">
        <v>0</v>
      </c>
      <c r="R285" s="2" t="inlineStr"/>
    </row>
    <row r="286" ht="15" customHeight="1">
      <c r="A286" t="inlineStr">
        <is>
          <t>A 42519-2024</t>
        </is>
      </c>
      <c r="B286" s="1" t="n">
        <v>45565</v>
      </c>
      <c r="C286" s="1" t="n">
        <v>45907</v>
      </c>
      <c r="D286" t="inlineStr">
        <is>
          <t>SÖDERMANLANDS LÄN</t>
        </is>
      </c>
      <c r="E286" t="inlineStr">
        <is>
          <t>KATRINEHOLM</t>
        </is>
      </c>
      <c r="G286" t="n">
        <v>1.7</v>
      </c>
      <c r="H286" t="n">
        <v>0</v>
      </c>
      <c r="I286" t="n">
        <v>0</v>
      </c>
      <c r="J286" t="n">
        <v>0</v>
      </c>
      <c r="K286" t="n">
        <v>0</v>
      </c>
      <c r="L286" t="n">
        <v>0</v>
      </c>
      <c r="M286" t="n">
        <v>0</v>
      </c>
      <c r="N286" t="n">
        <v>0</v>
      </c>
      <c r="O286" t="n">
        <v>0</v>
      </c>
      <c r="P286" t="n">
        <v>0</v>
      </c>
      <c r="Q286" t="n">
        <v>0</v>
      </c>
      <c r="R286" s="2" t="inlineStr"/>
    </row>
    <row r="287" ht="15" customHeight="1">
      <c r="A287" t="inlineStr">
        <is>
          <t>A 4387-2024</t>
        </is>
      </c>
      <c r="B287" s="1" t="n">
        <v>45327.35068287037</v>
      </c>
      <c r="C287" s="1" t="n">
        <v>45907</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61167-2020</t>
        </is>
      </c>
      <c r="B288" s="1" t="n">
        <v>44155</v>
      </c>
      <c r="C288" s="1" t="n">
        <v>45907</v>
      </c>
      <c r="D288" t="inlineStr">
        <is>
          <t>SÖDERMANLANDS LÄN</t>
        </is>
      </c>
      <c r="E288" t="inlineStr">
        <is>
          <t>KATRINEHOLM</t>
        </is>
      </c>
      <c r="G288" t="n">
        <v>3.8</v>
      </c>
      <c r="H288" t="n">
        <v>0</v>
      </c>
      <c r="I288" t="n">
        <v>0</v>
      </c>
      <c r="J288" t="n">
        <v>0</v>
      </c>
      <c r="K288" t="n">
        <v>0</v>
      </c>
      <c r="L288" t="n">
        <v>0</v>
      </c>
      <c r="M288" t="n">
        <v>0</v>
      </c>
      <c r="N288" t="n">
        <v>0</v>
      </c>
      <c r="O288" t="n">
        <v>0</v>
      </c>
      <c r="P288" t="n">
        <v>0</v>
      </c>
      <c r="Q288" t="n">
        <v>0</v>
      </c>
      <c r="R288" s="2" t="inlineStr"/>
    </row>
    <row r="289" ht="15" customHeight="1">
      <c r="A289" t="inlineStr">
        <is>
          <t>A 43499-2021</t>
        </is>
      </c>
      <c r="B289" s="1" t="n">
        <v>44433</v>
      </c>
      <c r="C289" s="1" t="n">
        <v>45907</v>
      </c>
      <c r="D289" t="inlineStr">
        <is>
          <t>SÖDERMANLANDS LÄN</t>
        </is>
      </c>
      <c r="E289" t="inlineStr">
        <is>
          <t>KATRINEHOLM</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32169-2022</t>
        </is>
      </c>
      <c r="B290" s="1" t="n">
        <v>44781</v>
      </c>
      <c r="C290" s="1" t="n">
        <v>45907</v>
      </c>
      <c r="D290" t="inlineStr">
        <is>
          <t>SÖDERMANLANDS LÄN</t>
        </is>
      </c>
      <c r="E290" t="inlineStr">
        <is>
          <t>KATRINEHOLM</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18386-2025</t>
        </is>
      </c>
      <c r="B291" s="1" t="n">
        <v>45762</v>
      </c>
      <c r="C291" s="1" t="n">
        <v>45907</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55122-2022</t>
        </is>
      </c>
      <c r="B292" s="1" t="n">
        <v>44886.65092592593</v>
      </c>
      <c r="C292" s="1" t="n">
        <v>45907</v>
      </c>
      <c r="D292" t="inlineStr">
        <is>
          <t>SÖDERMANLANDS LÄN</t>
        </is>
      </c>
      <c r="E292" t="inlineStr">
        <is>
          <t>KATRINEHOLM</t>
        </is>
      </c>
      <c r="G292" t="n">
        <v>6.5</v>
      </c>
      <c r="H292" t="n">
        <v>0</v>
      </c>
      <c r="I292" t="n">
        <v>0</v>
      </c>
      <c r="J292" t="n">
        <v>0</v>
      </c>
      <c r="K292" t="n">
        <v>0</v>
      </c>
      <c r="L292" t="n">
        <v>0</v>
      </c>
      <c r="M292" t="n">
        <v>0</v>
      </c>
      <c r="N292" t="n">
        <v>0</v>
      </c>
      <c r="O292" t="n">
        <v>0</v>
      </c>
      <c r="P292" t="n">
        <v>0</v>
      </c>
      <c r="Q292" t="n">
        <v>0</v>
      </c>
      <c r="R292" s="2" t="inlineStr"/>
    </row>
    <row r="293" ht="15" customHeight="1">
      <c r="A293" t="inlineStr">
        <is>
          <t>A 14313-2024</t>
        </is>
      </c>
      <c r="B293" s="1" t="n">
        <v>45393</v>
      </c>
      <c r="C293" s="1" t="n">
        <v>45907</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43964-2022</t>
        </is>
      </c>
      <c r="B294" s="1" t="n">
        <v>44837</v>
      </c>
      <c r="C294" s="1" t="n">
        <v>45907</v>
      </c>
      <c r="D294" t="inlineStr">
        <is>
          <t>SÖDERMANLANDS LÄN</t>
        </is>
      </c>
      <c r="E294" t="inlineStr">
        <is>
          <t>KATRINEHOLM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46075-2023</t>
        </is>
      </c>
      <c r="B295" s="1" t="n">
        <v>45196</v>
      </c>
      <c r="C295" s="1" t="n">
        <v>45907</v>
      </c>
      <c r="D295" t="inlineStr">
        <is>
          <t>SÖDERMANLANDS LÄN</t>
        </is>
      </c>
      <c r="E295" t="inlineStr">
        <is>
          <t>KATRINEHOLM</t>
        </is>
      </c>
      <c r="F295" t="inlineStr">
        <is>
          <t>Övriga Aktiebolag</t>
        </is>
      </c>
      <c r="G295" t="n">
        <v>9.5</v>
      </c>
      <c r="H295" t="n">
        <v>0</v>
      </c>
      <c r="I295" t="n">
        <v>0</v>
      </c>
      <c r="J295" t="n">
        <v>0</v>
      </c>
      <c r="K295" t="n">
        <v>0</v>
      </c>
      <c r="L295" t="n">
        <v>0</v>
      </c>
      <c r="M295" t="n">
        <v>0</v>
      </c>
      <c r="N295" t="n">
        <v>0</v>
      </c>
      <c r="O295" t="n">
        <v>0</v>
      </c>
      <c r="P295" t="n">
        <v>0</v>
      </c>
      <c r="Q295" t="n">
        <v>0</v>
      </c>
      <c r="R295" s="2" t="inlineStr"/>
    </row>
    <row r="296" ht="15" customHeight="1">
      <c r="A296" t="inlineStr">
        <is>
          <t>A 12938-2023</t>
        </is>
      </c>
      <c r="B296" s="1" t="n">
        <v>45001</v>
      </c>
      <c r="C296" s="1" t="n">
        <v>45907</v>
      </c>
      <c r="D296" t="inlineStr">
        <is>
          <t>SÖDERMANLANDS LÄN</t>
        </is>
      </c>
      <c r="E296" t="inlineStr">
        <is>
          <t>KATRINEHOLM</t>
        </is>
      </c>
      <c r="G296" t="n">
        <v>0.4</v>
      </c>
      <c r="H296" t="n">
        <v>0</v>
      </c>
      <c r="I296" t="n">
        <v>0</v>
      </c>
      <c r="J296" t="n">
        <v>0</v>
      </c>
      <c r="K296" t="n">
        <v>0</v>
      </c>
      <c r="L296" t="n">
        <v>0</v>
      </c>
      <c r="M296" t="n">
        <v>0</v>
      </c>
      <c r="N296" t="n">
        <v>0</v>
      </c>
      <c r="O296" t="n">
        <v>0</v>
      </c>
      <c r="P296" t="n">
        <v>0</v>
      </c>
      <c r="Q296" t="n">
        <v>0</v>
      </c>
      <c r="R296" s="2" t="inlineStr"/>
    </row>
    <row r="297" ht="15" customHeight="1">
      <c r="A297" t="inlineStr">
        <is>
          <t>A 23050-2025</t>
        </is>
      </c>
      <c r="B297" s="1" t="n">
        <v>45790.69971064815</v>
      </c>
      <c r="C297" s="1" t="n">
        <v>45907</v>
      </c>
      <c r="D297" t="inlineStr">
        <is>
          <t>SÖDERMANLANDS LÄN</t>
        </is>
      </c>
      <c r="E297" t="inlineStr">
        <is>
          <t>KATRINEHOLM</t>
        </is>
      </c>
      <c r="G297" t="n">
        <v>3.7</v>
      </c>
      <c r="H297" t="n">
        <v>0</v>
      </c>
      <c r="I297" t="n">
        <v>0</v>
      </c>
      <c r="J297" t="n">
        <v>0</v>
      </c>
      <c r="K297" t="n">
        <v>0</v>
      </c>
      <c r="L297" t="n">
        <v>0</v>
      </c>
      <c r="M297" t="n">
        <v>0</v>
      </c>
      <c r="N297" t="n">
        <v>0</v>
      </c>
      <c r="O297" t="n">
        <v>0</v>
      </c>
      <c r="P297" t="n">
        <v>0</v>
      </c>
      <c r="Q297" t="n">
        <v>0</v>
      </c>
      <c r="R297" s="2" t="inlineStr"/>
    </row>
    <row r="298" ht="15" customHeight="1">
      <c r="A298" t="inlineStr">
        <is>
          <t>A 9992-2022</t>
        </is>
      </c>
      <c r="B298" s="1" t="n">
        <v>44621</v>
      </c>
      <c r="C298" s="1" t="n">
        <v>45907</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7398-2024</t>
        </is>
      </c>
      <c r="B299" s="1" t="n">
        <v>45345</v>
      </c>
      <c r="C299" s="1" t="n">
        <v>45907</v>
      </c>
      <c r="D299" t="inlineStr">
        <is>
          <t>SÖDERMANLANDS LÄN</t>
        </is>
      </c>
      <c r="E299" t="inlineStr">
        <is>
          <t>KATRINEHOLM</t>
        </is>
      </c>
      <c r="G299" t="n">
        <v>4.4</v>
      </c>
      <c r="H299" t="n">
        <v>0</v>
      </c>
      <c r="I299" t="n">
        <v>0</v>
      </c>
      <c r="J299" t="n">
        <v>0</v>
      </c>
      <c r="K299" t="n">
        <v>0</v>
      </c>
      <c r="L299" t="n">
        <v>0</v>
      </c>
      <c r="M299" t="n">
        <v>0</v>
      </c>
      <c r="N299" t="n">
        <v>0</v>
      </c>
      <c r="O299" t="n">
        <v>0</v>
      </c>
      <c r="P299" t="n">
        <v>0</v>
      </c>
      <c r="Q299" t="n">
        <v>0</v>
      </c>
      <c r="R299" s="2" t="inlineStr"/>
    </row>
    <row r="300" ht="15" customHeight="1">
      <c r="A300" t="inlineStr">
        <is>
          <t>A 44659-2023</t>
        </is>
      </c>
      <c r="B300" s="1" t="n">
        <v>45189</v>
      </c>
      <c r="C300" s="1" t="n">
        <v>45907</v>
      </c>
      <c r="D300" t="inlineStr">
        <is>
          <t>SÖDERMANLANDS LÄN</t>
        </is>
      </c>
      <c r="E300" t="inlineStr">
        <is>
          <t>KATRINEHOLM</t>
        </is>
      </c>
      <c r="G300" t="n">
        <v>3.5</v>
      </c>
      <c r="H300" t="n">
        <v>0</v>
      </c>
      <c r="I300" t="n">
        <v>0</v>
      </c>
      <c r="J300" t="n">
        <v>0</v>
      </c>
      <c r="K300" t="n">
        <v>0</v>
      </c>
      <c r="L300" t="n">
        <v>0</v>
      </c>
      <c r="M300" t="n">
        <v>0</v>
      </c>
      <c r="N300" t="n">
        <v>0</v>
      </c>
      <c r="O300" t="n">
        <v>0</v>
      </c>
      <c r="P300" t="n">
        <v>0</v>
      </c>
      <c r="Q300" t="n">
        <v>0</v>
      </c>
      <c r="R300" s="2" t="inlineStr"/>
    </row>
    <row r="301" ht="15" customHeight="1">
      <c r="A301" t="inlineStr">
        <is>
          <t>A 8955-2024</t>
        </is>
      </c>
      <c r="B301" s="1" t="n">
        <v>45357.44873842593</v>
      </c>
      <c r="C301" s="1" t="n">
        <v>45907</v>
      </c>
      <c r="D301" t="inlineStr">
        <is>
          <t>SÖDERMANLANDS LÄN</t>
        </is>
      </c>
      <c r="E301" t="inlineStr">
        <is>
          <t>KATRINEHOLM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48682-2022</t>
        </is>
      </c>
      <c r="B302" s="1" t="n">
        <v>44859</v>
      </c>
      <c r="C302" s="1" t="n">
        <v>45907</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36001-2024</t>
        </is>
      </c>
      <c r="B303" s="1" t="n">
        <v>45533.54609953704</v>
      </c>
      <c r="C303" s="1" t="n">
        <v>45907</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36-2023</t>
        </is>
      </c>
      <c r="B304" s="1" t="n">
        <v>44928.36578703704</v>
      </c>
      <c r="C304" s="1" t="n">
        <v>45907</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45907</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14629-2023</t>
        </is>
      </c>
      <c r="B306" s="1" t="n">
        <v>45013</v>
      </c>
      <c r="C306" s="1" t="n">
        <v>45907</v>
      </c>
      <c r="D306" t="inlineStr">
        <is>
          <t>SÖDERMANLANDS LÄN</t>
        </is>
      </c>
      <c r="E306" t="inlineStr">
        <is>
          <t>KATRINEHOLM</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46569-2022</t>
        </is>
      </c>
      <c r="B307" s="1" t="n">
        <v>44847</v>
      </c>
      <c r="C307" s="1" t="n">
        <v>45907</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19098-2022</t>
        </is>
      </c>
      <c r="B308" s="1" t="n">
        <v>44691.52616898148</v>
      </c>
      <c r="C308" s="1" t="n">
        <v>45907</v>
      </c>
      <c r="D308" t="inlineStr">
        <is>
          <t>SÖDERMANLANDS LÄN</t>
        </is>
      </c>
      <c r="E308" t="inlineStr">
        <is>
          <t>KATRINEHOLM</t>
        </is>
      </c>
      <c r="G308" t="n">
        <v>5.5</v>
      </c>
      <c r="H308" t="n">
        <v>0</v>
      </c>
      <c r="I308" t="n">
        <v>0</v>
      </c>
      <c r="J308" t="n">
        <v>0</v>
      </c>
      <c r="K308" t="n">
        <v>0</v>
      </c>
      <c r="L308" t="n">
        <v>0</v>
      </c>
      <c r="M308" t="n">
        <v>0</v>
      </c>
      <c r="N308" t="n">
        <v>0</v>
      </c>
      <c r="O308" t="n">
        <v>0</v>
      </c>
      <c r="P308" t="n">
        <v>0</v>
      </c>
      <c r="Q308" t="n">
        <v>0</v>
      </c>
      <c r="R308" s="2" t="inlineStr"/>
    </row>
    <row r="309" ht="15" customHeight="1">
      <c r="A309" t="inlineStr">
        <is>
          <t>A 11543-2025</t>
        </is>
      </c>
      <c r="B309" s="1" t="n">
        <v>45727.34248842593</v>
      </c>
      <c r="C309" s="1" t="n">
        <v>45907</v>
      </c>
      <c r="D309" t="inlineStr">
        <is>
          <t>SÖDERMANLANDS LÄN</t>
        </is>
      </c>
      <c r="E309" t="inlineStr">
        <is>
          <t>KATRINEHOLM</t>
        </is>
      </c>
      <c r="G309" t="n">
        <v>3.6</v>
      </c>
      <c r="H309" t="n">
        <v>0</v>
      </c>
      <c r="I309" t="n">
        <v>0</v>
      </c>
      <c r="J309" t="n">
        <v>0</v>
      </c>
      <c r="K309" t="n">
        <v>0</v>
      </c>
      <c r="L309" t="n">
        <v>0</v>
      </c>
      <c r="M309" t="n">
        <v>0</v>
      </c>
      <c r="N309" t="n">
        <v>0</v>
      </c>
      <c r="O309" t="n">
        <v>0</v>
      </c>
      <c r="P309" t="n">
        <v>0</v>
      </c>
      <c r="Q309" t="n">
        <v>0</v>
      </c>
      <c r="R309" s="2" t="inlineStr"/>
    </row>
    <row r="310" ht="15" customHeight="1">
      <c r="A310" t="inlineStr">
        <is>
          <t>A 51530-2023</t>
        </is>
      </c>
      <c r="B310" s="1" t="n">
        <v>45222</v>
      </c>
      <c r="C310" s="1" t="n">
        <v>45907</v>
      </c>
      <c r="D310" t="inlineStr">
        <is>
          <t>SÖDERMANLANDS LÄN</t>
        </is>
      </c>
      <c r="E310" t="inlineStr">
        <is>
          <t>KATRINEHOLM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3315-2023</t>
        </is>
      </c>
      <c r="B311" s="1" t="n">
        <v>44945</v>
      </c>
      <c r="C311" s="1" t="n">
        <v>45907</v>
      </c>
      <c r="D311" t="inlineStr">
        <is>
          <t>SÖDERMANLANDS LÄN</t>
        </is>
      </c>
      <c r="E311" t="inlineStr">
        <is>
          <t>KATRINEHOLM</t>
        </is>
      </c>
      <c r="G311" t="n">
        <v>0.8</v>
      </c>
      <c r="H311" t="n">
        <v>0</v>
      </c>
      <c r="I311" t="n">
        <v>0</v>
      </c>
      <c r="J311" t="n">
        <v>0</v>
      </c>
      <c r="K311" t="n">
        <v>0</v>
      </c>
      <c r="L311" t="n">
        <v>0</v>
      </c>
      <c r="M311" t="n">
        <v>0</v>
      </c>
      <c r="N311" t="n">
        <v>0</v>
      </c>
      <c r="O311" t="n">
        <v>0</v>
      </c>
      <c r="P311" t="n">
        <v>0</v>
      </c>
      <c r="Q311" t="n">
        <v>0</v>
      </c>
      <c r="R311" s="2" t="inlineStr"/>
    </row>
    <row r="312" ht="15" customHeight="1">
      <c r="A312" t="inlineStr">
        <is>
          <t>A 57524-2021</t>
        </is>
      </c>
      <c r="B312" s="1" t="n">
        <v>44483</v>
      </c>
      <c r="C312" s="1" t="n">
        <v>45907</v>
      </c>
      <c r="D312" t="inlineStr">
        <is>
          <t>SÖDERMANLANDS LÄN</t>
        </is>
      </c>
      <c r="E312" t="inlineStr">
        <is>
          <t>KATRINEHOLM</t>
        </is>
      </c>
      <c r="G312" t="n">
        <v>0.4</v>
      </c>
      <c r="H312" t="n">
        <v>0</v>
      </c>
      <c r="I312" t="n">
        <v>0</v>
      </c>
      <c r="J312" t="n">
        <v>0</v>
      </c>
      <c r="K312" t="n">
        <v>0</v>
      </c>
      <c r="L312" t="n">
        <v>0</v>
      </c>
      <c r="M312" t="n">
        <v>0</v>
      </c>
      <c r="N312" t="n">
        <v>0</v>
      </c>
      <c r="O312" t="n">
        <v>0</v>
      </c>
      <c r="P312" t="n">
        <v>0</v>
      </c>
      <c r="Q312" t="n">
        <v>0</v>
      </c>
      <c r="R312" s="2" t="inlineStr"/>
    </row>
    <row r="313" ht="15" customHeight="1">
      <c r="A313" t="inlineStr">
        <is>
          <t>A 2093-2025</t>
        </is>
      </c>
      <c r="B313" s="1" t="n">
        <v>45672</v>
      </c>
      <c r="C313" s="1" t="n">
        <v>45907</v>
      </c>
      <c r="D313" t="inlineStr">
        <is>
          <t>SÖDERMANLANDS LÄN</t>
        </is>
      </c>
      <c r="E313" t="inlineStr">
        <is>
          <t>KATRINEHOLM</t>
        </is>
      </c>
      <c r="G313" t="n">
        <v>1.4</v>
      </c>
      <c r="H313" t="n">
        <v>0</v>
      </c>
      <c r="I313" t="n">
        <v>0</v>
      </c>
      <c r="J313" t="n">
        <v>0</v>
      </c>
      <c r="K313" t="n">
        <v>0</v>
      </c>
      <c r="L313" t="n">
        <v>0</v>
      </c>
      <c r="M313" t="n">
        <v>0</v>
      </c>
      <c r="N313" t="n">
        <v>0</v>
      </c>
      <c r="O313" t="n">
        <v>0</v>
      </c>
      <c r="P313" t="n">
        <v>0</v>
      </c>
      <c r="Q313" t="n">
        <v>0</v>
      </c>
      <c r="R313" s="2" t="inlineStr"/>
    </row>
    <row r="314" ht="15" customHeight="1">
      <c r="A314" t="inlineStr">
        <is>
          <t>A 24902-2024</t>
        </is>
      </c>
      <c r="B314" s="1" t="n">
        <v>45461</v>
      </c>
      <c r="C314" s="1" t="n">
        <v>45907</v>
      </c>
      <c r="D314" t="inlineStr">
        <is>
          <t>SÖDERMANLANDS LÄN</t>
        </is>
      </c>
      <c r="E314" t="inlineStr">
        <is>
          <t>KATRINEHOLM</t>
        </is>
      </c>
      <c r="G314" t="n">
        <v>3.5</v>
      </c>
      <c r="H314" t="n">
        <v>0</v>
      </c>
      <c r="I314" t="n">
        <v>0</v>
      </c>
      <c r="J314" t="n">
        <v>0</v>
      </c>
      <c r="K314" t="n">
        <v>0</v>
      </c>
      <c r="L314" t="n">
        <v>0</v>
      </c>
      <c r="M314" t="n">
        <v>0</v>
      </c>
      <c r="N314" t="n">
        <v>0</v>
      </c>
      <c r="O314" t="n">
        <v>0</v>
      </c>
      <c r="P314" t="n">
        <v>0</v>
      </c>
      <c r="Q314" t="n">
        <v>0</v>
      </c>
      <c r="R314" s="2" t="inlineStr"/>
    </row>
    <row r="315" ht="15" customHeight="1">
      <c r="A315" t="inlineStr">
        <is>
          <t>A 8917-2024</t>
        </is>
      </c>
      <c r="B315" s="1" t="n">
        <v>45357.37618055556</v>
      </c>
      <c r="C315" s="1" t="n">
        <v>45907</v>
      </c>
      <c r="D315" t="inlineStr">
        <is>
          <t>SÖDERMANLANDS LÄN</t>
        </is>
      </c>
      <c r="E315" t="inlineStr">
        <is>
          <t>KATRINEHOLM</t>
        </is>
      </c>
      <c r="G315" t="n">
        <v>3</v>
      </c>
      <c r="H315" t="n">
        <v>0</v>
      </c>
      <c r="I315" t="n">
        <v>0</v>
      </c>
      <c r="J315" t="n">
        <v>0</v>
      </c>
      <c r="K315" t="n">
        <v>0</v>
      </c>
      <c r="L315" t="n">
        <v>0</v>
      </c>
      <c r="M315" t="n">
        <v>0</v>
      </c>
      <c r="N315" t="n">
        <v>0</v>
      </c>
      <c r="O315" t="n">
        <v>0</v>
      </c>
      <c r="P315" t="n">
        <v>0</v>
      </c>
      <c r="Q315" t="n">
        <v>0</v>
      </c>
      <c r="R315" s="2" t="inlineStr"/>
    </row>
    <row r="316" ht="15" customHeight="1">
      <c r="A316" t="inlineStr">
        <is>
          <t>A 64657-2020</t>
        </is>
      </c>
      <c r="B316" s="1" t="n">
        <v>44169</v>
      </c>
      <c r="C316" s="1" t="n">
        <v>45907</v>
      </c>
      <c r="D316" t="inlineStr">
        <is>
          <t>SÖDERMANLANDS LÄN</t>
        </is>
      </c>
      <c r="E316" t="inlineStr">
        <is>
          <t>KATRINEHOLM</t>
        </is>
      </c>
      <c r="F316" t="inlineStr">
        <is>
          <t>Kyrkan</t>
        </is>
      </c>
      <c r="G316" t="n">
        <v>7.6</v>
      </c>
      <c r="H316" t="n">
        <v>0</v>
      </c>
      <c r="I316" t="n">
        <v>0</v>
      </c>
      <c r="J316" t="n">
        <v>0</v>
      </c>
      <c r="K316" t="n">
        <v>0</v>
      </c>
      <c r="L316" t="n">
        <v>0</v>
      </c>
      <c r="M316" t="n">
        <v>0</v>
      </c>
      <c r="N316" t="n">
        <v>0</v>
      </c>
      <c r="O316" t="n">
        <v>0</v>
      </c>
      <c r="P316" t="n">
        <v>0</v>
      </c>
      <c r="Q316" t="n">
        <v>0</v>
      </c>
      <c r="R316" s="2" t="inlineStr"/>
    </row>
    <row r="317" ht="15" customHeight="1">
      <c r="A317" t="inlineStr">
        <is>
          <t>A 27345-2023</t>
        </is>
      </c>
      <c r="B317" s="1" t="n">
        <v>45096</v>
      </c>
      <c r="C317" s="1" t="n">
        <v>45907</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53996-2023</t>
        </is>
      </c>
      <c r="B318" s="1" t="n">
        <v>45231</v>
      </c>
      <c r="C318" s="1" t="n">
        <v>45907</v>
      </c>
      <c r="D318" t="inlineStr">
        <is>
          <t>SÖDERMANLANDS LÄN</t>
        </is>
      </c>
      <c r="E318" t="inlineStr">
        <is>
          <t>KATRINEHOLM</t>
        </is>
      </c>
      <c r="G318" t="n">
        <v>4.9</v>
      </c>
      <c r="H318" t="n">
        <v>0</v>
      </c>
      <c r="I318" t="n">
        <v>0</v>
      </c>
      <c r="J318" t="n">
        <v>0</v>
      </c>
      <c r="K318" t="n">
        <v>0</v>
      </c>
      <c r="L318" t="n">
        <v>0</v>
      </c>
      <c r="M318" t="n">
        <v>0</v>
      </c>
      <c r="N318" t="n">
        <v>0</v>
      </c>
      <c r="O318" t="n">
        <v>0</v>
      </c>
      <c r="P318" t="n">
        <v>0</v>
      </c>
      <c r="Q318" t="n">
        <v>0</v>
      </c>
      <c r="R318" s="2" t="inlineStr"/>
    </row>
    <row r="319" ht="15" customHeight="1">
      <c r="A319" t="inlineStr">
        <is>
          <t>A 11127-2023</t>
        </is>
      </c>
      <c r="B319" s="1" t="n">
        <v>44987</v>
      </c>
      <c r="C319" s="1" t="n">
        <v>45907</v>
      </c>
      <c r="D319" t="inlineStr">
        <is>
          <t>SÖDERMANLANDS LÄN</t>
        </is>
      </c>
      <c r="E319" t="inlineStr">
        <is>
          <t>KATRINEHOLM</t>
        </is>
      </c>
      <c r="G319" t="n">
        <v>4.3</v>
      </c>
      <c r="H319" t="n">
        <v>0</v>
      </c>
      <c r="I319" t="n">
        <v>0</v>
      </c>
      <c r="J319" t="n">
        <v>0</v>
      </c>
      <c r="K319" t="n">
        <v>0</v>
      </c>
      <c r="L319" t="n">
        <v>0</v>
      </c>
      <c r="M319" t="n">
        <v>0</v>
      </c>
      <c r="N319" t="n">
        <v>0</v>
      </c>
      <c r="O319" t="n">
        <v>0</v>
      </c>
      <c r="P319" t="n">
        <v>0</v>
      </c>
      <c r="Q319" t="n">
        <v>0</v>
      </c>
      <c r="R319" s="2" t="inlineStr"/>
    </row>
    <row r="320" ht="15" customHeight="1">
      <c r="A320" t="inlineStr">
        <is>
          <t>A 2603-2025</t>
        </is>
      </c>
      <c r="B320" s="1" t="n">
        <v>45674</v>
      </c>
      <c r="C320" s="1" t="n">
        <v>45907</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12227-2025</t>
        </is>
      </c>
      <c r="B321" s="1" t="n">
        <v>45729.56836805555</v>
      </c>
      <c r="C321" s="1" t="n">
        <v>45907</v>
      </c>
      <c r="D321" t="inlineStr">
        <is>
          <t>SÖDERMANLANDS LÄN</t>
        </is>
      </c>
      <c r="E321" t="inlineStr">
        <is>
          <t>KATRINEHOLM</t>
        </is>
      </c>
      <c r="G321" t="n">
        <v>7</v>
      </c>
      <c r="H321" t="n">
        <v>0</v>
      </c>
      <c r="I321" t="n">
        <v>0</v>
      </c>
      <c r="J321" t="n">
        <v>0</v>
      </c>
      <c r="K321" t="n">
        <v>0</v>
      </c>
      <c r="L321" t="n">
        <v>0</v>
      </c>
      <c r="M321" t="n">
        <v>0</v>
      </c>
      <c r="N321" t="n">
        <v>0</v>
      </c>
      <c r="O321" t="n">
        <v>0</v>
      </c>
      <c r="P321" t="n">
        <v>0</v>
      </c>
      <c r="Q321" t="n">
        <v>0</v>
      </c>
      <c r="R321" s="2" t="inlineStr"/>
    </row>
    <row r="322" ht="15" customHeight="1">
      <c r="A322" t="inlineStr">
        <is>
          <t>A 37185-2023</t>
        </is>
      </c>
      <c r="B322" s="1" t="n">
        <v>45154</v>
      </c>
      <c r="C322" s="1" t="n">
        <v>45907</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20826-2022</t>
        </is>
      </c>
      <c r="B323" s="1" t="n">
        <v>44701.44754629629</v>
      </c>
      <c r="C323" s="1" t="n">
        <v>45907</v>
      </c>
      <c r="D323" t="inlineStr">
        <is>
          <t>SÖDERMANLANDS LÄN</t>
        </is>
      </c>
      <c r="E323" t="inlineStr">
        <is>
          <t>KATRINEHOLM</t>
        </is>
      </c>
      <c r="G323" t="n">
        <v>6.8</v>
      </c>
      <c r="H323" t="n">
        <v>0</v>
      </c>
      <c r="I323" t="n">
        <v>0</v>
      </c>
      <c r="J323" t="n">
        <v>0</v>
      </c>
      <c r="K323" t="n">
        <v>0</v>
      </c>
      <c r="L323" t="n">
        <v>0</v>
      </c>
      <c r="M323" t="n">
        <v>0</v>
      </c>
      <c r="N323" t="n">
        <v>0</v>
      </c>
      <c r="O323" t="n">
        <v>0</v>
      </c>
      <c r="P323" t="n">
        <v>0</v>
      </c>
      <c r="Q323" t="n">
        <v>0</v>
      </c>
      <c r="R323" s="2" t="inlineStr"/>
    </row>
    <row r="324" ht="15" customHeight="1">
      <c r="A324" t="inlineStr">
        <is>
          <t>A 20846-2022</t>
        </is>
      </c>
      <c r="B324" s="1" t="n">
        <v>44701.4744212963</v>
      </c>
      <c r="C324" s="1" t="n">
        <v>45907</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17246-2024</t>
        </is>
      </c>
      <c r="B325" s="1" t="n">
        <v>45414</v>
      </c>
      <c r="C325" s="1" t="n">
        <v>45907</v>
      </c>
      <c r="D325" t="inlineStr">
        <is>
          <t>SÖDERMANLANDS LÄN</t>
        </is>
      </c>
      <c r="E325" t="inlineStr">
        <is>
          <t>KATRINEHOLM</t>
        </is>
      </c>
      <c r="F325" t="inlineStr">
        <is>
          <t>Allmännings- och besparingsskogar</t>
        </is>
      </c>
      <c r="G325" t="n">
        <v>13.7</v>
      </c>
      <c r="H325" t="n">
        <v>0</v>
      </c>
      <c r="I325" t="n">
        <v>0</v>
      </c>
      <c r="J325" t="n">
        <v>0</v>
      </c>
      <c r="K325" t="n">
        <v>0</v>
      </c>
      <c r="L325" t="n">
        <v>0</v>
      </c>
      <c r="M325" t="n">
        <v>0</v>
      </c>
      <c r="N325" t="n">
        <v>0</v>
      </c>
      <c r="O325" t="n">
        <v>0</v>
      </c>
      <c r="P325" t="n">
        <v>0</v>
      </c>
      <c r="Q325" t="n">
        <v>0</v>
      </c>
      <c r="R325" s="2" t="inlineStr"/>
    </row>
    <row r="326" ht="15" customHeight="1">
      <c r="A326" t="inlineStr">
        <is>
          <t>A 61423-2024</t>
        </is>
      </c>
      <c r="B326" s="1" t="n">
        <v>45646.45209490741</v>
      </c>
      <c r="C326" s="1" t="n">
        <v>45907</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24284-2024</t>
        </is>
      </c>
      <c r="B327" s="1" t="n">
        <v>45457</v>
      </c>
      <c r="C327" s="1" t="n">
        <v>45907</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12930-2023</t>
        </is>
      </c>
      <c r="B328" s="1" t="n">
        <v>45001</v>
      </c>
      <c r="C328" s="1" t="n">
        <v>45907</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38308-2021</t>
        </is>
      </c>
      <c r="B329" s="1" t="n">
        <v>44406</v>
      </c>
      <c r="C329" s="1" t="n">
        <v>45907</v>
      </c>
      <c r="D329" t="inlineStr">
        <is>
          <t>SÖDERMANLANDS LÄN</t>
        </is>
      </c>
      <c r="E329" t="inlineStr">
        <is>
          <t>KATRINEHOLM</t>
        </is>
      </c>
      <c r="G329" t="n">
        <v>1.7</v>
      </c>
      <c r="H329" t="n">
        <v>0</v>
      </c>
      <c r="I329" t="n">
        <v>0</v>
      </c>
      <c r="J329" t="n">
        <v>0</v>
      </c>
      <c r="K329" t="n">
        <v>0</v>
      </c>
      <c r="L329" t="n">
        <v>0</v>
      </c>
      <c r="M329" t="n">
        <v>0</v>
      </c>
      <c r="N329" t="n">
        <v>0</v>
      </c>
      <c r="O329" t="n">
        <v>0</v>
      </c>
      <c r="P329" t="n">
        <v>0</v>
      </c>
      <c r="Q329" t="n">
        <v>0</v>
      </c>
      <c r="R329" s="2" t="inlineStr"/>
    </row>
    <row r="330" ht="15" customHeight="1">
      <c r="A330" t="inlineStr">
        <is>
          <t>A 23031-2024</t>
        </is>
      </c>
      <c r="B330" s="1" t="n">
        <v>45450.38120370371</v>
      </c>
      <c r="C330" s="1" t="n">
        <v>45907</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24596-2025</t>
        </is>
      </c>
      <c r="B331" s="1" t="n">
        <v>45798.5558912037</v>
      </c>
      <c r="C331" s="1" t="n">
        <v>45907</v>
      </c>
      <c r="D331" t="inlineStr">
        <is>
          <t>SÖDERMANLANDS LÄN</t>
        </is>
      </c>
      <c r="E331" t="inlineStr">
        <is>
          <t>KATRINEHOLM</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24605-2025</t>
        </is>
      </c>
      <c r="B332" s="1" t="n">
        <v>45798.57403935185</v>
      </c>
      <c r="C332" s="1" t="n">
        <v>45907</v>
      </c>
      <c r="D332" t="inlineStr">
        <is>
          <t>SÖDERMANLANDS LÄN</t>
        </is>
      </c>
      <c r="E332" t="inlineStr">
        <is>
          <t>KATRINEHOLM</t>
        </is>
      </c>
      <c r="G332" t="n">
        <v>7</v>
      </c>
      <c r="H332" t="n">
        <v>0</v>
      </c>
      <c r="I332" t="n">
        <v>0</v>
      </c>
      <c r="J332" t="n">
        <v>0</v>
      </c>
      <c r="K332" t="n">
        <v>0</v>
      </c>
      <c r="L332" t="n">
        <v>0</v>
      </c>
      <c r="M332" t="n">
        <v>0</v>
      </c>
      <c r="N332" t="n">
        <v>0</v>
      </c>
      <c r="O332" t="n">
        <v>0</v>
      </c>
      <c r="P332" t="n">
        <v>0</v>
      </c>
      <c r="Q332" t="n">
        <v>0</v>
      </c>
      <c r="R332" s="2" t="inlineStr"/>
    </row>
    <row r="333" ht="15" customHeight="1">
      <c r="A333" t="inlineStr">
        <is>
          <t>A 53999-2023</t>
        </is>
      </c>
      <c r="B333" s="1" t="n">
        <v>45231</v>
      </c>
      <c r="C333" s="1" t="n">
        <v>45907</v>
      </c>
      <c r="D333" t="inlineStr">
        <is>
          <t>SÖDERMANLANDS LÄN</t>
        </is>
      </c>
      <c r="E333" t="inlineStr">
        <is>
          <t>KATRINEHOLM</t>
        </is>
      </c>
      <c r="G333" t="n">
        <v>5.4</v>
      </c>
      <c r="H333" t="n">
        <v>0</v>
      </c>
      <c r="I333" t="n">
        <v>0</v>
      </c>
      <c r="J333" t="n">
        <v>0</v>
      </c>
      <c r="K333" t="n">
        <v>0</v>
      </c>
      <c r="L333" t="n">
        <v>0</v>
      </c>
      <c r="M333" t="n">
        <v>0</v>
      </c>
      <c r="N333" t="n">
        <v>0</v>
      </c>
      <c r="O333" t="n">
        <v>0</v>
      </c>
      <c r="P333" t="n">
        <v>0</v>
      </c>
      <c r="Q333" t="n">
        <v>0</v>
      </c>
      <c r="R333" s="2" t="inlineStr"/>
    </row>
    <row r="334" ht="15" customHeight="1">
      <c r="A334" t="inlineStr">
        <is>
          <t>A 41727-2024</t>
        </is>
      </c>
      <c r="B334" s="1" t="n">
        <v>45560</v>
      </c>
      <c r="C334" s="1" t="n">
        <v>45907</v>
      </c>
      <c r="D334" t="inlineStr">
        <is>
          <t>SÖDERMANLANDS LÄN</t>
        </is>
      </c>
      <c r="E334" t="inlineStr">
        <is>
          <t>KATRINEHOLM</t>
        </is>
      </c>
      <c r="G334" t="n">
        <v>3.9</v>
      </c>
      <c r="H334" t="n">
        <v>0</v>
      </c>
      <c r="I334" t="n">
        <v>0</v>
      </c>
      <c r="J334" t="n">
        <v>0</v>
      </c>
      <c r="K334" t="n">
        <v>0</v>
      </c>
      <c r="L334" t="n">
        <v>0</v>
      </c>
      <c r="M334" t="n">
        <v>0</v>
      </c>
      <c r="N334" t="n">
        <v>0</v>
      </c>
      <c r="O334" t="n">
        <v>0</v>
      </c>
      <c r="P334" t="n">
        <v>0</v>
      </c>
      <c r="Q334" t="n">
        <v>0</v>
      </c>
      <c r="R334" s="2" t="inlineStr"/>
    </row>
    <row r="335" ht="15" customHeight="1">
      <c r="A335" t="inlineStr">
        <is>
          <t>A 15284-2023</t>
        </is>
      </c>
      <c r="B335" s="1" t="n">
        <v>45019</v>
      </c>
      <c r="C335" s="1" t="n">
        <v>45907</v>
      </c>
      <c r="D335" t="inlineStr">
        <is>
          <t>SÖDERMANLANDS LÄN</t>
        </is>
      </c>
      <c r="E335" t="inlineStr">
        <is>
          <t>KATRINEHOLM</t>
        </is>
      </c>
      <c r="F335" t="inlineStr">
        <is>
          <t>Allmännings- och besparingsskogar</t>
        </is>
      </c>
      <c r="G335" t="n">
        <v>17.4</v>
      </c>
      <c r="H335" t="n">
        <v>0</v>
      </c>
      <c r="I335" t="n">
        <v>0</v>
      </c>
      <c r="J335" t="n">
        <v>0</v>
      </c>
      <c r="K335" t="n">
        <v>0</v>
      </c>
      <c r="L335" t="n">
        <v>0</v>
      </c>
      <c r="M335" t="n">
        <v>0</v>
      </c>
      <c r="N335" t="n">
        <v>0</v>
      </c>
      <c r="O335" t="n">
        <v>0</v>
      </c>
      <c r="P335" t="n">
        <v>0</v>
      </c>
      <c r="Q335" t="n">
        <v>0</v>
      </c>
      <c r="R335" s="2" t="inlineStr"/>
    </row>
    <row r="336" ht="15" customHeight="1">
      <c r="A336" t="inlineStr">
        <is>
          <t>A 66393-2021</t>
        </is>
      </c>
      <c r="B336" s="1" t="n">
        <v>44518</v>
      </c>
      <c r="C336" s="1" t="n">
        <v>45907</v>
      </c>
      <c r="D336" t="inlineStr">
        <is>
          <t>SÖDERMANLANDS LÄN</t>
        </is>
      </c>
      <c r="E336" t="inlineStr">
        <is>
          <t>KATRINEHOLM</t>
        </is>
      </c>
      <c r="F336" t="inlineStr">
        <is>
          <t>Holmen skog AB</t>
        </is>
      </c>
      <c r="G336" t="n">
        <v>0.4</v>
      </c>
      <c r="H336" t="n">
        <v>0</v>
      </c>
      <c r="I336" t="n">
        <v>0</v>
      </c>
      <c r="J336" t="n">
        <v>0</v>
      </c>
      <c r="K336" t="n">
        <v>0</v>
      </c>
      <c r="L336" t="n">
        <v>0</v>
      </c>
      <c r="M336" t="n">
        <v>0</v>
      </c>
      <c r="N336" t="n">
        <v>0</v>
      </c>
      <c r="O336" t="n">
        <v>0</v>
      </c>
      <c r="P336" t="n">
        <v>0</v>
      </c>
      <c r="Q336" t="n">
        <v>0</v>
      </c>
      <c r="R336" s="2" t="inlineStr"/>
    </row>
    <row r="337" ht="15" customHeight="1">
      <c r="A337" t="inlineStr">
        <is>
          <t>A 50840-2022</t>
        </is>
      </c>
      <c r="B337" s="1" t="n">
        <v>44862</v>
      </c>
      <c r="C337" s="1" t="n">
        <v>45907</v>
      </c>
      <c r="D337" t="inlineStr">
        <is>
          <t>SÖDERMANLANDS LÄN</t>
        </is>
      </c>
      <c r="E337" t="inlineStr">
        <is>
          <t>KATRINEHOLM</t>
        </is>
      </c>
      <c r="G337" t="n">
        <v>4.2</v>
      </c>
      <c r="H337" t="n">
        <v>0</v>
      </c>
      <c r="I337" t="n">
        <v>0</v>
      </c>
      <c r="J337" t="n">
        <v>0</v>
      </c>
      <c r="K337" t="n">
        <v>0</v>
      </c>
      <c r="L337" t="n">
        <v>0</v>
      </c>
      <c r="M337" t="n">
        <v>0</v>
      </c>
      <c r="N337" t="n">
        <v>0</v>
      </c>
      <c r="O337" t="n">
        <v>0</v>
      </c>
      <c r="P337" t="n">
        <v>0</v>
      </c>
      <c r="Q337" t="n">
        <v>0</v>
      </c>
      <c r="R337" s="2" t="inlineStr"/>
    </row>
    <row r="338" ht="15" customHeight="1">
      <c r="A338" t="inlineStr">
        <is>
          <t>A 13113-2023</t>
        </is>
      </c>
      <c r="B338" s="1" t="n">
        <v>45002</v>
      </c>
      <c r="C338" s="1" t="n">
        <v>45907</v>
      </c>
      <c r="D338" t="inlineStr">
        <is>
          <t>SÖDERMANLANDS LÄN</t>
        </is>
      </c>
      <c r="E338" t="inlineStr">
        <is>
          <t>KATRINEHOLM</t>
        </is>
      </c>
      <c r="F338" t="inlineStr">
        <is>
          <t>Allmännings- och besparingsskogar</t>
        </is>
      </c>
      <c r="G338" t="n">
        <v>3.6</v>
      </c>
      <c r="H338" t="n">
        <v>0</v>
      </c>
      <c r="I338" t="n">
        <v>0</v>
      </c>
      <c r="J338" t="n">
        <v>0</v>
      </c>
      <c r="K338" t="n">
        <v>0</v>
      </c>
      <c r="L338" t="n">
        <v>0</v>
      </c>
      <c r="M338" t="n">
        <v>0</v>
      </c>
      <c r="N338" t="n">
        <v>0</v>
      </c>
      <c r="O338" t="n">
        <v>0</v>
      </c>
      <c r="P338" t="n">
        <v>0</v>
      </c>
      <c r="Q338" t="n">
        <v>0</v>
      </c>
      <c r="R338" s="2" t="inlineStr"/>
    </row>
    <row r="339" ht="15" customHeight="1">
      <c r="A339" t="inlineStr">
        <is>
          <t>A 14245-2024</t>
        </is>
      </c>
      <c r="B339" s="1" t="n">
        <v>45393</v>
      </c>
      <c r="C339" s="1" t="n">
        <v>45907</v>
      </c>
      <c r="D339" t="inlineStr">
        <is>
          <t>SÖDERMANLANDS LÄN</t>
        </is>
      </c>
      <c r="E339" t="inlineStr">
        <is>
          <t>KATRINEHOLM</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24566-2025</t>
        </is>
      </c>
      <c r="B340" s="1" t="n">
        <v>45798.46452546296</v>
      </c>
      <c r="C340" s="1" t="n">
        <v>45907</v>
      </c>
      <c r="D340" t="inlineStr">
        <is>
          <t>SÖDERMANLANDS LÄN</t>
        </is>
      </c>
      <c r="E340" t="inlineStr">
        <is>
          <t>KATRINEHOLM</t>
        </is>
      </c>
      <c r="G340" t="n">
        <v>6.3</v>
      </c>
      <c r="H340" t="n">
        <v>0</v>
      </c>
      <c r="I340" t="n">
        <v>0</v>
      </c>
      <c r="J340" t="n">
        <v>0</v>
      </c>
      <c r="K340" t="n">
        <v>0</v>
      </c>
      <c r="L340" t="n">
        <v>0</v>
      </c>
      <c r="M340" t="n">
        <v>0</v>
      </c>
      <c r="N340" t="n">
        <v>0</v>
      </c>
      <c r="O340" t="n">
        <v>0</v>
      </c>
      <c r="P340" t="n">
        <v>0</v>
      </c>
      <c r="Q340" t="n">
        <v>0</v>
      </c>
      <c r="R340" s="2" t="inlineStr"/>
    </row>
    <row r="341" ht="15" customHeight="1">
      <c r="A341" t="inlineStr">
        <is>
          <t>A 55856-2022</t>
        </is>
      </c>
      <c r="B341" s="1" t="n">
        <v>44888</v>
      </c>
      <c r="C341" s="1" t="n">
        <v>45907</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36832-2023</t>
        </is>
      </c>
      <c r="B342" s="1" t="n">
        <v>45153</v>
      </c>
      <c r="C342" s="1" t="n">
        <v>45907</v>
      </c>
      <c r="D342" t="inlineStr">
        <is>
          <t>SÖDERMANLANDS LÄN</t>
        </is>
      </c>
      <c r="E342" t="inlineStr">
        <is>
          <t>KATRINEHOLM</t>
        </is>
      </c>
      <c r="F342" t="inlineStr">
        <is>
          <t>Övriga Aktiebolag</t>
        </is>
      </c>
      <c r="G342" t="n">
        <v>9</v>
      </c>
      <c r="H342" t="n">
        <v>0</v>
      </c>
      <c r="I342" t="n">
        <v>0</v>
      </c>
      <c r="J342" t="n">
        <v>0</v>
      </c>
      <c r="K342" t="n">
        <v>0</v>
      </c>
      <c r="L342" t="n">
        <v>0</v>
      </c>
      <c r="M342" t="n">
        <v>0</v>
      </c>
      <c r="N342" t="n">
        <v>0</v>
      </c>
      <c r="O342" t="n">
        <v>0</v>
      </c>
      <c r="P342" t="n">
        <v>0</v>
      </c>
      <c r="Q342" t="n">
        <v>0</v>
      </c>
      <c r="R342" s="2" t="inlineStr"/>
    </row>
    <row r="343" ht="15" customHeight="1">
      <c r="A343" t="inlineStr">
        <is>
          <t>A 37542-2022</t>
        </is>
      </c>
      <c r="B343" s="1" t="n">
        <v>44809</v>
      </c>
      <c r="C343" s="1" t="n">
        <v>45907</v>
      </c>
      <c r="D343" t="inlineStr">
        <is>
          <t>SÖDERMANLANDS LÄN</t>
        </is>
      </c>
      <c r="E343" t="inlineStr">
        <is>
          <t>KATRINEHOLM</t>
        </is>
      </c>
      <c r="G343" t="n">
        <v>1.3</v>
      </c>
      <c r="H343" t="n">
        <v>0</v>
      </c>
      <c r="I343" t="n">
        <v>0</v>
      </c>
      <c r="J343" t="n">
        <v>0</v>
      </c>
      <c r="K343" t="n">
        <v>0</v>
      </c>
      <c r="L343" t="n">
        <v>0</v>
      </c>
      <c r="M343" t="n">
        <v>0</v>
      </c>
      <c r="N343" t="n">
        <v>0</v>
      </c>
      <c r="O343" t="n">
        <v>0</v>
      </c>
      <c r="P343" t="n">
        <v>0</v>
      </c>
      <c r="Q343" t="n">
        <v>0</v>
      </c>
      <c r="R343" s="2" t="inlineStr"/>
    </row>
    <row r="344" ht="15" customHeight="1">
      <c r="A344" t="inlineStr">
        <is>
          <t>A 56086-2023</t>
        </is>
      </c>
      <c r="B344" s="1" t="n">
        <v>45240</v>
      </c>
      <c r="C344" s="1" t="n">
        <v>45907</v>
      </c>
      <c r="D344" t="inlineStr">
        <is>
          <t>SÖDERMANLANDS LÄN</t>
        </is>
      </c>
      <c r="E344" t="inlineStr">
        <is>
          <t>KATRINEHOLM</t>
        </is>
      </c>
      <c r="F344" t="inlineStr">
        <is>
          <t>Kyrkan</t>
        </is>
      </c>
      <c r="G344" t="n">
        <v>17</v>
      </c>
      <c r="H344" t="n">
        <v>0</v>
      </c>
      <c r="I344" t="n">
        <v>0</v>
      </c>
      <c r="J344" t="n">
        <v>0</v>
      </c>
      <c r="K344" t="n">
        <v>0</v>
      </c>
      <c r="L344" t="n">
        <v>0</v>
      </c>
      <c r="M344" t="n">
        <v>0</v>
      </c>
      <c r="N344" t="n">
        <v>0</v>
      </c>
      <c r="O344" t="n">
        <v>0</v>
      </c>
      <c r="P344" t="n">
        <v>0</v>
      </c>
      <c r="Q344" t="n">
        <v>0</v>
      </c>
      <c r="R344" s="2" t="inlineStr"/>
    </row>
    <row r="345" ht="15" customHeight="1">
      <c r="A345" t="inlineStr">
        <is>
          <t>A 24719-2025</t>
        </is>
      </c>
      <c r="B345" s="1" t="n">
        <v>45799</v>
      </c>
      <c r="C345" s="1" t="n">
        <v>45907</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34739-2023</t>
        </is>
      </c>
      <c r="B346" s="1" t="n">
        <v>45141</v>
      </c>
      <c r="C346" s="1" t="n">
        <v>45907</v>
      </c>
      <c r="D346" t="inlineStr">
        <is>
          <t>SÖDERMANLANDS LÄN</t>
        </is>
      </c>
      <c r="E346" t="inlineStr">
        <is>
          <t>KATRINEHOLM</t>
        </is>
      </c>
      <c r="G346" t="n">
        <v>1.4</v>
      </c>
      <c r="H346" t="n">
        <v>0</v>
      </c>
      <c r="I346" t="n">
        <v>0</v>
      </c>
      <c r="J346" t="n">
        <v>0</v>
      </c>
      <c r="K346" t="n">
        <v>0</v>
      </c>
      <c r="L346" t="n">
        <v>0</v>
      </c>
      <c r="M346" t="n">
        <v>0</v>
      </c>
      <c r="N346" t="n">
        <v>0</v>
      </c>
      <c r="O346" t="n">
        <v>0</v>
      </c>
      <c r="P346" t="n">
        <v>0</v>
      </c>
      <c r="Q346" t="n">
        <v>0</v>
      </c>
      <c r="R346" s="2" t="inlineStr"/>
    </row>
    <row r="347" ht="15" customHeight="1">
      <c r="A347" t="inlineStr">
        <is>
          <t>A 24717-2025</t>
        </is>
      </c>
      <c r="B347" s="1" t="n">
        <v>45799.27168981481</v>
      </c>
      <c r="C347" s="1" t="n">
        <v>45907</v>
      </c>
      <c r="D347" t="inlineStr">
        <is>
          <t>SÖDERMANLANDS LÄN</t>
        </is>
      </c>
      <c r="E347" t="inlineStr">
        <is>
          <t>KATRINEHOLM</t>
        </is>
      </c>
      <c r="G347" t="n">
        <v>24.5</v>
      </c>
      <c r="H347" t="n">
        <v>0</v>
      </c>
      <c r="I347" t="n">
        <v>0</v>
      </c>
      <c r="J347" t="n">
        <v>0</v>
      </c>
      <c r="K347" t="n">
        <v>0</v>
      </c>
      <c r="L347" t="n">
        <v>0</v>
      </c>
      <c r="M347" t="n">
        <v>0</v>
      </c>
      <c r="N347" t="n">
        <v>0</v>
      </c>
      <c r="O347" t="n">
        <v>0</v>
      </c>
      <c r="P347" t="n">
        <v>0</v>
      </c>
      <c r="Q347" t="n">
        <v>0</v>
      </c>
      <c r="R347" s="2" t="inlineStr"/>
    </row>
    <row r="348" ht="15" customHeight="1">
      <c r="A348" t="inlineStr">
        <is>
          <t>A 36366-2023</t>
        </is>
      </c>
      <c r="B348" s="1" t="n">
        <v>45152</v>
      </c>
      <c r="C348" s="1" t="n">
        <v>45907</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39052-2023</t>
        </is>
      </c>
      <c r="B349" s="1" t="n">
        <v>45163</v>
      </c>
      <c r="C349" s="1" t="n">
        <v>45907</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41946-2022</t>
        </is>
      </c>
      <c r="B350" s="1" t="n">
        <v>44830.38502314815</v>
      </c>
      <c r="C350" s="1" t="n">
        <v>45907</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51613-2022</t>
        </is>
      </c>
      <c r="B351" s="1" t="n">
        <v>44871</v>
      </c>
      <c r="C351" s="1" t="n">
        <v>45907</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27886-2024</t>
        </is>
      </c>
      <c r="B352" s="1" t="n">
        <v>45475</v>
      </c>
      <c r="C352" s="1" t="n">
        <v>45907</v>
      </c>
      <c r="D352" t="inlineStr">
        <is>
          <t>SÖDERMANLANDS LÄN</t>
        </is>
      </c>
      <c r="E352" t="inlineStr">
        <is>
          <t>KATRINEHOLM</t>
        </is>
      </c>
      <c r="G352" t="n">
        <v>10.3</v>
      </c>
      <c r="H352" t="n">
        <v>0</v>
      </c>
      <c r="I352" t="n">
        <v>0</v>
      </c>
      <c r="J352" t="n">
        <v>0</v>
      </c>
      <c r="K352" t="n">
        <v>0</v>
      </c>
      <c r="L352" t="n">
        <v>0</v>
      </c>
      <c r="M352" t="n">
        <v>0</v>
      </c>
      <c r="N352" t="n">
        <v>0</v>
      </c>
      <c r="O352" t="n">
        <v>0</v>
      </c>
      <c r="P352" t="n">
        <v>0</v>
      </c>
      <c r="Q352" t="n">
        <v>0</v>
      </c>
      <c r="R352" s="2" t="inlineStr"/>
    </row>
    <row r="353" ht="15" customHeight="1">
      <c r="A353" t="inlineStr">
        <is>
          <t>A 19868-2022</t>
        </is>
      </c>
      <c r="B353" s="1" t="n">
        <v>44696</v>
      </c>
      <c r="C353" s="1" t="n">
        <v>45907</v>
      </c>
      <c r="D353" t="inlineStr">
        <is>
          <t>SÖDERMANLANDS LÄN</t>
        </is>
      </c>
      <c r="E353" t="inlineStr">
        <is>
          <t>KATRINEHOLM</t>
        </is>
      </c>
      <c r="G353" t="n">
        <v>13</v>
      </c>
      <c r="H353" t="n">
        <v>0</v>
      </c>
      <c r="I353" t="n">
        <v>0</v>
      </c>
      <c r="J353" t="n">
        <v>0</v>
      </c>
      <c r="K353" t="n">
        <v>0</v>
      </c>
      <c r="L353" t="n">
        <v>0</v>
      </c>
      <c r="M353" t="n">
        <v>0</v>
      </c>
      <c r="N353" t="n">
        <v>0</v>
      </c>
      <c r="O353" t="n">
        <v>0</v>
      </c>
      <c r="P353" t="n">
        <v>0</v>
      </c>
      <c r="Q353" t="n">
        <v>0</v>
      </c>
      <c r="R353" s="2" t="inlineStr"/>
    </row>
    <row r="354" ht="15" customHeight="1">
      <c r="A354" t="inlineStr">
        <is>
          <t>A 58651-2023</t>
        </is>
      </c>
      <c r="B354" s="1" t="n">
        <v>45247</v>
      </c>
      <c r="C354" s="1" t="n">
        <v>45907</v>
      </c>
      <c r="D354" t="inlineStr">
        <is>
          <t>SÖDERMANLANDS LÄN</t>
        </is>
      </c>
      <c r="E354" t="inlineStr">
        <is>
          <t>KATRINEHOLM</t>
        </is>
      </c>
      <c r="G354" t="n">
        <v>2.7</v>
      </c>
      <c r="H354" t="n">
        <v>0</v>
      </c>
      <c r="I354" t="n">
        <v>0</v>
      </c>
      <c r="J354" t="n">
        <v>0</v>
      </c>
      <c r="K354" t="n">
        <v>0</v>
      </c>
      <c r="L354" t="n">
        <v>0</v>
      </c>
      <c r="M354" t="n">
        <v>0</v>
      </c>
      <c r="N354" t="n">
        <v>0</v>
      </c>
      <c r="O354" t="n">
        <v>0</v>
      </c>
      <c r="P354" t="n">
        <v>0</v>
      </c>
      <c r="Q354" t="n">
        <v>0</v>
      </c>
      <c r="R354" s="2" t="inlineStr"/>
    </row>
    <row r="355" ht="15" customHeight="1">
      <c r="A355" t="inlineStr">
        <is>
          <t>A 8765-2023</t>
        </is>
      </c>
      <c r="B355" s="1" t="n">
        <v>44978.52131944444</v>
      </c>
      <c r="C355" s="1" t="n">
        <v>45907</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61867-2020</t>
        </is>
      </c>
      <c r="B356" s="1" t="n">
        <v>44159</v>
      </c>
      <c r="C356" s="1" t="n">
        <v>45907</v>
      </c>
      <c r="D356" t="inlineStr">
        <is>
          <t>SÖDERMANLANDS LÄN</t>
        </is>
      </c>
      <c r="E356" t="inlineStr">
        <is>
          <t>KATRINEHOLM</t>
        </is>
      </c>
      <c r="G356" t="n">
        <v>2.9</v>
      </c>
      <c r="H356" t="n">
        <v>0</v>
      </c>
      <c r="I356" t="n">
        <v>0</v>
      </c>
      <c r="J356" t="n">
        <v>0</v>
      </c>
      <c r="K356" t="n">
        <v>0</v>
      </c>
      <c r="L356" t="n">
        <v>0</v>
      </c>
      <c r="M356" t="n">
        <v>0</v>
      </c>
      <c r="N356" t="n">
        <v>0</v>
      </c>
      <c r="O356" t="n">
        <v>0</v>
      </c>
      <c r="P356" t="n">
        <v>0</v>
      </c>
      <c r="Q356" t="n">
        <v>0</v>
      </c>
      <c r="R356" s="2" t="inlineStr"/>
    </row>
    <row r="357" ht="15" customHeight="1">
      <c r="A357" t="inlineStr">
        <is>
          <t>A 25786-2025</t>
        </is>
      </c>
      <c r="B357" s="1" t="n">
        <v>45804.37456018518</v>
      </c>
      <c r="C357" s="1" t="n">
        <v>45907</v>
      </c>
      <c r="D357" t="inlineStr">
        <is>
          <t>SÖDERMANLANDS LÄN</t>
        </is>
      </c>
      <c r="E357" t="inlineStr">
        <is>
          <t>KATRINEHOLM</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28992-2024</t>
        </is>
      </c>
      <c r="B358" s="1" t="n">
        <v>45481.49289351852</v>
      </c>
      <c r="C358" s="1" t="n">
        <v>45907</v>
      </c>
      <c r="D358" t="inlineStr">
        <is>
          <t>SÖDERMANLANDS LÄN</t>
        </is>
      </c>
      <c r="E358" t="inlineStr">
        <is>
          <t>KATRINEHOLM</t>
        </is>
      </c>
      <c r="G358" t="n">
        <v>2.3</v>
      </c>
      <c r="H358" t="n">
        <v>0</v>
      </c>
      <c r="I358" t="n">
        <v>0</v>
      </c>
      <c r="J358" t="n">
        <v>0</v>
      </c>
      <c r="K358" t="n">
        <v>0</v>
      </c>
      <c r="L358" t="n">
        <v>0</v>
      </c>
      <c r="M358" t="n">
        <v>0</v>
      </c>
      <c r="N358" t="n">
        <v>0</v>
      </c>
      <c r="O358" t="n">
        <v>0</v>
      </c>
      <c r="P358" t="n">
        <v>0</v>
      </c>
      <c r="Q358" t="n">
        <v>0</v>
      </c>
      <c r="R358" s="2" t="inlineStr"/>
    </row>
    <row r="359" ht="15" customHeight="1">
      <c r="A359" t="inlineStr">
        <is>
          <t>A 41205-2021</t>
        </is>
      </c>
      <c r="B359" s="1" t="n">
        <v>44424.38577546296</v>
      </c>
      <c r="C359" s="1" t="n">
        <v>45907</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55296-2022</t>
        </is>
      </c>
      <c r="B360" s="1" t="n">
        <v>44887</v>
      </c>
      <c r="C360" s="1" t="n">
        <v>45907</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25433-2024</t>
        </is>
      </c>
      <c r="B361" s="1" t="n">
        <v>45463</v>
      </c>
      <c r="C361" s="1" t="n">
        <v>45907</v>
      </c>
      <c r="D361" t="inlineStr">
        <is>
          <t>SÖDERMANLANDS LÄN</t>
        </is>
      </c>
      <c r="E361" t="inlineStr">
        <is>
          <t>KATRINEHOLM</t>
        </is>
      </c>
      <c r="G361" t="n">
        <v>1.1</v>
      </c>
      <c r="H361" t="n">
        <v>0</v>
      </c>
      <c r="I361" t="n">
        <v>0</v>
      </c>
      <c r="J361" t="n">
        <v>0</v>
      </c>
      <c r="K361" t="n">
        <v>0</v>
      </c>
      <c r="L361" t="n">
        <v>0</v>
      </c>
      <c r="M361" t="n">
        <v>0</v>
      </c>
      <c r="N361" t="n">
        <v>0</v>
      </c>
      <c r="O361" t="n">
        <v>0</v>
      </c>
      <c r="P361" t="n">
        <v>0</v>
      </c>
      <c r="Q361" t="n">
        <v>0</v>
      </c>
      <c r="R361" s="2" t="inlineStr"/>
    </row>
    <row r="362" ht="15" customHeight="1">
      <c r="A362" t="inlineStr">
        <is>
          <t>A 9932-2023</t>
        </is>
      </c>
      <c r="B362" s="1" t="n">
        <v>44985.46709490741</v>
      </c>
      <c r="C362" s="1" t="n">
        <v>45907</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42590-2022</t>
        </is>
      </c>
      <c r="B363" s="1" t="n">
        <v>44831</v>
      </c>
      <c r="C363" s="1" t="n">
        <v>45907</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17360-2022</t>
        </is>
      </c>
      <c r="B364" s="1" t="n">
        <v>44678</v>
      </c>
      <c r="C364" s="1" t="n">
        <v>45907</v>
      </c>
      <c r="D364" t="inlineStr">
        <is>
          <t>SÖDERMANLANDS LÄN</t>
        </is>
      </c>
      <c r="E364" t="inlineStr">
        <is>
          <t>KATRINEHOLM</t>
        </is>
      </c>
      <c r="G364" t="n">
        <v>4.5</v>
      </c>
      <c r="H364" t="n">
        <v>0</v>
      </c>
      <c r="I364" t="n">
        <v>0</v>
      </c>
      <c r="J364" t="n">
        <v>0</v>
      </c>
      <c r="K364" t="n">
        <v>0</v>
      </c>
      <c r="L364" t="n">
        <v>0</v>
      </c>
      <c r="M364" t="n">
        <v>0</v>
      </c>
      <c r="N364" t="n">
        <v>0</v>
      </c>
      <c r="O364" t="n">
        <v>0</v>
      </c>
      <c r="P364" t="n">
        <v>0</v>
      </c>
      <c r="Q364" t="n">
        <v>0</v>
      </c>
      <c r="R364" s="2" t="inlineStr"/>
    </row>
    <row r="365" ht="15" customHeight="1">
      <c r="A365" t="inlineStr">
        <is>
          <t>A 26154-2025</t>
        </is>
      </c>
      <c r="B365" s="1" t="n">
        <v>45805.43341435185</v>
      </c>
      <c r="C365" s="1" t="n">
        <v>45907</v>
      </c>
      <c r="D365" t="inlineStr">
        <is>
          <t>SÖDERMANLANDS LÄN</t>
        </is>
      </c>
      <c r="E365" t="inlineStr">
        <is>
          <t>KATRINEHOLM</t>
        </is>
      </c>
      <c r="G365" t="n">
        <v>4.5</v>
      </c>
      <c r="H365" t="n">
        <v>0</v>
      </c>
      <c r="I365" t="n">
        <v>0</v>
      </c>
      <c r="J365" t="n">
        <v>0</v>
      </c>
      <c r="K365" t="n">
        <v>0</v>
      </c>
      <c r="L365" t="n">
        <v>0</v>
      </c>
      <c r="M365" t="n">
        <v>0</v>
      </c>
      <c r="N365" t="n">
        <v>0</v>
      </c>
      <c r="O365" t="n">
        <v>0</v>
      </c>
      <c r="P365" t="n">
        <v>0</v>
      </c>
      <c r="Q365" t="n">
        <v>0</v>
      </c>
      <c r="R365" s="2" t="inlineStr"/>
    </row>
    <row r="366" ht="15" customHeight="1">
      <c r="A366" t="inlineStr">
        <is>
          <t>A 42111-2022</t>
        </is>
      </c>
      <c r="B366" s="1" t="n">
        <v>44830</v>
      </c>
      <c r="C366" s="1" t="n">
        <v>45907</v>
      </c>
      <c r="D366" t="inlineStr">
        <is>
          <t>SÖDERMANLANDS LÄN</t>
        </is>
      </c>
      <c r="E366" t="inlineStr">
        <is>
          <t>KATRINEHOLM</t>
        </is>
      </c>
      <c r="G366" t="n">
        <v>2.5</v>
      </c>
      <c r="H366" t="n">
        <v>0</v>
      </c>
      <c r="I366" t="n">
        <v>0</v>
      </c>
      <c r="J366" t="n">
        <v>0</v>
      </c>
      <c r="K366" t="n">
        <v>0</v>
      </c>
      <c r="L366" t="n">
        <v>0</v>
      </c>
      <c r="M366" t="n">
        <v>0</v>
      </c>
      <c r="N366" t="n">
        <v>0</v>
      </c>
      <c r="O366" t="n">
        <v>0</v>
      </c>
      <c r="P366" t="n">
        <v>0</v>
      </c>
      <c r="Q366" t="n">
        <v>0</v>
      </c>
      <c r="R366" s="2" t="inlineStr"/>
    </row>
    <row r="367" ht="15" customHeight="1">
      <c r="A367" t="inlineStr">
        <is>
          <t>A 26684-2025</t>
        </is>
      </c>
      <c r="B367" s="1" t="n">
        <v>45810</v>
      </c>
      <c r="C367" s="1" t="n">
        <v>45907</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48520-2023</t>
        </is>
      </c>
      <c r="B368" s="1" t="n">
        <v>45208</v>
      </c>
      <c r="C368" s="1" t="n">
        <v>45907</v>
      </c>
      <c r="D368" t="inlineStr">
        <is>
          <t>SÖDERMANLANDS LÄN</t>
        </is>
      </c>
      <c r="E368" t="inlineStr">
        <is>
          <t>KATRINEHOLM</t>
        </is>
      </c>
      <c r="G368" t="n">
        <v>1</v>
      </c>
      <c r="H368" t="n">
        <v>0</v>
      </c>
      <c r="I368" t="n">
        <v>0</v>
      </c>
      <c r="J368" t="n">
        <v>0</v>
      </c>
      <c r="K368" t="n">
        <v>0</v>
      </c>
      <c r="L368" t="n">
        <v>0</v>
      </c>
      <c r="M368" t="n">
        <v>0</v>
      </c>
      <c r="N368" t="n">
        <v>0</v>
      </c>
      <c r="O368" t="n">
        <v>0</v>
      </c>
      <c r="P368" t="n">
        <v>0</v>
      </c>
      <c r="Q368" t="n">
        <v>0</v>
      </c>
      <c r="R368" s="2" t="inlineStr"/>
    </row>
    <row r="369" ht="15" customHeight="1">
      <c r="A369" t="inlineStr">
        <is>
          <t>A 9693-2024</t>
        </is>
      </c>
      <c r="B369" s="1" t="n">
        <v>45362</v>
      </c>
      <c r="C369" s="1" t="n">
        <v>45907</v>
      </c>
      <c r="D369" t="inlineStr">
        <is>
          <t>SÖDERMANLANDS LÄN</t>
        </is>
      </c>
      <c r="E369" t="inlineStr">
        <is>
          <t>KATRINEHOLM</t>
        </is>
      </c>
      <c r="G369" t="n">
        <v>5.9</v>
      </c>
      <c r="H369" t="n">
        <v>0</v>
      </c>
      <c r="I369" t="n">
        <v>0</v>
      </c>
      <c r="J369" t="n">
        <v>0</v>
      </c>
      <c r="K369" t="n">
        <v>0</v>
      </c>
      <c r="L369" t="n">
        <v>0</v>
      </c>
      <c r="M369" t="n">
        <v>0</v>
      </c>
      <c r="N369" t="n">
        <v>0</v>
      </c>
      <c r="O369" t="n">
        <v>0</v>
      </c>
      <c r="P369" t="n">
        <v>0</v>
      </c>
      <c r="Q369" t="n">
        <v>0</v>
      </c>
      <c r="R369" s="2" t="inlineStr"/>
    </row>
    <row r="370" ht="15" customHeight="1">
      <c r="A370" t="inlineStr">
        <is>
          <t>A 32818-2023</t>
        </is>
      </c>
      <c r="B370" s="1" t="n">
        <v>45124.55633101852</v>
      </c>
      <c r="C370" s="1" t="n">
        <v>45907</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26156-2025</t>
        </is>
      </c>
      <c r="B371" s="1" t="n">
        <v>45805.43864583333</v>
      </c>
      <c r="C371" s="1" t="n">
        <v>45907</v>
      </c>
      <c r="D371" t="inlineStr">
        <is>
          <t>SÖDERMANLANDS LÄN</t>
        </is>
      </c>
      <c r="E371" t="inlineStr">
        <is>
          <t>KATRINEHOLM</t>
        </is>
      </c>
      <c r="G371" t="n">
        <v>4.1</v>
      </c>
      <c r="H371" t="n">
        <v>0</v>
      </c>
      <c r="I371" t="n">
        <v>0</v>
      </c>
      <c r="J371" t="n">
        <v>0</v>
      </c>
      <c r="K371" t="n">
        <v>0</v>
      </c>
      <c r="L371" t="n">
        <v>0</v>
      </c>
      <c r="M371" t="n">
        <v>0</v>
      </c>
      <c r="N371" t="n">
        <v>0</v>
      </c>
      <c r="O371" t="n">
        <v>0</v>
      </c>
      <c r="P371" t="n">
        <v>0</v>
      </c>
      <c r="Q371" t="n">
        <v>0</v>
      </c>
      <c r="R371" s="2" t="inlineStr"/>
    </row>
    <row r="372" ht="15" customHeight="1">
      <c r="A372" t="inlineStr">
        <is>
          <t>A 57132-2020</t>
        </is>
      </c>
      <c r="B372" s="1" t="n">
        <v>44139</v>
      </c>
      <c r="C372" s="1" t="n">
        <v>45907</v>
      </c>
      <c r="D372" t="inlineStr">
        <is>
          <t>SÖDERMANLANDS LÄN</t>
        </is>
      </c>
      <c r="E372" t="inlineStr">
        <is>
          <t>KATRINEHOLM</t>
        </is>
      </c>
      <c r="G372" t="n">
        <v>4</v>
      </c>
      <c r="H372" t="n">
        <v>0</v>
      </c>
      <c r="I372" t="n">
        <v>0</v>
      </c>
      <c r="J372" t="n">
        <v>0</v>
      </c>
      <c r="K372" t="n">
        <v>0</v>
      </c>
      <c r="L372" t="n">
        <v>0</v>
      </c>
      <c r="M372" t="n">
        <v>0</v>
      </c>
      <c r="N372" t="n">
        <v>0</v>
      </c>
      <c r="O372" t="n">
        <v>0</v>
      </c>
      <c r="P372" t="n">
        <v>0</v>
      </c>
      <c r="Q372" t="n">
        <v>0</v>
      </c>
      <c r="R372" s="2" t="inlineStr"/>
    </row>
    <row r="373" ht="15" customHeight="1">
      <c r="A373" t="inlineStr">
        <is>
          <t>A 35864-2023</t>
        </is>
      </c>
      <c r="B373" s="1" t="n">
        <v>45147</v>
      </c>
      <c r="C373" s="1" t="n">
        <v>45907</v>
      </c>
      <c r="D373" t="inlineStr">
        <is>
          <t>SÖDERMANLANDS LÄN</t>
        </is>
      </c>
      <c r="E373" t="inlineStr">
        <is>
          <t>KATRINEHOLM</t>
        </is>
      </c>
      <c r="F373" t="inlineStr">
        <is>
          <t>Övriga Aktiebolag</t>
        </is>
      </c>
      <c r="G373" t="n">
        <v>4.7</v>
      </c>
      <c r="H373" t="n">
        <v>0</v>
      </c>
      <c r="I373" t="n">
        <v>0</v>
      </c>
      <c r="J373" t="n">
        <v>0</v>
      </c>
      <c r="K373" t="n">
        <v>0</v>
      </c>
      <c r="L373" t="n">
        <v>0</v>
      </c>
      <c r="M373" t="n">
        <v>0</v>
      </c>
      <c r="N373" t="n">
        <v>0</v>
      </c>
      <c r="O373" t="n">
        <v>0</v>
      </c>
      <c r="P373" t="n">
        <v>0</v>
      </c>
      <c r="Q373" t="n">
        <v>0</v>
      </c>
      <c r="R373" s="2" t="inlineStr"/>
    </row>
    <row r="374" ht="15" customHeight="1">
      <c r="A374" t="inlineStr">
        <is>
          <t>A 36021-2023</t>
        </is>
      </c>
      <c r="B374" s="1" t="n">
        <v>45148</v>
      </c>
      <c r="C374" s="1" t="n">
        <v>45907</v>
      </c>
      <c r="D374" t="inlineStr">
        <is>
          <t>SÖDERMANLANDS LÄN</t>
        </is>
      </c>
      <c r="E374" t="inlineStr">
        <is>
          <t>KATRINEHOLM</t>
        </is>
      </c>
      <c r="G374" t="n">
        <v>1.8</v>
      </c>
      <c r="H374" t="n">
        <v>0</v>
      </c>
      <c r="I374" t="n">
        <v>0</v>
      </c>
      <c r="J374" t="n">
        <v>0</v>
      </c>
      <c r="K374" t="n">
        <v>0</v>
      </c>
      <c r="L374" t="n">
        <v>0</v>
      </c>
      <c r="M374" t="n">
        <v>0</v>
      </c>
      <c r="N374" t="n">
        <v>0</v>
      </c>
      <c r="O374" t="n">
        <v>0</v>
      </c>
      <c r="P374" t="n">
        <v>0</v>
      </c>
      <c r="Q374" t="n">
        <v>0</v>
      </c>
      <c r="R374" s="2" t="inlineStr"/>
    </row>
    <row r="375" ht="15" customHeight="1">
      <c r="A375" t="inlineStr">
        <is>
          <t>A 6810-2023</t>
        </is>
      </c>
      <c r="B375" s="1" t="n">
        <v>44964</v>
      </c>
      <c r="C375" s="1" t="n">
        <v>45907</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11635-2023</t>
        </is>
      </c>
      <c r="B376" s="1" t="n">
        <v>44994</v>
      </c>
      <c r="C376" s="1" t="n">
        <v>45907</v>
      </c>
      <c r="D376" t="inlineStr">
        <is>
          <t>SÖDERMANLANDS LÄN</t>
        </is>
      </c>
      <c r="E376" t="inlineStr">
        <is>
          <t>KATRINEHOLM</t>
        </is>
      </c>
      <c r="G376" t="n">
        <v>4.3</v>
      </c>
      <c r="H376" t="n">
        <v>0</v>
      </c>
      <c r="I376" t="n">
        <v>0</v>
      </c>
      <c r="J376" t="n">
        <v>0</v>
      </c>
      <c r="K376" t="n">
        <v>0</v>
      </c>
      <c r="L376" t="n">
        <v>0</v>
      </c>
      <c r="M376" t="n">
        <v>0</v>
      </c>
      <c r="N376" t="n">
        <v>0</v>
      </c>
      <c r="O376" t="n">
        <v>0</v>
      </c>
      <c r="P376" t="n">
        <v>0</v>
      </c>
      <c r="Q376" t="n">
        <v>0</v>
      </c>
      <c r="R376" s="2" t="inlineStr"/>
    </row>
    <row r="377" ht="15" customHeight="1">
      <c r="A377" t="inlineStr">
        <is>
          <t>A 57648-2020</t>
        </is>
      </c>
      <c r="B377" s="1" t="n">
        <v>44140.69324074074</v>
      </c>
      <c r="C377" s="1" t="n">
        <v>45907</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34732-2022</t>
        </is>
      </c>
      <c r="B378" s="1" t="n">
        <v>44795</v>
      </c>
      <c r="C378" s="1" t="n">
        <v>45907</v>
      </c>
      <c r="D378" t="inlineStr">
        <is>
          <t>SÖDERMANLANDS LÄN</t>
        </is>
      </c>
      <c r="E378" t="inlineStr">
        <is>
          <t>KATRINEHOLM</t>
        </is>
      </c>
      <c r="G378" t="n">
        <v>3</v>
      </c>
      <c r="H378" t="n">
        <v>0</v>
      </c>
      <c r="I378" t="n">
        <v>0</v>
      </c>
      <c r="J378" t="n">
        <v>0</v>
      </c>
      <c r="K378" t="n">
        <v>0</v>
      </c>
      <c r="L378" t="n">
        <v>0</v>
      </c>
      <c r="M378" t="n">
        <v>0</v>
      </c>
      <c r="N378" t="n">
        <v>0</v>
      </c>
      <c r="O378" t="n">
        <v>0</v>
      </c>
      <c r="P378" t="n">
        <v>0</v>
      </c>
      <c r="Q378" t="n">
        <v>0</v>
      </c>
      <c r="R378" s="2" t="inlineStr"/>
    </row>
    <row r="379" ht="15" customHeight="1">
      <c r="A379" t="inlineStr">
        <is>
          <t>A 40402-2022</t>
        </is>
      </c>
      <c r="B379" s="1" t="n">
        <v>44823.44353009259</v>
      </c>
      <c r="C379" s="1" t="n">
        <v>45907</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3982-2024</t>
        </is>
      </c>
      <c r="B380" s="1" t="n">
        <v>45322</v>
      </c>
      <c r="C380" s="1" t="n">
        <v>45907</v>
      </c>
      <c r="D380" t="inlineStr">
        <is>
          <t>SÖDERMANLANDS LÄN</t>
        </is>
      </c>
      <c r="E380" t="inlineStr">
        <is>
          <t>KATRINEHOLM</t>
        </is>
      </c>
      <c r="G380" t="n">
        <v>3.7</v>
      </c>
      <c r="H380" t="n">
        <v>0</v>
      </c>
      <c r="I380" t="n">
        <v>0</v>
      </c>
      <c r="J380" t="n">
        <v>0</v>
      </c>
      <c r="K380" t="n">
        <v>0</v>
      </c>
      <c r="L380" t="n">
        <v>0</v>
      </c>
      <c r="M380" t="n">
        <v>0</v>
      </c>
      <c r="N380" t="n">
        <v>0</v>
      </c>
      <c r="O380" t="n">
        <v>0</v>
      </c>
      <c r="P380" t="n">
        <v>0</v>
      </c>
      <c r="Q380" t="n">
        <v>0</v>
      </c>
      <c r="R380" s="2" t="inlineStr"/>
    </row>
    <row r="381" ht="15" customHeight="1">
      <c r="A381" t="inlineStr">
        <is>
          <t>A 13086-2023</t>
        </is>
      </c>
      <c r="B381" s="1" t="n">
        <v>45002.42188657408</v>
      </c>
      <c r="C381" s="1" t="n">
        <v>45907</v>
      </c>
      <c r="D381" t="inlineStr">
        <is>
          <t>SÖDERMANLANDS LÄN</t>
        </is>
      </c>
      <c r="E381" t="inlineStr">
        <is>
          <t>KATRINEHOLM</t>
        </is>
      </c>
      <c r="G381" t="n">
        <v>2.2</v>
      </c>
      <c r="H381" t="n">
        <v>0</v>
      </c>
      <c r="I381" t="n">
        <v>0</v>
      </c>
      <c r="J381" t="n">
        <v>0</v>
      </c>
      <c r="K381" t="n">
        <v>0</v>
      </c>
      <c r="L381" t="n">
        <v>0</v>
      </c>
      <c r="M381" t="n">
        <v>0</v>
      </c>
      <c r="N381" t="n">
        <v>0</v>
      </c>
      <c r="O381" t="n">
        <v>0</v>
      </c>
      <c r="P381" t="n">
        <v>0</v>
      </c>
      <c r="Q381" t="n">
        <v>0</v>
      </c>
      <c r="R381" s="2" t="inlineStr"/>
    </row>
    <row r="382" ht="15" customHeight="1">
      <c r="A382" t="inlineStr">
        <is>
          <t>A 27334-2023</t>
        </is>
      </c>
      <c r="B382" s="1" t="n">
        <v>45096</v>
      </c>
      <c r="C382" s="1" t="n">
        <v>45907</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7704-2023</t>
        </is>
      </c>
      <c r="B383" s="1" t="n">
        <v>44968</v>
      </c>
      <c r="C383" s="1" t="n">
        <v>45907</v>
      </c>
      <c r="D383" t="inlineStr">
        <is>
          <t>SÖDERMANLANDS LÄN</t>
        </is>
      </c>
      <c r="E383" t="inlineStr">
        <is>
          <t>KATRINEHOLM</t>
        </is>
      </c>
      <c r="G383" t="n">
        <v>7.3</v>
      </c>
      <c r="H383" t="n">
        <v>0</v>
      </c>
      <c r="I383" t="n">
        <v>0</v>
      </c>
      <c r="J383" t="n">
        <v>0</v>
      </c>
      <c r="K383" t="n">
        <v>0</v>
      </c>
      <c r="L383" t="n">
        <v>0</v>
      </c>
      <c r="M383" t="n">
        <v>0</v>
      </c>
      <c r="N383" t="n">
        <v>0</v>
      </c>
      <c r="O383" t="n">
        <v>0</v>
      </c>
      <c r="P383" t="n">
        <v>0</v>
      </c>
      <c r="Q383" t="n">
        <v>0</v>
      </c>
      <c r="R383" s="2" t="inlineStr"/>
    </row>
    <row r="384" ht="15" customHeight="1">
      <c r="A384" t="inlineStr">
        <is>
          <t>A 58528-2024</t>
        </is>
      </c>
      <c r="B384" s="1" t="n">
        <v>45635.44527777778</v>
      </c>
      <c r="C384" s="1" t="n">
        <v>45907</v>
      </c>
      <c r="D384" t="inlineStr">
        <is>
          <t>SÖDERMANLANDS LÄN</t>
        </is>
      </c>
      <c r="E384" t="inlineStr">
        <is>
          <t>KATRINEHOLM</t>
        </is>
      </c>
      <c r="G384" t="n">
        <v>2.4</v>
      </c>
      <c r="H384" t="n">
        <v>0</v>
      </c>
      <c r="I384" t="n">
        <v>0</v>
      </c>
      <c r="J384" t="n">
        <v>0</v>
      </c>
      <c r="K384" t="n">
        <v>0</v>
      </c>
      <c r="L384" t="n">
        <v>0</v>
      </c>
      <c r="M384" t="n">
        <v>0</v>
      </c>
      <c r="N384" t="n">
        <v>0</v>
      </c>
      <c r="O384" t="n">
        <v>0</v>
      </c>
      <c r="P384" t="n">
        <v>0</v>
      </c>
      <c r="Q384" t="n">
        <v>0</v>
      </c>
      <c r="R384" s="2" t="inlineStr"/>
    </row>
    <row r="385" ht="15" customHeight="1">
      <c r="A385" t="inlineStr">
        <is>
          <t>A 14478-2023</t>
        </is>
      </c>
      <c r="B385" s="1" t="n">
        <v>45012.66421296296</v>
      </c>
      <c r="C385" s="1" t="n">
        <v>45907</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39055-2022</t>
        </is>
      </c>
      <c r="B386" s="1" t="n">
        <v>44817</v>
      </c>
      <c r="C386" s="1" t="n">
        <v>45907</v>
      </c>
      <c r="D386" t="inlineStr">
        <is>
          <t>SÖDERMANLANDS LÄN</t>
        </is>
      </c>
      <c r="E386" t="inlineStr">
        <is>
          <t>KATRINEHOLM</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17820-2025</t>
        </is>
      </c>
      <c r="B387" s="1" t="n">
        <v>45758</v>
      </c>
      <c r="C387" s="1" t="n">
        <v>45907</v>
      </c>
      <c r="D387" t="inlineStr">
        <is>
          <t>SÖDERMANLANDS LÄN</t>
        </is>
      </c>
      <c r="E387" t="inlineStr">
        <is>
          <t>KATRINEHOLM</t>
        </is>
      </c>
      <c r="G387" t="n">
        <v>5.9</v>
      </c>
      <c r="H387" t="n">
        <v>0</v>
      </c>
      <c r="I387" t="n">
        <v>0</v>
      </c>
      <c r="J387" t="n">
        <v>0</v>
      </c>
      <c r="K387" t="n">
        <v>0</v>
      </c>
      <c r="L387" t="n">
        <v>0</v>
      </c>
      <c r="M387" t="n">
        <v>0</v>
      </c>
      <c r="N387" t="n">
        <v>0</v>
      </c>
      <c r="O387" t="n">
        <v>0</v>
      </c>
      <c r="P387" t="n">
        <v>0</v>
      </c>
      <c r="Q387" t="n">
        <v>0</v>
      </c>
      <c r="R387" s="2" t="inlineStr"/>
    </row>
    <row r="388" ht="15" customHeight="1">
      <c r="A388" t="inlineStr">
        <is>
          <t>A 57154-2023</t>
        </is>
      </c>
      <c r="B388" s="1" t="n">
        <v>45245</v>
      </c>
      <c r="C388" s="1" t="n">
        <v>45907</v>
      </c>
      <c r="D388" t="inlineStr">
        <is>
          <t>SÖDERMANLANDS LÄN</t>
        </is>
      </c>
      <c r="E388" t="inlineStr">
        <is>
          <t>KATRINEHOLM</t>
        </is>
      </c>
      <c r="F388" t="inlineStr">
        <is>
          <t>Allmännings- och besparingsskogar</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7056-2022</t>
        </is>
      </c>
      <c r="B389" s="1" t="n">
        <v>44603</v>
      </c>
      <c r="C389" s="1" t="n">
        <v>45907</v>
      </c>
      <c r="D389" t="inlineStr">
        <is>
          <t>SÖDERMANLANDS LÄN</t>
        </is>
      </c>
      <c r="E389" t="inlineStr">
        <is>
          <t>KATRINEHOLM</t>
        </is>
      </c>
      <c r="G389" t="n">
        <v>0.5</v>
      </c>
      <c r="H389" t="n">
        <v>0</v>
      </c>
      <c r="I389" t="n">
        <v>0</v>
      </c>
      <c r="J389" t="n">
        <v>0</v>
      </c>
      <c r="K389" t="n">
        <v>0</v>
      </c>
      <c r="L389" t="n">
        <v>0</v>
      </c>
      <c r="M389" t="n">
        <v>0</v>
      </c>
      <c r="N389" t="n">
        <v>0</v>
      </c>
      <c r="O389" t="n">
        <v>0</v>
      </c>
      <c r="P389" t="n">
        <v>0</v>
      </c>
      <c r="Q389" t="n">
        <v>0</v>
      </c>
      <c r="R389" s="2" t="inlineStr"/>
    </row>
    <row r="390" ht="15" customHeight="1">
      <c r="A390" t="inlineStr">
        <is>
          <t>A 50021-2023</t>
        </is>
      </c>
      <c r="B390" s="1" t="n">
        <v>45215</v>
      </c>
      <c r="C390" s="1" t="n">
        <v>45907</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12937-2023</t>
        </is>
      </c>
      <c r="B391" s="1" t="n">
        <v>45001</v>
      </c>
      <c r="C391" s="1" t="n">
        <v>45907</v>
      </c>
      <c r="D391" t="inlineStr">
        <is>
          <t>SÖDERMANLANDS LÄN</t>
        </is>
      </c>
      <c r="E391" t="inlineStr">
        <is>
          <t>KATRINEHOLM</t>
        </is>
      </c>
      <c r="G391" t="n">
        <v>0.9</v>
      </c>
      <c r="H391" t="n">
        <v>0</v>
      </c>
      <c r="I391" t="n">
        <v>0</v>
      </c>
      <c r="J391" t="n">
        <v>0</v>
      </c>
      <c r="K391" t="n">
        <v>0</v>
      </c>
      <c r="L391" t="n">
        <v>0</v>
      </c>
      <c r="M391" t="n">
        <v>0</v>
      </c>
      <c r="N391" t="n">
        <v>0</v>
      </c>
      <c r="O391" t="n">
        <v>0</v>
      </c>
      <c r="P391" t="n">
        <v>0</v>
      </c>
      <c r="Q391" t="n">
        <v>0</v>
      </c>
      <c r="R391" s="2" t="inlineStr"/>
    </row>
    <row r="392" ht="15" customHeight="1">
      <c r="A392" t="inlineStr">
        <is>
          <t>A 27552-2025</t>
        </is>
      </c>
      <c r="B392" s="1" t="n">
        <v>45813</v>
      </c>
      <c r="C392" s="1" t="n">
        <v>45907</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27534-2025</t>
        </is>
      </c>
      <c r="B393" s="1" t="n">
        <v>45813</v>
      </c>
      <c r="C393" s="1" t="n">
        <v>45907</v>
      </c>
      <c r="D393" t="inlineStr">
        <is>
          <t>SÖDERMANLANDS LÄN</t>
        </is>
      </c>
      <c r="E393" t="inlineStr">
        <is>
          <t>KATRINEHOLM</t>
        </is>
      </c>
      <c r="G393" t="n">
        <v>0.7</v>
      </c>
      <c r="H393" t="n">
        <v>0</v>
      </c>
      <c r="I393" t="n">
        <v>0</v>
      </c>
      <c r="J393" t="n">
        <v>0</v>
      </c>
      <c r="K393" t="n">
        <v>0</v>
      </c>
      <c r="L393" t="n">
        <v>0</v>
      </c>
      <c r="M393" t="n">
        <v>0</v>
      </c>
      <c r="N393" t="n">
        <v>0</v>
      </c>
      <c r="O393" t="n">
        <v>0</v>
      </c>
      <c r="P393" t="n">
        <v>0</v>
      </c>
      <c r="Q393" t="n">
        <v>0</v>
      </c>
      <c r="R393" s="2" t="inlineStr"/>
    </row>
    <row r="394" ht="15" customHeight="1">
      <c r="A394" t="inlineStr">
        <is>
          <t>A 42896-2024</t>
        </is>
      </c>
      <c r="B394" s="1" t="n">
        <v>45566.82973379629</v>
      </c>
      <c r="C394" s="1" t="n">
        <v>45907</v>
      </c>
      <c r="D394" t="inlineStr">
        <is>
          <t>SÖDERMANLANDS LÄN</t>
        </is>
      </c>
      <c r="E394" t="inlineStr">
        <is>
          <t>KATRINEHOLM</t>
        </is>
      </c>
      <c r="G394" t="n">
        <v>4.3</v>
      </c>
      <c r="H394" t="n">
        <v>0</v>
      </c>
      <c r="I394" t="n">
        <v>0</v>
      </c>
      <c r="J394" t="n">
        <v>0</v>
      </c>
      <c r="K394" t="n">
        <v>0</v>
      </c>
      <c r="L394" t="n">
        <v>0</v>
      </c>
      <c r="M394" t="n">
        <v>0</v>
      </c>
      <c r="N394" t="n">
        <v>0</v>
      </c>
      <c r="O394" t="n">
        <v>0</v>
      </c>
      <c r="P394" t="n">
        <v>0</v>
      </c>
      <c r="Q394" t="n">
        <v>0</v>
      </c>
      <c r="R394" s="2" t="inlineStr"/>
    </row>
    <row r="395" ht="15" customHeight="1">
      <c r="A395" t="inlineStr">
        <is>
          <t>A 29008-2024</t>
        </is>
      </c>
      <c r="B395" s="1" t="n">
        <v>45481</v>
      </c>
      <c r="C395" s="1" t="n">
        <v>45907</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62419-2023</t>
        </is>
      </c>
      <c r="B396" s="1" t="n">
        <v>45268</v>
      </c>
      <c r="C396" s="1" t="n">
        <v>45907</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row>
    <row r="397" ht="15" customHeight="1">
      <c r="A397" t="inlineStr">
        <is>
          <t>A 27636-2025</t>
        </is>
      </c>
      <c r="B397" s="1" t="n">
        <v>45813.57603009259</v>
      </c>
      <c r="C397" s="1" t="n">
        <v>45907</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53722-2023</t>
        </is>
      </c>
      <c r="B398" s="1" t="n">
        <v>45230</v>
      </c>
      <c r="C398" s="1" t="n">
        <v>45907</v>
      </c>
      <c r="D398" t="inlineStr">
        <is>
          <t>SÖDERMANLANDS LÄN</t>
        </is>
      </c>
      <c r="E398" t="inlineStr">
        <is>
          <t>KATRINEHOLM</t>
        </is>
      </c>
      <c r="F398" t="inlineStr">
        <is>
          <t>Allmännings- och besparingsskogar</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44024-2021</t>
        </is>
      </c>
      <c r="B399" s="1" t="n">
        <v>44434</v>
      </c>
      <c r="C399" s="1" t="n">
        <v>45907</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30242-2023</t>
        </is>
      </c>
      <c r="B400" s="1" t="n">
        <v>45099</v>
      </c>
      <c r="C400" s="1" t="n">
        <v>45907</v>
      </c>
      <c r="D400" t="inlineStr">
        <is>
          <t>SÖDERMANLANDS LÄN</t>
        </is>
      </c>
      <c r="E400" t="inlineStr">
        <is>
          <t>KATRINEHOLM</t>
        </is>
      </c>
      <c r="G400" t="n">
        <v>3</v>
      </c>
      <c r="H400" t="n">
        <v>0</v>
      </c>
      <c r="I400" t="n">
        <v>0</v>
      </c>
      <c r="J400" t="n">
        <v>0</v>
      </c>
      <c r="K400" t="n">
        <v>0</v>
      </c>
      <c r="L400" t="n">
        <v>0</v>
      </c>
      <c r="M400" t="n">
        <v>0</v>
      </c>
      <c r="N400" t="n">
        <v>0</v>
      </c>
      <c r="O400" t="n">
        <v>0</v>
      </c>
      <c r="P400" t="n">
        <v>0</v>
      </c>
      <c r="Q400" t="n">
        <v>0</v>
      </c>
      <c r="R400" s="2" t="inlineStr"/>
    </row>
    <row r="401" ht="15" customHeight="1">
      <c r="A401" t="inlineStr">
        <is>
          <t>A 38869-2024</t>
        </is>
      </c>
      <c r="B401" s="1" t="n">
        <v>45547</v>
      </c>
      <c r="C401" s="1" t="n">
        <v>45907</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20214-2025</t>
        </is>
      </c>
      <c r="B402" s="1" t="n">
        <v>45772.63540509259</v>
      </c>
      <c r="C402" s="1" t="n">
        <v>45907</v>
      </c>
      <c r="D402" t="inlineStr">
        <is>
          <t>SÖDERMANLANDS LÄN</t>
        </is>
      </c>
      <c r="E402" t="inlineStr">
        <is>
          <t>KATRINEHOLM</t>
        </is>
      </c>
      <c r="G402" t="n">
        <v>1.8</v>
      </c>
      <c r="H402" t="n">
        <v>0</v>
      </c>
      <c r="I402" t="n">
        <v>0</v>
      </c>
      <c r="J402" t="n">
        <v>0</v>
      </c>
      <c r="K402" t="n">
        <v>0</v>
      </c>
      <c r="L402" t="n">
        <v>0</v>
      </c>
      <c r="M402" t="n">
        <v>0</v>
      </c>
      <c r="N402" t="n">
        <v>0</v>
      </c>
      <c r="O402" t="n">
        <v>0</v>
      </c>
      <c r="P402" t="n">
        <v>0</v>
      </c>
      <c r="Q402" t="n">
        <v>0</v>
      </c>
      <c r="R402" s="2" t="inlineStr"/>
    </row>
    <row r="403" ht="15" customHeight="1">
      <c r="A403" t="inlineStr">
        <is>
          <t>A 62140-2022</t>
        </is>
      </c>
      <c r="B403" s="1" t="n">
        <v>44922</v>
      </c>
      <c r="C403" s="1" t="n">
        <v>45907</v>
      </c>
      <c r="D403" t="inlineStr">
        <is>
          <t>SÖDERMANLANDS LÄN</t>
        </is>
      </c>
      <c r="E403" t="inlineStr">
        <is>
          <t>KATRINEHOLM</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27375-2024</t>
        </is>
      </c>
      <c r="B404" s="1" t="n">
        <v>45473.87645833333</v>
      </c>
      <c r="C404" s="1" t="n">
        <v>45907</v>
      </c>
      <c r="D404" t="inlineStr">
        <is>
          <t>SÖDERMANLANDS LÄN</t>
        </is>
      </c>
      <c r="E404" t="inlineStr">
        <is>
          <t>KATRINEHOLM</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7867-2024</t>
        </is>
      </c>
      <c r="B405" s="1" t="n">
        <v>45350.32991898148</v>
      </c>
      <c r="C405" s="1" t="n">
        <v>45907</v>
      </c>
      <c r="D405" t="inlineStr">
        <is>
          <t>SÖDERMANLANDS LÄN</t>
        </is>
      </c>
      <c r="E405" t="inlineStr">
        <is>
          <t>KATRINEHOLM</t>
        </is>
      </c>
      <c r="F405" t="inlineStr">
        <is>
          <t>Kyrkan</t>
        </is>
      </c>
      <c r="G405" t="n">
        <v>3.3</v>
      </c>
      <c r="H405" t="n">
        <v>0</v>
      </c>
      <c r="I405" t="n">
        <v>0</v>
      </c>
      <c r="J405" t="n">
        <v>0</v>
      </c>
      <c r="K405" t="n">
        <v>0</v>
      </c>
      <c r="L405" t="n">
        <v>0</v>
      </c>
      <c r="M405" t="n">
        <v>0</v>
      </c>
      <c r="N405" t="n">
        <v>0</v>
      </c>
      <c r="O405" t="n">
        <v>0</v>
      </c>
      <c r="P405" t="n">
        <v>0</v>
      </c>
      <c r="Q405" t="n">
        <v>0</v>
      </c>
      <c r="R405" s="2" t="inlineStr"/>
    </row>
    <row r="406" ht="15" customHeight="1">
      <c r="A406" t="inlineStr">
        <is>
          <t>A 8957-2024</t>
        </is>
      </c>
      <c r="B406" s="1" t="n">
        <v>45357.45089120371</v>
      </c>
      <c r="C406" s="1" t="n">
        <v>45907</v>
      </c>
      <c r="D406" t="inlineStr">
        <is>
          <t>SÖDERMANLANDS LÄN</t>
        </is>
      </c>
      <c r="E406" t="inlineStr">
        <is>
          <t>KATRINEHOLM</t>
        </is>
      </c>
      <c r="G406" t="n">
        <v>3.6</v>
      </c>
      <c r="H406" t="n">
        <v>0</v>
      </c>
      <c r="I406" t="n">
        <v>0</v>
      </c>
      <c r="J406" t="n">
        <v>0</v>
      </c>
      <c r="K406" t="n">
        <v>0</v>
      </c>
      <c r="L406" t="n">
        <v>0</v>
      </c>
      <c r="M406" t="n">
        <v>0</v>
      </c>
      <c r="N406" t="n">
        <v>0</v>
      </c>
      <c r="O406" t="n">
        <v>0</v>
      </c>
      <c r="P406" t="n">
        <v>0</v>
      </c>
      <c r="Q406" t="n">
        <v>0</v>
      </c>
      <c r="R406" s="2" t="inlineStr"/>
    </row>
    <row r="407" ht="15" customHeight="1">
      <c r="A407" t="inlineStr">
        <is>
          <t>A 24600-2025</t>
        </is>
      </c>
      <c r="B407" s="1" t="n">
        <v>45798.56348379629</v>
      </c>
      <c r="C407" s="1" t="n">
        <v>45907</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57265-2022</t>
        </is>
      </c>
      <c r="B408" s="1" t="n">
        <v>44895</v>
      </c>
      <c r="C408" s="1" t="n">
        <v>45907</v>
      </c>
      <c r="D408" t="inlineStr">
        <is>
          <t>SÖDERMANLANDS LÄN</t>
        </is>
      </c>
      <c r="E408" t="inlineStr">
        <is>
          <t>KATRINEHOLM</t>
        </is>
      </c>
      <c r="G408" t="n">
        <v>2</v>
      </c>
      <c r="H408" t="n">
        <v>0</v>
      </c>
      <c r="I408" t="n">
        <v>0</v>
      </c>
      <c r="J408" t="n">
        <v>0</v>
      </c>
      <c r="K408" t="n">
        <v>0</v>
      </c>
      <c r="L408" t="n">
        <v>0</v>
      </c>
      <c r="M408" t="n">
        <v>0</v>
      </c>
      <c r="N408" t="n">
        <v>0</v>
      </c>
      <c r="O408" t="n">
        <v>0</v>
      </c>
      <c r="P408" t="n">
        <v>0</v>
      </c>
      <c r="Q408" t="n">
        <v>0</v>
      </c>
      <c r="R408" s="2" t="inlineStr"/>
    </row>
    <row r="409" ht="15" customHeight="1">
      <c r="A409" t="inlineStr">
        <is>
          <t>A 23341-2023</t>
        </is>
      </c>
      <c r="B409" s="1" t="n">
        <v>45076</v>
      </c>
      <c r="C409" s="1" t="n">
        <v>45907</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35608-2024</t>
        </is>
      </c>
      <c r="B410" s="1" t="n">
        <v>45531</v>
      </c>
      <c r="C410" s="1" t="n">
        <v>45907</v>
      </c>
      <c r="D410" t="inlineStr">
        <is>
          <t>SÖDERMANLANDS LÄN</t>
        </is>
      </c>
      <c r="E410" t="inlineStr">
        <is>
          <t>KATRINEHOLM</t>
        </is>
      </c>
      <c r="G410" t="n">
        <v>2</v>
      </c>
      <c r="H410" t="n">
        <v>0</v>
      </c>
      <c r="I410" t="n">
        <v>0</v>
      </c>
      <c r="J410" t="n">
        <v>0</v>
      </c>
      <c r="K410" t="n">
        <v>0</v>
      </c>
      <c r="L410" t="n">
        <v>0</v>
      </c>
      <c r="M410" t="n">
        <v>0</v>
      </c>
      <c r="N410" t="n">
        <v>0</v>
      </c>
      <c r="O410" t="n">
        <v>0</v>
      </c>
      <c r="P410" t="n">
        <v>0</v>
      </c>
      <c r="Q410" t="n">
        <v>0</v>
      </c>
      <c r="R410" s="2" t="inlineStr"/>
    </row>
    <row r="411" ht="15" customHeight="1">
      <c r="A411" t="inlineStr">
        <is>
          <t>A 6298-2024</t>
        </is>
      </c>
      <c r="B411" s="1" t="n">
        <v>45338.34245370371</v>
      </c>
      <c r="C411" s="1" t="n">
        <v>45907</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12633-2022</t>
        </is>
      </c>
      <c r="B412" s="1" t="n">
        <v>44638</v>
      </c>
      <c r="C412" s="1" t="n">
        <v>45907</v>
      </c>
      <c r="D412" t="inlineStr">
        <is>
          <t>SÖDERMANLANDS LÄN</t>
        </is>
      </c>
      <c r="E412" t="inlineStr">
        <is>
          <t>KATRINEHOLM</t>
        </is>
      </c>
      <c r="G412" t="n">
        <v>6.4</v>
      </c>
      <c r="H412" t="n">
        <v>0</v>
      </c>
      <c r="I412" t="n">
        <v>0</v>
      </c>
      <c r="J412" t="n">
        <v>0</v>
      </c>
      <c r="K412" t="n">
        <v>0</v>
      </c>
      <c r="L412" t="n">
        <v>0</v>
      </c>
      <c r="M412" t="n">
        <v>0</v>
      </c>
      <c r="N412" t="n">
        <v>0</v>
      </c>
      <c r="O412" t="n">
        <v>0</v>
      </c>
      <c r="P412" t="n">
        <v>0</v>
      </c>
      <c r="Q412" t="n">
        <v>0</v>
      </c>
      <c r="R412" s="2" t="inlineStr"/>
    </row>
    <row r="413" ht="15" customHeight="1">
      <c r="A413" t="inlineStr">
        <is>
          <t>A 48877-2022</t>
        </is>
      </c>
      <c r="B413" s="1" t="n">
        <v>44859</v>
      </c>
      <c r="C413" s="1" t="n">
        <v>45907</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51218-2020</t>
        </is>
      </c>
      <c r="B414" s="1" t="n">
        <v>44112</v>
      </c>
      <c r="C414" s="1" t="n">
        <v>45907</v>
      </c>
      <c r="D414" t="inlineStr">
        <is>
          <t>SÖDERMANLANDS LÄN</t>
        </is>
      </c>
      <c r="E414" t="inlineStr">
        <is>
          <t>KATRINEHOLM</t>
        </is>
      </c>
      <c r="F414" t="inlineStr">
        <is>
          <t>Kommuner</t>
        </is>
      </c>
      <c r="G414" t="n">
        <v>1.5</v>
      </c>
      <c r="H414" t="n">
        <v>0</v>
      </c>
      <c r="I414" t="n">
        <v>0</v>
      </c>
      <c r="J414" t="n">
        <v>0</v>
      </c>
      <c r="K414" t="n">
        <v>0</v>
      </c>
      <c r="L414" t="n">
        <v>0</v>
      </c>
      <c r="M414" t="n">
        <v>0</v>
      </c>
      <c r="N414" t="n">
        <v>0</v>
      </c>
      <c r="O414" t="n">
        <v>0</v>
      </c>
      <c r="P414" t="n">
        <v>0</v>
      </c>
      <c r="Q414" t="n">
        <v>0</v>
      </c>
      <c r="R414" s="2" t="inlineStr"/>
    </row>
    <row r="415" ht="15" customHeight="1">
      <c r="A415" t="inlineStr">
        <is>
          <t>A 60677-2021</t>
        </is>
      </c>
      <c r="B415" s="1" t="n">
        <v>44495</v>
      </c>
      <c r="C415" s="1" t="n">
        <v>45907</v>
      </c>
      <c r="D415" t="inlineStr">
        <is>
          <t>SÖDERMANLANDS LÄN</t>
        </is>
      </c>
      <c r="E415" t="inlineStr">
        <is>
          <t>KATRINEHOLM</t>
        </is>
      </c>
      <c r="G415" t="n">
        <v>1.8</v>
      </c>
      <c r="H415" t="n">
        <v>0</v>
      </c>
      <c r="I415" t="n">
        <v>0</v>
      </c>
      <c r="J415" t="n">
        <v>0</v>
      </c>
      <c r="K415" t="n">
        <v>0</v>
      </c>
      <c r="L415" t="n">
        <v>0</v>
      </c>
      <c r="M415" t="n">
        <v>0</v>
      </c>
      <c r="N415" t="n">
        <v>0</v>
      </c>
      <c r="O415" t="n">
        <v>0</v>
      </c>
      <c r="P415" t="n">
        <v>0</v>
      </c>
      <c r="Q415" t="n">
        <v>0</v>
      </c>
      <c r="R415" s="2" t="inlineStr"/>
    </row>
    <row r="416" ht="15" customHeight="1">
      <c r="A416" t="inlineStr">
        <is>
          <t>A 3986-2024</t>
        </is>
      </c>
      <c r="B416" s="1" t="n">
        <v>45322</v>
      </c>
      <c r="C416" s="1" t="n">
        <v>45907</v>
      </c>
      <c r="D416" t="inlineStr">
        <is>
          <t>SÖDERMANLANDS LÄN</t>
        </is>
      </c>
      <c r="E416" t="inlineStr">
        <is>
          <t>KATRINEHOLM</t>
        </is>
      </c>
      <c r="G416" t="n">
        <v>1.2</v>
      </c>
      <c r="H416" t="n">
        <v>0</v>
      </c>
      <c r="I416" t="n">
        <v>0</v>
      </c>
      <c r="J416" t="n">
        <v>0</v>
      </c>
      <c r="K416" t="n">
        <v>0</v>
      </c>
      <c r="L416" t="n">
        <v>0</v>
      </c>
      <c r="M416" t="n">
        <v>0</v>
      </c>
      <c r="N416" t="n">
        <v>0</v>
      </c>
      <c r="O416" t="n">
        <v>0</v>
      </c>
      <c r="P416" t="n">
        <v>0</v>
      </c>
      <c r="Q416" t="n">
        <v>0</v>
      </c>
      <c r="R416" s="2" t="inlineStr"/>
    </row>
    <row r="417" ht="15" customHeight="1">
      <c r="A417" t="inlineStr">
        <is>
          <t>A 29189-2025</t>
        </is>
      </c>
      <c r="B417" s="1" t="n">
        <v>45822</v>
      </c>
      <c r="C417" s="1" t="n">
        <v>45907</v>
      </c>
      <c r="D417" t="inlineStr">
        <is>
          <t>SÖDERMANLANDS LÄN</t>
        </is>
      </c>
      <c r="E417" t="inlineStr">
        <is>
          <t>KATRINEHOLM</t>
        </is>
      </c>
      <c r="G417" t="n">
        <v>3.5</v>
      </c>
      <c r="H417" t="n">
        <v>0</v>
      </c>
      <c r="I417" t="n">
        <v>0</v>
      </c>
      <c r="J417" t="n">
        <v>0</v>
      </c>
      <c r="K417" t="n">
        <v>0</v>
      </c>
      <c r="L417" t="n">
        <v>0</v>
      </c>
      <c r="M417" t="n">
        <v>0</v>
      </c>
      <c r="N417" t="n">
        <v>0</v>
      </c>
      <c r="O417" t="n">
        <v>0</v>
      </c>
      <c r="P417" t="n">
        <v>0</v>
      </c>
      <c r="Q417" t="n">
        <v>0</v>
      </c>
      <c r="R417" s="2" t="inlineStr"/>
    </row>
    <row r="418" ht="15" customHeight="1">
      <c r="A418" t="inlineStr">
        <is>
          <t>A 34539-2022</t>
        </is>
      </c>
      <c r="B418" s="1" t="n">
        <v>44793.50563657407</v>
      </c>
      <c r="C418" s="1" t="n">
        <v>45907</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30287-2025</t>
        </is>
      </c>
      <c r="B419" s="1" t="n">
        <v>45827</v>
      </c>
      <c r="C419" s="1" t="n">
        <v>45907</v>
      </c>
      <c r="D419" t="inlineStr">
        <is>
          <t>SÖDERMANLANDS LÄN</t>
        </is>
      </c>
      <c r="E419" t="inlineStr">
        <is>
          <t>KATRINEHOLM</t>
        </is>
      </c>
      <c r="G419" t="n">
        <v>10.2</v>
      </c>
      <c r="H419" t="n">
        <v>0</v>
      </c>
      <c r="I419" t="n">
        <v>0</v>
      </c>
      <c r="J419" t="n">
        <v>0</v>
      </c>
      <c r="K419" t="n">
        <v>0</v>
      </c>
      <c r="L419" t="n">
        <v>0</v>
      </c>
      <c r="M419" t="n">
        <v>0</v>
      </c>
      <c r="N419" t="n">
        <v>0</v>
      </c>
      <c r="O419" t="n">
        <v>0</v>
      </c>
      <c r="P419" t="n">
        <v>0</v>
      </c>
      <c r="Q419" t="n">
        <v>0</v>
      </c>
      <c r="R419" s="2" t="inlineStr"/>
    </row>
    <row r="420" ht="15" customHeight="1">
      <c r="A420" t="inlineStr">
        <is>
          <t>A 30352-2025</t>
        </is>
      </c>
      <c r="B420" s="1" t="n">
        <v>45827</v>
      </c>
      <c r="C420" s="1" t="n">
        <v>45907</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30050-2025</t>
        </is>
      </c>
      <c r="B421" s="1" t="n">
        <v>45826.59151620371</v>
      </c>
      <c r="C421" s="1" t="n">
        <v>45907</v>
      </c>
      <c r="D421" t="inlineStr">
        <is>
          <t>SÖDERMANLANDS LÄN</t>
        </is>
      </c>
      <c r="E421" t="inlineStr">
        <is>
          <t>KATRINEHOLM</t>
        </is>
      </c>
      <c r="G421" t="n">
        <v>7.9</v>
      </c>
      <c r="H421" t="n">
        <v>0</v>
      </c>
      <c r="I421" t="n">
        <v>0</v>
      </c>
      <c r="J421" t="n">
        <v>0</v>
      </c>
      <c r="K421" t="n">
        <v>0</v>
      </c>
      <c r="L421" t="n">
        <v>0</v>
      </c>
      <c r="M421" t="n">
        <v>0</v>
      </c>
      <c r="N421" t="n">
        <v>0</v>
      </c>
      <c r="O421" t="n">
        <v>0</v>
      </c>
      <c r="P421" t="n">
        <v>0</v>
      </c>
      <c r="Q421" t="n">
        <v>0</v>
      </c>
      <c r="R421" s="2" t="inlineStr"/>
    </row>
    <row r="422" ht="15" customHeight="1">
      <c r="A422" t="inlineStr">
        <is>
          <t>A 30350-2025</t>
        </is>
      </c>
      <c r="B422" s="1" t="n">
        <v>45827.53319444445</v>
      </c>
      <c r="C422" s="1" t="n">
        <v>45907</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30386-2025</t>
        </is>
      </c>
      <c r="B423" s="1" t="n">
        <v>45827</v>
      </c>
      <c r="C423" s="1" t="n">
        <v>45907</v>
      </c>
      <c r="D423" t="inlineStr">
        <is>
          <t>SÖDERMANLANDS LÄN</t>
        </is>
      </c>
      <c r="E423" t="inlineStr">
        <is>
          <t>KATRINEHOLM</t>
        </is>
      </c>
      <c r="G423" t="n">
        <v>5.6</v>
      </c>
      <c r="H423" t="n">
        <v>0</v>
      </c>
      <c r="I423" t="n">
        <v>0</v>
      </c>
      <c r="J423" t="n">
        <v>0</v>
      </c>
      <c r="K423" t="n">
        <v>0</v>
      </c>
      <c r="L423" t="n">
        <v>0</v>
      </c>
      <c r="M423" t="n">
        <v>0</v>
      </c>
      <c r="N423" t="n">
        <v>0</v>
      </c>
      <c r="O423" t="n">
        <v>0</v>
      </c>
      <c r="P423" t="n">
        <v>0</v>
      </c>
      <c r="Q423" t="n">
        <v>0</v>
      </c>
      <c r="R423" s="2" t="inlineStr"/>
    </row>
    <row r="424" ht="15" customHeight="1">
      <c r="A424" t="inlineStr">
        <is>
          <t>A 30070-2025</t>
        </is>
      </c>
      <c r="B424" s="1" t="n">
        <v>45826.63324074074</v>
      </c>
      <c r="C424" s="1" t="n">
        <v>45907</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30402-2025</t>
        </is>
      </c>
      <c r="B425" s="1" t="n">
        <v>45827</v>
      </c>
      <c r="C425" s="1" t="n">
        <v>45907</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3115-2024</t>
        </is>
      </c>
      <c r="B426" s="1" t="n">
        <v>45316.49630787037</v>
      </c>
      <c r="C426" s="1" t="n">
        <v>45907</v>
      </c>
      <c r="D426" t="inlineStr">
        <is>
          <t>SÖDERMANLANDS LÄN</t>
        </is>
      </c>
      <c r="E426" t="inlineStr">
        <is>
          <t>KATRINEHOLM</t>
        </is>
      </c>
      <c r="G426" t="n">
        <v>0.6</v>
      </c>
      <c r="H426" t="n">
        <v>0</v>
      </c>
      <c r="I426" t="n">
        <v>0</v>
      </c>
      <c r="J426" t="n">
        <v>0</v>
      </c>
      <c r="K426" t="n">
        <v>0</v>
      </c>
      <c r="L426" t="n">
        <v>0</v>
      </c>
      <c r="M426" t="n">
        <v>0</v>
      </c>
      <c r="N426" t="n">
        <v>0</v>
      </c>
      <c r="O426" t="n">
        <v>0</v>
      </c>
      <c r="P426" t="n">
        <v>0</v>
      </c>
      <c r="Q426" t="n">
        <v>0</v>
      </c>
      <c r="R426" s="2" t="inlineStr"/>
    </row>
    <row r="427" ht="15" customHeight="1">
      <c r="A427" t="inlineStr">
        <is>
          <t>A 3939-2022</t>
        </is>
      </c>
      <c r="B427" s="1" t="n">
        <v>44587</v>
      </c>
      <c r="C427" s="1" t="n">
        <v>45907</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36590-2025</t>
        </is>
      </c>
      <c r="B428" s="1" t="n">
        <v>45870</v>
      </c>
      <c r="C428" s="1" t="n">
        <v>45907</v>
      </c>
      <c r="D428" t="inlineStr">
        <is>
          <t>SÖDERMANLANDS LÄN</t>
        </is>
      </c>
      <c r="E428" t="inlineStr">
        <is>
          <t>KATRINEHOLM</t>
        </is>
      </c>
      <c r="G428" t="n">
        <v>2</v>
      </c>
      <c r="H428" t="n">
        <v>0</v>
      </c>
      <c r="I428" t="n">
        <v>0</v>
      </c>
      <c r="J428" t="n">
        <v>0</v>
      </c>
      <c r="K428" t="n">
        <v>0</v>
      </c>
      <c r="L428" t="n">
        <v>0</v>
      </c>
      <c r="M428" t="n">
        <v>0</v>
      </c>
      <c r="N428" t="n">
        <v>0</v>
      </c>
      <c r="O428" t="n">
        <v>0</v>
      </c>
      <c r="P428" t="n">
        <v>0</v>
      </c>
      <c r="Q428" t="n">
        <v>0</v>
      </c>
      <c r="R428" s="2" t="inlineStr"/>
    </row>
    <row r="429" ht="15" customHeight="1">
      <c r="A429" t="inlineStr">
        <is>
          <t>A 23705-2023</t>
        </is>
      </c>
      <c r="B429" s="1" t="n">
        <v>45077</v>
      </c>
      <c r="C429" s="1" t="n">
        <v>45907</v>
      </c>
      <c r="D429" t="inlineStr">
        <is>
          <t>SÖDERMANLANDS LÄN</t>
        </is>
      </c>
      <c r="E429" t="inlineStr">
        <is>
          <t>KATRINEHOLM</t>
        </is>
      </c>
      <c r="F429" t="inlineStr">
        <is>
          <t>Kyrkan</t>
        </is>
      </c>
      <c r="G429" t="n">
        <v>11.9</v>
      </c>
      <c r="H429" t="n">
        <v>0</v>
      </c>
      <c r="I429" t="n">
        <v>0</v>
      </c>
      <c r="J429" t="n">
        <v>0</v>
      </c>
      <c r="K429" t="n">
        <v>0</v>
      </c>
      <c r="L429" t="n">
        <v>0</v>
      </c>
      <c r="M429" t="n">
        <v>0</v>
      </c>
      <c r="N429" t="n">
        <v>0</v>
      </c>
      <c r="O429" t="n">
        <v>0</v>
      </c>
      <c r="P429" t="n">
        <v>0</v>
      </c>
      <c r="Q429" t="n">
        <v>0</v>
      </c>
      <c r="R429" s="2" t="inlineStr"/>
    </row>
    <row r="430" ht="15" customHeight="1">
      <c r="A430" t="inlineStr">
        <is>
          <t>A 7305-2024</t>
        </is>
      </c>
      <c r="B430" s="1" t="n">
        <v>45344</v>
      </c>
      <c r="C430" s="1" t="n">
        <v>45907</v>
      </c>
      <c r="D430" t="inlineStr">
        <is>
          <t>SÖDERMANLANDS LÄN</t>
        </is>
      </c>
      <c r="E430" t="inlineStr">
        <is>
          <t>KATRINEHOLM</t>
        </is>
      </c>
      <c r="G430" t="n">
        <v>0.7</v>
      </c>
      <c r="H430" t="n">
        <v>0</v>
      </c>
      <c r="I430" t="n">
        <v>0</v>
      </c>
      <c r="J430" t="n">
        <v>0</v>
      </c>
      <c r="K430" t="n">
        <v>0</v>
      </c>
      <c r="L430" t="n">
        <v>0</v>
      </c>
      <c r="M430" t="n">
        <v>0</v>
      </c>
      <c r="N430" t="n">
        <v>0</v>
      </c>
      <c r="O430" t="n">
        <v>0</v>
      </c>
      <c r="P430" t="n">
        <v>0</v>
      </c>
      <c r="Q430" t="n">
        <v>0</v>
      </c>
      <c r="R430" s="2" t="inlineStr"/>
    </row>
    <row r="431" ht="15" customHeight="1">
      <c r="A431" t="inlineStr">
        <is>
          <t>A 52769-2023</t>
        </is>
      </c>
      <c r="B431" s="1" t="n">
        <v>45226</v>
      </c>
      <c r="C431" s="1" t="n">
        <v>45907</v>
      </c>
      <c r="D431" t="inlineStr">
        <is>
          <t>SÖDERMANLANDS LÄN</t>
        </is>
      </c>
      <c r="E431" t="inlineStr">
        <is>
          <t>KATRINEHOLM</t>
        </is>
      </c>
      <c r="G431" t="n">
        <v>0.5</v>
      </c>
      <c r="H431" t="n">
        <v>0</v>
      </c>
      <c r="I431" t="n">
        <v>0</v>
      </c>
      <c r="J431" t="n">
        <v>0</v>
      </c>
      <c r="K431" t="n">
        <v>0</v>
      </c>
      <c r="L431" t="n">
        <v>0</v>
      </c>
      <c r="M431" t="n">
        <v>0</v>
      </c>
      <c r="N431" t="n">
        <v>0</v>
      </c>
      <c r="O431" t="n">
        <v>0</v>
      </c>
      <c r="P431" t="n">
        <v>0</v>
      </c>
      <c r="Q431" t="n">
        <v>0</v>
      </c>
      <c r="R431" s="2" t="inlineStr"/>
    </row>
    <row r="432" ht="15" customHeight="1">
      <c r="A432" t="inlineStr">
        <is>
          <t>A 31392-2025</t>
        </is>
      </c>
      <c r="B432" s="1" t="n">
        <v>45833</v>
      </c>
      <c r="C432" s="1" t="n">
        <v>45907</v>
      </c>
      <c r="D432" t="inlineStr">
        <is>
          <t>SÖDERMANLANDS LÄN</t>
        </is>
      </c>
      <c r="E432" t="inlineStr">
        <is>
          <t>KATRINEHOLM</t>
        </is>
      </c>
      <c r="G432" t="n">
        <v>5</v>
      </c>
      <c r="H432" t="n">
        <v>0</v>
      </c>
      <c r="I432" t="n">
        <v>0</v>
      </c>
      <c r="J432" t="n">
        <v>0</v>
      </c>
      <c r="K432" t="n">
        <v>0</v>
      </c>
      <c r="L432" t="n">
        <v>0</v>
      </c>
      <c r="M432" t="n">
        <v>0</v>
      </c>
      <c r="N432" t="n">
        <v>0</v>
      </c>
      <c r="O432" t="n">
        <v>0</v>
      </c>
      <c r="P432" t="n">
        <v>0</v>
      </c>
      <c r="Q432" t="n">
        <v>0</v>
      </c>
      <c r="R432" s="2" t="inlineStr"/>
    </row>
    <row r="433" ht="15" customHeight="1">
      <c r="A433" t="inlineStr">
        <is>
          <t>A 7223-2022</t>
        </is>
      </c>
      <c r="B433" s="1" t="n">
        <v>44603</v>
      </c>
      <c r="C433" s="1" t="n">
        <v>45907</v>
      </c>
      <c r="D433" t="inlineStr">
        <is>
          <t>SÖDERMANLANDS LÄN</t>
        </is>
      </c>
      <c r="E433" t="inlineStr">
        <is>
          <t>KATRINEHOLM</t>
        </is>
      </c>
      <c r="G433" t="n">
        <v>0.8</v>
      </c>
      <c r="H433" t="n">
        <v>0</v>
      </c>
      <c r="I433" t="n">
        <v>0</v>
      </c>
      <c r="J433" t="n">
        <v>0</v>
      </c>
      <c r="K433" t="n">
        <v>0</v>
      </c>
      <c r="L433" t="n">
        <v>0</v>
      </c>
      <c r="M433" t="n">
        <v>0</v>
      </c>
      <c r="N433" t="n">
        <v>0</v>
      </c>
      <c r="O433" t="n">
        <v>0</v>
      </c>
      <c r="P433" t="n">
        <v>0</v>
      </c>
      <c r="Q433" t="n">
        <v>0</v>
      </c>
      <c r="R433" s="2" t="inlineStr"/>
    </row>
    <row r="434" ht="15" customHeight="1">
      <c r="A434" t="inlineStr">
        <is>
          <t>A 31376-2025</t>
        </is>
      </c>
      <c r="B434" s="1" t="n">
        <v>45833</v>
      </c>
      <c r="C434" s="1" t="n">
        <v>45907</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2683-2025</t>
        </is>
      </c>
      <c r="B435" s="1" t="n">
        <v>45677</v>
      </c>
      <c r="C435" s="1" t="n">
        <v>45907</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37043-2025</t>
        </is>
      </c>
      <c r="B436" s="1" t="n">
        <v>45875.3396412037</v>
      </c>
      <c r="C436" s="1" t="n">
        <v>45907</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31386-2025</t>
        </is>
      </c>
      <c r="B437" s="1" t="n">
        <v>45833.45259259259</v>
      </c>
      <c r="C437" s="1" t="n">
        <v>45907</v>
      </c>
      <c r="D437" t="inlineStr">
        <is>
          <t>SÖDERMANLANDS LÄN</t>
        </is>
      </c>
      <c r="E437" t="inlineStr">
        <is>
          <t>KATRINEHOLM</t>
        </is>
      </c>
      <c r="F437" t="inlineStr">
        <is>
          <t>Övriga Aktiebolag</t>
        </is>
      </c>
      <c r="G437" t="n">
        <v>2.2</v>
      </c>
      <c r="H437" t="n">
        <v>0</v>
      </c>
      <c r="I437" t="n">
        <v>0</v>
      </c>
      <c r="J437" t="n">
        <v>0</v>
      </c>
      <c r="K437" t="n">
        <v>0</v>
      </c>
      <c r="L437" t="n">
        <v>0</v>
      </c>
      <c r="M437" t="n">
        <v>0</v>
      </c>
      <c r="N437" t="n">
        <v>0</v>
      </c>
      <c r="O437" t="n">
        <v>0</v>
      </c>
      <c r="P437" t="n">
        <v>0</v>
      </c>
      <c r="Q437" t="n">
        <v>0</v>
      </c>
      <c r="R437" s="2" t="inlineStr"/>
    </row>
    <row r="438" ht="15" customHeight="1">
      <c r="A438" t="inlineStr">
        <is>
          <t>A 51446-2023</t>
        </is>
      </c>
      <c r="B438" s="1" t="n">
        <v>45220.48068287037</v>
      </c>
      <c r="C438" s="1" t="n">
        <v>45907</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31990-2025</t>
        </is>
      </c>
      <c r="B439" s="1" t="n">
        <v>45835.36697916667</v>
      </c>
      <c r="C439" s="1" t="n">
        <v>45907</v>
      </c>
      <c r="D439" t="inlineStr">
        <is>
          <t>SÖDERMANLANDS LÄN</t>
        </is>
      </c>
      <c r="E439" t="inlineStr">
        <is>
          <t>KATRINEHOLM</t>
        </is>
      </c>
      <c r="G439" t="n">
        <v>0.5</v>
      </c>
      <c r="H439" t="n">
        <v>0</v>
      </c>
      <c r="I439" t="n">
        <v>0</v>
      </c>
      <c r="J439" t="n">
        <v>0</v>
      </c>
      <c r="K439" t="n">
        <v>0</v>
      </c>
      <c r="L439" t="n">
        <v>0</v>
      </c>
      <c r="M439" t="n">
        <v>0</v>
      </c>
      <c r="N439" t="n">
        <v>0</v>
      </c>
      <c r="O439" t="n">
        <v>0</v>
      </c>
      <c r="P439" t="n">
        <v>0</v>
      </c>
      <c r="Q439" t="n">
        <v>0</v>
      </c>
      <c r="R439" s="2" t="inlineStr"/>
    </row>
    <row r="440" ht="15" customHeight="1">
      <c r="A440" t="inlineStr">
        <is>
          <t>A 3317-2023</t>
        </is>
      </c>
      <c r="B440" s="1" t="n">
        <v>44945</v>
      </c>
      <c r="C440" s="1" t="n">
        <v>45907</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37827-2025</t>
        </is>
      </c>
      <c r="B441" s="1" t="n">
        <v>45881.40907407407</v>
      </c>
      <c r="C441" s="1" t="n">
        <v>45907</v>
      </c>
      <c r="D441" t="inlineStr">
        <is>
          <t>SÖDERMANLANDS LÄN</t>
        </is>
      </c>
      <c r="E441" t="inlineStr">
        <is>
          <t>KATRINEHOLM</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33469-2025</t>
        </is>
      </c>
      <c r="B442" s="1" t="n">
        <v>45841.48686342593</v>
      </c>
      <c r="C442" s="1" t="n">
        <v>45907</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33084-2025</t>
        </is>
      </c>
      <c r="B443" s="1" t="n">
        <v>45840.46559027778</v>
      </c>
      <c r="C443" s="1" t="n">
        <v>45907</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33129-2025</t>
        </is>
      </c>
      <c r="B444" s="1" t="n">
        <v>45840.50141203704</v>
      </c>
      <c r="C444" s="1" t="n">
        <v>45907</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33577-2025</t>
        </is>
      </c>
      <c r="B445" s="1" t="n">
        <v>45841.59056712963</v>
      </c>
      <c r="C445" s="1" t="n">
        <v>45907</v>
      </c>
      <c r="D445" t="inlineStr">
        <is>
          <t>SÖDERMANLANDS LÄN</t>
        </is>
      </c>
      <c r="E445" t="inlineStr">
        <is>
          <t>KATRINEHOLM</t>
        </is>
      </c>
      <c r="F445" t="inlineStr">
        <is>
          <t>Holmen skog AB</t>
        </is>
      </c>
      <c r="G445" t="n">
        <v>0.3</v>
      </c>
      <c r="H445" t="n">
        <v>0</v>
      </c>
      <c r="I445" t="n">
        <v>0</v>
      </c>
      <c r="J445" t="n">
        <v>0</v>
      </c>
      <c r="K445" t="n">
        <v>0</v>
      </c>
      <c r="L445" t="n">
        <v>0</v>
      </c>
      <c r="M445" t="n">
        <v>0</v>
      </c>
      <c r="N445" t="n">
        <v>0</v>
      </c>
      <c r="O445" t="n">
        <v>0</v>
      </c>
      <c r="P445" t="n">
        <v>0</v>
      </c>
      <c r="Q445" t="n">
        <v>0</v>
      </c>
      <c r="R445" s="2" t="inlineStr"/>
    </row>
    <row r="446" ht="15" customHeight="1">
      <c r="A446" t="inlineStr">
        <is>
          <t>A 33077-2025</t>
        </is>
      </c>
      <c r="B446" s="1" t="n">
        <v>45840.45864583334</v>
      </c>
      <c r="C446" s="1" t="n">
        <v>45907</v>
      </c>
      <c r="D446" t="inlineStr">
        <is>
          <t>SÖDERMANLANDS LÄN</t>
        </is>
      </c>
      <c r="E446" t="inlineStr">
        <is>
          <t>KATRINEHOLM</t>
        </is>
      </c>
      <c r="G446" t="n">
        <v>7</v>
      </c>
      <c r="H446" t="n">
        <v>0</v>
      </c>
      <c r="I446" t="n">
        <v>0</v>
      </c>
      <c r="J446" t="n">
        <v>0</v>
      </c>
      <c r="K446" t="n">
        <v>0</v>
      </c>
      <c r="L446" t="n">
        <v>0</v>
      </c>
      <c r="M446" t="n">
        <v>0</v>
      </c>
      <c r="N446" t="n">
        <v>0</v>
      </c>
      <c r="O446" t="n">
        <v>0</v>
      </c>
      <c r="P446" t="n">
        <v>0</v>
      </c>
      <c r="Q446" t="n">
        <v>0</v>
      </c>
      <c r="R446" s="2" t="inlineStr"/>
    </row>
    <row r="447" ht="15" customHeight="1">
      <c r="A447" t="inlineStr">
        <is>
          <t>A 46833-2020</t>
        </is>
      </c>
      <c r="B447" s="1" t="n">
        <v>44089</v>
      </c>
      <c r="C447" s="1" t="n">
        <v>45907</v>
      </c>
      <c r="D447" t="inlineStr">
        <is>
          <t>SÖDERMANLANDS LÄN</t>
        </is>
      </c>
      <c r="E447" t="inlineStr">
        <is>
          <t>KATRINEHOLM</t>
        </is>
      </c>
      <c r="G447" t="n">
        <v>1.5</v>
      </c>
      <c r="H447" t="n">
        <v>0</v>
      </c>
      <c r="I447" t="n">
        <v>0</v>
      </c>
      <c r="J447" t="n">
        <v>0</v>
      </c>
      <c r="K447" t="n">
        <v>0</v>
      </c>
      <c r="L447" t="n">
        <v>0</v>
      </c>
      <c r="M447" t="n">
        <v>0</v>
      </c>
      <c r="N447" t="n">
        <v>0</v>
      </c>
      <c r="O447" t="n">
        <v>0</v>
      </c>
      <c r="P447" t="n">
        <v>0</v>
      </c>
      <c r="Q447" t="n">
        <v>0</v>
      </c>
      <c r="R447" s="2" t="inlineStr"/>
    </row>
    <row r="448" ht="15" customHeight="1">
      <c r="A448" t="inlineStr">
        <is>
          <t>A 33090-2025</t>
        </is>
      </c>
      <c r="B448" s="1" t="n">
        <v>45840.46840277778</v>
      </c>
      <c r="C448" s="1" t="n">
        <v>45907</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33096-2025</t>
        </is>
      </c>
      <c r="B449" s="1" t="n">
        <v>45840.47563657408</v>
      </c>
      <c r="C449" s="1" t="n">
        <v>45907</v>
      </c>
      <c r="D449" t="inlineStr">
        <is>
          <t>SÖDERMANLANDS LÄN</t>
        </is>
      </c>
      <c r="E449" t="inlineStr">
        <is>
          <t>KATRINEHOLM</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33101-2025</t>
        </is>
      </c>
      <c r="B450" s="1" t="n">
        <v>45840.47953703703</v>
      </c>
      <c r="C450" s="1" t="n">
        <v>45907</v>
      </c>
      <c r="D450" t="inlineStr">
        <is>
          <t>SÖDERMANLANDS LÄN</t>
        </is>
      </c>
      <c r="E450" t="inlineStr">
        <is>
          <t>KATRINEHOLM</t>
        </is>
      </c>
      <c r="G450" t="n">
        <v>4.4</v>
      </c>
      <c r="H450" t="n">
        <v>0</v>
      </c>
      <c r="I450" t="n">
        <v>0</v>
      </c>
      <c r="J450" t="n">
        <v>0</v>
      </c>
      <c r="K450" t="n">
        <v>0</v>
      </c>
      <c r="L450" t="n">
        <v>0</v>
      </c>
      <c r="M450" t="n">
        <v>0</v>
      </c>
      <c r="N450" t="n">
        <v>0</v>
      </c>
      <c r="O450" t="n">
        <v>0</v>
      </c>
      <c r="P450" t="n">
        <v>0</v>
      </c>
      <c r="Q450" t="n">
        <v>0</v>
      </c>
      <c r="R450" s="2" t="inlineStr"/>
    </row>
    <row r="451" ht="15" customHeight="1">
      <c r="A451" t="inlineStr">
        <is>
          <t>A 28931-2024</t>
        </is>
      </c>
      <c r="B451" s="1" t="n">
        <v>45479</v>
      </c>
      <c r="C451" s="1" t="n">
        <v>45907</v>
      </c>
      <c r="D451" t="inlineStr">
        <is>
          <t>SÖDERMANLANDS LÄN</t>
        </is>
      </c>
      <c r="E451" t="inlineStr">
        <is>
          <t>KATRINEHOLM</t>
        </is>
      </c>
      <c r="G451" t="n">
        <v>7.4</v>
      </c>
      <c r="H451" t="n">
        <v>0</v>
      </c>
      <c r="I451" t="n">
        <v>0</v>
      </c>
      <c r="J451" t="n">
        <v>0</v>
      </c>
      <c r="K451" t="n">
        <v>0</v>
      </c>
      <c r="L451" t="n">
        <v>0</v>
      </c>
      <c r="M451" t="n">
        <v>0</v>
      </c>
      <c r="N451" t="n">
        <v>0</v>
      </c>
      <c r="O451" t="n">
        <v>0</v>
      </c>
      <c r="P451" t="n">
        <v>0</v>
      </c>
      <c r="Q451" t="n">
        <v>0</v>
      </c>
      <c r="R451" s="2" t="inlineStr"/>
    </row>
    <row r="452" ht="15" customHeight="1">
      <c r="A452" t="inlineStr">
        <is>
          <t>A 27646-2023</t>
        </is>
      </c>
      <c r="B452" s="1" t="n">
        <v>45097</v>
      </c>
      <c r="C452" s="1" t="n">
        <v>45907</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50626-2024</t>
        </is>
      </c>
      <c r="B453" s="1" t="n">
        <v>45601</v>
      </c>
      <c r="C453" s="1" t="n">
        <v>45907</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row>
    <row r="454" ht="15" customHeight="1">
      <c r="A454" t="inlineStr">
        <is>
          <t>A 35183-2022</t>
        </is>
      </c>
      <c r="B454" s="1" t="n">
        <v>44797</v>
      </c>
      <c r="C454" s="1" t="n">
        <v>45907</v>
      </c>
      <c r="D454" t="inlineStr">
        <is>
          <t>SÖDERMANLANDS LÄN</t>
        </is>
      </c>
      <c r="E454" t="inlineStr">
        <is>
          <t>KATRINEHOLM</t>
        </is>
      </c>
      <c r="G454" t="n">
        <v>4.6</v>
      </c>
      <c r="H454" t="n">
        <v>0</v>
      </c>
      <c r="I454" t="n">
        <v>0</v>
      </c>
      <c r="J454" t="n">
        <v>0</v>
      </c>
      <c r="K454" t="n">
        <v>0</v>
      </c>
      <c r="L454" t="n">
        <v>0</v>
      </c>
      <c r="M454" t="n">
        <v>0</v>
      </c>
      <c r="N454" t="n">
        <v>0</v>
      </c>
      <c r="O454" t="n">
        <v>0</v>
      </c>
      <c r="P454" t="n">
        <v>0</v>
      </c>
      <c r="Q454" t="n">
        <v>0</v>
      </c>
      <c r="R454" s="2" t="inlineStr"/>
    </row>
    <row r="455" ht="15" customHeight="1">
      <c r="A455" t="inlineStr">
        <is>
          <t>A 33812-2025</t>
        </is>
      </c>
      <c r="B455" s="1" t="n">
        <v>45842</v>
      </c>
      <c r="C455" s="1" t="n">
        <v>45907</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32944-2023</t>
        </is>
      </c>
      <c r="B456" s="1" t="n">
        <v>45125</v>
      </c>
      <c r="C456" s="1" t="n">
        <v>45907</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29198-2023</t>
        </is>
      </c>
      <c r="B457" s="1" t="n">
        <v>45105</v>
      </c>
      <c r="C457" s="1" t="n">
        <v>45907</v>
      </c>
      <c r="D457" t="inlineStr">
        <is>
          <t>SÖDERMANLANDS LÄN</t>
        </is>
      </c>
      <c r="E457" t="inlineStr">
        <is>
          <t>KATRINEHOLM</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56661-2021</t>
        </is>
      </c>
      <c r="B458" s="1" t="n">
        <v>44481.24327546296</v>
      </c>
      <c r="C458" s="1" t="n">
        <v>45907</v>
      </c>
      <c r="D458" t="inlineStr">
        <is>
          <t>SÖDERMANLANDS LÄN</t>
        </is>
      </c>
      <c r="E458" t="inlineStr">
        <is>
          <t>KATRINEHOLM</t>
        </is>
      </c>
      <c r="G458" t="n">
        <v>5.8</v>
      </c>
      <c r="H458" t="n">
        <v>0</v>
      </c>
      <c r="I458" t="n">
        <v>0</v>
      </c>
      <c r="J458" t="n">
        <v>0</v>
      </c>
      <c r="K458" t="n">
        <v>0</v>
      </c>
      <c r="L458" t="n">
        <v>0</v>
      </c>
      <c r="M458" t="n">
        <v>0</v>
      </c>
      <c r="N458" t="n">
        <v>0</v>
      </c>
      <c r="O458" t="n">
        <v>0</v>
      </c>
      <c r="P458" t="n">
        <v>0</v>
      </c>
      <c r="Q458" t="n">
        <v>0</v>
      </c>
      <c r="R458" s="2" t="inlineStr"/>
    </row>
    <row r="459" ht="15" customHeight="1">
      <c r="A459" t="inlineStr">
        <is>
          <t>A 6762-2025</t>
        </is>
      </c>
      <c r="B459" s="1" t="n">
        <v>45700</v>
      </c>
      <c r="C459" s="1" t="n">
        <v>45907</v>
      </c>
      <c r="D459" t="inlineStr">
        <is>
          <t>SÖDERMANLANDS LÄN</t>
        </is>
      </c>
      <c r="E459" t="inlineStr">
        <is>
          <t>KATRINEHOLM</t>
        </is>
      </c>
      <c r="G459" t="n">
        <v>1</v>
      </c>
      <c r="H459" t="n">
        <v>0</v>
      </c>
      <c r="I459" t="n">
        <v>0</v>
      </c>
      <c r="J459" t="n">
        <v>0</v>
      </c>
      <c r="K459" t="n">
        <v>0</v>
      </c>
      <c r="L459" t="n">
        <v>0</v>
      </c>
      <c r="M459" t="n">
        <v>0</v>
      </c>
      <c r="N459" t="n">
        <v>0</v>
      </c>
      <c r="O459" t="n">
        <v>0</v>
      </c>
      <c r="P459" t="n">
        <v>0</v>
      </c>
      <c r="Q459" t="n">
        <v>0</v>
      </c>
      <c r="R459" s="2" t="inlineStr"/>
    </row>
    <row r="460" ht="15" customHeight="1">
      <c r="A460" t="inlineStr">
        <is>
          <t>A 33815-2025</t>
        </is>
      </c>
      <c r="B460" s="1" t="n">
        <v>45842</v>
      </c>
      <c r="C460" s="1" t="n">
        <v>45907</v>
      </c>
      <c r="D460" t="inlineStr">
        <is>
          <t>SÖDERMANLANDS LÄN</t>
        </is>
      </c>
      <c r="E460" t="inlineStr">
        <is>
          <t>KATRINEHOLM</t>
        </is>
      </c>
      <c r="G460" t="n">
        <v>3.4</v>
      </c>
      <c r="H460" t="n">
        <v>0</v>
      </c>
      <c r="I460" t="n">
        <v>0</v>
      </c>
      <c r="J460" t="n">
        <v>0</v>
      </c>
      <c r="K460" t="n">
        <v>0</v>
      </c>
      <c r="L460" t="n">
        <v>0</v>
      </c>
      <c r="M460" t="n">
        <v>0</v>
      </c>
      <c r="N460" t="n">
        <v>0</v>
      </c>
      <c r="O460" t="n">
        <v>0</v>
      </c>
      <c r="P460" t="n">
        <v>0</v>
      </c>
      <c r="Q460" t="n">
        <v>0</v>
      </c>
      <c r="R460" s="2" t="inlineStr"/>
    </row>
    <row r="461" ht="15" customHeight="1">
      <c r="A461" t="inlineStr">
        <is>
          <t>A 45246-2023</t>
        </is>
      </c>
      <c r="B461" s="1" t="n">
        <v>45191</v>
      </c>
      <c r="C461" s="1" t="n">
        <v>45907</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20213-2025</t>
        </is>
      </c>
      <c r="B462" s="1" t="n">
        <v>45772.63453703704</v>
      </c>
      <c r="C462" s="1" t="n">
        <v>45907</v>
      </c>
      <c r="D462" t="inlineStr">
        <is>
          <t>SÖDERMANLANDS LÄN</t>
        </is>
      </c>
      <c r="E462" t="inlineStr">
        <is>
          <t>KATRINEHOLM</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12888-2025</t>
        </is>
      </c>
      <c r="B463" s="1" t="n">
        <v>45733</v>
      </c>
      <c r="C463" s="1" t="n">
        <v>45907</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55171-2023</t>
        </is>
      </c>
      <c r="B464" s="1" t="n">
        <v>45231</v>
      </c>
      <c r="C464" s="1" t="n">
        <v>45907</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38708-2025</t>
        </is>
      </c>
      <c r="B465" s="1" t="n">
        <v>45885</v>
      </c>
      <c r="C465" s="1" t="n">
        <v>45907</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27376-2024</t>
        </is>
      </c>
      <c r="B466" s="1" t="n">
        <v>45473.88313657408</v>
      </c>
      <c r="C466" s="1" t="n">
        <v>45907</v>
      </c>
      <c r="D466" t="inlineStr">
        <is>
          <t>SÖDERMANLANDS LÄN</t>
        </is>
      </c>
      <c r="E466" t="inlineStr">
        <is>
          <t>KATRINEHOLM</t>
        </is>
      </c>
      <c r="F466" t="inlineStr">
        <is>
          <t>Kommuner</t>
        </is>
      </c>
      <c r="G466" t="n">
        <v>2.8</v>
      </c>
      <c r="H466" t="n">
        <v>0</v>
      </c>
      <c r="I466" t="n">
        <v>0</v>
      </c>
      <c r="J466" t="n">
        <v>0</v>
      </c>
      <c r="K466" t="n">
        <v>0</v>
      </c>
      <c r="L466" t="n">
        <v>0</v>
      </c>
      <c r="M466" t="n">
        <v>0</v>
      </c>
      <c r="N466" t="n">
        <v>0</v>
      </c>
      <c r="O466" t="n">
        <v>0</v>
      </c>
      <c r="P466" t="n">
        <v>0</v>
      </c>
      <c r="Q466" t="n">
        <v>0</v>
      </c>
      <c r="R466" s="2" t="inlineStr"/>
    </row>
    <row r="467" ht="15" customHeight="1">
      <c r="A467" t="inlineStr">
        <is>
          <t>A 48097-2023</t>
        </is>
      </c>
      <c r="B467" s="1" t="n">
        <v>45205.31987268518</v>
      </c>
      <c r="C467" s="1" t="n">
        <v>45907</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7197-2023</t>
        </is>
      </c>
      <c r="B468" s="1" t="n">
        <v>44965</v>
      </c>
      <c r="C468" s="1" t="n">
        <v>45907</v>
      </c>
      <c r="D468" t="inlineStr">
        <is>
          <t>SÖDERMANLANDS LÄN</t>
        </is>
      </c>
      <c r="E468" t="inlineStr">
        <is>
          <t>KATRINEHOLM</t>
        </is>
      </c>
      <c r="G468" t="n">
        <v>5.3</v>
      </c>
      <c r="H468" t="n">
        <v>0</v>
      </c>
      <c r="I468" t="n">
        <v>0</v>
      </c>
      <c r="J468" t="n">
        <v>0</v>
      </c>
      <c r="K468" t="n">
        <v>0</v>
      </c>
      <c r="L468" t="n">
        <v>0</v>
      </c>
      <c r="M468" t="n">
        <v>0</v>
      </c>
      <c r="N468" t="n">
        <v>0</v>
      </c>
      <c r="O468" t="n">
        <v>0</v>
      </c>
      <c r="P468" t="n">
        <v>0</v>
      </c>
      <c r="Q468" t="n">
        <v>0</v>
      </c>
      <c r="R468" s="2" t="inlineStr"/>
    </row>
    <row r="469" ht="15" customHeight="1">
      <c r="A469" t="inlineStr">
        <is>
          <t>A 57693-2020</t>
        </is>
      </c>
      <c r="B469" s="1" t="n">
        <v>44140</v>
      </c>
      <c r="C469" s="1" t="n">
        <v>45907</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7753-2024</t>
        </is>
      </c>
      <c r="B470" s="1" t="n">
        <v>45348</v>
      </c>
      <c r="C470" s="1" t="n">
        <v>45907</v>
      </c>
      <c r="D470" t="inlineStr">
        <is>
          <t>SÖDERMANLANDS LÄN</t>
        </is>
      </c>
      <c r="E470" t="inlineStr">
        <is>
          <t>KATRINEHOLM</t>
        </is>
      </c>
      <c r="G470" t="n">
        <v>13.4</v>
      </c>
      <c r="H470" t="n">
        <v>0</v>
      </c>
      <c r="I470" t="n">
        <v>0</v>
      </c>
      <c r="J470" t="n">
        <v>0</v>
      </c>
      <c r="K470" t="n">
        <v>0</v>
      </c>
      <c r="L470" t="n">
        <v>0</v>
      </c>
      <c r="M470" t="n">
        <v>0</v>
      </c>
      <c r="N470" t="n">
        <v>0</v>
      </c>
      <c r="O470" t="n">
        <v>0</v>
      </c>
      <c r="P470" t="n">
        <v>0</v>
      </c>
      <c r="Q470" t="n">
        <v>0</v>
      </c>
      <c r="R470" s="2" t="inlineStr"/>
    </row>
    <row r="471" ht="15" customHeight="1">
      <c r="A471" t="inlineStr">
        <is>
          <t>A 28394-2023</t>
        </is>
      </c>
      <c r="B471" s="1" t="n">
        <v>45100</v>
      </c>
      <c r="C471" s="1" t="n">
        <v>45907</v>
      </c>
      <c r="D471" t="inlineStr">
        <is>
          <t>SÖDERMANLANDS LÄN</t>
        </is>
      </c>
      <c r="E471" t="inlineStr">
        <is>
          <t>KATRINEHOLM</t>
        </is>
      </c>
      <c r="G471" t="n">
        <v>4.2</v>
      </c>
      <c r="H471" t="n">
        <v>0</v>
      </c>
      <c r="I471" t="n">
        <v>0</v>
      </c>
      <c r="J471" t="n">
        <v>0</v>
      </c>
      <c r="K471" t="n">
        <v>0</v>
      </c>
      <c r="L471" t="n">
        <v>0</v>
      </c>
      <c r="M471" t="n">
        <v>0</v>
      </c>
      <c r="N471" t="n">
        <v>0</v>
      </c>
      <c r="O471" t="n">
        <v>0</v>
      </c>
      <c r="P471" t="n">
        <v>0</v>
      </c>
      <c r="Q471" t="n">
        <v>0</v>
      </c>
      <c r="R471" s="2" t="inlineStr"/>
    </row>
    <row r="472" ht="15" customHeight="1">
      <c r="A472" t="inlineStr">
        <is>
          <t>A 39645-2025</t>
        </is>
      </c>
      <c r="B472" s="1" t="n">
        <v>45890</v>
      </c>
      <c r="C472" s="1" t="n">
        <v>45907</v>
      </c>
      <c r="D472" t="inlineStr">
        <is>
          <t>SÖDERMANLANDS LÄN</t>
        </is>
      </c>
      <c r="E472" t="inlineStr">
        <is>
          <t>KATRINEHOLM</t>
        </is>
      </c>
      <c r="G472" t="n">
        <v>0.2</v>
      </c>
      <c r="H472" t="n">
        <v>0</v>
      </c>
      <c r="I472" t="n">
        <v>0</v>
      </c>
      <c r="J472" t="n">
        <v>0</v>
      </c>
      <c r="K472" t="n">
        <v>0</v>
      </c>
      <c r="L472" t="n">
        <v>0</v>
      </c>
      <c r="M472" t="n">
        <v>0</v>
      </c>
      <c r="N472" t="n">
        <v>0</v>
      </c>
      <c r="O472" t="n">
        <v>0</v>
      </c>
      <c r="P472" t="n">
        <v>0</v>
      </c>
      <c r="Q472" t="n">
        <v>0</v>
      </c>
      <c r="R472" s="2" t="inlineStr"/>
    </row>
    <row r="473" ht="15" customHeight="1">
      <c r="A473" t="inlineStr">
        <is>
          <t>A 39668-2025</t>
        </is>
      </c>
      <c r="B473" s="1" t="n">
        <v>45890</v>
      </c>
      <c r="C473" s="1" t="n">
        <v>45907</v>
      </c>
      <c r="D473" t="inlineStr">
        <is>
          <t>SÖDERMANLANDS LÄN</t>
        </is>
      </c>
      <c r="E473" t="inlineStr">
        <is>
          <t>KATRINEHOLM</t>
        </is>
      </c>
      <c r="G473" t="n">
        <v>2.9</v>
      </c>
      <c r="H473" t="n">
        <v>0</v>
      </c>
      <c r="I473" t="n">
        <v>0</v>
      </c>
      <c r="J473" t="n">
        <v>0</v>
      </c>
      <c r="K473" t="n">
        <v>0</v>
      </c>
      <c r="L473" t="n">
        <v>0</v>
      </c>
      <c r="M473" t="n">
        <v>0</v>
      </c>
      <c r="N473" t="n">
        <v>0</v>
      </c>
      <c r="O473" t="n">
        <v>0</v>
      </c>
      <c r="P473" t="n">
        <v>0</v>
      </c>
      <c r="Q473" t="n">
        <v>0</v>
      </c>
      <c r="R473" s="2" t="inlineStr"/>
    </row>
    <row r="474" ht="15" customHeight="1">
      <c r="A474" t="inlineStr">
        <is>
          <t>A 39663-2025</t>
        </is>
      </c>
      <c r="B474" s="1" t="n">
        <v>45890</v>
      </c>
      <c r="C474" s="1" t="n">
        <v>45907</v>
      </c>
      <c r="D474" t="inlineStr">
        <is>
          <t>SÖDERMANLANDS LÄN</t>
        </is>
      </c>
      <c r="E474" t="inlineStr">
        <is>
          <t>KATRINEHOLM</t>
        </is>
      </c>
      <c r="G474" t="n">
        <v>0.5</v>
      </c>
      <c r="H474" t="n">
        <v>0</v>
      </c>
      <c r="I474" t="n">
        <v>0</v>
      </c>
      <c r="J474" t="n">
        <v>0</v>
      </c>
      <c r="K474" t="n">
        <v>0</v>
      </c>
      <c r="L474" t="n">
        <v>0</v>
      </c>
      <c r="M474" t="n">
        <v>0</v>
      </c>
      <c r="N474" t="n">
        <v>0</v>
      </c>
      <c r="O474" t="n">
        <v>0</v>
      </c>
      <c r="P474" t="n">
        <v>0</v>
      </c>
      <c r="Q474" t="n">
        <v>0</v>
      </c>
      <c r="R474" s="2" t="inlineStr"/>
    </row>
    <row r="475" ht="15" customHeight="1">
      <c r="A475" t="inlineStr">
        <is>
          <t>A 39847-2025</t>
        </is>
      </c>
      <c r="B475" s="1" t="n">
        <v>45891.58381944444</v>
      </c>
      <c r="C475" s="1" t="n">
        <v>45907</v>
      </c>
      <c r="D475" t="inlineStr">
        <is>
          <t>SÖDERMANLANDS LÄN</t>
        </is>
      </c>
      <c r="E475" t="inlineStr">
        <is>
          <t>KATRINEHOLM</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35156-2025</t>
        </is>
      </c>
      <c r="B476" s="1" t="n">
        <v>45852</v>
      </c>
      <c r="C476" s="1" t="n">
        <v>45907</v>
      </c>
      <c r="D476" t="inlineStr">
        <is>
          <t>SÖDERMANLANDS LÄN</t>
        </is>
      </c>
      <c r="E476" t="inlineStr">
        <is>
          <t>KATRINEHOLM</t>
        </is>
      </c>
      <c r="G476" t="n">
        <v>5.7</v>
      </c>
      <c r="H476" t="n">
        <v>0</v>
      </c>
      <c r="I476" t="n">
        <v>0</v>
      </c>
      <c r="J476" t="n">
        <v>0</v>
      </c>
      <c r="K476" t="n">
        <v>0</v>
      </c>
      <c r="L476" t="n">
        <v>0</v>
      </c>
      <c r="M476" t="n">
        <v>0</v>
      </c>
      <c r="N476" t="n">
        <v>0</v>
      </c>
      <c r="O476" t="n">
        <v>0</v>
      </c>
      <c r="P476" t="n">
        <v>0</v>
      </c>
      <c r="Q476" t="n">
        <v>0</v>
      </c>
      <c r="R476" s="2" t="inlineStr"/>
    </row>
    <row r="477" ht="15" customHeight="1">
      <c r="A477" t="inlineStr">
        <is>
          <t>A 35145-2025</t>
        </is>
      </c>
      <c r="B477" s="1" t="n">
        <v>45852</v>
      </c>
      <c r="C477" s="1" t="n">
        <v>45907</v>
      </c>
      <c r="D477" t="inlineStr">
        <is>
          <t>SÖDERMANLANDS LÄN</t>
        </is>
      </c>
      <c r="E477" t="inlineStr">
        <is>
          <t>KATRINEHOLM</t>
        </is>
      </c>
      <c r="G477" t="n">
        <v>3.1</v>
      </c>
      <c r="H477" t="n">
        <v>0</v>
      </c>
      <c r="I477" t="n">
        <v>0</v>
      </c>
      <c r="J477" t="n">
        <v>0</v>
      </c>
      <c r="K477" t="n">
        <v>0</v>
      </c>
      <c r="L477" t="n">
        <v>0</v>
      </c>
      <c r="M477" t="n">
        <v>0</v>
      </c>
      <c r="N477" t="n">
        <v>0</v>
      </c>
      <c r="O477" t="n">
        <v>0</v>
      </c>
      <c r="P477" t="n">
        <v>0</v>
      </c>
      <c r="Q477" t="n">
        <v>0</v>
      </c>
      <c r="R477" s="2" t="inlineStr"/>
    </row>
    <row r="478" ht="15" customHeight="1">
      <c r="A478" t="inlineStr">
        <is>
          <t>A 35157-2025</t>
        </is>
      </c>
      <c r="B478" s="1" t="n">
        <v>45852</v>
      </c>
      <c r="C478" s="1" t="n">
        <v>45907</v>
      </c>
      <c r="D478" t="inlineStr">
        <is>
          <t>SÖDERMANLANDS LÄN</t>
        </is>
      </c>
      <c r="E478" t="inlineStr">
        <is>
          <t>KATRINEHOLM</t>
        </is>
      </c>
      <c r="G478" t="n">
        <v>3.7</v>
      </c>
      <c r="H478" t="n">
        <v>0</v>
      </c>
      <c r="I478" t="n">
        <v>0</v>
      </c>
      <c r="J478" t="n">
        <v>0</v>
      </c>
      <c r="K478" t="n">
        <v>0</v>
      </c>
      <c r="L478" t="n">
        <v>0</v>
      </c>
      <c r="M478" t="n">
        <v>0</v>
      </c>
      <c r="N478" t="n">
        <v>0</v>
      </c>
      <c r="O478" t="n">
        <v>0</v>
      </c>
      <c r="P478" t="n">
        <v>0</v>
      </c>
      <c r="Q478" t="n">
        <v>0</v>
      </c>
      <c r="R478" s="2" t="inlineStr"/>
    </row>
    <row r="479" ht="15" customHeight="1">
      <c r="A479" t="inlineStr">
        <is>
          <t>A 25362-2023</t>
        </is>
      </c>
      <c r="B479" s="1" t="n">
        <v>45088.83430555555</v>
      </c>
      <c r="C479" s="1" t="n">
        <v>45907</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35084-2025</t>
        </is>
      </c>
      <c r="B480" s="1" t="n">
        <v>45852</v>
      </c>
      <c r="C480" s="1" t="n">
        <v>45907</v>
      </c>
      <c r="D480" t="inlineStr">
        <is>
          <t>SÖDERMANLANDS LÄN</t>
        </is>
      </c>
      <c r="E480" t="inlineStr">
        <is>
          <t>KATRINEHOLM</t>
        </is>
      </c>
      <c r="G480" t="n">
        <v>3.2</v>
      </c>
      <c r="H480" t="n">
        <v>0</v>
      </c>
      <c r="I480" t="n">
        <v>0</v>
      </c>
      <c r="J480" t="n">
        <v>0</v>
      </c>
      <c r="K480" t="n">
        <v>0</v>
      </c>
      <c r="L480" t="n">
        <v>0</v>
      </c>
      <c r="M480" t="n">
        <v>0</v>
      </c>
      <c r="N480" t="n">
        <v>0</v>
      </c>
      <c r="O480" t="n">
        <v>0</v>
      </c>
      <c r="P480" t="n">
        <v>0</v>
      </c>
      <c r="Q480" t="n">
        <v>0</v>
      </c>
      <c r="R480" s="2" t="inlineStr"/>
    </row>
    <row r="481" ht="15" customHeight="1">
      <c r="A481" t="inlineStr">
        <is>
          <t>A 35149-2025</t>
        </is>
      </c>
      <c r="B481" s="1" t="n">
        <v>45852</v>
      </c>
      <c r="C481" s="1" t="n">
        <v>45907</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35161-2025</t>
        </is>
      </c>
      <c r="B482" s="1" t="n">
        <v>45852.70716435185</v>
      </c>
      <c r="C482" s="1" t="n">
        <v>45907</v>
      </c>
      <c r="D482" t="inlineStr">
        <is>
          <t>SÖDERMANLANDS LÄN</t>
        </is>
      </c>
      <c r="E482" t="inlineStr">
        <is>
          <t>KATRINEHOLM</t>
        </is>
      </c>
      <c r="F482" t="inlineStr">
        <is>
          <t>Övriga Aktiebolag</t>
        </is>
      </c>
      <c r="G482" t="n">
        <v>1.5</v>
      </c>
      <c r="H482" t="n">
        <v>0</v>
      </c>
      <c r="I482" t="n">
        <v>0</v>
      </c>
      <c r="J482" t="n">
        <v>0</v>
      </c>
      <c r="K482" t="n">
        <v>0</v>
      </c>
      <c r="L482" t="n">
        <v>0</v>
      </c>
      <c r="M482" t="n">
        <v>0</v>
      </c>
      <c r="N482" t="n">
        <v>0</v>
      </c>
      <c r="O482" t="n">
        <v>0</v>
      </c>
      <c r="P482" t="n">
        <v>0</v>
      </c>
      <c r="Q482" t="n">
        <v>0</v>
      </c>
      <c r="R482" s="2" t="inlineStr"/>
    </row>
    <row r="483" ht="15" customHeight="1">
      <c r="A483" t="inlineStr">
        <is>
          <t>A 35152-2025</t>
        </is>
      </c>
      <c r="B483" s="1" t="n">
        <v>45852</v>
      </c>
      <c r="C483" s="1" t="n">
        <v>45907</v>
      </c>
      <c r="D483" t="inlineStr">
        <is>
          <t>SÖDERMANLANDS LÄN</t>
        </is>
      </c>
      <c r="E483" t="inlineStr">
        <is>
          <t>KATRINEHOLM</t>
        </is>
      </c>
      <c r="G483" t="n">
        <v>4.6</v>
      </c>
      <c r="H483" t="n">
        <v>0</v>
      </c>
      <c r="I483" t="n">
        <v>0</v>
      </c>
      <c r="J483" t="n">
        <v>0</v>
      </c>
      <c r="K483" t="n">
        <v>0</v>
      </c>
      <c r="L483" t="n">
        <v>0</v>
      </c>
      <c r="M483" t="n">
        <v>0</v>
      </c>
      <c r="N483" t="n">
        <v>0</v>
      </c>
      <c r="O483" t="n">
        <v>0</v>
      </c>
      <c r="P483" t="n">
        <v>0</v>
      </c>
      <c r="Q483" t="n">
        <v>0</v>
      </c>
      <c r="R483" s="2" t="inlineStr"/>
    </row>
    <row r="484" ht="15" customHeight="1">
      <c r="A484" t="inlineStr">
        <is>
          <t>A 35165-2025</t>
        </is>
      </c>
      <c r="B484" s="1" t="n">
        <v>45852.72320601852</v>
      </c>
      <c r="C484" s="1" t="n">
        <v>45907</v>
      </c>
      <c r="D484" t="inlineStr">
        <is>
          <t>SÖDERMANLANDS LÄN</t>
        </is>
      </c>
      <c r="E484" t="inlineStr">
        <is>
          <t>KATRINEHOLM</t>
        </is>
      </c>
      <c r="F484" t="inlineStr">
        <is>
          <t>Övriga Aktiebolag</t>
        </is>
      </c>
      <c r="G484" t="n">
        <v>20.7</v>
      </c>
      <c r="H484" t="n">
        <v>0</v>
      </c>
      <c r="I484" t="n">
        <v>0</v>
      </c>
      <c r="J484" t="n">
        <v>0</v>
      </c>
      <c r="K484" t="n">
        <v>0</v>
      </c>
      <c r="L484" t="n">
        <v>0</v>
      </c>
      <c r="M484" t="n">
        <v>0</v>
      </c>
      <c r="N484" t="n">
        <v>0</v>
      </c>
      <c r="O484" t="n">
        <v>0</v>
      </c>
      <c r="P484" t="n">
        <v>0</v>
      </c>
      <c r="Q484" t="n">
        <v>0</v>
      </c>
      <c r="R484" s="2" t="inlineStr"/>
    </row>
    <row r="485" ht="15" customHeight="1">
      <c r="A485" t="inlineStr">
        <is>
          <t>A 35160-2025</t>
        </is>
      </c>
      <c r="B485" s="1" t="n">
        <v>45852.70430555556</v>
      </c>
      <c r="C485" s="1" t="n">
        <v>45907</v>
      </c>
      <c r="D485" t="inlineStr">
        <is>
          <t>SÖDERMANLANDS LÄN</t>
        </is>
      </c>
      <c r="E485" t="inlineStr">
        <is>
          <t>KATRINEHOLM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35158-2025</t>
        </is>
      </c>
      <c r="B486" s="1" t="n">
        <v>45852</v>
      </c>
      <c r="C486" s="1" t="n">
        <v>45907</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row>
    <row r="487" ht="15" customHeight="1">
      <c r="A487" t="inlineStr">
        <is>
          <t>A 39737-2025</t>
        </is>
      </c>
      <c r="B487" s="1" t="n">
        <v>45891</v>
      </c>
      <c r="C487" s="1" t="n">
        <v>45907</v>
      </c>
      <c r="D487" t="inlineStr">
        <is>
          <t>SÖDERMANLANDS LÄN</t>
        </is>
      </c>
      <c r="E487" t="inlineStr">
        <is>
          <t>KATRINEHOLM</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34439-2025</t>
        </is>
      </c>
      <c r="B488" s="1" t="n">
        <v>45845</v>
      </c>
      <c r="C488" s="1" t="n">
        <v>45907</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61915-2021</t>
        </is>
      </c>
      <c r="B489" s="1" t="n">
        <v>44502.36780092592</v>
      </c>
      <c r="C489" s="1" t="n">
        <v>45907</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35228-2025</t>
        </is>
      </c>
      <c r="B490" s="1" t="n">
        <v>45853</v>
      </c>
      <c r="C490" s="1" t="n">
        <v>45907</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55795-2023</t>
        </is>
      </c>
      <c r="B491" s="1" t="n">
        <v>45239.54861111111</v>
      </c>
      <c r="C491" s="1" t="n">
        <v>45907</v>
      </c>
      <c r="D491" t="inlineStr">
        <is>
          <t>SÖDERMANLANDS LÄN</t>
        </is>
      </c>
      <c r="E491" t="inlineStr">
        <is>
          <t>KATRINEHOLM</t>
        </is>
      </c>
      <c r="G491" t="n">
        <v>7</v>
      </c>
      <c r="H491" t="n">
        <v>0</v>
      </c>
      <c r="I491" t="n">
        <v>0</v>
      </c>
      <c r="J491" t="n">
        <v>0</v>
      </c>
      <c r="K491" t="n">
        <v>0</v>
      </c>
      <c r="L491" t="n">
        <v>0</v>
      </c>
      <c r="M491" t="n">
        <v>0</v>
      </c>
      <c r="N491" t="n">
        <v>0</v>
      </c>
      <c r="O491" t="n">
        <v>0</v>
      </c>
      <c r="P491" t="n">
        <v>0</v>
      </c>
      <c r="Q491" t="n">
        <v>0</v>
      </c>
      <c r="R491" s="2" t="inlineStr"/>
    </row>
    <row r="492" ht="15" customHeight="1">
      <c r="A492" t="inlineStr">
        <is>
          <t>A 20768-2022</t>
        </is>
      </c>
      <c r="B492" s="1" t="n">
        <v>44701.36431712963</v>
      </c>
      <c r="C492" s="1" t="n">
        <v>45907</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47456-2022</t>
        </is>
      </c>
      <c r="B493" s="1" t="n">
        <v>44852</v>
      </c>
      <c r="C493" s="1" t="n">
        <v>45907</v>
      </c>
      <c r="D493" t="inlineStr">
        <is>
          <t>SÖDERMANLANDS LÄN</t>
        </is>
      </c>
      <c r="E493" t="inlineStr">
        <is>
          <t>KATRINEHOLM</t>
        </is>
      </c>
      <c r="G493" t="n">
        <v>3.7</v>
      </c>
      <c r="H493" t="n">
        <v>0</v>
      </c>
      <c r="I493" t="n">
        <v>0</v>
      </c>
      <c r="J493" t="n">
        <v>0</v>
      </c>
      <c r="K493" t="n">
        <v>0</v>
      </c>
      <c r="L493" t="n">
        <v>0</v>
      </c>
      <c r="M493" t="n">
        <v>0</v>
      </c>
      <c r="N493" t="n">
        <v>0</v>
      </c>
      <c r="O493" t="n">
        <v>0</v>
      </c>
      <c r="P493" t="n">
        <v>0</v>
      </c>
      <c r="Q493" t="n">
        <v>0</v>
      </c>
      <c r="R493" s="2" t="inlineStr"/>
    </row>
    <row r="494" ht="15" customHeight="1">
      <c r="A494" t="inlineStr">
        <is>
          <t>A 55846-2022</t>
        </is>
      </c>
      <c r="B494" s="1" t="n">
        <v>44888</v>
      </c>
      <c r="C494" s="1" t="n">
        <v>45907</v>
      </c>
      <c r="D494" t="inlineStr">
        <is>
          <t>SÖDERMANLANDS LÄN</t>
        </is>
      </c>
      <c r="E494" t="inlineStr">
        <is>
          <t>KATRINEHOLM</t>
        </is>
      </c>
      <c r="G494" t="n">
        <v>6.5</v>
      </c>
      <c r="H494" t="n">
        <v>0</v>
      </c>
      <c r="I494" t="n">
        <v>0</v>
      </c>
      <c r="J494" t="n">
        <v>0</v>
      </c>
      <c r="K494" t="n">
        <v>0</v>
      </c>
      <c r="L494" t="n">
        <v>0</v>
      </c>
      <c r="M494" t="n">
        <v>0</v>
      </c>
      <c r="N494" t="n">
        <v>0</v>
      </c>
      <c r="O494" t="n">
        <v>0</v>
      </c>
      <c r="P494" t="n">
        <v>0</v>
      </c>
      <c r="Q494" t="n">
        <v>0</v>
      </c>
      <c r="R494" s="2" t="inlineStr"/>
    </row>
    <row r="495" ht="15" customHeight="1">
      <c r="A495" t="inlineStr">
        <is>
          <t>A 41074-2025</t>
        </is>
      </c>
      <c r="B495" s="1" t="n">
        <v>45898.42240740741</v>
      </c>
      <c r="C495" s="1" t="n">
        <v>45907</v>
      </c>
      <c r="D495" t="inlineStr">
        <is>
          <t>SÖDERMANLANDS LÄN</t>
        </is>
      </c>
      <c r="E495" t="inlineStr">
        <is>
          <t>KATRINEHOLM</t>
        </is>
      </c>
      <c r="F495" t="inlineStr">
        <is>
          <t>Allmännings- och besparingsskogar</t>
        </is>
      </c>
      <c r="G495" t="n">
        <v>4.8</v>
      </c>
      <c r="H495" t="n">
        <v>0</v>
      </c>
      <c r="I495" t="n">
        <v>0</v>
      </c>
      <c r="J495" t="n">
        <v>0</v>
      </c>
      <c r="K495" t="n">
        <v>0</v>
      </c>
      <c r="L495" t="n">
        <v>0</v>
      </c>
      <c r="M495" t="n">
        <v>0</v>
      </c>
      <c r="N495" t="n">
        <v>0</v>
      </c>
      <c r="O495" t="n">
        <v>0</v>
      </c>
      <c r="P495" t="n">
        <v>0</v>
      </c>
      <c r="Q495" t="n">
        <v>0</v>
      </c>
      <c r="R495" s="2" t="inlineStr"/>
    </row>
    <row r="496" ht="15" customHeight="1">
      <c r="A496" t="inlineStr">
        <is>
          <t>A 4656-2023</t>
        </is>
      </c>
      <c r="B496" s="1" t="n">
        <v>44957</v>
      </c>
      <c r="C496" s="1" t="n">
        <v>45907</v>
      </c>
      <c r="D496" t="inlineStr">
        <is>
          <t>SÖDERMANLANDS LÄN</t>
        </is>
      </c>
      <c r="E496" t="inlineStr">
        <is>
          <t>KATRINEHOLM</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49078-2024</t>
        </is>
      </c>
      <c r="B497" s="1" t="n">
        <v>45594.62556712963</v>
      </c>
      <c r="C497" s="1" t="n">
        <v>45907</v>
      </c>
      <c r="D497" t="inlineStr">
        <is>
          <t>SÖDERMANLANDS LÄN</t>
        </is>
      </c>
      <c r="E497" t="inlineStr">
        <is>
          <t>KATRINEHOLM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41498-2025</t>
        </is>
      </c>
      <c r="B498" s="1" t="n">
        <v>45901.49755787037</v>
      </c>
      <c r="C498" s="1" t="n">
        <v>45907</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41548-2025</t>
        </is>
      </c>
      <c r="B499" s="1" t="n">
        <v>45901</v>
      </c>
      <c r="C499" s="1" t="n">
        <v>45907</v>
      </c>
      <c r="D499" t="inlineStr">
        <is>
          <t>SÖDERMANLANDS LÄN</t>
        </is>
      </c>
      <c r="E499" t="inlineStr">
        <is>
          <t>KATRINEHOLM</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41648-2025</t>
        </is>
      </c>
      <c r="B500" s="1" t="n">
        <v>45902.32601851852</v>
      </c>
      <c r="C500" s="1" t="n">
        <v>45907</v>
      </c>
      <c r="D500" t="inlineStr">
        <is>
          <t>SÖDERMANLANDS LÄN</t>
        </is>
      </c>
      <c r="E500" t="inlineStr">
        <is>
          <t>KATRINEHOLM</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44783-2020</t>
        </is>
      </c>
      <c r="B501" s="1" t="n">
        <v>44085</v>
      </c>
      <c r="C501" s="1" t="n">
        <v>45907</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34176-2025</t>
        </is>
      </c>
      <c r="B502" s="1" t="n">
        <v>45845</v>
      </c>
      <c r="C502" s="1" t="n">
        <v>45907</v>
      </c>
      <c r="D502" t="inlineStr">
        <is>
          <t>SÖDERMANLANDS LÄN</t>
        </is>
      </c>
      <c r="E502" t="inlineStr">
        <is>
          <t>KATRINEHOLM</t>
        </is>
      </c>
      <c r="G502" t="n">
        <v>0.5</v>
      </c>
      <c r="H502" t="n">
        <v>0</v>
      </c>
      <c r="I502" t="n">
        <v>0</v>
      </c>
      <c r="J502" t="n">
        <v>0</v>
      </c>
      <c r="K502" t="n">
        <v>0</v>
      </c>
      <c r="L502" t="n">
        <v>0</v>
      </c>
      <c r="M502" t="n">
        <v>0</v>
      </c>
      <c r="N502" t="n">
        <v>0</v>
      </c>
      <c r="O502" t="n">
        <v>0</v>
      </c>
      <c r="P502" t="n">
        <v>0</v>
      </c>
      <c r="Q502" t="n">
        <v>0</v>
      </c>
      <c r="R502" s="2" t="inlineStr"/>
    </row>
    <row r="503" ht="15" customHeight="1">
      <c r="A503" t="inlineStr">
        <is>
          <t>A 35188-2022</t>
        </is>
      </c>
      <c r="B503" s="1" t="n">
        <v>44797</v>
      </c>
      <c r="C503" s="1" t="n">
        <v>45907</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19452-2023</t>
        </is>
      </c>
      <c r="B504" s="1" t="n">
        <v>45050</v>
      </c>
      <c r="C504" s="1" t="n">
        <v>45907</v>
      </c>
      <c r="D504" t="inlineStr">
        <is>
          <t>SÖDERMANLANDS LÄN</t>
        </is>
      </c>
      <c r="E504" t="inlineStr">
        <is>
          <t>KATRINEHOLM</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41632-2025</t>
        </is>
      </c>
      <c r="B505" s="1" t="n">
        <v>45901</v>
      </c>
      <c r="C505" s="1" t="n">
        <v>45907</v>
      </c>
      <c r="D505" t="inlineStr">
        <is>
          <t>SÖDERMANLANDS LÄN</t>
        </is>
      </c>
      <c r="E505" t="inlineStr">
        <is>
          <t>KATRINEHOLM</t>
        </is>
      </c>
      <c r="G505" t="n">
        <v>0.8</v>
      </c>
      <c r="H505" t="n">
        <v>0</v>
      </c>
      <c r="I505" t="n">
        <v>0</v>
      </c>
      <c r="J505" t="n">
        <v>0</v>
      </c>
      <c r="K505" t="n">
        <v>0</v>
      </c>
      <c r="L505" t="n">
        <v>0</v>
      </c>
      <c r="M505" t="n">
        <v>0</v>
      </c>
      <c r="N505" t="n">
        <v>0</v>
      </c>
      <c r="O505" t="n">
        <v>0</v>
      </c>
      <c r="P505" t="n">
        <v>0</v>
      </c>
      <c r="Q505" t="n">
        <v>0</v>
      </c>
      <c r="R505" s="2" t="inlineStr"/>
    </row>
    <row r="506" ht="15" customHeight="1">
      <c r="A506" t="inlineStr">
        <is>
          <t>A 5327-2025</t>
        </is>
      </c>
      <c r="B506" s="1" t="n">
        <v>45692</v>
      </c>
      <c r="C506" s="1" t="n">
        <v>45907</v>
      </c>
      <c r="D506" t="inlineStr">
        <is>
          <t>SÖDERMANLANDS LÄN</t>
        </is>
      </c>
      <c r="E506" t="inlineStr">
        <is>
          <t>KATRINEHOLM</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31719-2024</t>
        </is>
      </c>
      <c r="B507" s="1" t="n">
        <v>45509</v>
      </c>
      <c r="C507" s="1" t="n">
        <v>45907</v>
      </c>
      <c r="D507" t="inlineStr">
        <is>
          <t>SÖDERMANLANDS LÄN</t>
        </is>
      </c>
      <c r="E507" t="inlineStr">
        <is>
          <t>KATRINEHOLM</t>
        </is>
      </c>
      <c r="F507" t="inlineStr">
        <is>
          <t>Kyrkan</t>
        </is>
      </c>
      <c r="G507" t="n">
        <v>11.9</v>
      </c>
      <c r="H507" t="n">
        <v>0</v>
      </c>
      <c r="I507" t="n">
        <v>0</v>
      </c>
      <c r="J507" t="n">
        <v>0</v>
      </c>
      <c r="K507" t="n">
        <v>0</v>
      </c>
      <c r="L507" t="n">
        <v>0</v>
      </c>
      <c r="M507" t="n">
        <v>0</v>
      </c>
      <c r="N507" t="n">
        <v>0</v>
      </c>
      <c r="O507" t="n">
        <v>0</v>
      </c>
      <c r="P507" t="n">
        <v>0</v>
      </c>
      <c r="Q507" t="n">
        <v>0</v>
      </c>
      <c r="R507" s="2" t="inlineStr"/>
    </row>
    <row r="508" ht="15" customHeight="1">
      <c r="A508" t="inlineStr">
        <is>
          <t>A 43837-2022</t>
        </is>
      </c>
      <c r="B508" s="1" t="n">
        <v>44838</v>
      </c>
      <c r="C508" s="1" t="n">
        <v>45907</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51397-2023</t>
        </is>
      </c>
      <c r="B509" s="1" t="n">
        <v>45214</v>
      </c>
      <c r="C509" s="1" t="n">
        <v>45907</v>
      </c>
      <c r="D509" t="inlineStr">
        <is>
          <t>SÖDERMANLANDS LÄN</t>
        </is>
      </c>
      <c r="E509" t="inlineStr">
        <is>
          <t>KATRINEHOLM</t>
        </is>
      </c>
      <c r="G509" t="n">
        <v>4.9</v>
      </c>
      <c r="H509" t="n">
        <v>0</v>
      </c>
      <c r="I509" t="n">
        <v>0</v>
      </c>
      <c r="J509" t="n">
        <v>0</v>
      </c>
      <c r="K509" t="n">
        <v>0</v>
      </c>
      <c r="L509" t="n">
        <v>0</v>
      </c>
      <c r="M509" t="n">
        <v>0</v>
      </c>
      <c r="N509" t="n">
        <v>0</v>
      </c>
      <c r="O509" t="n">
        <v>0</v>
      </c>
      <c r="P509" t="n">
        <v>0</v>
      </c>
      <c r="Q509" t="n">
        <v>0</v>
      </c>
      <c r="R509" s="2" t="inlineStr"/>
    </row>
    <row r="510" ht="15" customHeight="1">
      <c r="A510" t="inlineStr">
        <is>
          <t>A 41633-2025</t>
        </is>
      </c>
      <c r="B510" s="1" t="n">
        <v>45901</v>
      </c>
      <c r="C510" s="1" t="n">
        <v>45907</v>
      </c>
      <c r="D510" t="inlineStr">
        <is>
          <t>SÖDERMANLANDS LÄN</t>
        </is>
      </c>
      <c r="E510" t="inlineStr">
        <is>
          <t>KATRINEHOLM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42474-2025</t>
        </is>
      </c>
      <c r="B511" s="1" t="n">
        <v>45905.46659722222</v>
      </c>
      <c r="C511" s="1" t="n">
        <v>45907</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19670-2022</t>
        </is>
      </c>
      <c r="B512" s="1" t="n">
        <v>44694</v>
      </c>
      <c r="C512" s="1" t="n">
        <v>45907</v>
      </c>
      <c r="D512" t="inlineStr">
        <is>
          <t>SÖDERMANLANDS LÄN</t>
        </is>
      </c>
      <c r="E512" t="inlineStr">
        <is>
          <t>KATRINEHOLM</t>
        </is>
      </c>
      <c r="G512" t="n">
        <v>13.6</v>
      </c>
      <c r="H512" t="n">
        <v>0</v>
      </c>
      <c r="I512" t="n">
        <v>0</v>
      </c>
      <c r="J512" t="n">
        <v>0</v>
      </c>
      <c r="K512" t="n">
        <v>0</v>
      </c>
      <c r="L512" t="n">
        <v>0</v>
      </c>
      <c r="M512" t="n">
        <v>0</v>
      </c>
      <c r="N512" t="n">
        <v>0</v>
      </c>
      <c r="O512" t="n">
        <v>0</v>
      </c>
      <c r="P512" t="n">
        <v>0</v>
      </c>
      <c r="Q512" t="n">
        <v>0</v>
      </c>
      <c r="R512" s="2" t="inlineStr"/>
    </row>
    <row r="513" ht="15" customHeight="1">
      <c r="A513" t="inlineStr">
        <is>
          <t>A 43649-2020</t>
        </is>
      </c>
      <c r="B513" s="1" t="n">
        <v>44082</v>
      </c>
      <c r="C513" s="1" t="n">
        <v>45907</v>
      </c>
      <c r="D513" t="inlineStr">
        <is>
          <t>SÖDERMANLANDS LÄN</t>
        </is>
      </c>
      <c r="E513" t="inlineStr">
        <is>
          <t>KATRINEHOLM</t>
        </is>
      </c>
      <c r="G513" t="n">
        <v>6.9</v>
      </c>
      <c r="H513" t="n">
        <v>0</v>
      </c>
      <c r="I513" t="n">
        <v>0</v>
      </c>
      <c r="J513" t="n">
        <v>0</v>
      </c>
      <c r="K513" t="n">
        <v>0</v>
      </c>
      <c r="L513" t="n">
        <v>0</v>
      </c>
      <c r="M513" t="n">
        <v>0</v>
      </c>
      <c r="N513" t="n">
        <v>0</v>
      </c>
      <c r="O513" t="n">
        <v>0</v>
      </c>
      <c r="P513" t="n">
        <v>0</v>
      </c>
      <c r="Q513" t="n">
        <v>0</v>
      </c>
      <c r="R513" s="2" t="inlineStr"/>
    </row>
    <row r="514" ht="15" customHeight="1">
      <c r="A514" t="inlineStr">
        <is>
          <t>A 6175-2023</t>
        </is>
      </c>
      <c r="B514" s="1" t="n">
        <v>44964</v>
      </c>
      <c r="C514" s="1" t="n">
        <v>45907</v>
      </c>
      <c r="D514" t="inlineStr">
        <is>
          <t>SÖDERMANLANDS LÄN</t>
        </is>
      </c>
      <c r="E514" t="inlineStr">
        <is>
          <t>KATRINEHOLM</t>
        </is>
      </c>
      <c r="G514" t="n">
        <v>11.2</v>
      </c>
      <c r="H514" t="n">
        <v>0</v>
      </c>
      <c r="I514" t="n">
        <v>0</v>
      </c>
      <c r="J514" t="n">
        <v>0</v>
      </c>
      <c r="K514" t="n">
        <v>0</v>
      </c>
      <c r="L514" t="n">
        <v>0</v>
      </c>
      <c r="M514" t="n">
        <v>0</v>
      </c>
      <c r="N514" t="n">
        <v>0</v>
      </c>
      <c r="O514" t="n">
        <v>0</v>
      </c>
      <c r="P514" t="n">
        <v>0</v>
      </c>
      <c r="Q514" t="n">
        <v>0</v>
      </c>
      <c r="R514" s="2" t="inlineStr"/>
    </row>
    <row r="515" ht="15" customHeight="1">
      <c r="A515" t="inlineStr">
        <is>
          <t>A 6606-2022</t>
        </is>
      </c>
      <c r="B515" s="1" t="n">
        <v>44601</v>
      </c>
      <c r="C515" s="1" t="n">
        <v>45907</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4655-2024</t>
        </is>
      </c>
      <c r="B516" s="1" t="n">
        <v>45328</v>
      </c>
      <c r="C516" s="1" t="n">
        <v>45907</v>
      </c>
      <c r="D516" t="inlineStr">
        <is>
          <t>SÖDERMANLANDS LÄN</t>
        </is>
      </c>
      <c r="E516" t="inlineStr">
        <is>
          <t>KATRINEHOLM</t>
        </is>
      </c>
      <c r="G516" t="n">
        <v>17.7</v>
      </c>
      <c r="H516" t="n">
        <v>0</v>
      </c>
      <c r="I516" t="n">
        <v>0</v>
      </c>
      <c r="J516" t="n">
        <v>0</v>
      </c>
      <c r="K516" t="n">
        <v>0</v>
      </c>
      <c r="L516" t="n">
        <v>0</v>
      </c>
      <c r="M516" t="n">
        <v>0</v>
      </c>
      <c r="N516" t="n">
        <v>0</v>
      </c>
      <c r="O516" t="n">
        <v>0</v>
      </c>
      <c r="P516" t="n">
        <v>0</v>
      </c>
      <c r="Q516" t="n">
        <v>0</v>
      </c>
      <c r="R516" s="2" t="inlineStr"/>
    </row>
    <row r="517" ht="15" customHeight="1">
      <c r="A517" t="inlineStr">
        <is>
          <t>A 4122-2023</t>
        </is>
      </c>
      <c r="B517" s="1" t="n">
        <v>44952</v>
      </c>
      <c r="C517" s="1" t="n">
        <v>45907</v>
      </c>
      <c r="D517" t="inlineStr">
        <is>
          <t>SÖDERMANLANDS LÄN</t>
        </is>
      </c>
      <c r="E517" t="inlineStr">
        <is>
          <t>KATRINEHOLM</t>
        </is>
      </c>
      <c r="G517" t="n">
        <v>9</v>
      </c>
      <c r="H517" t="n">
        <v>0</v>
      </c>
      <c r="I517" t="n">
        <v>0</v>
      </c>
      <c r="J517" t="n">
        <v>0</v>
      </c>
      <c r="K517" t="n">
        <v>0</v>
      </c>
      <c r="L517" t="n">
        <v>0</v>
      </c>
      <c r="M517" t="n">
        <v>0</v>
      </c>
      <c r="N517" t="n">
        <v>0</v>
      </c>
      <c r="O517" t="n">
        <v>0</v>
      </c>
      <c r="P517" t="n">
        <v>0</v>
      </c>
      <c r="Q517" t="n">
        <v>0</v>
      </c>
      <c r="R517" s="2" t="inlineStr"/>
    </row>
    <row r="518" ht="15" customHeight="1">
      <c r="A518" t="inlineStr">
        <is>
          <t>A 46830-2020</t>
        </is>
      </c>
      <c r="B518" s="1" t="n">
        <v>44089</v>
      </c>
      <c r="C518" s="1" t="n">
        <v>45907</v>
      </c>
      <c r="D518" t="inlineStr">
        <is>
          <t>SÖDERMANLANDS LÄN</t>
        </is>
      </c>
      <c r="E518" t="inlineStr">
        <is>
          <t>KATRINEHOLM</t>
        </is>
      </c>
      <c r="G518" t="n">
        <v>1.1</v>
      </c>
      <c r="H518" t="n">
        <v>0</v>
      </c>
      <c r="I518" t="n">
        <v>0</v>
      </c>
      <c r="J518" t="n">
        <v>0</v>
      </c>
      <c r="K518" t="n">
        <v>0</v>
      </c>
      <c r="L518" t="n">
        <v>0</v>
      </c>
      <c r="M518" t="n">
        <v>0</v>
      </c>
      <c r="N518" t="n">
        <v>0</v>
      </c>
      <c r="O518" t="n">
        <v>0</v>
      </c>
      <c r="P518" t="n">
        <v>0</v>
      </c>
      <c r="Q518" t="n">
        <v>0</v>
      </c>
      <c r="R518" s="2" t="inlineStr"/>
    </row>
    <row r="519" ht="15" customHeight="1">
      <c r="A519" t="inlineStr">
        <is>
          <t>A 23347-2023</t>
        </is>
      </c>
      <c r="B519" s="1" t="n">
        <v>45076</v>
      </c>
      <c r="C519" s="1" t="n">
        <v>45907</v>
      </c>
      <c r="D519" t="inlineStr">
        <is>
          <t>SÖDERMANLANDS LÄN</t>
        </is>
      </c>
      <c r="E519" t="inlineStr">
        <is>
          <t>KATRINEHOLM</t>
        </is>
      </c>
      <c r="G519" t="n">
        <v>4.3</v>
      </c>
      <c r="H519" t="n">
        <v>0</v>
      </c>
      <c r="I519" t="n">
        <v>0</v>
      </c>
      <c r="J519" t="n">
        <v>0</v>
      </c>
      <c r="K519" t="n">
        <v>0</v>
      </c>
      <c r="L519" t="n">
        <v>0</v>
      </c>
      <c r="M519" t="n">
        <v>0</v>
      </c>
      <c r="N519" t="n">
        <v>0</v>
      </c>
      <c r="O519" t="n">
        <v>0</v>
      </c>
      <c r="P519" t="n">
        <v>0</v>
      </c>
      <c r="Q519" t="n">
        <v>0</v>
      </c>
      <c r="R519" s="2" t="inlineStr"/>
    </row>
    <row r="520" ht="15" customHeight="1">
      <c r="A520" t="inlineStr">
        <is>
          <t>A 23916-2023</t>
        </is>
      </c>
      <c r="B520" s="1" t="n">
        <v>45075</v>
      </c>
      <c r="C520" s="1" t="n">
        <v>45907</v>
      </c>
      <c r="D520" t="inlineStr">
        <is>
          <t>SÖDERMANLANDS LÄN</t>
        </is>
      </c>
      <c r="E520" t="inlineStr">
        <is>
          <t>KATRINEHOLM</t>
        </is>
      </c>
      <c r="G520" t="n">
        <v>8</v>
      </c>
      <c r="H520" t="n">
        <v>0</v>
      </c>
      <c r="I520" t="n">
        <v>0</v>
      </c>
      <c r="J520" t="n">
        <v>0</v>
      </c>
      <c r="K520" t="n">
        <v>0</v>
      </c>
      <c r="L520" t="n">
        <v>0</v>
      </c>
      <c r="M520" t="n">
        <v>0</v>
      </c>
      <c r="N520" t="n">
        <v>0</v>
      </c>
      <c r="O520" t="n">
        <v>0</v>
      </c>
      <c r="P520" t="n">
        <v>0</v>
      </c>
      <c r="Q520" t="n">
        <v>0</v>
      </c>
      <c r="R520" s="2" t="inlineStr"/>
    </row>
    <row r="521" ht="15" customHeight="1">
      <c r="A521" t="inlineStr">
        <is>
          <t>A 50316-2023</t>
        </is>
      </c>
      <c r="B521" s="1" t="n">
        <v>45209</v>
      </c>
      <c r="C521" s="1" t="n">
        <v>45907</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33278-2024</t>
        </is>
      </c>
      <c r="B522" s="1" t="n">
        <v>45518</v>
      </c>
      <c r="C522" s="1" t="n">
        <v>45907</v>
      </c>
      <c r="D522" t="inlineStr">
        <is>
          <t>SÖDERMANLANDS LÄN</t>
        </is>
      </c>
      <c r="E522" t="inlineStr">
        <is>
          <t>KATRINEHOLM</t>
        </is>
      </c>
      <c r="G522" t="n">
        <v>2.1</v>
      </c>
      <c r="H522" t="n">
        <v>0</v>
      </c>
      <c r="I522" t="n">
        <v>0</v>
      </c>
      <c r="J522" t="n">
        <v>0</v>
      </c>
      <c r="K522" t="n">
        <v>0</v>
      </c>
      <c r="L522" t="n">
        <v>0</v>
      </c>
      <c r="M522" t="n">
        <v>0</v>
      </c>
      <c r="N522" t="n">
        <v>0</v>
      </c>
      <c r="O522" t="n">
        <v>0</v>
      </c>
      <c r="P522" t="n">
        <v>0</v>
      </c>
      <c r="Q522" t="n">
        <v>0</v>
      </c>
      <c r="R522" s="2" t="inlineStr"/>
    </row>
    <row r="523" ht="15" customHeight="1">
      <c r="A523" t="inlineStr">
        <is>
          <t>A 51404-2023</t>
        </is>
      </c>
      <c r="B523" s="1" t="n">
        <v>45214</v>
      </c>
      <c r="C523" s="1" t="n">
        <v>45907</v>
      </c>
      <c r="D523" t="inlineStr">
        <is>
          <t>SÖDERMANLANDS LÄN</t>
        </is>
      </c>
      <c r="E523" t="inlineStr">
        <is>
          <t>KATRINEHOLM</t>
        </is>
      </c>
      <c r="G523" t="n">
        <v>9</v>
      </c>
      <c r="H523" t="n">
        <v>0</v>
      </c>
      <c r="I523" t="n">
        <v>0</v>
      </c>
      <c r="J523" t="n">
        <v>0</v>
      </c>
      <c r="K523" t="n">
        <v>0</v>
      </c>
      <c r="L523" t="n">
        <v>0</v>
      </c>
      <c r="M523" t="n">
        <v>0</v>
      </c>
      <c r="N523" t="n">
        <v>0</v>
      </c>
      <c r="O523" t="n">
        <v>0</v>
      </c>
      <c r="P523" t="n">
        <v>0</v>
      </c>
      <c r="Q523" t="n">
        <v>0</v>
      </c>
      <c r="R523" s="2" t="inlineStr"/>
    </row>
    <row r="524" ht="15" customHeight="1">
      <c r="A524" t="inlineStr">
        <is>
          <t>A 40186-2023</t>
        </is>
      </c>
      <c r="B524" s="1" t="n">
        <v>45169</v>
      </c>
      <c r="C524" s="1" t="n">
        <v>45907</v>
      </c>
      <c r="D524" t="inlineStr">
        <is>
          <t>SÖDERMANLANDS LÄN</t>
        </is>
      </c>
      <c r="E524" t="inlineStr">
        <is>
          <t>KATRINEHOLM</t>
        </is>
      </c>
      <c r="G524" t="n">
        <v>2.1</v>
      </c>
      <c r="H524" t="n">
        <v>0</v>
      </c>
      <c r="I524" t="n">
        <v>0</v>
      </c>
      <c r="J524" t="n">
        <v>0</v>
      </c>
      <c r="K524" t="n">
        <v>0</v>
      </c>
      <c r="L524" t="n">
        <v>0</v>
      </c>
      <c r="M524" t="n">
        <v>0</v>
      </c>
      <c r="N524" t="n">
        <v>0</v>
      </c>
      <c r="O524" t="n">
        <v>0</v>
      </c>
      <c r="P524" t="n">
        <v>0</v>
      </c>
      <c r="Q524" t="n">
        <v>0</v>
      </c>
      <c r="R524" s="2" t="inlineStr"/>
    </row>
    <row r="525" ht="15" customHeight="1">
      <c r="A525" t="inlineStr">
        <is>
          <t>A 49700-2022</t>
        </is>
      </c>
      <c r="B525" s="1" t="n">
        <v>44862</v>
      </c>
      <c r="C525" s="1" t="n">
        <v>45907</v>
      </c>
      <c r="D525" t="inlineStr">
        <is>
          <t>SÖDERMANLANDS LÄN</t>
        </is>
      </c>
      <c r="E525" t="inlineStr">
        <is>
          <t>KATRINEHOLM</t>
        </is>
      </c>
      <c r="G525" t="n">
        <v>19.5</v>
      </c>
      <c r="H525" t="n">
        <v>0</v>
      </c>
      <c r="I525" t="n">
        <v>0</v>
      </c>
      <c r="J525" t="n">
        <v>0</v>
      </c>
      <c r="K525" t="n">
        <v>0</v>
      </c>
      <c r="L525" t="n">
        <v>0</v>
      </c>
      <c r="M525" t="n">
        <v>0</v>
      </c>
      <c r="N525" t="n">
        <v>0</v>
      </c>
      <c r="O525" t="n">
        <v>0</v>
      </c>
      <c r="P525" t="n">
        <v>0</v>
      </c>
      <c r="Q525" t="n">
        <v>0</v>
      </c>
      <c r="R525" s="2" t="inlineStr"/>
    </row>
    <row r="526" ht="15" customHeight="1">
      <c r="A526" t="inlineStr">
        <is>
          <t>A 27955-2023</t>
        </is>
      </c>
      <c r="B526" s="1" t="n">
        <v>45098</v>
      </c>
      <c r="C526" s="1" t="n">
        <v>45907</v>
      </c>
      <c r="D526" t="inlineStr">
        <is>
          <t>SÖDERMANLANDS LÄN</t>
        </is>
      </c>
      <c r="E526" t="inlineStr">
        <is>
          <t>KATRINEHOLM</t>
        </is>
      </c>
      <c r="G526" t="n">
        <v>5.9</v>
      </c>
      <c r="H526" t="n">
        <v>0</v>
      </c>
      <c r="I526" t="n">
        <v>0</v>
      </c>
      <c r="J526" t="n">
        <v>0</v>
      </c>
      <c r="K526" t="n">
        <v>0</v>
      </c>
      <c r="L526" t="n">
        <v>0</v>
      </c>
      <c r="M526" t="n">
        <v>0</v>
      </c>
      <c r="N526" t="n">
        <v>0</v>
      </c>
      <c r="O526" t="n">
        <v>0</v>
      </c>
      <c r="P526" t="n">
        <v>0</v>
      </c>
      <c r="Q526" t="n">
        <v>0</v>
      </c>
      <c r="R526" s="2" t="inlineStr"/>
    </row>
    <row r="527" ht="15" customHeight="1">
      <c r="A527" t="inlineStr">
        <is>
          <t>A 33141-2023</t>
        </is>
      </c>
      <c r="B527" s="1" t="n">
        <v>45126.65491898148</v>
      </c>
      <c r="C527" s="1" t="n">
        <v>45907</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15898-2022</t>
        </is>
      </c>
      <c r="B528" s="1" t="n">
        <v>44664.55688657407</v>
      </c>
      <c r="C528" s="1" t="n">
        <v>45907</v>
      </c>
      <c r="D528" t="inlineStr">
        <is>
          <t>SÖDERMANLANDS LÄN</t>
        </is>
      </c>
      <c r="E528" t="inlineStr">
        <is>
          <t>KATRINEHOLM</t>
        </is>
      </c>
      <c r="G528" t="n">
        <v>6.5</v>
      </c>
      <c r="H528" t="n">
        <v>0</v>
      </c>
      <c r="I528" t="n">
        <v>0</v>
      </c>
      <c r="J528" t="n">
        <v>0</v>
      </c>
      <c r="K528" t="n">
        <v>0</v>
      </c>
      <c r="L528" t="n">
        <v>0</v>
      </c>
      <c r="M528" t="n">
        <v>0</v>
      </c>
      <c r="N528" t="n">
        <v>0</v>
      </c>
      <c r="O528" t="n">
        <v>0</v>
      </c>
      <c r="P528" t="n">
        <v>0</v>
      </c>
      <c r="Q528" t="n">
        <v>0</v>
      </c>
      <c r="R528" s="2" t="inlineStr"/>
    </row>
    <row r="529" ht="15" customHeight="1">
      <c r="A529" t="inlineStr">
        <is>
          <t>A 15910-2022</t>
        </is>
      </c>
      <c r="B529" s="1" t="n">
        <v>44664</v>
      </c>
      <c r="C529" s="1" t="n">
        <v>45907</v>
      </c>
      <c r="D529" t="inlineStr">
        <is>
          <t>SÖDERMANLANDS LÄN</t>
        </is>
      </c>
      <c r="E529" t="inlineStr">
        <is>
          <t>KATRINEHOLM</t>
        </is>
      </c>
      <c r="G529" t="n">
        <v>5.6</v>
      </c>
      <c r="H529" t="n">
        <v>0</v>
      </c>
      <c r="I529" t="n">
        <v>0</v>
      </c>
      <c r="J529" t="n">
        <v>0</v>
      </c>
      <c r="K529" t="n">
        <v>0</v>
      </c>
      <c r="L529" t="n">
        <v>0</v>
      </c>
      <c r="M529" t="n">
        <v>0</v>
      </c>
      <c r="N529" t="n">
        <v>0</v>
      </c>
      <c r="O529" t="n">
        <v>0</v>
      </c>
      <c r="P529" t="n">
        <v>0</v>
      </c>
      <c r="Q529" t="n">
        <v>0</v>
      </c>
      <c r="R529" s="2" t="inlineStr"/>
    </row>
    <row r="530" ht="15" customHeight="1">
      <c r="A530" t="inlineStr">
        <is>
          <t>A 46899-2022</t>
        </is>
      </c>
      <c r="B530" s="1" t="n">
        <v>44848</v>
      </c>
      <c r="C530" s="1" t="n">
        <v>45907</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64605-2023</t>
        </is>
      </c>
      <c r="B531" s="1" t="n">
        <v>45281</v>
      </c>
      <c r="C531" s="1" t="n">
        <v>45907</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64652-2023</t>
        </is>
      </c>
      <c r="B532" s="1" t="n">
        <v>45281</v>
      </c>
      <c r="C532" s="1" t="n">
        <v>45907</v>
      </c>
      <c r="D532" t="inlineStr">
        <is>
          <t>SÖDERMANLANDS LÄN</t>
        </is>
      </c>
      <c r="E532" t="inlineStr">
        <is>
          <t>KATRINEHOLM</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9714-2024</t>
        </is>
      </c>
      <c r="B533" s="1" t="n">
        <v>45362</v>
      </c>
      <c r="C533" s="1" t="n">
        <v>45907</v>
      </c>
      <c r="D533" t="inlineStr">
        <is>
          <t>SÖDERMANLANDS LÄN</t>
        </is>
      </c>
      <c r="E533" t="inlineStr">
        <is>
          <t>KATRINEHOLM</t>
        </is>
      </c>
      <c r="G533" t="n">
        <v>4</v>
      </c>
      <c r="H533" t="n">
        <v>0</v>
      </c>
      <c r="I533" t="n">
        <v>0</v>
      </c>
      <c r="J533" t="n">
        <v>0</v>
      </c>
      <c r="K533" t="n">
        <v>0</v>
      </c>
      <c r="L533" t="n">
        <v>0</v>
      </c>
      <c r="M533" t="n">
        <v>0</v>
      </c>
      <c r="N533" t="n">
        <v>0</v>
      </c>
      <c r="O533" t="n">
        <v>0</v>
      </c>
      <c r="P533" t="n">
        <v>0</v>
      </c>
      <c r="Q533" t="n">
        <v>0</v>
      </c>
      <c r="R533" s="2" t="inlineStr"/>
    </row>
    <row r="534" ht="15" customHeight="1">
      <c r="A534" t="inlineStr">
        <is>
          <t>A 55074-2020</t>
        </is>
      </c>
      <c r="B534" s="1" t="n">
        <v>44130</v>
      </c>
      <c r="C534" s="1" t="n">
        <v>45907</v>
      </c>
      <c r="D534" t="inlineStr">
        <is>
          <t>SÖDERMANLANDS LÄN</t>
        </is>
      </c>
      <c r="E534" t="inlineStr">
        <is>
          <t>KATRINEHOLM</t>
        </is>
      </c>
      <c r="G534" t="n">
        <v>2.9</v>
      </c>
      <c r="H534" t="n">
        <v>0</v>
      </c>
      <c r="I534" t="n">
        <v>0</v>
      </c>
      <c r="J534" t="n">
        <v>0</v>
      </c>
      <c r="K534" t="n">
        <v>0</v>
      </c>
      <c r="L534" t="n">
        <v>0</v>
      </c>
      <c r="M534" t="n">
        <v>0</v>
      </c>
      <c r="N534" t="n">
        <v>0</v>
      </c>
      <c r="O534" t="n">
        <v>0</v>
      </c>
      <c r="P534" t="n">
        <v>0</v>
      </c>
      <c r="Q534" t="n">
        <v>0</v>
      </c>
      <c r="R534" s="2" t="inlineStr"/>
    </row>
    <row r="535" ht="15" customHeight="1">
      <c r="A535" t="inlineStr">
        <is>
          <t>A 55079-2020</t>
        </is>
      </c>
      <c r="B535" s="1" t="n">
        <v>44130.46172453704</v>
      </c>
      <c r="C535" s="1" t="n">
        <v>45907</v>
      </c>
      <c r="D535" t="inlineStr">
        <is>
          <t>SÖDERMANLANDS LÄN</t>
        </is>
      </c>
      <c r="E535" t="inlineStr">
        <is>
          <t>KATRINEHOLM</t>
        </is>
      </c>
      <c r="G535" t="n">
        <v>2.7</v>
      </c>
      <c r="H535" t="n">
        <v>0</v>
      </c>
      <c r="I535" t="n">
        <v>0</v>
      </c>
      <c r="J535" t="n">
        <v>0</v>
      </c>
      <c r="K535" t="n">
        <v>0</v>
      </c>
      <c r="L535" t="n">
        <v>0</v>
      </c>
      <c r="M535" t="n">
        <v>0</v>
      </c>
      <c r="N535" t="n">
        <v>0</v>
      </c>
      <c r="O535" t="n">
        <v>0</v>
      </c>
      <c r="P535" t="n">
        <v>0</v>
      </c>
      <c r="Q535" t="n">
        <v>0</v>
      </c>
      <c r="R535" s="2" t="inlineStr"/>
    </row>
    <row r="536" ht="15" customHeight="1">
      <c r="A536" t="inlineStr">
        <is>
          <t>A 39897-2023</t>
        </is>
      </c>
      <c r="B536" s="1" t="n">
        <v>45168</v>
      </c>
      <c r="C536" s="1" t="n">
        <v>45907</v>
      </c>
      <c r="D536" t="inlineStr">
        <is>
          <t>SÖDERMANLANDS LÄN</t>
        </is>
      </c>
      <c r="E536" t="inlineStr">
        <is>
          <t>KATRINEHOLM</t>
        </is>
      </c>
      <c r="G536" t="n">
        <v>15.6</v>
      </c>
      <c r="H536" t="n">
        <v>0</v>
      </c>
      <c r="I536" t="n">
        <v>0</v>
      </c>
      <c r="J536" t="n">
        <v>0</v>
      </c>
      <c r="K536" t="n">
        <v>0</v>
      </c>
      <c r="L536" t="n">
        <v>0</v>
      </c>
      <c r="M536" t="n">
        <v>0</v>
      </c>
      <c r="N536" t="n">
        <v>0</v>
      </c>
      <c r="O536" t="n">
        <v>0</v>
      </c>
      <c r="P536" t="n">
        <v>0</v>
      </c>
      <c r="Q536" t="n">
        <v>0</v>
      </c>
      <c r="R536" s="2" t="inlineStr"/>
    </row>
    <row r="537" ht="15" customHeight="1">
      <c r="A537" t="inlineStr">
        <is>
          <t>A 2735-2025</t>
        </is>
      </c>
      <c r="B537" s="1" t="n">
        <v>45677</v>
      </c>
      <c r="C537" s="1" t="n">
        <v>45907</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20326-2023</t>
        </is>
      </c>
      <c r="B538" s="1" t="n">
        <v>45056.46821759259</v>
      </c>
      <c r="C538" s="1" t="n">
        <v>45907</v>
      </c>
      <c r="D538" t="inlineStr">
        <is>
          <t>SÖDERMANLANDS LÄN</t>
        </is>
      </c>
      <c r="E538" t="inlineStr">
        <is>
          <t>KATRINEHOLM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67337-2021</t>
        </is>
      </c>
      <c r="B539" s="1" t="n">
        <v>44523</v>
      </c>
      <c r="C539" s="1" t="n">
        <v>45907</v>
      </c>
      <c r="D539" t="inlineStr">
        <is>
          <t>SÖDERMANLANDS LÄN</t>
        </is>
      </c>
      <c r="E539" t="inlineStr">
        <is>
          <t>KATRINEHOLM</t>
        </is>
      </c>
      <c r="G539" t="n">
        <v>5.2</v>
      </c>
      <c r="H539" t="n">
        <v>0</v>
      </c>
      <c r="I539" t="n">
        <v>0</v>
      </c>
      <c r="J539" t="n">
        <v>0</v>
      </c>
      <c r="K539" t="n">
        <v>0</v>
      </c>
      <c r="L539" t="n">
        <v>0</v>
      </c>
      <c r="M539" t="n">
        <v>0</v>
      </c>
      <c r="N539" t="n">
        <v>0</v>
      </c>
      <c r="O539" t="n">
        <v>0</v>
      </c>
      <c r="P539" t="n">
        <v>0</v>
      </c>
      <c r="Q539" t="n">
        <v>0</v>
      </c>
      <c r="R539" s="2" t="inlineStr"/>
    </row>
    <row r="540" ht="15" customHeight="1">
      <c r="A540" t="inlineStr">
        <is>
          <t>A 29830-2023</t>
        </is>
      </c>
      <c r="B540" s="1" t="n">
        <v>45107</v>
      </c>
      <c r="C540" s="1" t="n">
        <v>45907</v>
      </c>
      <c r="D540" t="inlineStr">
        <is>
          <t>SÖDERMANLANDS LÄN</t>
        </is>
      </c>
      <c r="E540" t="inlineStr">
        <is>
          <t>KATRINEHOLM</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9044-2022</t>
        </is>
      </c>
      <c r="B541" s="1" t="n">
        <v>44602</v>
      </c>
      <c r="C541" s="1" t="n">
        <v>45907</v>
      </c>
      <c r="D541" t="inlineStr">
        <is>
          <t>SÖDERMANLANDS LÄN</t>
        </is>
      </c>
      <c r="E541" t="inlineStr">
        <is>
          <t>KATRINEHOLM</t>
        </is>
      </c>
      <c r="G541" t="n">
        <v>5.8</v>
      </c>
      <c r="H541" t="n">
        <v>0</v>
      </c>
      <c r="I541" t="n">
        <v>0</v>
      </c>
      <c r="J541" t="n">
        <v>0</v>
      </c>
      <c r="K541" t="n">
        <v>0</v>
      </c>
      <c r="L541" t="n">
        <v>0</v>
      </c>
      <c r="M541" t="n">
        <v>0</v>
      </c>
      <c r="N541" t="n">
        <v>0</v>
      </c>
      <c r="O541" t="n">
        <v>0</v>
      </c>
      <c r="P541" t="n">
        <v>0</v>
      </c>
      <c r="Q541" t="n">
        <v>0</v>
      </c>
      <c r="R541" s="2" t="inlineStr"/>
    </row>
    <row r="542" ht="15" customHeight="1">
      <c r="A542" t="inlineStr">
        <is>
          <t>A 28582-2024</t>
        </is>
      </c>
      <c r="B542" s="1" t="n">
        <v>45478.40751157407</v>
      </c>
      <c r="C542" s="1" t="n">
        <v>45907</v>
      </c>
      <c r="D542" t="inlineStr">
        <is>
          <t>SÖDERMANLANDS LÄN</t>
        </is>
      </c>
      <c r="E542" t="inlineStr">
        <is>
          <t>KATRINEHOLM</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29394-2024</t>
        </is>
      </c>
      <c r="B543" s="1" t="n">
        <v>45483</v>
      </c>
      <c r="C543" s="1" t="n">
        <v>45907</v>
      </c>
      <c r="D543" t="inlineStr">
        <is>
          <t>SÖDERMANLANDS LÄN</t>
        </is>
      </c>
      <c r="E543" t="inlineStr">
        <is>
          <t>KATRINEHOLM</t>
        </is>
      </c>
      <c r="G543" t="n">
        <v>0.9</v>
      </c>
      <c r="H543" t="n">
        <v>0</v>
      </c>
      <c r="I543" t="n">
        <v>0</v>
      </c>
      <c r="J543" t="n">
        <v>0</v>
      </c>
      <c r="K543" t="n">
        <v>0</v>
      </c>
      <c r="L543" t="n">
        <v>0</v>
      </c>
      <c r="M543" t="n">
        <v>0</v>
      </c>
      <c r="N543" t="n">
        <v>0</v>
      </c>
      <c r="O543" t="n">
        <v>0</v>
      </c>
      <c r="P543" t="n">
        <v>0</v>
      </c>
      <c r="Q543" t="n">
        <v>0</v>
      </c>
      <c r="R543" s="2" t="inlineStr"/>
    </row>
    <row r="544" ht="15" customHeight="1">
      <c r="A544" t="inlineStr">
        <is>
          <t>A 46011-2021</t>
        </is>
      </c>
      <c r="B544" s="1" t="n">
        <v>44441.88092592593</v>
      </c>
      <c r="C544" s="1" t="n">
        <v>45907</v>
      </c>
      <c r="D544" t="inlineStr">
        <is>
          <t>SÖDERMANLANDS LÄN</t>
        </is>
      </c>
      <c r="E544" t="inlineStr">
        <is>
          <t>KATRINEHOLM</t>
        </is>
      </c>
      <c r="G544" t="n">
        <v>4.7</v>
      </c>
      <c r="H544" t="n">
        <v>0</v>
      </c>
      <c r="I544" t="n">
        <v>0</v>
      </c>
      <c r="J544" t="n">
        <v>0</v>
      </c>
      <c r="K544" t="n">
        <v>0</v>
      </c>
      <c r="L544" t="n">
        <v>0</v>
      </c>
      <c r="M544" t="n">
        <v>0</v>
      </c>
      <c r="N544" t="n">
        <v>0</v>
      </c>
      <c r="O544" t="n">
        <v>0</v>
      </c>
      <c r="P544" t="n">
        <v>0</v>
      </c>
      <c r="Q544" t="n">
        <v>0</v>
      </c>
      <c r="R544" s="2" t="inlineStr"/>
    </row>
    <row r="545" ht="15" customHeight="1">
      <c r="A545" t="inlineStr">
        <is>
          <t>A 69117-2021</t>
        </is>
      </c>
      <c r="B545" s="1" t="n">
        <v>44530.82445601852</v>
      </c>
      <c r="C545" s="1" t="n">
        <v>45907</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12559-2023</t>
        </is>
      </c>
      <c r="B546" s="1" t="n">
        <v>45000.36373842593</v>
      </c>
      <c r="C546" s="1" t="n">
        <v>45907</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45907</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11872-2023</t>
        </is>
      </c>
      <c r="B548" s="1" t="n">
        <v>44995</v>
      </c>
      <c r="C548" s="1" t="n">
        <v>45907</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51848-2022</t>
        </is>
      </c>
      <c r="B549" s="1" t="n">
        <v>44872.57752314815</v>
      </c>
      <c r="C549" s="1" t="n">
        <v>45907</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30387-2022</t>
        </is>
      </c>
      <c r="B550" s="1" t="n">
        <v>44760</v>
      </c>
      <c r="C550" s="1" t="n">
        <v>45907</v>
      </c>
      <c r="D550" t="inlineStr">
        <is>
          <t>SÖDERMANLANDS LÄN</t>
        </is>
      </c>
      <c r="E550" t="inlineStr">
        <is>
          <t>KATRINEHOLM</t>
        </is>
      </c>
      <c r="G550" t="n">
        <v>1.9</v>
      </c>
      <c r="H550" t="n">
        <v>0</v>
      </c>
      <c r="I550" t="n">
        <v>0</v>
      </c>
      <c r="J550" t="n">
        <v>0</v>
      </c>
      <c r="K550" t="n">
        <v>0</v>
      </c>
      <c r="L550" t="n">
        <v>0</v>
      </c>
      <c r="M550" t="n">
        <v>0</v>
      </c>
      <c r="N550" t="n">
        <v>0</v>
      </c>
      <c r="O550" t="n">
        <v>0</v>
      </c>
      <c r="P550" t="n">
        <v>0</v>
      </c>
      <c r="Q550" t="n">
        <v>0</v>
      </c>
      <c r="R550" s="2" t="inlineStr"/>
    </row>
    <row r="551" ht="15" customHeight="1">
      <c r="A551" t="inlineStr">
        <is>
          <t>A 48834-2020</t>
        </is>
      </c>
      <c r="B551" s="1" t="n">
        <v>44099</v>
      </c>
      <c r="C551" s="1" t="n">
        <v>45907</v>
      </c>
      <c r="D551" t="inlineStr">
        <is>
          <t>SÖDERMANLANDS LÄN</t>
        </is>
      </c>
      <c r="E551" t="inlineStr">
        <is>
          <t>KATRINEHOLM</t>
        </is>
      </c>
      <c r="G551" t="n">
        <v>12.9</v>
      </c>
      <c r="H551" t="n">
        <v>0</v>
      </c>
      <c r="I551" t="n">
        <v>0</v>
      </c>
      <c r="J551" t="n">
        <v>0</v>
      </c>
      <c r="K551" t="n">
        <v>0</v>
      </c>
      <c r="L551" t="n">
        <v>0</v>
      </c>
      <c r="M551" t="n">
        <v>0</v>
      </c>
      <c r="N551" t="n">
        <v>0</v>
      </c>
      <c r="O551" t="n">
        <v>0</v>
      </c>
      <c r="P551" t="n">
        <v>0</v>
      </c>
      <c r="Q551" t="n">
        <v>0</v>
      </c>
      <c r="R551" s="2" t="inlineStr"/>
    </row>
    <row r="552" ht="15" customHeight="1">
      <c r="A552" t="inlineStr">
        <is>
          <t>A 16087-2023</t>
        </is>
      </c>
      <c r="B552" s="1" t="n">
        <v>45026</v>
      </c>
      <c r="C552" s="1" t="n">
        <v>45907</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61394-2024</t>
        </is>
      </c>
      <c r="B553" s="1" t="n">
        <v>45646.42061342593</v>
      </c>
      <c r="C553" s="1" t="n">
        <v>45907</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931-2023</t>
        </is>
      </c>
      <c r="B554" s="1" t="n">
        <v>44932.74261574074</v>
      </c>
      <c r="C554" s="1" t="n">
        <v>45907</v>
      </c>
      <c r="D554" t="inlineStr">
        <is>
          <t>SÖDERMANLANDS LÄN</t>
        </is>
      </c>
      <c r="E554" t="inlineStr">
        <is>
          <t>KATRINEHOLM</t>
        </is>
      </c>
      <c r="G554" t="n">
        <v>4</v>
      </c>
      <c r="H554" t="n">
        <v>0</v>
      </c>
      <c r="I554" t="n">
        <v>0</v>
      </c>
      <c r="J554" t="n">
        <v>0</v>
      </c>
      <c r="K554" t="n">
        <v>0</v>
      </c>
      <c r="L554" t="n">
        <v>0</v>
      </c>
      <c r="M554" t="n">
        <v>0</v>
      </c>
      <c r="N554" t="n">
        <v>0</v>
      </c>
      <c r="O554" t="n">
        <v>0</v>
      </c>
      <c r="P554" t="n">
        <v>0</v>
      </c>
      <c r="Q554" t="n">
        <v>0</v>
      </c>
      <c r="R554" s="2" t="inlineStr"/>
    </row>
    <row r="555" ht="15" customHeight="1">
      <c r="A555" t="inlineStr">
        <is>
          <t>A 21959-2022</t>
        </is>
      </c>
      <c r="B555" s="1" t="n">
        <v>44708</v>
      </c>
      <c r="C555" s="1" t="n">
        <v>45907</v>
      </c>
      <c r="D555" t="inlineStr">
        <is>
          <t>SÖDERMANLANDS LÄN</t>
        </is>
      </c>
      <c r="E555" t="inlineStr">
        <is>
          <t>KATRINEHOLM</t>
        </is>
      </c>
      <c r="G555" t="n">
        <v>1.5</v>
      </c>
      <c r="H555" t="n">
        <v>0</v>
      </c>
      <c r="I555" t="n">
        <v>0</v>
      </c>
      <c r="J555" t="n">
        <v>0</v>
      </c>
      <c r="K555" t="n">
        <v>0</v>
      </c>
      <c r="L555" t="n">
        <v>0</v>
      </c>
      <c r="M555" t="n">
        <v>0</v>
      </c>
      <c r="N555" t="n">
        <v>0</v>
      </c>
      <c r="O555" t="n">
        <v>0</v>
      </c>
      <c r="P555" t="n">
        <v>0</v>
      </c>
      <c r="Q555" t="n">
        <v>0</v>
      </c>
      <c r="R555" s="2" t="inlineStr"/>
    </row>
    <row r="556" ht="15" customHeight="1">
      <c r="A556" t="inlineStr">
        <is>
          <t>A 42451-2023</t>
        </is>
      </c>
      <c r="B556" s="1" t="n">
        <v>45180</v>
      </c>
      <c r="C556" s="1" t="n">
        <v>45907</v>
      </c>
      <c r="D556" t="inlineStr">
        <is>
          <t>SÖDERMANLANDS LÄN</t>
        </is>
      </c>
      <c r="E556" t="inlineStr">
        <is>
          <t>KATRINEHOLM</t>
        </is>
      </c>
      <c r="G556" t="n">
        <v>3.8</v>
      </c>
      <c r="H556" t="n">
        <v>0</v>
      </c>
      <c r="I556" t="n">
        <v>0</v>
      </c>
      <c r="J556" t="n">
        <v>0</v>
      </c>
      <c r="K556" t="n">
        <v>0</v>
      </c>
      <c r="L556" t="n">
        <v>0</v>
      </c>
      <c r="M556" t="n">
        <v>0</v>
      </c>
      <c r="N556" t="n">
        <v>0</v>
      </c>
      <c r="O556" t="n">
        <v>0</v>
      </c>
      <c r="P556" t="n">
        <v>0</v>
      </c>
      <c r="Q556" t="n">
        <v>0</v>
      </c>
      <c r="R556" s="2" t="inlineStr"/>
    </row>
    <row r="557" ht="15" customHeight="1">
      <c r="A557" t="inlineStr">
        <is>
          <t>A 22506-2023</t>
        </is>
      </c>
      <c r="B557" s="1" t="n">
        <v>45071.37393518518</v>
      </c>
      <c r="C557" s="1" t="n">
        <v>45907</v>
      </c>
      <c r="D557" t="inlineStr">
        <is>
          <t>SÖDERMANLANDS LÄN</t>
        </is>
      </c>
      <c r="E557" t="inlineStr">
        <is>
          <t>KATRINEHOLM</t>
        </is>
      </c>
      <c r="F557" t="inlineStr">
        <is>
          <t>Kyrkan</t>
        </is>
      </c>
      <c r="G557" t="n">
        <v>5.9</v>
      </c>
      <c r="H557" t="n">
        <v>0</v>
      </c>
      <c r="I557" t="n">
        <v>0</v>
      </c>
      <c r="J557" t="n">
        <v>0</v>
      </c>
      <c r="K557" t="n">
        <v>0</v>
      </c>
      <c r="L557" t="n">
        <v>0</v>
      </c>
      <c r="M557" t="n">
        <v>0</v>
      </c>
      <c r="N557" t="n">
        <v>0</v>
      </c>
      <c r="O557" t="n">
        <v>0</v>
      </c>
      <c r="P557" t="n">
        <v>0</v>
      </c>
      <c r="Q557" t="n">
        <v>0</v>
      </c>
      <c r="R557" s="2" t="inlineStr"/>
    </row>
    <row r="558" ht="15" customHeight="1">
      <c r="A558" t="inlineStr">
        <is>
          <t>A 38883-2024</t>
        </is>
      </c>
      <c r="B558" s="1" t="n">
        <v>45547</v>
      </c>
      <c r="C558" s="1" t="n">
        <v>45907</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6796-2022</t>
        </is>
      </c>
      <c r="B559" s="1" t="n">
        <v>44602</v>
      </c>
      <c r="C559" s="1" t="n">
        <v>45907</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52857-2021</t>
        </is>
      </c>
      <c r="B560" s="1" t="n">
        <v>44466</v>
      </c>
      <c r="C560" s="1" t="n">
        <v>45907</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26713-2024</t>
        </is>
      </c>
      <c r="B561" s="1" t="n">
        <v>45470</v>
      </c>
      <c r="C561" s="1" t="n">
        <v>45907</v>
      </c>
      <c r="D561" t="inlineStr">
        <is>
          <t>SÖDERMANLANDS LÄN</t>
        </is>
      </c>
      <c r="E561" t="inlineStr">
        <is>
          <t>KATRINEHOLM</t>
        </is>
      </c>
      <c r="G561" t="n">
        <v>0.7</v>
      </c>
      <c r="H561" t="n">
        <v>0</v>
      </c>
      <c r="I561" t="n">
        <v>0</v>
      </c>
      <c r="J561" t="n">
        <v>0</v>
      </c>
      <c r="K561" t="n">
        <v>0</v>
      </c>
      <c r="L561" t="n">
        <v>0</v>
      </c>
      <c r="M561" t="n">
        <v>0</v>
      </c>
      <c r="N561" t="n">
        <v>0</v>
      </c>
      <c r="O561" t="n">
        <v>0</v>
      </c>
      <c r="P561" t="n">
        <v>0</v>
      </c>
      <c r="Q561" t="n">
        <v>0</v>
      </c>
      <c r="R561" s="2" t="inlineStr"/>
    </row>
    <row r="562" ht="15" customHeight="1">
      <c r="A562" t="inlineStr">
        <is>
          <t>A 1151-2025</t>
        </is>
      </c>
      <c r="B562" s="1" t="n">
        <v>45666</v>
      </c>
      <c r="C562" s="1" t="n">
        <v>45907</v>
      </c>
      <c r="D562" t="inlineStr">
        <is>
          <t>SÖDERMANLANDS LÄN</t>
        </is>
      </c>
      <c r="E562" t="inlineStr">
        <is>
          <t>KATRINEHOLM</t>
        </is>
      </c>
      <c r="G562" t="n">
        <v>1.9</v>
      </c>
      <c r="H562" t="n">
        <v>0</v>
      </c>
      <c r="I562" t="n">
        <v>0</v>
      </c>
      <c r="J562" t="n">
        <v>0</v>
      </c>
      <c r="K562" t="n">
        <v>0</v>
      </c>
      <c r="L562" t="n">
        <v>0</v>
      </c>
      <c r="M562" t="n">
        <v>0</v>
      </c>
      <c r="N562" t="n">
        <v>0</v>
      </c>
      <c r="O562" t="n">
        <v>0</v>
      </c>
      <c r="P562" t="n">
        <v>0</v>
      </c>
      <c r="Q562" t="n">
        <v>0</v>
      </c>
      <c r="R562" s="2" t="inlineStr"/>
    </row>
    <row r="563" ht="15" customHeight="1">
      <c r="A563" t="inlineStr">
        <is>
          <t>A 42015-2022</t>
        </is>
      </c>
      <c r="B563" s="1" t="n">
        <v>44830.4649074074</v>
      </c>
      <c r="C563" s="1" t="n">
        <v>45907</v>
      </c>
      <c r="D563" t="inlineStr">
        <is>
          <t>SÖDERMANLANDS LÄN</t>
        </is>
      </c>
      <c r="E563" t="inlineStr">
        <is>
          <t>KATRINEHOLM</t>
        </is>
      </c>
      <c r="G563" t="n">
        <v>3.8</v>
      </c>
      <c r="H563" t="n">
        <v>0</v>
      </c>
      <c r="I563" t="n">
        <v>0</v>
      </c>
      <c r="J563" t="n">
        <v>0</v>
      </c>
      <c r="K563" t="n">
        <v>0</v>
      </c>
      <c r="L563" t="n">
        <v>0</v>
      </c>
      <c r="M563" t="n">
        <v>0</v>
      </c>
      <c r="N563" t="n">
        <v>0</v>
      </c>
      <c r="O563" t="n">
        <v>0</v>
      </c>
      <c r="P563" t="n">
        <v>0</v>
      </c>
      <c r="Q563" t="n">
        <v>0</v>
      </c>
      <c r="R563" s="2" t="inlineStr"/>
    </row>
    <row r="564" ht="15" customHeight="1">
      <c r="A564" t="inlineStr">
        <is>
          <t>A 42020-2022</t>
        </is>
      </c>
      <c r="B564" s="1" t="n">
        <v>44830.46849537037</v>
      </c>
      <c r="C564" s="1" t="n">
        <v>45907</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8394-2024</t>
        </is>
      </c>
      <c r="B565" s="1" t="n">
        <v>45352</v>
      </c>
      <c r="C565" s="1" t="n">
        <v>45907</v>
      </c>
      <c r="D565" t="inlineStr">
        <is>
          <t>SÖDERMANLANDS LÄN</t>
        </is>
      </c>
      <c r="E565" t="inlineStr">
        <is>
          <t>KATRINEHOLM</t>
        </is>
      </c>
      <c r="G565" t="n">
        <v>4</v>
      </c>
      <c r="H565" t="n">
        <v>0</v>
      </c>
      <c r="I565" t="n">
        <v>0</v>
      </c>
      <c r="J565" t="n">
        <v>0</v>
      </c>
      <c r="K565" t="n">
        <v>0</v>
      </c>
      <c r="L565" t="n">
        <v>0</v>
      </c>
      <c r="M565" t="n">
        <v>0</v>
      </c>
      <c r="N565" t="n">
        <v>0</v>
      </c>
      <c r="O565" t="n">
        <v>0</v>
      </c>
      <c r="P565" t="n">
        <v>0</v>
      </c>
      <c r="Q565" t="n">
        <v>0</v>
      </c>
      <c r="R565" s="2" t="inlineStr"/>
    </row>
    <row r="566" ht="15" customHeight="1">
      <c r="A566" t="inlineStr">
        <is>
          <t>A 14239-2024</t>
        </is>
      </c>
      <c r="B566" s="1" t="n">
        <v>45393</v>
      </c>
      <c r="C566" s="1" t="n">
        <v>45907</v>
      </c>
      <c r="D566" t="inlineStr">
        <is>
          <t>SÖDERMANLANDS LÄN</t>
        </is>
      </c>
      <c r="E566" t="inlineStr">
        <is>
          <t>KATRINEHOLM</t>
        </is>
      </c>
      <c r="G566" t="n">
        <v>2.7</v>
      </c>
      <c r="H566" t="n">
        <v>0</v>
      </c>
      <c r="I566" t="n">
        <v>0</v>
      </c>
      <c r="J566" t="n">
        <v>0</v>
      </c>
      <c r="K566" t="n">
        <v>0</v>
      </c>
      <c r="L566" t="n">
        <v>0</v>
      </c>
      <c r="M566" t="n">
        <v>0</v>
      </c>
      <c r="N566" t="n">
        <v>0</v>
      </c>
      <c r="O566" t="n">
        <v>0</v>
      </c>
      <c r="P566" t="n">
        <v>0</v>
      </c>
      <c r="Q566" t="n">
        <v>0</v>
      </c>
      <c r="R566" s="2" t="inlineStr"/>
    </row>
    <row r="567" ht="15" customHeight="1">
      <c r="A567" t="inlineStr">
        <is>
          <t>A 14248-2024</t>
        </is>
      </c>
      <c r="B567" s="1" t="n">
        <v>45393</v>
      </c>
      <c r="C567" s="1" t="n">
        <v>45907</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25716-2022</t>
        </is>
      </c>
      <c r="B568" s="1" t="n">
        <v>44733.39600694444</v>
      </c>
      <c r="C568" s="1" t="n">
        <v>45907</v>
      </c>
      <c r="D568" t="inlineStr">
        <is>
          <t>SÖDERMANLANDS LÄN</t>
        </is>
      </c>
      <c r="E568" t="inlineStr">
        <is>
          <t>KATRINEHOLM</t>
        </is>
      </c>
      <c r="G568" t="n">
        <v>3.4</v>
      </c>
      <c r="H568" t="n">
        <v>0</v>
      </c>
      <c r="I568" t="n">
        <v>0</v>
      </c>
      <c r="J568" t="n">
        <v>0</v>
      </c>
      <c r="K568" t="n">
        <v>0</v>
      </c>
      <c r="L568" t="n">
        <v>0</v>
      </c>
      <c r="M568" t="n">
        <v>0</v>
      </c>
      <c r="N568" t="n">
        <v>0</v>
      </c>
      <c r="O568" t="n">
        <v>0</v>
      </c>
      <c r="P568" t="n">
        <v>0</v>
      </c>
      <c r="Q568" t="n">
        <v>0</v>
      </c>
      <c r="R568" s="2" t="inlineStr"/>
    </row>
    <row r="569" ht="15" customHeight="1">
      <c r="A569" t="inlineStr">
        <is>
          <t>A 23842-2023</t>
        </is>
      </c>
      <c r="B569" s="1" t="n">
        <v>45075</v>
      </c>
      <c r="C569" s="1" t="n">
        <v>45907</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46700-2023</t>
        </is>
      </c>
      <c r="B570" s="1" t="n">
        <v>45194</v>
      </c>
      <c r="C570" s="1" t="n">
        <v>45907</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36133-2021</t>
        </is>
      </c>
      <c r="B571" s="1" t="n">
        <v>44386</v>
      </c>
      <c r="C571" s="1" t="n">
        <v>45907</v>
      </c>
      <c r="D571" t="inlineStr">
        <is>
          <t>SÖDERMANLANDS LÄN</t>
        </is>
      </c>
      <c r="E571" t="inlineStr">
        <is>
          <t>KATRINEHOLM</t>
        </is>
      </c>
      <c r="F571" t="inlineStr">
        <is>
          <t>Övriga Aktiebolag</t>
        </is>
      </c>
      <c r="G571" t="n">
        <v>8.9</v>
      </c>
      <c r="H571" t="n">
        <v>0</v>
      </c>
      <c r="I571" t="n">
        <v>0</v>
      </c>
      <c r="J571" t="n">
        <v>0</v>
      </c>
      <c r="K571" t="n">
        <v>0</v>
      </c>
      <c r="L571" t="n">
        <v>0</v>
      </c>
      <c r="M571" t="n">
        <v>0</v>
      </c>
      <c r="N571" t="n">
        <v>0</v>
      </c>
      <c r="O571" t="n">
        <v>0</v>
      </c>
      <c r="P571" t="n">
        <v>0</v>
      </c>
      <c r="Q571" t="n">
        <v>0</v>
      </c>
      <c r="R571" s="2" t="inlineStr"/>
    </row>
    <row r="572" ht="15" customHeight="1">
      <c r="A572" t="inlineStr">
        <is>
          <t>A 50017-2023</t>
        </is>
      </c>
      <c r="B572" s="1" t="n">
        <v>45215</v>
      </c>
      <c r="C572" s="1" t="n">
        <v>45907</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50018-2023</t>
        </is>
      </c>
      <c r="B573" s="1" t="n">
        <v>45215</v>
      </c>
      <c r="C573" s="1" t="n">
        <v>45907</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29843-2023</t>
        </is>
      </c>
      <c r="B574" s="1" t="n">
        <v>45107</v>
      </c>
      <c r="C574" s="1" t="n">
        <v>45907</v>
      </c>
      <c r="D574" t="inlineStr">
        <is>
          <t>SÖDERMANLANDS LÄN</t>
        </is>
      </c>
      <c r="E574" t="inlineStr">
        <is>
          <t>KATRINEHOLM</t>
        </is>
      </c>
      <c r="F574" t="inlineStr">
        <is>
          <t>Holmen skog AB</t>
        </is>
      </c>
      <c r="G574" t="n">
        <v>1.8</v>
      </c>
      <c r="H574" t="n">
        <v>0</v>
      </c>
      <c r="I574" t="n">
        <v>0</v>
      </c>
      <c r="J574" t="n">
        <v>0</v>
      </c>
      <c r="K574" t="n">
        <v>0</v>
      </c>
      <c r="L574" t="n">
        <v>0</v>
      </c>
      <c r="M574" t="n">
        <v>0</v>
      </c>
      <c r="N574" t="n">
        <v>0</v>
      </c>
      <c r="O574" t="n">
        <v>0</v>
      </c>
      <c r="P574" t="n">
        <v>0</v>
      </c>
      <c r="Q574" t="n">
        <v>0</v>
      </c>
      <c r="R574" s="2" t="inlineStr"/>
    </row>
    <row r="575" ht="15" customHeight="1">
      <c r="A575" t="inlineStr">
        <is>
          <t>A 56628-2021</t>
        </is>
      </c>
      <c r="B575" s="1" t="n">
        <v>44480</v>
      </c>
      <c r="C575" s="1" t="n">
        <v>45907</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62418-2023</t>
        </is>
      </c>
      <c r="B576" s="1" t="n">
        <v>45268</v>
      </c>
      <c r="C576" s="1" t="n">
        <v>45907</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50032-2022</t>
        </is>
      </c>
      <c r="B577" s="1" t="n">
        <v>44860</v>
      </c>
      <c r="C577" s="1" t="n">
        <v>45907</v>
      </c>
      <c r="D577" t="inlineStr">
        <is>
          <t>SÖDERMANLANDS LÄN</t>
        </is>
      </c>
      <c r="E577" t="inlineStr">
        <is>
          <t>KATRINEHOLM</t>
        </is>
      </c>
      <c r="G577" t="n">
        <v>7.5</v>
      </c>
      <c r="H577" t="n">
        <v>0</v>
      </c>
      <c r="I577" t="n">
        <v>0</v>
      </c>
      <c r="J577" t="n">
        <v>0</v>
      </c>
      <c r="K577" t="n">
        <v>0</v>
      </c>
      <c r="L577" t="n">
        <v>0</v>
      </c>
      <c r="M577" t="n">
        <v>0</v>
      </c>
      <c r="N577" t="n">
        <v>0</v>
      </c>
      <c r="O577" t="n">
        <v>0</v>
      </c>
      <c r="P577" t="n">
        <v>0</v>
      </c>
      <c r="Q577" t="n">
        <v>0</v>
      </c>
      <c r="R577" s="2" t="inlineStr"/>
    </row>
    <row r="578" ht="15" customHeight="1">
      <c r="A578" t="inlineStr">
        <is>
          <t>A 50804-2023</t>
        </is>
      </c>
      <c r="B578" s="1" t="n">
        <v>45211</v>
      </c>
      <c r="C578" s="1" t="n">
        <v>45907</v>
      </c>
      <c r="D578" t="inlineStr">
        <is>
          <t>SÖDERMANLANDS LÄN</t>
        </is>
      </c>
      <c r="E578" t="inlineStr">
        <is>
          <t>KATRINEHOLM</t>
        </is>
      </c>
      <c r="G578" t="n">
        <v>4</v>
      </c>
      <c r="H578" t="n">
        <v>0</v>
      </c>
      <c r="I578" t="n">
        <v>0</v>
      </c>
      <c r="J578" t="n">
        <v>0</v>
      </c>
      <c r="K578" t="n">
        <v>0</v>
      </c>
      <c r="L578" t="n">
        <v>0</v>
      </c>
      <c r="M578" t="n">
        <v>0</v>
      </c>
      <c r="N578" t="n">
        <v>0</v>
      </c>
      <c r="O578" t="n">
        <v>0</v>
      </c>
      <c r="P578" t="n">
        <v>0</v>
      </c>
      <c r="Q578" t="n">
        <v>0</v>
      </c>
      <c r="R578" s="2" t="inlineStr"/>
    </row>
    <row r="579" ht="15" customHeight="1">
      <c r="A579" t="inlineStr">
        <is>
          <t>A 29502-2023</t>
        </is>
      </c>
      <c r="B579" s="1" t="n">
        <v>45106</v>
      </c>
      <c r="C579" s="1" t="n">
        <v>45907</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56074-2022</t>
        </is>
      </c>
      <c r="B580" s="1" t="n">
        <v>44889</v>
      </c>
      <c r="C580" s="1" t="n">
        <v>45907</v>
      </c>
      <c r="D580" t="inlineStr">
        <is>
          <t>SÖDERMANLANDS LÄN</t>
        </is>
      </c>
      <c r="E580" t="inlineStr">
        <is>
          <t>KATRINEHOLM</t>
        </is>
      </c>
      <c r="G580" t="n">
        <v>1</v>
      </c>
      <c r="H580" t="n">
        <v>0</v>
      </c>
      <c r="I580" t="n">
        <v>0</v>
      </c>
      <c r="J580" t="n">
        <v>0</v>
      </c>
      <c r="K580" t="n">
        <v>0</v>
      </c>
      <c r="L580" t="n">
        <v>0</v>
      </c>
      <c r="M580" t="n">
        <v>0</v>
      </c>
      <c r="N580" t="n">
        <v>0</v>
      </c>
      <c r="O580" t="n">
        <v>0</v>
      </c>
      <c r="P580" t="n">
        <v>0</v>
      </c>
      <c r="Q580" t="n">
        <v>0</v>
      </c>
      <c r="R580" s="2" t="inlineStr"/>
      <c r="T580">
        <f>HYPERLINK("https://klasma.github.io/Logging_0483/kartor/A 56074-2022 karta.png", "A 56074-2022")</f>
        <v/>
      </c>
      <c r="V580">
        <f>HYPERLINK("https://klasma.github.io/Logging_0483/klagomål/A 56074-2022 FSC-klagomål.docx", "A 56074-2022")</f>
        <v/>
      </c>
      <c r="W580">
        <f>HYPERLINK("https://klasma.github.io/Logging_0483/klagomålsmail/A 56074-2022 FSC-klagomål mail.docx", "A 56074-2022")</f>
        <v/>
      </c>
      <c r="X580">
        <f>HYPERLINK("https://klasma.github.io/Logging_0483/tillsyn/A 56074-2022 tillsynsbegäran.docx", "A 56074-2022")</f>
        <v/>
      </c>
      <c r="Y580">
        <f>HYPERLINK("https://klasma.github.io/Logging_0483/tillsynsmail/A 56074-2022 tillsynsbegäran mail.docx", "A 56074-2022")</f>
        <v/>
      </c>
    </row>
    <row r="581" ht="15" customHeight="1">
      <c r="A581" t="inlineStr">
        <is>
          <t>A 8922-2024</t>
        </is>
      </c>
      <c r="B581" s="1" t="n">
        <v>45357.38601851852</v>
      </c>
      <c r="C581" s="1" t="n">
        <v>45907</v>
      </c>
      <c r="D581" t="inlineStr">
        <is>
          <t>SÖDERMANLANDS LÄN</t>
        </is>
      </c>
      <c r="E581" t="inlineStr">
        <is>
          <t>KATRINEHOLM</t>
        </is>
      </c>
      <c r="G581" t="n">
        <v>2.2</v>
      </c>
      <c r="H581" t="n">
        <v>0</v>
      </c>
      <c r="I581" t="n">
        <v>0</v>
      </c>
      <c r="J581" t="n">
        <v>0</v>
      </c>
      <c r="K581" t="n">
        <v>0</v>
      </c>
      <c r="L581" t="n">
        <v>0</v>
      </c>
      <c r="M581" t="n">
        <v>0</v>
      </c>
      <c r="N581" t="n">
        <v>0</v>
      </c>
      <c r="O581" t="n">
        <v>0</v>
      </c>
      <c r="P581" t="n">
        <v>0</v>
      </c>
      <c r="Q581" t="n">
        <v>0</v>
      </c>
      <c r="R581" s="2" t="inlineStr"/>
    </row>
    <row r="582" ht="15" customHeight="1">
      <c r="A582" t="inlineStr">
        <is>
          <t>A 45376-2022</t>
        </is>
      </c>
      <c r="B582" s="1" t="n">
        <v>44844</v>
      </c>
      <c r="C582" s="1" t="n">
        <v>45907</v>
      </c>
      <c r="D582" t="inlineStr">
        <is>
          <t>SÖDERMANLANDS LÄN</t>
        </is>
      </c>
      <c r="E582" t="inlineStr">
        <is>
          <t>KATRINEHOLM</t>
        </is>
      </c>
      <c r="G582" t="n">
        <v>4.7</v>
      </c>
      <c r="H582" t="n">
        <v>0</v>
      </c>
      <c r="I582" t="n">
        <v>0</v>
      </c>
      <c r="J582" t="n">
        <v>0</v>
      </c>
      <c r="K582" t="n">
        <v>0</v>
      </c>
      <c r="L582" t="n">
        <v>0</v>
      </c>
      <c r="M582" t="n">
        <v>0</v>
      </c>
      <c r="N582" t="n">
        <v>0</v>
      </c>
      <c r="O582" t="n">
        <v>0</v>
      </c>
      <c r="P582" t="n">
        <v>0</v>
      </c>
      <c r="Q582" t="n">
        <v>0</v>
      </c>
      <c r="R582" s="2" t="inlineStr"/>
    </row>
    <row r="583" ht="15" customHeight="1">
      <c r="A583" t="inlineStr">
        <is>
          <t>A 39748-2022</t>
        </is>
      </c>
      <c r="B583" s="1" t="n">
        <v>44817</v>
      </c>
      <c r="C583" s="1" t="n">
        <v>45907</v>
      </c>
      <c r="D583" t="inlineStr">
        <is>
          <t>SÖDERMANLANDS LÄN</t>
        </is>
      </c>
      <c r="E583" t="inlineStr">
        <is>
          <t>KATRINEHOLM</t>
        </is>
      </c>
      <c r="G583" t="n">
        <v>10.2</v>
      </c>
      <c r="H583" t="n">
        <v>0</v>
      </c>
      <c r="I583" t="n">
        <v>0</v>
      </c>
      <c r="J583" t="n">
        <v>0</v>
      </c>
      <c r="K583" t="n">
        <v>0</v>
      </c>
      <c r="L583" t="n">
        <v>0</v>
      </c>
      <c r="M583" t="n">
        <v>0</v>
      </c>
      <c r="N583" t="n">
        <v>0</v>
      </c>
      <c r="O583" t="n">
        <v>0</v>
      </c>
      <c r="P583" t="n">
        <v>0</v>
      </c>
      <c r="Q583" t="n">
        <v>0</v>
      </c>
      <c r="R583" s="2" t="inlineStr"/>
    </row>
    <row r="584" ht="15" customHeight="1">
      <c r="A584" t="inlineStr">
        <is>
          <t>A 48091-2024</t>
        </is>
      </c>
      <c r="B584" s="1" t="n">
        <v>45590</v>
      </c>
      <c r="C584" s="1" t="n">
        <v>45907</v>
      </c>
      <c r="D584" t="inlineStr">
        <is>
          <t>SÖDERMANLANDS LÄN</t>
        </is>
      </c>
      <c r="E584" t="inlineStr">
        <is>
          <t>KATRINEHOLM</t>
        </is>
      </c>
      <c r="G584" t="n">
        <v>3.1</v>
      </c>
      <c r="H584" t="n">
        <v>0</v>
      </c>
      <c r="I584" t="n">
        <v>0</v>
      </c>
      <c r="J584" t="n">
        <v>0</v>
      </c>
      <c r="K584" t="n">
        <v>0</v>
      </c>
      <c r="L584" t="n">
        <v>0</v>
      </c>
      <c r="M584" t="n">
        <v>0</v>
      </c>
      <c r="N584" t="n">
        <v>0</v>
      </c>
      <c r="O584" t="n">
        <v>0</v>
      </c>
      <c r="P584" t="n">
        <v>0</v>
      </c>
      <c r="Q584" t="n">
        <v>0</v>
      </c>
      <c r="R584" s="2" t="inlineStr"/>
    </row>
    <row r="585" ht="15" customHeight="1">
      <c r="A585" t="inlineStr">
        <is>
          <t>A 3090-2025</t>
        </is>
      </c>
      <c r="B585" s="1" t="n">
        <v>45678</v>
      </c>
      <c r="C585" s="1" t="n">
        <v>45907</v>
      </c>
      <c r="D585" t="inlineStr">
        <is>
          <t>SÖDERMANLANDS LÄN</t>
        </is>
      </c>
      <c r="E585" t="inlineStr">
        <is>
          <t>KATRINEHOLM</t>
        </is>
      </c>
      <c r="F585" t="inlineStr">
        <is>
          <t>Kyrkan</t>
        </is>
      </c>
      <c r="G585" t="n">
        <v>6.9</v>
      </c>
      <c r="H585" t="n">
        <v>0</v>
      </c>
      <c r="I585" t="n">
        <v>0</v>
      </c>
      <c r="J585" t="n">
        <v>0</v>
      </c>
      <c r="K585" t="n">
        <v>0</v>
      </c>
      <c r="L585" t="n">
        <v>0</v>
      </c>
      <c r="M585" t="n">
        <v>0</v>
      </c>
      <c r="N585" t="n">
        <v>0</v>
      </c>
      <c r="O585" t="n">
        <v>0</v>
      </c>
      <c r="P585" t="n">
        <v>0</v>
      </c>
      <c r="Q585" t="n">
        <v>0</v>
      </c>
      <c r="R585" s="2" t="inlineStr"/>
    </row>
    <row r="586" ht="15" customHeight="1">
      <c r="A586" t="inlineStr">
        <is>
          <t>A 48160-2022</t>
        </is>
      </c>
      <c r="B586" s="1" t="n">
        <v>44853</v>
      </c>
      <c r="C586" s="1" t="n">
        <v>45907</v>
      </c>
      <c r="D586" t="inlineStr">
        <is>
          <t>SÖDERMANLANDS LÄN</t>
        </is>
      </c>
      <c r="E586" t="inlineStr">
        <is>
          <t>KATRINEHOLM</t>
        </is>
      </c>
      <c r="F586" t="inlineStr">
        <is>
          <t>Övriga statliga verk och myndigheter</t>
        </is>
      </c>
      <c r="G586" t="n">
        <v>2.2</v>
      </c>
      <c r="H586" t="n">
        <v>0</v>
      </c>
      <c r="I586" t="n">
        <v>0</v>
      </c>
      <c r="J586" t="n">
        <v>0</v>
      </c>
      <c r="K586" t="n">
        <v>0</v>
      </c>
      <c r="L586" t="n">
        <v>0</v>
      </c>
      <c r="M586" t="n">
        <v>0</v>
      </c>
      <c r="N586" t="n">
        <v>0</v>
      </c>
      <c r="O586" t="n">
        <v>0</v>
      </c>
      <c r="P586" t="n">
        <v>0</v>
      </c>
      <c r="Q586" t="n">
        <v>0</v>
      </c>
      <c r="R586" s="2" t="inlineStr"/>
    </row>
    <row r="587" ht="15" customHeight="1">
      <c r="A587" t="inlineStr">
        <is>
          <t>A 28427-2024</t>
        </is>
      </c>
      <c r="B587" s="1" t="n">
        <v>45477.64910879629</v>
      </c>
      <c r="C587" s="1" t="n">
        <v>45907</v>
      </c>
      <c r="D587" t="inlineStr">
        <is>
          <t>SÖDERMANLANDS LÄN</t>
        </is>
      </c>
      <c r="E587" t="inlineStr">
        <is>
          <t>KATRINEHOLM</t>
        </is>
      </c>
      <c r="G587" t="n">
        <v>5.9</v>
      </c>
      <c r="H587" t="n">
        <v>0</v>
      </c>
      <c r="I587" t="n">
        <v>0</v>
      </c>
      <c r="J587" t="n">
        <v>0</v>
      </c>
      <c r="K587" t="n">
        <v>0</v>
      </c>
      <c r="L587" t="n">
        <v>0</v>
      </c>
      <c r="M587" t="n">
        <v>0</v>
      </c>
      <c r="N587" t="n">
        <v>0</v>
      </c>
      <c r="O587" t="n">
        <v>0</v>
      </c>
      <c r="P587" t="n">
        <v>0</v>
      </c>
      <c r="Q587" t="n">
        <v>0</v>
      </c>
      <c r="R587" s="2" t="inlineStr"/>
    </row>
    <row r="588" ht="15" customHeight="1">
      <c r="A588" t="inlineStr">
        <is>
          <t>A 28431-2024</t>
        </is>
      </c>
      <c r="B588" s="1" t="n">
        <v>45477.65216435185</v>
      </c>
      <c r="C588" s="1" t="n">
        <v>45907</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18339-2023</t>
        </is>
      </c>
      <c r="B589" s="1" t="n">
        <v>45041</v>
      </c>
      <c r="C589" s="1" t="n">
        <v>45907</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20460-2025</t>
        </is>
      </c>
      <c r="B590" s="1" t="n">
        <v>45775.52854166667</v>
      </c>
      <c r="C590" s="1" t="n">
        <v>45907</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49092-2024</t>
        </is>
      </c>
      <c r="B591" s="1" t="n">
        <v>45594.63619212963</v>
      </c>
      <c r="C591" s="1" t="n">
        <v>45907</v>
      </c>
      <c r="D591" t="inlineStr">
        <is>
          <t>SÖDERMANLANDS LÄN</t>
        </is>
      </c>
      <c r="E591" t="inlineStr">
        <is>
          <t>KATRINEHOLM</t>
        </is>
      </c>
      <c r="F591" t="inlineStr">
        <is>
          <t>Övriga Aktiebolag</t>
        </is>
      </c>
      <c r="G591" t="n">
        <v>0.4</v>
      </c>
      <c r="H591" t="n">
        <v>0</v>
      </c>
      <c r="I591" t="n">
        <v>0</v>
      </c>
      <c r="J591" t="n">
        <v>0</v>
      </c>
      <c r="K591" t="n">
        <v>0</v>
      </c>
      <c r="L591" t="n">
        <v>0</v>
      </c>
      <c r="M591" t="n">
        <v>0</v>
      </c>
      <c r="N591" t="n">
        <v>0</v>
      </c>
      <c r="O591" t="n">
        <v>0</v>
      </c>
      <c r="P591" t="n">
        <v>0</v>
      </c>
      <c r="Q591" t="n">
        <v>0</v>
      </c>
      <c r="R591" s="2" t="inlineStr"/>
    </row>
    <row r="592" ht="15" customHeight="1">
      <c r="A592" t="inlineStr">
        <is>
          <t>A 49095-2024</t>
        </is>
      </c>
      <c r="B592" s="1" t="n">
        <v>45594.63828703704</v>
      </c>
      <c r="C592" s="1" t="n">
        <v>45907</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55172-2022</t>
        </is>
      </c>
      <c r="B593" s="1" t="n">
        <v>44886</v>
      </c>
      <c r="C593" s="1" t="n">
        <v>45907</v>
      </c>
      <c r="D593" t="inlineStr">
        <is>
          <t>SÖDERMANLANDS LÄN</t>
        </is>
      </c>
      <c r="E593" t="inlineStr">
        <is>
          <t>KATRINEHOLM</t>
        </is>
      </c>
      <c r="G593" t="n">
        <v>1.3</v>
      </c>
      <c r="H593" t="n">
        <v>0</v>
      </c>
      <c r="I593" t="n">
        <v>0</v>
      </c>
      <c r="J593" t="n">
        <v>0</v>
      </c>
      <c r="K593" t="n">
        <v>0</v>
      </c>
      <c r="L593" t="n">
        <v>0</v>
      </c>
      <c r="M593" t="n">
        <v>0</v>
      </c>
      <c r="N593" t="n">
        <v>0</v>
      </c>
      <c r="O593" t="n">
        <v>0</v>
      </c>
      <c r="P593" t="n">
        <v>0</v>
      </c>
      <c r="Q593" t="n">
        <v>0</v>
      </c>
      <c r="R593" s="2" t="inlineStr"/>
    </row>
    <row r="594" ht="15" customHeight="1">
      <c r="A594" t="inlineStr">
        <is>
          <t>A 50935-2023</t>
        </is>
      </c>
      <c r="B594" s="1" t="n">
        <v>45211</v>
      </c>
      <c r="C594" s="1" t="n">
        <v>45907</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24619-2024</t>
        </is>
      </c>
      <c r="B595" s="1" t="n">
        <v>45460</v>
      </c>
      <c r="C595" s="1" t="n">
        <v>45907</v>
      </c>
      <c r="D595" t="inlineStr">
        <is>
          <t>SÖDERMANLANDS LÄN</t>
        </is>
      </c>
      <c r="E595" t="inlineStr">
        <is>
          <t>KATRINEHOLM</t>
        </is>
      </c>
      <c r="G595" t="n">
        <v>4.7</v>
      </c>
      <c r="H595" t="n">
        <v>0</v>
      </c>
      <c r="I595" t="n">
        <v>0</v>
      </c>
      <c r="J595" t="n">
        <v>0</v>
      </c>
      <c r="K595" t="n">
        <v>0</v>
      </c>
      <c r="L595" t="n">
        <v>0</v>
      </c>
      <c r="M595" t="n">
        <v>0</v>
      </c>
      <c r="N595" t="n">
        <v>0</v>
      </c>
      <c r="O595" t="n">
        <v>0</v>
      </c>
      <c r="P595" t="n">
        <v>0</v>
      </c>
      <c r="Q595" t="n">
        <v>0</v>
      </c>
      <c r="R595" s="2" t="inlineStr"/>
    </row>
    <row r="596" ht="15" customHeight="1">
      <c r="A596" t="inlineStr">
        <is>
          <t>A 34981-2023</t>
        </is>
      </c>
      <c r="B596" s="1" t="n">
        <v>45142</v>
      </c>
      <c r="C596" s="1" t="n">
        <v>45907</v>
      </c>
      <c r="D596" t="inlineStr">
        <is>
          <t>SÖDERMANLANDS LÄN</t>
        </is>
      </c>
      <c r="E596" t="inlineStr">
        <is>
          <t>KATRINEHOLM</t>
        </is>
      </c>
      <c r="G596" t="n">
        <v>10</v>
      </c>
      <c r="H596" t="n">
        <v>0</v>
      </c>
      <c r="I596" t="n">
        <v>0</v>
      </c>
      <c r="J596" t="n">
        <v>0</v>
      </c>
      <c r="K596" t="n">
        <v>0</v>
      </c>
      <c r="L596" t="n">
        <v>0</v>
      </c>
      <c r="M596" t="n">
        <v>0</v>
      </c>
      <c r="N596" t="n">
        <v>0</v>
      </c>
      <c r="O596" t="n">
        <v>0</v>
      </c>
      <c r="P596" t="n">
        <v>0</v>
      </c>
      <c r="Q596" t="n">
        <v>0</v>
      </c>
      <c r="R596" s="2" t="inlineStr"/>
    </row>
    <row r="597" ht="15" customHeight="1">
      <c r="A597" t="inlineStr">
        <is>
          <t>A 6087-2021</t>
        </is>
      </c>
      <c r="B597" s="1" t="n">
        <v>44232</v>
      </c>
      <c r="C597" s="1" t="n">
        <v>45907</v>
      </c>
      <c r="D597" t="inlineStr">
        <is>
          <t>SÖDERMANLANDS LÄN</t>
        </is>
      </c>
      <c r="E597" t="inlineStr">
        <is>
          <t>KATRINEHOLM</t>
        </is>
      </c>
      <c r="G597" t="n">
        <v>2.6</v>
      </c>
      <c r="H597" t="n">
        <v>0</v>
      </c>
      <c r="I597" t="n">
        <v>0</v>
      </c>
      <c r="J597" t="n">
        <v>0</v>
      </c>
      <c r="K597" t="n">
        <v>0</v>
      </c>
      <c r="L597" t="n">
        <v>0</v>
      </c>
      <c r="M597" t="n">
        <v>0</v>
      </c>
      <c r="N597" t="n">
        <v>0</v>
      </c>
      <c r="O597" t="n">
        <v>0</v>
      </c>
      <c r="P597" t="n">
        <v>0</v>
      </c>
      <c r="Q597" t="n">
        <v>0</v>
      </c>
      <c r="R597" s="2" t="inlineStr"/>
    </row>
    <row r="598" ht="15" customHeight="1">
      <c r="A598" t="inlineStr">
        <is>
          <t>A 31740-2022</t>
        </is>
      </c>
      <c r="B598" s="1" t="n">
        <v>44776</v>
      </c>
      <c r="C598" s="1" t="n">
        <v>45907</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53843-2023</t>
        </is>
      </c>
      <c r="B599" s="1" t="n">
        <v>45230</v>
      </c>
      <c r="C599" s="1" t="n">
        <v>45907</v>
      </c>
      <c r="D599" t="inlineStr">
        <is>
          <t>SÖDERMANLANDS LÄN</t>
        </is>
      </c>
      <c r="E599" t="inlineStr">
        <is>
          <t>KATRINEHOLM</t>
        </is>
      </c>
      <c r="G599" t="n">
        <v>14.2</v>
      </c>
      <c r="H599" t="n">
        <v>0</v>
      </c>
      <c r="I599" t="n">
        <v>0</v>
      </c>
      <c r="J599" t="n">
        <v>0</v>
      </c>
      <c r="K599" t="n">
        <v>0</v>
      </c>
      <c r="L599" t="n">
        <v>0</v>
      </c>
      <c r="M599" t="n">
        <v>0</v>
      </c>
      <c r="N599" t="n">
        <v>0</v>
      </c>
      <c r="O599" t="n">
        <v>0</v>
      </c>
      <c r="P599" t="n">
        <v>0</v>
      </c>
      <c r="Q599" t="n">
        <v>0</v>
      </c>
      <c r="R599" s="2" t="inlineStr"/>
    </row>
    <row r="600" ht="15" customHeight="1">
      <c r="A600" t="inlineStr">
        <is>
          <t>A 53750-2022</t>
        </is>
      </c>
      <c r="B600" s="1" t="n">
        <v>44875</v>
      </c>
      <c r="C600" s="1" t="n">
        <v>45907</v>
      </c>
      <c r="D600" t="inlineStr">
        <is>
          <t>SÖDERMANLANDS LÄN</t>
        </is>
      </c>
      <c r="E600" t="inlineStr">
        <is>
          <t>KATRINEHOLM</t>
        </is>
      </c>
      <c r="F600" t="inlineStr">
        <is>
          <t>Övriga Aktiebolag</t>
        </is>
      </c>
      <c r="G600" t="n">
        <v>12.6</v>
      </c>
      <c r="H600" t="n">
        <v>0</v>
      </c>
      <c r="I600" t="n">
        <v>0</v>
      </c>
      <c r="J600" t="n">
        <v>0</v>
      </c>
      <c r="K600" t="n">
        <v>0</v>
      </c>
      <c r="L600" t="n">
        <v>0</v>
      </c>
      <c r="M600" t="n">
        <v>0</v>
      </c>
      <c r="N600" t="n">
        <v>0</v>
      </c>
      <c r="O600" t="n">
        <v>0</v>
      </c>
      <c r="P600" t="n">
        <v>0</v>
      </c>
      <c r="Q600" t="n">
        <v>0</v>
      </c>
      <c r="R600" s="2" t="inlineStr"/>
    </row>
    <row r="601" ht="15" customHeight="1">
      <c r="A601" t="inlineStr">
        <is>
          <t>A 47886-2023</t>
        </is>
      </c>
      <c r="B601" s="1" t="n">
        <v>45204</v>
      </c>
      <c r="C601" s="1" t="n">
        <v>45907</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7254-2021</t>
        </is>
      </c>
      <c r="B602" s="1" t="n">
        <v>44238</v>
      </c>
      <c r="C602" s="1" t="n">
        <v>45907</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22295-2024</t>
        </is>
      </c>
      <c r="B603" s="1" t="n">
        <v>45446.56141203704</v>
      </c>
      <c r="C603" s="1" t="n">
        <v>45907</v>
      </c>
      <c r="D603" t="inlineStr">
        <is>
          <t>SÖDERMANLANDS LÄN</t>
        </is>
      </c>
      <c r="E603" t="inlineStr">
        <is>
          <t>KATRINEHOLM</t>
        </is>
      </c>
      <c r="F603" t="inlineStr">
        <is>
          <t>Kommuner</t>
        </is>
      </c>
      <c r="G603" t="n">
        <v>1.2</v>
      </c>
      <c r="H603" t="n">
        <v>0</v>
      </c>
      <c r="I603" t="n">
        <v>0</v>
      </c>
      <c r="J603" t="n">
        <v>0</v>
      </c>
      <c r="K603" t="n">
        <v>0</v>
      </c>
      <c r="L603" t="n">
        <v>0</v>
      </c>
      <c r="M603" t="n">
        <v>0</v>
      </c>
      <c r="N603" t="n">
        <v>0</v>
      </c>
      <c r="O603" t="n">
        <v>0</v>
      </c>
      <c r="P603" t="n">
        <v>0</v>
      </c>
      <c r="Q603" t="n">
        <v>0</v>
      </c>
      <c r="R603" s="2" t="inlineStr"/>
    </row>
    <row r="604" ht="15" customHeight="1">
      <c r="A604" t="inlineStr">
        <is>
          <t>A 3125-2024</t>
        </is>
      </c>
      <c r="B604" s="1" t="n">
        <v>45316</v>
      </c>
      <c r="C604" s="1" t="n">
        <v>45907</v>
      </c>
      <c r="D604" t="inlineStr">
        <is>
          <t>SÖDERMANLANDS LÄN</t>
        </is>
      </c>
      <c r="E604" t="inlineStr">
        <is>
          <t>KATRINEHOLM</t>
        </is>
      </c>
      <c r="G604" t="n">
        <v>3.4</v>
      </c>
      <c r="H604" t="n">
        <v>0</v>
      </c>
      <c r="I604" t="n">
        <v>0</v>
      </c>
      <c r="J604" t="n">
        <v>0</v>
      </c>
      <c r="K604" t="n">
        <v>0</v>
      </c>
      <c r="L604" t="n">
        <v>0</v>
      </c>
      <c r="M604" t="n">
        <v>0</v>
      </c>
      <c r="N604" t="n">
        <v>0</v>
      </c>
      <c r="O604" t="n">
        <v>0</v>
      </c>
      <c r="P604" t="n">
        <v>0</v>
      </c>
      <c r="Q604" t="n">
        <v>0</v>
      </c>
      <c r="R604" s="2" t="inlineStr"/>
    </row>
    <row r="605" ht="15" customHeight="1">
      <c r="A605" t="inlineStr">
        <is>
          <t>A 8087-2022</t>
        </is>
      </c>
      <c r="B605" s="1" t="n">
        <v>44609.53502314815</v>
      </c>
      <c r="C605" s="1" t="n">
        <v>45907</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22272-2022</t>
        </is>
      </c>
      <c r="B606" s="1" t="n">
        <v>44712</v>
      </c>
      <c r="C606" s="1" t="n">
        <v>45907</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53715-2023</t>
        </is>
      </c>
      <c r="B607" s="1" t="n">
        <v>45230</v>
      </c>
      <c r="C607" s="1" t="n">
        <v>45907</v>
      </c>
      <c r="D607" t="inlineStr">
        <is>
          <t>SÖDERMANLANDS LÄN</t>
        </is>
      </c>
      <c r="E607" t="inlineStr">
        <is>
          <t>KATRINEHOLM</t>
        </is>
      </c>
      <c r="F607" t="inlineStr">
        <is>
          <t>Allmännings- och besparingsskogar</t>
        </is>
      </c>
      <c r="G607" t="n">
        <v>5.6</v>
      </c>
      <c r="H607" t="n">
        <v>0</v>
      </c>
      <c r="I607" t="n">
        <v>0</v>
      </c>
      <c r="J607" t="n">
        <v>0</v>
      </c>
      <c r="K607" t="n">
        <v>0</v>
      </c>
      <c r="L607" t="n">
        <v>0</v>
      </c>
      <c r="M607" t="n">
        <v>0</v>
      </c>
      <c r="N607" t="n">
        <v>0</v>
      </c>
      <c r="O607" t="n">
        <v>0</v>
      </c>
      <c r="P607" t="n">
        <v>0</v>
      </c>
      <c r="Q607" t="n">
        <v>0</v>
      </c>
      <c r="R607" s="2" t="inlineStr"/>
    </row>
    <row r="608" ht="15" customHeight="1">
      <c r="A608" t="inlineStr">
        <is>
          <t>A 27852-2023</t>
        </is>
      </c>
      <c r="B608" s="1" t="n">
        <v>45098</v>
      </c>
      <c r="C608" s="1" t="n">
        <v>45907</v>
      </c>
      <c r="D608" t="inlineStr">
        <is>
          <t>SÖDERMANLANDS LÄN</t>
        </is>
      </c>
      <c r="E608" t="inlineStr">
        <is>
          <t>KATRINEHOLM</t>
        </is>
      </c>
      <c r="G608" t="n">
        <v>7.4</v>
      </c>
      <c r="H608" t="n">
        <v>0</v>
      </c>
      <c r="I608" t="n">
        <v>0</v>
      </c>
      <c r="J608" t="n">
        <v>0</v>
      </c>
      <c r="K608" t="n">
        <v>0</v>
      </c>
      <c r="L608" t="n">
        <v>0</v>
      </c>
      <c r="M608" t="n">
        <v>0</v>
      </c>
      <c r="N608" t="n">
        <v>0</v>
      </c>
      <c r="O608" t="n">
        <v>0</v>
      </c>
      <c r="P608" t="n">
        <v>0</v>
      </c>
      <c r="Q608" t="n">
        <v>0</v>
      </c>
      <c r="R608" s="2" t="inlineStr"/>
    </row>
    <row r="609" ht="15" customHeight="1">
      <c r="A609" t="inlineStr">
        <is>
          <t>A 58175-2024</t>
        </is>
      </c>
      <c r="B609" s="1" t="n">
        <v>45632.46648148148</v>
      </c>
      <c r="C609" s="1" t="n">
        <v>45907</v>
      </c>
      <c r="D609" t="inlineStr">
        <is>
          <t>SÖDERMANLANDS LÄN</t>
        </is>
      </c>
      <c r="E609" t="inlineStr">
        <is>
          <t>KATRINEHOLM</t>
        </is>
      </c>
      <c r="G609" t="n">
        <v>1.3</v>
      </c>
      <c r="H609" t="n">
        <v>0</v>
      </c>
      <c r="I609" t="n">
        <v>0</v>
      </c>
      <c r="J609" t="n">
        <v>0</v>
      </c>
      <c r="K609" t="n">
        <v>0</v>
      </c>
      <c r="L609" t="n">
        <v>0</v>
      </c>
      <c r="M609" t="n">
        <v>0</v>
      </c>
      <c r="N609" t="n">
        <v>0</v>
      </c>
      <c r="O609" t="n">
        <v>0</v>
      </c>
      <c r="P609" t="n">
        <v>0</v>
      </c>
      <c r="Q609" t="n">
        <v>0</v>
      </c>
      <c r="R609" s="2" t="inlineStr"/>
    </row>
    <row r="610" ht="15" customHeight="1">
      <c r="A610" t="inlineStr">
        <is>
          <t>A 1143-2024</t>
        </is>
      </c>
      <c r="B610" s="1" t="n">
        <v>45302</v>
      </c>
      <c r="C610" s="1" t="n">
        <v>45907</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59474-2021</t>
        </is>
      </c>
      <c r="B611" s="1" t="n">
        <v>44491</v>
      </c>
      <c r="C611" s="1" t="n">
        <v>45907</v>
      </c>
      <c r="D611" t="inlineStr">
        <is>
          <t>SÖDERMANLANDS LÄN</t>
        </is>
      </c>
      <c r="E611" t="inlineStr">
        <is>
          <t>KATRINEHOLM</t>
        </is>
      </c>
      <c r="G611" t="n">
        <v>2.7</v>
      </c>
      <c r="H611" t="n">
        <v>0</v>
      </c>
      <c r="I611" t="n">
        <v>0</v>
      </c>
      <c r="J611" t="n">
        <v>0</v>
      </c>
      <c r="K611" t="n">
        <v>0</v>
      </c>
      <c r="L611" t="n">
        <v>0</v>
      </c>
      <c r="M611" t="n">
        <v>0</v>
      </c>
      <c r="N611" t="n">
        <v>0</v>
      </c>
      <c r="O611" t="n">
        <v>0</v>
      </c>
      <c r="P611" t="n">
        <v>0</v>
      </c>
      <c r="Q611" t="n">
        <v>0</v>
      </c>
      <c r="R611" s="2" t="inlineStr"/>
    </row>
    <row r="612" ht="15" customHeight="1">
      <c r="A612" t="inlineStr">
        <is>
          <t>A 51923-2023</t>
        </is>
      </c>
      <c r="B612" s="1" t="n">
        <v>45223</v>
      </c>
      <c r="C612" s="1" t="n">
        <v>45907</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27875-2024</t>
        </is>
      </c>
      <c r="B613" s="1" t="n">
        <v>45475</v>
      </c>
      <c r="C613" s="1" t="n">
        <v>45907</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59887-2020</t>
        </is>
      </c>
      <c r="B614" s="1" t="n">
        <v>44151</v>
      </c>
      <c r="C614" s="1" t="n">
        <v>45907</v>
      </c>
      <c r="D614" t="inlineStr">
        <is>
          <t>SÖDERMANLANDS LÄN</t>
        </is>
      </c>
      <c r="E614" t="inlineStr">
        <is>
          <t>KATRINEHOLM</t>
        </is>
      </c>
      <c r="G614" t="n">
        <v>3.1</v>
      </c>
      <c r="H614" t="n">
        <v>0</v>
      </c>
      <c r="I614" t="n">
        <v>0</v>
      </c>
      <c r="J614" t="n">
        <v>0</v>
      </c>
      <c r="K614" t="n">
        <v>0</v>
      </c>
      <c r="L614" t="n">
        <v>0</v>
      </c>
      <c r="M614" t="n">
        <v>0</v>
      </c>
      <c r="N614" t="n">
        <v>0</v>
      </c>
      <c r="O614" t="n">
        <v>0</v>
      </c>
      <c r="P614" t="n">
        <v>0</v>
      </c>
      <c r="Q614" t="n">
        <v>0</v>
      </c>
      <c r="R614" s="2" t="inlineStr"/>
    </row>
    <row r="615" ht="15" customHeight="1">
      <c r="A615" t="inlineStr">
        <is>
          <t>A 43088-2022</t>
        </is>
      </c>
      <c r="B615" s="1" t="n">
        <v>44833</v>
      </c>
      <c r="C615" s="1" t="n">
        <v>45907</v>
      </c>
      <c r="D615" t="inlineStr">
        <is>
          <t>SÖDERMANLANDS LÄN</t>
        </is>
      </c>
      <c r="E615" t="inlineStr">
        <is>
          <t>KATRINEHOLM</t>
        </is>
      </c>
      <c r="G615" t="n">
        <v>6.6</v>
      </c>
      <c r="H615" t="n">
        <v>0</v>
      </c>
      <c r="I615" t="n">
        <v>0</v>
      </c>
      <c r="J615" t="n">
        <v>0</v>
      </c>
      <c r="K615" t="n">
        <v>0</v>
      </c>
      <c r="L615" t="n">
        <v>0</v>
      </c>
      <c r="M615" t="n">
        <v>0</v>
      </c>
      <c r="N615" t="n">
        <v>0</v>
      </c>
      <c r="O615" t="n">
        <v>0</v>
      </c>
      <c r="P615" t="n">
        <v>0</v>
      </c>
      <c r="Q615" t="n">
        <v>0</v>
      </c>
      <c r="R615" s="2" t="inlineStr"/>
    </row>
    <row r="616" ht="15" customHeight="1">
      <c r="A616" t="inlineStr">
        <is>
          <t>A 52658-2023</t>
        </is>
      </c>
      <c r="B616" s="1" t="n">
        <v>45225</v>
      </c>
      <c r="C616" s="1" t="n">
        <v>45907</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61385-2023</t>
        </is>
      </c>
      <c r="B617" s="1" t="n">
        <v>45264.64241898148</v>
      </c>
      <c r="C617" s="1" t="n">
        <v>45907</v>
      </c>
      <c r="D617" t="inlineStr">
        <is>
          <t>SÖDERMANLANDS LÄN</t>
        </is>
      </c>
      <c r="E617" t="inlineStr">
        <is>
          <t>KATRINEHOLM</t>
        </is>
      </c>
      <c r="G617" t="n">
        <v>0.4</v>
      </c>
      <c r="H617" t="n">
        <v>0</v>
      </c>
      <c r="I617" t="n">
        <v>0</v>
      </c>
      <c r="J617" t="n">
        <v>0</v>
      </c>
      <c r="K617" t="n">
        <v>0</v>
      </c>
      <c r="L617" t="n">
        <v>0</v>
      </c>
      <c r="M617" t="n">
        <v>0</v>
      </c>
      <c r="N617" t="n">
        <v>0</v>
      </c>
      <c r="O617" t="n">
        <v>0</v>
      </c>
      <c r="P617" t="n">
        <v>0</v>
      </c>
      <c r="Q617" t="n">
        <v>0</v>
      </c>
      <c r="R617" s="2" t="inlineStr"/>
    </row>
    <row r="618" ht="15" customHeight="1">
      <c r="A618" t="inlineStr">
        <is>
          <t>A 48030-2022</t>
        </is>
      </c>
      <c r="B618" s="1" t="n">
        <v>44855</v>
      </c>
      <c r="C618" s="1" t="n">
        <v>45907</v>
      </c>
      <c r="D618" t="inlineStr">
        <is>
          <t>SÖDERMANLANDS LÄN</t>
        </is>
      </c>
      <c r="E618" t="inlineStr">
        <is>
          <t>KATRINEHOLM</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10932-2023</t>
        </is>
      </c>
      <c r="B619" s="1" t="n">
        <v>44985</v>
      </c>
      <c r="C619" s="1" t="n">
        <v>45907</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36767-2022</t>
        </is>
      </c>
      <c r="B620" s="1" t="n">
        <v>44805</v>
      </c>
      <c r="C620" s="1" t="n">
        <v>45907</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5834-2025</t>
        </is>
      </c>
      <c r="B621" s="1" t="n">
        <v>45694</v>
      </c>
      <c r="C621" s="1" t="n">
        <v>45907</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3980-2024</t>
        </is>
      </c>
      <c r="B622" s="1" t="n">
        <v>45322</v>
      </c>
      <c r="C622" s="1" t="n">
        <v>45907</v>
      </c>
      <c r="D622" t="inlineStr">
        <is>
          <t>SÖDERMANLANDS LÄN</t>
        </is>
      </c>
      <c r="E622" t="inlineStr">
        <is>
          <t>KATRINEHOLM</t>
        </is>
      </c>
      <c r="G622" t="n">
        <v>0.4</v>
      </c>
      <c r="H622" t="n">
        <v>0</v>
      </c>
      <c r="I622" t="n">
        <v>0</v>
      </c>
      <c r="J622" t="n">
        <v>0</v>
      </c>
      <c r="K622" t="n">
        <v>0</v>
      </c>
      <c r="L622" t="n">
        <v>0</v>
      </c>
      <c r="M622" t="n">
        <v>0</v>
      </c>
      <c r="N622" t="n">
        <v>0</v>
      </c>
      <c r="O622" t="n">
        <v>0</v>
      </c>
      <c r="P622" t="n">
        <v>0</v>
      </c>
      <c r="Q622" t="n">
        <v>0</v>
      </c>
      <c r="R622" s="2" t="inlineStr"/>
    </row>
    <row r="623" ht="15" customHeight="1">
      <c r="A623" t="inlineStr">
        <is>
          <t>A 48619-2020</t>
        </is>
      </c>
      <c r="B623" s="1" t="n">
        <v>44103</v>
      </c>
      <c r="C623" s="1" t="n">
        <v>45907</v>
      </c>
      <c r="D623" t="inlineStr">
        <is>
          <t>SÖDERMANLANDS LÄN</t>
        </is>
      </c>
      <c r="E623" t="inlineStr">
        <is>
          <t>KATRINEHOLM</t>
        </is>
      </c>
      <c r="F623" t="inlineStr">
        <is>
          <t>Övriga statliga verk och myndigheter</t>
        </is>
      </c>
      <c r="G623" t="n">
        <v>0.9</v>
      </c>
      <c r="H623" t="n">
        <v>0</v>
      </c>
      <c r="I623" t="n">
        <v>0</v>
      </c>
      <c r="J623" t="n">
        <v>0</v>
      </c>
      <c r="K623" t="n">
        <v>0</v>
      </c>
      <c r="L623" t="n">
        <v>0</v>
      </c>
      <c r="M623" t="n">
        <v>0</v>
      </c>
      <c r="N623" t="n">
        <v>0</v>
      </c>
      <c r="O623" t="n">
        <v>0</v>
      </c>
      <c r="P623" t="n">
        <v>0</v>
      </c>
      <c r="Q623" t="n">
        <v>0</v>
      </c>
      <c r="R623" s="2" t="inlineStr"/>
    </row>
    <row r="624" ht="15" customHeight="1">
      <c r="A624" t="inlineStr">
        <is>
          <t>A 17335-2023</t>
        </is>
      </c>
      <c r="B624" s="1" t="n">
        <v>45033</v>
      </c>
      <c r="C624" s="1" t="n">
        <v>45907</v>
      </c>
      <c r="D624" t="inlineStr">
        <is>
          <t>SÖDERMANLANDS LÄN</t>
        </is>
      </c>
      <c r="E624" t="inlineStr">
        <is>
          <t>KATRINEHOLM</t>
        </is>
      </c>
      <c r="G624" t="n">
        <v>3.3</v>
      </c>
      <c r="H624" t="n">
        <v>0</v>
      </c>
      <c r="I624" t="n">
        <v>0</v>
      </c>
      <c r="J624" t="n">
        <v>0</v>
      </c>
      <c r="K624" t="n">
        <v>0</v>
      </c>
      <c r="L624" t="n">
        <v>0</v>
      </c>
      <c r="M624" t="n">
        <v>0</v>
      </c>
      <c r="N624" t="n">
        <v>0</v>
      </c>
      <c r="O624" t="n">
        <v>0</v>
      </c>
      <c r="P624" t="n">
        <v>0</v>
      </c>
      <c r="Q624" t="n">
        <v>0</v>
      </c>
      <c r="R624" s="2" t="inlineStr"/>
    </row>
    <row r="625" ht="15" customHeight="1">
      <c r="A625" t="inlineStr">
        <is>
          <t>A 59898-2022</t>
        </is>
      </c>
      <c r="B625" s="1" t="n">
        <v>44908</v>
      </c>
      <c r="C625" s="1" t="n">
        <v>45907</v>
      </c>
      <c r="D625" t="inlineStr">
        <is>
          <t>SÖDERMANLANDS LÄN</t>
        </is>
      </c>
      <c r="E625" t="inlineStr">
        <is>
          <t>KATRINEHOLM</t>
        </is>
      </c>
      <c r="G625" t="n">
        <v>4.8</v>
      </c>
      <c r="H625" t="n">
        <v>0</v>
      </c>
      <c r="I625" t="n">
        <v>0</v>
      </c>
      <c r="J625" t="n">
        <v>0</v>
      </c>
      <c r="K625" t="n">
        <v>0</v>
      </c>
      <c r="L625" t="n">
        <v>0</v>
      </c>
      <c r="M625" t="n">
        <v>0</v>
      </c>
      <c r="N625" t="n">
        <v>0</v>
      </c>
      <c r="O625" t="n">
        <v>0</v>
      </c>
      <c r="P625" t="n">
        <v>0</v>
      </c>
      <c r="Q625" t="n">
        <v>0</v>
      </c>
      <c r="R625" s="2" t="inlineStr"/>
    </row>
    <row r="626" ht="15" customHeight="1">
      <c r="A626" t="inlineStr">
        <is>
          <t>A 9899-2023</t>
        </is>
      </c>
      <c r="B626" s="1" t="n">
        <v>44985</v>
      </c>
      <c r="C626" s="1" t="n">
        <v>45907</v>
      </c>
      <c r="D626" t="inlineStr">
        <is>
          <t>SÖDERMANLANDS LÄN</t>
        </is>
      </c>
      <c r="E626" t="inlineStr">
        <is>
          <t>KATRINEHOLM</t>
        </is>
      </c>
      <c r="F626" t="inlineStr">
        <is>
          <t>Allmännings- och besparingsskogar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34263-2023</t>
        </is>
      </c>
      <c r="B627" s="1" t="n">
        <v>45138.60248842592</v>
      </c>
      <c r="C627" s="1" t="n">
        <v>45907</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6092-2025</t>
        </is>
      </c>
      <c r="B628" s="1" t="n">
        <v>45697</v>
      </c>
      <c r="C628" s="1" t="n">
        <v>45907</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55863-2022</t>
        </is>
      </c>
      <c r="B629" s="1" t="n">
        <v>44888</v>
      </c>
      <c r="C629" s="1" t="n">
        <v>45907</v>
      </c>
      <c r="D629" t="inlineStr">
        <is>
          <t>SÖDERMANLANDS LÄN</t>
        </is>
      </c>
      <c r="E629" t="inlineStr">
        <is>
          <t>KATRINEHOLM</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55865-2022</t>
        </is>
      </c>
      <c r="B630" s="1" t="n">
        <v>44888</v>
      </c>
      <c r="C630" s="1" t="n">
        <v>45907</v>
      </c>
      <c r="D630" t="inlineStr">
        <is>
          <t>SÖDERMANLANDS LÄN</t>
        </is>
      </c>
      <c r="E630" t="inlineStr">
        <is>
          <t>KATRINEHOLM</t>
        </is>
      </c>
      <c r="G630" t="n">
        <v>9.1</v>
      </c>
      <c r="H630" t="n">
        <v>0</v>
      </c>
      <c r="I630" t="n">
        <v>0</v>
      </c>
      <c r="J630" t="n">
        <v>0</v>
      </c>
      <c r="K630" t="n">
        <v>0</v>
      </c>
      <c r="L630" t="n">
        <v>0</v>
      </c>
      <c r="M630" t="n">
        <v>0</v>
      </c>
      <c r="N630" t="n">
        <v>0</v>
      </c>
      <c r="O630" t="n">
        <v>0</v>
      </c>
      <c r="P630" t="n">
        <v>0</v>
      </c>
      <c r="Q630" t="n">
        <v>0</v>
      </c>
      <c r="R630" s="2" t="inlineStr"/>
    </row>
    <row r="631" ht="15" customHeight="1">
      <c r="A631" t="inlineStr">
        <is>
          <t>A 10341-2022</t>
        </is>
      </c>
      <c r="B631" s="1" t="n">
        <v>44623</v>
      </c>
      <c r="C631" s="1" t="n">
        <v>45907</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9437-2022</t>
        </is>
      </c>
      <c r="B632" s="1" t="n">
        <v>44616.69246527777</v>
      </c>
      <c r="C632" s="1" t="n">
        <v>45907</v>
      </c>
      <c r="D632" t="inlineStr">
        <is>
          <t>SÖDERMANLANDS LÄN</t>
        </is>
      </c>
      <c r="E632" t="inlineStr">
        <is>
          <t>KATRINEHOLM</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22345-2023</t>
        </is>
      </c>
      <c r="B633" s="1" t="n">
        <v>45070</v>
      </c>
      <c r="C633" s="1" t="n">
        <v>45907</v>
      </c>
      <c r="D633" t="inlineStr">
        <is>
          <t>SÖDERMANLANDS LÄN</t>
        </is>
      </c>
      <c r="E633" t="inlineStr">
        <is>
          <t>KATRINEHOLM</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48528-2021</t>
        </is>
      </c>
      <c r="B634" s="1" t="n">
        <v>44449</v>
      </c>
      <c r="C634" s="1" t="n">
        <v>45907</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73412-2021</t>
        </is>
      </c>
      <c r="B635" s="1" t="n">
        <v>44551</v>
      </c>
      <c r="C635" s="1" t="n">
        <v>45907</v>
      </c>
      <c r="D635" t="inlineStr">
        <is>
          <t>SÖDERMANLANDS LÄN</t>
        </is>
      </c>
      <c r="E635" t="inlineStr">
        <is>
          <t>KATRINEHOLM</t>
        </is>
      </c>
      <c r="G635" t="n">
        <v>2</v>
      </c>
      <c r="H635" t="n">
        <v>0</v>
      </c>
      <c r="I635" t="n">
        <v>0</v>
      </c>
      <c r="J635" t="n">
        <v>0</v>
      </c>
      <c r="K635" t="n">
        <v>0</v>
      </c>
      <c r="L635" t="n">
        <v>0</v>
      </c>
      <c r="M635" t="n">
        <v>0</v>
      </c>
      <c r="N635" t="n">
        <v>0</v>
      </c>
      <c r="O635" t="n">
        <v>0</v>
      </c>
      <c r="P635" t="n">
        <v>0</v>
      </c>
      <c r="Q635" t="n">
        <v>0</v>
      </c>
      <c r="R635" s="2" t="inlineStr"/>
    </row>
    <row r="636" ht="15" customHeight="1">
      <c r="A636" t="inlineStr">
        <is>
          <t>A 28675-2024</t>
        </is>
      </c>
      <c r="B636" s="1" t="n">
        <v>45478</v>
      </c>
      <c r="C636" s="1" t="n">
        <v>45907</v>
      </c>
      <c r="D636" t="inlineStr">
        <is>
          <t>SÖDERMANLANDS LÄN</t>
        </is>
      </c>
      <c r="E636" t="inlineStr">
        <is>
          <t>KATRINEHOLM</t>
        </is>
      </c>
      <c r="F636" t="inlineStr">
        <is>
          <t>Övriga Aktiebolag</t>
        </is>
      </c>
      <c r="G636" t="n">
        <v>3.5</v>
      </c>
      <c r="H636" t="n">
        <v>0</v>
      </c>
      <c r="I636" t="n">
        <v>0</v>
      </c>
      <c r="J636" t="n">
        <v>0</v>
      </c>
      <c r="K636" t="n">
        <v>0</v>
      </c>
      <c r="L636" t="n">
        <v>0</v>
      </c>
      <c r="M636" t="n">
        <v>0</v>
      </c>
      <c r="N636" t="n">
        <v>0</v>
      </c>
      <c r="O636" t="n">
        <v>0</v>
      </c>
      <c r="P636" t="n">
        <v>0</v>
      </c>
      <c r="Q636" t="n">
        <v>0</v>
      </c>
      <c r="R636" s="2" t="inlineStr"/>
    </row>
    <row r="637" ht="15" customHeight="1">
      <c r="A637" t="inlineStr">
        <is>
          <t>A 28995-2024</t>
        </is>
      </c>
      <c r="B637" s="1" t="n">
        <v>45481.49899305555</v>
      </c>
      <c r="C637" s="1" t="n">
        <v>45907</v>
      </c>
      <c r="D637" t="inlineStr">
        <is>
          <t>SÖDERMANLANDS LÄN</t>
        </is>
      </c>
      <c r="E637" t="inlineStr">
        <is>
          <t>KATRINEHOLM</t>
        </is>
      </c>
      <c r="G637" t="n">
        <v>0.9</v>
      </c>
      <c r="H637" t="n">
        <v>0</v>
      </c>
      <c r="I637" t="n">
        <v>0</v>
      </c>
      <c r="J637" t="n">
        <v>0</v>
      </c>
      <c r="K637" t="n">
        <v>0</v>
      </c>
      <c r="L637" t="n">
        <v>0</v>
      </c>
      <c r="M637" t="n">
        <v>0</v>
      </c>
      <c r="N637" t="n">
        <v>0</v>
      </c>
      <c r="O637" t="n">
        <v>0</v>
      </c>
      <c r="P637" t="n">
        <v>0</v>
      </c>
      <c r="Q637" t="n">
        <v>0</v>
      </c>
      <c r="R637" s="2" t="inlineStr"/>
    </row>
    <row r="638" ht="15" customHeight="1">
      <c r="A638" t="inlineStr">
        <is>
          <t>A 28597-2024</t>
        </is>
      </c>
      <c r="B638" s="1" t="n">
        <v>45478</v>
      </c>
      <c r="C638" s="1" t="n">
        <v>45907</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49341-2024</t>
        </is>
      </c>
      <c r="B639" s="1" t="n">
        <v>45595</v>
      </c>
      <c r="C639" s="1" t="n">
        <v>45907</v>
      </c>
      <c r="D639" t="inlineStr">
        <is>
          <t>SÖDERMANLANDS LÄN</t>
        </is>
      </c>
      <c r="E639" t="inlineStr">
        <is>
          <t>KATRINEHOLM</t>
        </is>
      </c>
      <c r="G639" t="n">
        <v>10</v>
      </c>
      <c r="H639" t="n">
        <v>0</v>
      </c>
      <c r="I639" t="n">
        <v>0</v>
      </c>
      <c r="J639" t="n">
        <v>0</v>
      </c>
      <c r="K639" t="n">
        <v>0</v>
      </c>
      <c r="L639" t="n">
        <v>0</v>
      </c>
      <c r="M639" t="n">
        <v>0</v>
      </c>
      <c r="N639" t="n">
        <v>0</v>
      </c>
      <c r="O639" t="n">
        <v>0</v>
      </c>
      <c r="P639" t="n">
        <v>0</v>
      </c>
      <c r="Q639" t="n">
        <v>0</v>
      </c>
      <c r="R639" s="2" t="inlineStr"/>
    </row>
    <row r="640" ht="15" customHeight="1">
      <c r="A640" t="inlineStr">
        <is>
          <t>A 33790-2024</t>
        </is>
      </c>
      <c r="B640" s="1" t="n">
        <v>45520.59179398148</v>
      </c>
      <c r="C640" s="1" t="n">
        <v>45907</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41267-2023</t>
        </is>
      </c>
      <c r="B641" s="1" t="n">
        <v>45174</v>
      </c>
      <c r="C641" s="1" t="n">
        <v>45907</v>
      </c>
      <c r="D641" t="inlineStr">
        <is>
          <t>SÖDERMANLANDS LÄN</t>
        </is>
      </c>
      <c r="E641" t="inlineStr">
        <is>
          <t>KATRINEHOLM</t>
        </is>
      </c>
      <c r="F641" t="inlineStr">
        <is>
          <t>Holmen skog AB</t>
        </is>
      </c>
      <c r="G641" t="n">
        <v>4.5</v>
      </c>
      <c r="H641" t="n">
        <v>0</v>
      </c>
      <c r="I641" t="n">
        <v>0</v>
      </c>
      <c r="J641" t="n">
        <v>0</v>
      </c>
      <c r="K641" t="n">
        <v>0</v>
      </c>
      <c r="L641" t="n">
        <v>0</v>
      </c>
      <c r="M641" t="n">
        <v>0</v>
      </c>
      <c r="N641" t="n">
        <v>0</v>
      </c>
      <c r="O641" t="n">
        <v>0</v>
      </c>
      <c r="P641" t="n">
        <v>0</v>
      </c>
      <c r="Q641" t="n">
        <v>0</v>
      </c>
      <c r="R641" s="2" t="inlineStr"/>
    </row>
    <row r="642" ht="15" customHeight="1">
      <c r="A642" t="inlineStr">
        <is>
          <t>A 53809-2021</t>
        </is>
      </c>
      <c r="B642" s="1" t="n">
        <v>44467</v>
      </c>
      <c r="C642" s="1" t="n">
        <v>45907</v>
      </c>
      <c r="D642" t="inlineStr">
        <is>
          <t>SÖDERMANLANDS LÄN</t>
        </is>
      </c>
      <c r="E642" t="inlineStr">
        <is>
          <t>KATRINEHOLM</t>
        </is>
      </c>
      <c r="G642" t="n">
        <v>7</v>
      </c>
      <c r="H642" t="n">
        <v>0</v>
      </c>
      <c r="I642" t="n">
        <v>0</v>
      </c>
      <c r="J642" t="n">
        <v>0</v>
      </c>
      <c r="K642" t="n">
        <v>0</v>
      </c>
      <c r="L642" t="n">
        <v>0</v>
      </c>
      <c r="M642" t="n">
        <v>0</v>
      </c>
      <c r="N642" t="n">
        <v>0</v>
      </c>
      <c r="O642" t="n">
        <v>0</v>
      </c>
      <c r="P642" t="n">
        <v>0</v>
      </c>
      <c r="Q642" t="n">
        <v>0</v>
      </c>
      <c r="R642" s="2" t="inlineStr"/>
    </row>
    <row r="643" ht="15" customHeight="1">
      <c r="A643" t="inlineStr">
        <is>
          <t>A 4758-2025</t>
        </is>
      </c>
      <c r="B643" s="1" t="n">
        <v>45688</v>
      </c>
      <c r="C643" s="1" t="n">
        <v>45907</v>
      </c>
      <c r="D643" t="inlineStr">
        <is>
          <t>SÖDERMANLANDS LÄN</t>
        </is>
      </c>
      <c r="E643" t="inlineStr">
        <is>
          <t>KATRINEHOLM</t>
        </is>
      </c>
      <c r="G643" t="n">
        <v>2.3</v>
      </c>
      <c r="H643" t="n">
        <v>0</v>
      </c>
      <c r="I643" t="n">
        <v>0</v>
      </c>
      <c r="J643" t="n">
        <v>0</v>
      </c>
      <c r="K643" t="n">
        <v>0</v>
      </c>
      <c r="L643" t="n">
        <v>0</v>
      </c>
      <c r="M643" t="n">
        <v>0</v>
      </c>
      <c r="N643" t="n">
        <v>0</v>
      </c>
      <c r="O643" t="n">
        <v>0</v>
      </c>
      <c r="P643" t="n">
        <v>0</v>
      </c>
      <c r="Q643" t="n">
        <v>0</v>
      </c>
      <c r="R643" s="2" t="inlineStr"/>
    </row>
    <row r="644" ht="15" customHeight="1">
      <c r="A644" t="inlineStr">
        <is>
          <t>A 41966-2023</t>
        </is>
      </c>
      <c r="B644" s="1" t="n">
        <v>45177</v>
      </c>
      <c r="C644" s="1" t="n">
        <v>45907</v>
      </c>
      <c r="D644" t="inlineStr">
        <is>
          <t>SÖDERMANLANDS LÄN</t>
        </is>
      </c>
      <c r="E644" t="inlineStr">
        <is>
          <t>KATRINEHOLM</t>
        </is>
      </c>
      <c r="G644" t="n">
        <v>36.9</v>
      </c>
      <c r="H644" t="n">
        <v>0</v>
      </c>
      <c r="I644" t="n">
        <v>0</v>
      </c>
      <c r="J644" t="n">
        <v>0</v>
      </c>
      <c r="K644" t="n">
        <v>0</v>
      </c>
      <c r="L644" t="n">
        <v>0</v>
      </c>
      <c r="M644" t="n">
        <v>0</v>
      </c>
      <c r="N644" t="n">
        <v>0</v>
      </c>
      <c r="O644" t="n">
        <v>0</v>
      </c>
      <c r="P644" t="n">
        <v>0</v>
      </c>
      <c r="Q644" t="n">
        <v>0</v>
      </c>
      <c r="R644" s="2" t="inlineStr"/>
    </row>
    <row r="645" ht="15" customHeight="1">
      <c r="A645" t="inlineStr">
        <is>
          <t>A 10446-2024</t>
        </is>
      </c>
      <c r="B645" s="1" t="n">
        <v>45366</v>
      </c>
      <c r="C645" s="1" t="n">
        <v>45907</v>
      </c>
      <c r="D645" t="inlineStr">
        <is>
          <t>SÖDERMANLANDS LÄN</t>
        </is>
      </c>
      <c r="E645" t="inlineStr">
        <is>
          <t>KATRINEHOLM</t>
        </is>
      </c>
      <c r="G645" t="n">
        <v>2.3</v>
      </c>
      <c r="H645" t="n">
        <v>0</v>
      </c>
      <c r="I645" t="n">
        <v>0</v>
      </c>
      <c r="J645" t="n">
        <v>0</v>
      </c>
      <c r="K645" t="n">
        <v>0</v>
      </c>
      <c r="L645" t="n">
        <v>0</v>
      </c>
      <c r="M645" t="n">
        <v>0</v>
      </c>
      <c r="N645" t="n">
        <v>0</v>
      </c>
      <c r="O645" t="n">
        <v>0</v>
      </c>
      <c r="P645" t="n">
        <v>0</v>
      </c>
      <c r="Q645" t="n">
        <v>0</v>
      </c>
      <c r="R645" s="2" t="inlineStr"/>
    </row>
    <row r="646" ht="15" customHeight="1">
      <c r="A646" t="inlineStr">
        <is>
          <t>A 8761-2023</t>
        </is>
      </c>
      <c r="B646" s="1" t="n">
        <v>44978.49685185185</v>
      </c>
      <c r="C646" s="1" t="n">
        <v>45907</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8778-2023</t>
        </is>
      </c>
      <c r="B647" s="1" t="n">
        <v>44978.5737037037</v>
      </c>
      <c r="C647" s="1" t="n">
        <v>45907</v>
      </c>
      <c r="D647" t="inlineStr">
        <is>
          <t>SÖDERMANLANDS LÄN</t>
        </is>
      </c>
      <c r="E647" t="inlineStr">
        <is>
          <t>KATRINEHOLM</t>
        </is>
      </c>
      <c r="G647" t="n">
        <v>4.5</v>
      </c>
      <c r="H647" t="n">
        <v>0</v>
      </c>
      <c r="I647" t="n">
        <v>0</v>
      </c>
      <c r="J647" t="n">
        <v>0</v>
      </c>
      <c r="K647" t="n">
        <v>0</v>
      </c>
      <c r="L647" t="n">
        <v>0</v>
      </c>
      <c r="M647" t="n">
        <v>0</v>
      </c>
      <c r="N647" t="n">
        <v>0</v>
      </c>
      <c r="O647" t="n">
        <v>0</v>
      </c>
      <c r="P647" t="n">
        <v>0</v>
      </c>
      <c r="Q647" t="n">
        <v>0</v>
      </c>
      <c r="R647" s="2" t="inlineStr"/>
    </row>
    <row r="648" ht="15" customHeight="1">
      <c r="A648" t="inlineStr">
        <is>
          <t>A 63677-2020</t>
        </is>
      </c>
      <c r="B648" s="1" t="n">
        <v>44166</v>
      </c>
      <c r="C648" s="1" t="n">
        <v>45907</v>
      </c>
      <c r="D648" t="inlineStr">
        <is>
          <t>SÖDERMANLANDS LÄN</t>
        </is>
      </c>
      <c r="E648" t="inlineStr">
        <is>
          <t>KATRINEHOLM</t>
        </is>
      </c>
      <c r="F648" t="inlineStr">
        <is>
          <t>Holmen skog AB</t>
        </is>
      </c>
      <c r="G648" t="n">
        <v>2</v>
      </c>
      <c r="H648" t="n">
        <v>0</v>
      </c>
      <c r="I648" t="n">
        <v>0</v>
      </c>
      <c r="J648" t="n">
        <v>0</v>
      </c>
      <c r="K648" t="n">
        <v>0</v>
      </c>
      <c r="L648" t="n">
        <v>0</v>
      </c>
      <c r="M648" t="n">
        <v>0</v>
      </c>
      <c r="N648" t="n">
        <v>0</v>
      </c>
      <c r="O648" t="n">
        <v>0</v>
      </c>
      <c r="P648" t="n">
        <v>0</v>
      </c>
      <c r="Q648" t="n">
        <v>0</v>
      </c>
      <c r="R648" s="2" t="inlineStr"/>
    </row>
    <row r="649" ht="15" customHeight="1">
      <c r="A649" t="inlineStr">
        <is>
          <t>A 28317-2024</t>
        </is>
      </c>
      <c r="B649" s="1" t="n">
        <v>45477</v>
      </c>
      <c r="C649" s="1" t="n">
        <v>45907</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15399-2022</t>
        </is>
      </c>
      <c r="B650" s="1" t="n">
        <v>44659</v>
      </c>
      <c r="C650" s="1" t="n">
        <v>45907</v>
      </c>
      <c r="D650" t="inlineStr">
        <is>
          <t>SÖDERMANLANDS LÄN</t>
        </is>
      </c>
      <c r="E650" t="inlineStr">
        <is>
          <t>KATRINEHOLM</t>
        </is>
      </c>
      <c r="G650" t="n">
        <v>5.6</v>
      </c>
      <c r="H650" t="n">
        <v>0</v>
      </c>
      <c r="I650" t="n">
        <v>0</v>
      </c>
      <c r="J650" t="n">
        <v>0</v>
      </c>
      <c r="K650" t="n">
        <v>0</v>
      </c>
      <c r="L650" t="n">
        <v>0</v>
      </c>
      <c r="M650" t="n">
        <v>0</v>
      </c>
      <c r="N650" t="n">
        <v>0</v>
      </c>
      <c r="O650" t="n">
        <v>0</v>
      </c>
      <c r="P650" t="n">
        <v>0</v>
      </c>
      <c r="Q650" t="n">
        <v>0</v>
      </c>
      <c r="R650" s="2" t="inlineStr"/>
    </row>
    <row r="651" ht="15" customHeight="1">
      <c r="A651" t="inlineStr">
        <is>
          <t>A 49116-2024</t>
        </is>
      </c>
      <c r="B651" s="1" t="n">
        <v>45594.6605787037</v>
      </c>
      <c r="C651" s="1" t="n">
        <v>45907</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62424-2020</t>
        </is>
      </c>
      <c r="B652" s="1" t="n">
        <v>44160</v>
      </c>
      <c r="C652" s="1" t="n">
        <v>45907</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6753-2022</t>
        </is>
      </c>
      <c r="B653" s="1" t="n">
        <v>44602</v>
      </c>
      <c r="C653" s="1" t="n">
        <v>45907</v>
      </c>
      <c r="D653" t="inlineStr">
        <is>
          <t>SÖDERMANLANDS LÄN</t>
        </is>
      </c>
      <c r="E653" t="inlineStr">
        <is>
          <t>KATRINEHOLM</t>
        </is>
      </c>
      <c r="G653" t="n">
        <v>4.3</v>
      </c>
      <c r="H653" t="n">
        <v>0</v>
      </c>
      <c r="I653" t="n">
        <v>0</v>
      </c>
      <c r="J653" t="n">
        <v>0</v>
      </c>
      <c r="K653" t="n">
        <v>0</v>
      </c>
      <c r="L653" t="n">
        <v>0</v>
      </c>
      <c r="M653" t="n">
        <v>0</v>
      </c>
      <c r="N653" t="n">
        <v>0</v>
      </c>
      <c r="O653" t="n">
        <v>0</v>
      </c>
      <c r="P653" t="n">
        <v>0</v>
      </c>
      <c r="Q653" t="n">
        <v>0</v>
      </c>
      <c r="R653" s="2" t="inlineStr"/>
    </row>
    <row r="654" ht="15" customHeight="1">
      <c r="A654" t="inlineStr">
        <is>
          <t>A 6763-2022</t>
        </is>
      </c>
      <c r="B654" s="1" t="n">
        <v>44602</v>
      </c>
      <c r="C654" s="1" t="n">
        <v>45907</v>
      </c>
      <c r="D654" t="inlineStr">
        <is>
          <t>SÖDERMANLANDS LÄN</t>
        </is>
      </c>
      <c r="E654" t="inlineStr">
        <is>
          <t>KATRINEHOLM</t>
        </is>
      </c>
      <c r="G654" t="n">
        <v>6.7</v>
      </c>
      <c r="H654" t="n">
        <v>0</v>
      </c>
      <c r="I654" t="n">
        <v>0</v>
      </c>
      <c r="J654" t="n">
        <v>0</v>
      </c>
      <c r="K654" t="n">
        <v>0</v>
      </c>
      <c r="L654" t="n">
        <v>0</v>
      </c>
      <c r="M654" t="n">
        <v>0</v>
      </c>
      <c r="N654" t="n">
        <v>0</v>
      </c>
      <c r="O654" t="n">
        <v>0</v>
      </c>
      <c r="P654" t="n">
        <v>0</v>
      </c>
      <c r="Q654" t="n">
        <v>0</v>
      </c>
      <c r="R654" s="2" t="inlineStr"/>
    </row>
    <row r="655" ht="15" customHeight="1">
      <c r="A655" t="inlineStr">
        <is>
          <t>A 39068-2022</t>
        </is>
      </c>
      <c r="B655" s="1" t="n">
        <v>44816</v>
      </c>
      <c r="C655" s="1" t="n">
        <v>45907</v>
      </c>
      <c r="D655" t="inlineStr">
        <is>
          <t>SÖDERMANLANDS LÄN</t>
        </is>
      </c>
      <c r="E655" t="inlineStr">
        <is>
          <t>KATRINEHOLM</t>
        </is>
      </c>
      <c r="G655" t="n">
        <v>3.6</v>
      </c>
      <c r="H655" t="n">
        <v>0</v>
      </c>
      <c r="I655" t="n">
        <v>0</v>
      </c>
      <c r="J655" t="n">
        <v>0</v>
      </c>
      <c r="K655" t="n">
        <v>0</v>
      </c>
      <c r="L655" t="n">
        <v>0</v>
      </c>
      <c r="M655" t="n">
        <v>0</v>
      </c>
      <c r="N655" t="n">
        <v>0</v>
      </c>
      <c r="O655" t="n">
        <v>0</v>
      </c>
      <c r="P655" t="n">
        <v>0</v>
      </c>
      <c r="Q655" t="n">
        <v>0</v>
      </c>
      <c r="R655" s="2" t="inlineStr"/>
    </row>
    <row r="656" ht="15" customHeight="1">
      <c r="A656" t="inlineStr">
        <is>
          <t>A 66540-2021</t>
        </is>
      </c>
      <c r="B656" s="1" t="n">
        <v>44519</v>
      </c>
      <c r="C656" s="1" t="n">
        <v>45907</v>
      </c>
      <c r="D656" t="inlineStr">
        <is>
          <t>SÖDERMANLANDS LÄN</t>
        </is>
      </c>
      <c r="E656" t="inlineStr">
        <is>
          <t>KATRINEHOLM</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52348-2021</t>
        </is>
      </c>
      <c r="B657" s="1" t="n">
        <v>44464.49756944444</v>
      </c>
      <c r="C657" s="1" t="n">
        <v>45907</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5795-2022</t>
        </is>
      </c>
      <c r="B658" s="1" t="n">
        <v>44596</v>
      </c>
      <c r="C658" s="1" t="n">
        <v>45907</v>
      </c>
      <c r="D658" t="inlineStr">
        <is>
          <t>SÖDERMANLANDS LÄN</t>
        </is>
      </c>
      <c r="E658" t="inlineStr">
        <is>
          <t>KATRINEHOLM</t>
        </is>
      </c>
      <c r="G658" t="n">
        <v>8.1</v>
      </c>
      <c r="H658" t="n">
        <v>0</v>
      </c>
      <c r="I658" t="n">
        <v>0</v>
      </c>
      <c r="J658" t="n">
        <v>0</v>
      </c>
      <c r="K658" t="n">
        <v>0</v>
      </c>
      <c r="L658" t="n">
        <v>0</v>
      </c>
      <c r="M658" t="n">
        <v>0</v>
      </c>
      <c r="N658" t="n">
        <v>0</v>
      </c>
      <c r="O658" t="n">
        <v>0</v>
      </c>
      <c r="P658" t="n">
        <v>0</v>
      </c>
      <c r="Q658" t="n">
        <v>0</v>
      </c>
      <c r="R658" s="2" t="inlineStr"/>
    </row>
    <row r="659" ht="15" customHeight="1">
      <c r="A659" t="inlineStr">
        <is>
          <t>A 55590-2023</t>
        </is>
      </c>
      <c r="B659" s="1" t="n">
        <v>45238</v>
      </c>
      <c r="C659" s="1" t="n">
        <v>45907</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46257-2021</t>
        </is>
      </c>
      <c r="B660" s="1" t="n">
        <v>44442</v>
      </c>
      <c r="C660" s="1" t="n">
        <v>45907</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5320-2025</t>
        </is>
      </c>
      <c r="B661" s="1" t="n">
        <v>45692</v>
      </c>
      <c r="C661" s="1" t="n">
        <v>45907</v>
      </c>
      <c r="D661" t="inlineStr">
        <is>
          <t>SÖDERMANLANDS LÄN</t>
        </is>
      </c>
      <c r="E661" t="inlineStr">
        <is>
          <t>KATRINEHOLM</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49914-2023</t>
        </is>
      </c>
      <c r="B662" s="1" t="n">
        <v>45214</v>
      </c>
      <c r="C662" s="1" t="n">
        <v>45907</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44637-2023</t>
        </is>
      </c>
      <c r="B663" s="1" t="n">
        <v>45189</v>
      </c>
      <c r="C663" s="1" t="n">
        <v>45907</v>
      </c>
      <c r="D663" t="inlineStr">
        <is>
          <t>SÖDERMANLANDS LÄN</t>
        </is>
      </c>
      <c r="E663" t="inlineStr">
        <is>
          <t>KATRINEHOLM</t>
        </is>
      </c>
      <c r="G663" t="n">
        <v>5.1</v>
      </c>
      <c r="H663" t="n">
        <v>0</v>
      </c>
      <c r="I663" t="n">
        <v>0</v>
      </c>
      <c r="J663" t="n">
        <v>0</v>
      </c>
      <c r="K663" t="n">
        <v>0</v>
      </c>
      <c r="L663" t="n">
        <v>0</v>
      </c>
      <c r="M663" t="n">
        <v>0</v>
      </c>
      <c r="N663" t="n">
        <v>0</v>
      </c>
      <c r="O663" t="n">
        <v>0</v>
      </c>
      <c r="P663" t="n">
        <v>0</v>
      </c>
      <c r="Q663" t="n">
        <v>0</v>
      </c>
      <c r="R663" s="2" t="inlineStr"/>
    </row>
    <row r="664" ht="15" customHeight="1">
      <c r="A664" t="inlineStr">
        <is>
          <t>A 58522-2024</t>
        </is>
      </c>
      <c r="B664" s="1" t="n">
        <v>45635.43770833333</v>
      </c>
      <c r="C664" s="1" t="n">
        <v>45907</v>
      </c>
      <c r="D664" t="inlineStr">
        <is>
          <t>SÖDERMANLANDS LÄN</t>
        </is>
      </c>
      <c r="E664" t="inlineStr">
        <is>
          <t>KATRINEHOLM</t>
        </is>
      </c>
      <c r="G664" t="n">
        <v>2</v>
      </c>
      <c r="H664" t="n">
        <v>0</v>
      </c>
      <c r="I664" t="n">
        <v>0</v>
      </c>
      <c r="J664" t="n">
        <v>0</v>
      </c>
      <c r="K664" t="n">
        <v>0</v>
      </c>
      <c r="L664" t="n">
        <v>0</v>
      </c>
      <c r="M664" t="n">
        <v>0</v>
      </c>
      <c r="N664" t="n">
        <v>0</v>
      </c>
      <c r="O664" t="n">
        <v>0</v>
      </c>
      <c r="P664" t="n">
        <v>0</v>
      </c>
      <c r="Q664" t="n">
        <v>0</v>
      </c>
      <c r="R664" s="2" t="inlineStr"/>
    </row>
    <row r="665" ht="15" customHeight="1">
      <c r="A665" t="inlineStr">
        <is>
          <t>A 57687-2020</t>
        </is>
      </c>
      <c r="B665" s="1" t="n">
        <v>44140</v>
      </c>
      <c r="C665" s="1" t="n">
        <v>45907</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20921-2023</t>
        </is>
      </c>
      <c r="B666" s="1" t="n">
        <v>45061</v>
      </c>
      <c r="C666" s="1" t="n">
        <v>45907</v>
      </c>
      <c r="D666" t="inlineStr">
        <is>
          <t>SÖDERMANLANDS LÄN</t>
        </is>
      </c>
      <c r="E666" t="inlineStr">
        <is>
          <t>KATRINEHOLM</t>
        </is>
      </c>
      <c r="G666" t="n">
        <v>8.9</v>
      </c>
      <c r="H666" t="n">
        <v>0</v>
      </c>
      <c r="I666" t="n">
        <v>0</v>
      </c>
      <c r="J666" t="n">
        <v>0</v>
      </c>
      <c r="K666" t="n">
        <v>0</v>
      </c>
      <c r="L666" t="n">
        <v>0</v>
      </c>
      <c r="M666" t="n">
        <v>0</v>
      </c>
      <c r="N666" t="n">
        <v>0</v>
      </c>
      <c r="O666" t="n">
        <v>0</v>
      </c>
      <c r="P666" t="n">
        <v>0</v>
      </c>
      <c r="Q666" t="n">
        <v>0</v>
      </c>
      <c r="R666" s="2" t="inlineStr"/>
    </row>
    <row r="667" ht="15" customHeight="1">
      <c r="A667" t="inlineStr">
        <is>
          <t>A 55136-2020</t>
        </is>
      </c>
      <c r="B667" s="1" t="n">
        <v>44130</v>
      </c>
      <c r="C667" s="1" t="n">
        <v>45907</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12929-2023</t>
        </is>
      </c>
      <c r="B668" s="1" t="n">
        <v>45001</v>
      </c>
      <c r="C668" s="1" t="n">
        <v>45907</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12932-2023</t>
        </is>
      </c>
      <c r="B669" s="1" t="n">
        <v>45001</v>
      </c>
      <c r="C669" s="1" t="n">
        <v>45907</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55038-2020</t>
        </is>
      </c>
      <c r="B670" s="1" t="n">
        <v>44130</v>
      </c>
      <c r="C670" s="1" t="n">
        <v>45907</v>
      </c>
      <c r="D670" t="inlineStr">
        <is>
          <t>SÖDERMANLANDS LÄN</t>
        </is>
      </c>
      <c r="E670" t="inlineStr">
        <is>
          <t>KATRINEHOLM</t>
        </is>
      </c>
      <c r="G670" t="n">
        <v>3.2</v>
      </c>
      <c r="H670" t="n">
        <v>0</v>
      </c>
      <c r="I670" t="n">
        <v>0</v>
      </c>
      <c r="J670" t="n">
        <v>0</v>
      </c>
      <c r="K670" t="n">
        <v>0</v>
      </c>
      <c r="L670" t="n">
        <v>0</v>
      </c>
      <c r="M670" t="n">
        <v>0</v>
      </c>
      <c r="N670" t="n">
        <v>0</v>
      </c>
      <c r="O670" t="n">
        <v>0</v>
      </c>
      <c r="P670" t="n">
        <v>0</v>
      </c>
      <c r="Q670" t="n">
        <v>0</v>
      </c>
      <c r="R670" s="2" t="inlineStr"/>
    </row>
    <row r="671" ht="15" customHeight="1">
      <c r="A671" t="inlineStr">
        <is>
          <t>A 6446-2022</t>
        </is>
      </c>
      <c r="B671" s="1" t="n">
        <v>44600</v>
      </c>
      <c r="C671" s="1" t="n">
        <v>45907</v>
      </c>
      <c r="D671" t="inlineStr">
        <is>
          <t>SÖDERMANLANDS LÄN</t>
        </is>
      </c>
      <c r="E671" t="inlineStr">
        <is>
          <t>KATRINEHOLM</t>
        </is>
      </c>
      <c r="G671" t="n">
        <v>1.5</v>
      </c>
      <c r="H671" t="n">
        <v>0</v>
      </c>
      <c r="I671" t="n">
        <v>0</v>
      </c>
      <c r="J671" t="n">
        <v>0</v>
      </c>
      <c r="K671" t="n">
        <v>0</v>
      </c>
      <c r="L671" t="n">
        <v>0</v>
      </c>
      <c r="M671" t="n">
        <v>0</v>
      </c>
      <c r="N671" t="n">
        <v>0</v>
      </c>
      <c r="O671" t="n">
        <v>0</v>
      </c>
      <c r="P671" t="n">
        <v>0</v>
      </c>
      <c r="Q671" t="n">
        <v>0</v>
      </c>
      <c r="R671" s="2" t="inlineStr"/>
    </row>
    <row r="672" ht="15" customHeight="1">
      <c r="A672" t="inlineStr">
        <is>
          <t>A 4724-2023</t>
        </is>
      </c>
      <c r="B672" s="1" t="n">
        <v>44957</v>
      </c>
      <c r="C672" s="1" t="n">
        <v>45907</v>
      </c>
      <c r="D672" t="inlineStr">
        <is>
          <t>SÖDERMANLANDS LÄN</t>
        </is>
      </c>
      <c r="E672" t="inlineStr">
        <is>
          <t>KATRINEHOLM</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61431-2024</t>
        </is>
      </c>
      <c r="B673" s="1" t="n">
        <v>45646.45950231481</v>
      </c>
      <c r="C673" s="1" t="n">
        <v>45907</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24097-2022</t>
        </is>
      </c>
      <c r="B674" s="1" t="n">
        <v>44725.39371527778</v>
      </c>
      <c r="C674" s="1" t="n">
        <v>45907</v>
      </c>
      <c r="D674" t="inlineStr">
        <is>
          <t>SÖDERMANLANDS LÄN</t>
        </is>
      </c>
      <c r="E674" t="inlineStr">
        <is>
          <t>KATRINEHOLM</t>
        </is>
      </c>
      <c r="G674" t="n">
        <v>6.5</v>
      </c>
      <c r="H674" t="n">
        <v>0</v>
      </c>
      <c r="I674" t="n">
        <v>0</v>
      </c>
      <c r="J674" t="n">
        <v>0</v>
      </c>
      <c r="K674" t="n">
        <v>0</v>
      </c>
      <c r="L674" t="n">
        <v>0</v>
      </c>
      <c r="M674" t="n">
        <v>0</v>
      </c>
      <c r="N674" t="n">
        <v>0</v>
      </c>
      <c r="O674" t="n">
        <v>0</v>
      </c>
      <c r="P674" t="n">
        <v>0</v>
      </c>
      <c r="Q674" t="n">
        <v>0</v>
      </c>
      <c r="R674" s="2" t="inlineStr"/>
    </row>
    <row r="675" ht="15" customHeight="1">
      <c r="A675" t="inlineStr">
        <is>
          <t>A 8288-2023</t>
        </is>
      </c>
      <c r="B675" s="1" t="n">
        <v>44974</v>
      </c>
      <c r="C675" s="1" t="n">
        <v>45907</v>
      </c>
      <c r="D675" t="inlineStr">
        <is>
          <t>SÖDERMANLANDS LÄN</t>
        </is>
      </c>
      <c r="E675" t="inlineStr">
        <is>
          <t>KATRINEHOLM</t>
        </is>
      </c>
      <c r="F675" t="inlineStr">
        <is>
          <t>Allmännings- och besparingsskogar</t>
        </is>
      </c>
      <c r="G675" t="n">
        <v>5.6</v>
      </c>
      <c r="H675" t="n">
        <v>0</v>
      </c>
      <c r="I675" t="n">
        <v>0</v>
      </c>
      <c r="J675" t="n">
        <v>0</v>
      </c>
      <c r="K675" t="n">
        <v>0</v>
      </c>
      <c r="L675" t="n">
        <v>0</v>
      </c>
      <c r="M675" t="n">
        <v>0</v>
      </c>
      <c r="N675" t="n">
        <v>0</v>
      </c>
      <c r="O675" t="n">
        <v>0</v>
      </c>
      <c r="P675" t="n">
        <v>0</v>
      </c>
      <c r="Q675" t="n">
        <v>0</v>
      </c>
      <c r="R675" s="2" t="inlineStr"/>
    </row>
    <row r="676" ht="15" customHeight="1">
      <c r="A676" t="inlineStr">
        <is>
          <t>A 53393-2023</t>
        </is>
      </c>
      <c r="B676" s="1" t="n">
        <v>45229</v>
      </c>
      <c r="C676" s="1" t="n">
        <v>45907</v>
      </c>
      <c r="D676" t="inlineStr">
        <is>
          <t>SÖDERMANLANDS LÄN</t>
        </is>
      </c>
      <c r="E676" t="inlineStr">
        <is>
          <t>KATRINEHOLM</t>
        </is>
      </c>
      <c r="F676" t="inlineStr">
        <is>
          <t>Kyrkan</t>
        </is>
      </c>
      <c r="G676" t="n">
        <v>5.6</v>
      </c>
      <c r="H676" t="n">
        <v>0</v>
      </c>
      <c r="I676" t="n">
        <v>0</v>
      </c>
      <c r="J676" t="n">
        <v>0</v>
      </c>
      <c r="K676" t="n">
        <v>0</v>
      </c>
      <c r="L676" t="n">
        <v>0</v>
      </c>
      <c r="M676" t="n">
        <v>0</v>
      </c>
      <c r="N676" t="n">
        <v>0</v>
      </c>
      <c r="O676" t="n">
        <v>0</v>
      </c>
      <c r="P676" t="n">
        <v>0</v>
      </c>
      <c r="Q676" t="n">
        <v>0</v>
      </c>
      <c r="R676" s="2" t="inlineStr"/>
    </row>
    <row r="677" ht="15" customHeight="1">
      <c r="A677" t="inlineStr">
        <is>
          <t>A 45142-2021</t>
        </is>
      </c>
      <c r="B677" s="1" t="n">
        <v>44439</v>
      </c>
      <c r="C677" s="1" t="n">
        <v>45907</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48838-2020</t>
        </is>
      </c>
      <c r="B678" s="1" t="n">
        <v>44099</v>
      </c>
      <c r="C678" s="1" t="n">
        <v>45907</v>
      </c>
      <c r="D678" t="inlineStr">
        <is>
          <t>SÖDERMANLANDS LÄN</t>
        </is>
      </c>
      <c r="E678" t="inlineStr">
        <is>
          <t>KATRINEHOLM</t>
        </is>
      </c>
      <c r="G678" t="n">
        <v>6.8</v>
      </c>
      <c r="H678" t="n">
        <v>0</v>
      </c>
      <c r="I678" t="n">
        <v>0</v>
      </c>
      <c r="J678" t="n">
        <v>0</v>
      </c>
      <c r="K678" t="n">
        <v>0</v>
      </c>
      <c r="L678" t="n">
        <v>0</v>
      </c>
      <c r="M678" t="n">
        <v>0</v>
      </c>
      <c r="N678" t="n">
        <v>0</v>
      </c>
      <c r="O678" t="n">
        <v>0</v>
      </c>
      <c r="P678" t="n">
        <v>0</v>
      </c>
      <c r="Q678" t="n">
        <v>0</v>
      </c>
      <c r="R678" s="2" t="inlineStr"/>
    </row>
    <row r="679" ht="15" customHeight="1">
      <c r="A679" t="inlineStr">
        <is>
          <t>A 40744-2022</t>
        </is>
      </c>
      <c r="B679" s="1" t="n">
        <v>44824.55655092592</v>
      </c>
      <c r="C679" s="1" t="n">
        <v>45907</v>
      </c>
      <c r="D679" t="inlineStr">
        <is>
          <t>SÖDERMANLANDS LÄN</t>
        </is>
      </c>
      <c r="E679" t="inlineStr">
        <is>
          <t>KATRINEHOLM</t>
        </is>
      </c>
      <c r="G679" t="n">
        <v>3.7</v>
      </c>
      <c r="H679" t="n">
        <v>0</v>
      </c>
      <c r="I679" t="n">
        <v>0</v>
      </c>
      <c r="J679" t="n">
        <v>0</v>
      </c>
      <c r="K679" t="n">
        <v>0</v>
      </c>
      <c r="L679" t="n">
        <v>0</v>
      </c>
      <c r="M679" t="n">
        <v>0</v>
      </c>
      <c r="N679" t="n">
        <v>0</v>
      </c>
      <c r="O679" t="n">
        <v>0</v>
      </c>
      <c r="P679" t="n">
        <v>0</v>
      </c>
      <c r="Q679" t="n">
        <v>0</v>
      </c>
      <c r="R679" s="2" t="inlineStr"/>
    </row>
    <row r="680" ht="15" customHeight="1">
      <c r="A680" t="inlineStr">
        <is>
          <t>A 20803-2024</t>
        </is>
      </c>
      <c r="B680" s="1" t="n">
        <v>45438</v>
      </c>
      <c r="C680" s="1" t="n">
        <v>45907</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15392-2023</t>
        </is>
      </c>
      <c r="B681" s="1" t="n">
        <v>45016</v>
      </c>
      <c r="C681" s="1" t="n">
        <v>45907</v>
      </c>
      <c r="D681" t="inlineStr">
        <is>
          <t>SÖDERMANLANDS LÄN</t>
        </is>
      </c>
      <c r="E681" t="inlineStr">
        <is>
          <t>KATRINEHOLM</t>
        </is>
      </c>
      <c r="F681" t="inlineStr">
        <is>
          <t>Övriga Aktiebolag</t>
        </is>
      </c>
      <c r="G681" t="n">
        <v>2.7</v>
      </c>
      <c r="H681" t="n">
        <v>0</v>
      </c>
      <c r="I681" t="n">
        <v>0</v>
      </c>
      <c r="J681" t="n">
        <v>0</v>
      </c>
      <c r="K681" t="n">
        <v>0</v>
      </c>
      <c r="L681" t="n">
        <v>0</v>
      </c>
      <c r="M681" t="n">
        <v>0</v>
      </c>
      <c r="N681" t="n">
        <v>0</v>
      </c>
      <c r="O681" t="n">
        <v>0</v>
      </c>
      <c r="P681" t="n">
        <v>0</v>
      </c>
      <c r="Q681" t="n">
        <v>0</v>
      </c>
      <c r="R681" s="2" t="inlineStr"/>
    </row>
    <row r="682" ht="15" customHeight="1">
      <c r="A682" t="inlineStr">
        <is>
          <t>A 5788-2022</t>
        </is>
      </c>
      <c r="B682" s="1" t="n">
        <v>44596.54990740741</v>
      </c>
      <c r="C682" s="1" t="n">
        <v>45907</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5790-2022</t>
        </is>
      </c>
      <c r="B683" s="1" t="n">
        <v>44596.55368055555</v>
      </c>
      <c r="C683" s="1" t="n">
        <v>45907</v>
      </c>
      <c r="D683" t="inlineStr">
        <is>
          <t>SÖDERMANLANDS LÄN</t>
        </is>
      </c>
      <c r="E683" t="inlineStr">
        <is>
          <t>KATRINEHOLM</t>
        </is>
      </c>
      <c r="G683" t="n">
        <v>0.6</v>
      </c>
      <c r="H683" t="n">
        <v>0</v>
      </c>
      <c r="I683" t="n">
        <v>0</v>
      </c>
      <c r="J683" t="n">
        <v>0</v>
      </c>
      <c r="K683" t="n">
        <v>0</v>
      </c>
      <c r="L683" t="n">
        <v>0</v>
      </c>
      <c r="M683" t="n">
        <v>0</v>
      </c>
      <c r="N683" t="n">
        <v>0</v>
      </c>
      <c r="O683" t="n">
        <v>0</v>
      </c>
      <c r="P683" t="n">
        <v>0</v>
      </c>
      <c r="Q683" t="n">
        <v>0</v>
      </c>
      <c r="R683" s="2" t="inlineStr"/>
    </row>
    <row r="684" ht="15" customHeight="1">
      <c r="A684" t="inlineStr">
        <is>
          <t>A 53387-2023</t>
        </is>
      </c>
      <c r="B684" s="1" t="n">
        <v>45229</v>
      </c>
      <c r="C684" s="1" t="n">
        <v>45907</v>
      </c>
      <c r="D684" t="inlineStr">
        <is>
          <t>SÖDERMANLANDS LÄN</t>
        </is>
      </c>
      <c r="E684" t="inlineStr">
        <is>
          <t>KATRINEHOLM</t>
        </is>
      </c>
      <c r="F684" t="inlineStr">
        <is>
          <t>Kyrkan</t>
        </is>
      </c>
      <c r="G684" t="n">
        <v>7.4</v>
      </c>
      <c r="H684" t="n">
        <v>0</v>
      </c>
      <c r="I684" t="n">
        <v>0</v>
      </c>
      <c r="J684" t="n">
        <v>0</v>
      </c>
      <c r="K684" t="n">
        <v>0</v>
      </c>
      <c r="L684" t="n">
        <v>0</v>
      </c>
      <c r="M684" t="n">
        <v>0</v>
      </c>
      <c r="N684" t="n">
        <v>0</v>
      </c>
      <c r="O684" t="n">
        <v>0</v>
      </c>
      <c r="P684" t="n">
        <v>0</v>
      </c>
      <c r="Q684" t="n">
        <v>0</v>
      </c>
      <c r="R684" s="2" t="inlineStr"/>
    </row>
    <row r="685" ht="15" customHeight="1">
      <c r="A685" t="inlineStr">
        <is>
          <t>A 4645-2024</t>
        </is>
      </c>
      <c r="B685" s="1" t="n">
        <v>45328</v>
      </c>
      <c r="C685" s="1" t="n">
        <v>45907</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55169-2022</t>
        </is>
      </c>
      <c r="B686" s="1" t="n">
        <v>44886</v>
      </c>
      <c r="C686" s="1" t="n">
        <v>45907</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28508-2023</t>
        </is>
      </c>
      <c r="B687" s="1" t="n">
        <v>45103.46788194445</v>
      </c>
      <c r="C687" s="1" t="n">
        <v>45907</v>
      </c>
      <c r="D687" t="inlineStr">
        <is>
          <t>SÖDERMANLANDS LÄN</t>
        </is>
      </c>
      <c r="E687" t="inlineStr">
        <is>
          <t>KATRINEHOLM</t>
        </is>
      </c>
      <c r="F687" t="inlineStr">
        <is>
          <t>Kyrkan</t>
        </is>
      </c>
      <c r="G687" t="n">
        <v>20.5</v>
      </c>
      <c r="H687" t="n">
        <v>0</v>
      </c>
      <c r="I687" t="n">
        <v>0</v>
      </c>
      <c r="J687" t="n">
        <v>0</v>
      </c>
      <c r="K687" t="n">
        <v>0</v>
      </c>
      <c r="L687" t="n">
        <v>0</v>
      </c>
      <c r="M687" t="n">
        <v>0</v>
      </c>
      <c r="N687" t="n">
        <v>0</v>
      </c>
      <c r="O687" t="n">
        <v>0</v>
      </c>
      <c r="P687" t="n">
        <v>0</v>
      </c>
      <c r="Q687" t="n">
        <v>0</v>
      </c>
      <c r="R687" s="2" t="inlineStr"/>
    </row>
    <row r="688" ht="15" customHeight="1">
      <c r="A688" t="inlineStr">
        <is>
          <t>A 57645-2020</t>
        </is>
      </c>
      <c r="B688" s="1" t="n">
        <v>44140.68782407408</v>
      </c>
      <c r="C688" s="1" t="n">
        <v>45907</v>
      </c>
      <c r="D688" t="inlineStr">
        <is>
          <t>SÖDERMANLANDS LÄN</t>
        </is>
      </c>
      <c r="E688" t="inlineStr">
        <is>
          <t>KATRINEHOLM</t>
        </is>
      </c>
      <c r="G688" t="n">
        <v>17</v>
      </c>
      <c r="H688" t="n">
        <v>0</v>
      </c>
      <c r="I688" t="n">
        <v>0</v>
      </c>
      <c r="J688" t="n">
        <v>0</v>
      </c>
      <c r="K688" t="n">
        <v>0</v>
      </c>
      <c r="L688" t="n">
        <v>0</v>
      </c>
      <c r="M688" t="n">
        <v>0</v>
      </c>
      <c r="N688" t="n">
        <v>0</v>
      </c>
      <c r="O688" t="n">
        <v>0</v>
      </c>
      <c r="P688" t="n">
        <v>0</v>
      </c>
      <c r="Q688" t="n">
        <v>0</v>
      </c>
      <c r="R688" s="2" t="inlineStr"/>
    </row>
    <row r="689" ht="15" customHeight="1">
      <c r="A689" t="inlineStr">
        <is>
          <t>A 61674-2020</t>
        </is>
      </c>
      <c r="B689" s="1" t="n">
        <v>44158</v>
      </c>
      <c r="C689" s="1" t="n">
        <v>45907</v>
      </c>
      <c r="D689" t="inlineStr">
        <is>
          <t>SÖDERMANLANDS LÄN</t>
        </is>
      </c>
      <c r="E689" t="inlineStr">
        <is>
          <t>KATRINEHOLM</t>
        </is>
      </c>
      <c r="F689" t="inlineStr">
        <is>
          <t>Holmen skog AB</t>
        </is>
      </c>
      <c r="G689" t="n">
        <v>1.3</v>
      </c>
      <c r="H689" t="n">
        <v>0</v>
      </c>
      <c r="I689" t="n">
        <v>0</v>
      </c>
      <c r="J689" t="n">
        <v>0</v>
      </c>
      <c r="K689" t="n">
        <v>0</v>
      </c>
      <c r="L689" t="n">
        <v>0</v>
      </c>
      <c r="M689" t="n">
        <v>0</v>
      </c>
      <c r="N689" t="n">
        <v>0</v>
      </c>
      <c r="O689" t="n">
        <v>0</v>
      </c>
      <c r="P689" t="n">
        <v>0</v>
      </c>
      <c r="Q689" t="n">
        <v>0</v>
      </c>
      <c r="R689" s="2" t="inlineStr"/>
    </row>
    <row r="690" ht="15" customHeight="1">
      <c r="A690" t="inlineStr">
        <is>
          <t>A 45530-2023</t>
        </is>
      </c>
      <c r="B690" s="1" t="n">
        <v>45188</v>
      </c>
      <c r="C690" s="1" t="n">
        <v>45907</v>
      </c>
      <c r="D690" t="inlineStr">
        <is>
          <t>SÖDERMANLANDS LÄN</t>
        </is>
      </c>
      <c r="E690" t="inlineStr">
        <is>
          <t>KATRINEHOLM</t>
        </is>
      </c>
      <c r="F690" t="inlineStr">
        <is>
          <t>Allmännings- och besparingsskogar</t>
        </is>
      </c>
      <c r="G690" t="n">
        <v>37</v>
      </c>
      <c r="H690" t="n">
        <v>0</v>
      </c>
      <c r="I690" t="n">
        <v>0</v>
      </c>
      <c r="J690" t="n">
        <v>0</v>
      </c>
      <c r="K690" t="n">
        <v>0</v>
      </c>
      <c r="L690" t="n">
        <v>0</v>
      </c>
      <c r="M690" t="n">
        <v>0</v>
      </c>
      <c r="N690" t="n">
        <v>0</v>
      </c>
      <c r="O690" t="n">
        <v>0</v>
      </c>
      <c r="P690" t="n">
        <v>0</v>
      </c>
      <c r="Q690" t="n">
        <v>0</v>
      </c>
      <c r="R690" s="2" t="inlineStr"/>
    </row>
    <row r="691" ht="15" customHeight="1">
      <c r="A691" t="inlineStr">
        <is>
          <t>A 47889-2023</t>
        </is>
      </c>
      <c r="B691" s="1" t="n">
        <v>45204</v>
      </c>
      <c r="C691" s="1" t="n">
        <v>45907</v>
      </c>
      <c r="D691" t="inlineStr">
        <is>
          <t>SÖDERMANLANDS LÄN</t>
        </is>
      </c>
      <c r="E691" t="inlineStr">
        <is>
          <t>KATRINEHOLM</t>
        </is>
      </c>
      <c r="G691" t="n">
        <v>2.1</v>
      </c>
      <c r="H691" t="n">
        <v>0</v>
      </c>
      <c r="I691" t="n">
        <v>0</v>
      </c>
      <c r="J691" t="n">
        <v>0</v>
      </c>
      <c r="K691" t="n">
        <v>0</v>
      </c>
      <c r="L691" t="n">
        <v>0</v>
      </c>
      <c r="M691" t="n">
        <v>0</v>
      </c>
      <c r="N691" t="n">
        <v>0</v>
      </c>
      <c r="O691" t="n">
        <v>0</v>
      </c>
      <c r="P691" t="n">
        <v>0</v>
      </c>
      <c r="Q691" t="n">
        <v>0</v>
      </c>
      <c r="R691" s="2" t="inlineStr"/>
    </row>
    <row r="692" ht="15" customHeight="1">
      <c r="A692" t="inlineStr">
        <is>
          <t>A 57947-2020</t>
        </is>
      </c>
      <c r="B692" s="1" t="n">
        <v>44142</v>
      </c>
      <c r="C692" s="1" t="n">
        <v>45907</v>
      </c>
      <c r="D692" t="inlineStr">
        <is>
          <t>SÖDERMANLANDS LÄN</t>
        </is>
      </c>
      <c r="E692" t="inlineStr">
        <is>
          <t>KATRINEHOLM</t>
        </is>
      </c>
      <c r="G692" t="n">
        <v>9.6</v>
      </c>
      <c r="H692" t="n">
        <v>0</v>
      </c>
      <c r="I692" t="n">
        <v>0</v>
      </c>
      <c r="J692" t="n">
        <v>0</v>
      </c>
      <c r="K692" t="n">
        <v>0</v>
      </c>
      <c r="L692" t="n">
        <v>0</v>
      </c>
      <c r="M692" t="n">
        <v>0</v>
      </c>
      <c r="N692" t="n">
        <v>0</v>
      </c>
      <c r="O692" t="n">
        <v>0</v>
      </c>
      <c r="P692" t="n">
        <v>0</v>
      </c>
      <c r="Q692" t="n">
        <v>0</v>
      </c>
      <c r="R692" s="2" t="inlineStr"/>
    </row>
    <row r="693" ht="15" customHeight="1">
      <c r="A693" t="inlineStr">
        <is>
          <t>A 13612-2023</t>
        </is>
      </c>
      <c r="B693" s="1" t="n">
        <v>45006</v>
      </c>
      <c r="C693" s="1" t="n">
        <v>45907</v>
      </c>
      <c r="D693" t="inlineStr">
        <is>
          <t>SÖDERMANLANDS LÄN</t>
        </is>
      </c>
      <c r="E693" t="inlineStr">
        <is>
          <t>KATRINEHOLM</t>
        </is>
      </c>
      <c r="G693" t="n">
        <v>2.3</v>
      </c>
      <c r="H693" t="n">
        <v>0</v>
      </c>
      <c r="I693" t="n">
        <v>0</v>
      </c>
      <c r="J693" t="n">
        <v>0</v>
      </c>
      <c r="K693" t="n">
        <v>0</v>
      </c>
      <c r="L693" t="n">
        <v>0</v>
      </c>
      <c r="M693" t="n">
        <v>0</v>
      </c>
      <c r="N693" t="n">
        <v>0</v>
      </c>
      <c r="O693" t="n">
        <v>0</v>
      </c>
      <c r="P693" t="n">
        <v>0</v>
      </c>
      <c r="Q693" t="n">
        <v>0</v>
      </c>
      <c r="R693" s="2" t="inlineStr"/>
    </row>
    <row r="694" ht="15" customHeight="1">
      <c r="A694" t="inlineStr">
        <is>
          <t>A 12975-2022</t>
        </is>
      </c>
      <c r="B694" s="1" t="n">
        <v>44643</v>
      </c>
      <c r="C694" s="1" t="n">
        <v>45907</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9668-2023</t>
        </is>
      </c>
      <c r="B695" s="1" t="n">
        <v>44984.41238425926</v>
      </c>
      <c r="C695" s="1" t="n">
        <v>45907</v>
      </c>
      <c r="D695" t="inlineStr">
        <is>
          <t>SÖDERMANLANDS LÄN</t>
        </is>
      </c>
      <c r="E695" t="inlineStr">
        <is>
          <t>KATRINEHOLM</t>
        </is>
      </c>
      <c r="G695" t="n">
        <v>4.8</v>
      </c>
      <c r="H695" t="n">
        <v>0</v>
      </c>
      <c r="I695" t="n">
        <v>0</v>
      </c>
      <c r="J695" t="n">
        <v>0</v>
      </c>
      <c r="K695" t="n">
        <v>0</v>
      </c>
      <c r="L695" t="n">
        <v>0</v>
      </c>
      <c r="M695" t="n">
        <v>0</v>
      </c>
      <c r="N695" t="n">
        <v>0</v>
      </c>
      <c r="O695" t="n">
        <v>0</v>
      </c>
      <c r="P695" t="n">
        <v>0</v>
      </c>
      <c r="Q695" t="n">
        <v>0</v>
      </c>
      <c r="R695" s="2" t="inlineStr"/>
    </row>
    <row r="696" ht="15" customHeight="1">
      <c r="A696" t="inlineStr">
        <is>
          <t>A 20949-2021</t>
        </is>
      </c>
      <c r="B696" s="1" t="n">
        <v>44319</v>
      </c>
      <c r="C696" s="1" t="n">
        <v>45907</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7747-2024</t>
        </is>
      </c>
      <c r="B697" s="1" t="n">
        <v>45348</v>
      </c>
      <c r="C697" s="1" t="n">
        <v>45907</v>
      </c>
      <c r="D697" t="inlineStr">
        <is>
          <t>SÖDERMANLANDS LÄN</t>
        </is>
      </c>
      <c r="E697" t="inlineStr">
        <is>
          <t>KATRINEHOLM</t>
        </is>
      </c>
      <c r="G697" t="n">
        <v>1.1</v>
      </c>
      <c r="H697" t="n">
        <v>0</v>
      </c>
      <c r="I697" t="n">
        <v>0</v>
      </c>
      <c r="J697" t="n">
        <v>0</v>
      </c>
      <c r="K697" t="n">
        <v>0</v>
      </c>
      <c r="L697" t="n">
        <v>0</v>
      </c>
      <c r="M697" t="n">
        <v>0</v>
      </c>
      <c r="N697" t="n">
        <v>0</v>
      </c>
      <c r="O697" t="n">
        <v>0</v>
      </c>
      <c r="P697" t="n">
        <v>0</v>
      </c>
      <c r="Q697" t="n">
        <v>0</v>
      </c>
      <c r="R697" s="2" t="inlineStr"/>
    </row>
    <row r="698" ht="15" customHeight="1">
      <c r="A698" t="inlineStr">
        <is>
          <t>A 29977-2023</t>
        </is>
      </c>
      <c r="B698" s="1" t="n">
        <v>45108</v>
      </c>
      <c r="C698" s="1" t="n">
        <v>45907</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4650-2024</t>
        </is>
      </c>
      <c r="B699" s="1" t="n">
        <v>45328</v>
      </c>
      <c r="C699" s="1" t="n">
        <v>45907</v>
      </c>
      <c r="D699" t="inlineStr">
        <is>
          <t>SÖDERMANLANDS LÄN</t>
        </is>
      </c>
      <c r="E699" t="inlineStr">
        <is>
          <t>KATRINEHOLM</t>
        </is>
      </c>
      <c r="G699" t="n">
        <v>0.6</v>
      </c>
      <c r="H699" t="n">
        <v>0</v>
      </c>
      <c r="I699" t="n">
        <v>0</v>
      </c>
      <c r="J699" t="n">
        <v>0</v>
      </c>
      <c r="K699" t="n">
        <v>0</v>
      </c>
      <c r="L699" t="n">
        <v>0</v>
      </c>
      <c r="M699" t="n">
        <v>0</v>
      </c>
      <c r="N699" t="n">
        <v>0</v>
      </c>
      <c r="O699" t="n">
        <v>0</v>
      </c>
      <c r="P699" t="n">
        <v>0</v>
      </c>
      <c r="Q699" t="n">
        <v>0</v>
      </c>
      <c r="R699" s="2" t="inlineStr"/>
    </row>
    <row r="700" ht="15" customHeight="1">
      <c r="A700" t="inlineStr">
        <is>
          <t>A 4652-2024</t>
        </is>
      </c>
      <c r="B700" s="1" t="n">
        <v>45328</v>
      </c>
      <c r="C700" s="1" t="n">
        <v>45907</v>
      </c>
      <c r="D700" t="inlineStr">
        <is>
          <t>SÖDERMANLANDS LÄN</t>
        </is>
      </c>
      <c r="E700" t="inlineStr">
        <is>
          <t>KATRINEHOLM</t>
        </is>
      </c>
      <c r="F700" t="inlineStr">
        <is>
          <t>Övriga Aktiebolag</t>
        </is>
      </c>
      <c r="G700" t="n">
        <v>6.1</v>
      </c>
      <c r="H700" t="n">
        <v>0</v>
      </c>
      <c r="I700" t="n">
        <v>0</v>
      </c>
      <c r="J700" t="n">
        <v>0</v>
      </c>
      <c r="K700" t="n">
        <v>0</v>
      </c>
      <c r="L700" t="n">
        <v>0</v>
      </c>
      <c r="M700" t="n">
        <v>0</v>
      </c>
      <c r="N700" t="n">
        <v>0</v>
      </c>
      <c r="O700" t="n">
        <v>0</v>
      </c>
      <c r="P700" t="n">
        <v>0</v>
      </c>
      <c r="Q700" t="n">
        <v>0</v>
      </c>
      <c r="R700" s="2" t="inlineStr"/>
    </row>
    <row r="701" ht="15" customHeight="1">
      <c r="A701" t="inlineStr">
        <is>
          <t>A 48253-2022</t>
        </is>
      </c>
      <c r="B701" s="1" t="n">
        <v>44858</v>
      </c>
      <c r="C701" s="1" t="n">
        <v>45907</v>
      </c>
      <c r="D701" t="inlineStr">
        <is>
          <t>SÖDERMANLANDS LÄN</t>
        </is>
      </c>
      <c r="E701" t="inlineStr">
        <is>
          <t>KATRINEHOLM</t>
        </is>
      </c>
      <c r="G701" t="n">
        <v>4.7</v>
      </c>
      <c r="H701" t="n">
        <v>0</v>
      </c>
      <c r="I701" t="n">
        <v>0</v>
      </c>
      <c r="J701" t="n">
        <v>0</v>
      </c>
      <c r="K701" t="n">
        <v>0</v>
      </c>
      <c r="L701" t="n">
        <v>0</v>
      </c>
      <c r="M701" t="n">
        <v>0</v>
      </c>
      <c r="N701" t="n">
        <v>0</v>
      </c>
      <c r="O701" t="n">
        <v>0</v>
      </c>
      <c r="P701" t="n">
        <v>0</v>
      </c>
      <c r="Q701" t="n">
        <v>0</v>
      </c>
      <c r="R701" s="2" t="inlineStr"/>
    </row>
    <row r="702" ht="15" customHeight="1">
      <c r="A702" t="inlineStr">
        <is>
          <t>A 32166-2022</t>
        </is>
      </c>
      <c r="B702" s="1" t="n">
        <v>44781</v>
      </c>
      <c r="C702" s="1" t="n">
        <v>45907</v>
      </c>
      <c r="D702" t="inlineStr">
        <is>
          <t>SÖDERMANLANDS LÄN</t>
        </is>
      </c>
      <c r="E702" t="inlineStr">
        <is>
          <t>KATRINEHOLM</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59384-2022</t>
        </is>
      </c>
      <c r="B703" s="1" t="n">
        <v>44905</v>
      </c>
      <c r="C703" s="1" t="n">
        <v>45907</v>
      </c>
      <c r="D703" t="inlineStr">
        <is>
          <t>SÖDERMANLANDS LÄN</t>
        </is>
      </c>
      <c r="E703" t="inlineStr">
        <is>
          <t>KATRINEHOLM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4669-2023</t>
        </is>
      </c>
      <c r="B704" s="1" t="n">
        <v>44957</v>
      </c>
      <c r="C704" s="1" t="n">
        <v>45907</v>
      </c>
      <c r="D704" t="inlineStr">
        <is>
          <t>SÖDERMANLANDS LÄN</t>
        </is>
      </c>
      <c r="E704" t="inlineStr">
        <is>
          <t>KATRINEHOLM</t>
        </is>
      </c>
      <c r="F704" t="inlineStr">
        <is>
          <t>Holmen skog AB</t>
        </is>
      </c>
      <c r="G704" t="n">
        <v>2.2</v>
      </c>
      <c r="H704" t="n">
        <v>0</v>
      </c>
      <c r="I704" t="n">
        <v>0</v>
      </c>
      <c r="J704" t="n">
        <v>0</v>
      </c>
      <c r="K704" t="n">
        <v>0</v>
      </c>
      <c r="L704" t="n">
        <v>0</v>
      </c>
      <c r="M704" t="n">
        <v>0</v>
      </c>
      <c r="N704" t="n">
        <v>0</v>
      </c>
      <c r="O704" t="n">
        <v>0</v>
      </c>
      <c r="P704" t="n">
        <v>0</v>
      </c>
      <c r="Q704" t="n">
        <v>0</v>
      </c>
      <c r="R704" s="2" t="inlineStr"/>
    </row>
    <row r="705" ht="15" customHeight="1">
      <c r="A705" t="inlineStr">
        <is>
          <t>A 948-2023</t>
        </is>
      </c>
      <c r="B705" s="1" t="n">
        <v>44934</v>
      </c>
      <c r="C705" s="1" t="n">
        <v>45907</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10996-2022</t>
        </is>
      </c>
      <c r="B706" s="1" t="n">
        <v>44628</v>
      </c>
      <c r="C706" s="1" t="n">
        <v>45907</v>
      </c>
      <c r="D706" t="inlineStr">
        <is>
          <t>SÖDERMANLANDS LÄN</t>
        </is>
      </c>
      <c r="E706" t="inlineStr">
        <is>
          <t>KATRINEHOLM</t>
        </is>
      </c>
      <c r="G706" t="n">
        <v>0.3</v>
      </c>
      <c r="H706" t="n">
        <v>0</v>
      </c>
      <c r="I706" t="n">
        <v>0</v>
      </c>
      <c r="J706" t="n">
        <v>0</v>
      </c>
      <c r="K706" t="n">
        <v>0</v>
      </c>
      <c r="L706" t="n">
        <v>0</v>
      </c>
      <c r="M706" t="n">
        <v>0</v>
      </c>
      <c r="N706" t="n">
        <v>0</v>
      </c>
      <c r="O706" t="n">
        <v>0</v>
      </c>
      <c r="P706" t="n">
        <v>0</v>
      </c>
      <c r="Q706" t="n">
        <v>0</v>
      </c>
      <c r="R706" s="2" t="inlineStr"/>
    </row>
    <row r="707" ht="15" customHeight="1">
      <c r="A707" t="inlineStr">
        <is>
          <t>A 6087-2022</t>
        </is>
      </c>
      <c r="B707" s="1" t="n">
        <v>44599.61034722222</v>
      </c>
      <c r="C707" s="1" t="n">
        <v>45907</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47134-2022</t>
        </is>
      </c>
      <c r="B708" s="1" t="n">
        <v>44851</v>
      </c>
      <c r="C708" s="1" t="n">
        <v>45907</v>
      </c>
      <c r="D708" t="inlineStr">
        <is>
          <t>SÖDERMANLANDS LÄN</t>
        </is>
      </c>
      <c r="E708" t="inlineStr">
        <is>
          <t>KATRINEHOLM</t>
        </is>
      </c>
      <c r="F708" t="inlineStr">
        <is>
          <t>Övriga statliga verk och myndigheter</t>
        </is>
      </c>
      <c r="G708" t="n">
        <v>1.5</v>
      </c>
      <c r="H708" t="n">
        <v>0</v>
      </c>
      <c r="I708" t="n">
        <v>0</v>
      </c>
      <c r="J708" t="n">
        <v>0</v>
      </c>
      <c r="K708" t="n">
        <v>0</v>
      </c>
      <c r="L708" t="n">
        <v>0</v>
      </c>
      <c r="M708" t="n">
        <v>0</v>
      </c>
      <c r="N708" t="n">
        <v>0</v>
      </c>
      <c r="O708" t="n">
        <v>0</v>
      </c>
      <c r="P708" t="n">
        <v>0</v>
      </c>
      <c r="Q708" t="n">
        <v>0</v>
      </c>
      <c r="R708" s="2" t="inlineStr"/>
    </row>
    <row r="709" ht="15" customHeight="1">
      <c r="A709" t="inlineStr">
        <is>
          <t>A 25363-2023</t>
        </is>
      </c>
      <c r="B709" s="1" t="n">
        <v>45088.83840277778</v>
      </c>
      <c r="C709" s="1" t="n">
        <v>45907</v>
      </c>
      <c r="D709" t="inlineStr">
        <is>
          <t>SÖDERMANLANDS LÄN</t>
        </is>
      </c>
      <c r="E709" t="inlineStr">
        <is>
          <t>KATRINEHOLM</t>
        </is>
      </c>
      <c r="G709" t="n">
        <v>1.6</v>
      </c>
      <c r="H709" t="n">
        <v>0</v>
      </c>
      <c r="I709" t="n">
        <v>0</v>
      </c>
      <c r="J709" t="n">
        <v>0</v>
      </c>
      <c r="K709" t="n">
        <v>0</v>
      </c>
      <c r="L709" t="n">
        <v>0</v>
      </c>
      <c r="M709" t="n">
        <v>0</v>
      </c>
      <c r="N709" t="n">
        <v>0</v>
      </c>
      <c r="O709" t="n">
        <v>0</v>
      </c>
      <c r="P709" t="n">
        <v>0</v>
      </c>
      <c r="Q709" t="n">
        <v>0</v>
      </c>
      <c r="R709" s="2" t="inlineStr"/>
    </row>
    <row r="710" ht="15" customHeight="1">
      <c r="A710" t="inlineStr">
        <is>
          <t>A 59308-2020</t>
        </is>
      </c>
      <c r="B710" s="1" t="n">
        <v>44147</v>
      </c>
      <c r="C710" s="1" t="n">
        <v>45907</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7705-2021</t>
        </is>
      </c>
      <c r="B711" s="1" t="n">
        <v>44242</v>
      </c>
      <c r="C711" s="1" t="n">
        <v>45907</v>
      </c>
      <c r="D711" t="inlineStr">
        <is>
          <t>SÖDERMANLANDS LÄN</t>
        </is>
      </c>
      <c r="E711" t="inlineStr">
        <is>
          <t>KATRINEHOLM</t>
        </is>
      </c>
      <c r="F711" t="inlineStr">
        <is>
          <t>Allmännings- och besparingsskogar</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12835-2024</t>
        </is>
      </c>
      <c r="B712" s="1" t="n">
        <v>45384</v>
      </c>
      <c r="C712" s="1" t="n">
        <v>45907</v>
      </c>
      <c r="D712" t="inlineStr">
        <is>
          <t>SÖDERMANLANDS LÄN</t>
        </is>
      </c>
      <c r="E712" t="inlineStr">
        <is>
          <t>KATRINEHOLM</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69600-2020</t>
        </is>
      </c>
      <c r="B713" s="1" t="n">
        <v>44195</v>
      </c>
      <c r="C713" s="1" t="n">
        <v>45907</v>
      </c>
      <c r="D713" t="inlineStr">
        <is>
          <t>SÖDERMANLANDS LÄN</t>
        </is>
      </c>
      <c r="E713" t="inlineStr">
        <is>
          <t>KATRINEHOLM</t>
        </is>
      </c>
      <c r="G713" t="n">
        <v>11.3</v>
      </c>
      <c r="H713" t="n">
        <v>0</v>
      </c>
      <c r="I713" t="n">
        <v>0</v>
      </c>
      <c r="J713" t="n">
        <v>0</v>
      </c>
      <c r="K713" t="n">
        <v>0</v>
      </c>
      <c r="L713" t="n">
        <v>0</v>
      </c>
      <c r="M713" t="n">
        <v>0</v>
      </c>
      <c r="N713" t="n">
        <v>0</v>
      </c>
      <c r="O713" t="n">
        <v>0</v>
      </c>
      <c r="P713" t="n">
        <v>0</v>
      </c>
      <c r="Q713" t="n">
        <v>0</v>
      </c>
      <c r="R713" s="2" t="inlineStr"/>
    </row>
    <row r="714" ht="15" customHeight="1">
      <c r="A714" t="inlineStr">
        <is>
          <t>A 48398-2022</t>
        </is>
      </c>
      <c r="B714" s="1" t="n">
        <v>44858.60809027778</v>
      </c>
      <c r="C714" s="1" t="n">
        <v>45907</v>
      </c>
      <c r="D714" t="inlineStr">
        <is>
          <t>SÖDERMANLANDS LÄN</t>
        </is>
      </c>
      <c r="E714" t="inlineStr">
        <is>
          <t>KATRINEHOLM</t>
        </is>
      </c>
      <c r="G714" t="n">
        <v>1.9</v>
      </c>
      <c r="H714" t="n">
        <v>0</v>
      </c>
      <c r="I714" t="n">
        <v>0</v>
      </c>
      <c r="J714" t="n">
        <v>0</v>
      </c>
      <c r="K714" t="n">
        <v>0</v>
      </c>
      <c r="L714" t="n">
        <v>0</v>
      </c>
      <c r="M714" t="n">
        <v>0</v>
      </c>
      <c r="N714" t="n">
        <v>0</v>
      </c>
      <c r="O714" t="n">
        <v>0</v>
      </c>
      <c r="P714" t="n">
        <v>0</v>
      </c>
      <c r="Q714" t="n">
        <v>0</v>
      </c>
      <c r="R714" s="2" t="inlineStr"/>
    </row>
    <row r="715" ht="15" customHeight="1">
      <c r="A715" t="inlineStr">
        <is>
          <t>A 47879-2023</t>
        </is>
      </c>
      <c r="B715" s="1" t="n">
        <v>45204</v>
      </c>
      <c r="C715" s="1" t="n">
        <v>45907</v>
      </c>
      <c r="D715" t="inlineStr">
        <is>
          <t>SÖDERMANLANDS LÄN</t>
        </is>
      </c>
      <c r="E715" t="inlineStr">
        <is>
          <t>KATRINEHOLM</t>
        </is>
      </c>
      <c r="F715" t="inlineStr">
        <is>
          <t>Övriga Aktiebolag</t>
        </is>
      </c>
      <c r="G715" t="n">
        <v>2.3</v>
      </c>
      <c r="H715" t="n">
        <v>0</v>
      </c>
      <c r="I715" t="n">
        <v>0</v>
      </c>
      <c r="J715" t="n">
        <v>0</v>
      </c>
      <c r="K715" t="n">
        <v>0</v>
      </c>
      <c r="L715" t="n">
        <v>0</v>
      </c>
      <c r="M715" t="n">
        <v>0</v>
      </c>
      <c r="N715" t="n">
        <v>0</v>
      </c>
      <c r="O715" t="n">
        <v>0</v>
      </c>
      <c r="P715" t="n">
        <v>0</v>
      </c>
      <c r="Q715" t="n">
        <v>0</v>
      </c>
      <c r="R715" s="2" t="inlineStr"/>
    </row>
    <row r="716" ht="15" customHeight="1">
      <c r="A716" t="inlineStr">
        <is>
          <t>A 15945-2024</t>
        </is>
      </c>
      <c r="B716" s="1" t="n">
        <v>45405.48912037037</v>
      </c>
      <c r="C716" s="1" t="n">
        <v>45907</v>
      </c>
      <c r="D716" t="inlineStr">
        <is>
          <t>SÖDERMANLANDS LÄN</t>
        </is>
      </c>
      <c r="E716" t="inlineStr">
        <is>
          <t>KATRINEHOLM</t>
        </is>
      </c>
      <c r="G716" t="n">
        <v>1.8</v>
      </c>
      <c r="H716" t="n">
        <v>0</v>
      </c>
      <c r="I716" t="n">
        <v>0</v>
      </c>
      <c r="J716" t="n">
        <v>0</v>
      </c>
      <c r="K716" t="n">
        <v>0</v>
      </c>
      <c r="L716" t="n">
        <v>0</v>
      </c>
      <c r="M716" t="n">
        <v>0</v>
      </c>
      <c r="N716" t="n">
        <v>0</v>
      </c>
      <c r="O716" t="n">
        <v>0</v>
      </c>
      <c r="P716" t="n">
        <v>0</v>
      </c>
      <c r="Q716" t="n">
        <v>0</v>
      </c>
      <c r="R716" s="2" t="inlineStr"/>
    </row>
    <row r="717" ht="15" customHeight="1">
      <c r="A717" t="inlineStr">
        <is>
          <t>A 1329-2025</t>
        </is>
      </c>
      <c r="B717" s="1" t="n">
        <v>45667</v>
      </c>
      <c r="C717" s="1" t="n">
        <v>45907</v>
      </c>
      <c r="D717" t="inlineStr">
        <is>
          <t>SÖDERMANLANDS LÄN</t>
        </is>
      </c>
      <c r="E717" t="inlineStr">
        <is>
          <t>KATRINEHOLM</t>
        </is>
      </c>
      <c r="G717" t="n">
        <v>2.7</v>
      </c>
      <c r="H717" t="n">
        <v>0</v>
      </c>
      <c r="I717" t="n">
        <v>0</v>
      </c>
      <c r="J717" t="n">
        <v>0</v>
      </c>
      <c r="K717" t="n">
        <v>0</v>
      </c>
      <c r="L717" t="n">
        <v>0</v>
      </c>
      <c r="M717" t="n">
        <v>0</v>
      </c>
      <c r="N717" t="n">
        <v>0</v>
      </c>
      <c r="O717" t="n">
        <v>0</v>
      </c>
      <c r="P717" t="n">
        <v>0</v>
      </c>
      <c r="Q717" t="n">
        <v>0</v>
      </c>
      <c r="R717" s="2" t="inlineStr"/>
    </row>
    <row r="718" ht="15" customHeight="1">
      <c r="A718" t="inlineStr">
        <is>
          <t>A 61410-2024</t>
        </is>
      </c>
      <c r="B718" s="1" t="n">
        <v>45646.43950231482</v>
      </c>
      <c r="C718" s="1" t="n">
        <v>45907</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65358-2020</t>
        </is>
      </c>
      <c r="B719" s="1" t="n">
        <v>44173</v>
      </c>
      <c r="C719" s="1" t="n">
        <v>45907</v>
      </c>
      <c r="D719" t="inlineStr">
        <is>
          <t>SÖDERMANLANDS LÄN</t>
        </is>
      </c>
      <c r="E719" t="inlineStr">
        <is>
          <t>KATRINEHOLM</t>
        </is>
      </c>
      <c r="G719" t="n">
        <v>1</v>
      </c>
      <c r="H719" t="n">
        <v>0</v>
      </c>
      <c r="I719" t="n">
        <v>0</v>
      </c>
      <c r="J719" t="n">
        <v>0</v>
      </c>
      <c r="K719" t="n">
        <v>0</v>
      </c>
      <c r="L719" t="n">
        <v>0</v>
      </c>
      <c r="M719" t="n">
        <v>0</v>
      </c>
      <c r="N719" t="n">
        <v>0</v>
      </c>
      <c r="O719" t="n">
        <v>0</v>
      </c>
      <c r="P719" t="n">
        <v>0</v>
      </c>
      <c r="Q719" t="n">
        <v>0</v>
      </c>
      <c r="R719" s="2" t="inlineStr"/>
    </row>
    <row r="720" ht="15" customHeight="1">
      <c r="A720" t="inlineStr">
        <is>
          <t>A 8475-2023</t>
        </is>
      </c>
      <c r="B720" s="1" t="n">
        <v>44977</v>
      </c>
      <c r="C720" s="1" t="n">
        <v>45907</v>
      </c>
      <c r="D720" t="inlineStr">
        <is>
          <t>SÖDERMANLANDS LÄN</t>
        </is>
      </c>
      <c r="E720" t="inlineStr">
        <is>
          <t>KATRINEHOLM</t>
        </is>
      </c>
      <c r="F720" t="inlineStr">
        <is>
          <t>Allmännings- och besparingsskogar</t>
        </is>
      </c>
      <c r="G720" t="n">
        <v>8.1</v>
      </c>
      <c r="H720" t="n">
        <v>0</v>
      </c>
      <c r="I720" t="n">
        <v>0</v>
      </c>
      <c r="J720" t="n">
        <v>0</v>
      </c>
      <c r="K720" t="n">
        <v>0</v>
      </c>
      <c r="L720" t="n">
        <v>0</v>
      </c>
      <c r="M720" t="n">
        <v>0</v>
      </c>
      <c r="N720" t="n">
        <v>0</v>
      </c>
      <c r="O720" t="n">
        <v>0</v>
      </c>
      <c r="P720" t="n">
        <v>0</v>
      </c>
      <c r="Q720" t="n">
        <v>0</v>
      </c>
      <c r="R720" s="2" t="inlineStr"/>
    </row>
    <row r="721" ht="15" customHeight="1">
      <c r="A721" t="inlineStr">
        <is>
          <t>A 8518-2023</t>
        </is>
      </c>
      <c r="B721" s="1" t="n">
        <v>44977</v>
      </c>
      <c r="C721" s="1" t="n">
        <v>45907</v>
      </c>
      <c r="D721" t="inlineStr">
        <is>
          <t>SÖDERMANLANDS LÄN</t>
        </is>
      </c>
      <c r="E721" t="inlineStr">
        <is>
          <t>KATRINEHOLM</t>
        </is>
      </c>
      <c r="F721" t="inlineStr">
        <is>
          <t>Allmännings- och besparingsskogar</t>
        </is>
      </c>
      <c r="G721" t="n">
        <v>35.3</v>
      </c>
      <c r="H721" t="n">
        <v>0</v>
      </c>
      <c r="I721" t="n">
        <v>0</v>
      </c>
      <c r="J721" t="n">
        <v>0</v>
      </c>
      <c r="K721" t="n">
        <v>0</v>
      </c>
      <c r="L721" t="n">
        <v>0</v>
      </c>
      <c r="M721" t="n">
        <v>0</v>
      </c>
      <c r="N721" t="n">
        <v>0</v>
      </c>
      <c r="O721" t="n">
        <v>0</v>
      </c>
      <c r="P721" t="n">
        <v>0</v>
      </c>
      <c r="Q721" t="n">
        <v>0</v>
      </c>
      <c r="R721" s="2" t="inlineStr"/>
    </row>
    <row r="722" ht="15" customHeight="1">
      <c r="A722" t="inlineStr">
        <is>
          <t>A 20212-2025</t>
        </is>
      </c>
      <c r="B722" s="1" t="n">
        <v>45772.63049768518</v>
      </c>
      <c r="C722" s="1" t="n">
        <v>45907</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46670-2021</t>
        </is>
      </c>
      <c r="B723" s="1" t="n">
        <v>44445</v>
      </c>
      <c r="C723" s="1" t="n">
        <v>45907</v>
      </c>
      <c r="D723" t="inlineStr">
        <is>
          <t>SÖDERMANLANDS LÄN</t>
        </is>
      </c>
      <c r="E723" t="inlineStr">
        <is>
          <t>KATRINEHOLM</t>
        </is>
      </c>
      <c r="G723" t="n">
        <v>4.4</v>
      </c>
      <c r="H723" t="n">
        <v>0</v>
      </c>
      <c r="I723" t="n">
        <v>0</v>
      </c>
      <c r="J723" t="n">
        <v>0</v>
      </c>
      <c r="K723" t="n">
        <v>0</v>
      </c>
      <c r="L723" t="n">
        <v>0</v>
      </c>
      <c r="M723" t="n">
        <v>0</v>
      </c>
      <c r="N723" t="n">
        <v>0</v>
      </c>
      <c r="O723" t="n">
        <v>0</v>
      </c>
      <c r="P723" t="n">
        <v>0</v>
      </c>
      <c r="Q723" t="n">
        <v>0</v>
      </c>
      <c r="R723" s="2" t="inlineStr"/>
    </row>
    <row r="724" ht="15" customHeight="1">
      <c r="A724" t="inlineStr">
        <is>
          <t>A 17746-2024</t>
        </is>
      </c>
      <c r="B724" s="1" t="n">
        <v>45415</v>
      </c>
      <c r="C724" s="1" t="n">
        <v>45907</v>
      </c>
      <c r="D724" t="inlineStr">
        <is>
          <t>SÖDERMANLANDS LÄN</t>
        </is>
      </c>
      <c r="E724" t="inlineStr">
        <is>
          <t>KATRINEHOLM</t>
        </is>
      </c>
      <c r="G724" t="n">
        <v>7.8</v>
      </c>
      <c r="H724" t="n">
        <v>0</v>
      </c>
      <c r="I724" t="n">
        <v>0</v>
      </c>
      <c r="J724" t="n">
        <v>0</v>
      </c>
      <c r="K724" t="n">
        <v>0</v>
      </c>
      <c r="L724" t="n">
        <v>0</v>
      </c>
      <c r="M724" t="n">
        <v>0</v>
      </c>
      <c r="N724" t="n">
        <v>0</v>
      </c>
      <c r="O724" t="n">
        <v>0</v>
      </c>
      <c r="P724" t="n">
        <v>0</v>
      </c>
      <c r="Q724" t="n">
        <v>0</v>
      </c>
      <c r="R724" s="2" t="inlineStr"/>
    </row>
    <row r="725" ht="15" customHeight="1">
      <c r="A725" t="inlineStr">
        <is>
          <t>A 57510-2021</t>
        </is>
      </c>
      <c r="B725" s="1" t="n">
        <v>44483</v>
      </c>
      <c r="C725" s="1" t="n">
        <v>45907</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34731-2023</t>
        </is>
      </c>
      <c r="B726" s="1" t="n">
        <v>45141</v>
      </c>
      <c r="C726" s="1" t="n">
        <v>45907</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61911-2021</t>
        </is>
      </c>
      <c r="B727" s="1" t="n">
        <v>44502.35746527778</v>
      </c>
      <c r="C727" s="1" t="n">
        <v>45907</v>
      </c>
      <c r="D727" t="inlineStr">
        <is>
          <t>SÖDERMANLANDS LÄN</t>
        </is>
      </c>
      <c r="E727" t="inlineStr">
        <is>
          <t>KATRINEHOLM</t>
        </is>
      </c>
      <c r="G727" t="n">
        <v>3.8</v>
      </c>
      <c r="H727" t="n">
        <v>0</v>
      </c>
      <c r="I727" t="n">
        <v>0</v>
      </c>
      <c r="J727" t="n">
        <v>0</v>
      </c>
      <c r="K727" t="n">
        <v>0</v>
      </c>
      <c r="L727" t="n">
        <v>0</v>
      </c>
      <c r="M727" t="n">
        <v>0</v>
      </c>
      <c r="N727" t="n">
        <v>0</v>
      </c>
      <c r="O727" t="n">
        <v>0</v>
      </c>
      <c r="P727" t="n">
        <v>0</v>
      </c>
      <c r="Q727" t="n">
        <v>0</v>
      </c>
      <c r="R727" s="2" t="inlineStr"/>
    </row>
    <row r="728" ht="15" customHeight="1">
      <c r="A728" t="inlineStr">
        <is>
          <t>A 43513-2023</t>
        </is>
      </c>
      <c r="B728" s="1" t="n">
        <v>45184</v>
      </c>
      <c r="C728" s="1" t="n">
        <v>45907</v>
      </c>
      <c r="D728" t="inlineStr">
        <is>
          <t>SÖDERMANLANDS LÄN</t>
        </is>
      </c>
      <c r="E728" t="inlineStr">
        <is>
          <t>KATRINEHOLM</t>
        </is>
      </c>
      <c r="G728" t="n">
        <v>3.8</v>
      </c>
      <c r="H728" t="n">
        <v>0</v>
      </c>
      <c r="I728" t="n">
        <v>0</v>
      </c>
      <c r="J728" t="n">
        <v>0</v>
      </c>
      <c r="K728" t="n">
        <v>0</v>
      </c>
      <c r="L728" t="n">
        <v>0</v>
      </c>
      <c r="M728" t="n">
        <v>0</v>
      </c>
      <c r="N728" t="n">
        <v>0</v>
      </c>
      <c r="O728" t="n">
        <v>0</v>
      </c>
      <c r="P728" t="n">
        <v>0</v>
      </c>
      <c r="Q728" t="n">
        <v>0</v>
      </c>
      <c r="R728" s="2" t="inlineStr"/>
    </row>
    <row r="729" ht="15" customHeight="1">
      <c r="A729" t="inlineStr">
        <is>
          <t>A 38826-2021</t>
        </is>
      </c>
      <c r="B729" s="1" t="n">
        <v>44411</v>
      </c>
      <c r="C729" s="1" t="n">
        <v>45907</v>
      </c>
      <c r="D729" t="inlineStr">
        <is>
          <t>SÖDERMANLANDS LÄN</t>
        </is>
      </c>
      <c r="E729" t="inlineStr">
        <is>
          <t>KATRINEHOLM</t>
        </is>
      </c>
      <c r="G729" t="n">
        <v>3.1</v>
      </c>
      <c r="H729" t="n">
        <v>0</v>
      </c>
      <c r="I729" t="n">
        <v>0</v>
      </c>
      <c r="J729" t="n">
        <v>0</v>
      </c>
      <c r="K729" t="n">
        <v>0</v>
      </c>
      <c r="L729" t="n">
        <v>0</v>
      </c>
      <c r="M729" t="n">
        <v>0</v>
      </c>
      <c r="N729" t="n">
        <v>0</v>
      </c>
      <c r="O729" t="n">
        <v>0</v>
      </c>
      <c r="P729" t="n">
        <v>0</v>
      </c>
      <c r="Q729" t="n">
        <v>0</v>
      </c>
      <c r="R729" s="2" t="inlineStr"/>
    </row>
    <row r="730" ht="15" customHeight="1">
      <c r="A730" t="inlineStr">
        <is>
          <t>A 11875-2023</t>
        </is>
      </c>
      <c r="B730" s="1" t="n">
        <v>44995</v>
      </c>
      <c r="C730" s="1" t="n">
        <v>45907</v>
      </c>
      <c r="D730" t="inlineStr">
        <is>
          <t>SÖDERMANLANDS LÄN</t>
        </is>
      </c>
      <c r="E730" t="inlineStr">
        <is>
          <t>KATRINEHOLM</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6808-2023</t>
        </is>
      </c>
      <c r="B731" s="1" t="n">
        <v>44964</v>
      </c>
      <c r="C731" s="1" t="n">
        <v>45907</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51128-2021</t>
        </is>
      </c>
      <c r="B732" s="1" t="n">
        <v>44460</v>
      </c>
      <c r="C732" s="1" t="n">
        <v>45907</v>
      </c>
      <c r="D732" t="inlineStr">
        <is>
          <t>SÖDERMANLANDS LÄN</t>
        </is>
      </c>
      <c r="E732" t="inlineStr">
        <is>
          <t>KATRINEHOLM</t>
        </is>
      </c>
      <c r="G732" t="n">
        <v>7.8</v>
      </c>
      <c r="H732" t="n">
        <v>0</v>
      </c>
      <c r="I732" t="n">
        <v>0</v>
      </c>
      <c r="J732" t="n">
        <v>0</v>
      </c>
      <c r="K732" t="n">
        <v>0</v>
      </c>
      <c r="L732" t="n">
        <v>0</v>
      </c>
      <c r="M732" t="n">
        <v>0</v>
      </c>
      <c r="N732" t="n">
        <v>0</v>
      </c>
      <c r="O732" t="n">
        <v>0</v>
      </c>
      <c r="P732" t="n">
        <v>0</v>
      </c>
      <c r="Q732" t="n">
        <v>0</v>
      </c>
      <c r="R732" s="2" t="inlineStr"/>
    </row>
    <row r="733" ht="15" customHeight="1">
      <c r="A733" t="inlineStr">
        <is>
          <t>A 51264-2021</t>
        </is>
      </c>
      <c r="B733" s="1" t="n">
        <v>44461</v>
      </c>
      <c r="C733" s="1" t="n">
        <v>45907</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2297-2021</t>
        </is>
      </c>
      <c r="B734" s="1" t="n">
        <v>44212</v>
      </c>
      <c r="C734" s="1" t="n">
        <v>45907</v>
      </c>
      <c r="D734" t="inlineStr">
        <is>
          <t>SÖDERMANLANDS LÄN</t>
        </is>
      </c>
      <c r="E734" t="inlineStr">
        <is>
          <t>KATRINEHOLM</t>
        </is>
      </c>
      <c r="G734" t="n">
        <v>14.4</v>
      </c>
      <c r="H734" t="n">
        <v>0</v>
      </c>
      <c r="I734" t="n">
        <v>0</v>
      </c>
      <c r="J734" t="n">
        <v>0</v>
      </c>
      <c r="K734" t="n">
        <v>0</v>
      </c>
      <c r="L734" t="n">
        <v>0</v>
      </c>
      <c r="M734" t="n">
        <v>0</v>
      </c>
      <c r="N734" t="n">
        <v>0</v>
      </c>
      <c r="O734" t="n">
        <v>0</v>
      </c>
      <c r="P734" t="n">
        <v>0</v>
      </c>
      <c r="Q734" t="n">
        <v>0</v>
      </c>
      <c r="R734" s="2" t="inlineStr"/>
    </row>
    <row r="735" ht="15" customHeight="1">
      <c r="A735" t="inlineStr">
        <is>
          <t>A 23207-2023</t>
        </is>
      </c>
      <c r="B735" s="1" t="n">
        <v>45071</v>
      </c>
      <c r="C735" s="1" t="n">
        <v>45907</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49122-2024</t>
        </is>
      </c>
      <c r="B736" s="1" t="n">
        <v>45594</v>
      </c>
      <c r="C736" s="1" t="n">
        <v>45907</v>
      </c>
      <c r="D736" t="inlineStr">
        <is>
          <t>SÖDERMANLANDS LÄN</t>
        </is>
      </c>
      <c r="E736" t="inlineStr">
        <is>
          <t>KATRINEHOLM</t>
        </is>
      </c>
      <c r="G736" t="n">
        <v>19.4</v>
      </c>
      <c r="H736" t="n">
        <v>0</v>
      </c>
      <c r="I736" t="n">
        <v>0</v>
      </c>
      <c r="J736" t="n">
        <v>0</v>
      </c>
      <c r="K736" t="n">
        <v>0</v>
      </c>
      <c r="L736" t="n">
        <v>0</v>
      </c>
      <c r="M736" t="n">
        <v>0</v>
      </c>
      <c r="N736" t="n">
        <v>0</v>
      </c>
      <c r="O736" t="n">
        <v>0</v>
      </c>
      <c r="P736" t="n">
        <v>0</v>
      </c>
      <c r="Q736" t="n">
        <v>0</v>
      </c>
      <c r="R736" s="2" t="inlineStr"/>
    </row>
    <row r="737" ht="15" customHeight="1">
      <c r="A737" t="inlineStr">
        <is>
          <t>A 5935-2023</t>
        </is>
      </c>
      <c r="B737" s="1" t="n">
        <v>44963</v>
      </c>
      <c r="C737" s="1" t="n">
        <v>45907</v>
      </c>
      <c r="D737" t="inlineStr">
        <is>
          <t>SÖDERMANLANDS LÄN</t>
        </is>
      </c>
      <c r="E737" t="inlineStr">
        <is>
          <t>KATRINEHOLM</t>
        </is>
      </c>
      <c r="G737" t="n">
        <v>1.5</v>
      </c>
      <c r="H737" t="n">
        <v>0</v>
      </c>
      <c r="I737" t="n">
        <v>0</v>
      </c>
      <c r="J737" t="n">
        <v>0</v>
      </c>
      <c r="K737" t="n">
        <v>0</v>
      </c>
      <c r="L737" t="n">
        <v>0</v>
      </c>
      <c r="M737" t="n">
        <v>0</v>
      </c>
      <c r="N737" t="n">
        <v>0</v>
      </c>
      <c r="O737" t="n">
        <v>0</v>
      </c>
      <c r="P737" t="n">
        <v>0</v>
      </c>
      <c r="Q737" t="n">
        <v>0</v>
      </c>
      <c r="R737" s="2" t="inlineStr"/>
    </row>
    <row r="738" ht="15" customHeight="1">
      <c r="A738" t="inlineStr">
        <is>
          <t>A 8791-2023</t>
        </is>
      </c>
      <c r="B738" s="1" t="n">
        <v>44978</v>
      </c>
      <c r="C738" s="1" t="n">
        <v>45907</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55825-2022</t>
        </is>
      </c>
      <c r="B739" s="1" t="n">
        <v>44886</v>
      </c>
      <c r="C739" s="1" t="n">
        <v>45907</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45907</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45907</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45907</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45907</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62954-2023</t>
        </is>
      </c>
      <c r="B744" s="1" t="n">
        <v>45272.55362268518</v>
      </c>
      <c r="C744" s="1" t="n">
        <v>45907</v>
      </c>
      <c r="D744" t="inlineStr">
        <is>
          <t>SÖDERMANLANDS LÄN</t>
        </is>
      </c>
      <c r="E744" t="inlineStr">
        <is>
          <t>KATRINEHOLM</t>
        </is>
      </c>
      <c r="G744" t="n">
        <v>2.3</v>
      </c>
      <c r="H744" t="n">
        <v>0</v>
      </c>
      <c r="I744" t="n">
        <v>0</v>
      </c>
      <c r="J744" t="n">
        <v>0</v>
      </c>
      <c r="K744" t="n">
        <v>0</v>
      </c>
      <c r="L744" t="n">
        <v>0</v>
      </c>
      <c r="M744" t="n">
        <v>0</v>
      </c>
      <c r="N744" t="n">
        <v>0</v>
      </c>
      <c r="O744" t="n">
        <v>0</v>
      </c>
      <c r="P744" t="n">
        <v>0</v>
      </c>
      <c r="Q744" t="n">
        <v>0</v>
      </c>
      <c r="R744" s="2" t="inlineStr"/>
    </row>
    <row r="745" ht="15" customHeight="1">
      <c r="A745" t="inlineStr">
        <is>
          <t>A 65485-2020</t>
        </is>
      </c>
      <c r="B745" s="1" t="n">
        <v>44173</v>
      </c>
      <c r="C745" s="1" t="n">
        <v>45907</v>
      </c>
      <c r="D745" t="inlineStr">
        <is>
          <t>SÖDERMANLANDS LÄN</t>
        </is>
      </c>
      <c r="E745" t="inlineStr">
        <is>
          <t>KATRINEHOLM</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6611-2023</t>
        </is>
      </c>
      <c r="B746" s="1" t="n">
        <v>44963</v>
      </c>
      <c r="C746" s="1" t="n">
        <v>45907</v>
      </c>
      <c r="D746" t="inlineStr">
        <is>
          <t>SÖDERMANLANDS LÄN</t>
        </is>
      </c>
      <c r="E746" t="inlineStr">
        <is>
          <t>KATRINEHOLM</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7191-2023</t>
        </is>
      </c>
      <c r="B747" s="1" t="n">
        <v>44965</v>
      </c>
      <c r="C747" s="1" t="n">
        <v>45907</v>
      </c>
      <c r="D747" t="inlineStr">
        <is>
          <t>SÖDERMANLANDS LÄN</t>
        </is>
      </c>
      <c r="E747" t="inlineStr">
        <is>
          <t>KATRINEHOLM</t>
        </is>
      </c>
      <c r="G747" t="n">
        <v>14.1</v>
      </c>
      <c r="H747" t="n">
        <v>0</v>
      </c>
      <c r="I747" t="n">
        <v>0</v>
      </c>
      <c r="J747" t="n">
        <v>0</v>
      </c>
      <c r="K747" t="n">
        <v>0</v>
      </c>
      <c r="L747" t="n">
        <v>0</v>
      </c>
      <c r="M747" t="n">
        <v>0</v>
      </c>
      <c r="N747" t="n">
        <v>0</v>
      </c>
      <c r="O747" t="n">
        <v>0</v>
      </c>
      <c r="P747" t="n">
        <v>0</v>
      </c>
      <c r="Q747" t="n">
        <v>0</v>
      </c>
      <c r="R747" s="2" t="inlineStr"/>
    </row>
    <row r="748" ht="15" customHeight="1">
      <c r="A748" t="inlineStr">
        <is>
          <t>A 25823-2023</t>
        </is>
      </c>
      <c r="B748" s="1" t="n">
        <v>45090.55078703703</v>
      </c>
      <c r="C748" s="1" t="n">
        <v>45907</v>
      </c>
      <c r="D748" t="inlineStr">
        <is>
          <t>SÖDERMANLANDS LÄN</t>
        </is>
      </c>
      <c r="E748" t="inlineStr">
        <is>
          <t>KATRINEHOLM</t>
        </is>
      </c>
      <c r="F748" t="inlineStr">
        <is>
          <t>Kyrkan</t>
        </is>
      </c>
      <c r="G748" t="n">
        <v>10.2</v>
      </c>
      <c r="H748" t="n">
        <v>0</v>
      </c>
      <c r="I748" t="n">
        <v>0</v>
      </c>
      <c r="J748" t="n">
        <v>0</v>
      </c>
      <c r="K748" t="n">
        <v>0</v>
      </c>
      <c r="L748" t="n">
        <v>0</v>
      </c>
      <c r="M748" t="n">
        <v>0</v>
      </c>
      <c r="N748" t="n">
        <v>0</v>
      </c>
      <c r="O748" t="n">
        <v>0</v>
      </c>
      <c r="P748" t="n">
        <v>0</v>
      </c>
      <c r="Q748" t="n">
        <v>0</v>
      </c>
      <c r="R748" s="2" t="inlineStr"/>
    </row>
    <row r="749" ht="15" customHeight="1">
      <c r="A749" t="inlineStr">
        <is>
          <t>A 61398-2024</t>
        </is>
      </c>
      <c r="B749" s="1" t="n">
        <v>45646.42608796297</v>
      </c>
      <c r="C749" s="1" t="n">
        <v>45907</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20480-2022</t>
        </is>
      </c>
      <c r="B750" s="1" t="n">
        <v>44699</v>
      </c>
      <c r="C750" s="1" t="n">
        <v>45907</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3060-2022</t>
        </is>
      </c>
      <c r="B751" s="1" t="n">
        <v>44582.40109953703</v>
      </c>
      <c r="C751" s="1" t="n">
        <v>45907</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37834-2023</t>
        </is>
      </c>
      <c r="B752" s="1" t="n">
        <v>45160</v>
      </c>
      <c r="C752" s="1" t="n">
        <v>45907</v>
      </c>
      <c r="D752" t="inlineStr">
        <is>
          <t>SÖDERMANLANDS LÄN</t>
        </is>
      </c>
      <c r="E752" t="inlineStr">
        <is>
          <t>KATRINEHOLM</t>
        </is>
      </c>
      <c r="F752" t="inlineStr">
        <is>
          <t>Kyrkan</t>
        </is>
      </c>
      <c r="G752" t="n">
        <v>2.8</v>
      </c>
      <c r="H752" t="n">
        <v>0</v>
      </c>
      <c r="I752" t="n">
        <v>0</v>
      </c>
      <c r="J752" t="n">
        <v>0</v>
      </c>
      <c r="K752" t="n">
        <v>0</v>
      </c>
      <c r="L752" t="n">
        <v>0</v>
      </c>
      <c r="M752" t="n">
        <v>0</v>
      </c>
      <c r="N752" t="n">
        <v>0</v>
      </c>
      <c r="O752" t="n">
        <v>0</v>
      </c>
      <c r="P752" t="n">
        <v>0</v>
      </c>
      <c r="Q752" t="n">
        <v>0</v>
      </c>
      <c r="R752" s="2" t="inlineStr"/>
    </row>
    <row r="753" ht="15" customHeight="1">
      <c r="A753" t="inlineStr">
        <is>
          <t>A 36210-2022</t>
        </is>
      </c>
      <c r="B753" s="1" t="n">
        <v>44803.47950231482</v>
      </c>
      <c r="C753" s="1" t="n">
        <v>45907</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19685-2022</t>
        </is>
      </c>
      <c r="B754" s="1" t="n">
        <v>44694</v>
      </c>
      <c r="C754" s="1" t="n">
        <v>45907</v>
      </c>
      <c r="D754" t="inlineStr">
        <is>
          <t>SÖDERMANLANDS LÄN</t>
        </is>
      </c>
      <c r="E754" t="inlineStr">
        <is>
          <t>KATRINEHOLM</t>
        </is>
      </c>
      <c r="G754" t="n">
        <v>1.7</v>
      </c>
      <c r="H754" t="n">
        <v>0</v>
      </c>
      <c r="I754" t="n">
        <v>0</v>
      </c>
      <c r="J754" t="n">
        <v>0</v>
      </c>
      <c r="K754" t="n">
        <v>0</v>
      </c>
      <c r="L754" t="n">
        <v>0</v>
      </c>
      <c r="M754" t="n">
        <v>0</v>
      </c>
      <c r="N754" t="n">
        <v>0</v>
      </c>
      <c r="O754" t="n">
        <v>0</v>
      </c>
      <c r="P754" t="n">
        <v>0</v>
      </c>
      <c r="Q754" t="n">
        <v>0</v>
      </c>
      <c r="R754" s="2" t="inlineStr"/>
    </row>
    <row r="755" ht="15" customHeight="1">
      <c r="A755" t="inlineStr">
        <is>
          <t>A 3075-2022</t>
        </is>
      </c>
      <c r="B755" s="1" t="n">
        <v>44582</v>
      </c>
      <c r="C755" s="1" t="n">
        <v>45907</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8951-2024</t>
        </is>
      </c>
      <c r="B756" s="1" t="n">
        <v>45357.44695601852</v>
      </c>
      <c r="C756" s="1" t="n">
        <v>45907</v>
      </c>
      <c r="D756" t="inlineStr">
        <is>
          <t>SÖDERMANLANDS LÄN</t>
        </is>
      </c>
      <c r="E756" t="inlineStr">
        <is>
          <t>KATRINEHOLM</t>
        </is>
      </c>
      <c r="G756" t="n">
        <v>3.3</v>
      </c>
      <c r="H756" t="n">
        <v>0</v>
      </c>
      <c r="I756" t="n">
        <v>0</v>
      </c>
      <c r="J756" t="n">
        <v>0</v>
      </c>
      <c r="K756" t="n">
        <v>0</v>
      </c>
      <c r="L756" t="n">
        <v>0</v>
      </c>
      <c r="M756" t="n">
        <v>0</v>
      </c>
      <c r="N756" t="n">
        <v>0</v>
      </c>
      <c r="O756" t="n">
        <v>0</v>
      </c>
      <c r="P756" t="n">
        <v>0</v>
      </c>
      <c r="Q756" t="n">
        <v>0</v>
      </c>
      <c r="R756" s="2" t="inlineStr"/>
    </row>
    <row r="757" ht="15" customHeight="1">
      <c r="A757" t="inlineStr">
        <is>
          <t>A 14224-2024</t>
        </is>
      </c>
      <c r="B757" s="1" t="n">
        <v>45393</v>
      </c>
      <c r="C757" s="1" t="n">
        <v>45907</v>
      </c>
      <c r="D757" t="inlineStr">
        <is>
          <t>SÖDERMANLANDS LÄN</t>
        </is>
      </c>
      <c r="E757" t="inlineStr">
        <is>
          <t>KATRINEHOLM</t>
        </is>
      </c>
      <c r="F757" t="inlineStr">
        <is>
          <t>Sveaskog</t>
        </is>
      </c>
      <c r="G757" t="n">
        <v>7.6</v>
      </c>
      <c r="H757" t="n">
        <v>0</v>
      </c>
      <c r="I757" t="n">
        <v>0</v>
      </c>
      <c r="J757" t="n">
        <v>0</v>
      </c>
      <c r="K757" t="n">
        <v>0</v>
      </c>
      <c r="L757" t="n">
        <v>0</v>
      </c>
      <c r="M757" t="n">
        <v>0</v>
      </c>
      <c r="N757" t="n">
        <v>0</v>
      </c>
      <c r="O757" t="n">
        <v>0</v>
      </c>
      <c r="P757" t="n">
        <v>0</v>
      </c>
      <c r="Q757" t="n">
        <v>0</v>
      </c>
      <c r="R757" s="2" t="inlineStr"/>
    </row>
    <row r="758" ht="15" customHeight="1">
      <c r="A758" t="inlineStr">
        <is>
          <t>A 44989-2022</t>
        </is>
      </c>
      <c r="B758" s="1" t="n">
        <v>44840</v>
      </c>
      <c r="C758" s="1" t="n">
        <v>45907</v>
      </c>
      <c r="D758" t="inlineStr">
        <is>
          <t>SÖDERMANLANDS LÄN</t>
        </is>
      </c>
      <c r="E758" t="inlineStr">
        <is>
          <t>KATRINEHOLM</t>
        </is>
      </c>
      <c r="G758" t="n">
        <v>6</v>
      </c>
      <c r="H758" t="n">
        <v>0</v>
      </c>
      <c r="I758" t="n">
        <v>0</v>
      </c>
      <c r="J758" t="n">
        <v>0</v>
      </c>
      <c r="K758" t="n">
        <v>0</v>
      </c>
      <c r="L758" t="n">
        <v>0</v>
      </c>
      <c r="M758" t="n">
        <v>0</v>
      </c>
      <c r="N758" t="n">
        <v>0</v>
      </c>
      <c r="O758" t="n">
        <v>0</v>
      </c>
      <c r="P758" t="n">
        <v>0</v>
      </c>
      <c r="Q758" t="n">
        <v>0</v>
      </c>
      <c r="R758" s="2" t="inlineStr"/>
    </row>
    <row r="759" ht="15" customHeight="1">
      <c r="A759" t="inlineStr">
        <is>
          <t>A 9388-2021</t>
        </is>
      </c>
      <c r="B759" s="1" t="n">
        <v>44250</v>
      </c>
      <c r="C759" s="1" t="n">
        <v>45907</v>
      </c>
      <c r="D759" t="inlineStr">
        <is>
          <t>SÖDERMANLANDS LÄN</t>
        </is>
      </c>
      <c r="E759" t="inlineStr">
        <is>
          <t>KATRINEHOLM</t>
        </is>
      </c>
      <c r="G759" t="n">
        <v>5.4</v>
      </c>
      <c r="H759" t="n">
        <v>0</v>
      </c>
      <c r="I759" t="n">
        <v>0</v>
      </c>
      <c r="J759" t="n">
        <v>0</v>
      </c>
      <c r="K759" t="n">
        <v>0</v>
      </c>
      <c r="L759" t="n">
        <v>0</v>
      </c>
      <c r="M759" t="n">
        <v>0</v>
      </c>
      <c r="N759" t="n">
        <v>0</v>
      </c>
      <c r="O759" t="n">
        <v>0</v>
      </c>
      <c r="P759" t="n">
        <v>0</v>
      </c>
      <c r="Q759" t="n">
        <v>0</v>
      </c>
      <c r="R759" s="2" t="inlineStr"/>
    </row>
    <row r="760" ht="15" customHeight="1">
      <c r="A760" t="inlineStr">
        <is>
          <t>A 57263-2022</t>
        </is>
      </c>
      <c r="B760" s="1" t="n">
        <v>44895</v>
      </c>
      <c r="C760" s="1" t="n">
        <v>45907</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65077-2020</t>
        </is>
      </c>
      <c r="B761" s="1" t="n">
        <v>44172</v>
      </c>
      <c r="C761" s="1" t="n">
        <v>45907</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49218-2023</t>
        </is>
      </c>
      <c r="B762" s="1" t="n">
        <v>45205</v>
      </c>
      <c r="C762" s="1" t="n">
        <v>45907</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4679-2023</t>
        </is>
      </c>
      <c r="B763" s="1" t="n">
        <v>44957.44885416667</v>
      </c>
      <c r="C763" s="1" t="n">
        <v>45907</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58958-2020</t>
        </is>
      </c>
      <c r="B764" s="1" t="n">
        <v>44146</v>
      </c>
      <c r="C764" s="1" t="n">
        <v>45907</v>
      </c>
      <c r="D764" t="inlineStr">
        <is>
          <t>SÖDERMANLANDS LÄN</t>
        </is>
      </c>
      <c r="E764" t="inlineStr">
        <is>
          <t>KATRINEHOLM</t>
        </is>
      </c>
      <c r="F764" t="inlineStr">
        <is>
          <t>Holmen skog AB</t>
        </is>
      </c>
      <c r="G764" t="n">
        <v>0.2</v>
      </c>
      <c r="H764" t="n">
        <v>0</v>
      </c>
      <c r="I764" t="n">
        <v>0</v>
      </c>
      <c r="J764" t="n">
        <v>0</v>
      </c>
      <c r="K764" t="n">
        <v>0</v>
      </c>
      <c r="L764" t="n">
        <v>0</v>
      </c>
      <c r="M764" t="n">
        <v>0</v>
      </c>
      <c r="N764" t="n">
        <v>0</v>
      </c>
      <c r="O764" t="n">
        <v>0</v>
      </c>
      <c r="P764" t="n">
        <v>0</v>
      </c>
      <c r="Q764" t="n">
        <v>0</v>
      </c>
      <c r="R764" s="2" t="inlineStr"/>
    </row>
    <row r="765" ht="15" customHeight="1">
      <c r="A765" t="inlineStr">
        <is>
          <t>A 13175-2024</t>
        </is>
      </c>
      <c r="B765" s="1" t="n">
        <v>45386</v>
      </c>
      <c r="C765" s="1" t="n">
        <v>45907</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26081-2024</t>
        </is>
      </c>
      <c r="B766" s="1" t="n">
        <v>45462</v>
      </c>
      <c r="C766" s="1" t="n">
        <v>45907</v>
      </c>
      <c r="D766" t="inlineStr">
        <is>
          <t>SÖDERMANLANDS LÄN</t>
        </is>
      </c>
      <c r="E766" t="inlineStr">
        <is>
          <t>KATRINEHOLM</t>
        </is>
      </c>
      <c r="G766" t="n">
        <v>4.1</v>
      </c>
      <c r="H766" t="n">
        <v>0</v>
      </c>
      <c r="I766" t="n">
        <v>0</v>
      </c>
      <c r="J766" t="n">
        <v>0</v>
      </c>
      <c r="K766" t="n">
        <v>0</v>
      </c>
      <c r="L766" t="n">
        <v>0</v>
      </c>
      <c r="M766" t="n">
        <v>0</v>
      </c>
      <c r="N766" t="n">
        <v>0</v>
      </c>
      <c r="O766" t="n">
        <v>0</v>
      </c>
      <c r="P766" t="n">
        <v>0</v>
      </c>
      <c r="Q766" t="n">
        <v>0</v>
      </c>
      <c r="R766" s="2" t="inlineStr"/>
    </row>
    <row r="767" ht="15" customHeight="1">
      <c r="A767" t="inlineStr">
        <is>
          <t>A 4667-2024</t>
        </is>
      </c>
      <c r="B767" s="1" t="n">
        <v>45328.47</v>
      </c>
      <c r="C767" s="1" t="n">
        <v>45907</v>
      </c>
      <c r="D767" t="inlineStr">
        <is>
          <t>SÖDERMANLANDS LÄN</t>
        </is>
      </c>
      <c r="E767" t="inlineStr">
        <is>
          <t>KATRINEHOLM</t>
        </is>
      </c>
      <c r="F767" t="inlineStr">
        <is>
          <t>Övriga Aktiebolag</t>
        </is>
      </c>
      <c r="G767" t="n">
        <v>10.2</v>
      </c>
      <c r="H767" t="n">
        <v>0</v>
      </c>
      <c r="I767" t="n">
        <v>0</v>
      </c>
      <c r="J767" t="n">
        <v>0</v>
      </c>
      <c r="K767" t="n">
        <v>0</v>
      </c>
      <c r="L767" t="n">
        <v>0</v>
      </c>
      <c r="M767" t="n">
        <v>0</v>
      </c>
      <c r="N767" t="n">
        <v>0</v>
      </c>
      <c r="O767" t="n">
        <v>0</v>
      </c>
      <c r="P767" t="n">
        <v>0</v>
      </c>
      <c r="Q767" t="n">
        <v>0</v>
      </c>
      <c r="R767" s="2" t="inlineStr"/>
    </row>
    <row r="768" ht="15" customHeight="1">
      <c r="A768" t="inlineStr">
        <is>
          <t>A 5953-2021</t>
        </is>
      </c>
      <c r="B768" s="1" t="n">
        <v>44231</v>
      </c>
      <c r="C768" s="1" t="n">
        <v>45907</v>
      </c>
      <c r="D768" t="inlineStr">
        <is>
          <t>SÖDERMANLANDS LÄN</t>
        </is>
      </c>
      <c r="E768" t="inlineStr">
        <is>
          <t>KATRINEHOLM</t>
        </is>
      </c>
      <c r="G768" t="n">
        <v>3.1</v>
      </c>
      <c r="H768" t="n">
        <v>0</v>
      </c>
      <c r="I768" t="n">
        <v>0</v>
      </c>
      <c r="J768" t="n">
        <v>0</v>
      </c>
      <c r="K768" t="n">
        <v>0</v>
      </c>
      <c r="L768" t="n">
        <v>0</v>
      </c>
      <c r="M768" t="n">
        <v>0</v>
      </c>
      <c r="N768" t="n">
        <v>0</v>
      </c>
      <c r="O768" t="n">
        <v>0</v>
      </c>
      <c r="P768" t="n">
        <v>0</v>
      </c>
      <c r="Q768" t="n">
        <v>0</v>
      </c>
      <c r="R768" s="2" t="inlineStr"/>
    </row>
    <row r="769" ht="15" customHeight="1">
      <c r="A769" t="inlineStr">
        <is>
          <t>A 19107-2022</t>
        </is>
      </c>
      <c r="B769" s="1" t="n">
        <v>44691.54077546296</v>
      </c>
      <c r="C769" s="1" t="n">
        <v>45907</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19442-2023</t>
        </is>
      </c>
      <c r="B770" s="1" t="n">
        <v>45050</v>
      </c>
      <c r="C770" s="1" t="n">
        <v>45907</v>
      </c>
      <c r="D770" t="inlineStr">
        <is>
          <t>SÖDERMANLANDS LÄN</t>
        </is>
      </c>
      <c r="E770" t="inlineStr">
        <is>
          <t>KATRINEHOLM</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59093-2024</t>
        </is>
      </c>
      <c r="B771" s="1" t="n">
        <v>45636</v>
      </c>
      <c r="C771" s="1" t="n">
        <v>45907</v>
      </c>
      <c r="D771" t="inlineStr">
        <is>
          <t>SÖDERMANLANDS LÄN</t>
        </is>
      </c>
      <c r="E771" t="inlineStr">
        <is>
          <t>KATRINEHOLM</t>
        </is>
      </c>
      <c r="G771" t="n">
        <v>2.8</v>
      </c>
      <c r="H771" t="n">
        <v>0</v>
      </c>
      <c r="I771" t="n">
        <v>0</v>
      </c>
      <c r="J771" t="n">
        <v>0</v>
      </c>
      <c r="K771" t="n">
        <v>0</v>
      </c>
      <c r="L771" t="n">
        <v>0</v>
      </c>
      <c r="M771" t="n">
        <v>0</v>
      </c>
      <c r="N771" t="n">
        <v>0</v>
      </c>
      <c r="O771" t="n">
        <v>0</v>
      </c>
      <c r="P771" t="n">
        <v>0</v>
      </c>
      <c r="Q771" t="n">
        <v>0</v>
      </c>
      <c r="R771" s="2" t="inlineStr"/>
    </row>
    <row r="772" ht="15" customHeight="1">
      <c r="A772" t="inlineStr">
        <is>
          <t>A 2320-2023</t>
        </is>
      </c>
      <c r="B772" s="1" t="n">
        <v>44942.58850694444</v>
      </c>
      <c r="C772" s="1" t="n">
        <v>45907</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2325-2023</t>
        </is>
      </c>
      <c r="B773" s="1" t="n">
        <v>44942</v>
      </c>
      <c r="C773" s="1" t="n">
        <v>45907</v>
      </c>
      <c r="D773" t="inlineStr">
        <is>
          <t>SÖDERMANLANDS LÄN</t>
        </is>
      </c>
      <c r="E773" t="inlineStr">
        <is>
          <t>KATRINEHOLM</t>
        </is>
      </c>
      <c r="G773" t="n">
        <v>5.6</v>
      </c>
      <c r="H773" t="n">
        <v>0</v>
      </c>
      <c r="I773" t="n">
        <v>0</v>
      </c>
      <c r="J773" t="n">
        <v>0</v>
      </c>
      <c r="K773" t="n">
        <v>0</v>
      </c>
      <c r="L773" t="n">
        <v>0</v>
      </c>
      <c r="M773" t="n">
        <v>0</v>
      </c>
      <c r="N773" t="n">
        <v>0</v>
      </c>
      <c r="O773" t="n">
        <v>0</v>
      </c>
      <c r="P773" t="n">
        <v>0</v>
      </c>
      <c r="Q773" t="n">
        <v>0</v>
      </c>
      <c r="R773" s="2" t="inlineStr"/>
    </row>
    <row r="774" ht="15" customHeight="1">
      <c r="A774" t="inlineStr">
        <is>
          <t>A 49112-2024</t>
        </is>
      </c>
      <c r="B774" s="1" t="n">
        <v>45594.65637731482</v>
      </c>
      <c r="C774" s="1" t="n">
        <v>45907</v>
      </c>
      <c r="D774" t="inlineStr">
        <is>
          <t>SÖDERMANLANDS LÄN</t>
        </is>
      </c>
      <c r="E774" t="inlineStr">
        <is>
          <t>KATRINEHOLM</t>
        </is>
      </c>
      <c r="G774" t="n">
        <v>3.6</v>
      </c>
      <c r="H774" t="n">
        <v>0</v>
      </c>
      <c r="I774" t="n">
        <v>0</v>
      </c>
      <c r="J774" t="n">
        <v>0</v>
      </c>
      <c r="K774" t="n">
        <v>0</v>
      </c>
      <c r="L774" t="n">
        <v>0</v>
      </c>
      <c r="M774" t="n">
        <v>0</v>
      </c>
      <c r="N774" t="n">
        <v>0</v>
      </c>
      <c r="O774" t="n">
        <v>0</v>
      </c>
      <c r="P774" t="n">
        <v>0</v>
      </c>
      <c r="Q774" t="n">
        <v>0</v>
      </c>
      <c r="R774" s="2" t="inlineStr"/>
    </row>
    <row r="775" ht="15" customHeight="1">
      <c r="A775" t="inlineStr">
        <is>
          <t>A 55732-2023</t>
        </is>
      </c>
      <c r="B775" s="1" t="n">
        <v>45239</v>
      </c>
      <c r="C775" s="1" t="n">
        <v>45907</v>
      </c>
      <c r="D775" t="inlineStr">
        <is>
          <t>SÖDERMANLANDS LÄN</t>
        </is>
      </c>
      <c r="E775" t="inlineStr">
        <is>
          <t>KATRINEHOLM</t>
        </is>
      </c>
      <c r="G775" t="n">
        <v>0.9</v>
      </c>
      <c r="H775" t="n">
        <v>0</v>
      </c>
      <c r="I775" t="n">
        <v>0</v>
      </c>
      <c r="J775" t="n">
        <v>0</v>
      </c>
      <c r="K775" t="n">
        <v>0</v>
      </c>
      <c r="L775" t="n">
        <v>0</v>
      </c>
      <c r="M775" t="n">
        <v>0</v>
      </c>
      <c r="N775" t="n">
        <v>0</v>
      </c>
      <c r="O775" t="n">
        <v>0</v>
      </c>
      <c r="P775" t="n">
        <v>0</v>
      </c>
      <c r="Q775" t="n">
        <v>0</v>
      </c>
      <c r="R775" s="2" t="inlineStr"/>
    </row>
    <row r="776" ht="15" customHeight="1">
      <c r="A776" t="inlineStr">
        <is>
          <t>A 17792-2025</t>
        </is>
      </c>
      <c r="B776" s="1" t="n">
        <v>45758</v>
      </c>
      <c r="C776" s="1" t="n">
        <v>45907</v>
      </c>
      <c r="D776" t="inlineStr">
        <is>
          <t>SÖDERMANLANDS LÄN</t>
        </is>
      </c>
      <c r="E776" t="inlineStr">
        <is>
          <t>KATRINEHOLM</t>
        </is>
      </c>
      <c r="G776" t="n">
        <v>4.2</v>
      </c>
      <c r="H776" t="n">
        <v>0</v>
      </c>
      <c r="I776" t="n">
        <v>0</v>
      </c>
      <c r="J776" t="n">
        <v>0</v>
      </c>
      <c r="K776" t="n">
        <v>0</v>
      </c>
      <c r="L776" t="n">
        <v>0</v>
      </c>
      <c r="M776" t="n">
        <v>0</v>
      </c>
      <c r="N776" t="n">
        <v>0</v>
      </c>
      <c r="O776" t="n">
        <v>0</v>
      </c>
      <c r="P776" t="n">
        <v>0</v>
      </c>
      <c r="Q776" t="n">
        <v>0</v>
      </c>
      <c r="R776" s="2" t="inlineStr"/>
    </row>
    <row r="777" ht="15" customHeight="1">
      <c r="A777" t="inlineStr">
        <is>
          <t>A 58473-2021</t>
        </is>
      </c>
      <c r="B777" s="1" t="n">
        <v>44488</v>
      </c>
      <c r="C777" s="1" t="n">
        <v>45907</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53860-2021</t>
        </is>
      </c>
      <c r="B778" s="1" t="n">
        <v>44467</v>
      </c>
      <c r="C778" s="1" t="n">
        <v>45907</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c r="A779" t="inlineStr">
        <is>
          <t>A 20533-2023</t>
        </is>
      </c>
      <c r="B779" s="1" t="n">
        <v>45057</v>
      </c>
      <c r="C779" s="1" t="n">
        <v>45907</v>
      </c>
      <c r="D779" t="inlineStr">
        <is>
          <t>SÖDERMANLANDS LÄN</t>
        </is>
      </c>
      <c r="E779" t="inlineStr">
        <is>
          <t>KATRINEHOLM</t>
        </is>
      </c>
      <c r="G779" t="n">
        <v>1.2</v>
      </c>
      <c r="H779" t="n">
        <v>0</v>
      </c>
      <c r="I779" t="n">
        <v>0</v>
      </c>
      <c r="J779" t="n">
        <v>0</v>
      </c>
      <c r="K779" t="n">
        <v>0</v>
      </c>
      <c r="L779" t="n">
        <v>0</v>
      </c>
      <c r="M779" t="n">
        <v>0</v>
      </c>
      <c r="N779" t="n">
        <v>0</v>
      </c>
      <c r="O779" t="n">
        <v>0</v>
      </c>
      <c r="P779" t="n">
        <v>0</v>
      </c>
      <c r="Q779" t="n">
        <v>0</v>
      </c>
      <c r="R779" s="2" t="inlineStr"/>
      <c r="T779">
        <f>HYPERLINK("https://klasma.github.io/Logging_0483/kartor/A 20533-2023 karta.png", "A 20533-2023")</f>
        <v/>
      </c>
      <c r="V779">
        <f>HYPERLINK("https://klasma.github.io/Logging_0483/klagomål/A 20533-2023 FSC-klagomål.docx", "A 20533-2023")</f>
        <v/>
      </c>
      <c r="W779">
        <f>HYPERLINK("https://klasma.github.io/Logging_0483/klagomålsmail/A 20533-2023 FSC-klagomål mail.docx", "A 20533-2023")</f>
        <v/>
      </c>
      <c r="X779">
        <f>HYPERLINK("https://klasma.github.io/Logging_0483/tillsyn/A 20533-2023 tillsynsbegäran.docx", "A 20533-2023")</f>
        <v/>
      </c>
      <c r="Y779">
        <f>HYPERLINK("https://klasma.github.io/Logging_0483/tillsynsmail/A 20533-2023 tillsynsbegäran mail.docx", "A 20533-2023")</f>
        <v/>
      </c>
      <c r="Z779">
        <f>HYPERLINK("https://klasma.github.io/Logging_0483/fåglar/A 20533-2023 prioriterade fågelarter.docx", "A 20533-2023")</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2025-09-07T09:01:22Z</dcterms:created>
  <dcterms:modified xmlns:dcterms="http://purl.org/dc/terms/" xmlns:xsi="http://www.w3.org/2001/XMLSchema-instance" xsi:type="dcterms:W3CDTF">2025-09-07T09:01:22Z</dcterms:modified>
</cp:coreProperties>
</file>