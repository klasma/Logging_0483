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46063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46063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46063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46063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46063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7247-2021</t>
        </is>
      </c>
      <c r="B10" s="1" t="n">
        <v>44238</v>
      </c>
      <c r="C10" s="1" t="n">
        <v>46063</v>
      </c>
      <c r="D10" t="inlineStr">
        <is>
          <t>SÖDERMANLANDS LÄN</t>
        </is>
      </c>
      <c r="E10" t="inlineStr">
        <is>
          <t>KATRINEHOLM</t>
        </is>
      </c>
      <c r="G10" t="n">
        <v>7.3</v>
      </c>
      <c r="H10" t="n">
        <v>0</v>
      </c>
      <c r="I10" t="n">
        <v>1</v>
      </c>
      <c r="J10" t="n">
        <v>5</v>
      </c>
      <c r="K10" t="n">
        <v>0</v>
      </c>
      <c r="L10" t="n">
        <v>0</v>
      </c>
      <c r="M10" t="n">
        <v>0</v>
      </c>
      <c r="N10" t="n">
        <v>0</v>
      </c>
      <c r="O10" t="n">
        <v>5</v>
      </c>
      <c r="P10" t="n">
        <v>0</v>
      </c>
      <c r="Q10" t="n">
        <v>6</v>
      </c>
      <c r="R10" s="2" t="inlineStr">
        <is>
          <t>Hapalopilus aurantiacus
Leptoporus erubescens
Motaggsvamp
Ullticka
Vedskivlav
Barkticka</t>
        </is>
      </c>
      <c r="S10">
        <f>HYPERLINK("https://klasma.github.io/Logging_0483/artfynd/A 7247-2021 artfynd.xlsx", "A 7247-2021")</f>
        <v/>
      </c>
      <c r="T10">
        <f>HYPERLINK("https://klasma.github.io/Logging_0483/kartor/A 7247-2021 karta.png", "A 7247-2021")</f>
        <v/>
      </c>
      <c r="V10">
        <f>HYPERLINK("https://klasma.github.io/Logging_0483/klagomål/A 7247-2021 FSC-klagomål.docx", "A 7247-2021")</f>
        <v/>
      </c>
      <c r="W10">
        <f>HYPERLINK("https://klasma.github.io/Logging_0483/klagomålsmail/A 7247-2021 FSC-klagomål mail.docx", "A 7247-2021")</f>
        <v/>
      </c>
      <c r="X10">
        <f>HYPERLINK("https://klasma.github.io/Logging_0483/tillsyn/A 7247-2021 tillsynsbegäran.docx", "A 7247-2021")</f>
        <v/>
      </c>
      <c r="Y10">
        <f>HYPERLINK("https://klasma.github.io/Logging_0483/tillsynsmail/A 7247-2021 tillsynsbegäran mail.docx", "A 7247-2021")</f>
        <v/>
      </c>
    </row>
    <row r="11" ht="15" customHeight="1">
      <c r="A11" t="inlineStr">
        <is>
          <t>A 54614-2021</t>
        </is>
      </c>
      <c r="B11" s="1" t="n">
        <v>44473</v>
      </c>
      <c r="C11" s="1" t="n">
        <v>46063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46063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46063</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46063</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7585-2023</t>
        </is>
      </c>
      <c r="B15" s="1" t="n">
        <v>44972</v>
      </c>
      <c r="C15" s="1" t="n">
        <v>46063</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46063</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188-2025</t>
        </is>
      </c>
      <c r="B17" s="1" t="n">
        <v>45649</v>
      </c>
      <c r="C17" s="1" t="n">
        <v>46063</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46063</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46063</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46063</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46063</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14858-2023</t>
        </is>
      </c>
      <c r="B22" s="1" t="n">
        <v>45014</v>
      </c>
      <c r="C22" s="1" t="n">
        <v>46063</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46063</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46063</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46063</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46063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24718-2025</t>
        </is>
      </c>
      <c r="B27" s="1" t="n">
        <v>45799</v>
      </c>
      <c r="C27" s="1" t="n">
        <v>46063</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46063</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46063</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46063</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46063</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46063</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56074-2022</t>
        </is>
      </c>
      <c r="B33" s="1" t="n">
        <v>44889</v>
      </c>
      <c r="C33" s="1" t="n">
        <v>46063</v>
      </c>
      <c r="D33" t="inlineStr">
        <is>
          <t>SÖDERMANLANDS LÄN</t>
        </is>
      </c>
      <c r="E33" t="inlineStr">
        <is>
          <t>KATRINEHOLM</t>
        </is>
      </c>
      <c r="G33" t="n">
        <v>12.5</v>
      </c>
      <c r="H33" t="n">
        <v>1</v>
      </c>
      <c r="I33" t="n">
        <v>0</v>
      </c>
      <c r="J33" t="n">
        <v>0</v>
      </c>
      <c r="K33" t="n">
        <v>0</v>
      </c>
      <c r="L33" t="n">
        <v>0</v>
      </c>
      <c r="M33" t="n">
        <v>0</v>
      </c>
      <c r="N33" t="n">
        <v>0</v>
      </c>
      <c r="O33" t="n">
        <v>0</v>
      </c>
      <c r="P33" t="n">
        <v>0</v>
      </c>
      <c r="Q33" t="n">
        <v>1</v>
      </c>
      <c r="R33" s="2" t="inlineStr">
        <is>
          <t>Revlummer</t>
        </is>
      </c>
      <c r="S33">
        <f>HYPERLINK("https://klasma.github.io/Logging_0483/artfynd/A 56074-2022 artfynd.xlsx", "A 56074-2022")</f>
        <v/>
      </c>
      <c r="T33">
        <f>HYPERLINK("https://klasma.github.io/Logging_0483/kartor/A 56074-2022 karta.png", "A 56074-2022")</f>
        <v/>
      </c>
      <c r="V33">
        <f>HYPERLINK("https://klasma.github.io/Logging_0483/klagomål/A 56074-2022 FSC-klagomål.docx", "A 56074-2022")</f>
        <v/>
      </c>
      <c r="W33">
        <f>HYPERLINK("https://klasma.github.io/Logging_0483/klagomålsmail/A 56074-2022 FSC-klagomål mail.docx", "A 56074-2022")</f>
        <v/>
      </c>
      <c r="X33">
        <f>HYPERLINK("https://klasma.github.io/Logging_0483/tillsyn/A 56074-2022 tillsynsbegäran.docx", "A 56074-2022")</f>
        <v/>
      </c>
      <c r="Y33">
        <f>HYPERLINK("https://klasma.github.io/Logging_0483/tillsynsmail/A 56074-2022 tillsynsbegäran mail.docx", "A 56074-2022")</f>
        <v/>
      </c>
    </row>
    <row r="34" ht="15" customHeight="1">
      <c r="A34" t="inlineStr">
        <is>
          <t>A 8917-2024</t>
        </is>
      </c>
      <c r="B34" s="1" t="n">
        <v>45357.37618055556</v>
      </c>
      <c r="C34" s="1" t="n">
        <v>46063</v>
      </c>
      <c r="D34" t="inlineStr">
        <is>
          <t>SÖDERMANLANDS LÄN</t>
        </is>
      </c>
      <c r="E34" t="inlineStr">
        <is>
          <t>KATRINEHOLM</t>
        </is>
      </c>
      <c r="G34" t="n">
        <v>3</v>
      </c>
      <c r="H34" t="n">
        <v>1</v>
      </c>
      <c r="I34" t="n">
        <v>0</v>
      </c>
      <c r="J34" t="n">
        <v>0</v>
      </c>
      <c r="K34" t="n">
        <v>0</v>
      </c>
      <c r="L34" t="n">
        <v>0</v>
      </c>
      <c r="M34" t="n">
        <v>0</v>
      </c>
      <c r="N34" t="n">
        <v>0</v>
      </c>
      <c r="O34" t="n">
        <v>0</v>
      </c>
      <c r="P34" t="n">
        <v>0</v>
      </c>
      <c r="Q34" t="n">
        <v>1</v>
      </c>
      <c r="R34" s="2" t="inlineStr">
        <is>
          <t>Gröngöling</t>
        </is>
      </c>
      <c r="S34">
        <f>HYPERLINK("https://klasma.github.io/Logging_0483/artfynd/A 8917-2024 artfynd.xlsx", "A 8917-2024")</f>
        <v/>
      </c>
      <c r="T34">
        <f>HYPERLINK("https://klasma.github.io/Logging_0483/kartor/A 8917-2024 karta.png", "A 8917-2024")</f>
        <v/>
      </c>
      <c r="V34">
        <f>HYPERLINK("https://klasma.github.io/Logging_0483/klagomål/A 8917-2024 FSC-klagomål.docx", "A 8917-2024")</f>
        <v/>
      </c>
      <c r="W34">
        <f>HYPERLINK("https://klasma.github.io/Logging_0483/klagomålsmail/A 8917-2024 FSC-klagomål mail.docx", "A 8917-2024")</f>
        <v/>
      </c>
      <c r="X34">
        <f>HYPERLINK("https://klasma.github.io/Logging_0483/tillsyn/A 8917-2024 tillsynsbegäran.docx", "A 8917-2024")</f>
        <v/>
      </c>
      <c r="Y34">
        <f>HYPERLINK("https://klasma.github.io/Logging_0483/tillsynsmail/A 8917-2024 tillsynsbegäran mail.docx", "A 8917-2024")</f>
        <v/>
      </c>
      <c r="Z34">
        <f>HYPERLINK("https://klasma.github.io/Logging_0483/fåglar/A 8917-2024 prioriterade fågelarter.docx", "A 8917-2024")</f>
        <v/>
      </c>
    </row>
    <row r="35" ht="15" customHeight="1">
      <c r="A35" t="inlineStr">
        <is>
          <t>A 16458-2022</t>
        </is>
      </c>
      <c r="B35" s="1" t="n">
        <v>44671</v>
      </c>
      <c r="C35" s="1" t="n">
        <v>46063</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11890-2023</t>
        </is>
      </c>
      <c r="B36" s="1" t="n">
        <v>44995</v>
      </c>
      <c r="C36" s="1" t="n">
        <v>46063</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23568-2023</t>
        </is>
      </c>
      <c r="B37" s="1" t="n">
        <v>45077</v>
      </c>
      <c r="C37" s="1" t="n">
        <v>46063</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35163-2025</t>
        </is>
      </c>
      <c r="B38" s="1" t="n">
        <v>45852.71136574074</v>
      </c>
      <c r="C38" s="1" t="n">
        <v>46063</v>
      </c>
      <c r="D38" t="inlineStr">
        <is>
          <t>SÖDERMANLANDS LÄN</t>
        </is>
      </c>
      <c r="E38" t="inlineStr">
        <is>
          <t>KATRINEHOLM</t>
        </is>
      </c>
      <c r="F38" t="inlineStr">
        <is>
          <t>Övriga Aktiebolag</t>
        </is>
      </c>
      <c r="G38" t="n">
        <v>1.1</v>
      </c>
      <c r="H38" t="n">
        <v>0</v>
      </c>
      <c r="I38" t="n">
        <v>1</v>
      </c>
      <c r="J38" t="n">
        <v>0</v>
      </c>
      <c r="K38" t="n">
        <v>0</v>
      </c>
      <c r="L38" t="n">
        <v>0</v>
      </c>
      <c r="M38" t="n">
        <v>0</v>
      </c>
      <c r="N38" t="n">
        <v>0</v>
      </c>
      <c r="O38" t="n">
        <v>0</v>
      </c>
      <c r="P38" t="n">
        <v>0</v>
      </c>
      <c r="Q38" t="n">
        <v>1</v>
      </c>
      <c r="R38" s="2" t="inlineStr">
        <is>
          <t>Kattfotslav</t>
        </is>
      </c>
      <c r="S38">
        <f>HYPERLINK("https://klasma.github.io/Logging_0483/artfynd/A 35163-2025 artfynd.xlsx", "A 35163-2025")</f>
        <v/>
      </c>
      <c r="T38">
        <f>HYPERLINK("https://klasma.github.io/Logging_0483/kartor/A 35163-2025 karta.png", "A 35163-2025")</f>
        <v/>
      </c>
      <c r="V38">
        <f>HYPERLINK("https://klasma.github.io/Logging_0483/klagomål/A 35163-2025 FSC-klagomål.docx", "A 35163-2025")</f>
        <v/>
      </c>
      <c r="W38">
        <f>HYPERLINK("https://klasma.github.io/Logging_0483/klagomålsmail/A 35163-2025 FSC-klagomål mail.docx", "A 35163-2025")</f>
        <v/>
      </c>
      <c r="X38">
        <f>HYPERLINK("https://klasma.github.io/Logging_0483/tillsyn/A 35163-2025 tillsynsbegäran.docx", "A 35163-2025")</f>
        <v/>
      </c>
      <c r="Y38">
        <f>HYPERLINK("https://klasma.github.io/Logging_0483/tillsynsmail/A 35163-2025 tillsynsbegäran mail.docx", "A 35163-2025")</f>
        <v/>
      </c>
    </row>
    <row r="39" ht="15" customHeight="1">
      <c r="A39" t="inlineStr">
        <is>
          <t>A 57519-2021</t>
        </is>
      </c>
      <c r="B39" s="1" t="n">
        <v>44483</v>
      </c>
      <c r="C39" s="1" t="n">
        <v>46063</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42055-2025</t>
        </is>
      </c>
      <c r="B40" s="1" t="n">
        <v>45903</v>
      </c>
      <c r="C40" s="1" t="n">
        <v>46063</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44486-2023</t>
        </is>
      </c>
      <c r="B41" s="1" t="n">
        <v>45183</v>
      </c>
      <c r="C41" s="1" t="n">
        <v>46063</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44632-2023</t>
        </is>
      </c>
      <c r="B42" s="1" t="n">
        <v>45184</v>
      </c>
      <c r="C42" s="1" t="n">
        <v>46063</v>
      </c>
      <c r="D42" t="inlineStr">
        <is>
          <t>SÖDERMANLANDS LÄN</t>
        </is>
      </c>
      <c r="E42" t="inlineStr">
        <is>
          <t>KATRINEHOLM</t>
        </is>
      </c>
      <c r="G42" t="n">
        <v>6.2</v>
      </c>
      <c r="H42" t="n">
        <v>0</v>
      </c>
      <c r="I42" t="n">
        <v>0</v>
      </c>
      <c r="J42" t="n">
        <v>1</v>
      </c>
      <c r="K42" t="n">
        <v>0</v>
      </c>
      <c r="L42" t="n">
        <v>0</v>
      </c>
      <c r="M42" t="n">
        <v>0</v>
      </c>
      <c r="N42" t="n">
        <v>0</v>
      </c>
      <c r="O42" t="n">
        <v>1</v>
      </c>
      <c r="P42" t="n">
        <v>0</v>
      </c>
      <c r="Q42" t="n">
        <v>1</v>
      </c>
      <c r="R42" s="2" t="inlineStr">
        <is>
          <t>Motaggsvamp</t>
        </is>
      </c>
      <c r="S42">
        <f>HYPERLINK("https://klasma.github.io/Logging_0483/artfynd/A 44632-2023 artfynd.xlsx", "A 44632-2023")</f>
        <v/>
      </c>
      <c r="T42">
        <f>HYPERLINK("https://klasma.github.io/Logging_0483/kartor/A 44632-2023 karta.png", "A 44632-2023")</f>
        <v/>
      </c>
      <c r="V42">
        <f>HYPERLINK("https://klasma.github.io/Logging_0483/klagomål/A 44632-2023 FSC-klagomål.docx", "A 44632-2023")</f>
        <v/>
      </c>
      <c r="W42">
        <f>HYPERLINK("https://klasma.github.io/Logging_0483/klagomålsmail/A 44632-2023 FSC-klagomål mail.docx", "A 44632-2023")</f>
        <v/>
      </c>
      <c r="X42">
        <f>HYPERLINK("https://klasma.github.io/Logging_0483/tillsyn/A 44632-2023 tillsynsbegäran.docx", "A 44632-2023")</f>
        <v/>
      </c>
      <c r="Y42">
        <f>HYPERLINK("https://klasma.github.io/Logging_0483/tillsynsmail/A 44632-2023 tillsynsbegäran mail.docx", "A 44632-2023")</f>
        <v/>
      </c>
    </row>
    <row r="43" ht="15" customHeight="1">
      <c r="A43" t="inlineStr">
        <is>
          <t>A 41980-2025</t>
        </is>
      </c>
      <c r="B43" s="1" t="n">
        <v>45903</v>
      </c>
      <c r="C43" s="1" t="n">
        <v>46063</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48199-2025</t>
        </is>
      </c>
      <c r="B44" s="1" t="n">
        <v>45933.47856481482</v>
      </c>
      <c r="C44" s="1" t="n">
        <v>46063</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33801-2023</t>
        </is>
      </c>
      <c r="B45" s="1" t="n">
        <v>45133</v>
      </c>
      <c r="C45" s="1" t="n">
        <v>46063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46063</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46063</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46063</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1260-2026</t>
        </is>
      </c>
      <c r="B49" s="1" t="n">
        <v>46031.45652777778</v>
      </c>
      <c r="C49" s="1" t="n">
        <v>46063</v>
      </c>
      <c r="D49" t="inlineStr">
        <is>
          <t>SÖDERMANLANDS LÄN</t>
        </is>
      </c>
      <c r="E49" t="inlineStr">
        <is>
          <t>KATRINEHOLM</t>
        </is>
      </c>
      <c r="G49" t="n">
        <v>9.1</v>
      </c>
      <c r="H49" t="n">
        <v>1</v>
      </c>
      <c r="I49" t="n">
        <v>0</v>
      </c>
      <c r="J49" t="n">
        <v>1</v>
      </c>
      <c r="K49" t="n">
        <v>0</v>
      </c>
      <c r="L49" t="n">
        <v>0</v>
      </c>
      <c r="M49" t="n">
        <v>0</v>
      </c>
      <c r="N49" t="n">
        <v>0</v>
      </c>
      <c r="O49" t="n">
        <v>1</v>
      </c>
      <c r="P49" t="n">
        <v>0</v>
      </c>
      <c r="Q49" t="n">
        <v>1</v>
      </c>
      <c r="R49" s="2" t="inlineStr">
        <is>
          <t>Spillkråka</t>
        </is>
      </c>
      <c r="S49">
        <f>HYPERLINK("https://klasma.github.io/Logging_0483/artfynd/A 1260-2026 artfynd.xlsx", "A 1260-2026")</f>
        <v/>
      </c>
      <c r="T49">
        <f>HYPERLINK("https://klasma.github.io/Logging_0483/kartor/A 1260-2026 karta.png", "A 1260-2026")</f>
        <v/>
      </c>
      <c r="V49">
        <f>HYPERLINK("https://klasma.github.io/Logging_0483/klagomål/A 1260-2026 FSC-klagomål.docx", "A 1260-2026")</f>
        <v/>
      </c>
      <c r="W49">
        <f>HYPERLINK("https://klasma.github.io/Logging_0483/klagomålsmail/A 1260-2026 FSC-klagomål mail.docx", "A 1260-2026")</f>
        <v/>
      </c>
      <c r="X49">
        <f>HYPERLINK("https://klasma.github.io/Logging_0483/tillsyn/A 1260-2026 tillsynsbegäran.docx", "A 1260-2026")</f>
        <v/>
      </c>
      <c r="Y49">
        <f>HYPERLINK("https://klasma.github.io/Logging_0483/tillsynsmail/A 1260-2026 tillsynsbegäran mail.docx", "A 1260-2026")</f>
        <v/>
      </c>
      <c r="Z49">
        <f>HYPERLINK("https://klasma.github.io/Logging_0483/fåglar/A 1260-2026 prioriterade fågelarter.docx", "A 1260-2026")</f>
        <v/>
      </c>
    </row>
    <row r="50" ht="15" customHeight="1">
      <c r="A50" t="inlineStr">
        <is>
          <t>A 7305-2024</t>
        </is>
      </c>
      <c r="B50" s="1" t="n">
        <v>45344</v>
      </c>
      <c r="C50" s="1" t="n">
        <v>46063</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Gröngöling</t>
        </is>
      </c>
      <c r="S50">
        <f>HYPERLINK("https://klasma.github.io/Logging_0483/artfynd/A 7305-2024 artfynd.xlsx", "A 7305-2024")</f>
        <v/>
      </c>
      <c r="T50">
        <f>HYPERLINK("https://klasma.github.io/Logging_0483/kartor/A 7305-2024 karta.png", "A 7305-2024")</f>
        <v/>
      </c>
      <c r="V50">
        <f>HYPERLINK("https://klasma.github.io/Logging_0483/klagomål/A 7305-2024 FSC-klagomål.docx", "A 7305-2024")</f>
        <v/>
      </c>
      <c r="W50">
        <f>HYPERLINK("https://klasma.github.io/Logging_0483/klagomålsmail/A 7305-2024 FSC-klagomål mail.docx", "A 7305-2024")</f>
        <v/>
      </c>
      <c r="X50">
        <f>HYPERLINK("https://klasma.github.io/Logging_0483/tillsyn/A 7305-2024 tillsynsbegäran.docx", "A 7305-2024")</f>
        <v/>
      </c>
      <c r="Y50">
        <f>HYPERLINK("https://klasma.github.io/Logging_0483/tillsynsmail/A 7305-2024 tillsynsbegäran mail.docx", "A 7305-2024")</f>
        <v/>
      </c>
      <c r="Z50">
        <f>HYPERLINK("https://klasma.github.io/Logging_0483/fåglar/A 7305-2024 prioriterade fågelarter.docx", "A 7305-2024")</f>
        <v/>
      </c>
    </row>
    <row r="51" ht="15" customHeight="1">
      <c r="A51" t="inlineStr">
        <is>
          <t>A 53990-2023</t>
        </is>
      </c>
      <c r="B51" s="1" t="n">
        <v>45231</v>
      </c>
      <c r="C51" s="1" t="n">
        <v>46063</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53154-2023</t>
        </is>
      </c>
      <c r="B52" s="1" t="n">
        <v>45229</v>
      </c>
      <c r="C52" s="1" t="n">
        <v>46063</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Skogsduva</t>
        </is>
      </c>
      <c r="S52">
        <f>HYPERLINK("https://klasma.github.io/Logging_0483/artfynd/A 53154-2023 artfynd.xlsx", "A 53154-2023")</f>
        <v/>
      </c>
      <c r="T52">
        <f>HYPERLINK("https://klasma.github.io/Logging_0483/kartor/A 53154-2023 karta.png", "A 53154-2023")</f>
        <v/>
      </c>
      <c r="V52">
        <f>HYPERLINK("https://klasma.github.io/Logging_0483/klagomål/A 53154-2023 FSC-klagomål.docx", "A 53154-2023")</f>
        <v/>
      </c>
      <c r="W52">
        <f>HYPERLINK("https://klasma.github.io/Logging_0483/klagomålsmail/A 53154-2023 FSC-klagomål mail.docx", "A 53154-2023")</f>
        <v/>
      </c>
      <c r="X52">
        <f>HYPERLINK("https://klasma.github.io/Logging_0483/tillsyn/A 53154-2023 tillsynsbegäran.docx", "A 53154-2023")</f>
        <v/>
      </c>
      <c r="Y52">
        <f>HYPERLINK("https://klasma.github.io/Logging_0483/tillsynsmail/A 53154-2023 tillsynsbegäran mail.docx", "A 53154-2023")</f>
        <v/>
      </c>
      <c r="Z52">
        <f>HYPERLINK("https://klasma.github.io/Logging_0483/fåglar/A 53154-2023 prioriterade fågelarter.docx", "A 53154-2023")</f>
        <v/>
      </c>
    </row>
    <row r="53" ht="15" customHeight="1">
      <c r="A53" t="inlineStr">
        <is>
          <t>A 63946-2025</t>
        </is>
      </c>
      <c r="B53" s="1" t="n">
        <v>46010</v>
      </c>
      <c r="C53" s="1" t="n">
        <v>46063</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46063</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11890-2023</t>
        </is>
      </c>
      <c r="B55" s="1" t="n">
        <v>44995</v>
      </c>
      <c r="C55" s="1" t="n">
        <v>46063</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46063</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46063</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46063</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46063</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46063</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46063</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27926-2025</t>
        </is>
      </c>
      <c r="B62" s="1" t="n">
        <v>45814</v>
      </c>
      <c r="C62" s="1" t="n">
        <v>46063</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36856-2021</t>
        </is>
      </c>
      <c r="B63" s="1" t="n">
        <v>44393</v>
      </c>
      <c r="C63" s="1" t="n">
        <v>46063</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46063</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46063</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46063</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46063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46063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46063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46063</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46063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46063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46063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46063</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46063</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46063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46063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46063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46063</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46063</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46063</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17430-2021</t>
        </is>
      </c>
      <c r="B82" s="1" t="n">
        <v>44299.40710648148</v>
      </c>
      <c r="C82" s="1" t="n">
        <v>46063</v>
      </c>
      <c r="D82" t="inlineStr">
        <is>
          <t>SÖDERMANLANDS LÄN</t>
        </is>
      </c>
      <c r="E82" t="inlineStr">
        <is>
          <t>KATRINEHOLM</t>
        </is>
      </c>
      <c r="G82" t="n">
        <v>1.2</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46063</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46063</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46063</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46063</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46063</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46063</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46063</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46063</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46063</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46063</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46063</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46063</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46063</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46063</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46063</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46063</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46063</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46063</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46063</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46063</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46063</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46063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46063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46063</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46063</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46063</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46063</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46063</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46063</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46063</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46063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46063</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46063</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46063</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46063</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46063</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46063</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46063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46063</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46063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46063</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46063</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46063</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46063</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46063</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46063</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46063</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46063</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46063</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46063</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46063</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46063</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46063</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46063</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46063</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46063</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46063</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46063</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46063</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46063</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46063</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46063</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46063</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46063</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46063</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46063</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46063</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46063</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46063</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46063</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46063</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46063</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46063</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46063</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46063</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46063</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46063</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46063</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46063</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46063</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46063</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46063</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46063</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46063</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46063</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46063</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46063</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46063</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46063</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46063</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46063</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46063</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46063</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46063</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46063</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46063</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46063</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46063</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46063</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46063</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46063</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46063</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46063</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46063</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46063</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46063</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46063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46063</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46063</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46063</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46063</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46063</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46063</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46063</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7705-2021</t>
        </is>
      </c>
      <c r="B197" s="1" t="n">
        <v>44242</v>
      </c>
      <c r="C197" s="1" t="n">
        <v>46063</v>
      </c>
      <c r="D197" t="inlineStr">
        <is>
          <t>SÖDERMANLANDS LÄN</t>
        </is>
      </c>
      <c r="E197" t="inlineStr">
        <is>
          <t>KATRINEHOLM</t>
        </is>
      </c>
      <c r="F197" t="inlineStr">
        <is>
          <t>Allmännings- och besparingsskogar</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46569-2022</t>
        </is>
      </c>
      <c r="B198" s="1" t="n">
        <v>44847</v>
      </c>
      <c r="C198" s="1" t="n">
        <v>46063</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58473-2021</t>
        </is>
      </c>
      <c r="B199" s="1" t="n">
        <v>44488</v>
      </c>
      <c r="C199" s="1" t="n">
        <v>46063</v>
      </c>
      <c r="D199" t="inlineStr">
        <is>
          <t>SÖDERMANLANDS LÄN</t>
        </is>
      </c>
      <c r="E199" t="inlineStr">
        <is>
          <t>KATRINEHOLM</t>
        </is>
      </c>
      <c r="G199" t="n">
        <v>0.5</v>
      </c>
      <c r="H199" t="n">
        <v>0</v>
      </c>
      <c r="I199" t="n">
        <v>0</v>
      </c>
      <c r="J199" t="n">
        <v>0</v>
      </c>
      <c r="K199" t="n">
        <v>0</v>
      </c>
      <c r="L199" t="n">
        <v>0</v>
      </c>
      <c r="M199" t="n">
        <v>0</v>
      </c>
      <c r="N199" t="n">
        <v>0</v>
      </c>
      <c r="O199" t="n">
        <v>0</v>
      </c>
      <c r="P199" t="n">
        <v>0</v>
      </c>
      <c r="Q199" t="n">
        <v>0</v>
      </c>
      <c r="R199" s="2" t="inlineStr"/>
    </row>
    <row r="200" ht="15" customHeight="1">
      <c r="A200" t="inlineStr">
        <is>
          <t>A 6091-2025</t>
        </is>
      </c>
      <c r="B200" s="1" t="n">
        <v>45697</v>
      </c>
      <c r="C200" s="1" t="n">
        <v>46063</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6093-2025</t>
        </is>
      </c>
      <c r="B201" s="1" t="n">
        <v>45697</v>
      </c>
      <c r="C201" s="1" t="n">
        <v>46063</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41966-2023</t>
        </is>
      </c>
      <c r="B202" s="1" t="n">
        <v>45177</v>
      </c>
      <c r="C202" s="1" t="n">
        <v>46063</v>
      </c>
      <c r="D202" t="inlineStr">
        <is>
          <t>SÖDERMANLANDS LÄN</t>
        </is>
      </c>
      <c r="E202" t="inlineStr">
        <is>
          <t>KATRINEHOLM</t>
        </is>
      </c>
      <c r="G202" t="n">
        <v>36.9</v>
      </c>
      <c r="H202" t="n">
        <v>0</v>
      </c>
      <c r="I202" t="n">
        <v>0</v>
      </c>
      <c r="J202" t="n">
        <v>0</v>
      </c>
      <c r="K202" t="n">
        <v>0</v>
      </c>
      <c r="L202" t="n">
        <v>0</v>
      </c>
      <c r="M202" t="n">
        <v>0</v>
      </c>
      <c r="N202" t="n">
        <v>0</v>
      </c>
      <c r="O202" t="n">
        <v>0</v>
      </c>
      <c r="P202" t="n">
        <v>0</v>
      </c>
      <c r="Q202" t="n">
        <v>0</v>
      </c>
      <c r="R202" s="2" t="inlineStr"/>
    </row>
    <row r="203" ht="15" customHeight="1">
      <c r="A203" t="inlineStr">
        <is>
          <t>A 36210-2022</t>
        </is>
      </c>
      <c r="B203" s="1" t="n">
        <v>44803.47950231482</v>
      </c>
      <c r="C203" s="1" t="n">
        <v>46063</v>
      </c>
      <c r="D203" t="inlineStr">
        <is>
          <t>SÖDERMANLANDS LÄN</t>
        </is>
      </c>
      <c r="E203" t="inlineStr">
        <is>
          <t>KATRINEHOLM</t>
        </is>
      </c>
      <c r="G203" t="n">
        <v>1.6</v>
      </c>
      <c r="H203" t="n">
        <v>0</v>
      </c>
      <c r="I203" t="n">
        <v>0</v>
      </c>
      <c r="J203" t="n">
        <v>0</v>
      </c>
      <c r="K203" t="n">
        <v>0</v>
      </c>
      <c r="L203" t="n">
        <v>0</v>
      </c>
      <c r="M203" t="n">
        <v>0</v>
      </c>
      <c r="N203" t="n">
        <v>0</v>
      </c>
      <c r="O203" t="n">
        <v>0</v>
      </c>
      <c r="P203" t="n">
        <v>0</v>
      </c>
      <c r="Q203" t="n">
        <v>0</v>
      </c>
      <c r="R203" s="2" t="inlineStr"/>
    </row>
    <row r="204" ht="15" customHeight="1">
      <c r="A204" t="inlineStr">
        <is>
          <t>A 35188-2022</t>
        </is>
      </c>
      <c r="B204" s="1" t="n">
        <v>44797</v>
      </c>
      <c r="C204" s="1" t="n">
        <v>46063</v>
      </c>
      <c r="D204" t="inlineStr">
        <is>
          <t>SÖDERMANLANDS LÄN</t>
        </is>
      </c>
      <c r="E204" t="inlineStr">
        <is>
          <t>KATRINEHOLM</t>
        </is>
      </c>
      <c r="G204" t="n">
        <v>3</v>
      </c>
      <c r="H204" t="n">
        <v>0</v>
      </c>
      <c r="I204" t="n">
        <v>0</v>
      </c>
      <c r="J204" t="n">
        <v>0</v>
      </c>
      <c r="K204" t="n">
        <v>0</v>
      </c>
      <c r="L204" t="n">
        <v>0</v>
      </c>
      <c r="M204" t="n">
        <v>0</v>
      </c>
      <c r="N204" t="n">
        <v>0</v>
      </c>
      <c r="O204" t="n">
        <v>0</v>
      </c>
      <c r="P204" t="n">
        <v>0</v>
      </c>
      <c r="Q204" t="n">
        <v>0</v>
      </c>
      <c r="R204" s="2" t="inlineStr"/>
    </row>
    <row r="205" ht="15" customHeight="1">
      <c r="A205" t="inlineStr">
        <is>
          <t>A 3090-2025</t>
        </is>
      </c>
      <c r="B205" s="1" t="n">
        <v>45678</v>
      </c>
      <c r="C205" s="1" t="n">
        <v>46063</v>
      </c>
      <c r="D205" t="inlineStr">
        <is>
          <t>SÖDERMANLANDS LÄN</t>
        </is>
      </c>
      <c r="E205" t="inlineStr">
        <is>
          <t>KATRINEHOLM</t>
        </is>
      </c>
      <c r="F205" t="inlineStr">
        <is>
          <t>Kyrkan</t>
        </is>
      </c>
      <c r="G205" t="n">
        <v>6.9</v>
      </c>
      <c r="H205" t="n">
        <v>0</v>
      </c>
      <c r="I205" t="n">
        <v>0</v>
      </c>
      <c r="J205" t="n">
        <v>0</v>
      </c>
      <c r="K205" t="n">
        <v>0</v>
      </c>
      <c r="L205" t="n">
        <v>0</v>
      </c>
      <c r="M205" t="n">
        <v>0</v>
      </c>
      <c r="N205" t="n">
        <v>0</v>
      </c>
      <c r="O205" t="n">
        <v>0</v>
      </c>
      <c r="P205" t="n">
        <v>0</v>
      </c>
      <c r="Q205" t="n">
        <v>0</v>
      </c>
      <c r="R205" s="2" t="inlineStr"/>
    </row>
    <row r="206" ht="15" customHeight="1">
      <c r="A206" t="inlineStr">
        <is>
          <t>A 48682-2022</t>
        </is>
      </c>
      <c r="B206" s="1" t="n">
        <v>44859</v>
      </c>
      <c r="C206" s="1" t="n">
        <v>46063</v>
      </c>
      <c r="D206" t="inlineStr">
        <is>
          <t>SÖDERMANLANDS LÄN</t>
        </is>
      </c>
      <c r="E206" t="inlineStr">
        <is>
          <t>KATRINEHOLM</t>
        </is>
      </c>
      <c r="G206" t="n">
        <v>2</v>
      </c>
      <c r="H206" t="n">
        <v>0</v>
      </c>
      <c r="I206" t="n">
        <v>0</v>
      </c>
      <c r="J206" t="n">
        <v>0</v>
      </c>
      <c r="K206" t="n">
        <v>0</v>
      </c>
      <c r="L206" t="n">
        <v>0</v>
      </c>
      <c r="M206" t="n">
        <v>0</v>
      </c>
      <c r="N206" t="n">
        <v>0</v>
      </c>
      <c r="O206" t="n">
        <v>0</v>
      </c>
      <c r="P206" t="n">
        <v>0</v>
      </c>
      <c r="Q206" t="n">
        <v>0</v>
      </c>
      <c r="R206" s="2" t="inlineStr"/>
    </row>
    <row r="207" ht="15" customHeight="1">
      <c r="A207" t="inlineStr">
        <is>
          <t>A 17246-2024</t>
        </is>
      </c>
      <c r="B207" s="1" t="n">
        <v>45414</v>
      </c>
      <c r="C207" s="1" t="n">
        <v>46063</v>
      </c>
      <c r="D207" t="inlineStr">
        <is>
          <t>SÖDERMANLANDS LÄN</t>
        </is>
      </c>
      <c r="E207" t="inlineStr">
        <is>
          <t>KATRINEHOLM</t>
        </is>
      </c>
      <c r="F207" t="inlineStr">
        <is>
          <t>Allmännings- och besparingsskogar</t>
        </is>
      </c>
      <c r="G207" t="n">
        <v>13.7</v>
      </c>
      <c r="H207" t="n">
        <v>0</v>
      </c>
      <c r="I207" t="n">
        <v>0</v>
      </c>
      <c r="J207" t="n">
        <v>0</v>
      </c>
      <c r="K207" t="n">
        <v>0</v>
      </c>
      <c r="L207" t="n">
        <v>0</v>
      </c>
      <c r="M207" t="n">
        <v>0</v>
      </c>
      <c r="N207" t="n">
        <v>0</v>
      </c>
      <c r="O207" t="n">
        <v>0</v>
      </c>
      <c r="P207" t="n">
        <v>0</v>
      </c>
      <c r="Q207" t="n">
        <v>0</v>
      </c>
      <c r="R207" s="2" t="inlineStr"/>
    </row>
    <row r="208" ht="15" customHeight="1">
      <c r="A208" t="inlineStr">
        <is>
          <t>A 20460-2025</t>
        </is>
      </c>
      <c r="B208" s="1" t="n">
        <v>45775.52854166667</v>
      </c>
      <c r="C208" s="1" t="n">
        <v>46063</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9693-2024</t>
        </is>
      </c>
      <c r="B209" s="1" t="n">
        <v>45362</v>
      </c>
      <c r="C209" s="1" t="n">
        <v>46063</v>
      </c>
      <c r="D209" t="inlineStr">
        <is>
          <t>SÖDERMANLANDS LÄN</t>
        </is>
      </c>
      <c r="E209" t="inlineStr">
        <is>
          <t>KATRINEHOLM</t>
        </is>
      </c>
      <c r="G209" t="n">
        <v>5.9</v>
      </c>
      <c r="H209" t="n">
        <v>0</v>
      </c>
      <c r="I209" t="n">
        <v>0</v>
      </c>
      <c r="J209" t="n">
        <v>0</v>
      </c>
      <c r="K209" t="n">
        <v>0</v>
      </c>
      <c r="L209" t="n">
        <v>0</v>
      </c>
      <c r="M209" t="n">
        <v>0</v>
      </c>
      <c r="N209" t="n">
        <v>0</v>
      </c>
      <c r="O209" t="n">
        <v>0</v>
      </c>
      <c r="P209" t="n">
        <v>0</v>
      </c>
      <c r="Q209" t="n">
        <v>0</v>
      </c>
      <c r="R209" s="2" t="inlineStr"/>
    </row>
    <row r="210" ht="15" customHeight="1">
      <c r="A210" t="inlineStr">
        <is>
          <t>A 43964-2022</t>
        </is>
      </c>
      <c r="B210" s="1" t="n">
        <v>44837</v>
      </c>
      <c r="C210" s="1" t="n">
        <v>46063</v>
      </c>
      <c r="D210" t="inlineStr">
        <is>
          <t>SÖDERMANLANDS LÄN</t>
        </is>
      </c>
      <c r="E210" t="inlineStr">
        <is>
          <t>KATRINEHOLM</t>
        </is>
      </c>
      <c r="G210" t="n">
        <v>3.6</v>
      </c>
      <c r="H210" t="n">
        <v>0</v>
      </c>
      <c r="I210" t="n">
        <v>0</v>
      </c>
      <c r="J210" t="n">
        <v>0</v>
      </c>
      <c r="K210" t="n">
        <v>0</v>
      </c>
      <c r="L210" t="n">
        <v>0</v>
      </c>
      <c r="M210" t="n">
        <v>0</v>
      </c>
      <c r="N210" t="n">
        <v>0</v>
      </c>
      <c r="O210" t="n">
        <v>0</v>
      </c>
      <c r="P210" t="n">
        <v>0</v>
      </c>
      <c r="Q210" t="n">
        <v>0</v>
      </c>
      <c r="R210" s="2" t="inlineStr"/>
    </row>
    <row r="211" ht="15" customHeight="1">
      <c r="A211" t="inlineStr">
        <is>
          <t>A 42015-2022</t>
        </is>
      </c>
      <c r="B211" s="1" t="n">
        <v>44830.4649074074</v>
      </c>
      <c r="C211" s="1" t="n">
        <v>46063</v>
      </c>
      <c r="D211" t="inlineStr">
        <is>
          <t>SÖDERMANLANDS LÄN</t>
        </is>
      </c>
      <c r="E211" t="inlineStr">
        <is>
          <t>KATRINEHOLM</t>
        </is>
      </c>
      <c r="G211" t="n">
        <v>3.8</v>
      </c>
      <c r="H211" t="n">
        <v>0</v>
      </c>
      <c r="I211" t="n">
        <v>0</v>
      </c>
      <c r="J211" t="n">
        <v>0</v>
      </c>
      <c r="K211" t="n">
        <v>0</v>
      </c>
      <c r="L211" t="n">
        <v>0</v>
      </c>
      <c r="M211" t="n">
        <v>0</v>
      </c>
      <c r="N211" t="n">
        <v>0</v>
      </c>
      <c r="O211" t="n">
        <v>0</v>
      </c>
      <c r="P211" t="n">
        <v>0</v>
      </c>
      <c r="Q211" t="n">
        <v>0</v>
      </c>
      <c r="R211" s="2" t="inlineStr"/>
    </row>
    <row r="212" ht="15" customHeight="1">
      <c r="A212" t="inlineStr">
        <is>
          <t>A 42020-2022</t>
        </is>
      </c>
      <c r="B212" s="1" t="n">
        <v>44830.46849537037</v>
      </c>
      <c r="C212" s="1" t="n">
        <v>46063</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55846-2022</t>
        </is>
      </c>
      <c r="B213" s="1" t="n">
        <v>44888</v>
      </c>
      <c r="C213" s="1" t="n">
        <v>46063</v>
      </c>
      <c r="D213" t="inlineStr">
        <is>
          <t>SÖDERMANLANDS LÄN</t>
        </is>
      </c>
      <c r="E213" t="inlineStr">
        <is>
          <t>KATRINEHOLM</t>
        </is>
      </c>
      <c r="G213" t="n">
        <v>6.5</v>
      </c>
      <c r="H213" t="n">
        <v>0</v>
      </c>
      <c r="I213" t="n">
        <v>0</v>
      </c>
      <c r="J213" t="n">
        <v>0</v>
      </c>
      <c r="K213" t="n">
        <v>0</v>
      </c>
      <c r="L213" t="n">
        <v>0</v>
      </c>
      <c r="M213" t="n">
        <v>0</v>
      </c>
      <c r="N213" t="n">
        <v>0</v>
      </c>
      <c r="O213" t="n">
        <v>0</v>
      </c>
      <c r="P213" t="n">
        <v>0</v>
      </c>
      <c r="Q213" t="n">
        <v>0</v>
      </c>
      <c r="R213" s="2" t="inlineStr"/>
    </row>
    <row r="214" ht="15" customHeight="1">
      <c r="A214" t="inlineStr">
        <is>
          <t>A 48520-2023</t>
        </is>
      </c>
      <c r="B214" s="1" t="n">
        <v>45208</v>
      </c>
      <c r="C214" s="1" t="n">
        <v>46063</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53722-2023</t>
        </is>
      </c>
      <c r="B215" s="1" t="n">
        <v>45230</v>
      </c>
      <c r="C215" s="1" t="n">
        <v>46063</v>
      </c>
      <c r="D215" t="inlineStr">
        <is>
          <t>SÖDERMANLANDS LÄN</t>
        </is>
      </c>
      <c r="E215" t="inlineStr">
        <is>
          <t>KATRINEHOLM</t>
        </is>
      </c>
      <c r="F215" t="inlineStr">
        <is>
          <t>Allmännings- och besparingsskogar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33538-2022</t>
        </is>
      </c>
      <c r="B216" s="1" t="n">
        <v>44789</v>
      </c>
      <c r="C216" s="1" t="n">
        <v>46063</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56661-2021</t>
        </is>
      </c>
      <c r="B217" s="1" t="n">
        <v>44481.24327546296</v>
      </c>
      <c r="C217" s="1" t="n">
        <v>46063</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28394-2023</t>
        </is>
      </c>
      <c r="B218" s="1" t="n">
        <v>45100</v>
      </c>
      <c r="C218" s="1" t="n">
        <v>46063</v>
      </c>
      <c r="D218" t="inlineStr">
        <is>
          <t>SÖDERMANLANDS LÄN</t>
        </is>
      </c>
      <c r="E218" t="inlineStr">
        <is>
          <t>KATRINEHOLM</t>
        </is>
      </c>
      <c r="G218" t="n">
        <v>4.2</v>
      </c>
      <c r="H218" t="n">
        <v>0</v>
      </c>
      <c r="I218" t="n">
        <v>0</v>
      </c>
      <c r="J218" t="n">
        <v>0</v>
      </c>
      <c r="K218" t="n">
        <v>0</v>
      </c>
      <c r="L218" t="n">
        <v>0</v>
      </c>
      <c r="M218" t="n">
        <v>0</v>
      </c>
      <c r="N218" t="n">
        <v>0</v>
      </c>
      <c r="O218" t="n">
        <v>0</v>
      </c>
      <c r="P218" t="n">
        <v>0</v>
      </c>
      <c r="Q218" t="n">
        <v>0</v>
      </c>
      <c r="R218" s="2" t="inlineStr"/>
    </row>
    <row r="219" ht="15" customHeight="1">
      <c r="A219" t="inlineStr">
        <is>
          <t>A 4122-2023</t>
        </is>
      </c>
      <c r="B219" s="1" t="n">
        <v>44952</v>
      </c>
      <c r="C219" s="1" t="n">
        <v>46063</v>
      </c>
      <c r="D219" t="inlineStr">
        <is>
          <t>SÖDERMANLANDS LÄN</t>
        </is>
      </c>
      <c r="E219" t="inlineStr">
        <is>
          <t>KATRINEHOLM</t>
        </is>
      </c>
      <c r="G219" t="n">
        <v>9</v>
      </c>
      <c r="H219" t="n">
        <v>0</v>
      </c>
      <c r="I219" t="n">
        <v>0</v>
      </c>
      <c r="J219" t="n">
        <v>0</v>
      </c>
      <c r="K219" t="n">
        <v>0</v>
      </c>
      <c r="L219" t="n">
        <v>0</v>
      </c>
      <c r="M219" t="n">
        <v>0</v>
      </c>
      <c r="N219" t="n">
        <v>0</v>
      </c>
      <c r="O219" t="n">
        <v>0</v>
      </c>
      <c r="P219" t="n">
        <v>0</v>
      </c>
      <c r="Q219" t="n">
        <v>0</v>
      </c>
      <c r="R219" s="2" t="inlineStr"/>
    </row>
    <row r="220" ht="15" customHeight="1">
      <c r="A220" t="inlineStr">
        <is>
          <t>A 55795-2023</t>
        </is>
      </c>
      <c r="B220" s="1" t="n">
        <v>45239.54861111111</v>
      </c>
      <c r="C220" s="1" t="n">
        <v>46063</v>
      </c>
      <c r="D220" t="inlineStr">
        <is>
          <t>SÖDERMANLANDS LÄN</t>
        </is>
      </c>
      <c r="E220" t="inlineStr">
        <is>
          <t>KATRINEHOLM</t>
        </is>
      </c>
      <c r="G220" t="n">
        <v>7</v>
      </c>
      <c r="H220" t="n">
        <v>0</v>
      </c>
      <c r="I220" t="n">
        <v>0</v>
      </c>
      <c r="J220" t="n">
        <v>0</v>
      </c>
      <c r="K220" t="n">
        <v>0</v>
      </c>
      <c r="L220" t="n">
        <v>0</v>
      </c>
      <c r="M220" t="n">
        <v>0</v>
      </c>
      <c r="N220" t="n">
        <v>0</v>
      </c>
      <c r="O220" t="n">
        <v>0</v>
      </c>
      <c r="P220" t="n">
        <v>0</v>
      </c>
      <c r="Q220" t="n">
        <v>0</v>
      </c>
      <c r="R220" s="2" t="inlineStr"/>
    </row>
    <row r="221" ht="15" customHeight="1">
      <c r="A221" t="inlineStr">
        <is>
          <t>A 55863-2022</t>
        </is>
      </c>
      <c r="B221" s="1" t="n">
        <v>44888</v>
      </c>
      <c r="C221" s="1" t="n">
        <v>46063</v>
      </c>
      <c r="D221" t="inlineStr">
        <is>
          <t>SÖDERMANLANDS LÄN</t>
        </is>
      </c>
      <c r="E221" t="inlineStr">
        <is>
          <t>KATRINEHOLM</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55865-2022</t>
        </is>
      </c>
      <c r="B222" s="1" t="n">
        <v>44888</v>
      </c>
      <c r="C222" s="1" t="n">
        <v>46063</v>
      </c>
      <c r="D222" t="inlineStr">
        <is>
          <t>SÖDERMANLANDS LÄN</t>
        </is>
      </c>
      <c r="E222" t="inlineStr">
        <is>
          <t>KATRINEHOLM</t>
        </is>
      </c>
      <c r="G222" t="n">
        <v>9.1</v>
      </c>
      <c r="H222" t="n">
        <v>0</v>
      </c>
      <c r="I222" t="n">
        <v>0</v>
      </c>
      <c r="J222" t="n">
        <v>0</v>
      </c>
      <c r="K222" t="n">
        <v>0</v>
      </c>
      <c r="L222" t="n">
        <v>0</v>
      </c>
      <c r="M222" t="n">
        <v>0</v>
      </c>
      <c r="N222" t="n">
        <v>0</v>
      </c>
      <c r="O222" t="n">
        <v>0</v>
      </c>
      <c r="P222" t="n">
        <v>0</v>
      </c>
      <c r="Q222" t="n">
        <v>0</v>
      </c>
      <c r="R222" s="2" t="inlineStr"/>
    </row>
    <row r="223" ht="15" customHeight="1">
      <c r="A223" t="inlineStr">
        <is>
          <t>A 24284-2024</t>
        </is>
      </c>
      <c r="B223" s="1" t="n">
        <v>45457</v>
      </c>
      <c r="C223" s="1" t="n">
        <v>46063</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29502-2023</t>
        </is>
      </c>
      <c r="B224" s="1" t="n">
        <v>45106</v>
      </c>
      <c r="C224" s="1" t="n">
        <v>46063</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42111-2022</t>
        </is>
      </c>
      <c r="B225" s="1" t="n">
        <v>44830</v>
      </c>
      <c r="C225" s="1" t="n">
        <v>46063</v>
      </c>
      <c r="D225" t="inlineStr">
        <is>
          <t>SÖDERMANLANDS LÄN</t>
        </is>
      </c>
      <c r="E225" t="inlineStr">
        <is>
          <t>KATRINEHOLM</t>
        </is>
      </c>
      <c r="G225" t="n">
        <v>2.5</v>
      </c>
      <c r="H225" t="n">
        <v>0</v>
      </c>
      <c r="I225" t="n">
        <v>0</v>
      </c>
      <c r="J225" t="n">
        <v>0</v>
      </c>
      <c r="K225" t="n">
        <v>0</v>
      </c>
      <c r="L225" t="n">
        <v>0</v>
      </c>
      <c r="M225" t="n">
        <v>0</v>
      </c>
      <c r="N225" t="n">
        <v>0</v>
      </c>
      <c r="O225" t="n">
        <v>0</v>
      </c>
      <c r="P225" t="n">
        <v>0</v>
      </c>
      <c r="Q225" t="n">
        <v>0</v>
      </c>
      <c r="R225" s="2" t="inlineStr"/>
    </row>
    <row r="226" ht="15" customHeight="1">
      <c r="A226" t="inlineStr">
        <is>
          <t>A 20949-2021</t>
        </is>
      </c>
      <c r="B226" s="1" t="n">
        <v>44319</v>
      </c>
      <c r="C226" s="1" t="n">
        <v>46063</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33712-2022</t>
        </is>
      </c>
      <c r="B227" s="1" t="n">
        <v>44789</v>
      </c>
      <c r="C227" s="1" t="n">
        <v>46063</v>
      </c>
      <c r="D227" t="inlineStr">
        <is>
          <t>SÖDERMANLANDS LÄN</t>
        </is>
      </c>
      <c r="E227" t="inlineStr">
        <is>
          <t>KATRINEHOLM</t>
        </is>
      </c>
      <c r="G227" t="n">
        <v>4.3</v>
      </c>
      <c r="H227" t="n">
        <v>0</v>
      </c>
      <c r="I227" t="n">
        <v>0</v>
      </c>
      <c r="J227" t="n">
        <v>0</v>
      </c>
      <c r="K227" t="n">
        <v>0</v>
      </c>
      <c r="L227" t="n">
        <v>0</v>
      </c>
      <c r="M227" t="n">
        <v>0</v>
      </c>
      <c r="N227" t="n">
        <v>0</v>
      </c>
      <c r="O227" t="n">
        <v>0</v>
      </c>
      <c r="P227" t="n">
        <v>0</v>
      </c>
      <c r="Q227" t="n">
        <v>0</v>
      </c>
      <c r="R227" s="2" t="inlineStr"/>
    </row>
    <row r="228" ht="15" customHeight="1">
      <c r="A228" t="inlineStr">
        <is>
          <t>A 55034-2021</t>
        </is>
      </c>
      <c r="B228" s="1" t="n">
        <v>44474</v>
      </c>
      <c r="C228" s="1" t="n">
        <v>46063</v>
      </c>
      <c r="D228" t="inlineStr">
        <is>
          <t>SÖDERMANLANDS LÄN</t>
        </is>
      </c>
      <c r="E228" t="inlineStr">
        <is>
          <t>KATRINEHOLM</t>
        </is>
      </c>
      <c r="G228" t="n">
        <v>5</v>
      </c>
      <c r="H228" t="n">
        <v>0</v>
      </c>
      <c r="I228" t="n">
        <v>0</v>
      </c>
      <c r="J228" t="n">
        <v>0</v>
      </c>
      <c r="K228" t="n">
        <v>0</v>
      </c>
      <c r="L228" t="n">
        <v>0</v>
      </c>
      <c r="M228" t="n">
        <v>0</v>
      </c>
      <c r="N228" t="n">
        <v>0</v>
      </c>
      <c r="O228" t="n">
        <v>0</v>
      </c>
      <c r="P228" t="n">
        <v>0</v>
      </c>
      <c r="Q228" t="n">
        <v>0</v>
      </c>
      <c r="R228" s="2" t="inlineStr"/>
    </row>
    <row r="229" ht="15" customHeight="1">
      <c r="A229" t="inlineStr">
        <is>
          <t>A 36767-2022</t>
        </is>
      </c>
      <c r="B229" s="1" t="n">
        <v>44805</v>
      </c>
      <c r="C229" s="1" t="n">
        <v>46063</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46063</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55122-2022</t>
        </is>
      </c>
      <c r="B231" s="1" t="n">
        <v>44886.65092592593</v>
      </c>
      <c r="C231" s="1" t="n">
        <v>46063</v>
      </c>
      <c r="D231" t="inlineStr">
        <is>
          <t>SÖDERMANLANDS LÄN</t>
        </is>
      </c>
      <c r="E231" t="inlineStr">
        <is>
          <t>KATRINEHOLM</t>
        </is>
      </c>
      <c r="G231" t="n">
        <v>6.5</v>
      </c>
      <c r="H231" t="n">
        <v>0</v>
      </c>
      <c r="I231" t="n">
        <v>0</v>
      </c>
      <c r="J231" t="n">
        <v>0</v>
      </c>
      <c r="K231" t="n">
        <v>0</v>
      </c>
      <c r="L231" t="n">
        <v>0</v>
      </c>
      <c r="M231" t="n">
        <v>0</v>
      </c>
      <c r="N231" t="n">
        <v>0</v>
      </c>
      <c r="O231" t="n">
        <v>0</v>
      </c>
      <c r="P231" t="n">
        <v>0</v>
      </c>
      <c r="Q231" t="n">
        <v>0</v>
      </c>
      <c r="R231" s="2" t="inlineStr"/>
    </row>
    <row r="232" ht="15" customHeight="1">
      <c r="A232" t="inlineStr">
        <is>
          <t>A 17746-2024</t>
        </is>
      </c>
      <c r="B232" s="1" t="n">
        <v>45415</v>
      </c>
      <c r="C232" s="1" t="n">
        <v>46063</v>
      </c>
      <c r="D232" t="inlineStr">
        <is>
          <t>SÖDERMANLANDS LÄN</t>
        </is>
      </c>
      <c r="E232" t="inlineStr">
        <is>
          <t>KATRINEHOLM</t>
        </is>
      </c>
      <c r="G232" t="n">
        <v>7.8</v>
      </c>
      <c r="H232" t="n">
        <v>0</v>
      </c>
      <c r="I232" t="n">
        <v>0</v>
      </c>
      <c r="J232" t="n">
        <v>0</v>
      </c>
      <c r="K232" t="n">
        <v>0</v>
      </c>
      <c r="L232" t="n">
        <v>0</v>
      </c>
      <c r="M232" t="n">
        <v>0</v>
      </c>
      <c r="N232" t="n">
        <v>0</v>
      </c>
      <c r="O232" t="n">
        <v>0</v>
      </c>
      <c r="P232" t="n">
        <v>0</v>
      </c>
      <c r="Q232" t="n">
        <v>0</v>
      </c>
      <c r="R232" s="2" t="inlineStr"/>
    </row>
    <row r="233" ht="15" customHeight="1">
      <c r="A233" t="inlineStr">
        <is>
          <t>A 33752-2023</t>
        </is>
      </c>
      <c r="B233" s="1" t="n">
        <v>45120</v>
      </c>
      <c r="C233" s="1" t="n">
        <v>46063</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24179-2024</t>
        </is>
      </c>
      <c r="B234" s="1" t="n">
        <v>45456.83059027778</v>
      </c>
      <c r="C234" s="1" t="n">
        <v>46063</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3980-2024</t>
        </is>
      </c>
      <c r="B235" s="1" t="n">
        <v>45322</v>
      </c>
      <c r="C235" s="1" t="n">
        <v>46063</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64713-2023</t>
        </is>
      </c>
      <c r="B236" s="1" t="n">
        <v>45281</v>
      </c>
      <c r="C236" s="1" t="n">
        <v>46063</v>
      </c>
      <c r="D236" t="inlineStr">
        <is>
          <t>SÖDERMANLANDS LÄN</t>
        </is>
      </c>
      <c r="E236" t="inlineStr">
        <is>
          <t>KATRINEHOLM</t>
        </is>
      </c>
      <c r="G236" t="n">
        <v>4.9</v>
      </c>
      <c r="H236" t="n">
        <v>0</v>
      </c>
      <c r="I236" t="n">
        <v>0</v>
      </c>
      <c r="J236" t="n">
        <v>0</v>
      </c>
      <c r="K236" t="n">
        <v>0</v>
      </c>
      <c r="L236" t="n">
        <v>0</v>
      </c>
      <c r="M236" t="n">
        <v>0</v>
      </c>
      <c r="N236" t="n">
        <v>0</v>
      </c>
      <c r="O236" t="n">
        <v>0</v>
      </c>
      <c r="P236" t="n">
        <v>0</v>
      </c>
      <c r="Q236" t="n">
        <v>0</v>
      </c>
      <c r="R236" s="2" t="inlineStr"/>
    </row>
    <row r="237" ht="15" customHeight="1">
      <c r="A237" t="inlineStr">
        <is>
          <t>A 51264-2021</t>
        </is>
      </c>
      <c r="B237" s="1" t="n">
        <v>44461</v>
      </c>
      <c r="C237" s="1" t="n">
        <v>46063</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45376-2022</t>
        </is>
      </c>
      <c r="B238" s="1" t="n">
        <v>44844</v>
      </c>
      <c r="C238" s="1" t="n">
        <v>46063</v>
      </c>
      <c r="D238" t="inlineStr">
        <is>
          <t>SÖDERMANLANDS LÄN</t>
        </is>
      </c>
      <c r="E238" t="inlineStr">
        <is>
          <t>KATRINEHOLM</t>
        </is>
      </c>
      <c r="G238" t="n">
        <v>4.7</v>
      </c>
      <c r="H238" t="n">
        <v>0</v>
      </c>
      <c r="I238" t="n">
        <v>0</v>
      </c>
      <c r="J238" t="n">
        <v>0</v>
      </c>
      <c r="K238" t="n">
        <v>0</v>
      </c>
      <c r="L238" t="n">
        <v>0</v>
      </c>
      <c r="M238" t="n">
        <v>0</v>
      </c>
      <c r="N238" t="n">
        <v>0</v>
      </c>
      <c r="O238" t="n">
        <v>0</v>
      </c>
      <c r="P238" t="n">
        <v>0</v>
      </c>
      <c r="Q238" t="n">
        <v>0</v>
      </c>
      <c r="R238" s="2" t="inlineStr"/>
    </row>
    <row r="239" ht="15" customHeight="1">
      <c r="A239" t="inlineStr">
        <is>
          <t>A 51128-2021</t>
        </is>
      </c>
      <c r="B239" s="1" t="n">
        <v>44460</v>
      </c>
      <c r="C239" s="1" t="n">
        <v>46063</v>
      </c>
      <c r="D239" t="inlineStr">
        <is>
          <t>SÖDERMANLANDS LÄN</t>
        </is>
      </c>
      <c r="E239" t="inlineStr">
        <is>
          <t>KATRINEHOLM</t>
        </is>
      </c>
      <c r="G239" t="n">
        <v>7.8</v>
      </c>
      <c r="H239" t="n">
        <v>0</v>
      </c>
      <c r="I239" t="n">
        <v>0</v>
      </c>
      <c r="J239" t="n">
        <v>0</v>
      </c>
      <c r="K239" t="n">
        <v>0</v>
      </c>
      <c r="L239" t="n">
        <v>0</v>
      </c>
      <c r="M239" t="n">
        <v>0</v>
      </c>
      <c r="N239" t="n">
        <v>0</v>
      </c>
      <c r="O239" t="n">
        <v>0</v>
      </c>
      <c r="P239" t="n">
        <v>0</v>
      </c>
      <c r="Q239" t="n">
        <v>0</v>
      </c>
      <c r="R239" s="2" t="inlineStr"/>
    </row>
    <row r="240" ht="15" customHeight="1">
      <c r="A240" t="inlineStr">
        <is>
          <t>A 60677-2021</t>
        </is>
      </c>
      <c r="B240" s="1" t="n">
        <v>44495</v>
      </c>
      <c r="C240" s="1" t="n">
        <v>46063</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43088-2022</t>
        </is>
      </c>
      <c r="B241" s="1" t="n">
        <v>44833</v>
      </c>
      <c r="C241" s="1" t="n">
        <v>46063</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64605-2023</t>
        </is>
      </c>
      <c r="B242" s="1" t="n">
        <v>45281</v>
      </c>
      <c r="C242" s="1" t="n">
        <v>46063</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46063</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26081-2024</t>
        </is>
      </c>
      <c r="B244" s="1" t="n">
        <v>45462</v>
      </c>
      <c r="C244" s="1" t="n">
        <v>46063</v>
      </c>
      <c r="D244" t="inlineStr">
        <is>
          <t>SÖDERMANLANDS LÄN</t>
        </is>
      </c>
      <c r="E244" t="inlineStr">
        <is>
          <t>KATRINEHOLM</t>
        </is>
      </c>
      <c r="G244" t="n">
        <v>4.1</v>
      </c>
      <c r="H244" t="n">
        <v>0</v>
      </c>
      <c r="I244" t="n">
        <v>0</v>
      </c>
      <c r="J244" t="n">
        <v>0</v>
      </c>
      <c r="K244" t="n">
        <v>0</v>
      </c>
      <c r="L244" t="n">
        <v>0</v>
      </c>
      <c r="M244" t="n">
        <v>0</v>
      </c>
      <c r="N244" t="n">
        <v>0</v>
      </c>
      <c r="O244" t="n">
        <v>0</v>
      </c>
      <c r="P244" t="n">
        <v>0</v>
      </c>
      <c r="Q244" t="n">
        <v>0</v>
      </c>
      <c r="R244" s="2" t="inlineStr"/>
    </row>
    <row r="245" ht="15" customHeight="1">
      <c r="A245" t="inlineStr">
        <is>
          <t>A 30242-2023</t>
        </is>
      </c>
      <c r="B245" s="1" t="n">
        <v>45099</v>
      </c>
      <c r="C245" s="1" t="n">
        <v>46063</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38308-2021</t>
        </is>
      </c>
      <c r="B246" s="1" t="n">
        <v>44406</v>
      </c>
      <c r="C246" s="1" t="n">
        <v>46063</v>
      </c>
      <c r="D246" t="inlineStr">
        <is>
          <t>SÖDERMANLANDS LÄN</t>
        </is>
      </c>
      <c r="E246" t="inlineStr">
        <is>
          <t>KATRINEHOLM</t>
        </is>
      </c>
      <c r="G246" t="n">
        <v>1.7</v>
      </c>
      <c r="H246" t="n">
        <v>0</v>
      </c>
      <c r="I246" t="n">
        <v>0</v>
      </c>
      <c r="J246" t="n">
        <v>0</v>
      </c>
      <c r="K246" t="n">
        <v>0</v>
      </c>
      <c r="L246" t="n">
        <v>0</v>
      </c>
      <c r="M246" t="n">
        <v>0</v>
      </c>
      <c r="N246" t="n">
        <v>0</v>
      </c>
      <c r="O246" t="n">
        <v>0</v>
      </c>
      <c r="P246" t="n">
        <v>0</v>
      </c>
      <c r="Q246" t="n">
        <v>0</v>
      </c>
      <c r="R246" s="2" t="inlineStr"/>
    </row>
    <row r="247" ht="15" customHeight="1">
      <c r="A247" t="inlineStr">
        <is>
          <t>A 55172-2022</t>
        </is>
      </c>
      <c r="B247" s="1" t="n">
        <v>44886</v>
      </c>
      <c r="C247" s="1" t="n">
        <v>46063</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43837-2022</t>
        </is>
      </c>
      <c r="B248" s="1" t="n">
        <v>44838</v>
      </c>
      <c r="C248" s="1" t="n">
        <v>46063</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57510-2021</t>
        </is>
      </c>
      <c r="B249" s="1" t="n">
        <v>44483</v>
      </c>
      <c r="C249" s="1" t="n">
        <v>46063</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67337-2021</t>
        </is>
      </c>
      <c r="B250" s="1" t="n">
        <v>44523</v>
      </c>
      <c r="C250" s="1" t="n">
        <v>46063</v>
      </c>
      <c r="D250" t="inlineStr">
        <is>
          <t>SÖDERMANLANDS LÄN</t>
        </is>
      </c>
      <c r="E250" t="inlineStr">
        <is>
          <t>KATRINEHOLM</t>
        </is>
      </c>
      <c r="G250" t="n">
        <v>5.2</v>
      </c>
      <c r="H250" t="n">
        <v>0</v>
      </c>
      <c r="I250" t="n">
        <v>0</v>
      </c>
      <c r="J250" t="n">
        <v>0</v>
      </c>
      <c r="K250" t="n">
        <v>0</v>
      </c>
      <c r="L250" t="n">
        <v>0</v>
      </c>
      <c r="M250" t="n">
        <v>0</v>
      </c>
      <c r="N250" t="n">
        <v>0</v>
      </c>
      <c r="O250" t="n">
        <v>0</v>
      </c>
      <c r="P250" t="n">
        <v>0</v>
      </c>
      <c r="Q250" t="n">
        <v>0</v>
      </c>
      <c r="R250" s="2" t="inlineStr"/>
    </row>
    <row r="251" ht="15" customHeight="1">
      <c r="A251" t="inlineStr">
        <is>
          <t>A 29394-2024</t>
        </is>
      </c>
      <c r="B251" s="1" t="n">
        <v>45483</v>
      </c>
      <c r="C251" s="1" t="n">
        <v>46063</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50032-2022</t>
        </is>
      </c>
      <c r="B252" s="1" t="n">
        <v>44860</v>
      </c>
      <c r="C252" s="1" t="n">
        <v>46063</v>
      </c>
      <c r="D252" t="inlineStr">
        <is>
          <t>SÖDERMANLANDS LÄN</t>
        </is>
      </c>
      <c r="E252" t="inlineStr">
        <is>
          <t>KATRINEHOLM</t>
        </is>
      </c>
      <c r="G252" t="n">
        <v>7.5</v>
      </c>
      <c r="H252" t="n">
        <v>0</v>
      </c>
      <c r="I252" t="n">
        <v>0</v>
      </c>
      <c r="J252" t="n">
        <v>0</v>
      </c>
      <c r="K252" t="n">
        <v>0</v>
      </c>
      <c r="L252" t="n">
        <v>0</v>
      </c>
      <c r="M252" t="n">
        <v>0</v>
      </c>
      <c r="N252" t="n">
        <v>0</v>
      </c>
      <c r="O252" t="n">
        <v>0</v>
      </c>
      <c r="P252" t="n">
        <v>0</v>
      </c>
      <c r="Q252" t="n">
        <v>0</v>
      </c>
      <c r="R252" s="2" t="inlineStr"/>
    </row>
    <row r="253" ht="15" customHeight="1">
      <c r="A253" t="inlineStr">
        <is>
          <t>A 26713-2024</t>
        </is>
      </c>
      <c r="B253" s="1" t="n">
        <v>45470</v>
      </c>
      <c r="C253" s="1" t="n">
        <v>46063</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40159-2023</t>
        </is>
      </c>
      <c r="B254" s="1" t="n">
        <v>45169</v>
      </c>
      <c r="C254" s="1" t="n">
        <v>46063</v>
      </c>
      <c r="D254" t="inlineStr">
        <is>
          <t>SÖDERMANLANDS LÄN</t>
        </is>
      </c>
      <c r="E254" t="inlineStr">
        <is>
          <t>KATRINEHOLM</t>
        </is>
      </c>
      <c r="F254" t="inlineStr">
        <is>
          <t>Övriga Aktiebolag</t>
        </is>
      </c>
      <c r="G254" t="n">
        <v>1.1</v>
      </c>
      <c r="H254" t="n">
        <v>0</v>
      </c>
      <c r="I254" t="n">
        <v>0</v>
      </c>
      <c r="J254" t="n">
        <v>0</v>
      </c>
      <c r="K254" t="n">
        <v>0</v>
      </c>
      <c r="L254" t="n">
        <v>0</v>
      </c>
      <c r="M254" t="n">
        <v>0</v>
      </c>
      <c r="N254" t="n">
        <v>0</v>
      </c>
      <c r="O254" t="n">
        <v>0</v>
      </c>
      <c r="P254" t="n">
        <v>0</v>
      </c>
      <c r="Q254" t="n">
        <v>0</v>
      </c>
      <c r="R254" s="2" t="inlineStr"/>
    </row>
    <row r="255" ht="15" customHeight="1">
      <c r="A255" t="inlineStr">
        <is>
          <t>A 69117-2021</t>
        </is>
      </c>
      <c r="B255" s="1" t="n">
        <v>44530.82445601852</v>
      </c>
      <c r="C255" s="1" t="n">
        <v>46063</v>
      </c>
      <c r="D255" t="inlineStr">
        <is>
          <t>SÖDERMANLANDS LÄN</t>
        </is>
      </c>
      <c r="E255" t="inlineStr">
        <is>
          <t>KATRINEHOLM</t>
        </is>
      </c>
      <c r="G255" t="n">
        <v>1.7</v>
      </c>
      <c r="H255" t="n">
        <v>0</v>
      </c>
      <c r="I255" t="n">
        <v>0</v>
      </c>
      <c r="J255" t="n">
        <v>0</v>
      </c>
      <c r="K255" t="n">
        <v>0</v>
      </c>
      <c r="L255" t="n">
        <v>0</v>
      </c>
      <c r="M255" t="n">
        <v>0</v>
      </c>
      <c r="N255" t="n">
        <v>0</v>
      </c>
      <c r="O255" t="n">
        <v>0</v>
      </c>
      <c r="P255" t="n">
        <v>0</v>
      </c>
      <c r="Q255" t="n">
        <v>0</v>
      </c>
      <c r="R255" s="2" t="inlineStr"/>
    </row>
    <row r="256" ht="15" customHeight="1">
      <c r="A256" t="inlineStr">
        <is>
          <t>A 28675-2024</t>
        </is>
      </c>
      <c r="B256" s="1" t="n">
        <v>45478</v>
      </c>
      <c r="C256" s="1" t="n">
        <v>46063</v>
      </c>
      <c r="D256" t="inlineStr">
        <is>
          <t>SÖDERMANLANDS LÄN</t>
        </is>
      </c>
      <c r="E256" t="inlineStr">
        <is>
          <t>KATRINEHOLM</t>
        </is>
      </c>
      <c r="F256" t="inlineStr">
        <is>
          <t>Övriga Aktiebolag</t>
        </is>
      </c>
      <c r="G256" t="n">
        <v>3.5</v>
      </c>
      <c r="H256" t="n">
        <v>0</v>
      </c>
      <c r="I256" t="n">
        <v>0</v>
      </c>
      <c r="J256" t="n">
        <v>0</v>
      </c>
      <c r="K256" t="n">
        <v>0</v>
      </c>
      <c r="L256" t="n">
        <v>0</v>
      </c>
      <c r="M256" t="n">
        <v>0</v>
      </c>
      <c r="N256" t="n">
        <v>0</v>
      </c>
      <c r="O256" t="n">
        <v>0</v>
      </c>
      <c r="P256" t="n">
        <v>0</v>
      </c>
      <c r="Q256" t="n">
        <v>0</v>
      </c>
      <c r="R256" s="2" t="inlineStr"/>
    </row>
    <row r="257" ht="15" customHeight="1">
      <c r="A257" t="inlineStr">
        <is>
          <t>A 55732-2023</t>
        </is>
      </c>
      <c r="B257" s="1" t="n">
        <v>45239</v>
      </c>
      <c r="C257" s="1" t="n">
        <v>46063</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28992-2024</t>
        </is>
      </c>
      <c r="B258" s="1" t="n">
        <v>45481.49289351852</v>
      </c>
      <c r="C258" s="1" t="n">
        <v>46063</v>
      </c>
      <c r="D258" t="inlineStr">
        <is>
          <t>SÖDERMANLANDS LÄN</t>
        </is>
      </c>
      <c r="E258" t="inlineStr">
        <is>
          <t>KATRINEHOLM</t>
        </is>
      </c>
      <c r="G258" t="n">
        <v>2.3</v>
      </c>
      <c r="H258" t="n">
        <v>0</v>
      </c>
      <c r="I258" t="n">
        <v>0</v>
      </c>
      <c r="J258" t="n">
        <v>0</v>
      </c>
      <c r="K258" t="n">
        <v>0</v>
      </c>
      <c r="L258" t="n">
        <v>0</v>
      </c>
      <c r="M258" t="n">
        <v>0</v>
      </c>
      <c r="N258" t="n">
        <v>0</v>
      </c>
      <c r="O258" t="n">
        <v>0</v>
      </c>
      <c r="P258" t="n">
        <v>0</v>
      </c>
      <c r="Q258" t="n">
        <v>0</v>
      </c>
      <c r="R258" s="2" t="inlineStr"/>
    </row>
    <row r="259" ht="15" customHeight="1">
      <c r="A259" t="inlineStr">
        <is>
          <t>A 28995-2024</t>
        </is>
      </c>
      <c r="B259" s="1" t="n">
        <v>45481.49899305555</v>
      </c>
      <c r="C259" s="1" t="n">
        <v>46063</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27875-2024</t>
        </is>
      </c>
      <c r="B260" s="1" t="n">
        <v>45475</v>
      </c>
      <c r="C260" s="1" t="n">
        <v>46063</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44989-2022</t>
        </is>
      </c>
      <c r="B261" s="1" t="n">
        <v>44840</v>
      </c>
      <c r="C261" s="1" t="n">
        <v>46063</v>
      </c>
      <c r="D261" t="inlineStr">
        <is>
          <t>SÖDERMANLANDS LÄN</t>
        </is>
      </c>
      <c r="E261" t="inlineStr">
        <is>
          <t>KATRINEHOLM</t>
        </is>
      </c>
      <c r="G261" t="n">
        <v>6</v>
      </c>
      <c r="H261" t="n">
        <v>0</v>
      </c>
      <c r="I261" t="n">
        <v>0</v>
      </c>
      <c r="J261" t="n">
        <v>0</v>
      </c>
      <c r="K261" t="n">
        <v>0</v>
      </c>
      <c r="L261" t="n">
        <v>0</v>
      </c>
      <c r="M261" t="n">
        <v>0</v>
      </c>
      <c r="N261" t="n">
        <v>0</v>
      </c>
      <c r="O261" t="n">
        <v>0</v>
      </c>
      <c r="P261" t="n">
        <v>0</v>
      </c>
      <c r="Q261" t="n">
        <v>0</v>
      </c>
      <c r="R261" s="2" t="inlineStr"/>
    </row>
    <row r="262" ht="15" customHeight="1">
      <c r="A262" t="inlineStr">
        <is>
          <t>A 27376-2024</t>
        </is>
      </c>
      <c r="B262" s="1" t="n">
        <v>45473.88313657408</v>
      </c>
      <c r="C262" s="1" t="n">
        <v>46063</v>
      </c>
      <c r="D262" t="inlineStr">
        <is>
          <t>SÖDERMANLANDS LÄN</t>
        </is>
      </c>
      <c r="E262" t="inlineStr">
        <is>
          <t>KATRINEHOLM</t>
        </is>
      </c>
      <c r="F262" t="inlineStr">
        <is>
          <t>Kommuner</t>
        </is>
      </c>
      <c r="G262" t="n">
        <v>2.8</v>
      </c>
      <c r="H262" t="n">
        <v>0</v>
      </c>
      <c r="I262" t="n">
        <v>0</v>
      </c>
      <c r="J262" t="n">
        <v>0</v>
      </c>
      <c r="K262" t="n">
        <v>0</v>
      </c>
      <c r="L262" t="n">
        <v>0</v>
      </c>
      <c r="M262" t="n">
        <v>0</v>
      </c>
      <c r="N262" t="n">
        <v>0</v>
      </c>
      <c r="O262" t="n">
        <v>0</v>
      </c>
      <c r="P262" t="n">
        <v>0</v>
      </c>
      <c r="Q262" t="n">
        <v>0</v>
      </c>
      <c r="R262" s="2" t="inlineStr"/>
    </row>
    <row r="263" ht="15" customHeight="1">
      <c r="A263" t="inlineStr">
        <is>
          <t>A 48259-2022</t>
        </is>
      </c>
      <c r="B263" s="1" t="n">
        <v>44858</v>
      </c>
      <c r="C263" s="1" t="n">
        <v>46063</v>
      </c>
      <c r="D263" t="inlineStr">
        <is>
          <t>SÖDERMANLANDS LÄN</t>
        </is>
      </c>
      <c r="E263" t="inlineStr">
        <is>
          <t>KATRINEHOLM</t>
        </is>
      </c>
      <c r="G263" t="n">
        <v>3.5</v>
      </c>
      <c r="H263" t="n">
        <v>0</v>
      </c>
      <c r="I263" t="n">
        <v>0</v>
      </c>
      <c r="J263" t="n">
        <v>0</v>
      </c>
      <c r="K263" t="n">
        <v>0</v>
      </c>
      <c r="L263" t="n">
        <v>0</v>
      </c>
      <c r="M263" t="n">
        <v>0</v>
      </c>
      <c r="N263" t="n">
        <v>0</v>
      </c>
      <c r="O263" t="n">
        <v>0</v>
      </c>
      <c r="P263" t="n">
        <v>0</v>
      </c>
      <c r="Q263" t="n">
        <v>0</v>
      </c>
      <c r="R263" s="2" t="inlineStr"/>
    </row>
    <row r="264" ht="15" customHeight="1">
      <c r="A264" t="inlineStr">
        <is>
          <t>A 7322-2023</t>
        </is>
      </c>
      <c r="B264" s="1" t="n">
        <v>44970</v>
      </c>
      <c r="C264" s="1" t="n">
        <v>46063</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2093-2025</t>
        </is>
      </c>
      <c r="B265" s="1" t="n">
        <v>45672</v>
      </c>
      <c r="C265" s="1" t="n">
        <v>46063</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27886-2024</t>
        </is>
      </c>
      <c r="B266" s="1" t="n">
        <v>45475</v>
      </c>
      <c r="C266" s="1" t="n">
        <v>46063</v>
      </c>
      <c r="D266" t="inlineStr">
        <is>
          <t>SÖDERMANLANDS LÄN</t>
        </is>
      </c>
      <c r="E266" t="inlineStr">
        <is>
          <t>KATRINEHOLM</t>
        </is>
      </c>
      <c r="G266" t="n">
        <v>10.3</v>
      </c>
      <c r="H266" t="n">
        <v>0</v>
      </c>
      <c r="I266" t="n">
        <v>0</v>
      </c>
      <c r="J266" t="n">
        <v>0</v>
      </c>
      <c r="K266" t="n">
        <v>0</v>
      </c>
      <c r="L266" t="n">
        <v>0</v>
      </c>
      <c r="M266" t="n">
        <v>0</v>
      </c>
      <c r="N266" t="n">
        <v>0</v>
      </c>
      <c r="O266" t="n">
        <v>0</v>
      </c>
      <c r="P266" t="n">
        <v>0</v>
      </c>
      <c r="Q266" t="n">
        <v>0</v>
      </c>
      <c r="R266" s="2" t="inlineStr"/>
    </row>
    <row r="267" ht="15" customHeight="1">
      <c r="A267" t="inlineStr">
        <is>
          <t>A 25363-2023</t>
        </is>
      </c>
      <c r="B267" s="1" t="n">
        <v>45088.83840277778</v>
      </c>
      <c r="C267" s="1" t="n">
        <v>46063</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6722-2022</t>
        </is>
      </c>
      <c r="B268" s="1" t="n">
        <v>44602</v>
      </c>
      <c r="C268" s="1" t="n">
        <v>46063</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6763-2022</t>
        </is>
      </c>
      <c r="B269" s="1" t="n">
        <v>44602</v>
      </c>
      <c r="C269" s="1" t="n">
        <v>46063</v>
      </c>
      <c r="D269" t="inlineStr">
        <is>
          <t>SÖDERMANLANDS LÄN</t>
        </is>
      </c>
      <c r="E269" t="inlineStr">
        <is>
          <t>KATRINEHOLM</t>
        </is>
      </c>
      <c r="G269" t="n">
        <v>6.7</v>
      </c>
      <c r="H269" t="n">
        <v>0</v>
      </c>
      <c r="I269" t="n">
        <v>0</v>
      </c>
      <c r="J269" t="n">
        <v>0</v>
      </c>
      <c r="K269" t="n">
        <v>0</v>
      </c>
      <c r="L269" t="n">
        <v>0</v>
      </c>
      <c r="M269" t="n">
        <v>0</v>
      </c>
      <c r="N269" t="n">
        <v>0</v>
      </c>
      <c r="O269" t="n">
        <v>0</v>
      </c>
      <c r="P269" t="n">
        <v>0</v>
      </c>
      <c r="Q269" t="n">
        <v>0</v>
      </c>
      <c r="R269" s="2" t="inlineStr"/>
    </row>
    <row r="270" ht="15" customHeight="1">
      <c r="A270" t="inlineStr">
        <is>
          <t>A 9714-2024</t>
        </is>
      </c>
      <c r="B270" s="1" t="n">
        <v>45362</v>
      </c>
      <c r="C270" s="1" t="n">
        <v>46063</v>
      </c>
      <c r="D270" t="inlineStr">
        <is>
          <t>SÖDERMANLANDS LÄN</t>
        </is>
      </c>
      <c r="E270" t="inlineStr">
        <is>
          <t>KATRINEHOLM</t>
        </is>
      </c>
      <c r="G270" t="n">
        <v>4</v>
      </c>
      <c r="H270" t="n">
        <v>0</v>
      </c>
      <c r="I270" t="n">
        <v>0</v>
      </c>
      <c r="J270" t="n">
        <v>0</v>
      </c>
      <c r="K270" t="n">
        <v>0</v>
      </c>
      <c r="L270" t="n">
        <v>0</v>
      </c>
      <c r="M270" t="n">
        <v>0</v>
      </c>
      <c r="N270" t="n">
        <v>0</v>
      </c>
      <c r="O270" t="n">
        <v>0</v>
      </c>
      <c r="P270" t="n">
        <v>0</v>
      </c>
      <c r="Q270" t="n">
        <v>0</v>
      </c>
      <c r="R270" s="2" t="inlineStr"/>
    </row>
    <row r="271" ht="15" customHeight="1">
      <c r="A271" t="inlineStr">
        <is>
          <t>A 5790-2022</t>
        </is>
      </c>
      <c r="B271" s="1" t="n">
        <v>44596.55368055555</v>
      </c>
      <c r="C271" s="1" t="n">
        <v>46063</v>
      </c>
      <c r="D271" t="inlineStr">
        <is>
          <t>SÖDERMANLANDS LÄN</t>
        </is>
      </c>
      <c r="E271" t="inlineStr">
        <is>
          <t>KATRINEHOLM</t>
        </is>
      </c>
      <c r="G271" t="n">
        <v>0.6</v>
      </c>
      <c r="H271" t="n">
        <v>0</v>
      </c>
      <c r="I271" t="n">
        <v>0</v>
      </c>
      <c r="J271" t="n">
        <v>0</v>
      </c>
      <c r="K271" t="n">
        <v>0</v>
      </c>
      <c r="L271" t="n">
        <v>0</v>
      </c>
      <c r="M271" t="n">
        <v>0</v>
      </c>
      <c r="N271" t="n">
        <v>0</v>
      </c>
      <c r="O271" t="n">
        <v>0</v>
      </c>
      <c r="P271" t="n">
        <v>0</v>
      </c>
      <c r="Q271" t="n">
        <v>0</v>
      </c>
      <c r="R271" s="2" t="inlineStr"/>
    </row>
    <row r="272" ht="15" customHeight="1">
      <c r="A272" t="inlineStr">
        <is>
          <t>A 14313-2024</t>
        </is>
      </c>
      <c r="B272" s="1" t="n">
        <v>45393</v>
      </c>
      <c r="C272" s="1" t="n">
        <v>46063</v>
      </c>
      <c r="D272" t="inlineStr">
        <is>
          <t>SÖDERMANLANDS LÄN</t>
        </is>
      </c>
      <c r="E272" t="inlineStr">
        <is>
          <t>KATRINEHOLM</t>
        </is>
      </c>
      <c r="G272" t="n">
        <v>3.1</v>
      </c>
      <c r="H272" t="n">
        <v>0</v>
      </c>
      <c r="I272" t="n">
        <v>0</v>
      </c>
      <c r="J272" t="n">
        <v>0</v>
      </c>
      <c r="K272" t="n">
        <v>0</v>
      </c>
      <c r="L272" t="n">
        <v>0</v>
      </c>
      <c r="M272" t="n">
        <v>0</v>
      </c>
      <c r="N272" t="n">
        <v>0</v>
      </c>
      <c r="O272" t="n">
        <v>0</v>
      </c>
      <c r="P272" t="n">
        <v>0</v>
      </c>
      <c r="Q272" t="n">
        <v>0</v>
      </c>
      <c r="R272" s="2" t="inlineStr"/>
    </row>
    <row r="273" ht="15" customHeight="1">
      <c r="A273" t="inlineStr">
        <is>
          <t>A 29397-2024</t>
        </is>
      </c>
      <c r="B273" s="1" t="n">
        <v>45483</v>
      </c>
      <c r="C273" s="1" t="n">
        <v>46063</v>
      </c>
      <c r="D273" t="inlineStr">
        <is>
          <t>SÖDERMANLANDS LÄN</t>
        </is>
      </c>
      <c r="E273" t="inlineStr">
        <is>
          <t>KATRINEHOLM</t>
        </is>
      </c>
      <c r="G273" t="n">
        <v>3.4</v>
      </c>
      <c r="H273" t="n">
        <v>0</v>
      </c>
      <c r="I273" t="n">
        <v>0</v>
      </c>
      <c r="J273" t="n">
        <v>0</v>
      </c>
      <c r="K273" t="n">
        <v>0</v>
      </c>
      <c r="L273" t="n">
        <v>0</v>
      </c>
      <c r="M273" t="n">
        <v>0</v>
      </c>
      <c r="N273" t="n">
        <v>0</v>
      </c>
      <c r="O273" t="n">
        <v>0</v>
      </c>
      <c r="P273" t="n">
        <v>0</v>
      </c>
      <c r="Q273" t="n">
        <v>0</v>
      </c>
      <c r="R273" s="2" t="inlineStr"/>
    </row>
    <row r="274" ht="15" customHeight="1">
      <c r="A274" t="inlineStr">
        <is>
          <t>A 59474-2021</t>
        </is>
      </c>
      <c r="B274" s="1" t="n">
        <v>44491</v>
      </c>
      <c r="C274" s="1" t="n">
        <v>46063</v>
      </c>
      <c r="D274" t="inlineStr">
        <is>
          <t>SÖDERMANLANDS LÄN</t>
        </is>
      </c>
      <c r="E274" t="inlineStr">
        <is>
          <t>KATRINEHOLM</t>
        </is>
      </c>
      <c r="G274" t="n">
        <v>2.7</v>
      </c>
      <c r="H274" t="n">
        <v>0</v>
      </c>
      <c r="I274" t="n">
        <v>0</v>
      </c>
      <c r="J274" t="n">
        <v>0</v>
      </c>
      <c r="K274" t="n">
        <v>0</v>
      </c>
      <c r="L274" t="n">
        <v>0</v>
      </c>
      <c r="M274" t="n">
        <v>0</v>
      </c>
      <c r="N274" t="n">
        <v>0</v>
      </c>
      <c r="O274" t="n">
        <v>0</v>
      </c>
      <c r="P274" t="n">
        <v>0</v>
      </c>
      <c r="Q274" t="n">
        <v>0</v>
      </c>
      <c r="R274" s="2" t="inlineStr"/>
    </row>
    <row r="275" ht="15" customHeight="1">
      <c r="A275" t="inlineStr">
        <is>
          <t>A 10932-2023</t>
        </is>
      </c>
      <c r="B275" s="1" t="n">
        <v>44985</v>
      </c>
      <c r="C275" s="1" t="n">
        <v>46063</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24619-2024</t>
        </is>
      </c>
      <c r="B276" s="1" t="n">
        <v>45460</v>
      </c>
      <c r="C276" s="1" t="n">
        <v>46063</v>
      </c>
      <c r="D276" t="inlineStr">
        <is>
          <t>SÖDERMANLANDS LÄN</t>
        </is>
      </c>
      <c r="E276" t="inlineStr">
        <is>
          <t>KATRINEHOLM</t>
        </is>
      </c>
      <c r="G276" t="n">
        <v>4.7</v>
      </c>
      <c r="H276" t="n">
        <v>0</v>
      </c>
      <c r="I276" t="n">
        <v>0</v>
      </c>
      <c r="J276" t="n">
        <v>0</v>
      </c>
      <c r="K276" t="n">
        <v>0</v>
      </c>
      <c r="L276" t="n">
        <v>0</v>
      </c>
      <c r="M276" t="n">
        <v>0</v>
      </c>
      <c r="N276" t="n">
        <v>0</v>
      </c>
      <c r="O276" t="n">
        <v>0</v>
      </c>
      <c r="P276" t="n">
        <v>0</v>
      </c>
      <c r="Q276" t="n">
        <v>0</v>
      </c>
      <c r="R276" s="2" t="inlineStr"/>
    </row>
    <row r="277" ht="15" customHeight="1">
      <c r="A277" t="inlineStr">
        <is>
          <t>A 9699-2024</t>
        </is>
      </c>
      <c r="B277" s="1" t="n">
        <v>45362</v>
      </c>
      <c r="C277" s="1" t="n">
        <v>46063</v>
      </c>
      <c r="D277" t="inlineStr">
        <is>
          <t>SÖDERMANLANDS LÄN</t>
        </is>
      </c>
      <c r="E277" t="inlineStr">
        <is>
          <t>KATRINEHOLM</t>
        </is>
      </c>
      <c r="G277" t="n">
        <v>7.7</v>
      </c>
      <c r="H277" t="n">
        <v>0</v>
      </c>
      <c r="I277" t="n">
        <v>0</v>
      </c>
      <c r="J277" t="n">
        <v>0</v>
      </c>
      <c r="K277" t="n">
        <v>0</v>
      </c>
      <c r="L277" t="n">
        <v>0</v>
      </c>
      <c r="M277" t="n">
        <v>0</v>
      </c>
      <c r="N277" t="n">
        <v>0</v>
      </c>
      <c r="O277" t="n">
        <v>0</v>
      </c>
      <c r="P277" t="n">
        <v>0</v>
      </c>
      <c r="Q277" t="n">
        <v>0</v>
      </c>
      <c r="R277" s="2" t="inlineStr"/>
    </row>
    <row r="278" ht="15" customHeight="1">
      <c r="A278" t="inlineStr">
        <is>
          <t>A 14239-2024</t>
        </is>
      </c>
      <c r="B278" s="1" t="n">
        <v>45393</v>
      </c>
      <c r="C278" s="1" t="n">
        <v>46063</v>
      </c>
      <c r="D278" t="inlineStr">
        <is>
          <t>SÖDERMANLANDS LÄN</t>
        </is>
      </c>
      <c r="E278" t="inlineStr">
        <is>
          <t>KATRINEHOLM</t>
        </is>
      </c>
      <c r="G278" t="n">
        <v>2.7</v>
      </c>
      <c r="H278" t="n">
        <v>0</v>
      </c>
      <c r="I278" t="n">
        <v>0</v>
      </c>
      <c r="J278" t="n">
        <v>0</v>
      </c>
      <c r="K278" t="n">
        <v>0</v>
      </c>
      <c r="L278" t="n">
        <v>0</v>
      </c>
      <c r="M278" t="n">
        <v>0</v>
      </c>
      <c r="N278" t="n">
        <v>0</v>
      </c>
      <c r="O278" t="n">
        <v>0</v>
      </c>
      <c r="P278" t="n">
        <v>0</v>
      </c>
      <c r="Q278" t="n">
        <v>0</v>
      </c>
      <c r="R278" s="2" t="inlineStr"/>
    </row>
    <row r="279" ht="15" customHeight="1">
      <c r="A279" t="inlineStr">
        <is>
          <t>A 14248-2024</t>
        </is>
      </c>
      <c r="B279" s="1" t="n">
        <v>45393</v>
      </c>
      <c r="C279" s="1" t="n">
        <v>46063</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6087-2022</t>
        </is>
      </c>
      <c r="B280" s="1" t="n">
        <v>44599.61034722222</v>
      </c>
      <c r="C280" s="1" t="n">
        <v>46063</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11635-2023</t>
        </is>
      </c>
      <c r="B281" s="1" t="n">
        <v>44994</v>
      </c>
      <c r="C281" s="1" t="n">
        <v>46063</v>
      </c>
      <c r="D281" t="inlineStr">
        <is>
          <t>SÖDERMANLANDS LÄN</t>
        </is>
      </c>
      <c r="E281" t="inlineStr">
        <is>
          <t>KATRINEHOLM</t>
        </is>
      </c>
      <c r="G281" t="n">
        <v>4.3</v>
      </c>
      <c r="H281" t="n">
        <v>0</v>
      </c>
      <c r="I281" t="n">
        <v>0</v>
      </c>
      <c r="J281" t="n">
        <v>0</v>
      </c>
      <c r="K281" t="n">
        <v>0</v>
      </c>
      <c r="L281" t="n">
        <v>0</v>
      </c>
      <c r="M281" t="n">
        <v>0</v>
      </c>
      <c r="N281" t="n">
        <v>0</v>
      </c>
      <c r="O281" t="n">
        <v>0</v>
      </c>
      <c r="P281" t="n">
        <v>0</v>
      </c>
      <c r="Q281" t="n">
        <v>0</v>
      </c>
      <c r="R281" s="2" t="inlineStr"/>
    </row>
    <row r="282" ht="15" customHeight="1">
      <c r="A282" t="inlineStr">
        <is>
          <t>A 8957-2024</t>
        </is>
      </c>
      <c r="B282" s="1" t="n">
        <v>45357.45089120371</v>
      </c>
      <c r="C282" s="1" t="n">
        <v>46063</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42896-2024</t>
        </is>
      </c>
      <c r="B283" s="1" t="n">
        <v>45566.82973379629</v>
      </c>
      <c r="C283" s="1" t="n">
        <v>46063</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7747-2024</t>
        </is>
      </c>
      <c r="B284" s="1" t="n">
        <v>45348</v>
      </c>
      <c r="C284" s="1" t="n">
        <v>46063</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7753-2024</t>
        </is>
      </c>
      <c r="B285" s="1" t="n">
        <v>45348</v>
      </c>
      <c r="C285" s="1" t="n">
        <v>46063</v>
      </c>
      <c r="D285" t="inlineStr">
        <is>
          <t>SÖDERMANLANDS LÄN</t>
        </is>
      </c>
      <c r="E285" t="inlineStr">
        <is>
          <t>KATRINEHOLM</t>
        </is>
      </c>
      <c r="G285" t="n">
        <v>13.4</v>
      </c>
      <c r="H285" t="n">
        <v>0</v>
      </c>
      <c r="I285" t="n">
        <v>0</v>
      </c>
      <c r="J285" t="n">
        <v>0</v>
      </c>
      <c r="K285" t="n">
        <v>0</v>
      </c>
      <c r="L285" t="n">
        <v>0</v>
      </c>
      <c r="M285" t="n">
        <v>0</v>
      </c>
      <c r="N285" t="n">
        <v>0</v>
      </c>
      <c r="O285" t="n">
        <v>0</v>
      </c>
      <c r="P285" t="n">
        <v>0</v>
      </c>
      <c r="Q285" t="n">
        <v>0</v>
      </c>
      <c r="R285" s="2" t="inlineStr"/>
    </row>
    <row r="286" ht="15" customHeight="1">
      <c r="A286" t="inlineStr">
        <is>
          <t>A 5935-2023</t>
        </is>
      </c>
      <c r="B286" s="1" t="n">
        <v>44963</v>
      </c>
      <c r="C286" s="1" t="n">
        <v>46063</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10732-2022</t>
        </is>
      </c>
      <c r="B287" s="1" t="n">
        <v>44627.34033564815</v>
      </c>
      <c r="C287" s="1" t="n">
        <v>46063</v>
      </c>
      <c r="D287" t="inlineStr">
        <is>
          <t>SÖDERMANLANDS LÄN</t>
        </is>
      </c>
      <c r="E287" t="inlineStr">
        <is>
          <t>KATRINEHOLM</t>
        </is>
      </c>
      <c r="G287" t="n">
        <v>2.4</v>
      </c>
      <c r="H287" t="n">
        <v>0</v>
      </c>
      <c r="I287" t="n">
        <v>0</v>
      </c>
      <c r="J287" t="n">
        <v>0</v>
      </c>
      <c r="K287" t="n">
        <v>0</v>
      </c>
      <c r="L287" t="n">
        <v>0</v>
      </c>
      <c r="M287" t="n">
        <v>0</v>
      </c>
      <c r="N287" t="n">
        <v>0</v>
      </c>
      <c r="O287" t="n">
        <v>0</v>
      </c>
      <c r="P287" t="n">
        <v>0</v>
      </c>
      <c r="Q287" t="n">
        <v>0</v>
      </c>
      <c r="R287" s="2" t="inlineStr"/>
    </row>
    <row r="288" ht="15" customHeight="1">
      <c r="A288" t="inlineStr">
        <is>
          <t>A 61915-2021</t>
        </is>
      </c>
      <c r="B288" s="1" t="n">
        <v>44502.36780092592</v>
      </c>
      <c r="C288" s="1" t="n">
        <v>46063</v>
      </c>
      <c r="D288" t="inlineStr">
        <is>
          <t>SÖDERMANLANDS LÄN</t>
        </is>
      </c>
      <c r="E288" t="inlineStr">
        <is>
          <t>KATRINEHOLM</t>
        </is>
      </c>
      <c r="G288" t="n">
        <v>2.6</v>
      </c>
      <c r="H288" t="n">
        <v>0</v>
      </c>
      <c r="I288" t="n">
        <v>0</v>
      </c>
      <c r="J288" t="n">
        <v>0</v>
      </c>
      <c r="K288" t="n">
        <v>0</v>
      </c>
      <c r="L288" t="n">
        <v>0</v>
      </c>
      <c r="M288" t="n">
        <v>0</v>
      </c>
      <c r="N288" t="n">
        <v>0</v>
      </c>
      <c r="O288" t="n">
        <v>0</v>
      </c>
      <c r="P288" t="n">
        <v>0</v>
      </c>
      <c r="Q288" t="n">
        <v>0</v>
      </c>
      <c r="R288" s="2" t="inlineStr"/>
    </row>
    <row r="289" ht="15" customHeight="1">
      <c r="A289" t="inlineStr">
        <is>
          <t>A 3939-2022</t>
        </is>
      </c>
      <c r="B289" s="1" t="n">
        <v>44587</v>
      </c>
      <c r="C289" s="1" t="n">
        <v>46063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56074-2022</t>
        </is>
      </c>
      <c r="B290" s="1" t="n">
        <v>44889</v>
      </c>
      <c r="C290" s="1" t="n">
        <v>46063</v>
      </c>
      <c r="D290" t="inlineStr">
        <is>
          <t>SÖDERMANLANDS LÄN</t>
        </is>
      </c>
      <c r="E290" t="inlineStr">
        <is>
          <t>KATRINEHOLM</t>
        </is>
      </c>
      <c r="G290" t="n">
        <v>1</v>
      </c>
      <c r="H290" t="n">
        <v>0</v>
      </c>
      <c r="I290" t="n">
        <v>0</v>
      </c>
      <c r="J290" t="n">
        <v>0</v>
      </c>
      <c r="K290" t="n">
        <v>0</v>
      </c>
      <c r="L290" t="n">
        <v>0</v>
      </c>
      <c r="M290" t="n">
        <v>0</v>
      </c>
      <c r="N290" t="n">
        <v>0</v>
      </c>
      <c r="O290" t="n">
        <v>0</v>
      </c>
      <c r="P290" t="n">
        <v>0</v>
      </c>
      <c r="Q290" t="n">
        <v>0</v>
      </c>
      <c r="R290" s="2" t="inlineStr"/>
      <c r="T290">
        <f>HYPERLINK("https://klasma.github.io/Logging_0483/kartor/A 56074-2022 karta.png", "A 56074-2022")</f>
        <v/>
      </c>
      <c r="V290">
        <f>HYPERLINK("https://klasma.github.io/Logging_0483/klagomål/A 56074-2022 FSC-klagomål.docx", "A 56074-2022")</f>
        <v/>
      </c>
      <c r="W290">
        <f>HYPERLINK("https://klasma.github.io/Logging_0483/klagomålsmail/A 56074-2022 FSC-klagomål mail.docx", "A 56074-2022")</f>
        <v/>
      </c>
      <c r="X290">
        <f>HYPERLINK("https://klasma.github.io/Logging_0483/tillsyn/A 56074-2022 tillsynsbegäran.docx", "A 56074-2022")</f>
        <v/>
      </c>
      <c r="Y290">
        <f>HYPERLINK("https://klasma.github.io/Logging_0483/tillsynsmail/A 56074-2022 tillsynsbegäran mail.docx", "A 56074-2022")</f>
        <v/>
      </c>
    </row>
    <row r="291" ht="15" customHeight="1">
      <c r="A291" t="inlineStr">
        <is>
          <t>A 12633-2022</t>
        </is>
      </c>
      <c r="B291" s="1" t="n">
        <v>44638</v>
      </c>
      <c r="C291" s="1" t="n">
        <v>46063</v>
      </c>
      <c r="D291" t="inlineStr">
        <is>
          <t>SÖDERMANLANDS LÄN</t>
        </is>
      </c>
      <c r="E291" t="inlineStr">
        <is>
          <t>KATRINEHOLM</t>
        </is>
      </c>
      <c r="G291" t="n">
        <v>6.4</v>
      </c>
      <c r="H291" t="n">
        <v>0</v>
      </c>
      <c r="I291" t="n">
        <v>0</v>
      </c>
      <c r="J291" t="n">
        <v>0</v>
      </c>
      <c r="K291" t="n">
        <v>0</v>
      </c>
      <c r="L291" t="n">
        <v>0</v>
      </c>
      <c r="M291" t="n">
        <v>0</v>
      </c>
      <c r="N291" t="n">
        <v>0</v>
      </c>
      <c r="O291" t="n">
        <v>0</v>
      </c>
      <c r="P291" t="n">
        <v>0</v>
      </c>
      <c r="Q291" t="n">
        <v>0</v>
      </c>
      <c r="R291" s="2" t="inlineStr"/>
    </row>
    <row r="292" ht="15" customHeight="1">
      <c r="A292" t="inlineStr">
        <is>
          <t>A 35228-2025</t>
        </is>
      </c>
      <c r="B292" s="1" t="n">
        <v>45853</v>
      </c>
      <c r="C292" s="1" t="n">
        <v>46063</v>
      </c>
      <c r="D292" t="inlineStr">
        <is>
          <t>SÖDERMANLANDS LÄN</t>
        </is>
      </c>
      <c r="E292" t="inlineStr">
        <is>
          <t>KATRINEHOLM</t>
        </is>
      </c>
      <c r="G292" t="n">
        <v>1.1</v>
      </c>
      <c r="H292" t="n">
        <v>0</v>
      </c>
      <c r="I292" t="n">
        <v>0</v>
      </c>
      <c r="J292" t="n">
        <v>0</v>
      </c>
      <c r="K292" t="n">
        <v>0</v>
      </c>
      <c r="L292" t="n">
        <v>0</v>
      </c>
      <c r="M292" t="n">
        <v>0</v>
      </c>
      <c r="N292" t="n">
        <v>0</v>
      </c>
      <c r="O292" t="n">
        <v>0</v>
      </c>
      <c r="P292" t="n">
        <v>0</v>
      </c>
      <c r="Q292" t="n">
        <v>0</v>
      </c>
      <c r="R292" s="2" t="inlineStr"/>
    </row>
    <row r="293" ht="15" customHeight="1">
      <c r="A293" t="inlineStr">
        <is>
          <t>A 33278-2024</t>
        </is>
      </c>
      <c r="B293" s="1" t="n">
        <v>45518</v>
      </c>
      <c r="C293" s="1" t="n">
        <v>46063</v>
      </c>
      <c r="D293" t="inlineStr">
        <is>
          <t>SÖDERMANLANDS LÄN</t>
        </is>
      </c>
      <c r="E293" t="inlineStr">
        <is>
          <t>KATRINEHOLM</t>
        </is>
      </c>
      <c r="G293" t="n">
        <v>2.1</v>
      </c>
      <c r="H293" t="n">
        <v>0</v>
      </c>
      <c r="I293" t="n">
        <v>0</v>
      </c>
      <c r="J293" t="n">
        <v>0</v>
      </c>
      <c r="K293" t="n">
        <v>0</v>
      </c>
      <c r="L293" t="n">
        <v>0</v>
      </c>
      <c r="M293" t="n">
        <v>0</v>
      </c>
      <c r="N293" t="n">
        <v>0</v>
      </c>
      <c r="O293" t="n">
        <v>0</v>
      </c>
      <c r="P293" t="n">
        <v>0</v>
      </c>
      <c r="Q293" t="n">
        <v>0</v>
      </c>
      <c r="R293" s="2" t="inlineStr"/>
    </row>
    <row r="294" ht="15" customHeight="1">
      <c r="A294" t="inlineStr">
        <is>
          <t>A 4656-2023</t>
        </is>
      </c>
      <c r="B294" s="1" t="n">
        <v>44957</v>
      </c>
      <c r="C294" s="1" t="n">
        <v>46063</v>
      </c>
      <c r="D294" t="inlineStr">
        <is>
          <t>SÖDERMANLANDS LÄN</t>
        </is>
      </c>
      <c r="E294" t="inlineStr">
        <is>
          <t>KATRINEHOLM</t>
        </is>
      </c>
      <c r="F294" t="inlineStr">
        <is>
          <t>Holmen skog AB</t>
        </is>
      </c>
      <c r="G294" t="n">
        <v>1.7</v>
      </c>
      <c r="H294" t="n">
        <v>0</v>
      </c>
      <c r="I294" t="n">
        <v>0</v>
      </c>
      <c r="J294" t="n">
        <v>0</v>
      </c>
      <c r="K294" t="n">
        <v>0</v>
      </c>
      <c r="L294" t="n">
        <v>0</v>
      </c>
      <c r="M294" t="n">
        <v>0</v>
      </c>
      <c r="N294" t="n">
        <v>0</v>
      </c>
      <c r="O294" t="n">
        <v>0</v>
      </c>
      <c r="P294" t="n">
        <v>0</v>
      </c>
      <c r="Q294" t="n">
        <v>0</v>
      </c>
      <c r="R294" s="2" t="inlineStr"/>
    </row>
    <row r="295" ht="15" customHeight="1">
      <c r="A295" t="inlineStr">
        <is>
          <t>A 29189-2025</t>
        </is>
      </c>
      <c r="B295" s="1" t="n">
        <v>45822</v>
      </c>
      <c r="C295" s="1" t="n">
        <v>46063</v>
      </c>
      <c r="D295" t="inlineStr">
        <is>
          <t>SÖDERMANLANDS LÄN</t>
        </is>
      </c>
      <c r="E295" t="inlineStr">
        <is>
          <t>KATRINEHOLM</t>
        </is>
      </c>
      <c r="G295" t="n">
        <v>3.5</v>
      </c>
      <c r="H295" t="n">
        <v>0</v>
      </c>
      <c r="I295" t="n">
        <v>0</v>
      </c>
      <c r="J295" t="n">
        <v>0</v>
      </c>
      <c r="K295" t="n">
        <v>0</v>
      </c>
      <c r="L295" t="n">
        <v>0</v>
      </c>
      <c r="M295" t="n">
        <v>0</v>
      </c>
      <c r="N295" t="n">
        <v>0</v>
      </c>
      <c r="O295" t="n">
        <v>0</v>
      </c>
      <c r="P295" t="n">
        <v>0</v>
      </c>
      <c r="Q295" t="n">
        <v>0</v>
      </c>
      <c r="R295" s="2" t="inlineStr"/>
    </row>
    <row r="296" ht="15" customHeight="1">
      <c r="A296" t="inlineStr">
        <is>
          <t>A 59093-2024</t>
        </is>
      </c>
      <c r="B296" s="1" t="n">
        <v>45636</v>
      </c>
      <c r="C296" s="1" t="n">
        <v>46063</v>
      </c>
      <c r="D296" t="inlineStr">
        <is>
          <t>SÖDERMANLANDS LÄN</t>
        </is>
      </c>
      <c r="E296" t="inlineStr">
        <is>
          <t>KATRINEHOLM</t>
        </is>
      </c>
      <c r="G296" t="n">
        <v>2.8</v>
      </c>
      <c r="H296" t="n">
        <v>0</v>
      </c>
      <c r="I296" t="n">
        <v>0</v>
      </c>
      <c r="J296" t="n">
        <v>0</v>
      </c>
      <c r="K296" t="n">
        <v>0</v>
      </c>
      <c r="L296" t="n">
        <v>0</v>
      </c>
      <c r="M296" t="n">
        <v>0</v>
      </c>
      <c r="N296" t="n">
        <v>0</v>
      </c>
      <c r="O296" t="n">
        <v>0</v>
      </c>
      <c r="P296" t="n">
        <v>0</v>
      </c>
      <c r="Q296" t="n">
        <v>0</v>
      </c>
      <c r="R296" s="2" t="inlineStr"/>
    </row>
    <row r="297" ht="15" customHeight="1">
      <c r="A297" t="inlineStr">
        <is>
          <t>A 38872-2024</t>
        </is>
      </c>
      <c r="B297" s="1" t="n">
        <v>45547</v>
      </c>
      <c r="C297" s="1" t="n">
        <v>46063</v>
      </c>
      <c r="D297" t="inlineStr">
        <is>
          <t>SÖDERMANLANDS LÄN</t>
        </is>
      </c>
      <c r="E297" t="inlineStr">
        <is>
          <t>KATRINEHOLM</t>
        </is>
      </c>
      <c r="G297" t="n">
        <v>5.7</v>
      </c>
      <c r="H297" t="n">
        <v>0</v>
      </c>
      <c r="I297" t="n">
        <v>0</v>
      </c>
      <c r="J297" t="n">
        <v>0</v>
      </c>
      <c r="K297" t="n">
        <v>0</v>
      </c>
      <c r="L297" t="n">
        <v>0</v>
      </c>
      <c r="M297" t="n">
        <v>0</v>
      </c>
      <c r="N297" t="n">
        <v>0</v>
      </c>
      <c r="O297" t="n">
        <v>0</v>
      </c>
      <c r="P297" t="n">
        <v>0</v>
      </c>
      <c r="Q297" t="n">
        <v>0</v>
      </c>
      <c r="R297" s="2" t="inlineStr"/>
    </row>
    <row r="298" ht="15" customHeight="1">
      <c r="A298" t="inlineStr">
        <is>
          <t>A 30050-2025</t>
        </is>
      </c>
      <c r="B298" s="1" t="n">
        <v>45826.59151620371</v>
      </c>
      <c r="C298" s="1" t="n">
        <v>46063</v>
      </c>
      <c r="D298" t="inlineStr">
        <is>
          <t>SÖDERMANLANDS LÄN</t>
        </is>
      </c>
      <c r="E298" t="inlineStr">
        <is>
          <t>KATRINEHOLM</t>
        </is>
      </c>
      <c r="G298" t="n">
        <v>7.9</v>
      </c>
      <c r="H298" t="n">
        <v>0</v>
      </c>
      <c r="I298" t="n">
        <v>0</v>
      </c>
      <c r="J298" t="n">
        <v>0</v>
      </c>
      <c r="K298" t="n">
        <v>0</v>
      </c>
      <c r="L298" t="n">
        <v>0</v>
      </c>
      <c r="M298" t="n">
        <v>0</v>
      </c>
      <c r="N298" t="n">
        <v>0</v>
      </c>
      <c r="O298" t="n">
        <v>0</v>
      </c>
      <c r="P298" t="n">
        <v>0</v>
      </c>
      <c r="Q298" t="n">
        <v>0</v>
      </c>
      <c r="R298" s="2" t="inlineStr"/>
    </row>
    <row r="299" ht="15" customHeight="1">
      <c r="A299" t="inlineStr">
        <is>
          <t>A 30070-2025</t>
        </is>
      </c>
      <c r="B299" s="1" t="n">
        <v>45826.63324074074</v>
      </c>
      <c r="C299" s="1" t="n">
        <v>46063</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9932-2023</t>
        </is>
      </c>
      <c r="B300" s="1" t="n">
        <v>44985.46709490741</v>
      </c>
      <c r="C300" s="1" t="n">
        <v>46063</v>
      </c>
      <c r="D300" t="inlineStr">
        <is>
          <t>SÖDERMANLANDS LÄN</t>
        </is>
      </c>
      <c r="E300" t="inlineStr">
        <is>
          <t>KATRINEHOLM</t>
        </is>
      </c>
      <c r="G300" t="n">
        <v>0.3</v>
      </c>
      <c r="H300" t="n">
        <v>0</v>
      </c>
      <c r="I300" t="n">
        <v>0</v>
      </c>
      <c r="J300" t="n">
        <v>0</v>
      </c>
      <c r="K300" t="n">
        <v>0</v>
      </c>
      <c r="L300" t="n">
        <v>0</v>
      </c>
      <c r="M300" t="n">
        <v>0</v>
      </c>
      <c r="N300" t="n">
        <v>0</v>
      </c>
      <c r="O300" t="n">
        <v>0</v>
      </c>
      <c r="P300" t="n">
        <v>0</v>
      </c>
      <c r="Q300" t="n">
        <v>0</v>
      </c>
      <c r="R300" s="2" t="inlineStr"/>
    </row>
    <row r="301" ht="15" customHeight="1">
      <c r="A301" t="inlineStr">
        <is>
          <t>A 30287-2025</t>
        </is>
      </c>
      <c r="B301" s="1" t="n">
        <v>45827</v>
      </c>
      <c r="C301" s="1" t="n">
        <v>46063</v>
      </c>
      <c r="D301" t="inlineStr">
        <is>
          <t>SÖDERMANLANDS LÄN</t>
        </is>
      </c>
      <c r="E301" t="inlineStr">
        <is>
          <t>KATRINEHOLM</t>
        </is>
      </c>
      <c r="G301" t="n">
        <v>10.2</v>
      </c>
      <c r="H301" t="n">
        <v>0</v>
      </c>
      <c r="I301" t="n">
        <v>0</v>
      </c>
      <c r="J301" t="n">
        <v>0</v>
      </c>
      <c r="K301" t="n">
        <v>0</v>
      </c>
      <c r="L301" t="n">
        <v>0</v>
      </c>
      <c r="M301" t="n">
        <v>0</v>
      </c>
      <c r="N301" t="n">
        <v>0</v>
      </c>
      <c r="O301" t="n">
        <v>0</v>
      </c>
      <c r="P301" t="n">
        <v>0</v>
      </c>
      <c r="Q301" t="n">
        <v>0</v>
      </c>
      <c r="R301" s="2" t="inlineStr"/>
    </row>
    <row r="302" ht="15" customHeight="1">
      <c r="A302" t="inlineStr">
        <is>
          <t>A 30350-2025</t>
        </is>
      </c>
      <c r="B302" s="1" t="n">
        <v>45827.53319444445</v>
      </c>
      <c r="C302" s="1" t="n">
        <v>46063</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9192-2023</t>
        </is>
      </c>
      <c r="B303" s="1" t="n">
        <v>44980</v>
      </c>
      <c r="C303" s="1" t="n">
        <v>46063</v>
      </c>
      <c r="D303" t="inlineStr">
        <is>
          <t>SÖDERMANLANDS LÄN</t>
        </is>
      </c>
      <c r="E303" t="inlineStr">
        <is>
          <t>KATRINEHOLM</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15399-2022</t>
        </is>
      </c>
      <c r="B304" s="1" t="n">
        <v>44659</v>
      </c>
      <c r="C304" s="1" t="n">
        <v>46063</v>
      </c>
      <c r="D304" t="inlineStr">
        <is>
          <t>SÖDERMANLANDS LÄN</t>
        </is>
      </c>
      <c r="E304" t="inlineStr">
        <is>
          <t>KATRINEHOLM</t>
        </is>
      </c>
      <c r="G304" t="n">
        <v>5.6</v>
      </c>
      <c r="H304" t="n">
        <v>0</v>
      </c>
      <c r="I304" t="n">
        <v>0</v>
      </c>
      <c r="J304" t="n">
        <v>0</v>
      </c>
      <c r="K304" t="n">
        <v>0</v>
      </c>
      <c r="L304" t="n">
        <v>0</v>
      </c>
      <c r="M304" t="n">
        <v>0</v>
      </c>
      <c r="N304" t="n">
        <v>0</v>
      </c>
      <c r="O304" t="n">
        <v>0</v>
      </c>
      <c r="P304" t="n">
        <v>0</v>
      </c>
      <c r="Q304" t="n">
        <v>0</v>
      </c>
      <c r="R304" s="2" t="inlineStr"/>
    </row>
    <row r="305" ht="15" customHeight="1">
      <c r="A305" t="inlineStr">
        <is>
          <t>A 30352-2025</t>
        </is>
      </c>
      <c r="B305" s="1" t="n">
        <v>45827</v>
      </c>
      <c r="C305" s="1" t="n">
        <v>46063</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11872-2023</t>
        </is>
      </c>
      <c r="B306" s="1" t="n">
        <v>44995</v>
      </c>
      <c r="C306" s="1" t="n">
        <v>46063</v>
      </c>
      <c r="D306" t="inlineStr">
        <is>
          <t>SÖDERMANLANDS LÄN</t>
        </is>
      </c>
      <c r="E306" t="inlineStr">
        <is>
          <t>KATRINEHOLM</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30386-2025</t>
        </is>
      </c>
      <c r="B307" s="1" t="n">
        <v>45827</v>
      </c>
      <c r="C307" s="1" t="n">
        <v>46063</v>
      </c>
      <c r="D307" t="inlineStr">
        <is>
          <t>SÖDERMANLANDS LÄN</t>
        </is>
      </c>
      <c r="E307" t="inlineStr">
        <is>
          <t>KATRINEHOLM</t>
        </is>
      </c>
      <c r="G307" t="n">
        <v>5.6</v>
      </c>
      <c r="H307" t="n">
        <v>0</v>
      </c>
      <c r="I307" t="n">
        <v>0</v>
      </c>
      <c r="J307" t="n">
        <v>0</v>
      </c>
      <c r="K307" t="n">
        <v>0</v>
      </c>
      <c r="L307" t="n">
        <v>0</v>
      </c>
      <c r="M307" t="n">
        <v>0</v>
      </c>
      <c r="N307" t="n">
        <v>0</v>
      </c>
      <c r="O307" t="n">
        <v>0</v>
      </c>
      <c r="P307" t="n">
        <v>0</v>
      </c>
      <c r="Q307" t="n">
        <v>0</v>
      </c>
      <c r="R307" s="2" t="inlineStr"/>
    </row>
    <row r="308" ht="15" customHeight="1">
      <c r="A308" t="inlineStr">
        <is>
          <t>A 30402-2025</t>
        </is>
      </c>
      <c r="B308" s="1" t="n">
        <v>45827</v>
      </c>
      <c r="C308" s="1" t="n">
        <v>46063</v>
      </c>
      <c r="D308" t="inlineStr">
        <is>
          <t>SÖDERMANLANDS LÄN</t>
        </is>
      </c>
      <c r="E308" t="inlineStr">
        <is>
          <t>KATRINEHOLM</t>
        </is>
      </c>
      <c r="G308" t="n">
        <v>7.1</v>
      </c>
      <c r="H308" t="n">
        <v>0</v>
      </c>
      <c r="I308" t="n">
        <v>0</v>
      </c>
      <c r="J308" t="n">
        <v>0</v>
      </c>
      <c r="K308" t="n">
        <v>0</v>
      </c>
      <c r="L308" t="n">
        <v>0</v>
      </c>
      <c r="M308" t="n">
        <v>0</v>
      </c>
      <c r="N308" t="n">
        <v>0</v>
      </c>
      <c r="O308" t="n">
        <v>0</v>
      </c>
      <c r="P308" t="n">
        <v>0</v>
      </c>
      <c r="Q308" t="n">
        <v>0</v>
      </c>
      <c r="R308" s="2" t="inlineStr"/>
    </row>
    <row r="309" ht="15" customHeight="1">
      <c r="A309" t="inlineStr">
        <is>
          <t>A 49092-2024</t>
        </is>
      </c>
      <c r="B309" s="1" t="n">
        <v>45594.63619212963</v>
      </c>
      <c r="C309" s="1" t="n">
        <v>46063</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49095-2024</t>
        </is>
      </c>
      <c r="B310" s="1" t="n">
        <v>45594.63828703704</v>
      </c>
      <c r="C310" s="1" t="n">
        <v>46063</v>
      </c>
      <c r="D310" t="inlineStr">
        <is>
          <t>SÖDERMANLANDS LÄN</t>
        </is>
      </c>
      <c r="E310" t="inlineStr">
        <is>
          <t>KATRINEHOLM</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7254-2021</t>
        </is>
      </c>
      <c r="B311" s="1" t="n">
        <v>44238</v>
      </c>
      <c r="C311" s="1" t="n">
        <v>46063</v>
      </c>
      <c r="D311" t="inlineStr">
        <is>
          <t>SÖDERMANLANDS LÄN</t>
        </is>
      </c>
      <c r="E311" t="inlineStr">
        <is>
          <t>KATRINEHOLM</t>
        </is>
      </c>
      <c r="G311" t="n">
        <v>3.6</v>
      </c>
      <c r="H311" t="n">
        <v>0</v>
      </c>
      <c r="I311" t="n">
        <v>0</v>
      </c>
      <c r="J311" t="n">
        <v>0</v>
      </c>
      <c r="K311" t="n">
        <v>0</v>
      </c>
      <c r="L311" t="n">
        <v>0</v>
      </c>
      <c r="M311" t="n">
        <v>0</v>
      </c>
      <c r="N311" t="n">
        <v>0</v>
      </c>
      <c r="O311" t="n">
        <v>0</v>
      </c>
      <c r="P311" t="n">
        <v>0</v>
      </c>
      <c r="Q311" t="n">
        <v>0</v>
      </c>
      <c r="R311" s="2" t="inlineStr"/>
    </row>
    <row r="312" ht="15" customHeight="1">
      <c r="A312" t="inlineStr">
        <is>
          <t>A 36-2023</t>
        </is>
      </c>
      <c r="B312" s="1" t="n">
        <v>44928.36578703704</v>
      </c>
      <c r="C312" s="1" t="n">
        <v>46063</v>
      </c>
      <c r="D312" t="inlineStr">
        <is>
          <t>SÖDERMANLANDS LÄN</t>
        </is>
      </c>
      <c r="E312" t="inlineStr">
        <is>
          <t>KATRINEHOLM</t>
        </is>
      </c>
      <c r="G312" t="n">
        <v>3.7</v>
      </c>
      <c r="H312" t="n">
        <v>0</v>
      </c>
      <c r="I312" t="n">
        <v>0</v>
      </c>
      <c r="J312" t="n">
        <v>0</v>
      </c>
      <c r="K312" t="n">
        <v>0</v>
      </c>
      <c r="L312" t="n">
        <v>0</v>
      </c>
      <c r="M312" t="n">
        <v>0</v>
      </c>
      <c r="N312" t="n">
        <v>0</v>
      </c>
      <c r="O312" t="n">
        <v>0</v>
      </c>
      <c r="P312" t="n">
        <v>0</v>
      </c>
      <c r="Q312" t="n">
        <v>0</v>
      </c>
      <c r="R312" s="2" t="inlineStr"/>
    </row>
    <row r="313" ht="15" customHeight="1">
      <c r="A313" t="inlineStr">
        <is>
          <t>A 10341-2022</t>
        </is>
      </c>
      <c r="B313" s="1" t="n">
        <v>44623</v>
      </c>
      <c r="C313" s="1" t="n">
        <v>46063</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12835-2024</t>
        </is>
      </c>
      <c r="B314" s="1" t="n">
        <v>45384</v>
      </c>
      <c r="C314" s="1" t="n">
        <v>46063</v>
      </c>
      <c r="D314" t="inlineStr">
        <is>
          <t>SÖDERMANLANDS LÄN</t>
        </is>
      </c>
      <c r="E314" t="inlineStr">
        <is>
          <t>KATRINEHOLM</t>
        </is>
      </c>
      <c r="F314" t="inlineStr">
        <is>
          <t>Allmännings- och besparingsskogar</t>
        </is>
      </c>
      <c r="G314" t="n">
        <v>0.5</v>
      </c>
      <c r="H314" t="n">
        <v>0</v>
      </c>
      <c r="I314" t="n">
        <v>0</v>
      </c>
      <c r="J314" t="n">
        <v>0</v>
      </c>
      <c r="K314" t="n">
        <v>0</v>
      </c>
      <c r="L314" t="n">
        <v>0</v>
      </c>
      <c r="M314" t="n">
        <v>0</v>
      </c>
      <c r="N314" t="n">
        <v>0</v>
      </c>
      <c r="O314" t="n">
        <v>0</v>
      </c>
      <c r="P314" t="n">
        <v>0</v>
      </c>
      <c r="Q314" t="n">
        <v>0</v>
      </c>
      <c r="R314" s="2" t="inlineStr"/>
    </row>
    <row r="315" ht="15" customHeight="1">
      <c r="A315" t="inlineStr">
        <is>
          <t>A 25716-2022</t>
        </is>
      </c>
      <c r="B315" s="1" t="n">
        <v>44733.39600694444</v>
      </c>
      <c r="C315" s="1" t="n">
        <v>46063</v>
      </c>
      <c r="D315" t="inlineStr">
        <is>
          <t>SÖDERMANLANDS LÄN</t>
        </is>
      </c>
      <c r="E315" t="inlineStr">
        <is>
          <t>KATRINEHOLM</t>
        </is>
      </c>
      <c r="G315" t="n">
        <v>3.4</v>
      </c>
      <c r="H315" t="n">
        <v>0</v>
      </c>
      <c r="I315" t="n">
        <v>0</v>
      </c>
      <c r="J315" t="n">
        <v>0</v>
      </c>
      <c r="K315" t="n">
        <v>0</v>
      </c>
      <c r="L315" t="n">
        <v>0</v>
      </c>
      <c r="M315" t="n">
        <v>0</v>
      </c>
      <c r="N315" t="n">
        <v>0</v>
      </c>
      <c r="O315" t="n">
        <v>0</v>
      </c>
      <c r="P315" t="n">
        <v>0</v>
      </c>
      <c r="Q315" t="n">
        <v>0</v>
      </c>
      <c r="R315" s="2" t="inlineStr"/>
    </row>
    <row r="316" ht="15" customHeight="1">
      <c r="A316" t="inlineStr">
        <is>
          <t>A 31376-2025</t>
        </is>
      </c>
      <c r="B316" s="1" t="n">
        <v>45833</v>
      </c>
      <c r="C316" s="1" t="n">
        <v>46063</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6807-2023</t>
        </is>
      </c>
      <c r="B317" s="1" t="n">
        <v>44964</v>
      </c>
      <c r="C317" s="1" t="n">
        <v>46063</v>
      </c>
      <c r="D317" t="inlineStr">
        <is>
          <t>SÖDERMANLANDS LÄN</t>
        </is>
      </c>
      <c r="E317" t="inlineStr">
        <is>
          <t>KATRINEHOLM</t>
        </is>
      </c>
      <c r="G317" t="n">
        <v>1.2</v>
      </c>
      <c r="H317" t="n">
        <v>0</v>
      </c>
      <c r="I317" t="n">
        <v>0</v>
      </c>
      <c r="J317" t="n">
        <v>0</v>
      </c>
      <c r="K317" t="n">
        <v>0</v>
      </c>
      <c r="L317" t="n">
        <v>0</v>
      </c>
      <c r="M317" t="n">
        <v>0</v>
      </c>
      <c r="N317" t="n">
        <v>0</v>
      </c>
      <c r="O317" t="n">
        <v>0</v>
      </c>
      <c r="P317" t="n">
        <v>0</v>
      </c>
      <c r="Q317" t="n">
        <v>0</v>
      </c>
      <c r="R317" s="2" t="inlineStr"/>
    </row>
    <row r="318" ht="15" customHeight="1">
      <c r="A318" t="inlineStr">
        <is>
          <t>A 9668-2023</t>
        </is>
      </c>
      <c r="B318" s="1" t="n">
        <v>44984.41238425926</v>
      </c>
      <c r="C318" s="1" t="n">
        <v>46063</v>
      </c>
      <c r="D318" t="inlineStr">
        <is>
          <t>SÖDERMANLANDS LÄN</t>
        </is>
      </c>
      <c r="E318" t="inlineStr">
        <is>
          <t>KATRINEHOLM</t>
        </is>
      </c>
      <c r="G318" t="n">
        <v>4.8</v>
      </c>
      <c r="H318" t="n">
        <v>0</v>
      </c>
      <c r="I318" t="n">
        <v>0</v>
      </c>
      <c r="J318" t="n">
        <v>0</v>
      </c>
      <c r="K318" t="n">
        <v>0</v>
      </c>
      <c r="L318" t="n">
        <v>0</v>
      </c>
      <c r="M318" t="n">
        <v>0</v>
      </c>
      <c r="N318" t="n">
        <v>0</v>
      </c>
      <c r="O318" t="n">
        <v>0</v>
      </c>
      <c r="P318" t="n">
        <v>0</v>
      </c>
      <c r="Q318" t="n">
        <v>0</v>
      </c>
      <c r="R318" s="2" t="inlineStr"/>
    </row>
    <row r="319" ht="15" customHeight="1">
      <c r="A319" t="inlineStr">
        <is>
          <t>A 28427-2024</t>
        </is>
      </c>
      <c r="B319" s="1" t="n">
        <v>45477.64910879629</v>
      </c>
      <c r="C319" s="1" t="n">
        <v>46063</v>
      </c>
      <c r="D319" t="inlineStr">
        <is>
          <t>SÖDERMANLANDS LÄN</t>
        </is>
      </c>
      <c r="E319" t="inlineStr">
        <is>
          <t>KATRINEHOLM</t>
        </is>
      </c>
      <c r="G319" t="n">
        <v>5.9</v>
      </c>
      <c r="H319" t="n">
        <v>0</v>
      </c>
      <c r="I319" t="n">
        <v>0</v>
      </c>
      <c r="J319" t="n">
        <v>0</v>
      </c>
      <c r="K319" t="n">
        <v>0</v>
      </c>
      <c r="L319" t="n">
        <v>0</v>
      </c>
      <c r="M319" t="n">
        <v>0</v>
      </c>
      <c r="N319" t="n">
        <v>0</v>
      </c>
      <c r="O319" t="n">
        <v>0</v>
      </c>
      <c r="P319" t="n">
        <v>0</v>
      </c>
      <c r="Q319" t="n">
        <v>0</v>
      </c>
      <c r="R319" s="2" t="inlineStr"/>
    </row>
    <row r="320" ht="15" customHeight="1">
      <c r="A320" t="inlineStr">
        <is>
          <t>A 9044-2022</t>
        </is>
      </c>
      <c r="B320" s="1" t="n">
        <v>44602</v>
      </c>
      <c r="C320" s="1" t="n">
        <v>46063</v>
      </c>
      <c r="D320" t="inlineStr">
        <is>
          <t>SÖDERMANLANDS LÄN</t>
        </is>
      </c>
      <c r="E320" t="inlineStr">
        <is>
          <t>KATRINEHOLM</t>
        </is>
      </c>
      <c r="G320" t="n">
        <v>5.8</v>
      </c>
      <c r="H320" t="n">
        <v>0</v>
      </c>
      <c r="I320" t="n">
        <v>0</v>
      </c>
      <c r="J320" t="n">
        <v>0</v>
      </c>
      <c r="K320" t="n">
        <v>0</v>
      </c>
      <c r="L320" t="n">
        <v>0</v>
      </c>
      <c r="M320" t="n">
        <v>0</v>
      </c>
      <c r="N320" t="n">
        <v>0</v>
      </c>
      <c r="O320" t="n">
        <v>0</v>
      </c>
      <c r="P320" t="n">
        <v>0</v>
      </c>
      <c r="Q320" t="n">
        <v>0</v>
      </c>
      <c r="R320" s="2" t="inlineStr"/>
    </row>
    <row r="321" ht="15" customHeight="1">
      <c r="A321" t="inlineStr">
        <is>
          <t>A 38708-2025</t>
        </is>
      </c>
      <c r="B321" s="1" t="n">
        <v>45885</v>
      </c>
      <c r="C321" s="1" t="n">
        <v>46063</v>
      </c>
      <c r="D321" t="inlineStr">
        <is>
          <t>SÖDERMANLANDS LÄN</t>
        </is>
      </c>
      <c r="E321" t="inlineStr">
        <is>
          <t>KATRINEHOLM</t>
        </is>
      </c>
      <c r="G321" t="n">
        <v>1.9</v>
      </c>
      <c r="H321" t="n">
        <v>0</v>
      </c>
      <c r="I321" t="n">
        <v>0</v>
      </c>
      <c r="J321" t="n">
        <v>0</v>
      </c>
      <c r="K321" t="n">
        <v>0</v>
      </c>
      <c r="L321" t="n">
        <v>0</v>
      </c>
      <c r="M321" t="n">
        <v>0</v>
      </c>
      <c r="N321" t="n">
        <v>0</v>
      </c>
      <c r="O321" t="n">
        <v>0</v>
      </c>
      <c r="P321" t="n">
        <v>0</v>
      </c>
      <c r="Q321" t="n">
        <v>0</v>
      </c>
      <c r="R321" s="2" t="inlineStr"/>
    </row>
    <row r="322" ht="15" customHeight="1">
      <c r="A322" t="inlineStr">
        <is>
          <t>A 31392-2025</t>
        </is>
      </c>
      <c r="B322" s="1" t="n">
        <v>45833</v>
      </c>
      <c r="C322" s="1" t="n">
        <v>46063</v>
      </c>
      <c r="D322" t="inlineStr">
        <is>
          <t>SÖDERMANLANDS LÄN</t>
        </is>
      </c>
      <c r="E322" t="inlineStr">
        <is>
          <t>KATRINEHOLM</t>
        </is>
      </c>
      <c r="G322" t="n">
        <v>5</v>
      </c>
      <c r="H322" t="n">
        <v>0</v>
      </c>
      <c r="I322" t="n">
        <v>0</v>
      </c>
      <c r="J322" t="n">
        <v>0</v>
      </c>
      <c r="K322" t="n">
        <v>0</v>
      </c>
      <c r="L322" t="n">
        <v>0</v>
      </c>
      <c r="M322" t="n">
        <v>0</v>
      </c>
      <c r="N322" t="n">
        <v>0</v>
      </c>
      <c r="O322" t="n">
        <v>0</v>
      </c>
      <c r="P322" t="n">
        <v>0</v>
      </c>
      <c r="Q322" t="n">
        <v>0</v>
      </c>
      <c r="R322" s="2" t="inlineStr"/>
    </row>
    <row r="323" ht="15" customHeight="1">
      <c r="A323" t="inlineStr">
        <is>
          <t>A 31386-2025</t>
        </is>
      </c>
      <c r="B323" s="1" t="n">
        <v>45833.45259259259</v>
      </c>
      <c r="C323" s="1" t="n">
        <v>46063</v>
      </c>
      <c r="D323" t="inlineStr">
        <is>
          <t>SÖDERMANLANDS LÄN</t>
        </is>
      </c>
      <c r="E323" t="inlineStr">
        <is>
          <t>KATRINEHOLM</t>
        </is>
      </c>
      <c r="F323" t="inlineStr">
        <is>
          <t>Övriga Aktiebolag</t>
        </is>
      </c>
      <c r="G323" t="n">
        <v>2.2</v>
      </c>
      <c r="H323" t="n">
        <v>0</v>
      </c>
      <c r="I323" t="n">
        <v>0</v>
      </c>
      <c r="J323" t="n">
        <v>0</v>
      </c>
      <c r="K323" t="n">
        <v>0</v>
      </c>
      <c r="L323" t="n">
        <v>0</v>
      </c>
      <c r="M323" t="n">
        <v>0</v>
      </c>
      <c r="N323" t="n">
        <v>0</v>
      </c>
      <c r="O323" t="n">
        <v>0</v>
      </c>
      <c r="P323" t="n">
        <v>0</v>
      </c>
      <c r="Q323" t="n">
        <v>0</v>
      </c>
      <c r="R323" s="2" t="inlineStr"/>
    </row>
    <row r="324" ht="15" customHeight="1">
      <c r="A324" t="inlineStr">
        <is>
          <t>A 39645-2025</t>
        </is>
      </c>
      <c r="B324" s="1" t="n">
        <v>45890</v>
      </c>
      <c r="C324" s="1" t="n">
        <v>46063</v>
      </c>
      <c r="D324" t="inlineStr">
        <is>
          <t>SÖDERMANLANDS LÄN</t>
        </is>
      </c>
      <c r="E324" t="inlineStr">
        <is>
          <t>KATRINEHOLM</t>
        </is>
      </c>
      <c r="G324" t="n">
        <v>0.2</v>
      </c>
      <c r="H324" t="n">
        <v>0</v>
      </c>
      <c r="I324" t="n">
        <v>0</v>
      </c>
      <c r="J324" t="n">
        <v>0</v>
      </c>
      <c r="K324" t="n">
        <v>0</v>
      </c>
      <c r="L324" t="n">
        <v>0</v>
      </c>
      <c r="M324" t="n">
        <v>0</v>
      </c>
      <c r="N324" t="n">
        <v>0</v>
      </c>
      <c r="O324" t="n">
        <v>0</v>
      </c>
      <c r="P324" t="n">
        <v>0</v>
      </c>
      <c r="Q324" t="n">
        <v>0</v>
      </c>
      <c r="R324" s="2" t="inlineStr"/>
    </row>
    <row r="325" ht="15" customHeight="1">
      <c r="A325" t="inlineStr">
        <is>
          <t>A 48091-2024</t>
        </is>
      </c>
      <c r="B325" s="1" t="n">
        <v>45590</v>
      </c>
      <c r="C325" s="1" t="n">
        <v>46063</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24097-2022</t>
        </is>
      </c>
      <c r="B326" s="1" t="n">
        <v>44725.39371527778</v>
      </c>
      <c r="C326" s="1" t="n">
        <v>46063</v>
      </c>
      <c r="D326" t="inlineStr">
        <is>
          <t>SÖDERMANLANDS LÄN</t>
        </is>
      </c>
      <c r="E326" t="inlineStr">
        <is>
          <t>KATRINEHOLM</t>
        </is>
      </c>
      <c r="G326" t="n">
        <v>6.5</v>
      </c>
      <c r="H326" t="n">
        <v>0</v>
      </c>
      <c r="I326" t="n">
        <v>0</v>
      </c>
      <c r="J326" t="n">
        <v>0</v>
      </c>
      <c r="K326" t="n">
        <v>0</v>
      </c>
      <c r="L326" t="n">
        <v>0</v>
      </c>
      <c r="M326" t="n">
        <v>0</v>
      </c>
      <c r="N326" t="n">
        <v>0</v>
      </c>
      <c r="O326" t="n">
        <v>0</v>
      </c>
      <c r="P326" t="n">
        <v>0</v>
      </c>
      <c r="Q326" t="n">
        <v>0</v>
      </c>
      <c r="R326" s="2" t="inlineStr"/>
    </row>
    <row r="327" ht="15" customHeight="1">
      <c r="A327" t="inlineStr">
        <is>
          <t>A 31990-2025</t>
        </is>
      </c>
      <c r="B327" s="1" t="n">
        <v>45835.36697916667</v>
      </c>
      <c r="C327" s="1" t="n">
        <v>46063</v>
      </c>
      <c r="D327" t="inlineStr">
        <is>
          <t>SÖDERMANLANDS LÄN</t>
        </is>
      </c>
      <c r="E327" t="inlineStr">
        <is>
          <t>KATRINEHOLM</t>
        </is>
      </c>
      <c r="G327" t="n">
        <v>0.5</v>
      </c>
      <c r="H327" t="n">
        <v>0</v>
      </c>
      <c r="I327" t="n">
        <v>0</v>
      </c>
      <c r="J327" t="n">
        <v>0</v>
      </c>
      <c r="K327" t="n">
        <v>0</v>
      </c>
      <c r="L327" t="n">
        <v>0</v>
      </c>
      <c r="M327" t="n">
        <v>0</v>
      </c>
      <c r="N327" t="n">
        <v>0</v>
      </c>
      <c r="O327" t="n">
        <v>0</v>
      </c>
      <c r="P327" t="n">
        <v>0</v>
      </c>
      <c r="Q327" t="n">
        <v>0</v>
      </c>
      <c r="R327" s="2" t="inlineStr"/>
    </row>
    <row r="328" ht="15" customHeight="1">
      <c r="A328" t="inlineStr">
        <is>
          <t>A 46670-2021</t>
        </is>
      </c>
      <c r="B328" s="1" t="n">
        <v>44445</v>
      </c>
      <c r="C328" s="1" t="n">
        <v>46063</v>
      </c>
      <c r="D328" t="inlineStr">
        <is>
          <t>SÖDERMANLANDS LÄN</t>
        </is>
      </c>
      <c r="E328" t="inlineStr">
        <is>
          <t>KATRINEHOLM</t>
        </is>
      </c>
      <c r="G328" t="n">
        <v>4.4</v>
      </c>
      <c r="H328" t="n">
        <v>0</v>
      </c>
      <c r="I328" t="n">
        <v>0</v>
      </c>
      <c r="J328" t="n">
        <v>0</v>
      </c>
      <c r="K328" t="n">
        <v>0</v>
      </c>
      <c r="L328" t="n">
        <v>0</v>
      </c>
      <c r="M328" t="n">
        <v>0</v>
      </c>
      <c r="N328" t="n">
        <v>0</v>
      </c>
      <c r="O328" t="n">
        <v>0</v>
      </c>
      <c r="P328" t="n">
        <v>0</v>
      </c>
      <c r="Q328" t="n">
        <v>0</v>
      </c>
      <c r="R328" s="2" t="inlineStr"/>
    </row>
    <row r="329" ht="15" customHeight="1">
      <c r="A329" t="inlineStr">
        <is>
          <t>A 39663-2025</t>
        </is>
      </c>
      <c r="B329" s="1" t="n">
        <v>45890</v>
      </c>
      <c r="C329" s="1" t="n">
        <v>46063</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39668-2025</t>
        </is>
      </c>
      <c r="B330" s="1" t="n">
        <v>45890</v>
      </c>
      <c r="C330" s="1" t="n">
        <v>46063</v>
      </c>
      <c r="D330" t="inlineStr">
        <is>
          <t>SÖDERMANLANDS LÄN</t>
        </is>
      </c>
      <c r="E330" t="inlineStr">
        <is>
          <t>KATRINEHOLM</t>
        </is>
      </c>
      <c r="G330" t="n">
        <v>2.9</v>
      </c>
      <c r="H330" t="n">
        <v>0</v>
      </c>
      <c r="I330" t="n">
        <v>0</v>
      </c>
      <c r="J330" t="n">
        <v>0</v>
      </c>
      <c r="K330" t="n">
        <v>0</v>
      </c>
      <c r="L330" t="n">
        <v>0</v>
      </c>
      <c r="M330" t="n">
        <v>0</v>
      </c>
      <c r="N330" t="n">
        <v>0</v>
      </c>
      <c r="O330" t="n">
        <v>0</v>
      </c>
      <c r="P330" t="n">
        <v>0</v>
      </c>
      <c r="Q330" t="n">
        <v>0</v>
      </c>
      <c r="R330" s="2" t="inlineStr"/>
    </row>
    <row r="331" ht="15" customHeight="1">
      <c r="A331" t="inlineStr">
        <is>
          <t>A 62954-2023</t>
        </is>
      </c>
      <c r="B331" s="1" t="n">
        <v>45272.55362268518</v>
      </c>
      <c r="C331" s="1" t="n">
        <v>46063</v>
      </c>
      <c r="D331" t="inlineStr">
        <is>
          <t>SÖDERMANLANDS LÄN</t>
        </is>
      </c>
      <c r="E331" t="inlineStr">
        <is>
          <t>KATRINEHOLM</t>
        </is>
      </c>
      <c r="G331" t="n">
        <v>2.3</v>
      </c>
      <c r="H331" t="n">
        <v>0</v>
      </c>
      <c r="I331" t="n">
        <v>0</v>
      </c>
      <c r="J331" t="n">
        <v>0</v>
      </c>
      <c r="K331" t="n">
        <v>0</v>
      </c>
      <c r="L331" t="n">
        <v>0</v>
      </c>
      <c r="M331" t="n">
        <v>0</v>
      </c>
      <c r="N331" t="n">
        <v>0</v>
      </c>
      <c r="O331" t="n">
        <v>0</v>
      </c>
      <c r="P331" t="n">
        <v>0</v>
      </c>
      <c r="Q331" t="n">
        <v>0</v>
      </c>
      <c r="R331" s="2" t="inlineStr"/>
    </row>
    <row r="332" ht="15" customHeight="1">
      <c r="A332" t="inlineStr">
        <is>
          <t>A 58651-2023</t>
        </is>
      </c>
      <c r="B332" s="1" t="n">
        <v>45247</v>
      </c>
      <c r="C332" s="1" t="n">
        <v>46063</v>
      </c>
      <c r="D332" t="inlineStr">
        <is>
          <t>SÖDERMANLANDS LÄN</t>
        </is>
      </c>
      <c r="E332" t="inlineStr">
        <is>
          <t>KATRINEHOLM</t>
        </is>
      </c>
      <c r="G332" t="n">
        <v>2.7</v>
      </c>
      <c r="H332" t="n">
        <v>0</v>
      </c>
      <c r="I332" t="n">
        <v>0</v>
      </c>
      <c r="J332" t="n">
        <v>0</v>
      </c>
      <c r="K332" t="n">
        <v>0</v>
      </c>
      <c r="L332" t="n">
        <v>0</v>
      </c>
      <c r="M332" t="n">
        <v>0</v>
      </c>
      <c r="N332" t="n">
        <v>0</v>
      </c>
      <c r="O332" t="n">
        <v>0</v>
      </c>
      <c r="P332" t="n">
        <v>0</v>
      </c>
      <c r="Q332" t="n">
        <v>0</v>
      </c>
      <c r="R332" s="2" t="inlineStr"/>
    </row>
    <row r="333" ht="15" customHeight="1">
      <c r="A333" t="inlineStr">
        <is>
          <t>A 12238-2021</t>
        </is>
      </c>
      <c r="B333" s="1" t="n">
        <v>44266</v>
      </c>
      <c r="C333" s="1" t="n">
        <v>46063</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39737-2025</t>
        </is>
      </c>
      <c r="B334" s="1" t="n">
        <v>45891</v>
      </c>
      <c r="C334" s="1" t="n">
        <v>46063</v>
      </c>
      <c r="D334" t="inlineStr">
        <is>
          <t>SÖDERMANLANDS LÄN</t>
        </is>
      </c>
      <c r="E334" t="inlineStr">
        <is>
          <t>KATRINEHOLM</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39847-2025</t>
        </is>
      </c>
      <c r="B335" s="1" t="n">
        <v>45891.58381944444</v>
      </c>
      <c r="C335" s="1" t="n">
        <v>46063</v>
      </c>
      <c r="D335" t="inlineStr">
        <is>
          <t>SÖDERMANLANDS LÄN</t>
        </is>
      </c>
      <c r="E335" t="inlineStr">
        <is>
          <t>KATRINEHOLM</t>
        </is>
      </c>
      <c r="F335" t="inlineStr">
        <is>
          <t>Holmen skog AB</t>
        </is>
      </c>
      <c r="G335" t="n">
        <v>2.5</v>
      </c>
      <c r="H335" t="n">
        <v>0</v>
      </c>
      <c r="I335" t="n">
        <v>0</v>
      </c>
      <c r="J335" t="n">
        <v>0</v>
      </c>
      <c r="K335" t="n">
        <v>0</v>
      </c>
      <c r="L335" t="n">
        <v>0</v>
      </c>
      <c r="M335" t="n">
        <v>0</v>
      </c>
      <c r="N335" t="n">
        <v>0</v>
      </c>
      <c r="O335" t="n">
        <v>0</v>
      </c>
      <c r="P335" t="n">
        <v>0</v>
      </c>
      <c r="Q335" t="n">
        <v>0</v>
      </c>
      <c r="R335" s="2" t="inlineStr"/>
    </row>
    <row r="336" ht="15" customHeight="1">
      <c r="A336" t="inlineStr">
        <is>
          <t>A 33090-2025</t>
        </is>
      </c>
      <c r="B336" s="1" t="n">
        <v>45840.46840277778</v>
      </c>
      <c r="C336" s="1" t="n">
        <v>46063</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6446-2022</t>
        </is>
      </c>
      <c r="B337" s="1" t="n">
        <v>44600</v>
      </c>
      <c r="C337" s="1" t="n">
        <v>46063</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33084-2025</t>
        </is>
      </c>
      <c r="B338" s="1" t="n">
        <v>45840.46559027778</v>
      </c>
      <c r="C338" s="1" t="n">
        <v>46063</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33577-2025</t>
        </is>
      </c>
      <c r="B339" s="1" t="n">
        <v>45841.59056712963</v>
      </c>
      <c r="C339" s="1" t="n">
        <v>46063</v>
      </c>
      <c r="D339" t="inlineStr">
        <is>
          <t>SÖDERMANLANDS LÄN</t>
        </is>
      </c>
      <c r="E339" t="inlineStr">
        <is>
          <t>KATRINEHOLM</t>
        </is>
      </c>
      <c r="F339" t="inlineStr">
        <is>
          <t>Holmen skog AB</t>
        </is>
      </c>
      <c r="G339" t="n">
        <v>0.3</v>
      </c>
      <c r="H339" t="n">
        <v>0</v>
      </c>
      <c r="I339" t="n">
        <v>0</v>
      </c>
      <c r="J339" t="n">
        <v>0</v>
      </c>
      <c r="K339" t="n">
        <v>0</v>
      </c>
      <c r="L339" t="n">
        <v>0</v>
      </c>
      <c r="M339" t="n">
        <v>0</v>
      </c>
      <c r="N339" t="n">
        <v>0</v>
      </c>
      <c r="O339" t="n">
        <v>0</v>
      </c>
      <c r="P339" t="n">
        <v>0</v>
      </c>
      <c r="Q339" t="n">
        <v>0</v>
      </c>
      <c r="R339" s="2" t="inlineStr"/>
    </row>
    <row r="340" ht="15" customHeight="1">
      <c r="A340" t="inlineStr">
        <is>
          <t>A 51923-2023</t>
        </is>
      </c>
      <c r="B340" s="1" t="n">
        <v>45223</v>
      </c>
      <c r="C340" s="1" t="n">
        <v>46063</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33812-2025</t>
        </is>
      </c>
      <c r="B341" s="1" t="n">
        <v>45842</v>
      </c>
      <c r="C341" s="1" t="n">
        <v>46063</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33815-2025</t>
        </is>
      </c>
      <c r="B342" s="1" t="n">
        <v>45842</v>
      </c>
      <c r="C342" s="1" t="n">
        <v>46063</v>
      </c>
      <c r="D342" t="inlineStr">
        <is>
          <t>SÖDERMANLANDS LÄN</t>
        </is>
      </c>
      <c r="E342" t="inlineStr">
        <is>
          <t>KATRINEHOLM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6762-2025</t>
        </is>
      </c>
      <c r="B343" s="1" t="n">
        <v>45700</v>
      </c>
      <c r="C343" s="1" t="n">
        <v>46063</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20213-2025</t>
        </is>
      </c>
      <c r="B344" s="1" t="n">
        <v>45772.63453703704</v>
      </c>
      <c r="C344" s="1" t="n">
        <v>46063</v>
      </c>
      <c r="D344" t="inlineStr">
        <is>
          <t>SÖDERMANLANDS LÄN</t>
        </is>
      </c>
      <c r="E344" t="inlineStr">
        <is>
          <t>KATRINEHOLM</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18386-2025</t>
        </is>
      </c>
      <c r="B345" s="1" t="n">
        <v>45762</v>
      </c>
      <c r="C345" s="1" t="n">
        <v>46063</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41074-2025</t>
        </is>
      </c>
      <c r="B346" s="1" t="n">
        <v>45898</v>
      </c>
      <c r="C346" s="1" t="n">
        <v>46063</v>
      </c>
      <c r="D346" t="inlineStr">
        <is>
          <t>SÖDERMANLANDS LÄN</t>
        </is>
      </c>
      <c r="E346" t="inlineStr">
        <is>
          <t>KATRINEHOLM</t>
        </is>
      </c>
      <c r="F346" t="inlineStr">
        <is>
          <t>Allmännings- och besparingsskogar</t>
        </is>
      </c>
      <c r="G346" t="n">
        <v>4.8</v>
      </c>
      <c r="H346" t="n">
        <v>0</v>
      </c>
      <c r="I346" t="n">
        <v>0</v>
      </c>
      <c r="J346" t="n">
        <v>0</v>
      </c>
      <c r="K346" t="n">
        <v>0</v>
      </c>
      <c r="L346" t="n">
        <v>0</v>
      </c>
      <c r="M346" t="n">
        <v>0</v>
      </c>
      <c r="N346" t="n">
        <v>0</v>
      </c>
      <c r="O346" t="n">
        <v>0</v>
      </c>
      <c r="P346" t="n">
        <v>0</v>
      </c>
      <c r="Q346" t="n">
        <v>0</v>
      </c>
      <c r="R346" s="2" t="inlineStr"/>
    </row>
    <row r="347" ht="15" customHeight="1">
      <c r="A347" t="inlineStr">
        <is>
          <t>A 3125-2024</t>
        </is>
      </c>
      <c r="B347" s="1" t="n">
        <v>45316</v>
      </c>
      <c r="C347" s="1" t="n">
        <v>46063</v>
      </c>
      <c r="D347" t="inlineStr">
        <is>
          <t>SÖDERMANLANDS LÄN</t>
        </is>
      </c>
      <c r="E347" t="inlineStr">
        <is>
          <t>KATRINEHOLM</t>
        </is>
      </c>
      <c r="G347" t="n">
        <v>3.4</v>
      </c>
      <c r="H347" t="n">
        <v>0</v>
      </c>
      <c r="I347" t="n">
        <v>0</v>
      </c>
      <c r="J347" t="n">
        <v>0</v>
      </c>
      <c r="K347" t="n">
        <v>0</v>
      </c>
      <c r="L347" t="n">
        <v>0</v>
      </c>
      <c r="M347" t="n">
        <v>0</v>
      </c>
      <c r="N347" t="n">
        <v>0</v>
      </c>
      <c r="O347" t="n">
        <v>0</v>
      </c>
      <c r="P347" t="n">
        <v>0</v>
      </c>
      <c r="Q347" t="n">
        <v>0</v>
      </c>
      <c r="R347" s="2" t="inlineStr"/>
    </row>
    <row r="348" ht="15" customHeight="1">
      <c r="A348" t="inlineStr">
        <is>
          <t>A 35183-2022</t>
        </is>
      </c>
      <c r="B348" s="1" t="n">
        <v>44797</v>
      </c>
      <c r="C348" s="1" t="n">
        <v>46063</v>
      </c>
      <c r="D348" t="inlineStr">
        <is>
          <t>SÖDERMANLANDS LÄN</t>
        </is>
      </c>
      <c r="E348" t="inlineStr">
        <is>
          <t>KATRINEHOLM</t>
        </is>
      </c>
      <c r="G348" t="n">
        <v>4.6</v>
      </c>
      <c r="H348" t="n">
        <v>0</v>
      </c>
      <c r="I348" t="n">
        <v>0</v>
      </c>
      <c r="J348" t="n">
        <v>0</v>
      </c>
      <c r="K348" t="n">
        <v>0</v>
      </c>
      <c r="L348" t="n">
        <v>0</v>
      </c>
      <c r="M348" t="n">
        <v>0</v>
      </c>
      <c r="N348" t="n">
        <v>0</v>
      </c>
      <c r="O348" t="n">
        <v>0</v>
      </c>
      <c r="P348" t="n">
        <v>0</v>
      </c>
      <c r="Q348" t="n">
        <v>0</v>
      </c>
      <c r="R348" s="2" t="inlineStr"/>
    </row>
    <row r="349" ht="15" customHeight="1">
      <c r="A349" t="inlineStr">
        <is>
          <t>A 42519-2024</t>
        </is>
      </c>
      <c r="B349" s="1" t="n">
        <v>45565</v>
      </c>
      <c r="C349" s="1" t="n">
        <v>46063</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41498-2025</t>
        </is>
      </c>
      <c r="B350" s="1" t="n">
        <v>45901.49755787037</v>
      </c>
      <c r="C350" s="1" t="n">
        <v>46063</v>
      </c>
      <c r="D350" t="inlineStr">
        <is>
          <t>SÖDERMANLANDS LÄN</t>
        </is>
      </c>
      <c r="E350" t="inlineStr">
        <is>
          <t>KATRINEHOLM</t>
        </is>
      </c>
      <c r="G350" t="n">
        <v>1.6</v>
      </c>
      <c r="H350" t="n">
        <v>0</v>
      </c>
      <c r="I350" t="n">
        <v>0</v>
      </c>
      <c r="J350" t="n">
        <v>0</v>
      </c>
      <c r="K350" t="n">
        <v>0</v>
      </c>
      <c r="L350" t="n">
        <v>0</v>
      </c>
      <c r="M350" t="n">
        <v>0</v>
      </c>
      <c r="N350" t="n">
        <v>0</v>
      </c>
      <c r="O350" t="n">
        <v>0</v>
      </c>
      <c r="P350" t="n">
        <v>0</v>
      </c>
      <c r="Q350" t="n">
        <v>0</v>
      </c>
      <c r="R350" s="2" t="inlineStr"/>
    </row>
    <row r="351" ht="15" customHeight="1">
      <c r="A351" t="inlineStr">
        <is>
          <t>A 20826-2022</t>
        </is>
      </c>
      <c r="B351" s="1" t="n">
        <v>44701.44754629629</v>
      </c>
      <c r="C351" s="1" t="n">
        <v>46063</v>
      </c>
      <c r="D351" t="inlineStr">
        <is>
          <t>SÖDERMANLANDS LÄN</t>
        </is>
      </c>
      <c r="E351" t="inlineStr">
        <is>
          <t>KATRINEHOLM</t>
        </is>
      </c>
      <c r="G351" t="n">
        <v>6.8</v>
      </c>
      <c r="H351" t="n">
        <v>0</v>
      </c>
      <c r="I351" t="n">
        <v>0</v>
      </c>
      <c r="J351" t="n">
        <v>0</v>
      </c>
      <c r="K351" t="n">
        <v>0</v>
      </c>
      <c r="L351" t="n">
        <v>0</v>
      </c>
      <c r="M351" t="n">
        <v>0</v>
      </c>
      <c r="N351" t="n">
        <v>0</v>
      </c>
      <c r="O351" t="n">
        <v>0</v>
      </c>
      <c r="P351" t="n">
        <v>0</v>
      </c>
      <c r="Q351" t="n">
        <v>0</v>
      </c>
      <c r="R351" s="2" t="inlineStr"/>
    </row>
    <row r="352" ht="15" customHeight="1">
      <c r="A352" t="inlineStr">
        <is>
          <t>A 20846-2022</t>
        </is>
      </c>
      <c r="B352" s="1" t="n">
        <v>44701.4744212963</v>
      </c>
      <c r="C352" s="1" t="n">
        <v>46063</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35156-2025</t>
        </is>
      </c>
      <c r="B353" s="1" t="n">
        <v>45852</v>
      </c>
      <c r="C353" s="1" t="n">
        <v>46063</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49341-2024</t>
        </is>
      </c>
      <c r="B354" s="1" t="n">
        <v>45595</v>
      </c>
      <c r="C354" s="1" t="n">
        <v>46063</v>
      </c>
      <c r="D354" t="inlineStr">
        <is>
          <t>SÖDERMANLANDS LÄN</t>
        </is>
      </c>
      <c r="E354" t="inlineStr">
        <is>
          <t>KATRINEHOLM</t>
        </is>
      </c>
      <c r="G354" t="n">
        <v>10</v>
      </c>
      <c r="H354" t="n">
        <v>0</v>
      </c>
      <c r="I354" t="n">
        <v>0</v>
      </c>
      <c r="J354" t="n">
        <v>0</v>
      </c>
      <c r="K354" t="n">
        <v>0</v>
      </c>
      <c r="L354" t="n">
        <v>0</v>
      </c>
      <c r="M354" t="n">
        <v>0</v>
      </c>
      <c r="N354" t="n">
        <v>0</v>
      </c>
      <c r="O354" t="n">
        <v>0</v>
      </c>
      <c r="P354" t="n">
        <v>0</v>
      </c>
      <c r="Q354" t="n">
        <v>0</v>
      </c>
      <c r="R354" s="2" t="inlineStr"/>
    </row>
    <row r="355" ht="15" customHeight="1">
      <c r="A355" t="inlineStr">
        <is>
          <t>A 35152-2025</t>
        </is>
      </c>
      <c r="B355" s="1" t="n">
        <v>45852</v>
      </c>
      <c r="C355" s="1" t="n">
        <v>46063</v>
      </c>
      <c r="D355" t="inlineStr">
        <is>
          <t>SÖDERMANLANDS LÄN</t>
        </is>
      </c>
      <c r="E355" t="inlineStr">
        <is>
          <t>KATRINEHOLM</t>
        </is>
      </c>
      <c r="G355" t="n">
        <v>4.6</v>
      </c>
      <c r="H355" t="n">
        <v>0</v>
      </c>
      <c r="I355" t="n">
        <v>0</v>
      </c>
      <c r="J355" t="n">
        <v>0</v>
      </c>
      <c r="K355" t="n">
        <v>0</v>
      </c>
      <c r="L355" t="n">
        <v>0</v>
      </c>
      <c r="M355" t="n">
        <v>0</v>
      </c>
      <c r="N355" t="n">
        <v>0</v>
      </c>
      <c r="O355" t="n">
        <v>0</v>
      </c>
      <c r="P355" t="n">
        <v>0</v>
      </c>
      <c r="Q355" t="n">
        <v>0</v>
      </c>
      <c r="R355" s="2" t="inlineStr"/>
    </row>
    <row r="356" ht="15" customHeight="1">
      <c r="A356" t="inlineStr">
        <is>
          <t>A 35165-2025</t>
        </is>
      </c>
      <c r="B356" s="1" t="n">
        <v>45852.72320601852</v>
      </c>
      <c r="C356" s="1" t="n">
        <v>46063</v>
      </c>
      <c r="D356" t="inlineStr">
        <is>
          <t>SÖDERMANLANDS LÄN</t>
        </is>
      </c>
      <c r="E356" t="inlineStr">
        <is>
          <t>KATRINEHOLM</t>
        </is>
      </c>
      <c r="F356" t="inlineStr">
        <is>
          <t>Övriga Aktiebolag</t>
        </is>
      </c>
      <c r="G356" t="n">
        <v>20.7</v>
      </c>
      <c r="H356" t="n">
        <v>0</v>
      </c>
      <c r="I356" t="n">
        <v>0</v>
      </c>
      <c r="J356" t="n">
        <v>0</v>
      </c>
      <c r="K356" t="n">
        <v>0</v>
      </c>
      <c r="L356" t="n">
        <v>0</v>
      </c>
      <c r="M356" t="n">
        <v>0</v>
      </c>
      <c r="N356" t="n">
        <v>0</v>
      </c>
      <c r="O356" t="n">
        <v>0</v>
      </c>
      <c r="P356" t="n">
        <v>0</v>
      </c>
      <c r="Q356" t="n">
        <v>0</v>
      </c>
      <c r="R356" s="2" t="inlineStr"/>
    </row>
    <row r="357" ht="15" customHeight="1">
      <c r="A357" t="inlineStr">
        <is>
          <t>A 49078-2024</t>
        </is>
      </c>
      <c r="B357" s="1" t="n">
        <v>45594.62556712963</v>
      </c>
      <c r="C357" s="1" t="n">
        <v>46063</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51440-2024</t>
        </is>
      </c>
      <c r="B358" s="1" t="n">
        <v>45604</v>
      </c>
      <c r="C358" s="1" t="n">
        <v>46063</v>
      </c>
      <c r="D358" t="inlineStr">
        <is>
          <t>SÖDERMANLANDS LÄN</t>
        </is>
      </c>
      <c r="E358" t="inlineStr">
        <is>
          <t>KATRINEHOLM</t>
        </is>
      </c>
      <c r="G358" t="n">
        <v>4.7</v>
      </c>
      <c r="H358" t="n">
        <v>0</v>
      </c>
      <c r="I358" t="n">
        <v>0</v>
      </c>
      <c r="J358" t="n">
        <v>0</v>
      </c>
      <c r="K358" t="n">
        <v>0</v>
      </c>
      <c r="L358" t="n">
        <v>0</v>
      </c>
      <c r="M358" t="n">
        <v>0</v>
      </c>
      <c r="N358" t="n">
        <v>0</v>
      </c>
      <c r="O358" t="n">
        <v>0</v>
      </c>
      <c r="P358" t="n">
        <v>0</v>
      </c>
      <c r="Q358" t="n">
        <v>0</v>
      </c>
      <c r="R358" s="2" t="inlineStr"/>
    </row>
    <row r="359" ht="15" customHeight="1">
      <c r="A359" t="inlineStr">
        <is>
          <t>A 41633-2025</t>
        </is>
      </c>
      <c r="B359" s="1" t="n">
        <v>45901</v>
      </c>
      <c r="C359" s="1" t="n">
        <v>46063</v>
      </c>
      <c r="D359" t="inlineStr">
        <is>
          <t>SÖDERMANLANDS LÄN</t>
        </is>
      </c>
      <c r="E359" t="inlineStr">
        <is>
          <t>KATRINEHOLM</t>
        </is>
      </c>
      <c r="G359" t="n">
        <v>2.1</v>
      </c>
      <c r="H359" t="n">
        <v>0</v>
      </c>
      <c r="I359" t="n">
        <v>0</v>
      </c>
      <c r="J359" t="n">
        <v>0</v>
      </c>
      <c r="K359" t="n">
        <v>0</v>
      </c>
      <c r="L359" t="n">
        <v>0</v>
      </c>
      <c r="M359" t="n">
        <v>0</v>
      </c>
      <c r="N359" t="n">
        <v>0</v>
      </c>
      <c r="O359" t="n">
        <v>0</v>
      </c>
      <c r="P359" t="n">
        <v>0</v>
      </c>
      <c r="Q359" t="n">
        <v>0</v>
      </c>
      <c r="R359" s="2" t="inlineStr"/>
    </row>
    <row r="360" ht="15" customHeight="1">
      <c r="A360" t="inlineStr">
        <is>
          <t>A 41632-2025</t>
        </is>
      </c>
      <c r="B360" s="1" t="n">
        <v>45901</v>
      </c>
      <c r="C360" s="1" t="n">
        <v>46063</v>
      </c>
      <c r="D360" t="inlineStr">
        <is>
          <t>SÖDERMANLANDS LÄN</t>
        </is>
      </c>
      <c r="E360" t="inlineStr">
        <is>
          <t>KATRINEHOLM</t>
        </is>
      </c>
      <c r="G360" t="n">
        <v>0.8</v>
      </c>
      <c r="H360" t="n">
        <v>0</v>
      </c>
      <c r="I360" t="n">
        <v>0</v>
      </c>
      <c r="J360" t="n">
        <v>0</v>
      </c>
      <c r="K360" t="n">
        <v>0</v>
      </c>
      <c r="L360" t="n">
        <v>0</v>
      </c>
      <c r="M360" t="n">
        <v>0</v>
      </c>
      <c r="N360" t="n">
        <v>0</v>
      </c>
      <c r="O360" t="n">
        <v>0</v>
      </c>
      <c r="P360" t="n">
        <v>0</v>
      </c>
      <c r="Q360" t="n">
        <v>0</v>
      </c>
      <c r="R360" s="2" t="inlineStr"/>
    </row>
    <row r="361" ht="15" customHeight="1">
      <c r="A361" t="inlineStr">
        <is>
          <t>A 35149-2025</t>
        </is>
      </c>
      <c r="B361" s="1" t="n">
        <v>45852</v>
      </c>
      <c r="C361" s="1" t="n">
        <v>46063</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35161-2025</t>
        </is>
      </c>
      <c r="B362" s="1" t="n">
        <v>45852.70716435185</v>
      </c>
      <c r="C362" s="1" t="n">
        <v>46063</v>
      </c>
      <c r="D362" t="inlineStr">
        <is>
          <t>SÖDERMANLANDS LÄN</t>
        </is>
      </c>
      <c r="E362" t="inlineStr">
        <is>
          <t>KATRINEHOLM</t>
        </is>
      </c>
      <c r="F362" t="inlineStr">
        <is>
          <t>Övriga Aktiebolag</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41648-2025</t>
        </is>
      </c>
      <c r="B363" s="1" t="n">
        <v>45902.32601851852</v>
      </c>
      <c r="C363" s="1" t="n">
        <v>46063</v>
      </c>
      <c r="D363" t="inlineStr">
        <is>
          <t>SÖDERMANLANDS LÄN</t>
        </is>
      </c>
      <c r="E363" t="inlineStr">
        <is>
          <t>KATRINEHOLM</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47879-2023</t>
        </is>
      </c>
      <c r="B364" s="1" t="n">
        <v>45204</v>
      </c>
      <c r="C364" s="1" t="n">
        <v>46063</v>
      </c>
      <c r="D364" t="inlineStr">
        <is>
          <t>SÖDERMANLANDS LÄN</t>
        </is>
      </c>
      <c r="E364" t="inlineStr">
        <is>
          <t>KATRINEHOLM</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35084-2025</t>
        </is>
      </c>
      <c r="B365" s="1" t="n">
        <v>45852</v>
      </c>
      <c r="C365" s="1" t="n">
        <v>46063</v>
      </c>
      <c r="D365" t="inlineStr">
        <is>
          <t>SÖDERMANLANDS LÄN</t>
        </is>
      </c>
      <c r="E365" t="inlineStr">
        <is>
          <t>KATRINEHOLM</t>
        </is>
      </c>
      <c r="G365" t="n">
        <v>3.2</v>
      </c>
      <c r="H365" t="n">
        <v>0</v>
      </c>
      <c r="I365" t="n">
        <v>0</v>
      </c>
      <c r="J365" t="n">
        <v>0</v>
      </c>
      <c r="K365" t="n">
        <v>0</v>
      </c>
      <c r="L365" t="n">
        <v>0</v>
      </c>
      <c r="M365" t="n">
        <v>0</v>
      </c>
      <c r="N365" t="n">
        <v>0</v>
      </c>
      <c r="O365" t="n">
        <v>0</v>
      </c>
      <c r="P365" t="n">
        <v>0</v>
      </c>
      <c r="Q365" t="n">
        <v>0</v>
      </c>
      <c r="R365" s="2" t="inlineStr"/>
    </row>
    <row r="366" ht="15" customHeight="1">
      <c r="A366" t="inlineStr">
        <is>
          <t>A 35145-2025</t>
        </is>
      </c>
      <c r="B366" s="1" t="n">
        <v>45852</v>
      </c>
      <c r="C366" s="1" t="n">
        <v>46063</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34439-2025</t>
        </is>
      </c>
      <c r="B367" s="1" t="n">
        <v>45845</v>
      </c>
      <c r="C367" s="1" t="n">
        <v>46063</v>
      </c>
      <c r="D367" t="inlineStr">
        <is>
          <t>SÖDERMANLANDS LÄN</t>
        </is>
      </c>
      <c r="E367" t="inlineStr">
        <is>
          <t>KATRINEHOLM</t>
        </is>
      </c>
      <c r="G367" t="n">
        <v>1.4</v>
      </c>
      <c r="H367" t="n">
        <v>0</v>
      </c>
      <c r="I367" t="n">
        <v>0</v>
      </c>
      <c r="J367" t="n">
        <v>0</v>
      </c>
      <c r="K367" t="n">
        <v>0</v>
      </c>
      <c r="L367" t="n">
        <v>0</v>
      </c>
      <c r="M367" t="n">
        <v>0</v>
      </c>
      <c r="N367" t="n">
        <v>0</v>
      </c>
      <c r="O367" t="n">
        <v>0</v>
      </c>
      <c r="P367" t="n">
        <v>0</v>
      </c>
      <c r="Q367" t="n">
        <v>0</v>
      </c>
      <c r="R367" s="2" t="inlineStr"/>
    </row>
    <row r="368" ht="15" customHeight="1">
      <c r="A368" t="inlineStr">
        <is>
          <t>A 12975-2022</t>
        </is>
      </c>
      <c r="B368" s="1" t="n">
        <v>44643</v>
      </c>
      <c r="C368" s="1" t="n">
        <v>46063</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51260-2021</t>
        </is>
      </c>
      <c r="B369" s="1" t="n">
        <v>44461</v>
      </c>
      <c r="C369" s="1" t="n">
        <v>46063</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35157-2025</t>
        </is>
      </c>
      <c r="B370" s="1" t="n">
        <v>45852</v>
      </c>
      <c r="C370" s="1" t="n">
        <v>46063</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35158-2025</t>
        </is>
      </c>
      <c r="B371" s="1" t="n">
        <v>45852</v>
      </c>
      <c r="C371" s="1" t="n">
        <v>46063</v>
      </c>
      <c r="D371" t="inlineStr">
        <is>
          <t>SÖDERMANLANDS LÄN</t>
        </is>
      </c>
      <c r="E371" t="inlineStr">
        <is>
          <t>KATRINEHOLM</t>
        </is>
      </c>
      <c r="G371" t="n">
        <v>1.2</v>
      </c>
      <c r="H371" t="n">
        <v>0</v>
      </c>
      <c r="I371" t="n">
        <v>0</v>
      </c>
      <c r="J371" t="n">
        <v>0</v>
      </c>
      <c r="K371" t="n">
        <v>0</v>
      </c>
      <c r="L371" t="n">
        <v>0</v>
      </c>
      <c r="M371" t="n">
        <v>0</v>
      </c>
      <c r="N371" t="n">
        <v>0</v>
      </c>
      <c r="O371" t="n">
        <v>0</v>
      </c>
      <c r="P371" t="n">
        <v>0</v>
      </c>
      <c r="Q371" t="n">
        <v>0</v>
      </c>
      <c r="R371" s="2" t="inlineStr"/>
    </row>
    <row r="372" ht="15" customHeight="1">
      <c r="A372" t="inlineStr">
        <is>
          <t>A 41793-2025</t>
        </is>
      </c>
      <c r="B372" s="1" t="n">
        <v>45902</v>
      </c>
      <c r="C372" s="1" t="n">
        <v>46063</v>
      </c>
      <c r="D372" t="inlineStr">
        <is>
          <t>SÖDERMANLANDS LÄN</t>
        </is>
      </c>
      <c r="E372" t="inlineStr">
        <is>
          <t>KATRINEHOLM</t>
        </is>
      </c>
      <c r="G372" t="n">
        <v>1.1</v>
      </c>
      <c r="H372" t="n">
        <v>0</v>
      </c>
      <c r="I372" t="n">
        <v>0</v>
      </c>
      <c r="J372" t="n">
        <v>0</v>
      </c>
      <c r="K372" t="n">
        <v>0</v>
      </c>
      <c r="L372" t="n">
        <v>0</v>
      </c>
      <c r="M372" t="n">
        <v>0</v>
      </c>
      <c r="N372" t="n">
        <v>0</v>
      </c>
      <c r="O372" t="n">
        <v>0</v>
      </c>
      <c r="P372" t="n">
        <v>0</v>
      </c>
      <c r="Q372" t="n">
        <v>0</v>
      </c>
      <c r="R372" s="2" t="inlineStr"/>
    </row>
    <row r="373" ht="15" customHeight="1">
      <c r="A373" t="inlineStr">
        <is>
          <t>A 53843-2023</t>
        </is>
      </c>
      <c r="B373" s="1" t="n">
        <v>45230</v>
      </c>
      <c r="C373" s="1" t="n">
        <v>46063</v>
      </c>
      <c r="D373" t="inlineStr">
        <is>
          <t>SÖDERMANLANDS LÄN</t>
        </is>
      </c>
      <c r="E373" t="inlineStr">
        <is>
          <t>KATRINEHOLM</t>
        </is>
      </c>
      <c r="G373" t="n">
        <v>14.2</v>
      </c>
      <c r="H373" t="n">
        <v>0</v>
      </c>
      <c r="I373" t="n">
        <v>0</v>
      </c>
      <c r="J373" t="n">
        <v>0</v>
      </c>
      <c r="K373" t="n">
        <v>0</v>
      </c>
      <c r="L373" t="n">
        <v>0</v>
      </c>
      <c r="M373" t="n">
        <v>0</v>
      </c>
      <c r="N373" t="n">
        <v>0</v>
      </c>
      <c r="O373" t="n">
        <v>0</v>
      </c>
      <c r="P373" t="n">
        <v>0</v>
      </c>
      <c r="Q373" t="n">
        <v>0</v>
      </c>
      <c r="R373" s="2" t="inlineStr"/>
    </row>
    <row r="374" ht="15" customHeight="1">
      <c r="A374" t="inlineStr">
        <is>
          <t>A 48763-2024</t>
        </is>
      </c>
      <c r="B374" s="1" t="n">
        <v>45593.60288194445</v>
      </c>
      <c r="C374" s="1" t="n">
        <v>46063</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14478-2023</t>
        </is>
      </c>
      <c r="B375" s="1" t="n">
        <v>45012.66421296296</v>
      </c>
      <c r="C375" s="1" t="n">
        <v>46063</v>
      </c>
      <c r="D375" t="inlineStr">
        <is>
          <t>SÖDERMANLANDS LÄN</t>
        </is>
      </c>
      <c r="E375" t="inlineStr">
        <is>
          <t>KATRINEHOLM</t>
        </is>
      </c>
      <c r="G375" t="n">
        <v>3.9</v>
      </c>
      <c r="H375" t="n">
        <v>0</v>
      </c>
      <c r="I375" t="n">
        <v>0</v>
      </c>
      <c r="J375" t="n">
        <v>0</v>
      </c>
      <c r="K375" t="n">
        <v>0</v>
      </c>
      <c r="L375" t="n">
        <v>0</v>
      </c>
      <c r="M375" t="n">
        <v>0</v>
      </c>
      <c r="N375" t="n">
        <v>0</v>
      </c>
      <c r="O375" t="n">
        <v>0</v>
      </c>
      <c r="P375" t="n">
        <v>0</v>
      </c>
      <c r="Q375" t="n">
        <v>0</v>
      </c>
      <c r="R375" s="2" t="inlineStr"/>
    </row>
    <row r="376" ht="15" customHeight="1">
      <c r="A376" t="inlineStr">
        <is>
          <t>A 20921-2023</t>
        </is>
      </c>
      <c r="B376" s="1" t="n">
        <v>45061</v>
      </c>
      <c r="C376" s="1" t="n">
        <v>46063</v>
      </c>
      <c r="D376" t="inlineStr">
        <is>
          <t>SÖDERMANLANDS LÄN</t>
        </is>
      </c>
      <c r="E376" t="inlineStr">
        <is>
          <t>KATRINEHOLM</t>
        </is>
      </c>
      <c r="G376" t="n">
        <v>8.9</v>
      </c>
      <c r="H376" t="n">
        <v>0</v>
      </c>
      <c r="I376" t="n">
        <v>0</v>
      </c>
      <c r="J376" t="n">
        <v>0</v>
      </c>
      <c r="K376" t="n">
        <v>0</v>
      </c>
      <c r="L376" t="n">
        <v>0</v>
      </c>
      <c r="M376" t="n">
        <v>0</v>
      </c>
      <c r="N376" t="n">
        <v>0</v>
      </c>
      <c r="O376" t="n">
        <v>0</v>
      </c>
      <c r="P376" t="n">
        <v>0</v>
      </c>
      <c r="Q376" t="n">
        <v>0</v>
      </c>
      <c r="R376" s="2" t="inlineStr"/>
    </row>
    <row r="377" ht="15" customHeight="1">
      <c r="A377" t="inlineStr">
        <is>
          <t>A 12930-2023</t>
        </is>
      </c>
      <c r="B377" s="1" t="n">
        <v>45001</v>
      </c>
      <c r="C377" s="1" t="n">
        <v>46063</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12938-2023</t>
        </is>
      </c>
      <c r="B378" s="1" t="n">
        <v>45001</v>
      </c>
      <c r="C378" s="1" t="n">
        <v>46063</v>
      </c>
      <c r="D378" t="inlineStr">
        <is>
          <t>SÖDERMANLANDS LÄN</t>
        </is>
      </c>
      <c r="E378" t="inlineStr">
        <is>
          <t>KATRINEHOLM</t>
        </is>
      </c>
      <c r="G378" t="n">
        <v>0.4</v>
      </c>
      <c r="H378" t="n">
        <v>0</v>
      </c>
      <c r="I378" t="n">
        <v>0</v>
      </c>
      <c r="J378" t="n">
        <v>0</v>
      </c>
      <c r="K378" t="n">
        <v>0</v>
      </c>
      <c r="L378" t="n">
        <v>0</v>
      </c>
      <c r="M378" t="n">
        <v>0</v>
      </c>
      <c r="N378" t="n">
        <v>0</v>
      </c>
      <c r="O378" t="n">
        <v>0</v>
      </c>
      <c r="P378" t="n">
        <v>0</v>
      </c>
      <c r="Q378" t="n">
        <v>0</v>
      </c>
      <c r="R378" s="2" t="inlineStr"/>
    </row>
    <row r="379" ht="15" customHeight="1">
      <c r="A379" t="inlineStr">
        <is>
          <t>A 12559-2023</t>
        </is>
      </c>
      <c r="B379" s="1" t="n">
        <v>45000.36373842593</v>
      </c>
      <c r="C379" s="1" t="n">
        <v>46063</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7704-2023</t>
        </is>
      </c>
      <c r="B380" s="1" t="n">
        <v>44968</v>
      </c>
      <c r="C380" s="1" t="n">
        <v>46063</v>
      </c>
      <c r="D380" t="inlineStr">
        <is>
          <t>SÖDERMANLANDS LÄN</t>
        </is>
      </c>
      <c r="E380" t="inlineStr">
        <is>
          <t>KATRINEHOLM</t>
        </is>
      </c>
      <c r="G380" t="n">
        <v>7.3</v>
      </c>
      <c r="H380" t="n">
        <v>0</v>
      </c>
      <c r="I380" t="n">
        <v>0</v>
      </c>
      <c r="J380" t="n">
        <v>0</v>
      </c>
      <c r="K380" t="n">
        <v>0</v>
      </c>
      <c r="L380" t="n">
        <v>0</v>
      </c>
      <c r="M380" t="n">
        <v>0</v>
      </c>
      <c r="N380" t="n">
        <v>0</v>
      </c>
      <c r="O380" t="n">
        <v>0</v>
      </c>
      <c r="P380" t="n">
        <v>0</v>
      </c>
      <c r="Q380" t="n">
        <v>0</v>
      </c>
      <c r="R380" s="2" t="inlineStr"/>
    </row>
    <row r="381" ht="15" customHeight="1">
      <c r="A381" t="inlineStr">
        <is>
          <t>A 49122-2024</t>
        </is>
      </c>
      <c r="B381" s="1" t="n">
        <v>45594</v>
      </c>
      <c r="C381" s="1" t="n">
        <v>46063</v>
      </c>
      <c r="D381" t="inlineStr">
        <is>
          <t>SÖDERMANLANDS LÄN</t>
        </is>
      </c>
      <c r="E381" t="inlineStr">
        <is>
          <t>KATRINEHOLM</t>
        </is>
      </c>
      <c r="G381" t="n">
        <v>19.4</v>
      </c>
      <c r="H381" t="n">
        <v>0</v>
      </c>
      <c r="I381" t="n">
        <v>0</v>
      </c>
      <c r="J381" t="n">
        <v>0</v>
      </c>
      <c r="K381" t="n">
        <v>0</v>
      </c>
      <c r="L381" t="n">
        <v>0</v>
      </c>
      <c r="M381" t="n">
        <v>0</v>
      </c>
      <c r="N381" t="n">
        <v>0</v>
      </c>
      <c r="O381" t="n">
        <v>0</v>
      </c>
      <c r="P381" t="n">
        <v>0</v>
      </c>
      <c r="Q381" t="n">
        <v>0</v>
      </c>
      <c r="R381" s="2" t="inlineStr"/>
    </row>
    <row r="382" ht="15" customHeight="1">
      <c r="A382" t="inlineStr">
        <is>
          <t>A 12937-2023</t>
        </is>
      </c>
      <c r="B382" s="1" t="n">
        <v>45001</v>
      </c>
      <c r="C382" s="1" t="n">
        <v>46063</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34176-2025</t>
        </is>
      </c>
      <c r="B383" s="1" t="n">
        <v>45845</v>
      </c>
      <c r="C383" s="1" t="n">
        <v>46063</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11127-2023</t>
        </is>
      </c>
      <c r="B384" s="1" t="n">
        <v>44987</v>
      </c>
      <c r="C384" s="1" t="n">
        <v>46063</v>
      </c>
      <c r="D384" t="inlineStr">
        <is>
          <t>SÖDERMANLANDS LÄN</t>
        </is>
      </c>
      <c r="E384" t="inlineStr">
        <is>
          <t>KATRINEHOLM</t>
        </is>
      </c>
      <c r="G384" t="n">
        <v>4.3</v>
      </c>
      <c r="H384" t="n">
        <v>0</v>
      </c>
      <c r="I384" t="n">
        <v>0</v>
      </c>
      <c r="J384" t="n">
        <v>0</v>
      </c>
      <c r="K384" t="n">
        <v>0</v>
      </c>
      <c r="L384" t="n">
        <v>0</v>
      </c>
      <c r="M384" t="n">
        <v>0</v>
      </c>
      <c r="N384" t="n">
        <v>0</v>
      </c>
      <c r="O384" t="n">
        <v>0</v>
      </c>
      <c r="P384" t="n">
        <v>0</v>
      </c>
      <c r="Q384" t="n">
        <v>0</v>
      </c>
      <c r="R384" s="2" t="inlineStr"/>
    </row>
    <row r="385" ht="15" customHeight="1">
      <c r="A385" t="inlineStr">
        <is>
          <t>A 27345-2023</t>
        </is>
      </c>
      <c r="B385" s="1" t="n">
        <v>45096</v>
      </c>
      <c r="C385" s="1" t="n">
        <v>46063</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1151-2025</t>
        </is>
      </c>
      <c r="B386" s="1" t="n">
        <v>45666</v>
      </c>
      <c r="C386" s="1" t="n">
        <v>46063</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42686-2025</t>
        </is>
      </c>
      <c r="B387" s="1" t="n">
        <v>45908.35550925926</v>
      </c>
      <c r="C387" s="1" t="n">
        <v>46063</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44024-2021</t>
        </is>
      </c>
      <c r="B388" s="1" t="n">
        <v>44434</v>
      </c>
      <c r="C388" s="1" t="n">
        <v>46063</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42799-2025</t>
        </is>
      </c>
      <c r="B389" s="1" t="n">
        <v>45907</v>
      </c>
      <c r="C389" s="1" t="n">
        <v>46063</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6808-2023</t>
        </is>
      </c>
      <c r="B390" s="1" t="n">
        <v>44964</v>
      </c>
      <c r="C390" s="1" t="n">
        <v>46063</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42474-2025</t>
        </is>
      </c>
      <c r="B391" s="1" t="n">
        <v>45905.46659722222</v>
      </c>
      <c r="C391" s="1" t="n">
        <v>46063</v>
      </c>
      <c r="D391" t="inlineStr">
        <is>
          <t>SÖDERMANLANDS LÄN</t>
        </is>
      </c>
      <c r="E391" t="inlineStr">
        <is>
          <t>KATRINEHOLM</t>
        </is>
      </c>
      <c r="G391" t="n">
        <v>4</v>
      </c>
      <c r="H391" t="n">
        <v>0</v>
      </c>
      <c r="I391" t="n">
        <v>0</v>
      </c>
      <c r="J391" t="n">
        <v>0</v>
      </c>
      <c r="K391" t="n">
        <v>0</v>
      </c>
      <c r="L391" t="n">
        <v>0</v>
      </c>
      <c r="M391" t="n">
        <v>0</v>
      </c>
      <c r="N391" t="n">
        <v>0</v>
      </c>
      <c r="O391" t="n">
        <v>0</v>
      </c>
      <c r="P391" t="n">
        <v>0</v>
      </c>
      <c r="Q391" t="n">
        <v>0</v>
      </c>
      <c r="R391" s="2" t="inlineStr"/>
    </row>
    <row r="392" ht="15" customHeight="1">
      <c r="A392" t="inlineStr">
        <is>
          <t>A 61394-2024</t>
        </is>
      </c>
      <c r="B392" s="1" t="n">
        <v>45646.42061342593</v>
      </c>
      <c r="C392" s="1" t="n">
        <v>46063</v>
      </c>
      <c r="D392" t="inlineStr">
        <is>
          <t>SÖDERMANLANDS LÄN</t>
        </is>
      </c>
      <c r="E392" t="inlineStr">
        <is>
          <t>KATRINEHOLM</t>
        </is>
      </c>
      <c r="G392" t="n">
        <v>1.6</v>
      </c>
      <c r="H392" t="n">
        <v>0</v>
      </c>
      <c r="I392" t="n">
        <v>0</v>
      </c>
      <c r="J392" t="n">
        <v>0</v>
      </c>
      <c r="K392" t="n">
        <v>0</v>
      </c>
      <c r="L392" t="n">
        <v>0</v>
      </c>
      <c r="M392" t="n">
        <v>0</v>
      </c>
      <c r="N392" t="n">
        <v>0</v>
      </c>
      <c r="O392" t="n">
        <v>0</v>
      </c>
      <c r="P392" t="n">
        <v>0</v>
      </c>
      <c r="Q392" t="n">
        <v>0</v>
      </c>
      <c r="R392" s="2" t="inlineStr"/>
    </row>
    <row r="393" ht="15" customHeight="1">
      <c r="A393" t="inlineStr">
        <is>
          <t>A 36590-2025</t>
        </is>
      </c>
      <c r="B393" s="1" t="n">
        <v>45870</v>
      </c>
      <c r="C393" s="1" t="n">
        <v>46063</v>
      </c>
      <c r="D393" t="inlineStr">
        <is>
          <t>SÖDERMANLANDS LÄN</t>
        </is>
      </c>
      <c r="E393" t="inlineStr">
        <is>
          <t>KATRINEHOLM</t>
        </is>
      </c>
      <c r="G393" t="n">
        <v>2</v>
      </c>
      <c r="H393" t="n">
        <v>0</v>
      </c>
      <c r="I393" t="n">
        <v>0</v>
      </c>
      <c r="J393" t="n">
        <v>0</v>
      </c>
      <c r="K393" t="n">
        <v>0</v>
      </c>
      <c r="L393" t="n">
        <v>0</v>
      </c>
      <c r="M393" t="n">
        <v>0</v>
      </c>
      <c r="N393" t="n">
        <v>0</v>
      </c>
      <c r="O393" t="n">
        <v>0</v>
      </c>
      <c r="P393" t="n">
        <v>0</v>
      </c>
      <c r="Q393" t="n">
        <v>0</v>
      </c>
      <c r="R393" s="2" t="inlineStr"/>
    </row>
    <row r="394" ht="15" customHeight="1">
      <c r="A394" t="inlineStr">
        <is>
          <t>A 26684-2025</t>
        </is>
      </c>
      <c r="B394" s="1" t="n">
        <v>45810</v>
      </c>
      <c r="C394" s="1" t="n">
        <v>46063</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row>
    <row r="395" ht="15" customHeight="1">
      <c r="A395" t="inlineStr">
        <is>
          <t>A 18339-2023</t>
        </is>
      </c>
      <c r="B395" s="1" t="n">
        <v>45041</v>
      </c>
      <c r="C395" s="1" t="n">
        <v>46063</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12227-2025</t>
        </is>
      </c>
      <c r="B396" s="1" t="n">
        <v>45729.56836805555</v>
      </c>
      <c r="C396" s="1" t="n">
        <v>46063</v>
      </c>
      <c r="D396" t="inlineStr">
        <is>
          <t>SÖDERMANLANDS LÄN</t>
        </is>
      </c>
      <c r="E396" t="inlineStr">
        <is>
          <t>KATRINEHOLM</t>
        </is>
      </c>
      <c r="G396" t="n">
        <v>7</v>
      </c>
      <c r="H396" t="n">
        <v>0</v>
      </c>
      <c r="I396" t="n">
        <v>0</v>
      </c>
      <c r="J396" t="n">
        <v>0</v>
      </c>
      <c r="K396" t="n">
        <v>0</v>
      </c>
      <c r="L396" t="n">
        <v>0</v>
      </c>
      <c r="M396" t="n">
        <v>0</v>
      </c>
      <c r="N396" t="n">
        <v>0</v>
      </c>
      <c r="O396" t="n">
        <v>0</v>
      </c>
      <c r="P396" t="n">
        <v>0</v>
      </c>
      <c r="Q396" t="n">
        <v>0</v>
      </c>
      <c r="R396" s="2" t="inlineStr"/>
    </row>
    <row r="397" ht="15" customHeight="1">
      <c r="A397" t="inlineStr">
        <is>
          <t>A 58522-2024</t>
        </is>
      </c>
      <c r="B397" s="1" t="n">
        <v>45635.43770833333</v>
      </c>
      <c r="C397" s="1" t="n">
        <v>46063</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47889-2023</t>
        </is>
      </c>
      <c r="B398" s="1" t="n">
        <v>45204</v>
      </c>
      <c r="C398" s="1" t="n">
        <v>46063</v>
      </c>
      <c r="D398" t="inlineStr">
        <is>
          <t>SÖDERMANLANDS LÄN</t>
        </is>
      </c>
      <c r="E398" t="inlineStr">
        <is>
          <t>KATRINEHOLM</t>
        </is>
      </c>
      <c r="G398" t="n">
        <v>2.1</v>
      </c>
      <c r="H398" t="n">
        <v>0</v>
      </c>
      <c r="I398" t="n">
        <v>0</v>
      </c>
      <c r="J398" t="n">
        <v>0</v>
      </c>
      <c r="K398" t="n">
        <v>0</v>
      </c>
      <c r="L398" t="n">
        <v>0</v>
      </c>
      <c r="M398" t="n">
        <v>0</v>
      </c>
      <c r="N398" t="n">
        <v>0</v>
      </c>
      <c r="O398" t="n">
        <v>0</v>
      </c>
      <c r="P398" t="n">
        <v>0</v>
      </c>
      <c r="Q398" t="n">
        <v>0</v>
      </c>
      <c r="R398" s="2" t="inlineStr"/>
    </row>
    <row r="399" ht="15" customHeight="1">
      <c r="A399" t="inlineStr">
        <is>
          <t>A 34732-2022</t>
        </is>
      </c>
      <c r="B399" s="1" t="n">
        <v>44795</v>
      </c>
      <c r="C399" s="1" t="n">
        <v>46063</v>
      </c>
      <c r="D399" t="inlineStr">
        <is>
          <t>SÖDERMANLANDS LÄN</t>
        </is>
      </c>
      <c r="E399" t="inlineStr">
        <is>
          <t>KATRINEHOLM</t>
        </is>
      </c>
      <c r="G399" t="n">
        <v>3</v>
      </c>
      <c r="H399" t="n">
        <v>0</v>
      </c>
      <c r="I399" t="n">
        <v>0</v>
      </c>
      <c r="J399" t="n">
        <v>0</v>
      </c>
      <c r="K399" t="n">
        <v>0</v>
      </c>
      <c r="L399" t="n">
        <v>0</v>
      </c>
      <c r="M399" t="n">
        <v>0</v>
      </c>
      <c r="N399" t="n">
        <v>0</v>
      </c>
      <c r="O399" t="n">
        <v>0</v>
      </c>
      <c r="P399" t="n">
        <v>0</v>
      </c>
      <c r="Q399" t="n">
        <v>0</v>
      </c>
      <c r="R399" s="2" t="inlineStr"/>
    </row>
    <row r="400" ht="15" customHeight="1">
      <c r="A400" t="inlineStr">
        <is>
          <t>A 50021-2023</t>
        </is>
      </c>
      <c r="B400" s="1" t="n">
        <v>45215</v>
      </c>
      <c r="C400" s="1" t="n">
        <v>46063</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44071-2025</t>
        </is>
      </c>
      <c r="B401" s="1" t="n">
        <v>45915</v>
      </c>
      <c r="C401" s="1" t="n">
        <v>46063</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37043-2025</t>
        </is>
      </c>
      <c r="B402" s="1" t="n">
        <v>45875.3396412037</v>
      </c>
      <c r="C402" s="1" t="n">
        <v>46063</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43975-2025</t>
        </is>
      </c>
      <c r="B403" s="1" t="n">
        <v>45915.41148148148</v>
      </c>
      <c r="C403" s="1" t="n">
        <v>46063</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32166-2022</t>
        </is>
      </c>
      <c r="B404" s="1" t="n">
        <v>44781</v>
      </c>
      <c r="C404" s="1" t="n">
        <v>46063</v>
      </c>
      <c r="D404" t="inlineStr">
        <is>
          <t>SÖDERMANLANDS LÄN</t>
        </is>
      </c>
      <c r="E404" t="inlineStr">
        <is>
          <t>KATRINEHOLM</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32169-2022</t>
        </is>
      </c>
      <c r="B405" s="1" t="n">
        <v>44781</v>
      </c>
      <c r="C405" s="1" t="n">
        <v>46063</v>
      </c>
      <c r="D405" t="inlineStr">
        <is>
          <t>SÖDERMANLANDS LÄN</t>
        </is>
      </c>
      <c r="E405" t="inlineStr">
        <is>
          <t>KATRINEHOLM</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35864-2023</t>
        </is>
      </c>
      <c r="B406" s="1" t="n">
        <v>45147</v>
      </c>
      <c r="C406" s="1" t="n">
        <v>46063</v>
      </c>
      <c r="D406" t="inlineStr">
        <is>
          <t>SÖDERMANLANDS LÄN</t>
        </is>
      </c>
      <c r="E406" t="inlineStr">
        <is>
          <t>KATRINEHOLM</t>
        </is>
      </c>
      <c r="F406" t="inlineStr">
        <is>
          <t>Övriga Aktiebolag</t>
        </is>
      </c>
      <c r="G406" t="n">
        <v>4.7</v>
      </c>
      <c r="H406" t="n">
        <v>0</v>
      </c>
      <c r="I406" t="n">
        <v>0</v>
      </c>
      <c r="J406" t="n">
        <v>0</v>
      </c>
      <c r="K406" t="n">
        <v>0</v>
      </c>
      <c r="L406" t="n">
        <v>0</v>
      </c>
      <c r="M406" t="n">
        <v>0</v>
      </c>
      <c r="N406" t="n">
        <v>0</v>
      </c>
      <c r="O406" t="n">
        <v>0</v>
      </c>
      <c r="P406" t="n">
        <v>0</v>
      </c>
      <c r="Q406" t="n">
        <v>0</v>
      </c>
      <c r="R406" s="2" t="inlineStr"/>
    </row>
    <row r="407" ht="15" customHeight="1">
      <c r="A407" t="inlineStr">
        <is>
          <t>A 44637-2023</t>
        </is>
      </c>
      <c r="B407" s="1" t="n">
        <v>45189</v>
      </c>
      <c r="C407" s="1" t="n">
        <v>46063</v>
      </c>
      <c r="D407" t="inlineStr">
        <is>
          <t>SÖDERMANLANDS LÄN</t>
        </is>
      </c>
      <c r="E407" t="inlineStr">
        <is>
          <t>KATRINEHOLM</t>
        </is>
      </c>
      <c r="G407" t="n">
        <v>5.1</v>
      </c>
      <c r="H407" t="n">
        <v>0</v>
      </c>
      <c r="I407" t="n">
        <v>0</v>
      </c>
      <c r="J407" t="n">
        <v>0</v>
      </c>
      <c r="K407" t="n">
        <v>0</v>
      </c>
      <c r="L407" t="n">
        <v>0</v>
      </c>
      <c r="M407" t="n">
        <v>0</v>
      </c>
      <c r="N407" t="n">
        <v>0</v>
      </c>
      <c r="O407" t="n">
        <v>0</v>
      </c>
      <c r="P407" t="n">
        <v>0</v>
      </c>
      <c r="Q407" t="n">
        <v>0</v>
      </c>
      <c r="R407" s="2" t="inlineStr"/>
    </row>
    <row r="408" ht="15" customHeight="1">
      <c r="A408" t="inlineStr">
        <is>
          <t>A 11543-2025</t>
        </is>
      </c>
      <c r="B408" s="1" t="n">
        <v>45727.34248842593</v>
      </c>
      <c r="C408" s="1" t="n">
        <v>46063</v>
      </c>
      <c r="D408" t="inlineStr">
        <is>
          <t>SÖDERMANLANDS LÄN</t>
        </is>
      </c>
      <c r="E408" t="inlineStr">
        <is>
          <t>KATRINEHOLM</t>
        </is>
      </c>
      <c r="G408" t="n">
        <v>3.6</v>
      </c>
      <c r="H408" t="n">
        <v>0</v>
      </c>
      <c r="I408" t="n">
        <v>0</v>
      </c>
      <c r="J408" t="n">
        <v>0</v>
      </c>
      <c r="K408" t="n">
        <v>0</v>
      </c>
      <c r="L408" t="n">
        <v>0</v>
      </c>
      <c r="M408" t="n">
        <v>0</v>
      </c>
      <c r="N408" t="n">
        <v>0</v>
      </c>
      <c r="O408" t="n">
        <v>0</v>
      </c>
      <c r="P408" t="n">
        <v>0</v>
      </c>
      <c r="Q408" t="n">
        <v>0</v>
      </c>
      <c r="R408" s="2" t="inlineStr"/>
    </row>
    <row r="409" ht="15" customHeight="1">
      <c r="A409" t="inlineStr">
        <is>
          <t>A 37827-2025</t>
        </is>
      </c>
      <c r="B409" s="1" t="n">
        <v>45881.40907407407</v>
      </c>
      <c r="C409" s="1" t="n">
        <v>46063</v>
      </c>
      <c r="D409" t="inlineStr">
        <is>
          <t>SÖDERMANLANDS LÄN</t>
        </is>
      </c>
      <c r="E409" t="inlineStr">
        <is>
          <t>KATRINEHOLM</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39055-2022</t>
        </is>
      </c>
      <c r="B410" s="1" t="n">
        <v>44817</v>
      </c>
      <c r="C410" s="1" t="n">
        <v>46063</v>
      </c>
      <c r="D410" t="inlineStr">
        <is>
          <t>SÖDERMANLANDS LÄN</t>
        </is>
      </c>
      <c r="E410" t="inlineStr">
        <is>
          <t>KATRINEHOLM</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46257-2021</t>
        </is>
      </c>
      <c r="B411" s="1" t="n">
        <v>44442</v>
      </c>
      <c r="C411" s="1" t="n">
        <v>46063</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52769-2023</t>
        </is>
      </c>
      <c r="B412" s="1" t="n">
        <v>45226</v>
      </c>
      <c r="C412" s="1" t="n">
        <v>46063</v>
      </c>
      <c r="D412" t="inlineStr">
        <is>
          <t>SÖDERMANLANDS LÄN</t>
        </is>
      </c>
      <c r="E412" t="inlineStr">
        <is>
          <t>KATRINEHOLM</t>
        </is>
      </c>
      <c r="G412" t="n">
        <v>0.5</v>
      </c>
      <c r="H412" t="n">
        <v>0</v>
      </c>
      <c r="I412" t="n">
        <v>0</v>
      </c>
      <c r="J412" t="n">
        <v>0</v>
      </c>
      <c r="K412" t="n">
        <v>0</v>
      </c>
      <c r="L412" t="n">
        <v>0</v>
      </c>
      <c r="M412" t="n">
        <v>0</v>
      </c>
      <c r="N412" t="n">
        <v>0</v>
      </c>
      <c r="O412" t="n">
        <v>0</v>
      </c>
      <c r="P412" t="n">
        <v>0</v>
      </c>
      <c r="Q412" t="n">
        <v>0</v>
      </c>
      <c r="R412" s="2" t="inlineStr"/>
    </row>
    <row r="413" ht="15" customHeight="1">
      <c r="A413" t="inlineStr">
        <is>
          <t>A 4758-2025</t>
        </is>
      </c>
      <c r="B413" s="1" t="n">
        <v>45688</v>
      </c>
      <c r="C413" s="1" t="n">
        <v>46063</v>
      </c>
      <c r="D413" t="inlineStr">
        <is>
          <t>SÖDERMANLANDS LÄN</t>
        </is>
      </c>
      <c r="E413" t="inlineStr">
        <is>
          <t>KATRINEHOLM</t>
        </is>
      </c>
      <c r="G413" t="n">
        <v>2.3</v>
      </c>
      <c r="H413" t="n">
        <v>0</v>
      </c>
      <c r="I413" t="n">
        <v>0</v>
      </c>
      <c r="J413" t="n">
        <v>0</v>
      </c>
      <c r="K413" t="n">
        <v>0</v>
      </c>
      <c r="L413" t="n">
        <v>0</v>
      </c>
      <c r="M413" t="n">
        <v>0</v>
      </c>
      <c r="N413" t="n">
        <v>0</v>
      </c>
      <c r="O413" t="n">
        <v>0</v>
      </c>
      <c r="P413" t="n">
        <v>0</v>
      </c>
      <c r="Q413" t="n">
        <v>0</v>
      </c>
      <c r="R413" s="2" t="inlineStr"/>
    </row>
    <row r="414" ht="15" customHeight="1">
      <c r="A414" t="inlineStr">
        <is>
          <t>A 27852-2023</t>
        </is>
      </c>
      <c r="B414" s="1" t="n">
        <v>45098</v>
      </c>
      <c r="C414" s="1" t="n">
        <v>46063</v>
      </c>
      <c r="D414" t="inlineStr">
        <is>
          <t>SÖDERMANLANDS LÄN</t>
        </is>
      </c>
      <c r="E414" t="inlineStr">
        <is>
          <t>KATRINEHOLM</t>
        </is>
      </c>
      <c r="G414" t="n">
        <v>7.4</v>
      </c>
      <c r="H414" t="n">
        <v>0</v>
      </c>
      <c r="I414" t="n">
        <v>0</v>
      </c>
      <c r="J414" t="n">
        <v>0</v>
      </c>
      <c r="K414" t="n">
        <v>0</v>
      </c>
      <c r="L414" t="n">
        <v>0</v>
      </c>
      <c r="M414" t="n">
        <v>0</v>
      </c>
      <c r="N414" t="n">
        <v>0</v>
      </c>
      <c r="O414" t="n">
        <v>0</v>
      </c>
      <c r="P414" t="n">
        <v>0</v>
      </c>
      <c r="Q414" t="n">
        <v>0</v>
      </c>
      <c r="R414" s="2" t="inlineStr"/>
    </row>
    <row r="415" ht="15" customHeight="1">
      <c r="A415" t="inlineStr">
        <is>
          <t>A 28304-2024</t>
        </is>
      </c>
      <c r="B415" s="1" t="n">
        <v>45477</v>
      </c>
      <c r="C415" s="1" t="n">
        <v>46063</v>
      </c>
      <c r="D415" t="inlineStr">
        <is>
          <t>SÖDERMANLANDS LÄN</t>
        </is>
      </c>
      <c r="E415" t="inlineStr">
        <is>
          <t>KATRINEHOLM</t>
        </is>
      </c>
      <c r="G415" t="n">
        <v>3.8</v>
      </c>
      <c r="H415" t="n">
        <v>0</v>
      </c>
      <c r="I415" t="n">
        <v>0</v>
      </c>
      <c r="J415" t="n">
        <v>0</v>
      </c>
      <c r="K415" t="n">
        <v>0</v>
      </c>
      <c r="L415" t="n">
        <v>0</v>
      </c>
      <c r="M415" t="n">
        <v>0</v>
      </c>
      <c r="N415" t="n">
        <v>0</v>
      </c>
      <c r="O415" t="n">
        <v>0</v>
      </c>
      <c r="P415" t="n">
        <v>0</v>
      </c>
      <c r="Q415" t="n">
        <v>0</v>
      </c>
      <c r="R415" s="2" t="inlineStr"/>
    </row>
    <row r="416" ht="15" customHeight="1">
      <c r="A416" t="inlineStr">
        <is>
          <t>A 61911-2021</t>
        </is>
      </c>
      <c r="B416" s="1" t="n">
        <v>44502.35746527778</v>
      </c>
      <c r="C416" s="1" t="n">
        <v>46063</v>
      </c>
      <c r="D416" t="inlineStr">
        <is>
          <t>SÖDERMANLANDS LÄN</t>
        </is>
      </c>
      <c r="E416" t="inlineStr">
        <is>
          <t>KATRINEHOLM</t>
        </is>
      </c>
      <c r="G416" t="n">
        <v>3.8</v>
      </c>
      <c r="H416" t="n">
        <v>0</v>
      </c>
      <c r="I416" t="n">
        <v>0</v>
      </c>
      <c r="J416" t="n">
        <v>0</v>
      </c>
      <c r="K416" t="n">
        <v>0</v>
      </c>
      <c r="L416" t="n">
        <v>0</v>
      </c>
      <c r="M416" t="n">
        <v>0</v>
      </c>
      <c r="N416" t="n">
        <v>0</v>
      </c>
      <c r="O416" t="n">
        <v>0</v>
      </c>
      <c r="P416" t="n">
        <v>0</v>
      </c>
      <c r="Q416" t="n">
        <v>0</v>
      </c>
      <c r="R416" s="2" t="inlineStr"/>
    </row>
    <row r="417" ht="15" customHeight="1">
      <c r="A417" t="inlineStr">
        <is>
          <t>A 42945-2023</t>
        </is>
      </c>
      <c r="B417" s="1" t="n">
        <v>45182.5793287037</v>
      </c>
      <c r="C417" s="1" t="n">
        <v>46063</v>
      </c>
      <c r="D417" t="inlineStr">
        <is>
          <t>SÖDERMANLANDS LÄN</t>
        </is>
      </c>
      <c r="E417" t="inlineStr">
        <is>
          <t>KATRINEHOLM</t>
        </is>
      </c>
      <c r="F417" t="inlineStr">
        <is>
          <t>Övriga Aktiebolag</t>
        </is>
      </c>
      <c r="G417" t="n">
        <v>2.2</v>
      </c>
      <c r="H417" t="n">
        <v>0</v>
      </c>
      <c r="I417" t="n">
        <v>0</v>
      </c>
      <c r="J417" t="n">
        <v>0</v>
      </c>
      <c r="K417" t="n">
        <v>0</v>
      </c>
      <c r="L417" t="n">
        <v>0</v>
      </c>
      <c r="M417" t="n">
        <v>0</v>
      </c>
      <c r="N417" t="n">
        <v>0</v>
      </c>
      <c r="O417" t="n">
        <v>0</v>
      </c>
      <c r="P417" t="n">
        <v>0</v>
      </c>
      <c r="Q417" t="n">
        <v>0</v>
      </c>
      <c r="R417" s="2" t="inlineStr"/>
    </row>
    <row r="418" ht="15" customHeight="1">
      <c r="A418" t="inlineStr">
        <is>
          <t>A 42962-2023</t>
        </is>
      </c>
      <c r="B418" s="1" t="n">
        <v>45182</v>
      </c>
      <c r="C418" s="1" t="n">
        <v>46063</v>
      </c>
      <c r="D418" t="inlineStr">
        <is>
          <t>SÖDERMANLANDS LÄN</t>
        </is>
      </c>
      <c r="E418" t="inlineStr">
        <is>
          <t>KATRINEHOLM</t>
        </is>
      </c>
      <c r="F418" t="inlineStr">
        <is>
          <t>Övriga Aktiebolag</t>
        </is>
      </c>
      <c r="G418" t="n">
        <v>10.6</v>
      </c>
      <c r="H418" t="n">
        <v>0</v>
      </c>
      <c r="I418" t="n">
        <v>0</v>
      </c>
      <c r="J418" t="n">
        <v>0</v>
      </c>
      <c r="K418" t="n">
        <v>0</v>
      </c>
      <c r="L418" t="n">
        <v>0</v>
      </c>
      <c r="M418" t="n">
        <v>0</v>
      </c>
      <c r="N418" t="n">
        <v>0</v>
      </c>
      <c r="O418" t="n">
        <v>0</v>
      </c>
      <c r="P418" t="n">
        <v>0</v>
      </c>
      <c r="Q418" t="n">
        <v>0</v>
      </c>
      <c r="R418" s="2" t="inlineStr"/>
    </row>
    <row r="419" ht="15" customHeight="1">
      <c r="A419" t="inlineStr">
        <is>
          <t>A 44915-2022</t>
        </is>
      </c>
      <c r="B419" s="1" t="n">
        <v>44840</v>
      </c>
      <c r="C419" s="1" t="n">
        <v>46063</v>
      </c>
      <c r="D419" t="inlineStr">
        <is>
          <t>SÖDERMANLANDS LÄN</t>
        </is>
      </c>
      <c r="E419" t="inlineStr">
        <is>
          <t>KATRINEHOLM</t>
        </is>
      </c>
      <c r="G419" t="n">
        <v>6.3</v>
      </c>
      <c r="H419" t="n">
        <v>0</v>
      </c>
      <c r="I419" t="n">
        <v>0</v>
      </c>
      <c r="J419" t="n">
        <v>0</v>
      </c>
      <c r="K419" t="n">
        <v>0</v>
      </c>
      <c r="L419" t="n">
        <v>0</v>
      </c>
      <c r="M419" t="n">
        <v>0</v>
      </c>
      <c r="N419" t="n">
        <v>0</v>
      </c>
      <c r="O419" t="n">
        <v>0</v>
      </c>
      <c r="P419" t="n">
        <v>0</v>
      </c>
      <c r="Q419" t="n">
        <v>0</v>
      </c>
      <c r="R419" s="2" t="inlineStr"/>
    </row>
    <row r="420" ht="15" customHeight="1">
      <c r="A420" t="inlineStr">
        <is>
          <t>A 46288-2025</t>
        </is>
      </c>
      <c r="B420" s="1" t="n">
        <v>45925.38545138889</v>
      </c>
      <c r="C420" s="1" t="n">
        <v>46063</v>
      </c>
      <c r="D420" t="inlineStr">
        <is>
          <t>SÖDERMANLANDS LÄN</t>
        </is>
      </c>
      <c r="E420" t="inlineStr">
        <is>
          <t>KATRINEHOLM</t>
        </is>
      </c>
      <c r="G420" t="n">
        <v>0.4</v>
      </c>
      <c r="H420" t="n">
        <v>0</v>
      </c>
      <c r="I420" t="n">
        <v>0</v>
      </c>
      <c r="J420" t="n">
        <v>0</v>
      </c>
      <c r="K420" t="n">
        <v>0</v>
      </c>
      <c r="L420" t="n">
        <v>0</v>
      </c>
      <c r="M420" t="n">
        <v>0</v>
      </c>
      <c r="N420" t="n">
        <v>0</v>
      </c>
      <c r="O420" t="n">
        <v>0</v>
      </c>
      <c r="P420" t="n">
        <v>0</v>
      </c>
      <c r="Q420" t="n">
        <v>0</v>
      </c>
      <c r="R420" s="2" t="inlineStr"/>
    </row>
    <row r="421" ht="15" customHeight="1">
      <c r="A421" t="inlineStr">
        <is>
          <t>A 48097-2023</t>
        </is>
      </c>
      <c r="B421" s="1" t="n">
        <v>45205.31987268518</v>
      </c>
      <c r="C421" s="1" t="n">
        <v>46063</v>
      </c>
      <c r="D421" t="inlineStr">
        <is>
          <t>SÖDERMANLANDS LÄN</t>
        </is>
      </c>
      <c r="E421" t="inlineStr">
        <is>
          <t>KATRINEHOLM</t>
        </is>
      </c>
      <c r="G421" t="n">
        <v>2.3</v>
      </c>
      <c r="H421" t="n">
        <v>0</v>
      </c>
      <c r="I421" t="n">
        <v>0</v>
      </c>
      <c r="J421" t="n">
        <v>0</v>
      </c>
      <c r="K421" t="n">
        <v>0</v>
      </c>
      <c r="L421" t="n">
        <v>0</v>
      </c>
      <c r="M421" t="n">
        <v>0</v>
      </c>
      <c r="N421" t="n">
        <v>0</v>
      </c>
      <c r="O421" t="n">
        <v>0</v>
      </c>
      <c r="P421" t="n">
        <v>0</v>
      </c>
      <c r="Q421" t="n">
        <v>0</v>
      </c>
      <c r="R421" s="2" t="inlineStr"/>
    </row>
    <row r="422" ht="15" customHeight="1">
      <c r="A422" t="inlineStr">
        <is>
          <t>A 46524-2025</t>
        </is>
      </c>
      <c r="B422" s="1" t="n">
        <v>45926</v>
      </c>
      <c r="C422" s="1" t="n">
        <v>46063</v>
      </c>
      <c r="D422" t="inlineStr">
        <is>
          <t>SÖDERMANLANDS LÄN</t>
        </is>
      </c>
      <c r="E422" t="inlineStr">
        <is>
          <t>KATRINEHOLM</t>
        </is>
      </c>
      <c r="G422" t="n">
        <v>5.7</v>
      </c>
      <c r="H422" t="n">
        <v>0</v>
      </c>
      <c r="I422" t="n">
        <v>0</v>
      </c>
      <c r="J422" t="n">
        <v>0</v>
      </c>
      <c r="K422" t="n">
        <v>0</v>
      </c>
      <c r="L422" t="n">
        <v>0</v>
      </c>
      <c r="M422" t="n">
        <v>0</v>
      </c>
      <c r="N422" t="n">
        <v>0</v>
      </c>
      <c r="O422" t="n">
        <v>0</v>
      </c>
      <c r="P422" t="n">
        <v>0</v>
      </c>
      <c r="Q422" t="n">
        <v>0</v>
      </c>
      <c r="R422" s="2" t="inlineStr"/>
    </row>
    <row r="423" ht="15" customHeight="1">
      <c r="A423" t="inlineStr">
        <is>
          <t>A 45793-2022</t>
        </is>
      </c>
      <c r="B423" s="1" t="n">
        <v>44844</v>
      </c>
      <c r="C423" s="1" t="n">
        <v>46063</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40393-2022</t>
        </is>
      </c>
      <c r="B424" s="1" t="n">
        <v>44823</v>
      </c>
      <c r="C424" s="1" t="n">
        <v>46063</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48685-2022</t>
        </is>
      </c>
      <c r="B425" s="1" t="n">
        <v>44859</v>
      </c>
      <c r="C425" s="1" t="n">
        <v>46063</v>
      </c>
      <c r="D425" t="inlineStr">
        <is>
          <t>SÖDERMANLANDS LÄN</t>
        </is>
      </c>
      <c r="E425" t="inlineStr">
        <is>
          <t>KATRINEHOLM</t>
        </is>
      </c>
      <c r="G425" t="n">
        <v>0.5</v>
      </c>
      <c r="H425" t="n">
        <v>0</v>
      </c>
      <c r="I425" t="n">
        <v>0</v>
      </c>
      <c r="J425" t="n">
        <v>0</v>
      </c>
      <c r="K425" t="n">
        <v>0</v>
      </c>
      <c r="L425" t="n">
        <v>0</v>
      </c>
      <c r="M425" t="n">
        <v>0</v>
      </c>
      <c r="N425" t="n">
        <v>0</v>
      </c>
      <c r="O425" t="n">
        <v>0</v>
      </c>
      <c r="P425" t="n">
        <v>0</v>
      </c>
      <c r="Q425" t="n">
        <v>0</v>
      </c>
      <c r="R425" s="2" t="inlineStr"/>
    </row>
    <row r="426" ht="15" customHeight="1">
      <c r="A426" t="inlineStr">
        <is>
          <t>A 36133-2021</t>
        </is>
      </c>
      <c r="B426" s="1" t="n">
        <v>44386</v>
      </c>
      <c r="C426" s="1" t="n">
        <v>46063</v>
      </c>
      <c r="D426" t="inlineStr">
        <is>
          <t>SÖDERMANLANDS LÄN</t>
        </is>
      </c>
      <c r="E426" t="inlineStr">
        <is>
          <t>KATRINEHOLM</t>
        </is>
      </c>
      <c r="F426" t="inlineStr">
        <is>
          <t>Övriga Aktiebolag</t>
        </is>
      </c>
      <c r="G426" t="n">
        <v>8.9</v>
      </c>
      <c r="H426" t="n">
        <v>0</v>
      </c>
      <c r="I426" t="n">
        <v>0</v>
      </c>
      <c r="J426" t="n">
        <v>0</v>
      </c>
      <c r="K426" t="n">
        <v>0</v>
      </c>
      <c r="L426" t="n">
        <v>0</v>
      </c>
      <c r="M426" t="n">
        <v>0</v>
      </c>
      <c r="N426" t="n">
        <v>0</v>
      </c>
      <c r="O426" t="n">
        <v>0</v>
      </c>
      <c r="P426" t="n">
        <v>0</v>
      </c>
      <c r="Q426" t="n">
        <v>0</v>
      </c>
      <c r="R426" s="2" t="inlineStr"/>
    </row>
    <row r="427" ht="15" customHeight="1">
      <c r="A427" t="inlineStr">
        <is>
          <t>A 49700-2022</t>
        </is>
      </c>
      <c r="B427" s="1" t="n">
        <v>44862</v>
      </c>
      <c r="C427" s="1" t="n">
        <v>46063</v>
      </c>
      <c r="D427" t="inlineStr">
        <is>
          <t>SÖDERMANLANDS LÄN</t>
        </is>
      </c>
      <c r="E427" t="inlineStr">
        <is>
          <t>KATRINEHOLM</t>
        </is>
      </c>
      <c r="G427" t="n">
        <v>19.5</v>
      </c>
      <c r="H427" t="n">
        <v>0</v>
      </c>
      <c r="I427" t="n">
        <v>0</v>
      </c>
      <c r="J427" t="n">
        <v>0</v>
      </c>
      <c r="K427" t="n">
        <v>0</v>
      </c>
      <c r="L427" t="n">
        <v>0</v>
      </c>
      <c r="M427" t="n">
        <v>0</v>
      </c>
      <c r="N427" t="n">
        <v>0</v>
      </c>
      <c r="O427" t="n">
        <v>0</v>
      </c>
      <c r="P427" t="n">
        <v>0</v>
      </c>
      <c r="Q427" t="n">
        <v>0</v>
      </c>
      <c r="R427" s="2" t="inlineStr"/>
    </row>
    <row r="428" ht="15" customHeight="1">
      <c r="A428" t="inlineStr">
        <is>
          <t>A 30276-2023</t>
        </is>
      </c>
      <c r="B428" s="1" t="n">
        <v>45110</v>
      </c>
      <c r="C428" s="1" t="n">
        <v>46063</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57265-2022</t>
        </is>
      </c>
      <c r="B429" s="1" t="n">
        <v>44895</v>
      </c>
      <c r="C429" s="1" t="n">
        <v>46063</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50316-2023</t>
        </is>
      </c>
      <c r="B430" s="1" t="n">
        <v>45209</v>
      </c>
      <c r="C430" s="1" t="n">
        <v>46063</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52857-2021</t>
        </is>
      </c>
      <c r="B431" s="1" t="n">
        <v>44466</v>
      </c>
      <c r="C431" s="1" t="n">
        <v>46063</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60160-2022</t>
        </is>
      </c>
      <c r="B432" s="1" t="n">
        <v>44909</v>
      </c>
      <c r="C432" s="1" t="n">
        <v>46063</v>
      </c>
      <c r="D432" t="inlineStr">
        <is>
          <t>SÖDERMANLANDS LÄN</t>
        </is>
      </c>
      <c r="E432" t="inlineStr">
        <is>
          <t>KATRINEHOLM</t>
        </is>
      </c>
      <c r="F432" t="inlineStr">
        <is>
          <t>Allmännings- och besparingsskogar</t>
        </is>
      </c>
      <c r="G432" t="n">
        <v>2</v>
      </c>
      <c r="H432" t="n">
        <v>0</v>
      </c>
      <c r="I432" t="n">
        <v>0</v>
      </c>
      <c r="J432" t="n">
        <v>0</v>
      </c>
      <c r="K432" t="n">
        <v>0</v>
      </c>
      <c r="L432" t="n">
        <v>0</v>
      </c>
      <c r="M432" t="n">
        <v>0</v>
      </c>
      <c r="N432" t="n">
        <v>0</v>
      </c>
      <c r="O432" t="n">
        <v>0</v>
      </c>
      <c r="P432" t="n">
        <v>0</v>
      </c>
      <c r="Q432" t="n">
        <v>0</v>
      </c>
      <c r="R432" s="2" t="inlineStr"/>
    </row>
    <row r="433" ht="15" customHeight="1">
      <c r="A433" t="inlineStr">
        <is>
          <t>A 19442-2023</t>
        </is>
      </c>
      <c r="B433" s="1" t="n">
        <v>45050</v>
      </c>
      <c r="C433" s="1" t="n">
        <v>46063</v>
      </c>
      <c r="D433" t="inlineStr">
        <is>
          <t>SÖDERMANLANDS LÄN</t>
        </is>
      </c>
      <c r="E433" t="inlineStr">
        <is>
          <t>KATRINEHOLM</t>
        </is>
      </c>
      <c r="F433" t="inlineStr">
        <is>
          <t>Holmen skog AB</t>
        </is>
      </c>
      <c r="G433" t="n">
        <v>0.7</v>
      </c>
      <c r="H433" t="n">
        <v>0</v>
      </c>
      <c r="I433" t="n">
        <v>0</v>
      </c>
      <c r="J433" t="n">
        <v>0</v>
      </c>
      <c r="K433" t="n">
        <v>0</v>
      </c>
      <c r="L433" t="n">
        <v>0</v>
      </c>
      <c r="M433" t="n">
        <v>0</v>
      </c>
      <c r="N433" t="n">
        <v>0</v>
      </c>
      <c r="O433" t="n">
        <v>0</v>
      </c>
      <c r="P433" t="n">
        <v>0</v>
      </c>
      <c r="Q433" t="n">
        <v>0</v>
      </c>
      <c r="R433" s="2" t="inlineStr"/>
    </row>
    <row r="434" ht="15" customHeight="1">
      <c r="A434" t="inlineStr">
        <is>
          <t>A 50840-2022</t>
        </is>
      </c>
      <c r="B434" s="1" t="n">
        <v>44862</v>
      </c>
      <c r="C434" s="1" t="n">
        <v>46063</v>
      </c>
      <c r="D434" t="inlineStr">
        <is>
          <t>SÖDERMANLANDS LÄN</t>
        </is>
      </c>
      <c r="E434" t="inlineStr">
        <is>
          <t>KATRINEHOLM</t>
        </is>
      </c>
      <c r="G434" t="n">
        <v>4.2</v>
      </c>
      <c r="H434" t="n">
        <v>0</v>
      </c>
      <c r="I434" t="n">
        <v>0</v>
      </c>
      <c r="J434" t="n">
        <v>0</v>
      </c>
      <c r="K434" t="n">
        <v>0</v>
      </c>
      <c r="L434" t="n">
        <v>0</v>
      </c>
      <c r="M434" t="n">
        <v>0</v>
      </c>
      <c r="N434" t="n">
        <v>0</v>
      </c>
      <c r="O434" t="n">
        <v>0</v>
      </c>
      <c r="P434" t="n">
        <v>0</v>
      </c>
      <c r="Q434" t="n">
        <v>0</v>
      </c>
      <c r="R434" s="2" t="inlineStr"/>
    </row>
    <row r="435" ht="15" customHeight="1">
      <c r="A435" t="inlineStr">
        <is>
          <t>A 3060-2022</t>
        </is>
      </c>
      <c r="B435" s="1" t="n">
        <v>44582.40109953703</v>
      </c>
      <c r="C435" s="1" t="n">
        <v>46063</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6611-2023</t>
        </is>
      </c>
      <c r="B436" s="1" t="n">
        <v>44963</v>
      </c>
      <c r="C436" s="1" t="n">
        <v>46063</v>
      </c>
      <c r="D436" t="inlineStr">
        <is>
          <t>SÖDERMANLANDS LÄN</t>
        </is>
      </c>
      <c r="E436" t="inlineStr">
        <is>
          <t>KATRINEHOLM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50804-2023</t>
        </is>
      </c>
      <c r="B437" s="1" t="n">
        <v>45211</v>
      </c>
      <c r="C437" s="1" t="n">
        <v>46063</v>
      </c>
      <c r="D437" t="inlineStr">
        <is>
          <t>SÖDERMANLANDS LÄN</t>
        </is>
      </c>
      <c r="E437" t="inlineStr">
        <is>
          <t>KATRINEHOLM</t>
        </is>
      </c>
      <c r="G437" t="n">
        <v>4</v>
      </c>
      <c r="H437" t="n">
        <v>0</v>
      </c>
      <c r="I437" t="n">
        <v>0</v>
      </c>
      <c r="J437" t="n">
        <v>0</v>
      </c>
      <c r="K437" t="n">
        <v>0</v>
      </c>
      <c r="L437" t="n">
        <v>0</v>
      </c>
      <c r="M437" t="n">
        <v>0</v>
      </c>
      <c r="N437" t="n">
        <v>0</v>
      </c>
      <c r="O437" t="n">
        <v>0</v>
      </c>
      <c r="P437" t="n">
        <v>0</v>
      </c>
      <c r="Q437" t="n">
        <v>0</v>
      </c>
      <c r="R437" s="2" t="inlineStr"/>
    </row>
    <row r="438" ht="15" customHeight="1">
      <c r="A438" t="inlineStr">
        <is>
          <t>A 20533-2023</t>
        </is>
      </c>
      <c r="B438" s="1" t="n">
        <v>45057</v>
      </c>
      <c r="C438" s="1" t="n">
        <v>46063</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c r="T438">
        <f>HYPERLINK("https://klasma.github.io/Logging_0483/kartor/A 20533-2023 karta.png", "A 20533-2023")</f>
        <v/>
      </c>
      <c r="V438">
        <f>HYPERLINK("https://klasma.github.io/Logging_0483/klagomål/A 20533-2023 FSC-klagomål.docx", "A 20533-2023")</f>
        <v/>
      </c>
      <c r="W438">
        <f>HYPERLINK("https://klasma.github.io/Logging_0483/klagomålsmail/A 20533-2023 FSC-klagomål mail.docx", "A 20533-2023")</f>
        <v/>
      </c>
      <c r="X438">
        <f>HYPERLINK("https://klasma.github.io/Logging_0483/tillsyn/A 20533-2023 tillsynsbegäran.docx", "A 20533-2023")</f>
        <v/>
      </c>
      <c r="Y438">
        <f>HYPERLINK("https://klasma.github.io/Logging_0483/tillsynsmail/A 20533-2023 tillsynsbegäran mail.docx", "A 20533-2023")</f>
        <v/>
      </c>
      <c r="Z438">
        <f>HYPERLINK("https://klasma.github.io/Logging_0483/fåglar/A 20533-2023 prioriterade fågelarter.docx", "A 20533-2023")</f>
        <v/>
      </c>
    </row>
    <row r="439" ht="15" customHeight="1">
      <c r="A439" t="inlineStr">
        <is>
          <t>A 43499-2021</t>
        </is>
      </c>
      <c r="B439" s="1" t="n">
        <v>44433</v>
      </c>
      <c r="C439" s="1" t="n">
        <v>46063</v>
      </c>
      <c r="D439" t="inlineStr">
        <is>
          <t>SÖDERMANLANDS LÄN</t>
        </is>
      </c>
      <c r="E439" t="inlineStr">
        <is>
          <t>KATRINEHOLM</t>
        </is>
      </c>
      <c r="F439" t="inlineStr">
        <is>
          <t>Övriga Aktiebolag</t>
        </is>
      </c>
      <c r="G439" t="n">
        <v>1.4</v>
      </c>
      <c r="H439" t="n">
        <v>0</v>
      </c>
      <c r="I439" t="n">
        <v>0</v>
      </c>
      <c r="J439" t="n">
        <v>0</v>
      </c>
      <c r="K439" t="n">
        <v>0</v>
      </c>
      <c r="L439" t="n">
        <v>0</v>
      </c>
      <c r="M439" t="n">
        <v>0</v>
      </c>
      <c r="N439" t="n">
        <v>0</v>
      </c>
      <c r="O439" t="n">
        <v>0</v>
      </c>
      <c r="P439" t="n">
        <v>0</v>
      </c>
      <c r="Q439" t="n">
        <v>0</v>
      </c>
      <c r="R439" s="2" t="inlineStr"/>
    </row>
    <row r="440" ht="15" customHeight="1">
      <c r="A440" t="inlineStr">
        <is>
          <t>A 49743-2025</t>
        </is>
      </c>
      <c r="B440" s="1" t="n">
        <v>45940</v>
      </c>
      <c r="C440" s="1" t="n">
        <v>46063</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53996-2023</t>
        </is>
      </c>
      <c r="B441" s="1" t="n">
        <v>45231</v>
      </c>
      <c r="C441" s="1" t="n">
        <v>46063</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33790-2024</t>
        </is>
      </c>
      <c r="B442" s="1" t="n">
        <v>45520.59179398148</v>
      </c>
      <c r="C442" s="1" t="n">
        <v>46063</v>
      </c>
      <c r="D442" t="inlineStr">
        <is>
          <t>SÖDERMANLANDS LÄN</t>
        </is>
      </c>
      <c r="E442" t="inlineStr">
        <is>
          <t>KATRINEHOLM</t>
        </is>
      </c>
      <c r="G442" t="n">
        <v>14</v>
      </c>
      <c r="H442" t="n">
        <v>0</v>
      </c>
      <c r="I442" t="n">
        <v>0</v>
      </c>
      <c r="J442" t="n">
        <v>0</v>
      </c>
      <c r="K442" t="n">
        <v>0</v>
      </c>
      <c r="L442" t="n">
        <v>0</v>
      </c>
      <c r="M442" t="n">
        <v>0</v>
      </c>
      <c r="N442" t="n">
        <v>0</v>
      </c>
      <c r="O442" t="n">
        <v>0</v>
      </c>
      <c r="P442" t="n">
        <v>0</v>
      </c>
      <c r="Q442" t="n">
        <v>0</v>
      </c>
      <c r="R442" s="2" t="inlineStr"/>
    </row>
    <row r="443" ht="15" customHeight="1">
      <c r="A443" t="inlineStr">
        <is>
          <t>A 47456-2022</t>
        </is>
      </c>
      <c r="B443" s="1" t="n">
        <v>44852</v>
      </c>
      <c r="C443" s="1" t="n">
        <v>46063</v>
      </c>
      <c r="D443" t="inlineStr">
        <is>
          <t>SÖDERMANLANDS LÄN</t>
        </is>
      </c>
      <c r="E443" t="inlineStr">
        <is>
          <t>KATRINEHOLM</t>
        </is>
      </c>
      <c r="G443" t="n">
        <v>3.7</v>
      </c>
      <c r="H443" t="n">
        <v>0</v>
      </c>
      <c r="I443" t="n">
        <v>0</v>
      </c>
      <c r="J443" t="n">
        <v>0</v>
      </c>
      <c r="K443" t="n">
        <v>0</v>
      </c>
      <c r="L443" t="n">
        <v>0</v>
      </c>
      <c r="M443" t="n">
        <v>0</v>
      </c>
      <c r="N443" t="n">
        <v>0</v>
      </c>
      <c r="O443" t="n">
        <v>0</v>
      </c>
      <c r="P443" t="n">
        <v>0</v>
      </c>
      <c r="Q443" t="n">
        <v>0</v>
      </c>
      <c r="R443" s="2" t="inlineStr"/>
    </row>
    <row r="444" ht="15" customHeight="1">
      <c r="A444" t="inlineStr">
        <is>
          <t>A 23347-2023</t>
        </is>
      </c>
      <c r="B444" s="1" t="n">
        <v>45076</v>
      </c>
      <c r="C444" s="1" t="n">
        <v>46063</v>
      </c>
      <c r="D444" t="inlineStr">
        <is>
          <t>SÖDERMANLANDS LÄN</t>
        </is>
      </c>
      <c r="E444" t="inlineStr">
        <is>
          <t>KATRINEHOLM</t>
        </is>
      </c>
      <c r="G444" t="n">
        <v>4.3</v>
      </c>
      <c r="H444" t="n">
        <v>0</v>
      </c>
      <c r="I444" t="n">
        <v>0</v>
      </c>
      <c r="J444" t="n">
        <v>0</v>
      </c>
      <c r="K444" t="n">
        <v>0</v>
      </c>
      <c r="L444" t="n">
        <v>0</v>
      </c>
      <c r="M444" t="n">
        <v>0</v>
      </c>
      <c r="N444" t="n">
        <v>0</v>
      </c>
      <c r="O444" t="n">
        <v>0</v>
      </c>
      <c r="P444" t="n">
        <v>0</v>
      </c>
      <c r="Q444" t="n">
        <v>0</v>
      </c>
      <c r="R444" s="2" t="inlineStr"/>
    </row>
    <row r="445" ht="15" customHeight="1">
      <c r="A445" t="inlineStr">
        <is>
          <t>A 74354-2021</t>
        </is>
      </c>
      <c r="B445" s="1" t="n">
        <v>44559.57041666667</v>
      </c>
      <c r="C445" s="1" t="n">
        <v>46063</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52348-2021</t>
        </is>
      </c>
      <c r="B446" s="1" t="n">
        <v>44464.49756944444</v>
      </c>
      <c r="C446" s="1" t="n">
        <v>46063</v>
      </c>
      <c r="D446" t="inlineStr">
        <is>
          <t>SÖDERMANLANDS LÄN</t>
        </is>
      </c>
      <c r="E446" t="inlineStr">
        <is>
          <t>KATRINEHOLM</t>
        </is>
      </c>
      <c r="G446" t="n">
        <v>1.5</v>
      </c>
      <c r="H446" t="n">
        <v>0</v>
      </c>
      <c r="I446" t="n">
        <v>0</v>
      </c>
      <c r="J446" t="n">
        <v>0</v>
      </c>
      <c r="K446" t="n">
        <v>0</v>
      </c>
      <c r="L446" t="n">
        <v>0</v>
      </c>
      <c r="M446" t="n">
        <v>0</v>
      </c>
      <c r="N446" t="n">
        <v>0</v>
      </c>
      <c r="O446" t="n">
        <v>0</v>
      </c>
      <c r="P446" t="n">
        <v>0</v>
      </c>
      <c r="Q446" t="n">
        <v>0</v>
      </c>
      <c r="R446" s="2" t="inlineStr"/>
    </row>
    <row r="447" ht="15" customHeight="1">
      <c r="A447" t="inlineStr">
        <is>
          <t>A 56628-2021</t>
        </is>
      </c>
      <c r="B447" s="1" t="n">
        <v>44480</v>
      </c>
      <c r="C447" s="1" t="n">
        <v>46063</v>
      </c>
      <c r="D447" t="inlineStr">
        <is>
          <t>SÖDERMANLANDS LÄN</t>
        </is>
      </c>
      <c r="E447" t="inlineStr">
        <is>
          <t>KATRINEHOLM</t>
        </is>
      </c>
      <c r="G447" t="n">
        <v>1.8</v>
      </c>
      <c r="H447" t="n">
        <v>0</v>
      </c>
      <c r="I447" t="n">
        <v>0</v>
      </c>
      <c r="J447" t="n">
        <v>0</v>
      </c>
      <c r="K447" t="n">
        <v>0</v>
      </c>
      <c r="L447" t="n">
        <v>0</v>
      </c>
      <c r="M447" t="n">
        <v>0</v>
      </c>
      <c r="N447" t="n">
        <v>0</v>
      </c>
      <c r="O447" t="n">
        <v>0</v>
      </c>
      <c r="P447" t="n">
        <v>0</v>
      </c>
      <c r="Q447" t="n">
        <v>0</v>
      </c>
      <c r="R447" s="2" t="inlineStr"/>
    </row>
    <row r="448" ht="15" customHeight="1">
      <c r="A448" t="inlineStr">
        <is>
          <t>A 45438-2021</t>
        </is>
      </c>
      <c r="B448" s="1" t="n">
        <v>44440</v>
      </c>
      <c r="C448" s="1" t="n">
        <v>46063</v>
      </c>
      <c r="D448" t="inlineStr">
        <is>
          <t>SÖDERMANLANDS LÄN</t>
        </is>
      </c>
      <c r="E448" t="inlineStr">
        <is>
          <t>KATRINEHOLM</t>
        </is>
      </c>
      <c r="F448" t="inlineStr">
        <is>
          <t>Kommuner</t>
        </is>
      </c>
      <c r="G448" t="n">
        <v>1.5</v>
      </c>
      <c r="H448" t="n">
        <v>0</v>
      </c>
      <c r="I448" t="n">
        <v>0</v>
      </c>
      <c r="J448" t="n">
        <v>0</v>
      </c>
      <c r="K448" t="n">
        <v>0</v>
      </c>
      <c r="L448" t="n">
        <v>0</v>
      </c>
      <c r="M448" t="n">
        <v>0</v>
      </c>
      <c r="N448" t="n">
        <v>0</v>
      </c>
      <c r="O448" t="n">
        <v>0</v>
      </c>
      <c r="P448" t="n">
        <v>0</v>
      </c>
      <c r="Q448" t="n">
        <v>0</v>
      </c>
      <c r="R448" s="2" t="inlineStr"/>
    </row>
    <row r="449" ht="15" customHeight="1">
      <c r="A449" t="inlineStr">
        <is>
          <t>A 50061-2022</t>
        </is>
      </c>
      <c r="B449" s="1" t="n">
        <v>44865</v>
      </c>
      <c r="C449" s="1" t="n">
        <v>46063</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10446-2024</t>
        </is>
      </c>
      <c r="B450" s="1" t="n">
        <v>45366</v>
      </c>
      <c r="C450" s="1" t="n">
        <v>46063</v>
      </c>
      <c r="D450" t="inlineStr">
        <is>
          <t>SÖDERMANLANDS LÄN</t>
        </is>
      </c>
      <c r="E450" t="inlineStr">
        <is>
          <t>KATRINEHOLM</t>
        </is>
      </c>
      <c r="G450" t="n">
        <v>2.3</v>
      </c>
      <c r="H450" t="n">
        <v>0</v>
      </c>
      <c r="I450" t="n">
        <v>0</v>
      </c>
      <c r="J450" t="n">
        <v>0</v>
      </c>
      <c r="K450" t="n">
        <v>0</v>
      </c>
      <c r="L450" t="n">
        <v>0</v>
      </c>
      <c r="M450" t="n">
        <v>0</v>
      </c>
      <c r="N450" t="n">
        <v>0</v>
      </c>
      <c r="O450" t="n">
        <v>0</v>
      </c>
      <c r="P450" t="n">
        <v>0</v>
      </c>
      <c r="Q450" t="n">
        <v>0</v>
      </c>
      <c r="R450" s="2" t="inlineStr"/>
    </row>
    <row r="451" ht="15" customHeight="1">
      <c r="A451" t="inlineStr">
        <is>
          <t>A 50934-2025</t>
        </is>
      </c>
      <c r="B451" s="1" t="n">
        <v>45946.69195601852</v>
      </c>
      <c r="C451" s="1" t="n">
        <v>46063</v>
      </c>
      <c r="D451" t="inlineStr">
        <is>
          <t>SÖDERMANLANDS LÄN</t>
        </is>
      </c>
      <c r="E451" t="inlineStr">
        <is>
          <t>KATRINEHOLM</t>
        </is>
      </c>
      <c r="G451" t="n">
        <v>2</v>
      </c>
      <c r="H451" t="n">
        <v>0</v>
      </c>
      <c r="I451" t="n">
        <v>0</v>
      </c>
      <c r="J451" t="n">
        <v>0</v>
      </c>
      <c r="K451" t="n">
        <v>0</v>
      </c>
      <c r="L451" t="n">
        <v>0</v>
      </c>
      <c r="M451" t="n">
        <v>0</v>
      </c>
      <c r="N451" t="n">
        <v>0</v>
      </c>
      <c r="O451" t="n">
        <v>0</v>
      </c>
      <c r="P451" t="n">
        <v>0</v>
      </c>
      <c r="Q451" t="n">
        <v>0</v>
      </c>
      <c r="R451" s="2" t="inlineStr"/>
    </row>
    <row r="452" ht="15" customHeight="1">
      <c r="A452" t="inlineStr">
        <is>
          <t>A 53860-2021</t>
        </is>
      </c>
      <c r="B452" s="1" t="n">
        <v>44467</v>
      </c>
      <c r="C452" s="1" t="n">
        <v>46063</v>
      </c>
      <c r="D452" t="inlineStr">
        <is>
          <t>SÖDERMANLANDS LÄN</t>
        </is>
      </c>
      <c r="E452" t="inlineStr">
        <is>
          <t>KATRINEHOLM</t>
        </is>
      </c>
      <c r="G452" t="n">
        <v>1.3</v>
      </c>
      <c r="H452" t="n">
        <v>0</v>
      </c>
      <c r="I452" t="n">
        <v>0</v>
      </c>
      <c r="J452" t="n">
        <v>0</v>
      </c>
      <c r="K452" t="n">
        <v>0</v>
      </c>
      <c r="L452" t="n">
        <v>0</v>
      </c>
      <c r="M452" t="n">
        <v>0</v>
      </c>
      <c r="N452" t="n">
        <v>0</v>
      </c>
      <c r="O452" t="n">
        <v>0</v>
      </c>
      <c r="P452" t="n">
        <v>0</v>
      </c>
      <c r="Q452" t="n">
        <v>0</v>
      </c>
      <c r="R452" s="2" t="inlineStr"/>
    </row>
    <row r="453" ht="15" customHeight="1">
      <c r="A453" t="inlineStr">
        <is>
          <t>A 23842-2023</t>
        </is>
      </c>
      <c r="B453" s="1" t="n">
        <v>45075</v>
      </c>
      <c r="C453" s="1" t="n">
        <v>46063</v>
      </c>
      <c r="D453" t="inlineStr">
        <is>
          <t>SÖDERMANLANDS LÄN</t>
        </is>
      </c>
      <c r="E453" t="inlineStr">
        <is>
          <t>KATRINEHOLM</t>
        </is>
      </c>
      <c r="G453" t="n">
        <v>1.8</v>
      </c>
      <c r="H453" t="n">
        <v>0</v>
      </c>
      <c r="I453" t="n">
        <v>0</v>
      </c>
      <c r="J453" t="n">
        <v>0</v>
      </c>
      <c r="K453" t="n">
        <v>0</v>
      </c>
      <c r="L453" t="n">
        <v>0</v>
      </c>
      <c r="M453" t="n">
        <v>0</v>
      </c>
      <c r="N453" t="n">
        <v>0</v>
      </c>
      <c r="O453" t="n">
        <v>0</v>
      </c>
      <c r="P453" t="n">
        <v>0</v>
      </c>
      <c r="Q453" t="n">
        <v>0</v>
      </c>
      <c r="R453" s="2" t="inlineStr"/>
    </row>
    <row r="454" ht="15" customHeight="1">
      <c r="A454" t="inlineStr">
        <is>
          <t>A 51367-2025</t>
        </is>
      </c>
      <c r="B454" s="1" t="n">
        <v>45950.44700231482</v>
      </c>
      <c r="C454" s="1" t="n">
        <v>46063</v>
      </c>
      <c r="D454" t="inlineStr">
        <is>
          <t>SÖDERMANLANDS LÄN</t>
        </is>
      </c>
      <c r="E454" t="inlineStr">
        <is>
          <t>KATRINEHOLM</t>
        </is>
      </c>
      <c r="G454" t="n">
        <v>2.7</v>
      </c>
      <c r="H454" t="n">
        <v>0</v>
      </c>
      <c r="I454" t="n">
        <v>0</v>
      </c>
      <c r="J454" t="n">
        <v>0</v>
      </c>
      <c r="K454" t="n">
        <v>0</v>
      </c>
      <c r="L454" t="n">
        <v>0</v>
      </c>
      <c r="M454" t="n">
        <v>0</v>
      </c>
      <c r="N454" t="n">
        <v>0</v>
      </c>
      <c r="O454" t="n">
        <v>0</v>
      </c>
      <c r="P454" t="n">
        <v>0</v>
      </c>
      <c r="Q454" t="n">
        <v>0</v>
      </c>
      <c r="R454" s="2" t="inlineStr"/>
    </row>
    <row r="455" ht="15" customHeight="1">
      <c r="A455" t="inlineStr">
        <is>
          <t>A 34263-2023</t>
        </is>
      </c>
      <c r="B455" s="1" t="n">
        <v>45138.60248842592</v>
      </c>
      <c r="C455" s="1" t="n">
        <v>46063</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46899-2022</t>
        </is>
      </c>
      <c r="B456" s="1" t="n">
        <v>44848</v>
      </c>
      <c r="C456" s="1" t="n">
        <v>46063</v>
      </c>
      <c r="D456" t="inlineStr">
        <is>
          <t>SÖDERMANLANDS LÄN</t>
        </is>
      </c>
      <c r="E456" t="inlineStr">
        <is>
          <t>KATRINEHOLM</t>
        </is>
      </c>
      <c r="G456" t="n">
        <v>2</v>
      </c>
      <c r="H456" t="n">
        <v>0</v>
      </c>
      <c r="I456" t="n">
        <v>0</v>
      </c>
      <c r="J456" t="n">
        <v>0</v>
      </c>
      <c r="K456" t="n">
        <v>0</v>
      </c>
      <c r="L456" t="n">
        <v>0</v>
      </c>
      <c r="M456" t="n">
        <v>0</v>
      </c>
      <c r="N456" t="n">
        <v>0</v>
      </c>
      <c r="O456" t="n">
        <v>0</v>
      </c>
      <c r="P456" t="n">
        <v>0</v>
      </c>
      <c r="Q456" t="n">
        <v>0</v>
      </c>
      <c r="R456" s="2" t="inlineStr"/>
    </row>
    <row r="457" ht="15" customHeight="1">
      <c r="A457" t="inlineStr">
        <is>
          <t>A 55296-2022</t>
        </is>
      </c>
      <c r="B457" s="1" t="n">
        <v>44887</v>
      </c>
      <c r="C457" s="1" t="n">
        <v>46063</v>
      </c>
      <c r="D457" t="inlineStr">
        <is>
          <t>SÖDERMANLANDS LÄN</t>
        </is>
      </c>
      <c r="E457" t="inlineStr">
        <is>
          <t>KATRINEHOLM</t>
        </is>
      </c>
      <c r="G457" t="n">
        <v>1.4</v>
      </c>
      <c r="H457" t="n">
        <v>0</v>
      </c>
      <c r="I457" t="n">
        <v>0</v>
      </c>
      <c r="J457" t="n">
        <v>0</v>
      </c>
      <c r="K457" t="n">
        <v>0</v>
      </c>
      <c r="L457" t="n">
        <v>0</v>
      </c>
      <c r="M457" t="n">
        <v>0</v>
      </c>
      <c r="N457" t="n">
        <v>0</v>
      </c>
      <c r="O457" t="n">
        <v>0</v>
      </c>
      <c r="P457" t="n">
        <v>0</v>
      </c>
      <c r="Q457" t="n">
        <v>0</v>
      </c>
      <c r="R457" s="2" t="inlineStr"/>
    </row>
    <row r="458" ht="15" customHeight="1">
      <c r="A458" t="inlineStr">
        <is>
          <t>A 57524-2021</t>
        </is>
      </c>
      <c r="B458" s="1" t="n">
        <v>44483</v>
      </c>
      <c r="C458" s="1" t="n">
        <v>46063</v>
      </c>
      <c r="D458" t="inlineStr">
        <is>
          <t>SÖDERMANLANDS LÄN</t>
        </is>
      </c>
      <c r="E458" t="inlineStr">
        <is>
          <t>KATRINEHOLM</t>
        </is>
      </c>
      <c r="G458" t="n">
        <v>0.4</v>
      </c>
      <c r="H458" t="n">
        <v>0</v>
      </c>
      <c r="I458" t="n">
        <v>0</v>
      </c>
      <c r="J458" t="n">
        <v>0</v>
      </c>
      <c r="K458" t="n">
        <v>0</v>
      </c>
      <c r="L458" t="n">
        <v>0</v>
      </c>
      <c r="M458" t="n">
        <v>0</v>
      </c>
      <c r="N458" t="n">
        <v>0</v>
      </c>
      <c r="O458" t="n">
        <v>0</v>
      </c>
      <c r="P458" t="n">
        <v>0</v>
      </c>
      <c r="Q458" t="n">
        <v>0</v>
      </c>
      <c r="R458" s="2" t="inlineStr"/>
    </row>
    <row r="459" ht="15" customHeight="1">
      <c r="A459" t="inlineStr">
        <is>
          <t>A 931-2023</t>
        </is>
      </c>
      <c r="B459" s="1" t="n">
        <v>44932.74261574074</v>
      </c>
      <c r="C459" s="1" t="n">
        <v>46063</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55171-2023</t>
        </is>
      </c>
      <c r="B460" s="1" t="n">
        <v>45231</v>
      </c>
      <c r="C460" s="1" t="n">
        <v>46063</v>
      </c>
      <c r="D460" t="inlineStr">
        <is>
          <t>SÖDERMANLANDS LÄN</t>
        </is>
      </c>
      <c r="E460" t="inlineStr">
        <is>
          <t>KATRINEHOLM</t>
        </is>
      </c>
      <c r="G460" t="n">
        <v>4.2</v>
      </c>
      <c r="H460" t="n">
        <v>0</v>
      </c>
      <c r="I460" t="n">
        <v>0</v>
      </c>
      <c r="J460" t="n">
        <v>0</v>
      </c>
      <c r="K460" t="n">
        <v>0</v>
      </c>
      <c r="L460" t="n">
        <v>0</v>
      </c>
      <c r="M460" t="n">
        <v>0</v>
      </c>
      <c r="N460" t="n">
        <v>0</v>
      </c>
      <c r="O460" t="n">
        <v>0</v>
      </c>
      <c r="P460" t="n">
        <v>0</v>
      </c>
      <c r="Q460" t="n">
        <v>0</v>
      </c>
      <c r="R460" s="2" t="inlineStr"/>
    </row>
    <row r="461" ht="15" customHeight="1">
      <c r="A461" t="inlineStr">
        <is>
          <t>A 51780-2025</t>
        </is>
      </c>
      <c r="B461" s="1" t="n">
        <v>45951.65725694445</v>
      </c>
      <c r="C461" s="1" t="n">
        <v>46063</v>
      </c>
      <c r="D461" t="inlineStr">
        <is>
          <t>SÖDERMANLANDS LÄN</t>
        </is>
      </c>
      <c r="E461" t="inlineStr">
        <is>
          <t>KATRINEHOLM</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53393-2023</t>
        </is>
      </c>
      <c r="B462" s="1" t="n">
        <v>45229</v>
      </c>
      <c r="C462" s="1" t="n">
        <v>46063</v>
      </c>
      <c r="D462" t="inlineStr">
        <is>
          <t>SÖDERMANLANDS LÄN</t>
        </is>
      </c>
      <c r="E462" t="inlineStr">
        <is>
          <t>KATRINEHOLM</t>
        </is>
      </c>
      <c r="F462" t="inlineStr">
        <is>
          <t>Kyrkan</t>
        </is>
      </c>
      <c r="G462" t="n">
        <v>5.6</v>
      </c>
      <c r="H462" t="n">
        <v>0</v>
      </c>
      <c r="I462" t="n">
        <v>0</v>
      </c>
      <c r="J462" t="n">
        <v>0</v>
      </c>
      <c r="K462" t="n">
        <v>0</v>
      </c>
      <c r="L462" t="n">
        <v>0</v>
      </c>
      <c r="M462" t="n">
        <v>0</v>
      </c>
      <c r="N462" t="n">
        <v>0</v>
      </c>
      <c r="O462" t="n">
        <v>0</v>
      </c>
      <c r="P462" t="n">
        <v>0</v>
      </c>
      <c r="Q462" t="n">
        <v>0</v>
      </c>
      <c r="R462" s="2" t="inlineStr"/>
    </row>
    <row r="463" ht="15" customHeight="1">
      <c r="A463" t="inlineStr">
        <is>
          <t>A 51774-2025</t>
        </is>
      </c>
      <c r="B463" s="1" t="n">
        <v>45951.65359953704</v>
      </c>
      <c r="C463" s="1" t="n">
        <v>46063</v>
      </c>
      <c r="D463" t="inlineStr">
        <is>
          <t>SÖDERMANLANDS LÄN</t>
        </is>
      </c>
      <c r="E463" t="inlineStr">
        <is>
          <t>KATRINEHOLM</t>
        </is>
      </c>
      <c r="F463" t="inlineStr">
        <is>
          <t>Allmännings- och besparingsskogar</t>
        </is>
      </c>
      <c r="G463" t="n">
        <v>3.7</v>
      </c>
      <c r="H463" t="n">
        <v>0</v>
      </c>
      <c r="I463" t="n">
        <v>0</v>
      </c>
      <c r="J463" t="n">
        <v>0</v>
      </c>
      <c r="K463" t="n">
        <v>0</v>
      </c>
      <c r="L463" t="n">
        <v>0</v>
      </c>
      <c r="M463" t="n">
        <v>0</v>
      </c>
      <c r="N463" t="n">
        <v>0</v>
      </c>
      <c r="O463" t="n">
        <v>0</v>
      </c>
      <c r="P463" t="n">
        <v>0</v>
      </c>
      <c r="Q463" t="n">
        <v>0</v>
      </c>
      <c r="R463" s="2" t="inlineStr"/>
    </row>
    <row r="464" ht="15" customHeight="1">
      <c r="A464" t="inlineStr">
        <is>
          <t>A 51783-2025</t>
        </is>
      </c>
      <c r="B464" s="1" t="n">
        <v>45951.67546296296</v>
      </c>
      <c r="C464" s="1" t="n">
        <v>46063</v>
      </c>
      <c r="D464" t="inlineStr">
        <is>
          <t>SÖDERMANLANDS LÄN</t>
        </is>
      </c>
      <c r="E464" t="inlineStr">
        <is>
          <t>KATRINEHOLM</t>
        </is>
      </c>
      <c r="F464" t="inlineStr">
        <is>
          <t>Allmännings- och besparingsskogar</t>
        </is>
      </c>
      <c r="G464" t="n">
        <v>5.8</v>
      </c>
      <c r="H464" t="n">
        <v>0</v>
      </c>
      <c r="I464" t="n">
        <v>0</v>
      </c>
      <c r="J464" t="n">
        <v>0</v>
      </c>
      <c r="K464" t="n">
        <v>0</v>
      </c>
      <c r="L464" t="n">
        <v>0</v>
      </c>
      <c r="M464" t="n">
        <v>0</v>
      </c>
      <c r="N464" t="n">
        <v>0</v>
      </c>
      <c r="O464" t="n">
        <v>0</v>
      </c>
      <c r="P464" t="n">
        <v>0</v>
      </c>
      <c r="Q464" t="n">
        <v>0</v>
      </c>
      <c r="R464" s="2" t="inlineStr"/>
    </row>
    <row r="465" ht="15" customHeight="1">
      <c r="A465" t="inlineStr">
        <is>
          <t>A 52242-2025</t>
        </is>
      </c>
      <c r="B465" s="1" t="n">
        <v>45953.46886574074</v>
      </c>
      <c r="C465" s="1" t="n">
        <v>46063</v>
      </c>
      <c r="D465" t="inlineStr">
        <is>
          <t>SÖDERMANLANDS LÄN</t>
        </is>
      </c>
      <c r="E465" t="inlineStr">
        <is>
          <t>KATRINEHOLM</t>
        </is>
      </c>
      <c r="G465" t="n">
        <v>5.3</v>
      </c>
      <c r="H465" t="n">
        <v>0</v>
      </c>
      <c r="I465" t="n">
        <v>0</v>
      </c>
      <c r="J465" t="n">
        <v>0</v>
      </c>
      <c r="K465" t="n">
        <v>0</v>
      </c>
      <c r="L465" t="n">
        <v>0</v>
      </c>
      <c r="M465" t="n">
        <v>0</v>
      </c>
      <c r="N465" t="n">
        <v>0</v>
      </c>
      <c r="O465" t="n">
        <v>0</v>
      </c>
      <c r="P465" t="n">
        <v>0</v>
      </c>
      <c r="Q465" t="n">
        <v>0</v>
      </c>
      <c r="R465" s="2" t="inlineStr"/>
    </row>
    <row r="466" ht="15" customHeight="1">
      <c r="A466" t="inlineStr">
        <is>
          <t>A 52239-2025</t>
        </is>
      </c>
      <c r="B466" s="1" t="n">
        <v>45953.46193287037</v>
      </c>
      <c r="C466" s="1" t="n">
        <v>46063</v>
      </c>
      <c r="D466" t="inlineStr">
        <is>
          <t>SÖDERMANLANDS LÄN</t>
        </is>
      </c>
      <c r="E466" t="inlineStr">
        <is>
          <t>KATRINEHOLM</t>
        </is>
      </c>
      <c r="G466" t="n">
        <v>0.7</v>
      </c>
      <c r="H466" t="n">
        <v>0</v>
      </c>
      <c r="I466" t="n">
        <v>0</v>
      </c>
      <c r="J466" t="n">
        <v>0</v>
      </c>
      <c r="K466" t="n">
        <v>0</v>
      </c>
      <c r="L466" t="n">
        <v>0</v>
      </c>
      <c r="M466" t="n">
        <v>0</v>
      </c>
      <c r="N466" t="n">
        <v>0</v>
      </c>
      <c r="O466" t="n">
        <v>0</v>
      </c>
      <c r="P466" t="n">
        <v>0</v>
      </c>
      <c r="Q466" t="n">
        <v>0</v>
      </c>
      <c r="R466" s="2" t="inlineStr"/>
    </row>
    <row r="467" ht="15" customHeight="1">
      <c r="A467" t="inlineStr">
        <is>
          <t>A 52244-2025</t>
        </is>
      </c>
      <c r="B467" s="1" t="n">
        <v>45953</v>
      </c>
      <c r="C467" s="1" t="n">
        <v>46063</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23031-2024</t>
        </is>
      </c>
      <c r="B468" s="1" t="n">
        <v>45450.38120370371</v>
      </c>
      <c r="C468" s="1" t="n">
        <v>46063</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22506-2023</t>
        </is>
      </c>
      <c r="B469" s="1" t="n">
        <v>45071.37393518518</v>
      </c>
      <c r="C469" s="1" t="n">
        <v>46063</v>
      </c>
      <c r="D469" t="inlineStr">
        <is>
          <t>SÖDERMANLANDS LÄN</t>
        </is>
      </c>
      <c r="E469" t="inlineStr">
        <is>
          <t>KATRINEHOLM</t>
        </is>
      </c>
      <c r="F469" t="inlineStr">
        <is>
          <t>Kyrkan</t>
        </is>
      </c>
      <c r="G469" t="n">
        <v>5.9</v>
      </c>
      <c r="H469" t="n">
        <v>0</v>
      </c>
      <c r="I469" t="n">
        <v>0</v>
      </c>
      <c r="J469" t="n">
        <v>0</v>
      </c>
      <c r="K469" t="n">
        <v>0</v>
      </c>
      <c r="L469" t="n">
        <v>0</v>
      </c>
      <c r="M469" t="n">
        <v>0</v>
      </c>
      <c r="N469" t="n">
        <v>0</v>
      </c>
      <c r="O469" t="n">
        <v>0</v>
      </c>
      <c r="P469" t="n">
        <v>0</v>
      </c>
      <c r="Q469" t="n">
        <v>0</v>
      </c>
      <c r="R469" s="2" t="inlineStr"/>
    </row>
    <row r="470" ht="15" customHeight="1">
      <c r="A470" t="inlineStr">
        <is>
          <t>A 12888-2025</t>
        </is>
      </c>
      <c r="B470" s="1" t="n">
        <v>45733</v>
      </c>
      <c r="C470" s="1" t="n">
        <v>46063</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22345-2023</t>
        </is>
      </c>
      <c r="B471" s="1" t="n">
        <v>45070</v>
      </c>
      <c r="C471" s="1" t="n">
        <v>46063</v>
      </c>
      <c r="D471" t="inlineStr">
        <is>
          <t>SÖDERMANLANDS LÄN</t>
        </is>
      </c>
      <c r="E471" t="inlineStr">
        <is>
          <t>KATRINEHOLM</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48877-2022</t>
        </is>
      </c>
      <c r="B472" s="1" t="n">
        <v>44859</v>
      </c>
      <c r="C472" s="1" t="n">
        <v>46063</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52744-2025</t>
        </is>
      </c>
      <c r="B473" s="1" t="n">
        <v>45957.38387731482</v>
      </c>
      <c r="C473" s="1" t="n">
        <v>46063</v>
      </c>
      <c r="D473" t="inlineStr">
        <is>
          <t>SÖDERMANLANDS LÄN</t>
        </is>
      </c>
      <c r="E473" t="inlineStr">
        <is>
          <t>KATRINEHOLM</t>
        </is>
      </c>
      <c r="G473" t="n">
        <v>4</v>
      </c>
      <c r="H473" t="n">
        <v>0</v>
      </c>
      <c r="I473" t="n">
        <v>0</v>
      </c>
      <c r="J473" t="n">
        <v>0</v>
      </c>
      <c r="K473" t="n">
        <v>0</v>
      </c>
      <c r="L473" t="n">
        <v>0</v>
      </c>
      <c r="M473" t="n">
        <v>0</v>
      </c>
      <c r="N473" t="n">
        <v>0</v>
      </c>
      <c r="O473" t="n">
        <v>0</v>
      </c>
      <c r="P473" t="n">
        <v>0</v>
      </c>
      <c r="Q473" t="n">
        <v>0</v>
      </c>
      <c r="R473" s="2" t="inlineStr"/>
    </row>
    <row r="474" ht="15" customHeight="1">
      <c r="A474" t="inlineStr">
        <is>
          <t>A 19868-2022</t>
        </is>
      </c>
      <c r="B474" s="1" t="n">
        <v>44696</v>
      </c>
      <c r="C474" s="1" t="n">
        <v>46063</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63188-2021</t>
        </is>
      </c>
      <c r="B475" s="1" t="n">
        <v>44507.56865740741</v>
      </c>
      <c r="C475" s="1" t="n">
        <v>46063</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29843-2023</t>
        </is>
      </c>
      <c r="B476" s="1" t="n">
        <v>45107</v>
      </c>
      <c r="C476" s="1" t="n">
        <v>46063</v>
      </c>
      <c r="D476" t="inlineStr">
        <is>
          <t>SÖDERMANLANDS LÄN</t>
        </is>
      </c>
      <c r="E476" t="inlineStr">
        <is>
          <t>KATRINEHOLM</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5834-2025</t>
        </is>
      </c>
      <c r="B477" s="1" t="n">
        <v>45694</v>
      </c>
      <c r="C477" s="1" t="n">
        <v>46063</v>
      </c>
      <c r="D477" t="inlineStr">
        <is>
          <t>SÖDERMANLANDS LÄN</t>
        </is>
      </c>
      <c r="E477" t="inlineStr">
        <is>
          <t>KATRINEHOLM</t>
        </is>
      </c>
      <c r="G477" t="n">
        <v>3.3</v>
      </c>
      <c r="H477" t="n">
        <v>0</v>
      </c>
      <c r="I477" t="n">
        <v>0</v>
      </c>
      <c r="J477" t="n">
        <v>0</v>
      </c>
      <c r="K477" t="n">
        <v>0</v>
      </c>
      <c r="L477" t="n">
        <v>0</v>
      </c>
      <c r="M477" t="n">
        <v>0</v>
      </c>
      <c r="N477" t="n">
        <v>0</v>
      </c>
      <c r="O477" t="n">
        <v>0</v>
      </c>
      <c r="P477" t="n">
        <v>0</v>
      </c>
      <c r="Q477" t="n">
        <v>0</v>
      </c>
      <c r="R477" s="2" t="inlineStr"/>
    </row>
    <row r="478" ht="15" customHeight="1">
      <c r="A478" t="inlineStr">
        <is>
          <t>A 53338-2025</t>
        </is>
      </c>
      <c r="B478" s="1" t="n">
        <v>45959.40447916667</v>
      </c>
      <c r="C478" s="1" t="n">
        <v>46063</v>
      </c>
      <c r="D478" t="inlineStr">
        <is>
          <t>SÖDERMANLANDS LÄN</t>
        </is>
      </c>
      <c r="E478" t="inlineStr">
        <is>
          <t>KATRINEHOLM</t>
        </is>
      </c>
      <c r="G478" t="n">
        <v>2.9</v>
      </c>
      <c r="H478" t="n">
        <v>0</v>
      </c>
      <c r="I478" t="n">
        <v>0</v>
      </c>
      <c r="J478" t="n">
        <v>0</v>
      </c>
      <c r="K478" t="n">
        <v>0</v>
      </c>
      <c r="L478" t="n">
        <v>0</v>
      </c>
      <c r="M478" t="n">
        <v>0</v>
      </c>
      <c r="N478" t="n">
        <v>0</v>
      </c>
      <c r="O478" t="n">
        <v>0</v>
      </c>
      <c r="P478" t="n">
        <v>0</v>
      </c>
      <c r="Q478" t="n">
        <v>0</v>
      </c>
      <c r="R478" s="2" t="inlineStr"/>
    </row>
    <row r="479" ht="15" customHeight="1">
      <c r="A479" t="inlineStr">
        <is>
          <t>A 34981-2023</t>
        </is>
      </c>
      <c r="B479" s="1" t="n">
        <v>45142</v>
      </c>
      <c r="C479" s="1" t="n">
        <v>46063</v>
      </c>
      <c r="D479" t="inlineStr">
        <is>
          <t>SÖDERMANLANDS LÄN</t>
        </is>
      </c>
      <c r="E479" t="inlineStr">
        <is>
          <t>KATRINEHOLM</t>
        </is>
      </c>
      <c r="G479" t="n">
        <v>10</v>
      </c>
      <c r="H479" t="n">
        <v>0</v>
      </c>
      <c r="I479" t="n">
        <v>0</v>
      </c>
      <c r="J479" t="n">
        <v>0</v>
      </c>
      <c r="K479" t="n">
        <v>0</v>
      </c>
      <c r="L479" t="n">
        <v>0</v>
      </c>
      <c r="M479" t="n">
        <v>0</v>
      </c>
      <c r="N479" t="n">
        <v>0</v>
      </c>
      <c r="O479" t="n">
        <v>0</v>
      </c>
      <c r="P479" t="n">
        <v>0</v>
      </c>
      <c r="Q479" t="n">
        <v>0</v>
      </c>
      <c r="R479" s="2" t="inlineStr"/>
    </row>
    <row r="480" ht="15" customHeight="1">
      <c r="A480" t="inlineStr">
        <is>
          <t>A 73412-2021</t>
        </is>
      </c>
      <c r="B480" s="1" t="n">
        <v>44551</v>
      </c>
      <c r="C480" s="1" t="n">
        <v>46063</v>
      </c>
      <c r="D480" t="inlineStr">
        <is>
          <t>SÖDERMANLANDS LÄN</t>
        </is>
      </c>
      <c r="E480" t="inlineStr">
        <is>
          <t>KATRINEHOLM</t>
        </is>
      </c>
      <c r="G480" t="n">
        <v>2</v>
      </c>
      <c r="H480" t="n">
        <v>0</v>
      </c>
      <c r="I480" t="n">
        <v>0</v>
      </c>
      <c r="J480" t="n">
        <v>0</v>
      </c>
      <c r="K480" t="n">
        <v>0</v>
      </c>
      <c r="L480" t="n">
        <v>0</v>
      </c>
      <c r="M480" t="n">
        <v>0</v>
      </c>
      <c r="N480" t="n">
        <v>0</v>
      </c>
      <c r="O480" t="n">
        <v>0</v>
      </c>
      <c r="P480" t="n">
        <v>0</v>
      </c>
      <c r="Q480" t="n">
        <v>0</v>
      </c>
      <c r="R480" s="2" t="inlineStr"/>
    </row>
    <row r="481" ht="15" customHeight="1">
      <c r="A481" t="inlineStr">
        <is>
          <t>A 33469-2025</t>
        </is>
      </c>
      <c r="B481" s="1" t="n">
        <v>45841.48686342593</v>
      </c>
      <c r="C481" s="1" t="n">
        <v>46063</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33129-2025</t>
        </is>
      </c>
      <c r="B482" s="1" t="n">
        <v>45840.50141203704</v>
      </c>
      <c r="C482" s="1" t="n">
        <v>46063</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53750-2022</t>
        </is>
      </c>
      <c r="B483" s="1" t="n">
        <v>44875</v>
      </c>
      <c r="C483" s="1" t="n">
        <v>46063</v>
      </c>
      <c r="D483" t="inlineStr">
        <is>
          <t>SÖDERMANLANDS LÄN</t>
        </is>
      </c>
      <c r="E483" t="inlineStr">
        <is>
          <t>KATRINEHOLM</t>
        </is>
      </c>
      <c r="F483" t="inlineStr">
        <is>
          <t>Övriga Aktiebolag</t>
        </is>
      </c>
      <c r="G483" t="n">
        <v>12.6</v>
      </c>
      <c r="H483" t="n">
        <v>0</v>
      </c>
      <c r="I483" t="n">
        <v>0</v>
      </c>
      <c r="J483" t="n">
        <v>0</v>
      </c>
      <c r="K483" t="n">
        <v>0</v>
      </c>
      <c r="L483" t="n">
        <v>0</v>
      </c>
      <c r="M483" t="n">
        <v>0</v>
      </c>
      <c r="N483" t="n">
        <v>0</v>
      </c>
      <c r="O483" t="n">
        <v>0</v>
      </c>
      <c r="P483" t="n">
        <v>0</v>
      </c>
      <c r="Q483" t="n">
        <v>0</v>
      </c>
      <c r="R483" s="2" t="inlineStr"/>
    </row>
    <row r="484" ht="15" customHeight="1">
      <c r="A484" t="inlineStr">
        <is>
          <t>A 14245-2024</t>
        </is>
      </c>
      <c r="B484" s="1" t="n">
        <v>45393</v>
      </c>
      <c r="C484" s="1" t="n">
        <v>46063</v>
      </c>
      <c r="D484" t="inlineStr">
        <is>
          <t>SÖDERMANLANDS LÄN</t>
        </is>
      </c>
      <c r="E484" t="inlineStr">
        <is>
          <t>KATRINEHOLM</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41548-2025</t>
        </is>
      </c>
      <c r="B485" s="1" t="n">
        <v>45901</v>
      </c>
      <c r="C485" s="1" t="n">
        <v>46063</v>
      </c>
      <c r="D485" t="inlineStr">
        <is>
          <t>SÖDERMANLANDS LÄN</t>
        </is>
      </c>
      <c r="E485" t="inlineStr">
        <is>
          <t>KATRINEHOLM</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11104-2023</t>
        </is>
      </c>
      <c r="B486" s="1" t="n">
        <v>44992</v>
      </c>
      <c r="C486" s="1" t="n">
        <v>46063</v>
      </c>
      <c r="D486" t="inlineStr">
        <is>
          <t>SÖDERMANLANDS LÄN</t>
        </is>
      </c>
      <c r="E486" t="inlineStr">
        <is>
          <t>KATRINEHOLM</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33096-2025</t>
        </is>
      </c>
      <c r="B487" s="1" t="n">
        <v>45840.47563657408</v>
      </c>
      <c r="C487" s="1" t="n">
        <v>46063</v>
      </c>
      <c r="D487" t="inlineStr">
        <is>
          <t>SÖDERMANLANDS LÄN</t>
        </is>
      </c>
      <c r="E487" t="inlineStr">
        <is>
          <t>KATRINEHOLM</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33077-2025</t>
        </is>
      </c>
      <c r="B488" s="1" t="n">
        <v>45840.45864583334</v>
      </c>
      <c r="C488" s="1" t="n">
        <v>46063</v>
      </c>
      <c r="D488" t="inlineStr">
        <is>
          <t>SÖDERMANLANDS LÄN</t>
        </is>
      </c>
      <c r="E488" t="inlineStr">
        <is>
          <t>KATRINEHOLM</t>
        </is>
      </c>
      <c r="G488" t="n">
        <v>7</v>
      </c>
      <c r="H488" t="n">
        <v>0</v>
      </c>
      <c r="I488" t="n">
        <v>0</v>
      </c>
      <c r="J488" t="n">
        <v>0</v>
      </c>
      <c r="K488" t="n">
        <v>0</v>
      </c>
      <c r="L488" t="n">
        <v>0</v>
      </c>
      <c r="M488" t="n">
        <v>0</v>
      </c>
      <c r="N488" t="n">
        <v>0</v>
      </c>
      <c r="O488" t="n">
        <v>0</v>
      </c>
      <c r="P488" t="n">
        <v>0</v>
      </c>
      <c r="Q488" t="n">
        <v>0</v>
      </c>
      <c r="R488" s="2" t="inlineStr"/>
    </row>
    <row r="489" ht="15" customHeight="1">
      <c r="A489" t="inlineStr">
        <is>
          <t>A 33101-2025</t>
        </is>
      </c>
      <c r="B489" s="1" t="n">
        <v>45840.47953703703</v>
      </c>
      <c r="C489" s="1" t="n">
        <v>46063</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54359-2025</t>
        </is>
      </c>
      <c r="B490" s="1" t="n">
        <v>45964</v>
      </c>
      <c r="C490" s="1" t="n">
        <v>46063</v>
      </c>
      <c r="D490" t="inlineStr">
        <is>
          <t>SÖDERMANLANDS LÄN</t>
        </is>
      </c>
      <c r="E490" t="inlineStr">
        <is>
          <t>KATRINEHOLM</t>
        </is>
      </c>
      <c r="G490" t="n">
        <v>2.5</v>
      </c>
      <c r="H490" t="n">
        <v>0</v>
      </c>
      <c r="I490" t="n">
        <v>0</v>
      </c>
      <c r="J490" t="n">
        <v>0</v>
      </c>
      <c r="K490" t="n">
        <v>0</v>
      </c>
      <c r="L490" t="n">
        <v>0</v>
      </c>
      <c r="M490" t="n">
        <v>0</v>
      </c>
      <c r="N490" t="n">
        <v>0</v>
      </c>
      <c r="O490" t="n">
        <v>0</v>
      </c>
      <c r="P490" t="n">
        <v>0</v>
      </c>
      <c r="Q490" t="n">
        <v>0</v>
      </c>
      <c r="R490" s="2" t="inlineStr"/>
    </row>
    <row r="491" ht="15" customHeight="1">
      <c r="A491" t="inlineStr">
        <is>
          <t>A 54395-2025</t>
        </is>
      </c>
      <c r="B491" s="1" t="n">
        <v>45964</v>
      </c>
      <c r="C491" s="1" t="n">
        <v>46063</v>
      </c>
      <c r="D491" t="inlineStr">
        <is>
          <t>SÖDERMANLANDS LÄN</t>
        </is>
      </c>
      <c r="E491" t="inlineStr">
        <is>
          <t>KATRINEHOLM</t>
        </is>
      </c>
      <c r="G491" t="n">
        <v>0.7</v>
      </c>
      <c r="H491" t="n">
        <v>0</v>
      </c>
      <c r="I491" t="n">
        <v>0</v>
      </c>
      <c r="J491" t="n">
        <v>0</v>
      </c>
      <c r="K491" t="n">
        <v>0</v>
      </c>
      <c r="L491" t="n">
        <v>0</v>
      </c>
      <c r="M491" t="n">
        <v>0</v>
      </c>
      <c r="N491" t="n">
        <v>0</v>
      </c>
      <c r="O491" t="n">
        <v>0</v>
      </c>
      <c r="P491" t="n">
        <v>0</v>
      </c>
      <c r="Q491" t="n">
        <v>0</v>
      </c>
      <c r="R491" s="2" t="inlineStr"/>
    </row>
    <row r="492" ht="15" customHeight="1">
      <c r="A492" t="inlineStr">
        <is>
          <t>A 4387-2024</t>
        </is>
      </c>
      <c r="B492" s="1" t="n">
        <v>45327.35068287037</v>
      </c>
      <c r="C492" s="1" t="n">
        <v>46063</v>
      </c>
      <c r="D492" t="inlineStr">
        <is>
          <t>SÖDERMANLANDS LÄN</t>
        </is>
      </c>
      <c r="E492" t="inlineStr">
        <is>
          <t>KATRINEHOLM</t>
        </is>
      </c>
      <c r="G492" t="n">
        <v>1.2</v>
      </c>
      <c r="H492" t="n">
        <v>0</v>
      </c>
      <c r="I492" t="n">
        <v>0</v>
      </c>
      <c r="J492" t="n">
        <v>0</v>
      </c>
      <c r="K492" t="n">
        <v>0</v>
      </c>
      <c r="L492" t="n">
        <v>0</v>
      </c>
      <c r="M492" t="n">
        <v>0</v>
      </c>
      <c r="N492" t="n">
        <v>0</v>
      </c>
      <c r="O492" t="n">
        <v>0</v>
      </c>
      <c r="P492" t="n">
        <v>0</v>
      </c>
      <c r="Q492" t="n">
        <v>0</v>
      </c>
      <c r="R492" s="2" t="inlineStr"/>
    </row>
    <row r="493" ht="15" customHeight="1">
      <c r="A493" t="inlineStr">
        <is>
          <t>A 4872-2024</t>
        </is>
      </c>
      <c r="B493" s="1" t="n">
        <v>45329</v>
      </c>
      <c r="C493" s="1" t="n">
        <v>46063</v>
      </c>
      <c r="D493" t="inlineStr">
        <is>
          <t>SÖDERMANLANDS LÄN</t>
        </is>
      </c>
      <c r="E493" t="inlineStr">
        <is>
          <t>KATRINEHOLM</t>
        </is>
      </c>
      <c r="G493" t="n">
        <v>0.5</v>
      </c>
      <c r="H493" t="n">
        <v>0</v>
      </c>
      <c r="I493" t="n">
        <v>0</v>
      </c>
      <c r="J493" t="n">
        <v>0</v>
      </c>
      <c r="K493" t="n">
        <v>0</v>
      </c>
      <c r="L493" t="n">
        <v>0</v>
      </c>
      <c r="M493" t="n">
        <v>0</v>
      </c>
      <c r="N493" t="n">
        <v>0</v>
      </c>
      <c r="O493" t="n">
        <v>0</v>
      </c>
      <c r="P493" t="n">
        <v>0</v>
      </c>
      <c r="Q493" t="n">
        <v>0</v>
      </c>
      <c r="R493" s="2" t="inlineStr"/>
    </row>
    <row r="494" ht="15" customHeight="1">
      <c r="A494" t="inlineStr">
        <is>
          <t>A 29702-2021</t>
        </is>
      </c>
      <c r="B494" s="1" t="n">
        <v>44362</v>
      </c>
      <c r="C494" s="1" t="n">
        <v>46063</v>
      </c>
      <c r="D494" t="inlineStr">
        <is>
          <t>SÖDERMANLANDS LÄN</t>
        </is>
      </c>
      <c r="E494" t="inlineStr">
        <is>
          <t>KATRINEHOLM</t>
        </is>
      </c>
      <c r="F494" t="inlineStr">
        <is>
          <t>Holmen skog AB</t>
        </is>
      </c>
      <c r="G494" t="n">
        <v>0.3</v>
      </c>
      <c r="H494" t="n">
        <v>0</v>
      </c>
      <c r="I494" t="n">
        <v>0</v>
      </c>
      <c r="J494" t="n">
        <v>0</v>
      </c>
      <c r="K494" t="n">
        <v>0</v>
      </c>
      <c r="L494" t="n">
        <v>0</v>
      </c>
      <c r="M494" t="n">
        <v>0</v>
      </c>
      <c r="N494" t="n">
        <v>0</v>
      </c>
      <c r="O494" t="n">
        <v>0</v>
      </c>
      <c r="P494" t="n">
        <v>0</v>
      </c>
      <c r="Q494" t="n">
        <v>0</v>
      </c>
      <c r="R494" s="2" t="inlineStr"/>
    </row>
    <row r="495" ht="15" customHeight="1">
      <c r="A495" t="inlineStr">
        <is>
          <t>A 3986-2024</t>
        </is>
      </c>
      <c r="B495" s="1" t="n">
        <v>45322</v>
      </c>
      <c r="C495" s="1" t="n">
        <v>46063</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55029-2025</t>
        </is>
      </c>
      <c r="B496" s="1" t="n">
        <v>45967.63784722222</v>
      </c>
      <c r="C496" s="1" t="n">
        <v>46063</v>
      </c>
      <c r="D496" t="inlineStr">
        <is>
          <t>SÖDERMANLANDS LÄN</t>
        </is>
      </c>
      <c r="E496" t="inlineStr">
        <is>
          <t>KATRINEHOLM</t>
        </is>
      </c>
      <c r="G496" t="n">
        <v>10.1</v>
      </c>
      <c r="H496" t="n">
        <v>0</v>
      </c>
      <c r="I496" t="n">
        <v>0</v>
      </c>
      <c r="J496" t="n">
        <v>0</v>
      </c>
      <c r="K496" t="n">
        <v>0</v>
      </c>
      <c r="L496" t="n">
        <v>0</v>
      </c>
      <c r="M496" t="n">
        <v>0</v>
      </c>
      <c r="N496" t="n">
        <v>0</v>
      </c>
      <c r="O496" t="n">
        <v>0</v>
      </c>
      <c r="P496" t="n">
        <v>0</v>
      </c>
      <c r="Q496" t="n">
        <v>0</v>
      </c>
      <c r="R496" s="2" t="inlineStr"/>
    </row>
    <row r="497" ht="15" customHeight="1">
      <c r="A497" t="inlineStr">
        <is>
          <t>A 10996-2022</t>
        </is>
      </c>
      <c r="B497" s="1" t="n">
        <v>44628</v>
      </c>
      <c r="C497" s="1" t="n">
        <v>46063</v>
      </c>
      <c r="D497" t="inlineStr">
        <is>
          <t>SÖDERMANLANDS LÄN</t>
        </is>
      </c>
      <c r="E497" t="inlineStr">
        <is>
          <t>KATRINEHOLM</t>
        </is>
      </c>
      <c r="G497" t="n">
        <v>0.3</v>
      </c>
      <c r="H497" t="n">
        <v>0</v>
      </c>
      <c r="I497" t="n">
        <v>0</v>
      </c>
      <c r="J497" t="n">
        <v>0</v>
      </c>
      <c r="K497" t="n">
        <v>0</v>
      </c>
      <c r="L497" t="n">
        <v>0</v>
      </c>
      <c r="M497" t="n">
        <v>0</v>
      </c>
      <c r="N497" t="n">
        <v>0</v>
      </c>
      <c r="O497" t="n">
        <v>0</v>
      </c>
      <c r="P497" t="n">
        <v>0</v>
      </c>
      <c r="Q497" t="n">
        <v>0</v>
      </c>
      <c r="R497" s="2" t="inlineStr"/>
    </row>
    <row r="498" ht="15" customHeight="1">
      <c r="A498" t="inlineStr">
        <is>
          <t>A 42451-2023</t>
        </is>
      </c>
      <c r="B498" s="1" t="n">
        <v>45180</v>
      </c>
      <c r="C498" s="1" t="n">
        <v>46063</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54999-2025</t>
        </is>
      </c>
      <c r="B499" s="1" t="n">
        <v>45967.59880787037</v>
      </c>
      <c r="C499" s="1" t="n">
        <v>46063</v>
      </c>
      <c r="D499" t="inlineStr">
        <is>
          <t>SÖDERMANLANDS LÄN</t>
        </is>
      </c>
      <c r="E499" t="inlineStr">
        <is>
          <t>KATRINEHOLM</t>
        </is>
      </c>
      <c r="G499" t="n">
        <v>8.5</v>
      </c>
      <c r="H499" t="n">
        <v>0</v>
      </c>
      <c r="I499" t="n">
        <v>0</v>
      </c>
      <c r="J499" t="n">
        <v>0</v>
      </c>
      <c r="K499" t="n">
        <v>0</v>
      </c>
      <c r="L499" t="n">
        <v>0</v>
      </c>
      <c r="M499" t="n">
        <v>0</v>
      </c>
      <c r="N499" t="n">
        <v>0</v>
      </c>
      <c r="O499" t="n">
        <v>0</v>
      </c>
      <c r="P499" t="n">
        <v>0</v>
      </c>
      <c r="Q499" t="n">
        <v>0</v>
      </c>
      <c r="R499" s="2" t="inlineStr"/>
    </row>
    <row r="500" ht="15" customHeight="1">
      <c r="A500" t="inlineStr">
        <is>
          <t>A 13113-2023</t>
        </is>
      </c>
      <c r="B500" s="1" t="n">
        <v>45002</v>
      </c>
      <c r="C500" s="1" t="n">
        <v>46063</v>
      </c>
      <c r="D500" t="inlineStr">
        <is>
          <t>SÖDERMANLANDS LÄN</t>
        </is>
      </c>
      <c r="E500" t="inlineStr">
        <is>
          <t>KATRINEHOLM</t>
        </is>
      </c>
      <c r="F500" t="inlineStr">
        <is>
          <t>Allmännings- och besparingsskogar</t>
        </is>
      </c>
      <c r="G500" t="n">
        <v>3.6</v>
      </c>
      <c r="H500" t="n">
        <v>0</v>
      </c>
      <c r="I500" t="n">
        <v>0</v>
      </c>
      <c r="J500" t="n">
        <v>0</v>
      </c>
      <c r="K500" t="n">
        <v>0</v>
      </c>
      <c r="L500" t="n">
        <v>0</v>
      </c>
      <c r="M500" t="n">
        <v>0</v>
      </c>
      <c r="N500" t="n">
        <v>0</v>
      </c>
      <c r="O500" t="n">
        <v>0</v>
      </c>
      <c r="P500" t="n">
        <v>0</v>
      </c>
      <c r="Q500" t="n">
        <v>0</v>
      </c>
      <c r="R500" s="2" t="inlineStr"/>
    </row>
    <row r="501" ht="15" customHeight="1">
      <c r="A501" t="inlineStr">
        <is>
          <t>A 6606-2022</t>
        </is>
      </c>
      <c r="B501" s="1" t="n">
        <v>44601</v>
      </c>
      <c r="C501" s="1" t="n">
        <v>46063</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27646-2023</t>
        </is>
      </c>
      <c r="B502" s="1" t="n">
        <v>45097</v>
      </c>
      <c r="C502" s="1" t="n">
        <v>46063</v>
      </c>
      <c r="D502" t="inlineStr">
        <is>
          <t>SÖDERMANLANDS LÄN</t>
        </is>
      </c>
      <c r="E502" t="inlineStr">
        <is>
          <t>KATRINEHOLM</t>
        </is>
      </c>
      <c r="G502" t="n">
        <v>2.4</v>
      </c>
      <c r="H502" t="n">
        <v>0</v>
      </c>
      <c r="I502" t="n">
        <v>0</v>
      </c>
      <c r="J502" t="n">
        <v>0</v>
      </c>
      <c r="K502" t="n">
        <v>0</v>
      </c>
      <c r="L502" t="n">
        <v>0</v>
      </c>
      <c r="M502" t="n">
        <v>0</v>
      </c>
      <c r="N502" t="n">
        <v>0</v>
      </c>
      <c r="O502" t="n">
        <v>0</v>
      </c>
      <c r="P502" t="n">
        <v>0</v>
      </c>
      <c r="Q502" t="n">
        <v>0</v>
      </c>
      <c r="R502" s="2" t="inlineStr"/>
    </row>
    <row r="503" ht="15" customHeight="1">
      <c r="A503" t="inlineStr">
        <is>
          <t>A 15235-2023</t>
        </is>
      </c>
      <c r="B503" s="1" t="n">
        <v>45019</v>
      </c>
      <c r="C503" s="1" t="n">
        <v>46063</v>
      </c>
      <c r="D503" t="inlineStr">
        <is>
          <t>SÖDERMANLANDS LÄN</t>
        </is>
      </c>
      <c r="E503" t="inlineStr">
        <is>
          <t>KATRINEHOLM</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25433-2024</t>
        </is>
      </c>
      <c r="B504" s="1" t="n">
        <v>45463</v>
      </c>
      <c r="C504" s="1" t="n">
        <v>46063</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22304-2024</t>
        </is>
      </c>
      <c r="B505" s="1" t="n">
        <v>45446.56626157407</v>
      </c>
      <c r="C505" s="1" t="n">
        <v>46063</v>
      </c>
      <c r="D505" t="inlineStr">
        <is>
          <t>SÖDERMANLANDS LÄN</t>
        </is>
      </c>
      <c r="E505" t="inlineStr">
        <is>
          <t>KATRINEHOLM</t>
        </is>
      </c>
      <c r="F505" t="inlineStr">
        <is>
          <t>Kommuner</t>
        </is>
      </c>
      <c r="G505" t="n">
        <v>0.7</v>
      </c>
      <c r="H505" t="n">
        <v>0</v>
      </c>
      <c r="I505" t="n">
        <v>0</v>
      </c>
      <c r="J505" t="n">
        <v>0</v>
      </c>
      <c r="K505" t="n">
        <v>0</v>
      </c>
      <c r="L505" t="n">
        <v>0</v>
      </c>
      <c r="M505" t="n">
        <v>0</v>
      </c>
      <c r="N505" t="n">
        <v>0</v>
      </c>
      <c r="O505" t="n">
        <v>0</v>
      </c>
      <c r="P505" t="n">
        <v>0</v>
      </c>
      <c r="Q505" t="n">
        <v>0</v>
      </c>
      <c r="R505" s="2" t="inlineStr"/>
    </row>
    <row r="506" ht="15" customHeight="1">
      <c r="A506" t="inlineStr">
        <is>
          <t>A 14224-2024</t>
        </is>
      </c>
      <c r="B506" s="1" t="n">
        <v>45393</v>
      </c>
      <c r="C506" s="1" t="n">
        <v>46063</v>
      </c>
      <c r="D506" t="inlineStr">
        <is>
          <t>SÖDERMANLANDS LÄN</t>
        </is>
      </c>
      <c r="E506" t="inlineStr">
        <is>
          <t>KATRINEHOLM</t>
        </is>
      </c>
      <c r="F506" t="inlineStr">
        <is>
          <t>Sveaskog</t>
        </is>
      </c>
      <c r="G506" t="n">
        <v>7.6</v>
      </c>
      <c r="H506" t="n">
        <v>0</v>
      </c>
      <c r="I506" t="n">
        <v>0</v>
      </c>
      <c r="J506" t="n">
        <v>0</v>
      </c>
      <c r="K506" t="n">
        <v>0</v>
      </c>
      <c r="L506" t="n">
        <v>0</v>
      </c>
      <c r="M506" t="n">
        <v>0</v>
      </c>
      <c r="N506" t="n">
        <v>0</v>
      </c>
      <c r="O506" t="n">
        <v>0</v>
      </c>
      <c r="P506" t="n">
        <v>0</v>
      </c>
      <c r="Q506" t="n">
        <v>0</v>
      </c>
      <c r="R506" s="2" t="inlineStr"/>
    </row>
    <row r="507" ht="15" customHeight="1">
      <c r="A507" t="inlineStr">
        <is>
          <t>A 23341-2023</t>
        </is>
      </c>
      <c r="B507" s="1" t="n">
        <v>45076</v>
      </c>
      <c r="C507" s="1" t="n">
        <v>46063</v>
      </c>
      <c r="D507" t="inlineStr">
        <is>
          <t>SÖDERMANLANDS LÄN</t>
        </is>
      </c>
      <c r="E507" t="inlineStr">
        <is>
          <t>KATRINEHOLM</t>
        </is>
      </c>
      <c r="G507" t="n">
        <v>3.5</v>
      </c>
      <c r="H507" t="n">
        <v>0</v>
      </c>
      <c r="I507" t="n">
        <v>0</v>
      </c>
      <c r="J507" t="n">
        <v>0</v>
      </c>
      <c r="K507" t="n">
        <v>0</v>
      </c>
      <c r="L507" t="n">
        <v>0</v>
      </c>
      <c r="M507" t="n">
        <v>0</v>
      </c>
      <c r="N507" t="n">
        <v>0</v>
      </c>
      <c r="O507" t="n">
        <v>0</v>
      </c>
      <c r="P507" t="n">
        <v>0</v>
      </c>
      <c r="Q507" t="n">
        <v>0</v>
      </c>
      <c r="R507" s="2" t="inlineStr"/>
    </row>
    <row r="508" ht="15" customHeight="1">
      <c r="A508" t="inlineStr">
        <is>
          <t>A 55829-2025</t>
        </is>
      </c>
      <c r="B508" s="1" t="n">
        <v>45972.79274305556</v>
      </c>
      <c r="C508" s="1" t="n">
        <v>46063</v>
      </c>
      <c r="D508" t="inlineStr">
        <is>
          <t>SÖDERMANLANDS LÄN</t>
        </is>
      </c>
      <c r="E508" t="inlineStr">
        <is>
          <t>KATRINEHOLM</t>
        </is>
      </c>
      <c r="G508" t="n">
        <v>3.2</v>
      </c>
      <c r="H508" t="n">
        <v>0</v>
      </c>
      <c r="I508" t="n">
        <v>0</v>
      </c>
      <c r="J508" t="n">
        <v>0</v>
      </c>
      <c r="K508" t="n">
        <v>0</v>
      </c>
      <c r="L508" t="n">
        <v>0</v>
      </c>
      <c r="M508" t="n">
        <v>0</v>
      </c>
      <c r="N508" t="n">
        <v>0</v>
      </c>
      <c r="O508" t="n">
        <v>0</v>
      </c>
      <c r="P508" t="n">
        <v>0</v>
      </c>
      <c r="Q508" t="n">
        <v>0</v>
      </c>
      <c r="R508" s="2" t="inlineStr"/>
    </row>
    <row r="509" ht="15" customHeight="1">
      <c r="A509" t="inlineStr">
        <is>
          <t>A 55832-2025</t>
        </is>
      </c>
      <c r="B509" s="1" t="n">
        <v>45972.81768518518</v>
      </c>
      <c r="C509" s="1" t="n">
        <v>46063</v>
      </c>
      <c r="D509" t="inlineStr">
        <is>
          <t>SÖDERMANLANDS LÄN</t>
        </is>
      </c>
      <c r="E509" t="inlineStr">
        <is>
          <t>KATRINEHOLM</t>
        </is>
      </c>
      <c r="G509" t="n">
        <v>2</v>
      </c>
      <c r="H509" t="n">
        <v>0</v>
      </c>
      <c r="I509" t="n">
        <v>0</v>
      </c>
      <c r="J509" t="n">
        <v>0</v>
      </c>
      <c r="K509" t="n">
        <v>0</v>
      </c>
      <c r="L509" t="n">
        <v>0</v>
      </c>
      <c r="M509" t="n">
        <v>0</v>
      </c>
      <c r="N509" t="n">
        <v>0</v>
      </c>
      <c r="O509" t="n">
        <v>0</v>
      </c>
      <c r="P509" t="n">
        <v>0</v>
      </c>
      <c r="Q509" t="n">
        <v>0</v>
      </c>
      <c r="R509" s="2" t="inlineStr"/>
    </row>
    <row r="510" ht="15" customHeight="1">
      <c r="A510" t="inlineStr">
        <is>
          <t>A 36366-2023</t>
        </is>
      </c>
      <c r="B510" s="1" t="n">
        <v>45152</v>
      </c>
      <c r="C510" s="1" t="n">
        <v>46063</v>
      </c>
      <c r="D510" t="inlineStr">
        <is>
          <t>SÖDERMANLANDS LÄN</t>
        </is>
      </c>
      <c r="E510" t="inlineStr">
        <is>
          <t>KATRINEHOLM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36021-2023</t>
        </is>
      </c>
      <c r="B511" s="1" t="n">
        <v>45148</v>
      </c>
      <c r="C511" s="1" t="n">
        <v>46063</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28597-2024</t>
        </is>
      </c>
      <c r="B512" s="1" t="n">
        <v>45478</v>
      </c>
      <c r="C512" s="1" t="n">
        <v>46063</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55831-2025</t>
        </is>
      </c>
      <c r="B513" s="1" t="n">
        <v>45972.81034722222</v>
      </c>
      <c r="C513" s="1" t="n">
        <v>46063</v>
      </c>
      <c r="D513" t="inlineStr">
        <is>
          <t>SÖDERMANLANDS LÄN</t>
        </is>
      </c>
      <c r="E513" t="inlineStr">
        <is>
          <t>KATRINEHOLM</t>
        </is>
      </c>
      <c r="G513" t="n">
        <v>6.2</v>
      </c>
      <c r="H513" t="n">
        <v>0</v>
      </c>
      <c r="I513" t="n">
        <v>0</v>
      </c>
      <c r="J513" t="n">
        <v>0</v>
      </c>
      <c r="K513" t="n">
        <v>0</v>
      </c>
      <c r="L513" t="n">
        <v>0</v>
      </c>
      <c r="M513" t="n">
        <v>0</v>
      </c>
      <c r="N513" t="n">
        <v>0</v>
      </c>
      <c r="O513" t="n">
        <v>0</v>
      </c>
      <c r="P513" t="n">
        <v>0</v>
      </c>
      <c r="Q513" t="n">
        <v>0</v>
      </c>
      <c r="R513" s="2" t="inlineStr"/>
    </row>
    <row r="514" ht="15" customHeight="1">
      <c r="A514" t="inlineStr">
        <is>
          <t>A 56330-2025</t>
        </is>
      </c>
      <c r="B514" s="1" t="n">
        <v>45974.64094907408</v>
      </c>
      <c r="C514" s="1" t="n">
        <v>46063</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29198-2023</t>
        </is>
      </c>
      <c r="B515" s="1" t="n">
        <v>45105</v>
      </c>
      <c r="C515" s="1" t="n">
        <v>46063</v>
      </c>
      <c r="D515" t="inlineStr">
        <is>
          <t>SÖDERMANLANDS LÄN</t>
        </is>
      </c>
      <c r="E515" t="inlineStr">
        <is>
          <t>KATRINEHOLM</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9992-2022</t>
        </is>
      </c>
      <c r="B516" s="1" t="n">
        <v>44621</v>
      </c>
      <c r="C516" s="1" t="n">
        <v>46063</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41267-2023</t>
        </is>
      </c>
      <c r="B517" s="1" t="n">
        <v>45174</v>
      </c>
      <c r="C517" s="1" t="n">
        <v>46063</v>
      </c>
      <c r="D517" t="inlineStr">
        <is>
          <t>SÖDERMANLANDS LÄN</t>
        </is>
      </c>
      <c r="E517" t="inlineStr">
        <is>
          <t>KATRINEHOLM</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4650-2024</t>
        </is>
      </c>
      <c r="B518" s="1" t="n">
        <v>45328</v>
      </c>
      <c r="C518" s="1" t="n">
        <v>46063</v>
      </c>
      <c r="D518" t="inlineStr">
        <is>
          <t>SÖDERMANLANDS LÄN</t>
        </is>
      </c>
      <c r="E518" t="inlineStr">
        <is>
          <t>KATRINEHOLM</t>
        </is>
      </c>
      <c r="G518" t="n">
        <v>0.6</v>
      </c>
      <c r="H518" t="n">
        <v>0</v>
      </c>
      <c r="I518" t="n">
        <v>0</v>
      </c>
      <c r="J518" t="n">
        <v>0</v>
      </c>
      <c r="K518" t="n">
        <v>0</v>
      </c>
      <c r="L518" t="n">
        <v>0</v>
      </c>
      <c r="M518" t="n">
        <v>0</v>
      </c>
      <c r="N518" t="n">
        <v>0</v>
      </c>
      <c r="O518" t="n">
        <v>0</v>
      </c>
      <c r="P518" t="n">
        <v>0</v>
      </c>
      <c r="Q518" t="n">
        <v>0</v>
      </c>
      <c r="R518" s="2" t="inlineStr"/>
    </row>
    <row r="519" ht="15" customHeight="1">
      <c r="A519" t="inlineStr">
        <is>
          <t>A 4652-2024</t>
        </is>
      </c>
      <c r="B519" s="1" t="n">
        <v>45328</v>
      </c>
      <c r="C519" s="1" t="n">
        <v>46063</v>
      </c>
      <c r="D519" t="inlineStr">
        <is>
          <t>SÖDERMANLANDS LÄN</t>
        </is>
      </c>
      <c r="E519" t="inlineStr">
        <is>
          <t>KATRINEHOLM</t>
        </is>
      </c>
      <c r="F519" t="inlineStr">
        <is>
          <t>Övriga Aktiebolag</t>
        </is>
      </c>
      <c r="G519" t="n">
        <v>6.1</v>
      </c>
      <c r="H519" t="n">
        <v>0</v>
      </c>
      <c r="I519" t="n">
        <v>0</v>
      </c>
      <c r="J519" t="n">
        <v>0</v>
      </c>
      <c r="K519" t="n">
        <v>0</v>
      </c>
      <c r="L519" t="n">
        <v>0</v>
      </c>
      <c r="M519" t="n">
        <v>0</v>
      </c>
      <c r="N519" t="n">
        <v>0</v>
      </c>
      <c r="O519" t="n">
        <v>0</v>
      </c>
      <c r="P519" t="n">
        <v>0</v>
      </c>
      <c r="Q519" t="n">
        <v>0</v>
      </c>
      <c r="R519" s="2" t="inlineStr"/>
    </row>
    <row r="520" ht="15" customHeight="1">
      <c r="A520" t="inlineStr">
        <is>
          <t>A 56597-2025</t>
        </is>
      </c>
      <c r="B520" s="1" t="n">
        <v>45975.57271990741</v>
      </c>
      <c r="C520" s="1" t="n">
        <v>46063</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29008-2024</t>
        </is>
      </c>
      <c r="B521" s="1" t="n">
        <v>45481</v>
      </c>
      <c r="C521" s="1" t="n">
        <v>46063</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9936-2023</t>
        </is>
      </c>
      <c r="B522" s="1" t="n">
        <v>44985.47086805556</v>
      </c>
      <c r="C522" s="1" t="n">
        <v>46063</v>
      </c>
      <c r="D522" t="inlineStr">
        <is>
          <t>SÖDERMANLANDS LÄN</t>
        </is>
      </c>
      <c r="E522" t="inlineStr">
        <is>
          <t>KATRINEHOLM</t>
        </is>
      </c>
      <c r="G522" t="n">
        <v>0.4</v>
      </c>
      <c r="H522" t="n">
        <v>0</v>
      </c>
      <c r="I522" t="n">
        <v>0</v>
      </c>
      <c r="J522" t="n">
        <v>0</v>
      </c>
      <c r="K522" t="n">
        <v>0</v>
      </c>
      <c r="L522" t="n">
        <v>0</v>
      </c>
      <c r="M522" t="n">
        <v>0</v>
      </c>
      <c r="N522" t="n">
        <v>0</v>
      </c>
      <c r="O522" t="n">
        <v>0</v>
      </c>
      <c r="P522" t="n">
        <v>0</v>
      </c>
      <c r="Q522" t="n">
        <v>0</v>
      </c>
      <c r="R522" s="2" t="inlineStr"/>
    </row>
    <row r="523" ht="15" customHeight="1">
      <c r="A523" t="inlineStr">
        <is>
          <t>A 4645-2024</t>
        </is>
      </c>
      <c r="B523" s="1" t="n">
        <v>45328</v>
      </c>
      <c r="C523" s="1" t="n">
        <v>46063</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36001-2024</t>
        </is>
      </c>
      <c r="B524" s="1" t="n">
        <v>45533.54609953704</v>
      </c>
      <c r="C524" s="1" t="n">
        <v>46063</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57323-2025</t>
        </is>
      </c>
      <c r="B525" s="1" t="n">
        <v>45980.32501157407</v>
      </c>
      <c r="C525" s="1" t="n">
        <v>46063</v>
      </c>
      <c r="D525" t="inlineStr">
        <is>
          <t>SÖDERMANLANDS LÄN</t>
        </is>
      </c>
      <c r="E525" t="inlineStr">
        <is>
          <t>KATRINEHOLM</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36832-2023</t>
        </is>
      </c>
      <c r="B526" s="1" t="n">
        <v>45153</v>
      </c>
      <c r="C526" s="1" t="n">
        <v>46063</v>
      </c>
      <c r="D526" t="inlineStr">
        <is>
          <t>SÖDERMANLANDS LÄN</t>
        </is>
      </c>
      <c r="E526" t="inlineStr">
        <is>
          <t>KATRINEHOLM</t>
        </is>
      </c>
      <c r="F526" t="inlineStr">
        <is>
          <t>Övriga Aktiebolag</t>
        </is>
      </c>
      <c r="G526" t="n">
        <v>9</v>
      </c>
      <c r="H526" t="n">
        <v>0</v>
      </c>
      <c r="I526" t="n">
        <v>0</v>
      </c>
      <c r="J526" t="n">
        <v>0</v>
      </c>
      <c r="K526" t="n">
        <v>0</v>
      </c>
      <c r="L526" t="n">
        <v>0</v>
      </c>
      <c r="M526" t="n">
        <v>0</v>
      </c>
      <c r="N526" t="n">
        <v>0</v>
      </c>
      <c r="O526" t="n">
        <v>0</v>
      </c>
      <c r="P526" t="n">
        <v>0</v>
      </c>
      <c r="Q526" t="n">
        <v>0</v>
      </c>
      <c r="R526" s="2" t="inlineStr"/>
    </row>
    <row r="527" ht="15" customHeight="1">
      <c r="A527" t="inlineStr">
        <is>
          <t>A 28931-2024</t>
        </is>
      </c>
      <c r="B527" s="1" t="n">
        <v>45479</v>
      </c>
      <c r="C527" s="1" t="n">
        <v>46063</v>
      </c>
      <c r="D527" t="inlineStr">
        <is>
          <t>SÖDERMANLANDS LÄN</t>
        </is>
      </c>
      <c r="E527" t="inlineStr">
        <is>
          <t>KATRINEHOLM</t>
        </is>
      </c>
      <c r="G527" t="n">
        <v>7.4</v>
      </c>
      <c r="H527" t="n">
        <v>0</v>
      </c>
      <c r="I527" t="n">
        <v>0</v>
      </c>
      <c r="J527" t="n">
        <v>0</v>
      </c>
      <c r="K527" t="n">
        <v>0</v>
      </c>
      <c r="L527" t="n">
        <v>0</v>
      </c>
      <c r="M527" t="n">
        <v>0</v>
      </c>
      <c r="N527" t="n">
        <v>0</v>
      </c>
      <c r="O527" t="n">
        <v>0</v>
      </c>
      <c r="P527" t="n">
        <v>0</v>
      </c>
      <c r="Q527" t="n">
        <v>0</v>
      </c>
      <c r="R527" s="2" t="inlineStr"/>
    </row>
    <row r="528" ht="15" customHeight="1">
      <c r="A528" t="inlineStr">
        <is>
          <t>A 6810-2023</t>
        </is>
      </c>
      <c r="B528" s="1" t="n">
        <v>44964</v>
      </c>
      <c r="C528" s="1" t="n">
        <v>46063</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57975-2025</t>
        </is>
      </c>
      <c r="B529" s="1" t="n">
        <v>45981</v>
      </c>
      <c r="C529" s="1" t="n">
        <v>46063</v>
      </c>
      <c r="D529" t="inlineStr">
        <is>
          <t>SÖDERMANLANDS LÄN</t>
        </is>
      </c>
      <c r="E529" t="inlineStr">
        <is>
          <t>KATRINEHOLM</t>
        </is>
      </c>
      <c r="G529" t="n">
        <v>3.1</v>
      </c>
      <c r="H529" t="n">
        <v>0</v>
      </c>
      <c r="I529" t="n">
        <v>0</v>
      </c>
      <c r="J529" t="n">
        <v>0</v>
      </c>
      <c r="K529" t="n">
        <v>0</v>
      </c>
      <c r="L529" t="n">
        <v>0</v>
      </c>
      <c r="M529" t="n">
        <v>0</v>
      </c>
      <c r="N529" t="n">
        <v>0</v>
      </c>
      <c r="O529" t="n">
        <v>0</v>
      </c>
      <c r="P529" t="n">
        <v>0</v>
      </c>
      <c r="Q529" t="n">
        <v>0</v>
      </c>
      <c r="R529" s="2" t="inlineStr"/>
    </row>
    <row r="530" ht="15" customHeight="1">
      <c r="A530" t="inlineStr">
        <is>
          <t>A 32944-2023</t>
        </is>
      </c>
      <c r="B530" s="1" t="n">
        <v>45125</v>
      </c>
      <c r="C530" s="1" t="n">
        <v>46063</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29977-2023</t>
        </is>
      </c>
      <c r="B531" s="1" t="n">
        <v>45108</v>
      </c>
      <c r="C531" s="1" t="n">
        <v>46063</v>
      </c>
      <c r="D531" t="inlineStr">
        <is>
          <t>SÖDERMANLANDS LÄN</t>
        </is>
      </c>
      <c r="E531" t="inlineStr">
        <is>
          <t>KATRINEHOLM</t>
        </is>
      </c>
      <c r="G531" t="n">
        <v>2.4</v>
      </c>
      <c r="H531" t="n">
        <v>0</v>
      </c>
      <c r="I531" t="n">
        <v>0</v>
      </c>
      <c r="J531" t="n">
        <v>0</v>
      </c>
      <c r="K531" t="n">
        <v>0</v>
      </c>
      <c r="L531" t="n">
        <v>0</v>
      </c>
      <c r="M531" t="n">
        <v>0</v>
      </c>
      <c r="N531" t="n">
        <v>0</v>
      </c>
      <c r="O531" t="n">
        <v>0</v>
      </c>
      <c r="P531" t="n">
        <v>0</v>
      </c>
      <c r="Q531" t="n">
        <v>0</v>
      </c>
      <c r="R531" s="2" t="inlineStr"/>
    </row>
    <row r="532" ht="15" customHeight="1">
      <c r="A532" t="inlineStr">
        <is>
          <t>A 5788-2022</t>
        </is>
      </c>
      <c r="B532" s="1" t="n">
        <v>44596.54990740741</v>
      </c>
      <c r="C532" s="1" t="n">
        <v>46063</v>
      </c>
      <c r="D532" t="inlineStr">
        <is>
          <t>SÖDERMANLANDS LÄN</t>
        </is>
      </c>
      <c r="E532" t="inlineStr">
        <is>
          <t>KATRINEHOLM</t>
        </is>
      </c>
      <c r="G532" t="n">
        <v>4.1</v>
      </c>
      <c r="H532" t="n">
        <v>0</v>
      </c>
      <c r="I532" t="n">
        <v>0</v>
      </c>
      <c r="J532" t="n">
        <v>0</v>
      </c>
      <c r="K532" t="n">
        <v>0</v>
      </c>
      <c r="L532" t="n">
        <v>0</v>
      </c>
      <c r="M532" t="n">
        <v>0</v>
      </c>
      <c r="N532" t="n">
        <v>0</v>
      </c>
      <c r="O532" t="n">
        <v>0</v>
      </c>
      <c r="P532" t="n">
        <v>0</v>
      </c>
      <c r="Q532" t="n">
        <v>0</v>
      </c>
      <c r="R532" s="2" t="inlineStr"/>
    </row>
    <row r="533" ht="15" customHeight="1">
      <c r="A533" t="inlineStr">
        <is>
          <t>A 20803-2024</t>
        </is>
      </c>
      <c r="B533" s="1" t="n">
        <v>45438</v>
      </c>
      <c r="C533" s="1" t="n">
        <v>46063</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46063</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46063</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73409-2021</t>
        </is>
      </c>
      <c r="B536" s="1" t="n">
        <v>44551</v>
      </c>
      <c r="C536" s="1" t="n">
        <v>46063</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73415-2021</t>
        </is>
      </c>
      <c r="B537" s="1" t="n">
        <v>44551</v>
      </c>
      <c r="C537" s="1" t="n">
        <v>46063</v>
      </c>
      <c r="D537" t="inlineStr">
        <is>
          <t>SÖDERMANLANDS LÄN</t>
        </is>
      </c>
      <c r="E537" t="inlineStr">
        <is>
          <t>KATRINEHOLM</t>
        </is>
      </c>
      <c r="G537" t="n">
        <v>3.2</v>
      </c>
      <c r="H537" t="n">
        <v>0</v>
      </c>
      <c r="I537" t="n">
        <v>0</v>
      </c>
      <c r="J537" t="n">
        <v>0</v>
      </c>
      <c r="K537" t="n">
        <v>0</v>
      </c>
      <c r="L537" t="n">
        <v>0</v>
      </c>
      <c r="M537" t="n">
        <v>0</v>
      </c>
      <c r="N537" t="n">
        <v>0</v>
      </c>
      <c r="O537" t="n">
        <v>0</v>
      </c>
      <c r="P537" t="n">
        <v>0</v>
      </c>
      <c r="Q537" t="n">
        <v>0</v>
      </c>
      <c r="R537" s="2" t="inlineStr"/>
    </row>
    <row r="538" ht="15" customHeight="1">
      <c r="A538" t="inlineStr">
        <is>
          <t>A 1106-2026</t>
        </is>
      </c>
      <c r="B538" s="1" t="n">
        <v>46030.67123842592</v>
      </c>
      <c r="C538" s="1" t="n">
        <v>46063</v>
      </c>
      <c r="D538" t="inlineStr">
        <is>
          <t>SÖDERMANLANDS LÄN</t>
        </is>
      </c>
      <c r="E538" t="inlineStr">
        <is>
          <t>KATRINEHOLM</t>
        </is>
      </c>
      <c r="G538" t="n">
        <v>1.5</v>
      </c>
      <c r="H538" t="n">
        <v>0</v>
      </c>
      <c r="I538" t="n">
        <v>0</v>
      </c>
      <c r="J538" t="n">
        <v>0</v>
      </c>
      <c r="K538" t="n">
        <v>0</v>
      </c>
      <c r="L538" t="n">
        <v>0</v>
      </c>
      <c r="M538" t="n">
        <v>0</v>
      </c>
      <c r="N538" t="n">
        <v>0</v>
      </c>
      <c r="O538" t="n">
        <v>0</v>
      </c>
      <c r="P538" t="n">
        <v>0</v>
      </c>
      <c r="Q538" t="n">
        <v>0</v>
      </c>
      <c r="R538" s="2" t="inlineStr"/>
    </row>
    <row r="539" ht="15" customHeight="1">
      <c r="A539" t="inlineStr">
        <is>
          <t>A 1114-2026</t>
        </is>
      </c>
      <c r="B539" s="1" t="n">
        <v>46030.684375</v>
      </c>
      <c r="C539" s="1" t="n">
        <v>46063</v>
      </c>
      <c r="D539" t="inlineStr">
        <is>
          <t>SÖDERMANLANDS LÄN</t>
        </is>
      </c>
      <c r="E539" t="inlineStr">
        <is>
          <t>KATRINEHOLM</t>
        </is>
      </c>
      <c r="G539" t="n">
        <v>0.9</v>
      </c>
      <c r="H539" t="n">
        <v>0</v>
      </c>
      <c r="I539" t="n">
        <v>0</v>
      </c>
      <c r="J539" t="n">
        <v>0</v>
      </c>
      <c r="K539" t="n">
        <v>0</v>
      </c>
      <c r="L539" t="n">
        <v>0</v>
      </c>
      <c r="M539" t="n">
        <v>0</v>
      </c>
      <c r="N539" t="n">
        <v>0</v>
      </c>
      <c r="O539" t="n">
        <v>0</v>
      </c>
      <c r="P539" t="n">
        <v>0</v>
      </c>
      <c r="Q539" t="n">
        <v>0</v>
      </c>
      <c r="R539" s="2" t="inlineStr"/>
    </row>
    <row r="540" ht="15" customHeight="1">
      <c r="A540" t="inlineStr">
        <is>
          <t>A 8087-2022</t>
        </is>
      </c>
      <c r="B540" s="1" t="n">
        <v>44609.53502314815</v>
      </c>
      <c r="C540" s="1" t="n">
        <v>46063</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50935-2023</t>
        </is>
      </c>
      <c r="B541" s="1" t="n">
        <v>45211</v>
      </c>
      <c r="C541" s="1" t="n">
        <v>46063</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1098-2026</t>
        </is>
      </c>
      <c r="B542" s="1" t="n">
        <v>46030.66519675926</v>
      </c>
      <c r="C542" s="1" t="n">
        <v>46063</v>
      </c>
      <c r="D542" t="inlineStr">
        <is>
          <t>SÖDERMANLANDS LÄN</t>
        </is>
      </c>
      <c r="E542" t="inlineStr">
        <is>
          <t>KATRINEHOLM</t>
        </is>
      </c>
      <c r="G542" t="n">
        <v>3.4</v>
      </c>
      <c r="H542" t="n">
        <v>0</v>
      </c>
      <c r="I542" t="n">
        <v>0</v>
      </c>
      <c r="J542" t="n">
        <v>0</v>
      </c>
      <c r="K542" t="n">
        <v>0</v>
      </c>
      <c r="L542" t="n">
        <v>0</v>
      </c>
      <c r="M542" t="n">
        <v>0</v>
      </c>
      <c r="N542" t="n">
        <v>0</v>
      </c>
      <c r="O542" t="n">
        <v>0</v>
      </c>
      <c r="P542" t="n">
        <v>0</v>
      </c>
      <c r="Q542" t="n">
        <v>0</v>
      </c>
      <c r="R542" s="2" t="inlineStr"/>
    </row>
    <row r="543" ht="15" customHeight="1">
      <c r="A543" t="inlineStr">
        <is>
          <t>A 1112-2026</t>
        </is>
      </c>
      <c r="B543" s="1" t="n">
        <v>46030.68107638889</v>
      </c>
      <c r="C543" s="1" t="n">
        <v>46063</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6298-2024</t>
        </is>
      </c>
      <c r="B544" s="1" t="n">
        <v>45338.34245370371</v>
      </c>
      <c r="C544" s="1" t="n">
        <v>46063</v>
      </c>
      <c r="D544" t="inlineStr">
        <is>
          <t>SÖDERMANLANDS LÄN</t>
        </is>
      </c>
      <c r="E544" t="inlineStr">
        <is>
          <t>KATRINEHOLM</t>
        </is>
      </c>
      <c r="G544" t="n">
        <v>1.4</v>
      </c>
      <c r="H544" t="n">
        <v>0</v>
      </c>
      <c r="I544" t="n">
        <v>0</v>
      </c>
      <c r="J544" t="n">
        <v>0</v>
      </c>
      <c r="K544" t="n">
        <v>0</v>
      </c>
      <c r="L544" t="n">
        <v>0</v>
      </c>
      <c r="M544" t="n">
        <v>0</v>
      </c>
      <c r="N544" t="n">
        <v>0</v>
      </c>
      <c r="O544" t="n">
        <v>0</v>
      </c>
      <c r="P544" t="n">
        <v>0</v>
      </c>
      <c r="Q544" t="n">
        <v>0</v>
      </c>
      <c r="R544" s="2" t="inlineStr"/>
    </row>
    <row r="545" ht="15" customHeight="1">
      <c r="A545" t="inlineStr">
        <is>
          <t>A 33001-2024</t>
        </is>
      </c>
      <c r="B545" s="1" t="n">
        <v>45517</v>
      </c>
      <c r="C545" s="1" t="n">
        <v>46063</v>
      </c>
      <c r="D545" t="inlineStr">
        <is>
          <t>SÖDERMANLANDS LÄN</t>
        </is>
      </c>
      <c r="E545" t="inlineStr">
        <is>
          <t>KATRINEHOLM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58175-2024</t>
        </is>
      </c>
      <c r="B546" s="1" t="n">
        <v>45632.46648148148</v>
      </c>
      <c r="C546" s="1" t="n">
        <v>46063</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53715-2023</t>
        </is>
      </c>
      <c r="B547" s="1" t="n">
        <v>45230</v>
      </c>
      <c r="C547" s="1" t="n">
        <v>46063</v>
      </c>
      <c r="D547" t="inlineStr">
        <is>
          <t>SÖDERMANLANDS LÄN</t>
        </is>
      </c>
      <c r="E547" t="inlineStr">
        <is>
          <t>KATRINEHOLM</t>
        </is>
      </c>
      <c r="F547" t="inlineStr">
        <is>
          <t>Allmännings- och besparingsskogar</t>
        </is>
      </c>
      <c r="G547" t="n">
        <v>5.6</v>
      </c>
      <c r="H547" t="n">
        <v>0</v>
      </c>
      <c r="I547" t="n">
        <v>0</v>
      </c>
      <c r="J547" t="n">
        <v>0</v>
      </c>
      <c r="K547" t="n">
        <v>0</v>
      </c>
      <c r="L547" t="n">
        <v>0</v>
      </c>
      <c r="M547" t="n">
        <v>0</v>
      </c>
      <c r="N547" t="n">
        <v>0</v>
      </c>
      <c r="O547" t="n">
        <v>0</v>
      </c>
      <c r="P547" t="n">
        <v>0</v>
      </c>
      <c r="Q547" t="n">
        <v>0</v>
      </c>
      <c r="R547" s="2" t="inlineStr"/>
    </row>
    <row r="548" ht="15" customHeight="1">
      <c r="A548" t="inlineStr">
        <is>
          <t>A 23705-2023</t>
        </is>
      </c>
      <c r="B548" s="1" t="n">
        <v>45077</v>
      </c>
      <c r="C548" s="1" t="n">
        <v>46063</v>
      </c>
      <c r="D548" t="inlineStr">
        <is>
          <t>SÖDERMANLANDS LÄN</t>
        </is>
      </c>
      <c r="E548" t="inlineStr">
        <is>
          <t>KATRINEHOLM</t>
        </is>
      </c>
      <c r="F548" t="inlineStr">
        <is>
          <t>Kyrkan</t>
        </is>
      </c>
      <c r="G548" t="n">
        <v>11.9</v>
      </c>
      <c r="H548" t="n">
        <v>0</v>
      </c>
      <c r="I548" t="n">
        <v>0</v>
      </c>
      <c r="J548" t="n">
        <v>0</v>
      </c>
      <c r="K548" t="n">
        <v>0</v>
      </c>
      <c r="L548" t="n">
        <v>0</v>
      </c>
      <c r="M548" t="n">
        <v>0</v>
      </c>
      <c r="N548" t="n">
        <v>0</v>
      </c>
      <c r="O548" t="n">
        <v>0</v>
      </c>
      <c r="P548" t="n">
        <v>0</v>
      </c>
      <c r="Q548" t="n">
        <v>0</v>
      </c>
      <c r="R548" s="2" t="inlineStr"/>
    </row>
    <row r="549" ht="15" customHeight="1">
      <c r="A549" t="inlineStr">
        <is>
          <t>A 1668-2026</t>
        </is>
      </c>
      <c r="B549" s="1" t="n">
        <v>46034.55986111111</v>
      </c>
      <c r="C549" s="1" t="n">
        <v>46063</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39120-2023</t>
        </is>
      </c>
      <c r="B550" s="1" t="n">
        <v>45165</v>
      </c>
      <c r="C550" s="1" t="n">
        <v>46063</v>
      </c>
      <c r="D550" t="inlineStr">
        <is>
          <t>SÖDERMANLANDS LÄN</t>
        </is>
      </c>
      <c r="E550" t="inlineStr">
        <is>
          <t>KATRINEHOLM</t>
        </is>
      </c>
      <c r="G550" t="n">
        <v>4.4</v>
      </c>
      <c r="H550" t="n">
        <v>0</v>
      </c>
      <c r="I550" t="n">
        <v>0</v>
      </c>
      <c r="J550" t="n">
        <v>0</v>
      </c>
      <c r="K550" t="n">
        <v>0</v>
      </c>
      <c r="L550" t="n">
        <v>0</v>
      </c>
      <c r="M550" t="n">
        <v>0</v>
      </c>
      <c r="N550" t="n">
        <v>0</v>
      </c>
      <c r="O550" t="n">
        <v>0</v>
      </c>
      <c r="P550" t="n">
        <v>0</v>
      </c>
      <c r="Q550" t="n">
        <v>0</v>
      </c>
      <c r="R550" s="2" t="inlineStr"/>
    </row>
    <row r="551" ht="15" customHeight="1">
      <c r="A551" t="inlineStr">
        <is>
          <t>A 59967-2025</t>
        </is>
      </c>
      <c r="B551" s="1" t="n">
        <v>45993.48525462963</v>
      </c>
      <c r="C551" s="1" t="n">
        <v>46063</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51397-2023</t>
        </is>
      </c>
      <c r="B552" s="1" t="n">
        <v>45214</v>
      </c>
      <c r="C552" s="1" t="n">
        <v>46063</v>
      </c>
      <c r="D552" t="inlineStr">
        <is>
          <t>SÖDERMANLANDS LÄN</t>
        </is>
      </c>
      <c r="E552" t="inlineStr">
        <is>
          <t>KATRINEHOLM</t>
        </is>
      </c>
      <c r="G552" t="n">
        <v>4.9</v>
      </c>
      <c r="H552" t="n">
        <v>0</v>
      </c>
      <c r="I552" t="n">
        <v>0</v>
      </c>
      <c r="J552" t="n">
        <v>0</v>
      </c>
      <c r="K552" t="n">
        <v>0</v>
      </c>
      <c r="L552" t="n">
        <v>0</v>
      </c>
      <c r="M552" t="n">
        <v>0</v>
      </c>
      <c r="N552" t="n">
        <v>0</v>
      </c>
      <c r="O552" t="n">
        <v>0</v>
      </c>
      <c r="P552" t="n">
        <v>0</v>
      </c>
      <c r="Q552" t="n">
        <v>0</v>
      </c>
      <c r="R552" s="2" t="inlineStr"/>
    </row>
    <row r="553" ht="15" customHeight="1">
      <c r="A553" t="inlineStr">
        <is>
          <t>A 19452-2023</t>
        </is>
      </c>
      <c r="B553" s="1" t="n">
        <v>45050</v>
      </c>
      <c r="C553" s="1" t="n">
        <v>46063</v>
      </c>
      <c r="D553" t="inlineStr">
        <is>
          <t>SÖDERMANLANDS LÄN</t>
        </is>
      </c>
      <c r="E553" t="inlineStr">
        <is>
          <t>KATRINEHOLM</t>
        </is>
      </c>
      <c r="F553" t="inlineStr">
        <is>
          <t>Holmen skog AB</t>
        </is>
      </c>
      <c r="G553" t="n">
        <v>4.7</v>
      </c>
      <c r="H553" t="n">
        <v>0</v>
      </c>
      <c r="I553" t="n">
        <v>0</v>
      </c>
      <c r="J553" t="n">
        <v>0</v>
      </c>
      <c r="K553" t="n">
        <v>0</v>
      </c>
      <c r="L553" t="n">
        <v>0</v>
      </c>
      <c r="M553" t="n">
        <v>0</v>
      </c>
      <c r="N553" t="n">
        <v>0</v>
      </c>
      <c r="O553" t="n">
        <v>0</v>
      </c>
      <c r="P553" t="n">
        <v>0</v>
      </c>
      <c r="Q553" t="n">
        <v>0</v>
      </c>
      <c r="R553" s="2" t="inlineStr"/>
    </row>
    <row r="554" ht="15" customHeight="1">
      <c r="A554" t="inlineStr">
        <is>
          <t>A 60678-2025</t>
        </is>
      </c>
      <c r="B554" s="1" t="n">
        <v>45996.56251157408</v>
      </c>
      <c r="C554" s="1" t="n">
        <v>46063</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52658-2023</t>
        </is>
      </c>
      <c r="B555" s="1" t="n">
        <v>45225</v>
      </c>
      <c r="C555" s="1" t="n">
        <v>46063</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2672-2026</t>
        </is>
      </c>
      <c r="B556" s="1" t="n">
        <v>46037</v>
      </c>
      <c r="C556" s="1" t="n">
        <v>46063</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2473-2026</t>
        </is>
      </c>
      <c r="B557" s="1" t="n">
        <v>46037.37704861111</v>
      </c>
      <c r="C557" s="1" t="n">
        <v>46063</v>
      </c>
      <c r="D557" t="inlineStr">
        <is>
          <t>SÖDERMANLANDS LÄN</t>
        </is>
      </c>
      <c r="E557" t="inlineStr">
        <is>
          <t>KATRINEHOLM</t>
        </is>
      </c>
      <c r="F557" t="inlineStr">
        <is>
          <t>Övriga Aktiebolag</t>
        </is>
      </c>
      <c r="G557" t="n">
        <v>3.6</v>
      </c>
      <c r="H557" t="n">
        <v>0</v>
      </c>
      <c r="I557" t="n">
        <v>0</v>
      </c>
      <c r="J557" t="n">
        <v>0</v>
      </c>
      <c r="K557" t="n">
        <v>0</v>
      </c>
      <c r="L557" t="n">
        <v>0</v>
      </c>
      <c r="M557" t="n">
        <v>0</v>
      </c>
      <c r="N557" t="n">
        <v>0</v>
      </c>
      <c r="O557" t="n">
        <v>0</v>
      </c>
      <c r="P557" t="n">
        <v>0</v>
      </c>
      <c r="Q557" t="n">
        <v>0</v>
      </c>
      <c r="R557" s="2" t="inlineStr"/>
    </row>
    <row r="558" ht="15" customHeight="1">
      <c r="A558" t="inlineStr">
        <is>
          <t>A 2913-2026</t>
        </is>
      </c>
      <c r="B558" s="1" t="n">
        <v>46038.56913194444</v>
      </c>
      <c r="C558" s="1" t="n">
        <v>46063</v>
      </c>
      <c r="D558" t="inlineStr">
        <is>
          <t>SÖDERMANLANDS LÄN</t>
        </is>
      </c>
      <c r="E558" t="inlineStr">
        <is>
          <t>KATRINEHOLM</t>
        </is>
      </c>
      <c r="F558" t="inlineStr">
        <is>
          <t>Övriga Aktiebolag</t>
        </is>
      </c>
      <c r="G558" t="n">
        <v>6.2</v>
      </c>
      <c r="H558" t="n">
        <v>0</v>
      </c>
      <c r="I558" t="n">
        <v>0</v>
      </c>
      <c r="J558" t="n">
        <v>0</v>
      </c>
      <c r="K558" t="n">
        <v>0</v>
      </c>
      <c r="L558" t="n">
        <v>0</v>
      </c>
      <c r="M558" t="n">
        <v>0</v>
      </c>
      <c r="N558" t="n">
        <v>0</v>
      </c>
      <c r="O558" t="n">
        <v>0</v>
      </c>
      <c r="P558" t="n">
        <v>0</v>
      </c>
      <c r="Q558" t="n">
        <v>0</v>
      </c>
      <c r="R558" s="2" t="inlineStr"/>
    </row>
    <row r="559" ht="15" customHeight="1">
      <c r="A559" t="inlineStr">
        <is>
          <t>A 2645-2026</t>
        </is>
      </c>
      <c r="B559" s="1" t="n">
        <v>46037.62321759259</v>
      </c>
      <c r="C559" s="1" t="n">
        <v>46063</v>
      </c>
      <c r="D559" t="inlineStr">
        <is>
          <t>SÖDERMANLANDS LÄN</t>
        </is>
      </c>
      <c r="E559" t="inlineStr">
        <is>
          <t>KATRINEHOLM</t>
        </is>
      </c>
      <c r="G559" t="n">
        <v>2.1</v>
      </c>
      <c r="H559" t="n">
        <v>0</v>
      </c>
      <c r="I559" t="n">
        <v>0</v>
      </c>
      <c r="J559" t="n">
        <v>0</v>
      </c>
      <c r="K559" t="n">
        <v>0</v>
      </c>
      <c r="L559" t="n">
        <v>0</v>
      </c>
      <c r="M559" t="n">
        <v>0</v>
      </c>
      <c r="N559" t="n">
        <v>0</v>
      </c>
      <c r="O559" t="n">
        <v>0</v>
      </c>
      <c r="P559" t="n">
        <v>0</v>
      </c>
      <c r="Q559" t="n">
        <v>0</v>
      </c>
      <c r="R559" s="2" t="inlineStr"/>
    </row>
    <row r="560" ht="15" customHeight="1">
      <c r="A560" t="inlineStr">
        <is>
          <t>A 5320-2025</t>
        </is>
      </c>
      <c r="B560" s="1" t="n">
        <v>45692</v>
      </c>
      <c r="C560" s="1" t="n">
        <v>46063</v>
      </c>
      <c r="D560" t="inlineStr">
        <is>
          <t>SÖDERMANLANDS LÄN</t>
        </is>
      </c>
      <c r="E560" t="inlineStr">
        <is>
          <t>KATRINEHOLM</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61121-2025</t>
        </is>
      </c>
      <c r="B561" s="1" t="n">
        <v>46000.46746527778</v>
      </c>
      <c r="C561" s="1" t="n">
        <v>46063</v>
      </c>
      <c r="D561" t="inlineStr">
        <is>
          <t>SÖDERMANLANDS LÄN</t>
        </is>
      </c>
      <c r="E561" t="inlineStr">
        <is>
          <t>KATRINEHOLM</t>
        </is>
      </c>
      <c r="G561" t="n">
        <v>0.2</v>
      </c>
      <c r="H561" t="n">
        <v>0</v>
      </c>
      <c r="I561" t="n">
        <v>0</v>
      </c>
      <c r="J561" t="n">
        <v>0</v>
      </c>
      <c r="K561" t="n">
        <v>0</v>
      </c>
      <c r="L561" t="n">
        <v>0</v>
      </c>
      <c r="M561" t="n">
        <v>0</v>
      </c>
      <c r="N561" t="n">
        <v>0</v>
      </c>
      <c r="O561" t="n">
        <v>0</v>
      </c>
      <c r="P561" t="n">
        <v>0</v>
      </c>
      <c r="Q561" t="n">
        <v>0</v>
      </c>
      <c r="R561" s="2" t="inlineStr"/>
    </row>
    <row r="562" ht="15" customHeight="1">
      <c r="A562" t="inlineStr">
        <is>
          <t>A 2606-2025</t>
        </is>
      </c>
      <c r="B562" s="1" t="n">
        <v>45674</v>
      </c>
      <c r="C562" s="1" t="n">
        <v>46063</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39748-2022</t>
        </is>
      </c>
      <c r="B563" s="1" t="n">
        <v>44817</v>
      </c>
      <c r="C563" s="1" t="n">
        <v>46063</v>
      </c>
      <c r="D563" t="inlineStr">
        <is>
          <t>SÖDERMANLANDS LÄN</t>
        </is>
      </c>
      <c r="E563" t="inlineStr">
        <is>
          <t>KATRINEHOLM</t>
        </is>
      </c>
      <c r="G563" t="n">
        <v>10.2</v>
      </c>
      <c r="H563" t="n">
        <v>0</v>
      </c>
      <c r="I563" t="n">
        <v>0</v>
      </c>
      <c r="J563" t="n">
        <v>0</v>
      </c>
      <c r="K563" t="n">
        <v>0</v>
      </c>
      <c r="L563" t="n">
        <v>0</v>
      </c>
      <c r="M563" t="n">
        <v>0</v>
      </c>
      <c r="N563" t="n">
        <v>0</v>
      </c>
      <c r="O563" t="n">
        <v>0</v>
      </c>
      <c r="P563" t="n">
        <v>0</v>
      </c>
      <c r="Q563" t="n">
        <v>0</v>
      </c>
      <c r="R563" s="2" t="inlineStr"/>
    </row>
    <row r="564" ht="15" customHeight="1">
      <c r="A564" t="inlineStr">
        <is>
          <t>A 34731-2023</t>
        </is>
      </c>
      <c r="B564" s="1" t="n">
        <v>45141</v>
      </c>
      <c r="C564" s="1" t="n">
        <v>46063</v>
      </c>
      <c r="D564" t="inlineStr">
        <is>
          <t>SÖDERMANLANDS LÄN</t>
        </is>
      </c>
      <c r="E564" t="inlineStr">
        <is>
          <t>KATRINEHOLM</t>
        </is>
      </c>
      <c r="G564" t="n">
        <v>1.5</v>
      </c>
      <c r="H564" t="n">
        <v>0</v>
      </c>
      <c r="I564" t="n">
        <v>0</v>
      </c>
      <c r="J564" t="n">
        <v>0</v>
      </c>
      <c r="K564" t="n">
        <v>0</v>
      </c>
      <c r="L564" t="n">
        <v>0</v>
      </c>
      <c r="M564" t="n">
        <v>0</v>
      </c>
      <c r="N564" t="n">
        <v>0</v>
      </c>
      <c r="O564" t="n">
        <v>0</v>
      </c>
      <c r="P564" t="n">
        <v>0</v>
      </c>
      <c r="Q564" t="n">
        <v>0</v>
      </c>
      <c r="R564" s="2" t="inlineStr"/>
    </row>
    <row r="565" ht="15" customHeight="1">
      <c r="A565" t="inlineStr">
        <is>
          <t>A 34739-2023</t>
        </is>
      </c>
      <c r="B565" s="1" t="n">
        <v>45141</v>
      </c>
      <c r="C565" s="1" t="n">
        <v>46063</v>
      </c>
      <c r="D565" t="inlineStr">
        <is>
          <t>SÖDERMANLANDS LÄN</t>
        </is>
      </c>
      <c r="E565" t="inlineStr">
        <is>
          <t>KATRINEHOLM</t>
        </is>
      </c>
      <c r="G565" t="n">
        <v>1.4</v>
      </c>
      <c r="H565" t="n">
        <v>0</v>
      </c>
      <c r="I565" t="n">
        <v>0</v>
      </c>
      <c r="J565" t="n">
        <v>0</v>
      </c>
      <c r="K565" t="n">
        <v>0</v>
      </c>
      <c r="L565" t="n">
        <v>0</v>
      </c>
      <c r="M565" t="n">
        <v>0</v>
      </c>
      <c r="N565" t="n">
        <v>0</v>
      </c>
      <c r="O565" t="n">
        <v>0</v>
      </c>
      <c r="P565" t="n">
        <v>0</v>
      </c>
      <c r="Q565" t="n">
        <v>0</v>
      </c>
      <c r="R565" s="2" t="inlineStr"/>
    </row>
    <row r="566" ht="15" customHeight="1">
      <c r="A566" t="inlineStr">
        <is>
          <t>A 61066-2025</t>
        </is>
      </c>
      <c r="B566" s="1" t="n">
        <v>46000.37695601852</v>
      </c>
      <c r="C566" s="1" t="n">
        <v>46063</v>
      </c>
      <c r="D566" t="inlineStr">
        <is>
          <t>SÖDERMANLANDS LÄN</t>
        </is>
      </c>
      <c r="E566" t="inlineStr">
        <is>
          <t>KATRINEHOLM</t>
        </is>
      </c>
      <c r="F566" t="inlineStr">
        <is>
          <t>Kyrkan</t>
        </is>
      </c>
      <c r="G566" t="n">
        <v>5</v>
      </c>
      <c r="H566" t="n">
        <v>0</v>
      </c>
      <c r="I566" t="n">
        <v>0</v>
      </c>
      <c r="J566" t="n">
        <v>0</v>
      </c>
      <c r="K566" t="n">
        <v>0</v>
      </c>
      <c r="L566" t="n">
        <v>0</v>
      </c>
      <c r="M566" t="n">
        <v>0</v>
      </c>
      <c r="N566" t="n">
        <v>0</v>
      </c>
      <c r="O566" t="n">
        <v>0</v>
      </c>
      <c r="P566" t="n">
        <v>0</v>
      </c>
      <c r="Q566" t="n">
        <v>0</v>
      </c>
      <c r="R566" s="2" t="inlineStr"/>
    </row>
    <row r="567" ht="15" customHeight="1">
      <c r="A567" t="inlineStr">
        <is>
          <t>A 20480-2022</t>
        </is>
      </c>
      <c r="B567" s="1" t="n">
        <v>44699</v>
      </c>
      <c r="C567" s="1" t="n">
        <v>46063</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50017-2023</t>
        </is>
      </c>
      <c r="B568" s="1" t="n">
        <v>45215</v>
      </c>
      <c r="C568" s="1" t="n">
        <v>46063</v>
      </c>
      <c r="D568" t="inlineStr">
        <is>
          <t>SÖDERMANLANDS LÄN</t>
        </is>
      </c>
      <c r="E568" t="inlineStr">
        <is>
          <t>KATRINEHOLM</t>
        </is>
      </c>
      <c r="G568" t="n">
        <v>0.9</v>
      </c>
      <c r="H568" t="n">
        <v>0</v>
      </c>
      <c r="I568" t="n">
        <v>0</v>
      </c>
      <c r="J568" t="n">
        <v>0</v>
      </c>
      <c r="K568" t="n">
        <v>0</v>
      </c>
      <c r="L568" t="n">
        <v>0</v>
      </c>
      <c r="M568" t="n">
        <v>0</v>
      </c>
      <c r="N568" t="n">
        <v>0</v>
      </c>
      <c r="O568" t="n">
        <v>0</v>
      </c>
      <c r="P568" t="n">
        <v>0</v>
      </c>
      <c r="Q568" t="n">
        <v>0</v>
      </c>
      <c r="R568" s="2" t="inlineStr"/>
    </row>
    <row r="569" ht="15" customHeight="1">
      <c r="A569" t="inlineStr">
        <is>
          <t>A 50018-2023</t>
        </is>
      </c>
      <c r="B569" s="1" t="n">
        <v>45215</v>
      </c>
      <c r="C569" s="1" t="n">
        <v>46063</v>
      </c>
      <c r="D569" t="inlineStr">
        <is>
          <t>SÖDERMANLANDS LÄN</t>
        </is>
      </c>
      <c r="E569" t="inlineStr">
        <is>
          <t>KATRINEHOLM</t>
        </is>
      </c>
      <c r="G569" t="n">
        <v>2.4</v>
      </c>
      <c r="H569" t="n">
        <v>0</v>
      </c>
      <c r="I569" t="n">
        <v>0</v>
      </c>
      <c r="J569" t="n">
        <v>0</v>
      </c>
      <c r="K569" t="n">
        <v>0</v>
      </c>
      <c r="L569" t="n">
        <v>0</v>
      </c>
      <c r="M569" t="n">
        <v>0</v>
      </c>
      <c r="N569" t="n">
        <v>0</v>
      </c>
      <c r="O569" t="n">
        <v>0</v>
      </c>
      <c r="P569" t="n">
        <v>0</v>
      </c>
      <c r="Q569" t="n">
        <v>0</v>
      </c>
      <c r="R569" s="2" t="inlineStr"/>
    </row>
    <row r="570" ht="15" customHeight="1">
      <c r="A570" t="inlineStr">
        <is>
          <t>A 28508-2023</t>
        </is>
      </c>
      <c r="B570" s="1" t="n">
        <v>45103.46788194445</v>
      </c>
      <c r="C570" s="1" t="n">
        <v>46063</v>
      </c>
      <c r="D570" t="inlineStr">
        <is>
          <t>SÖDERMANLANDS LÄN</t>
        </is>
      </c>
      <c r="E570" t="inlineStr">
        <is>
          <t>KATRINEHOLM</t>
        </is>
      </c>
      <c r="F570" t="inlineStr">
        <is>
          <t>Kyrkan</t>
        </is>
      </c>
      <c r="G570" t="n">
        <v>20.5</v>
      </c>
      <c r="H570" t="n">
        <v>0</v>
      </c>
      <c r="I570" t="n">
        <v>0</v>
      </c>
      <c r="J570" t="n">
        <v>0</v>
      </c>
      <c r="K570" t="n">
        <v>0</v>
      </c>
      <c r="L570" t="n">
        <v>0</v>
      </c>
      <c r="M570" t="n">
        <v>0</v>
      </c>
      <c r="N570" t="n">
        <v>0</v>
      </c>
      <c r="O570" t="n">
        <v>0</v>
      </c>
      <c r="P570" t="n">
        <v>0</v>
      </c>
      <c r="Q570" t="n">
        <v>0</v>
      </c>
      <c r="R570" s="2" t="inlineStr"/>
    </row>
    <row r="571" ht="15" customHeight="1">
      <c r="A571" t="inlineStr">
        <is>
          <t>A 46075-2023</t>
        </is>
      </c>
      <c r="B571" s="1" t="n">
        <v>45196</v>
      </c>
      <c r="C571" s="1" t="n">
        <v>46063</v>
      </c>
      <c r="D571" t="inlineStr">
        <is>
          <t>SÖDERMANLANDS LÄN</t>
        </is>
      </c>
      <c r="E571" t="inlineStr">
        <is>
          <t>KATRINEHOLM</t>
        </is>
      </c>
      <c r="F571" t="inlineStr">
        <is>
          <t>Övriga Aktiebolag</t>
        </is>
      </c>
      <c r="G571" t="n">
        <v>9.5</v>
      </c>
      <c r="H571" t="n">
        <v>0</v>
      </c>
      <c r="I571" t="n">
        <v>0</v>
      </c>
      <c r="J571" t="n">
        <v>0</v>
      </c>
      <c r="K571" t="n">
        <v>0</v>
      </c>
      <c r="L571" t="n">
        <v>0</v>
      </c>
      <c r="M571" t="n">
        <v>0</v>
      </c>
      <c r="N571" t="n">
        <v>0</v>
      </c>
      <c r="O571" t="n">
        <v>0</v>
      </c>
      <c r="P571" t="n">
        <v>0</v>
      </c>
      <c r="Q571" t="n">
        <v>0</v>
      </c>
      <c r="R571" s="2" t="inlineStr"/>
    </row>
    <row r="572" ht="15" customHeight="1">
      <c r="A572" t="inlineStr">
        <is>
          <t>A 25823-2023</t>
        </is>
      </c>
      <c r="B572" s="1" t="n">
        <v>45090.55078703703</v>
      </c>
      <c r="C572" s="1" t="n">
        <v>46063</v>
      </c>
      <c r="D572" t="inlineStr">
        <is>
          <t>SÖDERMANLANDS LÄN</t>
        </is>
      </c>
      <c r="E572" t="inlineStr">
        <is>
          <t>KATRINEHOLM</t>
        </is>
      </c>
      <c r="F572" t="inlineStr">
        <is>
          <t>Kyrkan</t>
        </is>
      </c>
      <c r="G572" t="n">
        <v>10.2</v>
      </c>
      <c r="H572" t="n">
        <v>0</v>
      </c>
      <c r="I572" t="n">
        <v>0</v>
      </c>
      <c r="J572" t="n">
        <v>0</v>
      </c>
      <c r="K572" t="n">
        <v>0</v>
      </c>
      <c r="L572" t="n">
        <v>0</v>
      </c>
      <c r="M572" t="n">
        <v>0</v>
      </c>
      <c r="N572" t="n">
        <v>0</v>
      </c>
      <c r="O572" t="n">
        <v>0</v>
      </c>
      <c r="P572" t="n">
        <v>0</v>
      </c>
      <c r="Q572" t="n">
        <v>0</v>
      </c>
      <c r="R572" s="2" t="inlineStr"/>
    </row>
    <row r="573" ht="15" customHeight="1">
      <c r="A573" t="inlineStr">
        <is>
          <t>A 17360-2022</t>
        </is>
      </c>
      <c r="B573" s="1" t="n">
        <v>44678</v>
      </c>
      <c r="C573" s="1" t="n">
        <v>46063</v>
      </c>
      <c r="D573" t="inlineStr">
        <is>
          <t>SÖDERMANLANDS LÄN</t>
        </is>
      </c>
      <c r="E573" t="inlineStr">
        <is>
          <t>KATRINEHOLM</t>
        </is>
      </c>
      <c r="G573" t="n">
        <v>4.5</v>
      </c>
      <c r="H573" t="n">
        <v>0</v>
      </c>
      <c r="I573" t="n">
        <v>0</v>
      </c>
      <c r="J573" t="n">
        <v>0</v>
      </c>
      <c r="K573" t="n">
        <v>0</v>
      </c>
      <c r="L573" t="n">
        <v>0</v>
      </c>
      <c r="M573" t="n">
        <v>0</v>
      </c>
      <c r="N573" t="n">
        <v>0</v>
      </c>
      <c r="O573" t="n">
        <v>0</v>
      </c>
      <c r="P573" t="n">
        <v>0</v>
      </c>
      <c r="Q573" t="n">
        <v>0</v>
      </c>
      <c r="R573" s="2" t="inlineStr"/>
    </row>
    <row r="574" ht="15" customHeight="1">
      <c r="A574" t="inlineStr">
        <is>
          <t>A 22295-2024</t>
        </is>
      </c>
      <c r="B574" s="1" t="n">
        <v>45446.56141203704</v>
      </c>
      <c r="C574" s="1" t="n">
        <v>46063</v>
      </c>
      <c r="D574" t="inlineStr">
        <is>
          <t>SÖDERMANLANDS LÄN</t>
        </is>
      </c>
      <c r="E574" t="inlineStr">
        <is>
          <t>KATRINEHOLM</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61721-2025</t>
        </is>
      </c>
      <c r="B575" s="1" t="n">
        <v>46002.57778935185</v>
      </c>
      <c r="C575" s="1" t="n">
        <v>46063</v>
      </c>
      <c r="D575" t="inlineStr">
        <is>
          <t>SÖDERMANLANDS LÄN</t>
        </is>
      </c>
      <c r="E575" t="inlineStr">
        <is>
          <t>KATRINEHOLM</t>
        </is>
      </c>
      <c r="G575" t="n">
        <v>4.5</v>
      </c>
      <c r="H575" t="n">
        <v>0</v>
      </c>
      <c r="I575" t="n">
        <v>0</v>
      </c>
      <c r="J575" t="n">
        <v>0</v>
      </c>
      <c r="K575" t="n">
        <v>0</v>
      </c>
      <c r="L575" t="n">
        <v>0</v>
      </c>
      <c r="M575" t="n">
        <v>0</v>
      </c>
      <c r="N575" t="n">
        <v>0</v>
      </c>
      <c r="O575" t="n">
        <v>0</v>
      </c>
      <c r="P575" t="n">
        <v>0</v>
      </c>
      <c r="Q575" t="n">
        <v>0</v>
      </c>
      <c r="R575" s="2" t="inlineStr"/>
    </row>
    <row r="576" ht="15" customHeight="1">
      <c r="A576" t="inlineStr">
        <is>
          <t>A 63895-2025</t>
        </is>
      </c>
      <c r="B576" s="1" t="n">
        <v>46020</v>
      </c>
      <c r="C576" s="1" t="n">
        <v>46063</v>
      </c>
      <c r="D576" t="inlineStr">
        <is>
          <t>SÖDERMANLANDS LÄN</t>
        </is>
      </c>
      <c r="E576" t="inlineStr">
        <is>
          <t>KATRINEHOLM</t>
        </is>
      </c>
      <c r="G576" t="n">
        <v>1.5</v>
      </c>
      <c r="H576" t="n">
        <v>0</v>
      </c>
      <c r="I576" t="n">
        <v>0</v>
      </c>
      <c r="J576" t="n">
        <v>0</v>
      </c>
      <c r="K576" t="n">
        <v>0</v>
      </c>
      <c r="L576" t="n">
        <v>0</v>
      </c>
      <c r="M576" t="n">
        <v>0</v>
      </c>
      <c r="N576" t="n">
        <v>0</v>
      </c>
      <c r="O576" t="n">
        <v>0</v>
      </c>
      <c r="P576" t="n">
        <v>0</v>
      </c>
      <c r="Q576" t="n">
        <v>0</v>
      </c>
      <c r="R576" s="2" t="inlineStr"/>
    </row>
    <row r="577" ht="15" customHeight="1">
      <c r="A577" t="inlineStr">
        <is>
          <t>A 46700-2023</t>
        </is>
      </c>
      <c r="B577" s="1" t="n">
        <v>45194</v>
      </c>
      <c r="C577" s="1" t="n">
        <v>46063</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55590-2023</t>
        </is>
      </c>
      <c r="B578" s="1" t="n">
        <v>45238</v>
      </c>
      <c r="C578" s="1" t="n">
        <v>46063</v>
      </c>
      <c r="D578" t="inlineStr">
        <is>
          <t>SÖDERMANLANDS LÄN</t>
        </is>
      </c>
      <c r="E578" t="inlineStr">
        <is>
          <t>KATRINEHOLM</t>
        </is>
      </c>
      <c r="G578" t="n">
        <v>4.5</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44664.55688657407</v>
      </c>
      <c r="C579" s="1" t="n">
        <v>46063</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46063</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46063</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32818-2023</t>
        </is>
      </c>
      <c r="B582" s="1" t="n">
        <v>45124.55633101852</v>
      </c>
      <c r="C582" s="1" t="n">
        <v>46063</v>
      </c>
      <c r="D582" t="inlineStr">
        <is>
          <t>SÖDERMANLANDS LÄN</t>
        </is>
      </c>
      <c r="E582" t="inlineStr">
        <is>
          <t>KATRINEHOLM</t>
        </is>
      </c>
      <c r="G582" t="n">
        <v>3.4</v>
      </c>
      <c r="H582" t="n">
        <v>0</v>
      </c>
      <c r="I582" t="n">
        <v>0</v>
      </c>
      <c r="J582" t="n">
        <v>0</v>
      </c>
      <c r="K582" t="n">
        <v>0</v>
      </c>
      <c r="L582" t="n">
        <v>0</v>
      </c>
      <c r="M582" t="n">
        <v>0</v>
      </c>
      <c r="N582" t="n">
        <v>0</v>
      </c>
      <c r="O582" t="n">
        <v>0</v>
      </c>
      <c r="P582" t="n">
        <v>0</v>
      </c>
      <c r="Q582" t="n">
        <v>0</v>
      </c>
      <c r="R582" s="2" t="inlineStr"/>
    </row>
    <row r="583" ht="15" customHeight="1">
      <c r="A583" t="inlineStr">
        <is>
          <t>A 20214-2025</t>
        </is>
      </c>
      <c r="B583" s="1" t="n">
        <v>45772.63540509259</v>
      </c>
      <c r="C583" s="1" t="n">
        <v>46063</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22272-2022</t>
        </is>
      </c>
      <c r="B584" s="1" t="n">
        <v>44712</v>
      </c>
      <c r="C584" s="1" t="n">
        <v>46063</v>
      </c>
      <c r="D584" t="inlineStr">
        <is>
          <t>SÖDERMANLANDS LÄN</t>
        </is>
      </c>
      <c r="E584" t="inlineStr">
        <is>
          <t>KATRINEHOLM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27334-2023</t>
        </is>
      </c>
      <c r="B585" s="1" t="n">
        <v>45096</v>
      </c>
      <c r="C585" s="1" t="n">
        <v>46063</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40186-2023</t>
        </is>
      </c>
      <c r="B586" s="1" t="n">
        <v>45169</v>
      </c>
      <c r="C586" s="1" t="n">
        <v>46063</v>
      </c>
      <c r="D586" t="inlineStr">
        <is>
          <t>SÖDERMANLANDS LÄN</t>
        </is>
      </c>
      <c r="E586" t="inlineStr">
        <is>
          <t>KATRINEHOLM</t>
        </is>
      </c>
      <c r="G586" t="n">
        <v>2.1</v>
      </c>
      <c r="H586" t="n">
        <v>0</v>
      </c>
      <c r="I586" t="n">
        <v>0</v>
      </c>
      <c r="J586" t="n">
        <v>0</v>
      </c>
      <c r="K586" t="n">
        <v>0</v>
      </c>
      <c r="L586" t="n">
        <v>0</v>
      </c>
      <c r="M586" t="n">
        <v>0</v>
      </c>
      <c r="N586" t="n">
        <v>0</v>
      </c>
      <c r="O586" t="n">
        <v>0</v>
      </c>
      <c r="P586" t="n">
        <v>0</v>
      </c>
      <c r="Q586" t="n">
        <v>0</v>
      </c>
      <c r="R586" s="2" t="inlineStr"/>
    </row>
    <row r="587" ht="15" customHeight="1">
      <c r="A587" t="inlineStr">
        <is>
          <t>A 47886-2023</t>
        </is>
      </c>
      <c r="B587" s="1" t="n">
        <v>45204</v>
      </c>
      <c r="C587" s="1" t="n">
        <v>46063</v>
      </c>
      <c r="D587" t="inlineStr">
        <is>
          <t>SÖDERMANLANDS LÄN</t>
        </is>
      </c>
      <c r="E587" t="inlineStr">
        <is>
          <t>KATRINEHOLM</t>
        </is>
      </c>
      <c r="G587" t="n">
        <v>22</v>
      </c>
      <c r="H587" t="n">
        <v>0</v>
      </c>
      <c r="I587" t="n">
        <v>0</v>
      </c>
      <c r="J587" t="n">
        <v>0</v>
      </c>
      <c r="K587" t="n">
        <v>0</v>
      </c>
      <c r="L587" t="n">
        <v>0</v>
      </c>
      <c r="M587" t="n">
        <v>0</v>
      </c>
      <c r="N587" t="n">
        <v>0</v>
      </c>
      <c r="O587" t="n">
        <v>0</v>
      </c>
      <c r="P587" t="n">
        <v>0</v>
      </c>
      <c r="Q587" t="n">
        <v>0</v>
      </c>
      <c r="R587" s="2" t="inlineStr"/>
    </row>
    <row r="588" ht="15" customHeight="1">
      <c r="A588" t="inlineStr">
        <is>
          <t>A 36562-2023</t>
        </is>
      </c>
      <c r="B588" s="1" t="n">
        <v>45153</v>
      </c>
      <c r="C588" s="1" t="n">
        <v>46063</v>
      </c>
      <c r="D588" t="inlineStr">
        <is>
          <t>SÖDERMANLANDS LÄN</t>
        </is>
      </c>
      <c r="E588" t="inlineStr">
        <is>
          <t>KATRINEHOLM</t>
        </is>
      </c>
      <c r="G588" t="n">
        <v>5.8</v>
      </c>
      <c r="H588" t="n">
        <v>0</v>
      </c>
      <c r="I588" t="n">
        <v>0</v>
      </c>
      <c r="J588" t="n">
        <v>0</v>
      </c>
      <c r="K588" t="n">
        <v>0</v>
      </c>
      <c r="L588" t="n">
        <v>0</v>
      </c>
      <c r="M588" t="n">
        <v>0</v>
      </c>
      <c r="N588" t="n">
        <v>0</v>
      </c>
      <c r="O588" t="n">
        <v>0</v>
      </c>
      <c r="P588" t="n">
        <v>0</v>
      </c>
      <c r="Q588" t="n">
        <v>0</v>
      </c>
      <c r="R588" s="2" t="inlineStr"/>
    </row>
    <row r="589" ht="15" customHeight="1">
      <c r="A589" t="inlineStr">
        <is>
          <t>A 34539-2022</t>
        </is>
      </c>
      <c r="B589" s="1" t="n">
        <v>44793.50563657407</v>
      </c>
      <c r="C589" s="1" t="n">
        <v>46063</v>
      </c>
      <c r="D589" t="inlineStr">
        <is>
          <t>SÖDERMANLANDS LÄN</t>
        </is>
      </c>
      <c r="E589" t="inlineStr">
        <is>
          <t>KATRINEHOLM</t>
        </is>
      </c>
      <c r="G589" t="n">
        <v>1</v>
      </c>
      <c r="H589" t="n">
        <v>0</v>
      </c>
      <c r="I589" t="n">
        <v>0</v>
      </c>
      <c r="J589" t="n">
        <v>0</v>
      </c>
      <c r="K589" t="n">
        <v>0</v>
      </c>
      <c r="L589" t="n">
        <v>0</v>
      </c>
      <c r="M589" t="n">
        <v>0</v>
      </c>
      <c r="N589" t="n">
        <v>0</v>
      </c>
      <c r="O589" t="n">
        <v>0</v>
      </c>
      <c r="P589" t="n">
        <v>0</v>
      </c>
      <c r="Q589" t="n">
        <v>0</v>
      </c>
      <c r="R589" s="2" t="inlineStr"/>
    </row>
    <row r="590" ht="15" customHeight="1">
      <c r="A590" t="inlineStr">
        <is>
          <t>A 41205-2021</t>
        </is>
      </c>
      <c r="B590" s="1" t="n">
        <v>44424.38577546296</v>
      </c>
      <c r="C590" s="1" t="n">
        <v>46063</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24748-2024</t>
        </is>
      </c>
      <c r="B591" s="1" t="n">
        <v>45460.66567129629</v>
      </c>
      <c r="C591" s="1" t="n">
        <v>46063</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40402-2022</t>
        </is>
      </c>
      <c r="B592" s="1" t="n">
        <v>44823.44353009259</v>
      </c>
      <c r="C592" s="1" t="n">
        <v>46063</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17792-2025</t>
        </is>
      </c>
      <c r="B593" s="1" t="n">
        <v>45758</v>
      </c>
      <c r="C593" s="1" t="n">
        <v>46063</v>
      </c>
      <c r="D593" t="inlineStr">
        <is>
          <t>SÖDERMANLANDS LÄN</t>
        </is>
      </c>
      <c r="E593" t="inlineStr">
        <is>
          <t>KATRINEHOLM</t>
        </is>
      </c>
      <c r="G593" t="n">
        <v>4.2</v>
      </c>
      <c r="H593" t="n">
        <v>0</v>
      </c>
      <c r="I593" t="n">
        <v>0</v>
      </c>
      <c r="J593" t="n">
        <v>0</v>
      </c>
      <c r="K593" t="n">
        <v>0</v>
      </c>
      <c r="L593" t="n">
        <v>0</v>
      </c>
      <c r="M593" t="n">
        <v>0</v>
      </c>
      <c r="N593" t="n">
        <v>0</v>
      </c>
      <c r="O593" t="n">
        <v>0</v>
      </c>
      <c r="P593" t="n">
        <v>0</v>
      </c>
      <c r="Q593" t="n">
        <v>0</v>
      </c>
      <c r="R593" s="2" t="inlineStr"/>
    </row>
    <row r="594" ht="15" customHeight="1">
      <c r="A594" t="inlineStr">
        <is>
          <t>A 17820-2025</t>
        </is>
      </c>
      <c r="B594" s="1" t="n">
        <v>45758</v>
      </c>
      <c r="C594" s="1" t="n">
        <v>46063</v>
      </c>
      <c r="D594" t="inlineStr">
        <is>
          <t>SÖDERMANLANDS LÄN</t>
        </is>
      </c>
      <c r="E594" t="inlineStr">
        <is>
          <t>KATRINEHOLM</t>
        </is>
      </c>
      <c r="G594" t="n">
        <v>5.9</v>
      </c>
      <c r="H594" t="n">
        <v>0</v>
      </c>
      <c r="I594" t="n">
        <v>0</v>
      </c>
      <c r="J594" t="n">
        <v>0</v>
      </c>
      <c r="K594" t="n">
        <v>0</v>
      </c>
      <c r="L594" t="n">
        <v>0</v>
      </c>
      <c r="M594" t="n">
        <v>0</v>
      </c>
      <c r="N594" t="n">
        <v>0</v>
      </c>
      <c r="O594" t="n">
        <v>0</v>
      </c>
      <c r="P594" t="n">
        <v>0</v>
      </c>
      <c r="Q594" t="n">
        <v>0</v>
      </c>
      <c r="R594" s="2" t="inlineStr"/>
    </row>
    <row r="595" ht="15" customHeight="1">
      <c r="A595" t="inlineStr">
        <is>
          <t>A 30387-2022</t>
        </is>
      </c>
      <c r="B595" s="1" t="n">
        <v>44760</v>
      </c>
      <c r="C595" s="1" t="n">
        <v>46063</v>
      </c>
      <c r="D595" t="inlineStr">
        <is>
          <t>SÖDERMANLANDS LÄN</t>
        </is>
      </c>
      <c r="E595" t="inlineStr">
        <is>
          <t>KATRINEHOLM</t>
        </is>
      </c>
      <c r="G595" t="n">
        <v>1.9</v>
      </c>
      <c r="H595" t="n">
        <v>0</v>
      </c>
      <c r="I595" t="n">
        <v>0</v>
      </c>
      <c r="J595" t="n">
        <v>0</v>
      </c>
      <c r="K595" t="n">
        <v>0</v>
      </c>
      <c r="L595" t="n">
        <v>0</v>
      </c>
      <c r="M595" t="n">
        <v>0</v>
      </c>
      <c r="N595" t="n">
        <v>0</v>
      </c>
      <c r="O595" t="n">
        <v>0</v>
      </c>
      <c r="P595" t="n">
        <v>0</v>
      </c>
      <c r="Q595" t="n">
        <v>0</v>
      </c>
      <c r="R595" s="2" t="inlineStr"/>
    </row>
    <row r="596" ht="15" customHeight="1">
      <c r="A596" t="inlineStr">
        <is>
          <t>A 63945-2025</t>
        </is>
      </c>
      <c r="B596" s="1" t="n">
        <v>46010</v>
      </c>
      <c r="C596" s="1" t="n">
        <v>46063</v>
      </c>
      <c r="D596" t="inlineStr">
        <is>
          <t>SÖDERMANLANDS LÄN</t>
        </is>
      </c>
      <c r="E596" t="inlineStr">
        <is>
          <t>KATRINEHOLM</t>
        </is>
      </c>
      <c r="F596" t="inlineStr">
        <is>
          <t>Allmännings- och besparingsskogar</t>
        </is>
      </c>
      <c r="G596" t="n">
        <v>1.2</v>
      </c>
      <c r="H596" t="n">
        <v>0</v>
      </c>
      <c r="I596" t="n">
        <v>0</v>
      </c>
      <c r="J596" t="n">
        <v>0</v>
      </c>
      <c r="K596" t="n">
        <v>0</v>
      </c>
      <c r="L596" t="n">
        <v>0</v>
      </c>
      <c r="M596" t="n">
        <v>0</v>
      </c>
      <c r="N596" t="n">
        <v>0</v>
      </c>
      <c r="O596" t="n">
        <v>0</v>
      </c>
      <c r="P596" t="n">
        <v>0</v>
      </c>
      <c r="Q596" t="n">
        <v>0</v>
      </c>
      <c r="R596" s="2" t="inlineStr"/>
    </row>
    <row r="597" ht="15" customHeight="1">
      <c r="A597" t="inlineStr">
        <is>
          <t>A 63947-2025</t>
        </is>
      </c>
      <c r="B597" s="1" t="n">
        <v>46010</v>
      </c>
      <c r="C597" s="1" t="n">
        <v>46063</v>
      </c>
      <c r="D597" t="inlineStr">
        <is>
          <t>SÖDERMANLANDS LÄN</t>
        </is>
      </c>
      <c r="E597" t="inlineStr">
        <is>
          <t>KATRINEHOLM</t>
        </is>
      </c>
      <c r="F597" t="inlineStr">
        <is>
          <t>Allmännings- och besparingsskogar</t>
        </is>
      </c>
      <c r="G597" t="n">
        <v>4.8</v>
      </c>
      <c r="H597" t="n">
        <v>0</v>
      </c>
      <c r="I597" t="n">
        <v>0</v>
      </c>
      <c r="J597" t="n">
        <v>0</v>
      </c>
      <c r="K597" t="n">
        <v>0</v>
      </c>
      <c r="L597" t="n">
        <v>0</v>
      </c>
      <c r="M597" t="n">
        <v>0</v>
      </c>
      <c r="N597" t="n">
        <v>0</v>
      </c>
      <c r="O597" t="n">
        <v>0</v>
      </c>
      <c r="P597" t="n">
        <v>0</v>
      </c>
      <c r="Q597" t="n">
        <v>0</v>
      </c>
      <c r="R597" s="2" t="inlineStr"/>
    </row>
    <row r="598" ht="15" customHeight="1">
      <c r="A598" t="inlineStr">
        <is>
          <t>A 63949-2025</t>
        </is>
      </c>
      <c r="B598" s="1" t="n">
        <v>46010</v>
      </c>
      <c r="C598" s="1" t="n">
        <v>46063</v>
      </c>
      <c r="D598" t="inlineStr">
        <is>
          <t>SÖDERMANLANDS LÄN</t>
        </is>
      </c>
      <c r="E598" t="inlineStr">
        <is>
          <t>KATRINEHOLM</t>
        </is>
      </c>
      <c r="F598" t="inlineStr">
        <is>
          <t>Allmännings- och besparingsskogar</t>
        </is>
      </c>
      <c r="G598" t="n">
        <v>5.1</v>
      </c>
      <c r="H598" t="n">
        <v>0</v>
      </c>
      <c r="I598" t="n">
        <v>0</v>
      </c>
      <c r="J598" t="n">
        <v>0</v>
      </c>
      <c r="K598" t="n">
        <v>0</v>
      </c>
      <c r="L598" t="n">
        <v>0</v>
      </c>
      <c r="M598" t="n">
        <v>0</v>
      </c>
      <c r="N598" t="n">
        <v>0</v>
      </c>
      <c r="O598" t="n">
        <v>0</v>
      </c>
      <c r="P598" t="n">
        <v>0</v>
      </c>
      <c r="Q598" t="n">
        <v>0</v>
      </c>
      <c r="R598" s="2" t="inlineStr"/>
    </row>
    <row r="599" ht="15" customHeight="1">
      <c r="A599" t="inlineStr">
        <is>
          <t>A 5703-2026</t>
        </is>
      </c>
      <c r="B599" s="1" t="n">
        <v>46051.50774305555</v>
      </c>
      <c r="C599" s="1" t="n">
        <v>46063</v>
      </c>
      <c r="D599" t="inlineStr">
        <is>
          <t>SÖDERMANLANDS LÄN</t>
        </is>
      </c>
      <c r="E599" t="inlineStr">
        <is>
          <t>KATRINEHOLM</t>
        </is>
      </c>
      <c r="G599" t="n">
        <v>0.6</v>
      </c>
      <c r="H599" t="n">
        <v>0</v>
      </c>
      <c r="I599" t="n">
        <v>0</v>
      </c>
      <c r="J599" t="n">
        <v>0</v>
      </c>
      <c r="K599" t="n">
        <v>0</v>
      </c>
      <c r="L599" t="n">
        <v>0</v>
      </c>
      <c r="M599" t="n">
        <v>0</v>
      </c>
      <c r="N599" t="n">
        <v>0</v>
      </c>
      <c r="O599" t="n">
        <v>0</v>
      </c>
      <c r="P599" t="n">
        <v>0</v>
      </c>
      <c r="Q599" t="n">
        <v>0</v>
      </c>
      <c r="R599" s="2" t="inlineStr"/>
    </row>
    <row r="600" ht="15" customHeight="1">
      <c r="A600" t="inlineStr">
        <is>
          <t>A 63948-2025</t>
        </is>
      </c>
      <c r="B600" s="1" t="n">
        <v>46010</v>
      </c>
      <c r="C600" s="1" t="n">
        <v>46063</v>
      </c>
      <c r="D600" t="inlineStr">
        <is>
          <t>SÖDERMANLANDS LÄN</t>
        </is>
      </c>
      <c r="E600" t="inlineStr">
        <is>
          <t>KATRINEHOLM</t>
        </is>
      </c>
      <c r="F600" t="inlineStr">
        <is>
          <t>Allmännings- och besparingsskogar</t>
        </is>
      </c>
      <c r="G600" t="n">
        <v>4.9</v>
      </c>
      <c r="H600" t="n">
        <v>0</v>
      </c>
      <c r="I600" t="n">
        <v>0</v>
      </c>
      <c r="J600" t="n">
        <v>0</v>
      </c>
      <c r="K600" t="n">
        <v>0</v>
      </c>
      <c r="L600" t="n">
        <v>0</v>
      </c>
      <c r="M600" t="n">
        <v>0</v>
      </c>
      <c r="N600" t="n">
        <v>0</v>
      </c>
      <c r="O600" t="n">
        <v>0</v>
      </c>
      <c r="P600" t="n">
        <v>0</v>
      </c>
      <c r="Q600" t="n">
        <v>0</v>
      </c>
      <c r="R600" s="2" t="inlineStr"/>
    </row>
    <row r="601" ht="15" customHeight="1">
      <c r="A601" t="inlineStr">
        <is>
          <t>A 39052-2023</t>
        </is>
      </c>
      <c r="B601" s="1" t="n">
        <v>45163</v>
      </c>
      <c r="C601" s="1" t="n">
        <v>46063</v>
      </c>
      <c r="D601" t="inlineStr">
        <is>
          <t>SÖDERMANLANDS LÄN</t>
        </is>
      </c>
      <c r="E601" t="inlineStr">
        <is>
          <t>KATRINEHOLM</t>
        </is>
      </c>
      <c r="G601" t="n">
        <v>3</v>
      </c>
      <c r="H601" t="n">
        <v>0</v>
      </c>
      <c r="I601" t="n">
        <v>0</v>
      </c>
      <c r="J601" t="n">
        <v>0</v>
      </c>
      <c r="K601" t="n">
        <v>0</v>
      </c>
      <c r="L601" t="n">
        <v>0</v>
      </c>
      <c r="M601" t="n">
        <v>0</v>
      </c>
      <c r="N601" t="n">
        <v>0</v>
      </c>
      <c r="O601" t="n">
        <v>0</v>
      </c>
      <c r="P601" t="n">
        <v>0</v>
      </c>
      <c r="Q601" t="n">
        <v>0</v>
      </c>
      <c r="R601" s="2" t="inlineStr"/>
    </row>
    <row r="602" ht="15" customHeight="1">
      <c r="A602" t="inlineStr">
        <is>
          <t>A 8922-2024</t>
        </is>
      </c>
      <c r="B602" s="1" t="n">
        <v>45357.38601851852</v>
      </c>
      <c r="C602" s="1" t="n">
        <v>46063</v>
      </c>
      <c r="D602" t="inlineStr">
        <is>
          <t>SÖDERMANLANDS LÄN</t>
        </is>
      </c>
      <c r="E602" t="inlineStr">
        <is>
          <t>KATRINEHOLM</t>
        </is>
      </c>
      <c r="G602" t="n">
        <v>2.2</v>
      </c>
      <c r="H602" t="n">
        <v>0</v>
      </c>
      <c r="I602" t="n">
        <v>0</v>
      </c>
      <c r="J602" t="n">
        <v>0</v>
      </c>
      <c r="K602" t="n">
        <v>0</v>
      </c>
      <c r="L602" t="n">
        <v>0</v>
      </c>
      <c r="M602" t="n">
        <v>0</v>
      </c>
      <c r="N602" t="n">
        <v>0</v>
      </c>
      <c r="O602" t="n">
        <v>0</v>
      </c>
      <c r="P602" t="n">
        <v>0</v>
      </c>
      <c r="Q602" t="n">
        <v>0</v>
      </c>
      <c r="R602" s="2" t="inlineStr"/>
    </row>
    <row r="603" ht="15" customHeight="1">
      <c r="A603" t="inlineStr">
        <is>
          <t>A 48160-2022</t>
        </is>
      </c>
      <c r="B603" s="1" t="n">
        <v>44853</v>
      </c>
      <c r="C603" s="1" t="n">
        <v>46063</v>
      </c>
      <c r="D603" t="inlineStr">
        <is>
          <t>SÖDERMANLANDS LÄN</t>
        </is>
      </c>
      <c r="E603" t="inlineStr">
        <is>
          <t>KATRINEHOLM</t>
        </is>
      </c>
      <c r="F603" t="inlineStr">
        <is>
          <t>Övriga statliga verk och myndigheter</t>
        </is>
      </c>
      <c r="G603" t="n">
        <v>2.2</v>
      </c>
      <c r="H603" t="n">
        <v>0</v>
      </c>
      <c r="I603" t="n">
        <v>0</v>
      </c>
      <c r="J603" t="n">
        <v>0</v>
      </c>
      <c r="K603" t="n">
        <v>0</v>
      </c>
      <c r="L603" t="n">
        <v>0</v>
      </c>
      <c r="M603" t="n">
        <v>0</v>
      </c>
      <c r="N603" t="n">
        <v>0</v>
      </c>
      <c r="O603" t="n">
        <v>0</v>
      </c>
      <c r="P603" t="n">
        <v>0</v>
      </c>
      <c r="Q603" t="n">
        <v>0</v>
      </c>
      <c r="R603" s="2" t="inlineStr"/>
    </row>
    <row r="604" ht="15" customHeight="1">
      <c r="A604" t="inlineStr">
        <is>
          <t>A 28317-2024</t>
        </is>
      </c>
      <c r="B604" s="1" t="n">
        <v>45477</v>
      </c>
      <c r="C604" s="1" t="n">
        <v>46063</v>
      </c>
      <c r="D604" t="inlineStr">
        <is>
          <t>SÖDERMANLANDS LÄN</t>
        </is>
      </c>
      <c r="E604" t="inlineStr">
        <is>
          <t>KATRINEHOLM</t>
        </is>
      </c>
      <c r="G604" t="n">
        <v>1.5</v>
      </c>
      <c r="H604" t="n">
        <v>0</v>
      </c>
      <c r="I604" t="n">
        <v>0</v>
      </c>
      <c r="J604" t="n">
        <v>0</v>
      </c>
      <c r="K604" t="n">
        <v>0</v>
      </c>
      <c r="L604" t="n">
        <v>0</v>
      </c>
      <c r="M604" t="n">
        <v>0</v>
      </c>
      <c r="N604" t="n">
        <v>0</v>
      </c>
      <c r="O604" t="n">
        <v>0</v>
      </c>
      <c r="P604" t="n">
        <v>0</v>
      </c>
      <c r="Q604" t="n">
        <v>0</v>
      </c>
      <c r="R604" s="2" t="inlineStr"/>
    </row>
    <row r="605" ht="15" customHeight="1">
      <c r="A605" t="inlineStr">
        <is>
          <t>A 66393-2021</t>
        </is>
      </c>
      <c r="B605" s="1" t="n">
        <v>44518</v>
      </c>
      <c r="C605" s="1" t="n">
        <v>46063</v>
      </c>
      <c r="D605" t="inlineStr">
        <is>
          <t>SÖDERMANLANDS LÄN</t>
        </is>
      </c>
      <c r="E605" t="inlineStr">
        <is>
          <t>KATRINEHOLM</t>
        </is>
      </c>
      <c r="F605" t="inlineStr">
        <is>
          <t>Holmen skog AB</t>
        </is>
      </c>
      <c r="G605" t="n">
        <v>0.4</v>
      </c>
      <c r="H605" t="n">
        <v>0</v>
      </c>
      <c r="I605" t="n">
        <v>0</v>
      </c>
      <c r="J605" t="n">
        <v>0</v>
      </c>
      <c r="K605" t="n">
        <v>0</v>
      </c>
      <c r="L605" t="n">
        <v>0</v>
      </c>
      <c r="M605" t="n">
        <v>0</v>
      </c>
      <c r="N605" t="n">
        <v>0</v>
      </c>
      <c r="O605" t="n">
        <v>0</v>
      </c>
      <c r="P605" t="n">
        <v>0</v>
      </c>
      <c r="Q605" t="n">
        <v>0</v>
      </c>
      <c r="R605" s="2" t="inlineStr"/>
    </row>
    <row r="606" ht="15" customHeight="1">
      <c r="A606" t="inlineStr">
        <is>
          <t>A 47134-2022</t>
        </is>
      </c>
      <c r="B606" s="1" t="n">
        <v>44851</v>
      </c>
      <c r="C606" s="1" t="n">
        <v>46063</v>
      </c>
      <c r="D606" t="inlineStr">
        <is>
          <t>SÖDERMANLANDS LÄN</t>
        </is>
      </c>
      <c r="E606" t="inlineStr">
        <is>
          <t>KATRINEHOLM</t>
        </is>
      </c>
      <c r="F606" t="inlineStr">
        <is>
          <t>Övriga statliga verk och myndigheter</t>
        </is>
      </c>
      <c r="G606" t="n">
        <v>1.5</v>
      </c>
      <c r="H606" t="n">
        <v>0</v>
      </c>
      <c r="I606" t="n">
        <v>0</v>
      </c>
      <c r="J606" t="n">
        <v>0</v>
      </c>
      <c r="K606" t="n">
        <v>0</v>
      </c>
      <c r="L606" t="n">
        <v>0</v>
      </c>
      <c r="M606" t="n">
        <v>0</v>
      </c>
      <c r="N606" t="n">
        <v>0</v>
      </c>
      <c r="O606" t="n">
        <v>0</v>
      </c>
      <c r="P606" t="n">
        <v>0</v>
      </c>
      <c r="Q606" t="n">
        <v>0</v>
      </c>
      <c r="R606" s="2" t="inlineStr"/>
    </row>
    <row r="607" ht="15" customHeight="1">
      <c r="A607" t="inlineStr">
        <is>
          <t>A 1143-2024</t>
        </is>
      </c>
      <c r="B607" s="1" t="n">
        <v>45302</v>
      </c>
      <c r="C607" s="1" t="n">
        <v>46063</v>
      </c>
      <c r="D607" t="inlineStr">
        <is>
          <t>SÖDERMANLANDS LÄN</t>
        </is>
      </c>
      <c r="E607" t="inlineStr">
        <is>
          <t>KATRINEHOLM</t>
        </is>
      </c>
      <c r="G607" t="n">
        <v>1.7</v>
      </c>
      <c r="H607" t="n">
        <v>0</v>
      </c>
      <c r="I607" t="n">
        <v>0</v>
      </c>
      <c r="J607" t="n">
        <v>0</v>
      </c>
      <c r="K607" t="n">
        <v>0</v>
      </c>
      <c r="L607" t="n">
        <v>0</v>
      </c>
      <c r="M607" t="n">
        <v>0</v>
      </c>
      <c r="N607" t="n">
        <v>0</v>
      </c>
      <c r="O607" t="n">
        <v>0</v>
      </c>
      <c r="P607" t="n">
        <v>0</v>
      </c>
      <c r="Q607" t="n">
        <v>0</v>
      </c>
      <c r="R607" s="2" t="inlineStr"/>
    </row>
    <row r="608" ht="15" customHeight="1">
      <c r="A608" t="inlineStr">
        <is>
          <t>A 3982-2024</t>
        </is>
      </c>
      <c r="B608" s="1" t="n">
        <v>45322</v>
      </c>
      <c r="C608" s="1" t="n">
        <v>46063</v>
      </c>
      <c r="D608" t="inlineStr">
        <is>
          <t>SÖDERMANLANDS LÄN</t>
        </is>
      </c>
      <c r="E608" t="inlineStr">
        <is>
          <t>KATRINEHOLM</t>
        </is>
      </c>
      <c r="G608" t="n">
        <v>3.7</v>
      </c>
      <c r="H608" t="n">
        <v>0</v>
      </c>
      <c r="I608" t="n">
        <v>0</v>
      </c>
      <c r="J608" t="n">
        <v>0</v>
      </c>
      <c r="K608" t="n">
        <v>0</v>
      </c>
      <c r="L608" t="n">
        <v>0</v>
      </c>
      <c r="M608" t="n">
        <v>0</v>
      </c>
      <c r="N608" t="n">
        <v>0</v>
      </c>
      <c r="O608" t="n">
        <v>0</v>
      </c>
      <c r="P608" t="n">
        <v>0</v>
      </c>
      <c r="Q608" t="n">
        <v>0</v>
      </c>
      <c r="R608" s="2" t="inlineStr"/>
    </row>
    <row r="609" ht="15" customHeight="1">
      <c r="A609" t="inlineStr">
        <is>
          <t>A 57263-2022</t>
        </is>
      </c>
      <c r="B609" s="1" t="n">
        <v>44895</v>
      </c>
      <c r="C609" s="1" t="n">
        <v>46063</v>
      </c>
      <c r="D609" t="inlineStr">
        <is>
          <t>SÖDERMANLANDS LÄN</t>
        </is>
      </c>
      <c r="E609" t="inlineStr">
        <is>
          <t>KATRINEHOLM</t>
        </is>
      </c>
      <c r="G609" t="n">
        <v>0.6</v>
      </c>
      <c r="H609" t="n">
        <v>0</v>
      </c>
      <c r="I609" t="n">
        <v>0</v>
      </c>
      <c r="J609" t="n">
        <v>0</v>
      </c>
      <c r="K609" t="n">
        <v>0</v>
      </c>
      <c r="L609" t="n">
        <v>0</v>
      </c>
      <c r="M609" t="n">
        <v>0</v>
      </c>
      <c r="N609" t="n">
        <v>0</v>
      </c>
      <c r="O609" t="n">
        <v>0</v>
      </c>
      <c r="P609" t="n">
        <v>0</v>
      </c>
      <c r="Q609" t="n">
        <v>0</v>
      </c>
      <c r="R609" s="2" t="inlineStr"/>
    </row>
    <row r="610" ht="15" customHeight="1">
      <c r="A610" t="inlineStr">
        <is>
          <t>A 28431-2024</t>
        </is>
      </c>
      <c r="B610" s="1" t="n">
        <v>45477.65216435185</v>
      </c>
      <c r="C610" s="1" t="n">
        <v>46063</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62418-2023</t>
        </is>
      </c>
      <c r="B611" s="1" t="n">
        <v>45268</v>
      </c>
      <c r="C611" s="1" t="n">
        <v>46063</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45142-2021</t>
        </is>
      </c>
      <c r="B612" s="1" t="n">
        <v>44439</v>
      </c>
      <c r="C612" s="1" t="n">
        <v>46063</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7191-2023</t>
        </is>
      </c>
      <c r="B613" s="1" t="n">
        <v>44965</v>
      </c>
      <c r="C613" s="1" t="n">
        <v>46063</v>
      </c>
      <c r="D613" t="inlineStr">
        <is>
          <t>SÖDERMANLANDS LÄN</t>
        </is>
      </c>
      <c r="E613" t="inlineStr">
        <is>
          <t>KATRINEHOLM</t>
        </is>
      </c>
      <c r="G613" t="n">
        <v>14.1</v>
      </c>
      <c r="H613" t="n">
        <v>0</v>
      </c>
      <c r="I613" t="n">
        <v>0</v>
      </c>
      <c r="J613" t="n">
        <v>0</v>
      </c>
      <c r="K613" t="n">
        <v>0</v>
      </c>
      <c r="L613" t="n">
        <v>0</v>
      </c>
      <c r="M613" t="n">
        <v>0</v>
      </c>
      <c r="N613" t="n">
        <v>0</v>
      </c>
      <c r="O613" t="n">
        <v>0</v>
      </c>
      <c r="P613" t="n">
        <v>0</v>
      </c>
      <c r="Q613" t="n">
        <v>0</v>
      </c>
      <c r="R613" s="2" t="inlineStr"/>
    </row>
    <row r="614" ht="15" customHeight="1">
      <c r="A614" t="inlineStr">
        <is>
          <t>A 54873-2025</t>
        </is>
      </c>
      <c r="B614" s="1" t="n">
        <v>45967</v>
      </c>
      <c r="C614" s="1" t="n">
        <v>46063</v>
      </c>
      <c r="D614" t="inlineStr">
        <is>
          <t>SÖDERMANLANDS LÄN</t>
        </is>
      </c>
      <c r="E614" t="inlineStr">
        <is>
          <t>KATRINEHOLM</t>
        </is>
      </c>
      <c r="G614" t="n">
        <v>2.7</v>
      </c>
      <c r="H614" t="n">
        <v>0</v>
      </c>
      <c r="I614" t="n">
        <v>0</v>
      </c>
      <c r="J614" t="n">
        <v>0</v>
      </c>
      <c r="K614" t="n">
        <v>0</v>
      </c>
      <c r="L614" t="n">
        <v>0</v>
      </c>
      <c r="M614" t="n">
        <v>0</v>
      </c>
      <c r="N614" t="n">
        <v>0</v>
      </c>
      <c r="O614" t="n">
        <v>0</v>
      </c>
      <c r="P614" t="n">
        <v>0</v>
      </c>
      <c r="Q614" t="n">
        <v>0</v>
      </c>
      <c r="R614" s="2" t="inlineStr"/>
    </row>
    <row r="615" ht="15" customHeight="1">
      <c r="A615" t="inlineStr">
        <is>
          <t>A 66540-2021</t>
        </is>
      </c>
      <c r="B615" s="1" t="n">
        <v>44519</v>
      </c>
      <c r="C615" s="1" t="n">
        <v>46063</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8394-2024</t>
        </is>
      </c>
      <c r="B616" s="1" t="n">
        <v>45352</v>
      </c>
      <c r="C616" s="1" t="n">
        <v>46063</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13658-2023</t>
        </is>
      </c>
      <c r="B617" s="1" t="n">
        <v>45006</v>
      </c>
      <c r="C617" s="1" t="n">
        <v>46063</v>
      </c>
      <c r="D617" t="inlineStr">
        <is>
          <t>SÖDERMANLANDS LÄN</t>
        </is>
      </c>
      <c r="E617" t="inlineStr">
        <is>
          <t>KATRINEHOLM</t>
        </is>
      </c>
      <c r="F617" t="inlineStr">
        <is>
          <t>Kyrkan</t>
        </is>
      </c>
      <c r="G617" t="n">
        <v>24.3</v>
      </c>
      <c r="H617" t="n">
        <v>0</v>
      </c>
      <c r="I617" t="n">
        <v>0</v>
      </c>
      <c r="J617" t="n">
        <v>0</v>
      </c>
      <c r="K617" t="n">
        <v>0</v>
      </c>
      <c r="L617" t="n">
        <v>0</v>
      </c>
      <c r="M617" t="n">
        <v>0</v>
      </c>
      <c r="N617" t="n">
        <v>0</v>
      </c>
      <c r="O617" t="n">
        <v>0</v>
      </c>
      <c r="P617" t="n">
        <v>0</v>
      </c>
      <c r="Q617" t="n">
        <v>0</v>
      </c>
      <c r="R617" s="2" t="inlineStr"/>
    </row>
    <row r="618" ht="15" customHeight="1">
      <c r="A618" t="inlineStr">
        <is>
          <t>A 61385-2023</t>
        </is>
      </c>
      <c r="B618" s="1" t="n">
        <v>45264.64241898148</v>
      </c>
      <c r="C618" s="1" t="n">
        <v>46063</v>
      </c>
      <c r="D618" t="inlineStr">
        <is>
          <t>SÖDERMANLANDS LÄN</t>
        </is>
      </c>
      <c r="E618" t="inlineStr">
        <is>
          <t>KATRINEHOLM</t>
        </is>
      </c>
      <c r="G618" t="n">
        <v>0.4</v>
      </c>
      <c r="H618" t="n">
        <v>0</v>
      </c>
      <c r="I618" t="n">
        <v>0</v>
      </c>
      <c r="J618" t="n">
        <v>0</v>
      </c>
      <c r="K618" t="n">
        <v>0</v>
      </c>
      <c r="L618" t="n">
        <v>0</v>
      </c>
      <c r="M618" t="n">
        <v>0</v>
      </c>
      <c r="N618" t="n">
        <v>0</v>
      </c>
      <c r="O618" t="n">
        <v>0</v>
      </c>
      <c r="P618" t="n">
        <v>0</v>
      </c>
      <c r="Q618" t="n">
        <v>0</v>
      </c>
      <c r="R618" s="2" t="inlineStr"/>
    </row>
    <row r="619" ht="15" customHeight="1">
      <c r="A619" t="inlineStr">
        <is>
          <t>A 55825-2022</t>
        </is>
      </c>
      <c r="B619" s="1" t="n">
        <v>44886</v>
      </c>
      <c r="C619" s="1" t="n">
        <v>46063</v>
      </c>
      <c r="D619" t="inlineStr">
        <is>
          <t>SÖDERMANLANDS LÄN</t>
        </is>
      </c>
      <c r="E619" t="inlineStr">
        <is>
          <t>KATRINEHOLM</t>
        </is>
      </c>
      <c r="G619" t="n">
        <v>1.3</v>
      </c>
      <c r="H619" t="n">
        <v>0</v>
      </c>
      <c r="I619" t="n">
        <v>0</v>
      </c>
      <c r="J619" t="n">
        <v>0</v>
      </c>
      <c r="K619" t="n">
        <v>0</v>
      </c>
      <c r="L619" t="n">
        <v>0</v>
      </c>
      <c r="M619" t="n">
        <v>0</v>
      </c>
      <c r="N619" t="n">
        <v>0</v>
      </c>
      <c r="O619" t="n">
        <v>0</v>
      </c>
      <c r="P619" t="n">
        <v>0</v>
      </c>
      <c r="Q619" t="n">
        <v>0</v>
      </c>
      <c r="R619" s="2" t="inlineStr"/>
    </row>
    <row r="620" ht="15" customHeight="1">
      <c r="A620" t="inlineStr">
        <is>
          <t>A 55856-2022</t>
        </is>
      </c>
      <c r="B620" s="1" t="n">
        <v>44888</v>
      </c>
      <c r="C620" s="1" t="n">
        <v>46063</v>
      </c>
      <c r="D620" t="inlineStr">
        <is>
          <t>SÖDERMANLANDS LÄN</t>
        </is>
      </c>
      <c r="E620" t="inlineStr">
        <is>
          <t>KATRINEHOLM</t>
        </is>
      </c>
      <c r="G620" t="n">
        <v>5.6</v>
      </c>
      <c r="H620" t="n">
        <v>0</v>
      </c>
      <c r="I620" t="n">
        <v>0</v>
      </c>
      <c r="J620" t="n">
        <v>0</v>
      </c>
      <c r="K620" t="n">
        <v>0</v>
      </c>
      <c r="L620" t="n">
        <v>0</v>
      </c>
      <c r="M620" t="n">
        <v>0</v>
      </c>
      <c r="N620" t="n">
        <v>0</v>
      </c>
      <c r="O620" t="n">
        <v>0</v>
      </c>
      <c r="P620" t="n">
        <v>0</v>
      </c>
      <c r="Q620" t="n">
        <v>0</v>
      </c>
      <c r="R620" s="2" t="inlineStr"/>
    </row>
    <row r="621" ht="15" customHeight="1">
      <c r="A621" t="inlineStr">
        <is>
          <t>A 43513-2023</t>
        </is>
      </c>
      <c r="B621" s="1" t="n">
        <v>45184</v>
      </c>
      <c r="C621" s="1" t="n">
        <v>46063</v>
      </c>
      <c r="D621" t="inlineStr">
        <is>
          <t>SÖDERMANLANDS LÄN</t>
        </is>
      </c>
      <c r="E621" t="inlineStr">
        <is>
          <t>KATRINEHOLM</t>
        </is>
      </c>
      <c r="G621" t="n">
        <v>3.8</v>
      </c>
      <c r="H621" t="n">
        <v>0</v>
      </c>
      <c r="I621" t="n">
        <v>0</v>
      </c>
      <c r="J621" t="n">
        <v>0</v>
      </c>
      <c r="K621" t="n">
        <v>0</v>
      </c>
      <c r="L621" t="n">
        <v>0</v>
      </c>
      <c r="M621" t="n">
        <v>0</v>
      </c>
      <c r="N621" t="n">
        <v>0</v>
      </c>
      <c r="O621" t="n">
        <v>0</v>
      </c>
      <c r="P621" t="n">
        <v>0</v>
      </c>
      <c r="Q621" t="n">
        <v>0</v>
      </c>
      <c r="R621" s="2" t="inlineStr"/>
    </row>
    <row r="622" ht="15" customHeight="1">
      <c r="A622" t="inlineStr">
        <is>
          <t>A 8951-2024</t>
        </is>
      </c>
      <c r="B622" s="1" t="n">
        <v>45357.44695601852</v>
      </c>
      <c r="C622" s="1" t="n">
        <v>46063</v>
      </c>
      <c r="D622" t="inlineStr">
        <is>
          <t>SÖDERMANLANDS LÄN</t>
        </is>
      </c>
      <c r="E622" t="inlineStr">
        <is>
          <t>KATRINEHOLM</t>
        </is>
      </c>
      <c r="G622" t="n">
        <v>3.3</v>
      </c>
      <c r="H622" t="n">
        <v>0</v>
      </c>
      <c r="I622" t="n">
        <v>0</v>
      </c>
      <c r="J622" t="n">
        <v>0</v>
      </c>
      <c r="K622" t="n">
        <v>0</v>
      </c>
      <c r="L622" t="n">
        <v>0</v>
      </c>
      <c r="M622" t="n">
        <v>0</v>
      </c>
      <c r="N622" t="n">
        <v>0</v>
      </c>
      <c r="O622" t="n">
        <v>0</v>
      </c>
      <c r="P622" t="n">
        <v>0</v>
      </c>
      <c r="Q622" t="n">
        <v>0</v>
      </c>
      <c r="R622" s="2" t="inlineStr"/>
    </row>
    <row r="623" ht="15" customHeight="1">
      <c r="A623" t="inlineStr">
        <is>
          <t>A 8955-2024</t>
        </is>
      </c>
      <c r="B623" s="1" t="n">
        <v>45357.44873842593</v>
      </c>
      <c r="C623" s="1" t="n">
        <v>46063</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15945-2024</t>
        </is>
      </c>
      <c r="B624" s="1" t="n">
        <v>45405.48912037037</v>
      </c>
      <c r="C624" s="1" t="n">
        <v>46063</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4655-2024</t>
        </is>
      </c>
      <c r="B625" s="1" t="n">
        <v>45328</v>
      </c>
      <c r="C625" s="1" t="n">
        <v>46063</v>
      </c>
      <c r="D625" t="inlineStr">
        <is>
          <t>SÖDERMANLANDS LÄN</t>
        </is>
      </c>
      <c r="E625" t="inlineStr">
        <is>
          <t>KATRINEHOLM</t>
        </is>
      </c>
      <c r="G625" t="n">
        <v>17.7</v>
      </c>
      <c r="H625" t="n">
        <v>0</v>
      </c>
      <c r="I625" t="n">
        <v>0</v>
      </c>
      <c r="J625" t="n">
        <v>0</v>
      </c>
      <c r="K625" t="n">
        <v>0</v>
      </c>
      <c r="L625" t="n">
        <v>0</v>
      </c>
      <c r="M625" t="n">
        <v>0</v>
      </c>
      <c r="N625" t="n">
        <v>0</v>
      </c>
      <c r="O625" t="n">
        <v>0</v>
      </c>
      <c r="P625" t="n">
        <v>0</v>
      </c>
      <c r="Q625" t="n">
        <v>0</v>
      </c>
      <c r="R625" s="2" t="inlineStr"/>
    </row>
    <row r="626" ht="15" customHeight="1">
      <c r="A626" t="inlineStr">
        <is>
          <t>A 53387-2023</t>
        </is>
      </c>
      <c r="B626" s="1" t="n">
        <v>45229</v>
      </c>
      <c r="C626" s="1" t="n">
        <v>46063</v>
      </c>
      <c r="D626" t="inlineStr">
        <is>
          <t>SÖDERMANLANDS LÄN</t>
        </is>
      </c>
      <c r="E626" t="inlineStr">
        <is>
          <t>KATRINEHOLM</t>
        </is>
      </c>
      <c r="F626" t="inlineStr">
        <is>
          <t>Kyrkan</t>
        </is>
      </c>
      <c r="G626" t="n">
        <v>7.4</v>
      </c>
      <c r="H626" t="n">
        <v>0</v>
      </c>
      <c r="I626" t="n">
        <v>0</v>
      </c>
      <c r="J626" t="n">
        <v>0</v>
      </c>
      <c r="K626" t="n">
        <v>0</v>
      </c>
      <c r="L626" t="n">
        <v>0</v>
      </c>
      <c r="M626" t="n">
        <v>0</v>
      </c>
      <c r="N626" t="n">
        <v>0</v>
      </c>
      <c r="O626" t="n">
        <v>0</v>
      </c>
      <c r="P626" t="n">
        <v>0</v>
      </c>
      <c r="Q626" t="n">
        <v>0</v>
      </c>
      <c r="R626" s="2" t="inlineStr"/>
    </row>
    <row r="627" ht="15" customHeight="1">
      <c r="A627" t="inlineStr">
        <is>
          <t>A 42590-2022</t>
        </is>
      </c>
      <c r="B627" s="1" t="n">
        <v>44831</v>
      </c>
      <c r="C627" s="1" t="n">
        <v>46063</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38883-2024</t>
        </is>
      </c>
      <c r="B628" s="1" t="n">
        <v>45547</v>
      </c>
      <c r="C628" s="1" t="n">
        <v>46063</v>
      </c>
      <c r="D628" t="inlineStr">
        <is>
          <t>SÖDERMANLANDS LÄN</t>
        </is>
      </c>
      <c r="E628" t="inlineStr">
        <is>
          <t>KATRINEHOLM</t>
        </is>
      </c>
      <c r="G628" t="n">
        <v>3.1</v>
      </c>
      <c r="H628" t="n">
        <v>0</v>
      </c>
      <c r="I628" t="n">
        <v>0</v>
      </c>
      <c r="J628" t="n">
        <v>0</v>
      </c>
      <c r="K628" t="n">
        <v>0</v>
      </c>
      <c r="L628" t="n">
        <v>0</v>
      </c>
      <c r="M628" t="n">
        <v>0</v>
      </c>
      <c r="N628" t="n">
        <v>0</v>
      </c>
      <c r="O628" t="n">
        <v>0</v>
      </c>
      <c r="P628" t="n">
        <v>0</v>
      </c>
      <c r="Q628" t="n">
        <v>0</v>
      </c>
      <c r="R628" s="2" t="inlineStr"/>
    </row>
    <row r="629" ht="15" customHeight="1">
      <c r="A629" t="inlineStr">
        <is>
          <t>A 4667-2024</t>
        </is>
      </c>
      <c r="B629" s="1" t="n">
        <v>45328.47</v>
      </c>
      <c r="C629" s="1" t="n">
        <v>46063</v>
      </c>
      <c r="D629" t="inlineStr">
        <is>
          <t>SÖDERMANLANDS LÄN</t>
        </is>
      </c>
      <c r="E629" t="inlineStr">
        <is>
          <t>KATRINEHOLM</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39704-2023</t>
        </is>
      </c>
      <c r="B630" s="1" t="n">
        <v>45167</v>
      </c>
      <c r="C630" s="1" t="n">
        <v>46063</v>
      </c>
      <c r="D630" t="inlineStr">
        <is>
          <t>SÖDERMANLANDS LÄN</t>
        </is>
      </c>
      <c r="E630" t="inlineStr">
        <is>
          <t>KATRINEHOLM</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16087-2023</t>
        </is>
      </c>
      <c r="B631" s="1" t="n">
        <v>45026</v>
      </c>
      <c r="C631" s="1" t="n">
        <v>46063</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28652-2024</t>
        </is>
      </c>
      <c r="B632" s="1" t="n">
        <v>45478</v>
      </c>
      <c r="C632" s="1" t="n">
        <v>46063</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42791-2023</t>
        </is>
      </c>
      <c r="B633" s="1" t="n">
        <v>45181.92876157408</v>
      </c>
      <c r="C633" s="1" t="n">
        <v>46063</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42792-2023</t>
        </is>
      </c>
      <c r="B634" s="1" t="n">
        <v>45181.95491898148</v>
      </c>
      <c r="C634" s="1" t="n">
        <v>46063</v>
      </c>
      <c r="D634" t="inlineStr">
        <is>
          <t>SÖDERMANLANDS LÄN</t>
        </is>
      </c>
      <c r="E634" t="inlineStr">
        <is>
          <t>KATRINEHOLM</t>
        </is>
      </c>
      <c r="G634" t="n">
        <v>1.3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46063</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7513-2026</t>
        </is>
      </c>
      <c r="B636" s="1" t="n">
        <v>46059.59083333334</v>
      </c>
      <c r="C636" s="1" t="n">
        <v>46063</v>
      </c>
      <c r="D636" t="inlineStr">
        <is>
          <t>SÖDERMANLANDS LÄN</t>
        </is>
      </c>
      <c r="E636" t="inlineStr">
        <is>
          <t>KATRINEHOLM</t>
        </is>
      </c>
      <c r="F636" t="inlineStr">
        <is>
          <t>Övriga Aktiebolag</t>
        </is>
      </c>
      <c r="G636" t="n">
        <v>5</v>
      </c>
      <c r="H636" t="n">
        <v>0</v>
      </c>
      <c r="I636" t="n">
        <v>0</v>
      </c>
      <c r="J636" t="n">
        <v>0</v>
      </c>
      <c r="K636" t="n">
        <v>0</v>
      </c>
      <c r="L636" t="n">
        <v>0</v>
      </c>
      <c r="M636" t="n">
        <v>0</v>
      </c>
      <c r="N636" t="n">
        <v>0</v>
      </c>
      <c r="O636" t="n">
        <v>0</v>
      </c>
      <c r="P636" t="n">
        <v>0</v>
      </c>
      <c r="Q636" t="n">
        <v>0</v>
      </c>
      <c r="R636" s="2" t="inlineStr"/>
    </row>
    <row r="637" ht="15" customHeight="1">
      <c r="A637" t="inlineStr">
        <is>
          <t>A 4679-2023</t>
        </is>
      </c>
      <c r="B637" s="1" t="n">
        <v>44957.44885416667</v>
      </c>
      <c r="C637" s="1" t="n">
        <v>46063</v>
      </c>
      <c r="D637" t="inlineStr">
        <is>
          <t>SÖDERMANLANDS LÄN</t>
        </is>
      </c>
      <c r="E637" t="inlineStr">
        <is>
          <t>KATRINEHOLM</t>
        </is>
      </c>
      <c r="G637" t="n">
        <v>5.3</v>
      </c>
      <c r="H637" t="n">
        <v>0</v>
      </c>
      <c r="I637" t="n">
        <v>0</v>
      </c>
      <c r="J637" t="n">
        <v>0</v>
      </c>
      <c r="K637" t="n">
        <v>0</v>
      </c>
      <c r="L637" t="n">
        <v>0</v>
      </c>
      <c r="M637" t="n">
        <v>0</v>
      </c>
      <c r="N637" t="n">
        <v>0</v>
      </c>
      <c r="O637" t="n">
        <v>0</v>
      </c>
      <c r="P637" t="n">
        <v>0</v>
      </c>
      <c r="Q637" t="n">
        <v>0</v>
      </c>
      <c r="R637" s="2" t="inlineStr"/>
    </row>
    <row r="638" ht="15" customHeight="1">
      <c r="A638" t="inlineStr">
        <is>
          <t>A 48528-2021</t>
        </is>
      </c>
      <c r="B638" s="1" t="n">
        <v>44449</v>
      </c>
      <c r="C638" s="1" t="n">
        <v>46063</v>
      </c>
      <c r="D638" t="inlineStr">
        <is>
          <t>SÖDERMANLANDS LÄN</t>
        </is>
      </c>
      <c r="E638" t="inlineStr">
        <is>
          <t>KATRINEHOLM</t>
        </is>
      </c>
      <c r="G638" t="n">
        <v>0.7</v>
      </c>
      <c r="H638" t="n">
        <v>0</v>
      </c>
      <c r="I638" t="n">
        <v>0</v>
      </c>
      <c r="J638" t="n">
        <v>0</v>
      </c>
      <c r="K638" t="n">
        <v>0</v>
      </c>
      <c r="L638" t="n">
        <v>0</v>
      </c>
      <c r="M638" t="n">
        <v>0</v>
      </c>
      <c r="N638" t="n">
        <v>0</v>
      </c>
      <c r="O638" t="n">
        <v>0</v>
      </c>
      <c r="P638" t="n">
        <v>0</v>
      </c>
      <c r="Q638" t="n">
        <v>0</v>
      </c>
      <c r="R638" s="2" t="inlineStr"/>
    </row>
    <row r="639" ht="15" customHeight="1">
      <c r="A639" t="inlineStr">
        <is>
          <t>A 48398-2022</t>
        </is>
      </c>
      <c r="B639" s="1" t="n">
        <v>44858.60809027778</v>
      </c>
      <c r="C639" s="1" t="n">
        <v>46063</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6753-2022</t>
        </is>
      </c>
      <c r="B640" s="1" t="n">
        <v>44602</v>
      </c>
      <c r="C640" s="1" t="n">
        <v>46063</v>
      </c>
      <c r="D640" t="inlineStr">
        <is>
          <t>SÖDERMANLANDS LÄN</t>
        </is>
      </c>
      <c r="E640" t="inlineStr">
        <is>
          <t>KATRINEHOLM</t>
        </is>
      </c>
      <c r="G640" t="n">
        <v>4.3</v>
      </c>
      <c r="H640" t="n">
        <v>0</v>
      </c>
      <c r="I640" t="n">
        <v>0</v>
      </c>
      <c r="J640" t="n">
        <v>0</v>
      </c>
      <c r="K640" t="n">
        <v>0</v>
      </c>
      <c r="L640" t="n">
        <v>0</v>
      </c>
      <c r="M640" t="n">
        <v>0</v>
      </c>
      <c r="N640" t="n">
        <v>0</v>
      </c>
      <c r="O640" t="n">
        <v>0</v>
      </c>
      <c r="P640" t="n">
        <v>0</v>
      </c>
      <c r="Q640" t="n">
        <v>0</v>
      </c>
      <c r="R640" s="2" t="inlineStr"/>
    </row>
    <row r="641" ht="15" customHeight="1">
      <c r="A641" t="inlineStr">
        <is>
          <t>A 15184-2023</t>
        </is>
      </c>
      <c r="B641" s="1" t="n">
        <v>45016</v>
      </c>
      <c r="C641" s="1" t="n">
        <v>46063</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38826-2021</t>
        </is>
      </c>
      <c r="B642" s="1" t="n">
        <v>44411</v>
      </c>
      <c r="C642" s="1" t="n">
        <v>46063</v>
      </c>
      <c r="D642" t="inlineStr">
        <is>
          <t>SÖDERMANLANDS LÄN</t>
        </is>
      </c>
      <c r="E642" t="inlineStr">
        <is>
          <t>KATRINEHOLM</t>
        </is>
      </c>
      <c r="G642" t="n">
        <v>3.1</v>
      </c>
      <c r="H642" t="n">
        <v>0</v>
      </c>
      <c r="I642" t="n">
        <v>0</v>
      </c>
      <c r="J642" t="n">
        <v>0</v>
      </c>
      <c r="K642" t="n">
        <v>0</v>
      </c>
      <c r="L642" t="n">
        <v>0</v>
      </c>
      <c r="M642" t="n">
        <v>0</v>
      </c>
      <c r="N642" t="n">
        <v>0</v>
      </c>
      <c r="O642" t="n">
        <v>0</v>
      </c>
      <c r="P642" t="n">
        <v>0</v>
      </c>
      <c r="Q642" t="n">
        <v>0</v>
      </c>
      <c r="R642" s="2" t="inlineStr"/>
    </row>
    <row r="643" ht="15" customHeight="1">
      <c r="A643" t="inlineStr">
        <is>
          <t>A 9388-2021</t>
        </is>
      </c>
      <c r="B643" s="1" t="n">
        <v>44250</v>
      </c>
      <c r="C643" s="1" t="n">
        <v>46063</v>
      </c>
      <c r="D643" t="inlineStr">
        <is>
          <t>SÖDERMANLANDS LÄN</t>
        </is>
      </c>
      <c r="E643" t="inlineStr">
        <is>
          <t>KATRINEHOLM</t>
        </is>
      </c>
      <c r="G643" t="n">
        <v>5.4</v>
      </c>
      <c r="H643" t="n">
        <v>0</v>
      </c>
      <c r="I643" t="n">
        <v>0</v>
      </c>
      <c r="J643" t="n">
        <v>0</v>
      </c>
      <c r="K643" t="n">
        <v>0</v>
      </c>
      <c r="L643" t="n">
        <v>0</v>
      </c>
      <c r="M643" t="n">
        <v>0</v>
      </c>
      <c r="N643" t="n">
        <v>0</v>
      </c>
      <c r="O643" t="n">
        <v>0</v>
      </c>
      <c r="P643" t="n">
        <v>0</v>
      </c>
      <c r="Q643" t="n">
        <v>0</v>
      </c>
      <c r="R643" s="2" t="inlineStr"/>
    </row>
    <row r="644" ht="15" customHeight="1">
      <c r="A644" t="inlineStr">
        <is>
          <t>A 29830-2023</t>
        </is>
      </c>
      <c r="B644" s="1" t="n">
        <v>45107</v>
      </c>
      <c r="C644" s="1" t="n">
        <v>46063</v>
      </c>
      <c r="D644" t="inlineStr">
        <is>
          <t>SÖDERMANLANDS LÄN</t>
        </is>
      </c>
      <c r="E644" t="inlineStr">
        <is>
          <t>KATRINEHOLM</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19098-2022</t>
        </is>
      </c>
      <c r="B645" s="1" t="n">
        <v>44691.52616898148</v>
      </c>
      <c r="C645" s="1" t="n">
        <v>46063</v>
      </c>
      <c r="D645" t="inlineStr">
        <is>
          <t>SÖDERMANLANDS LÄN</t>
        </is>
      </c>
      <c r="E645" t="inlineStr">
        <is>
          <t>KATRINEHOLM</t>
        </is>
      </c>
      <c r="G645" t="n">
        <v>5.5</v>
      </c>
      <c r="H645" t="n">
        <v>0</v>
      </c>
      <c r="I645" t="n">
        <v>0</v>
      </c>
      <c r="J645" t="n">
        <v>0</v>
      </c>
      <c r="K645" t="n">
        <v>0</v>
      </c>
      <c r="L645" t="n">
        <v>0</v>
      </c>
      <c r="M645" t="n">
        <v>0</v>
      </c>
      <c r="N645" t="n">
        <v>0</v>
      </c>
      <c r="O645" t="n">
        <v>0</v>
      </c>
      <c r="P645" t="n">
        <v>0</v>
      </c>
      <c r="Q645" t="n">
        <v>0</v>
      </c>
      <c r="R645" s="2" t="inlineStr"/>
    </row>
    <row r="646" ht="15" customHeight="1">
      <c r="A646" t="inlineStr">
        <is>
          <t>A 6628-2022</t>
        </is>
      </c>
      <c r="B646" s="1" t="n">
        <v>44601.78850694445</v>
      </c>
      <c r="C646" s="1" t="n">
        <v>46063</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72984-2021</t>
        </is>
      </c>
      <c r="B647" s="1" t="n">
        <v>44549.74741898148</v>
      </c>
      <c r="C647" s="1" t="n">
        <v>46063</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2325-2023</t>
        </is>
      </c>
      <c r="B648" s="1" t="n">
        <v>44942</v>
      </c>
      <c r="C648" s="1" t="n">
        <v>46063</v>
      </c>
      <c r="D648" t="inlineStr">
        <is>
          <t>SÖDERMANLANDS LÄN</t>
        </is>
      </c>
      <c r="E648" t="inlineStr">
        <is>
          <t>KATRINEHOLM</t>
        </is>
      </c>
      <c r="G648" t="n">
        <v>5.6</v>
      </c>
      <c r="H648" t="n">
        <v>0</v>
      </c>
      <c r="I648" t="n">
        <v>0</v>
      </c>
      <c r="J648" t="n">
        <v>0</v>
      </c>
      <c r="K648" t="n">
        <v>0</v>
      </c>
      <c r="L648" t="n">
        <v>0</v>
      </c>
      <c r="M648" t="n">
        <v>0</v>
      </c>
      <c r="N648" t="n">
        <v>0</v>
      </c>
      <c r="O648" t="n">
        <v>0</v>
      </c>
      <c r="P648" t="n">
        <v>0</v>
      </c>
      <c r="Q648" t="n">
        <v>0</v>
      </c>
      <c r="R648" s="2" t="inlineStr"/>
    </row>
    <row r="649" ht="15" customHeight="1">
      <c r="A649" t="inlineStr">
        <is>
          <t>A 46011-2021</t>
        </is>
      </c>
      <c r="B649" s="1" t="n">
        <v>44441.88092592593</v>
      </c>
      <c r="C649" s="1" t="n">
        <v>46063</v>
      </c>
      <c r="D649" t="inlineStr">
        <is>
          <t>SÖDERMANLANDS LÄN</t>
        </is>
      </c>
      <c r="E649" t="inlineStr">
        <is>
          <t>KATRINEHOLM</t>
        </is>
      </c>
      <c r="G649" t="n">
        <v>4.7</v>
      </c>
      <c r="H649" t="n">
        <v>0</v>
      </c>
      <c r="I649" t="n">
        <v>0</v>
      </c>
      <c r="J649" t="n">
        <v>0</v>
      </c>
      <c r="K649" t="n">
        <v>0</v>
      </c>
      <c r="L649" t="n">
        <v>0</v>
      </c>
      <c r="M649" t="n">
        <v>0</v>
      </c>
      <c r="N649" t="n">
        <v>0</v>
      </c>
      <c r="O649" t="n">
        <v>0</v>
      </c>
      <c r="P649" t="n">
        <v>0</v>
      </c>
      <c r="Q649" t="n">
        <v>0</v>
      </c>
      <c r="R649" s="2" t="inlineStr"/>
    </row>
    <row r="650" ht="15" customHeight="1">
      <c r="A650" t="inlineStr">
        <is>
          <t>A 62140-2022</t>
        </is>
      </c>
      <c r="B650" s="1" t="n">
        <v>44922</v>
      </c>
      <c r="C650" s="1" t="n">
        <v>46063</v>
      </c>
      <c r="D650" t="inlineStr">
        <is>
          <t>SÖDERMANLANDS LÄN</t>
        </is>
      </c>
      <c r="E650" t="inlineStr">
        <is>
          <t>KATRINEHOLM</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46063</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13171-2024</t>
        </is>
      </c>
      <c r="B652" s="1" t="n">
        <v>45386</v>
      </c>
      <c r="C652" s="1" t="n">
        <v>46063</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59384-2022</t>
        </is>
      </c>
      <c r="B653" s="1" t="n">
        <v>44905</v>
      </c>
      <c r="C653" s="1" t="n">
        <v>46063</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13086-2023</t>
        </is>
      </c>
      <c r="B654" s="1" t="n">
        <v>45002.42188657408</v>
      </c>
      <c r="C654" s="1" t="n">
        <v>46063</v>
      </c>
      <c r="D654" t="inlineStr">
        <is>
          <t>SÖDERMANLANDS LÄN</t>
        </is>
      </c>
      <c r="E654" t="inlineStr">
        <is>
          <t>KATRINEHOLM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19670-2022</t>
        </is>
      </c>
      <c r="B655" s="1" t="n">
        <v>44694</v>
      </c>
      <c r="C655" s="1" t="n">
        <v>46063</v>
      </c>
      <c r="D655" t="inlineStr">
        <is>
          <t>SÖDERMANLANDS LÄN</t>
        </is>
      </c>
      <c r="E655" t="inlineStr">
        <is>
          <t>KATRINEHOLM</t>
        </is>
      </c>
      <c r="G655" t="n">
        <v>13.6</v>
      </c>
      <c r="H655" t="n">
        <v>0</v>
      </c>
      <c r="I655" t="n">
        <v>0</v>
      </c>
      <c r="J655" t="n">
        <v>0</v>
      </c>
      <c r="K655" t="n">
        <v>0</v>
      </c>
      <c r="L655" t="n">
        <v>0</v>
      </c>
      <c r="M655" t="n">
        <v>0</v>
      </c>
      <c r="N655" t="n">
        <v>0</v>
      </c>
      <c r="O655" t="n">
        <v>0</v>
      </c>
      <c r="P655" t="n">
        <v>0</v>
      </c>
      <c r="Q655" t="n">
        <v>0</v>
      </c>
      <c r="R655" s="2" t="inlineStr"/>
    </row>
    <row r="656" ht="15" customHeight="1">
      <c r="A656" t="inlineStr">
        <is>
          <t>A 19107-2022</t>
        </is>
      </c>
      <c r="B656" s="1" t="n">
        <v>44691.54077546296</v>
      </c>
      <c r="C656" s="1" t="n">
        <v>46063</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30333-2023</t>
        </is>
      </c>
      <c r="B657" s="1" t="n">
        <v>45111</v>
      </c>
      <c r="C657" s="1" t="n">
        <v>46063</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6175-2023</t>
        </is>
      </c>
      <c r="B658" s="1" t="n">
        <v>44964</v>
      </c>
      <c r="C658" s="1" t="n">
        <v>46063</v>
      </c>
      <c r="D658" t="inlineStr">
        <is>
          <t>SÖDERMANLANDS LÄN</t>
        </is>
      </c>
      <c r="E658" t="inlineStr">
        <is>
          <t>KATRINEHOLM</t>
        </is>
      </c>
      <c r="G658" t="n">
        <v>11.2</v>
      </c>
      <c r="H658" t="n">
        <v>0</v>
      </c>
      <c r="I658" t="n">
        <v>0</v>
      </c>
      <c r="J658" t="n">
        <v>0</v>
      </c>
      <c r="K658" t="n">
        <v>0</v>
      </c>
      <c r="L658" t="n">
        <v>0</v>
      </c>
      <c r="M658" t="n">
        <v>0</v>
      </c>
      <c r="N658" t="n">
        <v>0</v>
      </c>
      <c r="O658" t="n">
        <v>0</v>
      </c>
      <c r="P658" t="n">
        <v>0</v>
      </c>
      <c r="Q658" t="n">
        <v>0</v>
      </c>
      <c r="R658" s="2" t="inlineStr"/>
    </row>
    <row r="659" ht="15" customHeight="1">
      <c r="A659" t="inlineStr">
        <is>
          <t>A 11875-2023</t>
        </is>
      </c>
      <c r="B659" s="1" t="n">
        <v>44995</v>
      </c>
      <c r="C659" s="1" t="n">
        <v>46063</v>
      </c>
      <c r="D659" t="inlineStr">
        <is>
          <t>SÖDERMANLANDS LÄN</t>
        </is>
      </c>
      <c r="E659" t="inlineStr">
        <is>
          <t>KATRINEHOLM</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6796-2022</t>
        </is>
      </c>
      <c r="B660" s="1" t="n">
        <v>44602</v>
      </c>
      <c r="C660" s="1" t="n">
        <v>46063</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13612-2023</t>
        </is>
      </c>
      <c r="B661" s="1" t="n">
        <v>45006</v>
      </c>
      <c r="C661" s="1" t="n">
        <v>46063</v>
      </c>
      <c r="D661" t="inlineStr">
        <is>
          <t>SÖDERMANLANDS LÄN</t>
        </is>
      </c>
      <c r="E661" t="inlineStr">
        <is>
          <t>KATRINEHOLM</t>
        </is>
      </c>
      <c r="G661" t="n">
        <v>2.3</v>
      </c>
      <c r="H661" t="n">
        <v>0</v>
      </c>
      <c r="I661" t="n">
        <v>0</v>
      </c>
      <c r="J661" t="n">
        <v>0</v>
      </c>
      <c r="K661" t="n">
        <v>0</v>
      </c>
      <c r="L661" t="n">
        <v>0</v>
      </c>
      <c r="M661" t="n">
        <v>0</v>
      </c>
      <c r="N661" t="n">
        <v>0</v>
      </c>
      <c r="O661" t="n">
        <v>0</v>
      </c>
      <c r="P661" t="n">
        <v>0</v>
      </c>
      <c r="Q661" t="n">
        <v>0</v>
      </c>
      <c r="R661" s="2" t="inlineStr"/>
    </row>
    <row r="662" ht="15" customHeight="1">
      <c r="A662" t="inlineStr">
        <is>
          <t>A 39068-2022</t>
        </is>
      </c>
      <c r="B662" s="1" t="n">
        <v>44816</v>
      </c>
      <c r="C662" s="1" t="n">
        <v>46063</v>
      </c>
      <c r="D662" t="inlineStr">
        <is>
          <t>SÖDERMANLANDS LÄN</t>
        </is>
      </c>
      <c r="E662" t="inlineStr">
        <is>
          <t>KATRINEHOLM</t>
        </is>
      </c>
      <c r="G662" t="n">
        <v>3.6</v>
      </c>
      <c r="H662" t="n">
        <v>0</v>
      </c>
      <c r="I662" t="n">
        <v>0</v>
      </c>
      <c r="J662" t="n">
        <v>0</v>
      </c>
      <c r="K662" t="n">
        <v>0</v>
      </c>
      <c r="L662" t="n">
        <v>0</v>
      </c>
      <c r="M662" t="n">
        <v>0</v>
      </c>
      <c r="N662" t="n">
        <v>0</v>
      </c>
      <c r="O662" t="n">
        <v>0</v>
      </c>
      <c r="P662" t="n">
        <v>0</v>
      </c>
      <c r="Q662" t="n">
        <v>0</v>
      </c>
      <c r="R662" s="2" t="inlineStr"/>
    </row>
    <row r="663" ht="15" customHeight="1">
      <c r="A663" t="inlineStr">
        <is>
          <t>A 8765-2023</t>
        </is>
      </c>
      <c r="B663" s="1" t="n">
        <v>44978.52131944444</v>
      </c>
      <c r="C663" s="1" t="n">
        <v>46063</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57154-2023</t>
        </is>
      </c>
      <c r="B664" s="1" t="n">
        <v>45245</v>
      </c>
      <c r="C664" s="1" t="n">
        <v>46063</v>
      </c>
      <c r="D664" t="inlineStr">
        <is>
          <t>SÖDERMANLANDS LÄN</t>
        </is>
      </c>
      <c r="E664" t="inlineStr">
        <is>
          <t>KATRINEHOLM</t>
        </is>
      </c>
      <c r="F664" t="inlineStr">
        <is>
          <t>Allmännings- och besparingsskogar</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21959-2022</t>
        </is>
      </c>
      <c r="B665" s="1" t="n">
        <v>44708</v>
      </c>
      <c r="C665" s="1" t="n">
        <v>46063</v>
      </c>
      <c r="D665" t="inlineStr">
        <is>
          <t>SÖDERMANLANDS LÄN</t>
        </is>
      </c>
      <c r="E665" t="inlineStr">
        <is>
          <t>KATRINEHOLM</t>
        </is>
      </c>
      <c r="G665" t="n">
        <v>1.5</v>
      </c>
      <c r="H665" t="n">
        <v>0</v>
      </c>
      <c r="I665" t="n">
        <v>0</v>
      </c>
      <c r="J665" t="n">
        <v>0</v>
      </c>
      <c r="K665" t="n">
        <v>0</v>
      </c>
      <c r="L665" t="n">
        <v>0</v>
      </c>
      <c r="M665" t="n">
        <v>0</v>
      </c>
      <c r="N665" t="n">
        <v>0</v>
      </c>
      <c r="O665" t="n">
        <v>0</v>
      </c>
      <c r="P665" t="n">
        <v>0</v>
      </c>
      <c r="Q665" t="n">
        <v>0</v>
      </c>
      <c r="R665" s="2" t="inlineStr"/>
    </row>
    <row r="666" ht="15" customHeight="1">
      <c r="A666" t="inlineStr">
        <is>
          <t>A 51530-2023</t>
        </is>
      </c>
      <c r="B666" s="1" t="n">
        <v>45222</v>
      </c>
      <c r="C666" s="1" t="n">
        <v>46063</v>
      </c>
      <c r="D666" t="inlineStr">
        <is>
          <t>SÖDERMANLANDS LÄN</t>
        </is>
      </c>
      <c r="E666" t="inlineStr">
        <is>
          <t>KATRINEHOLM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23916-2023</t>
        </is>
      </c>
      <c r="B667" s="1" t="n">
        <v>45075</v>
      </c>
      <c r="C667" s="1" t="n">
        <v>46063</v>
      </c>
      <c r="D667" t="inlineStr">
        <is>
          <t>SÖDERMANLANDS LÄN</t>
        </is>
      </c>
      <c r="E667" t="inlineStr">
        <is>
          <t>KATRINEHOLM</t>
        </is>
      </c>
      <c r="G667" t="n">
        <v>8</v>
      </c>
      <c r="H667" t="n">
        <v>0</v>
      </c>
      <c r="I667" t="n">
        <v>0</v>
      </c>
      <c r="J667" t="n">
        <v>0</v>
      </c>
      <c r="K667" t="n">
        <v>0</v>
      </c>
      <c r="L667" t="n">
        <v>0</v>
      </c>
      <c r="M667" t="n">
        <v>0</v>
      </c>
      <c r="N667" t="n">
        <v>0</v>
      </c>
      <c r="O667" t="n">
        <v>0</v>
      </c>
      <c r="P667" t="n">
        <v>0</v>
      </c>
      <c r="Q667" t="n">
        <v>0</v>
      </c>
      <c r="R667" s="2" t="inlineStr"/>
    </row>
    <row r="668" ht="15" customHeight="1">
      <c r="A668" t="inlineStr">
        <is>
          <t>A 38879-2024</t>
        </is>
      </c>
      <c r="B668" s="1" t="n">
        <v>45547</v>
      </c>
      <c r="C668" s="1" t="n">
        <v>46063</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9437-2022</t>
        </is>
      </c>
      <c r="B669" s="1" t="n">
        <v>44616.69246527777</v>
      </c>
      <c r="C669" s="1" t="n">
        <v>46063</v>
      </c>
      <c r="D669" t="inlineStr">
        <is>
          <t>SÖDERMANLANDS LÄN</t>
        </is>
      </c>
      <c r="E669" t="inlineStr">
        <is>
          <t>KATRINEHOLM</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25362-2023</t>
        </is>
      </c>
      <c r="B670" s="1" t="n">
        <v>45088.83430555555</v>
      </c>
      <c r="C670" s="1" t="n">
        <v>46063</v>
      </c>
      <c r="D670" t="inlineStr">
        <is>
          <t>SÖDERMANLANDS LÄN</t>
        </is>
      </c>
      <c r="E670" t="inlineStr">
        <is>
          <t>KATRINEHOLM</t>
        </is>
      </c>
      <c r="G670" t="n">
        <v>1.5</v>
      </c>
      <c r="H670" t="n">
        <v>0</v>
      </c>
      <c r="I670" t="n">
        <v>0</v>
      </c>
      <c r="J670" t="n">
        <v>0</v>
      </c>
      <c r="K670" t="n">
        <v>0</v>
      </c>
      <c r="L670" t="n">
        <v>0</v>
      </c>
      <c r="M670" t="n">
        <v>0</v>
      </c>
      <c r="N670" t="n">
        <v>0</v>
      </c>
      <c r="O670" t="n">
        <v>0</v>
      </c>
      <c r="P670" t="n">
        <v>0</v>
      </c>
      <c r="Q670" t="n">
        <v>0</v>
      </c>
      <c r="R670" s="2" t="inlineStr"/>
    </row>
    <row r="671" ht="15" customHeight="1">
      <c r="A671" t="inlineStr">
        <is>
          <t>A 4662-2023</t>
        </is>
      </c>
      <c r="B671" s="1" t="n">
        <v>44957</v>
      </c>
      <c r="C671" s="1" t="n">
        <v>46063</v>
      </c>
      <c r="D671" t="inlineStr">
        <is>
          <t>SÖDERMANLANDS LÄN</t>
        </is>
      </c>
      <c r="E671" t="inlineStr">
        <is>
          <t>KATRINEHOLM</t>
        </is>
      </c>
      <c r="F671" t="inlineStr">
        <is>
          <t>Holmen skog AB</t>
        </is>
      </c>
      <c r="G671" t="n">
        <v>0.4</v>
      </c>
      <c r="H671" t="n">
        <v>0</v>
      </c>
      <c r="I671" t="n">
        <v>0</v>
      </c>
      <c r="J671" t="n">
        <v>0</v>
      </c>
      <c r="K671" t="n">
        <v>0</v>
      </c>
      <c r="L671" t="n">
        <v>0</v>
      </c>
      <c r="M671" t="n">
        <v>0</v>
      </c>
      <c r="N671" t="n">
        <v>0</v>
      </c>
      <c r="O671" t="n">
        <v>0</v>
      </c>
      <c r="P671" t="n">
        <v>0</v>
      </c>
      <c r="Q671" t="n">
        <v>0</v>
      </c>
      <c r="R671" s="2" t="inlineStr"/>
    </row>
    <row r="672" ht="15" customHeight="1">
      <c r="A672" t="inlineStr">
        <is>
          <t>A 19685-2022</t>
        </is>
      </c>
      <c r="B672" s="1" t="n">
        <v>44694</v>
      </c>
      <c r="C672" s="1" t="n">
        <v>46063</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62419-2023</t>
        </is>
      </c>
      <c r="B673" s="1" t="n">
        <v>45268</v>
      </c>
      <c r="C673" s="1" t="n">
        <v>46063</v>
      </c>
      <c r="D673" t="inlineStr">
        <is>
          <t>SÖDERMANLANDS LÄN</t>
        </is>
      </c>
      <c r="E673" t="inlineStr">
        <is>
          <t>KATRINEHOLM</t>
        </is>
      </c>
      <c r="G673" t="n">
        <v>9</v>
      </c>
      <c r="H673" t="n">
        <v>0</v>
      </c>
      <c r="I673" t="n">
        <v>0</v>
      </c>
      <c r="J673" t="n">
        <v>0</v>
      </c>
      <c r="K673" t="n">
        <v>0</v>
      </c>
      <c r="L673" t="n">
        <v>0</v>
      </c>
      <c r="M673" t="n">
        <v>0</v>
      </c>
      <c r="N673" t="n">
        <v>0</v>
      </c>
      <c r="O673" t="n">
        <v>0</v>
      </c>
      <c r="P673" t="n">
        <v>0</v>
      </c>
      <c r="Q673" t="n">
        <v>0</v>
      </c>
      <c r="R673" s="2" t="inlineStr"/>
    </row>
    <row r="674" ht="15" customHeight="1">
      <c r="A674" t="inlineStr">
        <is>
          <t>A 39897-2023</t>
        </is>
      </c>
      <c r="B674" s="1" t="n">
        <v>45168</v>
      </c>
      <c r="C674" s="1" t="n">
        <v>46063</v>
      </c>
      <c r="D674" t="inlineStr">
        <is>
          <t>SÖDERMANLANDS LÄN</t>
        </is>
      </c>
      <c r="E674" t="inlineStr">
        <is>
          <t>KATRINEHOLM</t>
        </is>
      </c>
      <c r="G674" t="n">
        <v>15.6</v>
      </c>
      <c r="H674" t="n">
        <v>0</v>
      </c>
      <c r="I674" t="n">
        <v>0</v>
      </c>
      <c r="J674" t="n">
        <v>0</v>
      </c>
      <c r="K674" t="n">
        <v>0</v>
      </c>
      <c r="L674" t="n">
        <v>0</v>
      </c>
      <c r="M674" t="n">
        <v>0</v>
      </c>
      <c r="N674" t="n">
        <v>0</v>
      </c>
      <c r="O674" t="n">
        <v>0</v>
      </c>
      <c r="P674" t="n">
        <v>0</v>
      </c>
      <c r="Q674" t="n">
        <v>0</v>
      </c>
      <c r="R674" s="2" t="inlineStr"/>
    </row>
    <row r="675" ht="15" customHeight="1">
      <c r="A675" t="inlineStr">
        <is>
          <t>A 23207-2023</t>
        </is>
      </c>
      <c r="B675" s="1" t="n">
        <v>45071</v>
      </c>
      <c r="C675" s="1" t="n">
        <v>46063</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42025-2022</t>
        </is>
      </c>
      <c r="B676" s="1" t="n">
        <v>44830.47399305556</v>
      </c>
      <c r="C676" s="1" t="n">
        <v>46063</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8791-2023</t>
        </is>
      </c>
      <c r="B677" s="1" t="n">
        <v>44978</v>
      </c>
      <c r="C677" s="1" t="n">
        <v>46063</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48253-2022</t>
        </is>
      </c>
      <c r="B678" s="1" t="n">
        <v>44858</v>
      </c>
      <c r="C678" s="1" t="n">
        <v>46063</v>
      </c>
      <c r="D678" t="inlineStr">
        <is>
          <t>SÖDERMANLANDS LÄN</t>
        </is>
      </c>
      <c r="E678" t="inlineStr">
        <is>
          <t>KATRINEHOLM</t>
        </is>
      </c>
      <c r="G678" t="n">
        <v>4.7</v>
      </c>
      <c r="H678" t="n">
        <v>0</v>
      </c>
      <c r="I678" t="n">
        <v>0</v>
      </c>
      <c r="J678" t="n">
        <v>0</v>
      </c>
      <c r="K678" t="n">
        <v>0</v>
      </c>
      <c r="L678" t="n">
        <v>0</v>
      </c>
      <c r="M678" t="n">
        <v>0</v>
      </c>
      <c r="N678" t="n">
        <v>0</v>
      </c>
      <c r="O678" t="n">
        <v>0</v>
      </c>
      <c r="P678" t="n">
        <v>0</v>
      </c>
      <c r="Q678" t="n">
        <v>0</v>
      </c>
      <c r="R678" s="2" t="inlineStr"/>
    </row>
    <row r="679" ht="15" customHeight="1">
      <c r="A679" t="inlineStr">
        <is>
          <t>A 53809-2021</t>
        </is>
      </c>
      <c r="B679" s="1" t="n">
        <v>44467</v>
      </c>
      <c r="C679" s="1" t="n">
        <v>46063</v>
      </c>
      <c r="D679" t="inlineStr">
        <is>
          <t>SÖDERMANLANDS LÄN</t>
        </is>
      </c>
      <c r="E679" t="inlineStr">
        <is>
          <t>KATRINEHOLM</t>
        </is>
      </c>
      <c r="G679" t="n">
        <v>7</v>
      </c>
      <c r="H679" t="n">
        <v>0</v>
      </c>
      <c r="I679" t="n">
        <v>0</v>
      </c>
      <c r="J679" t="n">
        <v>0</v>
      </c>
      <c r="K679" t="n">
        <v>0</v>
      </c>
      <c r="L679" t="n">
        <v>0</v>
      </c>
      <c r="M679" t="n">
        <v>0</v>
      </c>
      <c r="N679" t="n">
        <v>0</v>
      </c>
      <c r="O679" t="n">
        <v>0</v>
      </c>
      <c r="P679" t="n">
        <v>0</v>
      </c>
      <c r="Q679" t="n">
        <v>0</v>
      </c>
      <c r="R679" s="2" t="inlineStr"/>
    </row>
    <row r="680" ht="15" customHeight="1">
      <c r="A680" t="inlineStr">
        <is>
          <t>A 31719-2024</t>
        </is>
      </c>
      <c r="B680" s="1" t="n">
        <v>45509</v>
      </c>
      <c r="C680" s="1" t="n">
        <v>46063</v>
      </c>
      <c r="D680" t="inlineStr">
        <is>
          <t>SÖDERMANLANDS LÄN</t>
        </is>
      </c>
      <c r="E680" t="inlineStr">
        <is>
          <t>KATRINEHOLM</t>
        </is>
      </c>
      <c r="F680" t="inlineStr">
        <is>
          <t>Kyrkan</t>
        </is>
      </c>
      <c r="G680" t="n">
        <v>11.9</v>
      </c>
      <c r="H680" t="n">
        <v>0</v>
      </c>
      <c r="I680" t="n">
        <v>0</v>
      </c>
      <c r="J680" t="n">
        <v>0</v>
      </c>
      <c r="K680" t="n">
        <v>0</v>
      </c>
      <c r="L680" t="n">
        <v>0</v>
      </c>
      <c r="M680" t="n">
        <v>0</v>
      </c>
      <c r="N680" t="n">
        <v>0</v>
      </c>
      <c r="O680" t="n">
        <v>0</v>
      </c>
      <c r="P680" t="n">
        <v>0</v>
      </c>
      <c r="Q680" t="n">
        <v>0</v>
      </c>
      <c r="R680" s="2" t="inlineStr"/>
    </row>
    <row r="681" ht="15" customHeight="1">
      <c r="A681" t="inlineStr">
        <is>
          <t>A 13175-2024</t>
        </is>
      </c>
      <c r="B681" s="1" t="n">
        <v>45386</v>
      </c>
      <c r="C681" s="1" t="n">
        <v>46063</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44824.55655092592</v>
      </c>
      <c r="C682" s="1" t="n">
        <v>46063</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8761-2023</t>
        </is>
      </c>
      <c r="B683" s="1" t="n">
        <v>44978.49685185185</v>
      </c>
      <c r="C683" s="1" t="n">
        <v>46063</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8778-2023</t>
        </is>
      </c>
      <c r="B684" s="1" t="n">
        <v>44978.5737037037</v>
      </c>
      <c r="C684" s="1" t="n">
        <v>46063</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8457-2023</t>
        </is>
      </c>
      <c r="B685" s="1" t="n">
        <v>44977</v>
      </c>
      <c r="C685" s="1" t="n">
        <v>46063</v>
      </c>
      <c r="D685" t="inlineStr">
        <is>
          <t>SÖDERMANLANDS LÄN</t>
        </is>
      </c>
      <c r="E685" t="inlineStr">
        <is>
          <t>KATRINEHOLM</t>
        </is>
      </c>
      <c r="F685" t="inlineStr">
        <is>
          <t>Allmännings- och besparingsskogar</t>
        </is>
      </c>
      <c r="G685" t="n">
        <v>16.1</v>
      </c>
      <c r="H685" t="n">
        <v>0</v>
      </c>
      <c r="I685" t="n">
        <v>0</v>
      </c>
      <c r="J685" t="n">
        <v>0</v>
      </c>
      <c r="K685" t="n">
        <v>0</v>
      </c>
      <c r="L685" t="n">
        <v>0</v>
      </c>
      <c r="M685" t="n">
        <v>0</v>
      </c>
      <c r="N685" t="n">
        <v>0</v>
      </c>
      <c r="O685" t="n">
        <v>0</v>
      </c>
      <c r="P685" t="n">
        <v>0</v>
      </c>
      <c r="Q685" t="n">
        <v>0</v>
      </c>
      <c r="R685" s="2" t="inlineStr"/>
    </row>
    <row r="686" ht="15" customHeight="1">
      <c r="A686" t="inlineStr">
        <is>
          <t>A 7056-2022</t>
        </is>
      </c>
      <c r="B686" s="1" t="n">
        <v>44603</v>
      </c>
      <c r="C686" s="1" t="n">
        <v>46063</v>
      </c>
      <c r="D686" t="inlineStr">
        <is>
          <t>SÖDERMANLANDS LÄN</t>
        </is>
      </c>
      <c r="E686" t="inlineStr">
        <is>
          <t>KATRINEHOLM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32786-2022</t>
        </is>
      </c>
      <c r="B687" s="1" t="n">
        <v>44784</v>
      </c>
      <c r="C687" s="1" t="n">
        <v>46063</v>
      </c>
      <c r="D687" t="inlineStr">
        <is>
          <t>SÖDERMANLANDS LÄN</t>
        </is>
      </c>
      <c r="E687" t="inlineStr">
        <is>
          <t>KATRINEHOLM</t>
        </is>
      </c>
      <c r="G687" t="n">
        <v>7</v>
      </c>
      <c r="H687" t="n">
        <v>0</v>
      </c>
      <c r="I687" t="n">
        <v>0</v>
      </c>
      <c r="J687" t="n">
        <v>0</v>
      </c>
      <c r="K687" t="n">
        <v>0</v>
      </c>
      <c r="L687" t="n">
        <v>0</v>
      </c>
      <c r="M687" t="n">
        <v>0</v>
      </c>
      <c r="N687" t="n">
        <v>0</v>
      </c>
      <c r="O687" t="n">
        <v>0</v>
      </c>
      <c r="P687" t="n">
        <v>0</v>
      </c>
      <c r="Q687" t="n">
        <v>0</v>
      </c>
      <c r="R687" s="2" t="inlineStr"/>
    </row>
    <row r="688" ht="15" customHeight="1">
      <c r="A688" t="inlineStr">
        <is>
          <t>A 7223-2022</t>
        </is>
      </c>
      <c r="B688" s="1" t="n">
        <v>44603</v>
      </c>
      <c r="C688" s="1" t="n">
        <v>46063</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7459-2022</t>
        </is>
      </c>
      <c r="B689" s="1" t="n">
        <v>44607.35009259259</v>
      </c>
      <c r="C689" s="1" t="n">
        <v>46063</v>
      </c>
      <c r="D689" t="inlineStr">
        <is>
          <t>SÖDERMANLANDS LÄN</t>
        </is>
      </c>
      <c r="E689" t="inlineStr">
        <is>
          <t>KATRINEHOLM</t>
        </is>
      </c>
      <c r="G689" t="n">
        <v>2</v>
      </c>
      <c r="H689" t="n">
        <v>0</v>
      </c>
      <c r="I689" t="n">
        <v>0</v>
      </c>
      <c r="J689" t="n">
        <v>0</v>
      </c>
      <c r="K689" t="n">
        <v>0</v>
      </c>
      <c r="L689" t="n">
        <v>0</v>
      </c>
      <c r="M689" t="n">
        <v>0</v>
      </c>
      <c r="N689" t="n">
        <v>0</v>
      </c>
      <c r="O689" t="n">
        <v>0</v>
      </c>
      <c r="P689" t="n">
        <v>0</v>
      </c>
      <c r="Q689" t="n">
        <v>0</v>
      </c>
      <c r="R689" s="2" t="inlineStr"/>
    </row>
    <row r="690" ht="15" customHeight="1">
      <c r="A690" t="inlineStr">
        <is>
          <t>A 27375-2024</t>
        </is>
      </c>
      <c r="B690" s="1" t="n">
        <v>45473.87645833333</v>
      </c>
      <c r="C690" s="1" t="n">
        <v>46063</v>
      </c>
      <c r="D690" t="inlineStr">
        <is>
          <t>SÖDERMANLANDS LÄN</t>
        </is>
      </c>
      <c r="E690" t="inlineStr">
        <is>
          <t>KATRINEHOLM</t>
        </is>
      </c>
      <c r="F690" t="inlineStr">
        <is>
          <t>Kommuner</t>
        </is>
      </c>
      <c r="G690" t="n">
        <v>1.9</v>
      </c>
      <c r="H690" t="n">
        <v>0</v>
      </c>
      <c r="I690" t="n">
        <v>0</v>
      </c>
      <c r="J690" t="n">
        <v>0</v>
      </c>
      <c r="K690" t="n">
        <v>0</v>
      </c>
      <c r="L690" t="n">
        <v>0</v>
      </c>
      <c r="M690" t="n">
        <v>0</v>
      </c>
      <c r="N690" t="n">
        <v>0</v>
      </c>
      <c r="O690" t="n">
        <v>0</v>
      </c>
      <c r="P690" t="n">
        <v>0</v>
      </c>
      <c r="Q690" t="n">
        <v>0</v>
      </c>
      <c r="R690" s="2" t="inlineStr"/>
    </row>
    <row r="691" ht="15" customHeight="1">
      <c r="A691" t="inlineStr">
        <is>
          <t>A 20768-2022</t>
        </is>
      </c>
      <c r="B691" s="1" t="n">
        <v>44701.36431712963</v>
      </c>
      <c r="C691" s="1" t="n">
        <v>46063</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15284-2023</t>
        </is>
      </c>
      <c r="B692" s="1" t="n">
        <v>45019</v>
      </c>
      <c r="C692" s="1" t="n">
        <v>46063</v>
      </c>
      <c r="D692" t="inlineStr">
        <is>
          <t>SÖDERMANLANDS LÄN</t>
        </is>
      </c>
      <c r="E692" t="inlineStr">
        <is>
          <t>KATRINEHOLM</t>
        </is>
      </c>
      <c r="F692" t="inlineStr">
        <is>
          <t>Allmännings- och besparingsskogar</t>
        </is>
      </c>
      <c r="G692" t="n">
        <v>17.4</v>
      </c>
      <c r="H692" t="n">
        <v>0</v>
      </c>
      <c r="I692" t="n">
        <v>0</v>
      </c>
      <c r="J692" t="n">
        <v>0</v>
      </c>
      <c r="K692" t="n">
        <v>0</v>
      </c>
      <c r="L692" t="n">
        <v>0</v>
      </c>
      <c r="M692" t="n">
        <v>0</v>
      </c>
      <c r="N692" t="n">
        <v>0</v>
      </c>
      <c r="O692" t="n">
        <v>0</v>
      </c>
      <c r="P692" t="n">
        <v>0</v>
      </c>
      <c r="Q692" t="n">
        <v>0</v>
      </c>
      <c r="R692" s="2" t="inlineStr"/>
    </row>
    <row r="693" ht="15" customHeight="1">
      <c r="A693" t="inlineStr">
        <is>
          <t>A 51613-2022</t>
        </is>
      </c>
      <c r="B693" s="1" t="n">
        <v>44871</v>
      </c>
      <c r="C693" s="1" t="n">
        <v>46063</v>
      </c>
      <c r="D693" t="inlineStr">
        <is>
          <t>SÖDERMANLANDS LÄN</t>
        </is>
      </c>
      <c r="E693" t="inlineStr">
        <is>
          <t>KATRINEHOLM</t>
        </is>
      </c>
      <c r="G693" t="n">
        <v>3</v>
      </c>
      <c r="H693" t="n">
        <v>0</v>
      </c>
      <c r="I693" t="n">
        <v>0</v>
      </c>
      <c r="J693" t="n">
        <v>0</v>
      </c>
      <c r="K693" t="n">
        <v>0</v>
      </c>
      <c r="L693" t="n">
        <v>0</v>
      </c>
      <c r="M693" t="n">
        <v>0</v>
      </c>
      <c r="N693" t="n">
        <v>0</v>
      </c>
      <c r="O693" t="n">
        <v>0</v>
      </c>
      <c r="P693" t="n">
        <v>0</v>
      </c>
      <c r="Q693" t="n">
        <v>0</v>
      </c>
      <c r="R693" s="2" t="inlineStr"/>
    </row>
    <row r="694" ht="15" customHeight="1">
      <c r="A694" t="inlineStr">
        <is>
          <t>A 37834-2023</t>
        </is>
      </c>
      <c r="B694" s="1" t="n">
        <v>45160</v>
      </c>
      <c r="C694" s="1" t="n">
        <v>46063</v>
      </c>
      <c r="D694" t="inlineStr">
        <is>
          <t>SÖDERMANLANDS LÄN</t>
        </is>
      </c>
      <c r="E694" t="inlineStr">
        <is>
          <t>KATRINEHOLM</t>
        </is>
      </c>
      <c r="F694" t="inlineStr">
        <is>
          <t>Kyrkan</t>
        </is>
      </c>
      <c r="G694" t="n">
        <v>2.8</v>
      </c>
      <c r="H694" t="n">
        <v>0</v>
      </c>
      <c r="I694" t="n">
        <v>0</v>
      </c>
      <c r="J694" t="n">
        <v>0</v>
      </c>
      <c r="K694" t="n">
        <v>0</v>
      </c>
      <c r="L694" t="n">
        <v>0</v>
      </c>
      <c r="M694" t="n">
        <v>0</v>
      </c>
      <c r="N694" t="n">
        <v>0</v>
      </c>
      <c r="O694" t="n">
        <v>0</v>
      </c>
      <c r="P694" t="n">
        <v>0</v>
      </c>
      <c r="Q694" t="n">
        <v>0</v>
      </c>
      <c r="R694" s="2" t="inlineStr"/>
    </row>
    <row r="695" ht="15" customHeight="1">
      <c r="A695" t="inlineStr">
        <is>
          <t>A 8475-2023</t>
        </is>
      </c>
      <c r="B695" s="1" t="n">
        <v>44977</v>
      </c>
      <c r="C695" s="1" t="n">
        <v>46063</v>
      </c>
      <c r="D695" t="inlineStr">
        <is>
          <t>SÖDERMANLANDS LÄN</t>
        </is>
      </c>
      <c r="E695" t="inlineStr">
        <is>
          <t>KATRINEHOLM</t>
        </is>
      </c>
      <c r="F695" t="inlineStr">
        <is>
          <t>Allmännings- och besparingsskogar</t>
        </is>
      </c>
      <c r="G695" t="n">
        <v>8.1</v>
      </c>
      <c r="H695" t="n">
        <v>0</v>
      </c>
      <c r="I695" t="n">
        <v>0</v>
      </c>
      <c r="J695" t="n">
        <v>0</v>
      </c>
      <c r="K695" t="n">
        <v>0</v>
      </c>
      <c r="L695" t="n">
        <v>0</v>
      </c>
      <c r="M695" t="n">
        <v>0</v>
      </c>
      <c r="N695" t="n">
        <v>0</v>
      </c>
      <c r="O695" t="n">
        <v>0</v>
      </c>
      <c r="P695" t="n">
        <v>0</v>
      </c>
      <c r="Q695" t="n">
        <v>0</v>
      </c>
      <c r="R695" s="2" t="inlineStr"/>
    </row>
    <row r="696" ht="15" customHeight="1">
      <c r="A696" t="inlineStr">
        <is>
          <t>A 32890-2024</t>
        </is>
      </c>
      <c r="B696" s="1" t="n">
        <v>45516</v>
      </c>
      <c r="C696" s="1" t="n">
        <v>46063</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2320-2023</t>
        </is>
      </c>
      <c r="B697" s="1" t="n">
        <v>44942.58850694444</v>
      </c>
      <c r="C697" s="1" t="n">
        <v>46063</v>
      </c>
      <c r="D697" t="inlineStr">
        <is>
          <t>SÖDERMANLANDS LÄN</t>
        </is>
      </c>
      <c r="E697" t="inlineStr">
        <is>
          <t>KATRINEHOLM</t>
        </is>
      </c>
      <c r="G697" t="n">
        <v>1.9</v>
      </c>
      <c r="H697" t="n">
        <v>0</v>
      </c>
      <c r="I697" t="n">
        <v>0</v>
      </c>
      <c r="J697" t="n">
        <v>0</v>
      </c>
      <c r="K697" t="n">
        <v>0</v>
      </c>
      <c r="L697" t="n">
        <v>0</v>
      </c>
      <c r="M697" t="n">
        <v>0</v>
      </c>
      <c r="N697" t="n">
        <v>0</v>
      </c>
      <c r="O697" t="n">
        <v>0</v>
      </c>
      <c r="P697" t="n">
        <v>0</v>
      </c>
      <c r="Q697" t="n">
        <v>0</v>
      </c>
      <c r="R697" s="2" t="inlineStr"/>
    </row>
    <row r="698" ht="15" customHeight="1">
      <c r="A698" t="inlineStr">
        <is>
          <t>A 59898-2022</t>
        </is>
      </c>
      <c r="B698" s="1" t="n">
        <v>44908</v>
      </c>
      <c r="C698" s="1" t="n">
        <v>46063</v>
      </c>
      <c r="D698" t="inlineStr">
        <is>
          <t>SÖDERMANLANDS LÄN</t>
        </is>
      </c>
      <c r="E698" t="inlineStr">
        <is>
          <t>KATRINEHOLM</t>
        </is>
      </c>
      <c r="G698" t="n">
        <v>4.8</v>
      </c>
      <c r="H698" t="n">
        <v>0</v>
      </c>
      <c r="I698" t="n">
        <v>0</v>
      </c>
      <c r="J698" t="n">
        <v>0</v>
      </c>
      <c r="K698" t="n">
        <v>0</v>
      </c>
      <c r="L698" t="n">
        <v>0</v>
      </c>
      <c r="M698" t="n">
        <v>0</v>
      </c>
      <c r="N698" t="n">
        <v>0</v>
      </c>
      <c r="O698" t="n">
        <v>0</v>
      </c>
      <c r="P698" t="n">
        <v>0</v>
      </c>
      <c r="Q698" t="n">
        <v>0</v>
      </c>
      <c r="R698" s="2" t="inlineStr"/>
    </row>
    <row r="699" ht="15" customHeight="1">
      <c r="A699" t="inlineStr">
        <is>
          <t>A 20326-2023</t>
        </is>
      </c>
      <c r="B699" s="1" t="n">
        <v>45056.46821759259</v>
      </c>
      <c r="C699" s="1" t="n">
        <v>46063</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15392-2023</t>
        </is>
      </c>
      <c r="B700" s="1" t="n">
        <v>45016</v>
      </c>
      <c r="C700" s="1" t="n">
        <v>46063</v>
      </c>
      <c r="D700" t="inlineStr">
        <is>
          <t>SÖDERMANLANDS LÄN</t>
        </is>
      </c>
      <c r="E700" t="inlineStr">
        <is>
          <t>KATRINEHOLM</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45246-2023</t>
        </is>
      </c>
      <c r="B701" s="1" t="n">
        <v>45191</v>
      </c>
      <c r="C701" s="1" t="n">
        <v>46063</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2735-2025</t>
        </is>
      </c>
      <c r="B702" s="1" t="n">
        <v>45677</v>
      </c>
      <c r="C702" s="1" t="n">
        <v>46063</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46063</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17335-2023</t>
        </is>
      </c>
      <c r="B704" s="1" t="n">
        <v>45033</v>
      </c>
      <c r="C704" s="1" t="n">
        <v>46063</v>
      </c>
      <c r="D704" t="inlineStr">
        <is>
          <t>SÖDERMANLANDS LÄN</t>
        </is>
      </c>
      <c r="E704" t="inlineStr">
        <is>
          <t>KATRINEHOLM</t>
        </is>
      </c>
      <c r="G704" t="n">
        <v>3.3</v>
      </c>
      <c r="H704" t="n">
        <v>0</v>
      </c>
      <c r="I704" t="n">
        <v>0</v>
      </c>
      <c r="J704" t="n">
        <v>0</v>
      </c>
      <c r="K704" t="n">
        <v>0</v>
      </c>
      <c r="L704" t="n">
        <v>0</v>
      </c>
      <c r="M704" t="n">
        <v>0</v>
      </c>
      <c r="N704" t="n">
        <v>0</v>
      </c>
      <c r="O704" t="n">
        <v>0</v>
      </c>
      <c r="P704" t="n">
        <v>0</v>
      </c>
      <c r="Q704" t="n">
        <v>0</v>
      </c>
      <c r="R704" s="2" t="inlineStr"/>
    </row>
    <row r="705" ht="15" customHeight="1">
      <c r="A705" t="inlineStr">
        <is>
          <t>A 16605-2025</t>
        </is>
      </c>
      <c r="B705" s="1" t="n">
        <v>45753.61614583333</v>
      </c>
      <c r="C705" s="1" t="n">
        <v>46063</v>
      </c>
      <c r="D705" t="inlineStr">
        <is>
          <t>SÖDERMANLANDS LÄN</t>
        </is>
      </c>
      <c r="E705" t="inlineStr">
        <is>
          <t>KATRINEHOLM</t>
        </is>
      </c>
      <c r="G705" t="n">
        <v>5.2</v>
      </c>
      <c r="H705" t="n">
        <v>0</v>
      </c>
      <c r="I705" t="n">
        <v>0</v>
      </c>
      <c r="J705" t="n">
        <v>0</v>
      </c>
      <c r="K705" t="n">
        <v>0</v>
      </c>
      <c r="L705" t="n">
        <v>0</v>
      </c>
      <c r="M705" t="n">
        <v>0</v>
      </c>
      <c r="N705" t="n">
        <v>0</v>
      </c>
      <c r="O705" t="n">
        <v>0</v>
      </c>
      <c r="P705" t="n">
        <v>0</v>
      </c>
      <c r="Q705" t="n">
        <v>0</v>
      </c>
      <c r="R705" s="2" t="inlineStr"/>
    </row>
    <row r="706" ht="15" customHeight="1">
      <c r="A706" t="inlineStr">
        <is>
          <t>A 33141-2023</t>
        </is>
      </c>
      <c r="B706" s="1" t="n">
        <v>45126.65491898148</v>
      </c>
      <c r="C706" s="1" t="n">
        <v>46063</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58528-2024</t>
        </is>
      </c>
      <c r="B707" s="1" t="n">
        <v>45635.44527777778</v>
      </c>
      <c r="C707" s="1" t="n">
        <v>46063</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9899-2023</t>
        </is>
      </c>
      <c r="B708" s="1" t="n">
        <v>44985</v>
      </c>
      <c r="C708" s="1" t="n">
        <v>46063</v>
      </c>
      <c r="D708" t="inlineStr">
        <is>
          <t>SÖDERMANLANDS LÄN</t>
        </is>
      </c>
      <c r="E708" t="inlineStr">
        <is>
          <t>KATRINEHOLM</t>
        </is>
      </c>
      <c r="F708" t="inlineStr">
        <is>
          <t>Allmännings- och besparingsskogar</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8288-2023</t>
        </is>
      </c>
      <c r="B709" s="1" t="n">
        <v>44974</v>
      </c>
      <c r="C709" s="1" t="n">
        <v>46063</v>
      </c>
      <c r="D709" t="inlineStr">
        <is>
          <t>SÖDERMANLANDS LÄN</t>
        </is>
      </c>
      <c r="E709" t="inlineStr">
        <is>
          <t>KATRINEHOLM</t>
        </is>
      </c>
      <c r="F709" t="inlineStr">
        <is>
          <t>Allmännings- och besparingsskogar</t>
        </is>
      </c>
      <c r="G709" t="n">
        <v>5.6</v>
      </c>
      <c r="H709" t="n">
        <v>0</v>
      </c>
      <c r="I709" t="n">
        <v>0</v>
      </c>
      <c r="J709" t="n">
        <v>0</v>
      </c>
      <c r="K709" t="n">
        <v>0</v>
      </c>
      <c r="L709" t="n">
        <v>0</v>
      </c>
      <c r="M709" t="n">
        <v>0</v>
      </c>
      <c r="N709" t="n">
        <v>0</v>
      </c>
      <c r="O709" t="n">
        <v>0</v>
      </c>
      <c r="P709" t="n">
        <v>0</v>
      </c>
      <c r="Q709" t="n">
        <v>0</v>
      </c>
      <c r="R709" s="2" t="inlineStr"/>
    </row>
    <row r="710" ht="15" customHeight="1">
      <c r="A710" t="inlineStr">
        <is>
          <t>A 3317-2023</t>
        </is>
      </c>
      <c r="B710" s="1" t="n">
        <v>44945</v>
      </c>
      <c r="C710" s="1" t="n">
        <v>46063</v>
      </c>
      <c r="D710" t="inlineStr">
        <is>
          <t>SÖDERMANLANDS LÄN</t>
        </is>
      </c>
      <c r="E710" t="inlineStr">
        <is>
          <t>KATRINEHOLM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37185-2023</t>
        </is>
      </c>
      <c r="B711" s="1" t="n">
        <v>45154</v>
      </c>
      <c r="C711" s="1" t="n">
        <v>46063</v>
      </c>
      <c r="D711" t="inlineStr">
        <is>
          <t>SÖDERMANLANDS LÄN</t>
        </is>
      </c>
      <c r="E711" t="inlineStr">
        <is>
          <t>KATRINEHOLM</t>
        </is>
      </c>
      <c r="G711" t="n">
        <v>3</v>
      </c>
      <c r="H711" t="n">
        <v>0</v>
      </c>
      <c r="I711" t="n">
        <v>0</v>
      </c>
      <c r="J711" t="n">
        <v>0</v>
      </c>
      <c r="K711" t="n">
        <v>0</v>
      </c>
      <c r="L711" t="n">
        <v>0</v>
      </c>
      <c r="M711" t="n">
        <v>0</v>
      </c>
      <c r="N711" t="n">
        <v>0</v>
      </c>
      <c r="O711" t="n">
        <v>0</v>
      </c>
      <c r="P711" t="n">
        <v>0</v>
      </c>
      <c r="Q711" t="n">
        <v>0</v>
      </c>
      <c r="R711" s="2" t="inlineStr"/>
    </row>
    <row r="712" ht="15" customHeight="1">
      <c r="A712" t="inlineStr">
        <is>
          <t>A 51848-2022</t>
        </is>
      </c>
      <c r="B712" s="1" t="n">
        <v>44872.57752314815</v>
      </c>
      <c r="C712" s="1" t="n">
        <v>46063</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49218-2023</t>
        </is>
      </c>
      <c r="B713" s="1" t="n">
        <v>45205</v>
      </c>
      <c r="C713" s="1" t="n">
        <v>46063</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55169-2022</t>
        </is>
      </c>
      <c r="B714" s="1" t="n">
        <v>44886</v>
      </c>
      <c r="C714" s="1" t="n">
        <v>46063</v>
      </c>
      <c r="D714" t="inlineStr">
        <is>
          <t>SÖDERMANLANDS LÄN</t>
        </is>
      </c>
      <c r="E714" t="inlineStr">
        <is>
          <t>KATRINEHOLM</t>
        </is>
      </c>
      <c r="G714" t="n">
        <v>1.3</v>
      </c>
      <c r="H714" t="n">
        <v>0</v>
      </c>
      <c r="I714" t="n">
        <v>0</v>
      </c>
      <c r="J714" t="n">
        <v>0</v>
      </c>
      <c r="K714" t="n">
        <v>0</v>
      </c>
      <c r="L714" t="n">
        <v>0</v>
      </c>
      <c r="M714" t="n">
        <v>0</v>
      </c>
      <c r="N714" t="n">
        <v>0</v>
      </c>
      <c r="O714" t="n">
        <v>0</v>
      </c>
      <c r="P714" t="n">
        <v>0</v>
      </c>
      <c r="Q714" t="n">
        <v>0</v>
      </c>
      <c r="R714" s="2" t="inlineStr"/>
    </row>
    <row r="715" ht="15" customHeight="1">
      <c r="A715" t="inlineStr">
        <is>
          <t>A 1329-2025</t>
        </is>
      </c>
      <c r="B715" s="1" t="n">
        <v>45667</v>
      </c>
      <c r="C715" s="1" t="n">
        <v>46063</v>
      </c>
      <c r="D715" t="inlineStr">
        <is>
          <t>SÖDERMANLANDS LÄN</t>
        </is>
      </c>
      <c r="E715" t="inlineStr">
        <is>
          <t>KATRINEHOLM</t>
        </is>
      </c>
      <c r="G715" t="n">
        <v>2.7</v>
      </c>
      <c r="H715" t="n">
        <v>0</v>
      </c>
      <c r="I715" t="n">
        <v>0</v>
      </c>
      <c r="J715" t="n">
        <v>0</v>
      </c>
      <c r="K715" t="n">
        <v>0</v>
      </c>
      <c r="L715" t="n">
        <v>0</v>
      </c>
      <c r="M715" t="n">
        <v>0</v>
      </c>
      <c r="N715" t="n">
        <v>0</v>
      </c>
      <c r="O715" t="n">
        <v>0</v>
      </c>
      <c r="P715" t="n">
        <v>0</v>
      </c>
      <c r="Q715" t="n">
        <v>0</v>
      </c>
      <c r="R715" s="2" t="inlineStr"/>
    </row>
    <row r="716" ht="15" customHeight="1">
      <c r="A716" t="inlineStr">
        <is>
          <t>A 61398-2024</t>
        </is>
      </c>
      <c r="B716" s="1" t="n">
        <v>45646.42608796297</v>
      </c>
      <c r="C716" s="1" t="n">
        <v>46063</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24287-2024</t>
        </is>
      </c>
      <c r="B717" s="1" t="n">
        <v>45457</v>
      </c>
      <c r="C717" s="1" t="n">
        <v>46063</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8518-2023</t>
        </is>
      </c>
      <c r="B718" s="1" t="n">
        <v>44977</v>
      </c>
      <c r="C718" s="1" t="n">
        <v>46063</v>
      </c>
      <c r="D718" t="inlineStr">
        <is>
          <t>SÖDERMANLANDS LÄN</t>
        </is>
      </c>
      <c r="E718" t="inlineStr">
        <is>
          <t>KATRINEHOLM</t>
        </is>
      </c>
      <c r="F718" t="inlineStr">
        <is>
          <t>Allmännings- och besparingsskogar</t>
        </is>
      </c>
      <c r="G718" t="n">
        <v>35.3</v>
      </c>
      <c r="H718" t="n">
        <v>0</v>
      </c>
      <c r="I718" t="n">
        <v>0</v>
      </c>
      <c r="J718" t="n">
        <v>0</v>
      </c>
      <c r="K718" t="n">
        <v>0</v>
      </c>
      <c r="L718" t="n">
        <v>0</v>
      </c>
      <c r="M718" t="n">
        <v>0</v>
      </c>
      <c r="N718" t="n">
        <v>0</v>
      </c>
      <c r="O718" t="n">
        <v>0</v>
      </c>
      <c r="P718" t="n">
        <v>0</v>
      </c>
      <c r="Q718" t="n">
        <v>0</v>
      </c>
      <c r="R718" s="2" t="inlineStr"/>
    </row>
    <row r="719" ht="15" customHeight="1">
      <c r="A719" t="inlineStr">
        <is>
          <t>A 48030-2022</t>
        </is>
      </c>
      <c r="B719" s="1" t="n">
        <v>44855</v>
      </c>
      <c r="C719" s="1" t="n">
        <v>46063</v>
      </c>
      <c r="D719" t="inlineStr">
        <is>
          <t>SÖDERMANLANDS LÄN</t>
        </is>
      </c>
      <c r="E719" t="inlineStr">
        <is>
          <t>KATRINEHOLM</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948-2023</t>
        </is>
      </c>
      <c r="B720" s="1" t="n">
        <v>44934</v>
      </c>
      <c r="C720" s="1" t="n">
        <v>46063</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37542-2022</t>
        </is>
      </c>
      <c r="B721" s="1" t="n">
        <v>44809</v>
      </c>
      <c r="C721" s="1" t="n">
        <v>46063</v>
      </c>
      <c r="D721" t="inlineStr">
        <is>
          <t>SÖDERMANLANDS LÄN</t>
        </is>
      </c>
      <c r="E721" t="inlineStr">
        <is>
          <t>KATRINEHOLM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41229-2022</t>
        </is>
      </c>
      <c r="B722" s="1" t="n">
        <v>44825</v>
      </c>
      <c r="C722" s="1" t="n">
        <v>46063</v>
      </c>
      <c r="D722" t="inlineStr">
        <is>
          <t>SÖDERMANLANDS LÄN</t>
        </is>
      </c>
      <c r="E722" t="inlineStr">
        <is>
          <t>KATRINEHOLM</t>
        </is>
      </c>
      <c r="G722" t="n">
        <v>3.8</v>
      </c>
      <c r="H722" t="n">
        <v>0</v>
      </c>
      <c r="I722" t="n">
        <v>0</v>
      </c>
      <c r="J722" t="n">
        <v>0</v>
      </c>
      <c r="K722" t="n">
        <v>0</v>
      </c>
      <c r="L722" t="n">
        <v>0</v>
      </c>
      <c r="M722" t="n">
        <v>0</v>
      </c>
      <c r="N722" t="n">
        <v>0</v>
      </c>
      <c r="O722" t="n">
        <v>0</v>
      </c>
      <c r="P722" t="n">
        <v>0</v>
      </c>
      <c r="Q722" t="n">
        <v>0</v>
      </c>
      <c r="R722" s="2" t="inlineStr"/>
    </row>
    <row r="723" ht="15" customHeight="1">
      <c r="A723" t="inlineStr">
        <is>
          <t>A 64652-2023</t>
        </is>
      </c>
      <c r="B723" s="1" t="n">
        <v>45281</v>
      </c>
      <c r="C723" s="1" t="n">
        <v>46063</v>
      </c>
      <c r="D723" t="inlineStr">
        <is>
          <t>SÖDERMANLANDS LÄN</t>
        </is>
      </c>
      <c r="E723" t="inlineStr">
        <is>
          <t>KATRINEHOLM</t>
        </is>
      </c>
      <c r="F723" t="inlineStr">
        <is>
          <t>Övriga Aktiebolag</t>
        </is>
      </c>
      <c r="G723" t="n">
        <v>2.2</v>
      </c>
      <c r="H723" t="n">
        <v>0</v>
      </c>
      <c r="I723" t="n">
        <v>0</v>
      </c>
      <c r="J723" t="n">
        <v>0</v>
      </c>
      <c r="K723" t="n">
        <v>0</v>
      </c>
      <c r="L723" t="n">
        <v>0</v>
      </c>
      <c r="M723" t="n">
        <v>0</v>
      </c>
      <c r="N723" t="n">
        <v>0</v>
      </c>
      <c r="O723" t="n">
        <v>0</v>
      </c>
      <c r="P723" t="n">
        <v>0</v>
      </c>
      <c r="Q723" t="n">
        <v>0</v>
      </c>
      <c r="R723" s="2" t="inlineStr"/>
    </row>
    <row r="724" ht="15" customHeight="1">
      <c r="A724" t="inlineStr">
        <is>
          <t>A 51404-2023</t>
        </is>
      </c>
      <c r="B724" s="1" t="n">
        <v>45214</v>
      </c>
      <c r="C724" s="1" t="n">
        <v>46063</v>
      </c>
      <c r="D724" t="inlineStr">
        <is>
          <t>SÖDERMANLANDS LÄN</t>
        </is>
      </c>
      <c r="E724" t="inlineStr">
        <is>
          <t>KATRINEHOLM</t>
        </is>
      </c>
      <c r="G724" t="n">
        <v>9</v>
      </c>
      <c r="H724" t="n">
        <v>0</v>
      </c>
      <c r="I724" t="n">
        <v>0</v>
      </c>
      <c r="J724" t="n">
        <v>0</v>
      </c>
      <c r="K724" t="n">
        <v>0</v>
      </c>
      <c r="L724" t="n">
        <v>0</v>
      </c>
      <c r="M724" t="n">
        <v>0</v>
      </c>
      <c r="N724" t="n">
        <v>0</v>
      </c>
      <c r="O724" t="n">
        <v>0</v>
      </c>
      <c r="P724" t="n">
        <v>0</v>
      </c>
      <c r="Q724" t="n">
        <v>0</v>
      </c>
      <c r="R724" s="2" t="inlineStr"/>
    </row>
    <row r="725" ht="15" customHeight="1">
      <c r="A725" t="inlineStr">
        <is>
          <t>A 41946-2022</t>
        </is>
      </c>
      <c r="B725" s="1" t="n">
        <v>44830.38502314815</v>
      </c>
      <c r="C725" s="1" t="n">
        <v>46063</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3115-2024</t>
        </is>
      </c>
      <c r="B726" s="1" t="n">
        <v>45316.49630787037</v>
      </c>
      <c r="C726" s="1" t="n">
        <v>46063</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61431-2024</t>
        </is>
      </c>
      <c r="B727" s="1" t="n">
        <v>45646.45950231481</v>
      </c>
      <c r="C727" s="1" t="n">
        <v>46063</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44659-2023</t>
        </is>
      </c>
      <c r="B728" s="1" t="n">
        <v>45189</v>
      </c>
      <c r="C728" s="1" t="n">
        <v>46063</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51446-2023</t>
        </is>
      </c>
      <c r="B729" s="1" t="n">
        <v>45220.48068287037</v>
      </c>
      <c r="C729" s="1" t="n">
        <v>46063</v>
      </c>
      <c r="D729" t="inlineStr">
        <is>
          <t>SÖDERMANLANDS LÄN</t>
        </is>
      </c>
      <c r="E729" t="inlineStr">
        <is>
          <t>KATRINEHOLM</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27955-2023</t>
        </is>
      </c>
      <c r="B730" s="1" t="n">
        <v>45098</v>
      </c>
      <c r="C730" s="1" t="n">
        <v>46063</v>
      </c>
      <c r="D730" t="inlineStr">
        <is>
          <t>SÖDERMANLANDS LÄN</t>
        </is>
      </c>
      <c r="E730" t="inlineStr">
        <is>
          <t>KATRINEHOLM</t>
        </is>
      </c>
      <c r="G730" t="n">
        <v>5.9</v>
      </c>
      <c r="H730" t="n">
        <v>0</v>
      </c>
      <c r="I730" t="n">
        <v>0</v>
      </c>
      <c r="J730" t="n">
        <v>0</v>
      </c>
      <c r="K730" t="n">
        <v>0</v>
      </c>
      <c r="L730" t="n">
        <v>0</v>
      </c>
      <c r="M730" t="n">
        <v>0</v>
      </c>
      <c r="N730" t="n">
        <v>0</v>
      </c>
      <c r="O730" t="n">
        <v>0</v>
      </c>
      <c r="P730" t="n">
        <v>0</v>
      </c>
      <c r="Q730" t="n">
        <v>0</v>
      </c>
      <c r="R730" s="2" t="inlineStr"/>
    </row>
    <row r="731" ht="15" customHeight="1">
      <c r="A731" t="inlineStr">
        <is>
          <t>A 4669-2023</t>
        </is>
      </c>
      <c r="B731" s="1" t="n">
        <v>44957</v>
      </c>
      <c r="C731" s="1" t="n">
        <v>46063</v>
      </c>
      <c r="D731" t="inlineStr">
        <is>
          <t>SÖDERMANLANDS LÄN</t>
        </is>
      </c>
      <c r="E731" t="inlineStr">
        <is>
          <t>KATRINEHOLM</t>
        </is>
      </c>
      <c r="F731" t="inlineStr">
        <is>
          <t>Holmen skog AB</t>
        </is>
      </c>
      <c r="G731" t="n">
        <v>2.2</v>
      </c>
      <c r="H731" t="n">
        <v>0</v>
      </c>
      <c r="I731" t="n">
        <v>0</v>
      </c>
      <c r="J731" t="n">
        <v>0</v>
      </c>
      <c r="K731" t="n">
        <v>0</v>
      </c>
      <c r="L731" t="n">
        <v>0</v>
      </c>
      <c r="M731" t="n">
        <v>0</v>
      </c>
      <c r="N731" t="n">
        <v>0</v>
      </c>
      <c r="O731" t="n">
        <v>0</v>
      </c>
      <c r="P731" t="n">
        <v>0</v>
      </c>
      <c r="Q731" t="n">
        <v>0</v>
      </c>
      <c r="R731" s="2" t="inlineStr"/>
    </row>
    <row r="732" ht="15" customHeight="1">
      <c r="A732" t="inlineStr">
        <is>
          <t>A 4724-2023</t>
        </is>
      </c>
      <c r="B732" s="1" t="n">
        <v>44957</v>
      </c>
      <c r="C732" s="1" t="n">
        <v>46063</v>
      </c>
      <c r="D732" t="inlineStr">
        <is>
          <t>SÖDERMANLANDS LÄN</t>
        </is>
      </c>
      <c r="E732" t="inlineStr">
        <is>
          <t>KATRINEHOLM</t>
        </is>
      </c>
      <c r="F732" t="inlineStr">
        <is>
          <t>Holmen skog AB</t>
        </is>
      </c>
      <c r="G732" t="n">
        <v>1.7</v>
      </c>
      <c r="H732" t="n">
        <v>0</v>
      </c>
      <c r="I732" t="n">
        <v>0</v>
      </c>
      <c r="J732" t="n">
        <v>0</v>
      </c>
      <c r="K732" t="n">
        <v>0</v>
      </c>
      <c r="L732" t="n">
        <v>0</v>
      </c>
      <c r="M732" t="n">
        <v>0</v>
      </c>
      <c r="N732" t="n">
        <v>0</v>
      </c>
      <c r="O732" t="n">
        <v>0</v>
      </c>
      <c r="P732" t="n">
        <v>0</v>
      </c>
      <c r="Q732" t="n">
        <v>0</v>
      </c>
      <c r="R732" s="2" t="inlineStr"/>
    </row>
    <row r="733" ht="15" customHeight="1">
      <c r="A733" t="inlineStr">
        <is>
          <t>A 7197-2023</t>
        </is>
      </c>
      <c r="B733" s="1" t="n">
        <v>44965</v>
      </c>
      <c r="C733" s="1" t="n">
        <v>46063</v>
      </c>
      <c r="D733" t="inlineStr">
        <is>
          <t>SÖDERMANLANDS LÄN</t>
        </is>
      </c>
      <c r="E733" t="inlineStr">
        <is>
          <t>KATRINEHOLM</t>
        </is>
      </c>
      <c r="G733" t="n">
        <v>5.3</v>
      </c>
      <c r="H733" t="n">
        <v>0</v>
      </c>
      <c r="I733" t="n">
        <v>0</v>
      </c>
      <c r="J733" t="n">
        <v>0</v>
      </c>
      <c r="K733" t="n">
        <v>0</v>
      </c>
      <c r="L733" t="n">
        <v>0</v>
      </c>
      <c r="M733" t="n">
        <v>0</v>
      </c>
      <c r="N733" t="n">
        <v>0</v>
      </c>
      <c r="O733" t="n">
        <v>0</v>
      </c>
      <c r="P733" t="n">
        <v>0</v>
      </c>
      <c r="Q733" t="n">
        <v>0</v>
      </c>
      <c r="R733" s="2" t="inlineStr"/>
    </row>
    <row r="734" ht="15" customHeight="1">
      <c r="A734" t="inlineStr">
        <is>
          <t>A 6092-2025</t>
        </is>
      </c>
      <c r="B734" s="1" t="n">
        <v>45697</v>
      </c>
      <c r="C734" s="1" t="n">
        <v>46063</v>
      </c>
      <c r="D734" t="inlineStr">
        <is>
          <t>SÖDERMANLANDS LÄN</t>
        </is>
      </c>
      <c r="E734" t="inlineStr">
        <is>
          <t>KATRINEHOLM</t>
        </is>
      </c>
      <c r="G734" t="n">
        <v>0.7</v>
      </c>
      <c r="H734" t="n">
        <v>0</v>
      </c>
      <c r="I734" t="n">
        <v>0</v>
      </c>
      <c r="J734" t="n">
        <v>0</v>
      </c>
      <c r="K734" t="n">
        <v>0</v>
      </c>
      <c r="L734" t="n">
        <v>0</v>
      </c>
      <c r="M734" t="n">
        <v>0</v>
      </c>
      <c r="N734" t="n">
        <v>0</v>
      </c>
      <c r="O734" t="n">
        <v>0</v>
      </c>
      <c r="P734" t="n">
        <v>0</v>
      </c>
      <c r="Q734" t="n">
        <v>0</v>
      </c>
      <c r="R734" s="2" t="inlineStr"/>
    </row>
    <row r="735" ht="15" customHeight="1">
      <c r="A735" t="inlineStr">
        <is>
          <t>A 5327-2025</t>
        </is>
      </c>
      <c r="B735" s="1" t="n">
        <v>45692</v>
      </c>
      <c r="C735" s="1" t="n">
        <v>46063</v>
      </c>
      <c r="D735" t="inlineStr">
        <is>
          <t>SÖDERMANLANDS LÄN</t>
        </is>
      </c>
      <c r="E735" t="inlineStr">
        <is>
          <t>KATRINEHOLM</t>
        </is>
      </c>
      <c r="F735" t="inlineStr">
        <is>
          <t>Kommuner</t>
        </is>
      </c>
      <c r="G735" t="n">
        <v>0.5</v>
      </c>
      <c r="H735" t="n">
        <v>0</v>
      </c>
      <c r="I735" t="n">
        <v>0</v>
      </c>
      <c r="J735" t="n">
        <v>0</v>
      </c>
      <c r="K735" t="n">
        <v>0</v>
      </c>
      <c r="L735" t="n">
        <v>0</v>
      </c>
      <c r="M735" t="n">
        <v>0</v>
      </c>
      <c r="N735" t="n">
        <v>0</v>
      </c>
      <c r="O735" t="n">
        <v>0</v>
      </c>
      <c r="P735" t="n">
        <v>0</v>
      </c>
      <c r="Q735" t="n">
        <v>0</v>
      </c>
      <c r="R735" s="2" t="inlineStr"/>
    </row>
    <row r="736" ht="15" customHeight="1">
      <c r="A736" t="inlineStr">
        <is>
          <t>A 12929-2023</t>
        </is>
      </c>
      <c r="B736" s="1" t="n">
        <v>45001</v>
      </c>
      <c r="C736" s="1" t="n">
        <v>46063</v>
      </c>
      <c r="D736" t="inlineStr">
        <is>
          <t>SÖDERMANLANDS LÄN</t>
        </is>
      </c>
      <c r="E736" t="inlineStr">
        <is>
          <t>KATRINEHOLM</t>
        </is>
      </c>
      <c r="G736" t="n">
        <v>3.1</v>
      </c>
      <c r="H736" t="n">
        <v>0</v>
      </c>
      <c r="I736" t="n">
        <v>0</v>
      </c>
      <c r="J736" t="n">
        <v>0</v>
      </c>
      <c r="K736" t="n">
        <v>0</v>
      </c>
      <c r="L736" t="n">
        <v>0</v>
      </c>
      <c r="M736" t="n">
        <v>0</v>
      </c>
      <c r="N736" t="n">
        <v>0</v>
      </c>
      <c r="O736" t="n">
        <v>0</v>
      </c>
      <c r="P736" t="n">
        <v>0</v>
      </c>
      <c r="Q736" t="n">
        <v>0</v>
      </c>
      <c r="R736" s="2" t="inlineStr"/>
    </row>
    <row r="737" ht="15" customHeight="1">
      <c r="A737" t="inlineStr">
        <is>
          <t>A 12932-2023</t>
        </is>
      </c>
      <c r="B737" s="1" t="n">
        <v>45001</v>
      </c>
      <c r="C737" s="1" t="n">
        <v>46063</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50626-2024</t>
        </is>
      </c>
      <c r="B738" s="1" t="n">
        <v>45601</v>
      </c>
      <c r="C738" s="1" t="n">
        <v>46063</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7398-2024</t>
        </is>
      </c>
      <c r="B739" s="1" t="n">
        <v>45345</v>
      </c>
      <c r="C739" s="1" t="n">
        <v>46063</v>
      </c>
      <c r="D739" t="inlineStr">
        <is>
          <t>SÖDERMANLANDS LÄN</t>
        </is>
      </c>
      <c r="E739" t="inlineStr">
        <is>
          <t>KATRINEHOLM</t>
        </is>
      </c>
      <c r="G739" t="n">
        <v>4.4</v>
      </c>
      <c r="H739" t="n">
        <v>0</v>
      </c>
      <c r="I739" t="n">
        <v>0</v>
      </c>
      <c r="J739" t="n">
        <v>0</v>
      </c>
      <c r="K739" t="n">
        <v>0</v>
      </c>
      <c r="L739" t="n">
        <v>0</v>
      </c>
      <c r="M739" t="n">
        <v>0</v>
      </c>
      <c r="N739" t="n">
        <v>0</v>
      </c>
      <c r="O739" t="n">
        <v>0</v>
      </c>
      <c r="P739" t="n">
        <v>0</v>
      </c>
      <c r="Q739" t="n">
        <v>0</v>
      </c>
      <c r="R739" s="2" t="inlineStr"/>
    </row>
    <row r="740" ht="15" customHeight="1">
      <c r="A740" t="inlineStr">
        <is>
          <t>A 14629-2023</t>
        </is>
      </c>
      <c r="B740" s="1" t="n">
        <v>45013</v>
      </c>
      <c r="C740" s="1" t="n">
        <v>46063</v>
      </c>
      <c r="D740" t="inlineStr">
        <is>
          <t>SÖDERMANLANDS LÄN</t>
        </is>
      </c>
      <c r="E740" t="inlineStr">
        <is>
          <t>KATRINEHOLM</t>
        </is>
      </c>
      <c r="F740" t="inlineStr">
        <is>
          <t>Holmen skog AB</t>
        </is>
      </c>
      <c r="G740" t="n">
        <v>1.3</v>
      </c>
      <c r="H740" t="n">
        <v>0</v>
      </c>
      <c r="I740" t="n">
        <v>0</v>
      </c>
      <c r="J740" t="n">
        <v>0</v>
      </c>
      <c r="K740" t="n">
        <v>0</v>
      </c>
      <c r="L740" t="n">
        <v>0</v>
      </c>
      <c r="M740" t="n">
        <v>0</v>
      </c>
      <c r="N740" t="n">
        <v>0</v>
      </c>
      <c r="O740" t="n">
        <v>0</v>
      </c>
      <c r="P740" t="n">
        <v>0</v>
      </c>
      <c r="Q740" t="n">
        <v>0</v>
      </c>
      <c r="R740" s="2" t="inlineStr"/>
    </row>
    <row r="741" ht="15" customHeight="1">
      <c r="A741" t="inlineStr">
        <is>
          <t>A 49116-2024</t>
        </is>
      </c>
      <c r="B741" s="1" t="n">
        <v>45594.6605787037</v>
      </c>
      <c r="C741" s="1" t="n">
        <v>46063</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2683-2025</t>
        </is>
      </c>
      <c r="B742" s="1" t="n">
        <v>45677</v>
      </c>
      <c r="C742" s="1" t="n">
        <v>46063</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61410-2024</t>
        </is>
      </c>
      <c r="B743" s="1" t="n">
        <v>45646.43950231482</v>
      </c>
      <c r="C743" s="1" t="n">
        <v>46063</v>
      </c>
      <c r="D743" t="inlineStr">
        <is>
          <t>SÖDERMANLANDS LÄN</t>
        </is>
      </c>
      <c r="E743" t="inlineStr">
        <is>
          <t>KATRINEHOLM</t>
        </is>
      </c>
      <c r="G743" t="n">
        <v>1.4</v>
      </c>
      <c r="H743" t="n">
        <v>0</v>
      </c>
      <c r="I743" t="n">
        <v>0</v>
      </c>
      <c r="J743" t="n">
        <v>0</v>
      </c>
      <c r="K743" t="n">
        <v>0</v>
      </c>
      <c r="L743" t="n">
        <v>0</v>
      </c>
      <c r="M743" t="n">
        <v>0</v>
      </c>
      <c r="N743" t="n">
        <v>0</v>
      </c>
      <c r="O743" t="n">
        <v>0</v>
      </c>
      <c r="P743" t="n">
        <v>0</v>
      </c>
      <c r="Q743" t="n">
        <v>0</v>
      </c>
      <c r="R743" s="2" t="inlineStr"/>
    </row>
    <row r="744" ht="15" customHeight="1">
      <c r="A744" t="inlineStr">
        <is>
          <t>A 3315-2023</t>
        </is>
      </c>
      <c r="B744" s="1" t="n">
        <v>44945</v>
      </c>
      <c r="C744" s="1" t="n">
        <v>46063</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7867-2024</t>
        </is>
      </c>
      <c r="B745" s="1" t="n">
        <v>45350.32991898148</v>
      </c>
      <c r="C745" s="1" t="n">
        <v>46063</v>
      </c>
      <c r="D745" t="inlineStr">
        <is>
          <t>SÖDERMANLANDS LÄN</t>
        </is>
      </c>
      <c r="E745" t="inlineStr">
        <is>
          <t>KATRINEHOLM</t>
        </is>
      </c>
      <c r="F745" t="inlineStr">
        <is>
          <t>Kyrkan</t>
        </is>
      </c>
      <c r="G745" t="n">
        <v>3.3</v>
      </c>
      <c r="H745" t="n">
        <v>0</v>
      </c>
      <c r="I745" t="n">
        <v>0</v>
      </c>
      <c r="J745" t="n">
        <v>0</v>
      </c>
      <c r="K745" t="n">
        <v>0</v>
      </c>
      <c r="L745" t="n">
        <v>0</v>
      </c>
      <c r="M745" t="n">
        <v>0</v>
      </c>
      <c r="N745" t="n">
        <v>0</v>
      </c>
      <c r="O745" t="n">
        <v>0</v>
      </c>
      <c r="P745" t="n">
        <v>0</v>
      </c>
      <c r="Q745" t="n">
        <v>0</v>
      </c>
      <c r="R745" s="2" t="inlineStr"/>
    </row>
    <row r="746" ht="15" customHeight="1">
      <c r="A746" t="inlineStr">
        <is>
          <t>A 38869-2024</t>
        </is>
      </c>
      <c r="B746" s="1" t="n">
        <v>45547</v>
      </c>
      <c r="C746" s="1" t="n">
        <v>46063</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39010-2021</t>
        </is>
      </c>
      <c r="B747" s="1" t="n">
        <v>44412</v>
      </c>
      <c r="C747" s="1" t="n">
        <v>46063</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1091-2025</t>
        </is>
      </c>
      <c r="B748" s="1" t="n">
        <v>45666</v>
      </c>
      <c r="C748" s="1" t="n">
        <v>46063</v>
      </c>
      <c r="D748" t="inlineStr">
        <is>
          <t>SÖDERMANLANDS LÄN</t>
        </is>
      </c>
      <c r="E748" t="inlineStr">
        <is>
          <t>KATRINEHOLM</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6311-2025</t>
        </is>
      </c>
      <c r="B749" s="1" t="n">
        <v>45698</v>
      </c>
      <c r="C749" s="1" t="n">
        <v>46063</v>
      </c>
      <c r="D749" t="inlineStr">
        <is>
          <t>SÖDERMANLANDS LÄN</t>
        </is>
      </c>
      <c r="E749" t="inlineStr">
        <is>
          <t>KATRINEHOLM</t>
        </is>
      </c>
      <c r="G749" t="n">
        <v>0.3</v>
      </c>
      <c r="H749" t="n">
        <v>0</v>
      </c>
      <c r="I749" t="n">
        <v>0</v>
      </c>
      <c r="J749" t="n">
        <v>0</v>
      </c>
      <c r="K749" t="n">
        <v>0</v>
      </c>
      <c r="L749" t="n">
        <v>0</v>
      </c>
      <c r="M749" t="n">
        <v>0</v>
      </c>
      <c r="N749" t="n">
        <v>0</v>
      </c>
      <c r="O749" t="n">
        <v>0</v>
      </c>
      <c r="P749" t="n">
        <v>0</v>
      </c>
      <c r="Q749" t="n">
        <v>0</v>
      </c>
      <c r="R749" s="2" t="inlineStr"/>
    </row>
    <row r="750" ht="15" customHeight="1">
      <c r="A750" t="inlineStr">
        <is>
          <t>A 23838-2021</t>
        </is>
      </c>
      <c r="B750" s="1" t="n">
        <v>44335</v>
      </c>
      <c r="C750" s="1" t="n">
        <v>46063</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32943-2024</t>
        </is>
      </c>
      <c r="B751" s="1" t="n">
        <v>45517</v>
      </c>
      <c r="C751" s="1" t="n">
        <v>46063</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22119-2025</t>
        </is>
      </c>
      <c r="B752" s="1" t="n">
        <v>45785</v>
      </c>
      <c r="C752" s="1" t="n">
        <v>46063</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22113-2025</t>
        </is>
      </c>
      <c r="B753" s="1" t="n">
        <v>45785</v>
      </c>
      <c r="C753" s="1" t="n">
        <v>46063</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24983-2024</t>
        </is>
      </c>
      <c r="B754" s="1" t="n">
        <v>45461</v>
      </c>
      <c r="C754" s="1" t="n">
        <v>46063</v>
      </c>
      <c r="D754" t="inlineStr">
        <is>
          <t>SÖDERMANLANDS LÄN</t>
        </is>
      </c>
      <c r="E754" t="inlineStr">
        <is>
          <t>KATRINEHOLM</t>
        </is>
      </c>
      <c r="G754" t="n">
        <v>2.6</v>
      </c>
      <c r="H754" t="n">
        <v>0</v>
      </c>
      <c r="I754" t="n">
        <v>0</v>
      </c>
      <c r="J754" t="n">
        <v>0</v>
      </c>
      <c r="K754" t="n">
        <v>0</v>
      </c>
      <c r="L754" t="n">
        <v>0</v>
      </c>
      <c r="M754" t="n">
        <v>0</v>
      </c>
      <c r="N754" t="n">
        <v>0</v>
      </c>
      <c r="O754" t="n">
        <v>0</v>
      </c>
      <c r="P754" t="n">
        <v>0</v>
      </c>
      <c r="Q754" t="n">
        <v>0</v>
      </c>
      <c r="R754" s="2" t="inlineStr"/>
    </row>
    <row r="755" ht="15" customHeight="1">
      <c r="A755" t="inlineStr">
        <is>
          <t>A 22476-2025</t>
        </is>
      </c>
      <c r="B755" s="1" t="n">
        <v>45786</v>
      </c>
      <c r="C755" s="1" t="n">
        <v>46063</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22336-2025</t>
        </is>
      </c>
      <c r="B756" s="1" t="n">
        <v>45786.44217592593</v>
      </c>
      <c r="C756" s="1" t="n">
        <v>46063</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23050-2025</t>
        </is>
      </c>
      <c r="B757" s="1" t="n">
        <v>45790.69971064815</v>
      </c>
      <c r="C757" s="1" t="n">
        <v>46063</v>
      </c>
      <c r="D757" t="inlineStr">
        <is>
          <t>SÖDERMANLANDS LÄN</t>
        </is>
      </c>
      <c r="E757" t="inlineStr">
        <is>
          <t>KATRINEHOLM</t>
        </is>
      </c>
      <c r="G757" t="n">
        <v>3.7</v>
      </c>
      <c r="H757" t="n">
        <v>0</v>
      </c>
      <c r="I757" t="n">
        <v>0</v>
      </c>
      <c r="J757" t="n">
        <v>0</v>
      </c>
      <c r="K757" t="n">
        <v>0</v>
      </c>
      <c r="L757" t="n">
        <v>0</v>
      </c>
      <c r="M757" t="n">
        <v>0</v>
      </c>
      <c r="N757" t="n">
        <v>0</v>
      </c>
      <c r="O757" t="n">
        <v>0</v>
      </c>
      <c r="P757" t="n">
        <v>0</v>
      </c>
      <c r="Q757" t="n">
        <v>0</v>
      </c>
      <c r="R757" s="2" t="inlineStr"/>
    </row>
    <row r="758" ht="15" customHeight="1">
      <c r="A758" t="inlineStr">
        <is>
          <t>A 24902-2024</t>
        </is>
      </c>
      <c r="B758" s="1" t="n">
        <v>45461</v>
      </c>
      <c r="C758" s="1" t="n">
        <v>46063</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2603-2025</t>
        </is>
      </c>
      <c r="B759" s="1" t="n">
        <v>45674</v>
      </c>
      <c r="C759" s="1" t="n">
        <v>46063</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24566-2025</t>
        </is>
      </c>
      <c r="B760" s="1" t="n">
        <v>45798.46452546296</v>
      </c>
      <c r="C760" s="1" t="n">
        <v>46063</v>
      </c>
      <c r="D760" t="inlineStr">
        <is>
          <t>SÖDERMANLANDS LÄN</t>
        </is>
      </c>
      <c r="E760" t="inlineStr">
        <is>
          <t>KATRINEHOLM</t>
        </is>
      </c>
      <c r="G760" t="n">
        <v>6.3</v>
      </c>
      <c r="H760" t="n">
        <v>0</v>
      </c>
      <c r="I760" t="n">
        <v>0</v>
      </c>
      <c r="J760" t="n">
        <v>0</v>
      </c>
      <c r="K760" t="n">
        <v>0</v>
      </c>
      <c r="L760" t="n">
        <v>0</v>
      </c>
      <c r="M760" t="n">
        <v>0</v>
      </c>
      <c r="N760" t="n">
        <v>0</v>
      </c>
      <c r="O760" t="n">
        <v>0</v>
      </c>
      <c r="P760" t="n">
        <v>0</v>
      </c>
      <c r="Q760" t="n">
        <v>0</v>
      </c>
      <c r="R760" s="2" t="inlineStr"/>
    </row>
    <row r="761" ht="15" customHeight="1">
      <c r="A761" t="inlineStr">
        <is>
          <t>A 24605-2025</t>
        </is>
      </c>
      <c r="B761" s="1" t="n">
        <v>45798.57403935185</v>
      </c>
      <c r="C761" s="1" t="n">
        <v>46063</v>
      </c>
      <c r="D761" t="inlineStr">
        <is>
          <t>SÖDERMANLANDS LÄN</t>
        </is>
      </c>
      <c r="E761" t="inlineStr">
        <is>
          <t>KATRINEHOLM</t>
        </is>
      </c>
      <c r="G761" t="n">
        <v>7</v>
      </c>
      <c r="H761" t="n">
        <v>0</v>
      </c>
      <c r="I761" t="n">
        <v>0</v>
      </c>
      <c r="J761" t="n">
        <v>0</v>
      </c>
      <c r="K761" t="n">
        <v>0</v>
      </c>
      <c r="L761" t="n">
        <v>0</v>
      </c>
      <c r="M761" t="n">
        <v>0</v>
      </c>
      <c r="N761" t="n">
        <v>0</v>
      </c>
      <c r="O761" t="n">
        <v>0</v>
      </c>
      <c r="P761" t="n">
        <v>0</v>
      </c>
      <c r="Q761" t="n">
        <v>0</v>
      </c>
      <c r="R761" s="2" t="inlineStr"/>
    </row>
    <row r="762" ht="15" customHeight="1">
      <c r="A762" t="inlineStr">
        <is>
          <t>A 56086-2023</t>
        </is>
      </c>
      <c r="B762" s="1" t="n">
        <v>45240</v>
      </c>
      <c r="C762" s="1" t="n">
        <v>46063</v>
      </c>
      <c r="D762" t="inlineStr">
        <is>
          <t>SÖDERMANLANDS LÄN</t>
        </is>
      </c>
      <c r="E762" t="inlineStr">
        <is>
          <t>KATRINEHOLM</t>
        </is>
      </c>
      <c r="F762" t="inlineStr">
        <is>
          <t>Kyrkan</t>
        </is>
      </c>
      <c r="G762" t="n">
        <v>17</v>
      </c>
      <c r="H762" t="n">
        <v>0</v>
      </c>
      <c r="I762" t="n">
        <v>0</v>
      </c>
      <c r="J762" t="n">
        <v>0</v>
      </c>
      <c r="K762" t="n">
        <v>0</v>
      </c>
      <c r="L762" t="n">
        <v>0</v>
      </c>
      <c r="M762" t="n">
        <v>0</v>
      </c>
      <c r="N762" t="n">
        <v>0</v>
      </c>
      <c r="O762" t="n">
        <v>0</v>
      </c>
      <c r="P762" t="n">
        <v>0</v>
      </c>
      <c r="Q762" t="n">
        <v>0</v>
      </c>
      <c r="R762" s="2" t="inlineStr"/>
    </row>
    <row r="763" ht="15" customHeight="1">
      <c r="A763" t="inlineStr">
        <is>
          <t>A 61423-2024</t>
        </is>
      </c>
      <c r="B763" s="1" t="n">
        <v>45646.45209490741</v>
      </c>
      <c r="C763" s="1" t="n">
        <v>46063</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41727-2024</t>
        </is>
      </c>
      <c r="B764" s="1" t="n">
        <v>45560</v>
      </c>
      <c r="C764" s="1" t="n">
        <v>46063</v>
      </c>
      <c r="D764" t="inlineStr">
        <is>
          <t>SÖDERMANLANDS LÄN</t>
        </is>
      </c>
      <c r="E764" t="inlineStr">
        <is>
          <t>KATRINEHOLM</t>
        </is>
      </c>
      <c r="G764" t="n">
        <v>3.9</v>
      </c>
      <c r="H764" t="n">
        <v>0</v>
      </c>
      <c r="I764" t="n">
        <v>0</v>
      </c>
      <c r="J764" t="n">
        <v>0</v>
      </c>
      <c r="K764" t="n">
        <v>0</v>
      </c>
      <c r="L764" t="n">
        <v>0</v>
      </c>
      <c r="M764" t="n">
        <v>0</v>
      </c>
      <c r="N764" t="n">
        <v>0</v>
      </c>
      <c r="O764" t="n">
        <v>0</v>
      </c>
      <c r="P764" t="n">
        <v>0</v>
      </c>
      <c r="Q764" t="n">
        <v>0</v>
      </c>
      <c r="R764" s="2" t="inlineStr"/>
    </row>
    <row r="765" ht="15" customHeight="1">
      <c r="A765" t="inlineStr">
        <is>
          <t>A 24717-2025</t>
        </is>
      </c>
      <c r="B765" s="1" t="n">
        <v>45799.27168981481</v>
      </c>
      <c r="C765" s="1" t="n">
        <v>46063</v>
      </c>
      <c r="D765" t="inlineStr">
        <is>
          <t>SÖDERMANLANDS LÄN</t>
        </is>
      </c>
      <c r="E765" t="inlineStr">
        <is>
          <t>KATRINEHOLM</t>
        </is>
      </c>
      <c r="G765" t="n">
        <v>24.5</v>
      </c>
      <c r="H765" t="n">
        <v>0</v>
      </c>
      <c r="I765" t="n">
        <v>0</v>
      </c>
      <c r="J765" t="n">
        <v>0</v>
      </c>
      <c r="K765" t="n">
        <v>0</v>
      </c>
      <c r="L765" t="n">
        <v>0</v>
      </c>
      <c r="M765" t="n">
        <v>0</v>
      </c>
      <c r="N765" t="n">
        <v>0</v>
      </c>
      <c r="O765" t="n">
        <v>0</v>
      </c>
      <c r="P765" t="n">
        <v>0</v>
      </c>
      <c r="Q765" t="n">
        <v>0</v>
      </c>
      <c r="R765" s="2" t="inlineStr"/>
    </row>
    <row r="766" ht="15" customHeight="1">
      <c r="A766" t="inlineStr">
        <is>
          <t>A 53999-2023</t>
        </is>
      </c>
      <c r="B766" s="1" t="n">
        <v>45231</v>
      </c>
      <c r="C766" s="1" t="n">
        <v>46063</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24719-2025</t>
        </is>
      </c>
      <c r="B767" s="1" t="n">
        <v>45799</v>
      </c>
      <c r="C767" s="1" t="n">
        <v>46063</v>
      </c>
      <c r="D767" t="inlineStr">
        <is>
          <t>SÖDERMANLANDS LÄN</t>
        </is>
      </c>
      <c r="E767" t="inlineStr">
        <is>
          <t>KATRINEHOLM</t>
        </is>
      </c>
      <c r="G767" t="n">
        <v>1.8</v>
      </c>
      <c r="H767" t="n">
        <v>0</v>
      </c>
      <c r="I767" t="n">
        <v>0</v>
      </c>
      <c r="J767" t="n">
        <v>0</v>
      </c>
      <c r="K767" t="n">
        <v>0</v>
      </c>
      <c r="L767" t="n">
        <v>0</v>
      </c>
      <c r="M767" t="n">
        <v>0</v>
      </c>
      <c r="N767" t="n">
        <v>0</v>
      </c>
      <c r="O767" t="n">
        <v>0</v>
      </c>
      <c r="P767" t="n">
        <v>0</v>
      </c>
      <c r="Q767" t="n">
        <v>0</v>
      </c>
      <c r="R767" s="2" t="inlineStr"/>
    </row>
    <row r="768" ht="15" customHeight="1">
      <c r="A768" t="inlineStr">
        <is>
          <t>A 25786-2025</t>
        </is>
      </c>
      <c r="B768" s="1" t="n">
        <v>45804.37456018518</v>
      </c>
      <c r="C768" s="1" t="n">
        <v>46063</v>
      </c>
      <c r="D768" t="inlineStr">
        <is>
          <t>SÖDERMANLANDS LÄN</t>
        </is>
      </c>
      <c r="E768" t="inlineStr">
        <is>
          <t>KATRINEHOLM</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26154-2025</t>
        </is>
      </c>
      <c r="B769" s="1" t="n">
        <v>45805.43341435185</v>
      </c>
      <c r="C769" s="1" t="n">
        <v>46063</v>
      </c>
      <c r="D769" t="inlineStr">
        <is>
          <t>SÖDERMANLANDS LÄN</t>
        </is>
      </c>
      <c r="E769" t="inlineStr">
        <is>
          <t>KATRINEHOLM</t>
        </is>
      </c>
      <c r="G769" t="n">
        <v>4.5</v>
      </c>
      <c r="H769" t="n">
        <v>0</v>
      </c>
      <c r="I769" t="n">
        <v>0</v>
      </c>
      <c r="J769" t="n">
        <v>0</v>
      </c>
      <c r="K769" t="n">
        <v>0</v>
      </c>
      <c r="L769" t="n">
        <v>0</v>
      </c>
      <c r="M769" t="n">
        <v>0</v>
      </c>
      <c r="N769" t="n">
        <v>0</v>
      </c>
      <c r="O769" t="n">
        <v>0</v>
      </c>
      <c r="P769" t="n">
        <v>0</v>
      </c>
      <c r="Q769" t="n">
        <v>0</v>
      </c>
      <c r="R769" s="2" t="inlineStr"/>
    </row>
    <row r="770" ht="15" customHeight="1">
      <c r="A770" t="inlineStr">
        <is>
          <t>A 26156-2025</t>
        </is>
      </c>
      <c r="B770" s="1" t="n">
        <v>45805.43864583333</v>
      </c>
      <c r="C770" s="1" t="n">
        <v>46063</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27534-2025</t>
        </is>
      </c>
      <c r="B771" s="1" t="n">
        <v>45813</v>
      </c>
      <c r="C771" s="1" t="n">
        <v>46063</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27552-2025</t>
        </is>
      </c>
      <c r="B772" s="1" t="n">
        <v>45813</v>
      </c>
      <c r="C772" s="1" t="n">
        <v>46063</v>
      </c>
      <c r="D772" t="inlineStr">
        <is>
          <t>SÖDERMANLANDS LÄN</t>
        </is>
      </c>
      <c r="E772" t="inlineStr">
        <is>
          <t>KATRINEHOLM</t>
        </is>
      </c>
      <c r="G772" t="n">
        <v>0.7</v>
      </c>
      <c r="H772" t="n">
        <v>0</v>
      </c>
      <c r="I772" t="n">
        <v>0</v>
      </c>
      <c r="J772" t="n">
        <v>0</v>
      </c>
      <c r="K772" t="n">
        <v>0</v>
      </c>
      <c r="L772" t="n">
        <v>0</v>
      </c>
      <c r="M772" t="n">
        <v>0</v>
      </c>
      <c r="N772" t="n">
        <v>0</v>
      </c>
      <c r="O772" t="n">
        <v>0</v>
      </c>
      <c r="P772" t="n">
        <v>0</v>
      </c>
      <c r="Q772" t="n">
        <v>0</v>
      </c>
      <c r="R772" s="2" t="inlineStr"/>
    </row>
    <row r="773" ht="15" customHeight="1">
      <c r="A773" t="inlineStr">
        <is>
          <t>A 27636-2025</t>
        </is>
      </c>
      <c r="B773" s="1" t="n">
        <v>45813.57603009259</v>
      </c>
      <c r="C773" s="1" t="n">
        <v>46063</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24600-2025</t>
        </is>
      </c>
      <c r="B774" s="1" t="n">
        <v>45798.56348379629</v>
      </c>
      <c r="C774" s="1" t="n">
        <v>46063</v>
      </c>
      <c r="D774" t="inlineStr">
        <is>
          <t>SÖDERMANLANDS LÄN</t>
        </is>
      </c>
      <c r="E774" t="inlineStr">
        <is>
          <t>KATRINEHOLM</t>
        </is>
      </c>
      <c r="G774" t="n">
        <v>1.7</v>
      </c>
      <c r="H774" t="n">
        <v>0</v>
      </c>
      <c r="I774" t="n">
        <v>0</v>
      </c>
      <c r="J774" t="n">
        <v>0</v>
      </c>
      <c r="K774" t="n">
        <v>0</v>
      </c>
      <c r="L774" t="n">
        <v>0</v>
      </c>
      <c r="M774" t="n">
        <v>0</v>
      </c>
      <c r="N774" t="n">
        <v>0</v>
      </c>
      <c r="O774" t="n">
        <v>0</v>
      </c>
      <c r="P774" t="n">
        <v>0</v>
      </c>
      <c r="Q774" t="n">
        <v>0</v>
      </c>
      <c r="R774" s="2" t="inlineStr"/>
    </row>
    <row r="775">
      <c r="A775" t="inlineStr">
        <is>
          <t>A 35608-2024</t>
        </is>
      </c>
      <c r="B775" s="1" t="n">
        <v>45531</v>
      </c>
      <c r="C775" s="1" t="n">
        <v>46063</v>
      </c>
      <c r="D775" t="inlineStr">
        <is>
          <t>SÖDERMANLANDS LÄN</t>
        </is>
      </c>
      <c r="E775" t="inlineStr">
        <is>
          <t>KATRINEHOLM</t>
        </is>
      </c>
      <c r="G775" t="n">
        <v>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2026-02-10T11:05:11Z</dcterms:created>
  <dcterms:modified xmlns:dcterms="http://purl.org/dc/terms/" xmlns:xsi="http://www.w3.org/2001/XMLSchema-instance" xsi:type="dcterms:W3CDTF">2026-02-10T11:05:11Z</dcterms:modified>
</cp:coreProperties>
</file>