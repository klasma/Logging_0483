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45894</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45894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45894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45894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45894</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54002-2022</t>
        </is>
      </c>
      <c r="B9" s="1" t="n">
        <v>44876</v>
      </c>
      <c r="C9" s="1" t="n">
        <v>45894</v>
      </c>
      <c r="D9" t="inlineStr">
        <is>
          <t>SÖDERMANLANDS LÄN</t>
        </is>
      </c>
      <c r="E9" t="inlineStr">
        <is>
          <t>KATRINEHOLM</t>
        </is>
      </c>
      <c r="G9" t="n">
        <v>18</v>
      </c>
      <c r="H9" t="n">
        <v>2</v>
      </c>
      <c r="I9" t="n">
        <v>4</v>
      </c>
      <c r="J9" t="n">
        <v>0</v>
      </c>
      <c r="K9" t="n">
        <v>0</v>
      </c>
      <c r="L9" t="n">
        <v>0</v>
      </c>
      <c r="M9" t="n">
        <v>1</v>
      </c>
      <c r="N9" t="n">
        <v>0</v>
      </c>
      <c r="O9" t="n">
        <v>1</v>
      </c>
      <c r="P9" t="n">
        <v>1</v>
      </c>
      <c r="Q9" t="n">
        <v>7</v>
      </c>
      <c r="R9" s="2" t="inlineStr">
        <is>
          <t>Skogsalm
Björksplintborre
Fällmossa
Hasselticka
Stekelbock
Vanlig padda
Blåsippa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35137-2025</t>
        </is>
      </c>
      <c r="B10" s="1" t="n">
        <v>45852</v>
      </c>
      <c r="C10" s="1" t="n">
        <v>45894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45894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45894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45894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45894</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45894</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45894</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45894</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45894</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45894</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45894</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40257-2020</t>
        </is>
      </c>
      <c r="B21" s="1" t="n">
        <v>44068</v>
      </c>
      <c r="C21" s="1" t="n">
        <v>45894</v>
      </c>
      <c r="D21" t="inlineStr">
        <is>
          <t>SÖDERMANLANDS LÄN</t>
        </is>
      </c>
      <c r="E21" t="inlineStr">
        <is>
          <t>KATRINEHOLM</t>
        </is>
      </c>
      <c r="F21" t="inlineStr">
        <is>
          <t>Kommuner</t>
        </is>
      </c>
      <c r="G21" t="n">
        <v>3.6</v>
      </c>
      <c r="H21" t="n">
        <v>0</v>
      </c>
      <c r="I21" t="n">
        <v>2</v>
      </c>
      <c r="J21" t="n">
        <v>0</v>
      </c>
      <c r="K21" t="n">
        <v>0</v>
      </c>
      <c r="L21" t="n">
        <v>0</v>
      </c>
      <c r="M21" t="n">
        <v>0</v>
      </c>
      <c r="N21" t="n">
        <v>0</v>
      </c>
      <c r="O21" t="n">
        <v>0</v>
      </c>
      <c r="P21" t="n">
        <v>0</v>
      </c>
      <c r="Q21" t="n">
        <v>2</v>
      </c>
      <c r="R21" s="2" t="inlineStr">
        <is>
          <t>Mindre märgborre
Smal svampklubba</t>
        </is>
      </c>
      <c r="S21">
        <f>HYPERLINK("https://klasma.github.io/Logging_0483/artfynd/A 40257-2020 artfynd.xlsx", "A 40257-2020")</f>
        <v/>
      </c>
      <c r="T21">
        <f>HYPERLINK("https://klasma.github.io/Logging_0483/kartor/A 40257-2020 karta.png", "A 40257-2020")</f>
        <v/>
      </c>
      <c r="U21">
        <f>HYPERLINK("https://klasma.github.io/Logging_0483/knärot/A 40257-2020 karta knärot.png", "A 40257-2020")</f>
        <v/>
      </c>
      <c r="V21">
        <f>HYPERLINK("https://klasma.github.io/Logging_0483/klagomål/A 40257-2020 FSC-klagomål.docx", "A 40257-2020")</f>
        <v/>
      </c>
      <c r="W21">
        <f>HYPERLINK("https://klasma.github.io/Logging_0483/klagomålsmail/A 40257-2020 FSC-klagomål mail.docx", "A 40257-2020")</f>
        <v/>
      </c>
      <c r="X21">
        <f>HYPERLINK("https://klasma.github.io/Logging_0483/tillsyn/A 40257-2020 tillsynsbegäran.docx", "A 40257-2020")</f>
        <v/>
      </c>
      <c r="Y21">
        <f>HYPERLINK("https://klasma.github.io/Logging_0483/tillsynsmail/A 40257-2020 tillsynsbegäran mail.docx", "A 40257-2020")</f>
        <v/>
      </c>
    </row>
    <row r="22" ht="15" customHeight="1">
      <c r="A22" t="inlineStr">
        <is>
          <t>A 1150-2025</t>
        </is>
      </c>
      <c r="B22" s="1" t="n">
        <v>45666</v>
      </c>
      <c r="C22" s="1" t="n">
        <v>45894</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14655-2023</t>
        </is>
      </c>
      <c r="B23" s="1" t="n">
        <v>45013</v>
      </c>
      <c r="C23" s="1" t="n">
        <v>45894</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53471-2024</t>
        </is>
      </c>
      <c r="B24" s="1" t="n">
        <v>45614.55686342593</v>
      </c>
      <c r="C24" s="1" t="n">
        <v>45894</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37537-2022</t>
        </is>
      </c>
      <c r="B25" s="1" t="n">
        <v>44809</v>
      </c>
      <c r="C25" s="1" t="n">
        <v>45894</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30229-2023</t>
        </is>
      </c>
      <c r="B26" s="1" t="n">
        <v>45099</v>
      </c>
      <c r="C26" s="1" t="n">
        <v>45894</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45894</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45894</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56897-2021</t>
        </is>
      </c>
      <c r="B29" s="1" t="n">
        <v>44481</v>
      </c>
      <c r="C29" s="1" t="n">
        <v>45894</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45894</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45894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45894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45894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45894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45894</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45894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45894</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44413-2024</t>
        </is>
      </c>
      <c r="B38" s="1" t="n">
        <v>45573.77701388889</v>
      </c>
      <c r="C38" s="1" t="n">
        <v>45894</v>
      </c>
      <c r="D38" t="inlineStr">
        <is>
          <t>SÖDERMANLANDS LÄN</t>
        </is>
      </c>
      <c r="E38" t="inlineStr">
        <is>
          <t>KATRINEHOLM</t>
        </is>
      </c>
      <c r="G38" t="n">
        <v>0.7</v>
      </c>
      <c r="H38" t="n">
        <v>1</v>
      </c>
      <c r="I38" t="n">
        <v>0</v>
      </c>
      <c r="J38" t="n">
        <v>0</v>
      </c>
      <c r="K38" t="n">
        <v>1</v>
      </c>
      <c r="L38" t="n">
        <v>0</v>
      </c>
      <c r="M38" t="n">
        <v>0</v>
      </c>
      <c r="N38" t="n">
        <v>0</v>
      </c>
      <c r="O38" t="n">
        <v>1</v>
      </c>
      <c r="P38" t="n">
        <v>1</v>
      </c>
      <c r="Q38" t="n">
        <v>1</v>
      </c>
      <c r="R38" s="2" t="inlineStr">
        <is>
          <t>Knärot</t>
        </is>
      </c>
      <c r="S38">
        <f>HYPERLINK("https://klasma.github.io/Logging_0483/artfynd/A 44413-2024 artfynd.xlsx", "A 44413-2024")</f>
        <v/>
      </c>
      <c r="T38">
        <f>HYPERLINK("https://klasma.github.io/Logging_0483/kartor/A 44413-2024 karta.png", "A 44413-2024")</f>
        <v/>
      </c>
      <c r="U38">
        <f>HYPERLINK("https://klasma.github.io/Logging_0483/knärot/A 44413-2024 karta knärot.png", "A 44413-2024")</f>
        <v/>
      </c>
      <c r="V38">
        <f>HYPERLINK("https://klasma.github.io/Logging_0483/klagomål/A 44413-2024 FSC-klagomål.docx", "A 44413-2024")</f>
        <v/>
      </c>
      <c r="W38">
        <f>HYPERLINK("https://klasma.github.io/Logging_0483/klagomålsmail/A 44413-2024 FSC-klagomål mail.docx", "A 44413-2024")</f>
        <v/>
      </c>
      <c r="X38">
        <f>HYPERLINK("https://klasma.github.io/Logging_0483/tillsyn/A 44413-2024 tillsynsbegäran.docx", "A 44413-2024")</f>
        <v/>
      </c>
      <c r="Y38">
        <f>HYPERLINK("https://klasma.github.io/Logging_0483/tillsynsmail/A 44413-2024 tillsynsbegäran mail.docx", "A 44413-2024")</f>
        <v/>
      </c>
    </row>
    <row r="39" ht="15" customHeight="1">
      <c r="A39" t="inlineStr">
        <is>
          <t>A 23568-2023</t>
        </is>
      </c>
      <c r="B39" s="1" t="n">
        <v>45077</v>
      </c>
      <c r="C39" s="1" t="n">
        <v>45894</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57519-2021</t>
        </is>
      </c>
      <c r="B40" s="1" t="n">
        <v>44483</v>
      </c>
      <c r="C40" s="1" t="n">
        <v>45894</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47989-2020</t>
        </is>
      </c>
      <c r="B41" s="1" t="n">
        <v>44099</v>
      </c>
      <c r="C41" s="1" t="n">
        <v>45894</v>
      </c>
      <c r="D41" t="inlineStr">
        <is>
          <t>SÖDERMANLANDS LÄN</t>
        </is>
      </c>
      <c r="E41" t="inlineStr">
        <is>
          <t>KATRINEHOLM</t>
        </is>
      </c>
      <c r="F41" t="inlineStr">
        <is>
          <t>Övriga statliga verk och myndigheter</t>
        </is>
      </c>
      <c r="G41" t="n">
        <v>4.7</v>
      </c>
      <c r="H41" t="n">
        <v>0</v>
      </c>
      <c r="I41" t="n">
        <v>1</v>
      </c>
      <c r="J41" t="n">
        <v>0</v>
      </c>
      <c r="K41" t="n">
        <v>0</v>
      </c>
      <c r="L41" t="n">
        <v>0</v>
      </c>
      <c r="M41" t="n">
        <v>0</v>
      </c>
      <c r="N41" t="n">
        <v>0</v>
      </c>
      <c r="O41" t="n">
        <v>0</v>
      </c>
      <c r="P41" t="n">
        <v>0</v>
      </c>
      <c r="Q41" t="n">
        <v>1</v>
      </c>
      <c r="R41" s="2" t="inlineStr">
        <is>
          <t>Stubbspretmossa</t>
        </is>
      </c>
      <c r="S41">
        <f>HYPERLINK("https://klasma.github.io/Logging_0483/artfynd/A 47989-2020 artfynd.xlsx", "A 47989-2020")</f>
        <v/>
      </c>
      <c r="T41">
        <f>HYPERLINK("https://klasma.github.io/Logging_0483/kartor/A 47989-2020 karta.png", "A 47989-2020")</f>
        <v/>
      </c>
      <c r="V41">
        <f>HYPERLINK("https://klasma.github.io/Logging_0483/klagomål/A 47989-2020 FSC-klagomål.docx", "A 47989-2020")</f>
        <v/>
      </c>
      <c r="W41">
        <f>HYPERLINK("https://klasma.github.io/Logging_0483/klagomålsmail/A 47989-2020 FSC-klagomål mail.docx", "A 47989-2020")</f>
        <v/>
      </c>
      <c r="X41">
        <f>HYPERLINK("https://klasma.github.io/Logging_0483/tillsyn/A 47989-2020 tillsynsbegäran.docx", "A 47989-2020")</f>
        <v/>
      </c>
      <c r="Y41">
        <f>HYPERLINK("https://klasma.github.io/Logging_0483/tillsynsmail/A 47989-2020 tillsynsbegäran mail.docx", "A 47989-2020")</f>
        <v/>
      </c>
    </row>
    <row r="42" ht="15" customHeight="1">
      <c r="A42" t="inlineStr">
        <is>
          <t>A 28985-2022</t>
        </is>
      </c>
      <c r="B42" s="1" t="n">
        <v>44749</v>
      </c>
      <c r="C42" s="1" t="n">
        <v>45894</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42745-2022</t>
        </is>
      </c>
      <c r="B43" s="1" t="n">
        <v>44831</v>
      </c>
      <c r="C43" s="1" t="n">
        <v>45894</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22474-2025</t>
        </is>
      </c>
      <c r="B44" s="1" t="n">
        <v>45786.62152777778</v>
      </c>
      <c r="C44" s="1" t="n">
        <v>45894</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45894</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6076-2022</t>
        </is>
      </c>
      <c r="B46" s="1" t="n">
        <v>44599</v>
      </c>
      <c r="C46" s="1" t="n">
        <v>45894</v>
      </c>
      <c r="D46" t="inlineStr">
        <is>
          <t>SÖDERMANLANDS LÄN</t>
        </is>
      </c>
      <c r="E46" t="inlineStr">
        <is>
          <t>KATRINEHOLM</t>
        </is>
      </c>
      <c r="G46" t="n">
        <v>3.3</v>
      </c>
      <c r="H46" t="n">
        <v>0</v>
      </c>
      <c r="I46" t="n">
        <v>1</v>
      </c>
      <c r="J46" t="n">
        <v>0</v>
      </c>
      <c r="K46" t="n">
        <v>0</v>
      </c>
      <c r="L46" t="n">
        <v>0</v>
      </c>
      <c r="M46" t="n">
        <v>0</v>
      </c>
      <c r="N46" t="n">
        <v>0</v>
      </c>
      <c r="O46" t="n">
        <v>0</v>
      </c>
      <c r="P46" t="n">
        <v>0</v>
      </c>
      <c r="Q46" t="n">
        <v>1</v>
      </c>
      <c r="R46" s="2" t="inlineStr">
        <is>
          <t>Svart trolldruva</t>
        </is>
      </c>
      <c r="S46">
        <f>HYPERLINK("https://klasma.github.io/Logging_0483/artfynd/A 6076-2022 artfynd.xlsx", "A 6076-2022")</f>
        <v/>
      </c>
      <c r="T46">
        <f>HYPERLINK("https://klasma.github.io/Logging_0483/kartor/A 6076-2022 karta.png", "A 6076-2022")</f>
        <v/>
      </c>
      <c r="V46">
        <f>HYPERLINK("https://klasma.github.io/Logging_0483/klagomål/A 6076-2022 FSC-klagomål.docx", "A 6076-2022")</f>
        <v/>
      </c>
      <c r="W46">
        <f>HYPERLINK("https://klasma.github.io/Logging_0483/klagomålsmail/A 6076-2022 FSC-klagomål mail.docx", "A 6076-2022")</f>
        <v/>
      </c>
      <c r="X46">
        <f>HYPERLINK("https://klasma.github.io/Logging_0483/tillsyn/A 6076-2022 tillsynsbegäran.docx", "A 6076-2022")</f>
        <v/>
      </c>
      <c r="Y46">
        <f>HYPERLINK("https://klasma.github.io/Logging_0483/tillsynsmail/A 6076-2022 tillsynsbegäran mail.docx", "A 6076-2022")</f>
        <v/>
      </c>
    </row>
    <row r="47" ht="15" customHeight="1">
      <c r="A47" t="inlineStr">
        <is>
          <t>A 53154-2023</t>
        </is>
      </c>
      <c r="B47" s="1" t="n">
        <v>45229</v>
      </c>
      <c r="C47" s="1" t="n">
        <v>45894</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35163-2025</t>
        </is>
      </c>
      <c r="B48" s="1" t="n">
        <v>45852.71136574074</v>
      </c>
      <c r="C48" s="1" t="n">
        <v>45894</v>
      </c>
      <c r="D48" t="inlineStr">
        <is>
          <t>SÖDERMANLANDS LÄN</t>
        </is>
      </c>
      <c r="E48" t="inlineStr">
        <is>
          <t>KATRINEHOLM</t>
        </is>
      </c>
      <c r="F48" t="inlineStr">
        <is>
          <t>Övriga Aktiebolag</t>
        </is>
      </c>
      <c r="G48" t="n">
        <v>1.1</v>
      </c>
      <c r="H48" t="n">
        <v>0</v>
      </c>
      <c r="I48" t="n">
        <v>1</v>
      </c>
      <c r="J48" t="n">
        <v>0</v>
      </c>
      <c r="K48" t="n">
        <v>0</v>
      </c>
      <c r="L48" t="n">
        <v>0</v>
      </c>
      <c r="M48" t="n">
        <v>0</v>
      </c>
      <c r="N48" t="n">
        <v>0</v>
      </c>
      <c r="O48" t="n">
        <v>0</v>
      </c>
      <c r="P48" t="n">
        <v>0</v>
      </c>
      <c r="Q48" t="n">
        <v>1</v>
      </c>
      <c r="R48" s="2" t="inlineStr">
        <is>
          <t>Kattfotslav</t>
        </is>
      </c>
      <c r="S48">
        <f>HYPERLINK("https://klasma.github.io/Logging_0483/artfynd/A 35163-2025 artfynd.xlsx", "A 35163-2025")</f>
        <v/>
      </c>
      <c r="T48">
        <f>HYPERLINK("https://klasma.github.io/Logging_0483/kartor/A 35163-2025 karta.png", "A 35163-2025")</f>
        <v/>
      </c>
      <c r="V48">
        <f>HYPERLINK("https://klasma.github.io/Logging_0483/klagomål/A 35163-2025 FSC-klagomål.docx", "A 35163-2025")</f>
        <v/>
      </c>
      <c r="W48">
        <f>HYPERLINK("https://klasma.github.io/Logging_0483/klagomålsmail/A 35163-2025 FSC-klagomål mail.docx", "A 35163-2025")</f>
        <v/>
      </c>
      <c r="X48">
        <f>HYPERLINK("https://klasma.github.io/Logging_0483/tillsyn/A 35163-2025 tillsynsbegäran.docx", "A 35163-2025")</f>
        <v/>
      </c>
      <c r="Y48">
        <f>HYPERLINK("https://klasma.github.io/Logging_0483/tillsynsmail/A 35163-2025 tillsynsbegäran mail.docx", "A 35163-2025")</f>
        <v/>
      </c>
    </row>
    <row r="49" ht="15" customHeight="1">
      <c r="A49" t="inlineStr">
        <is>
          <t>A 12238-2023</t>
        </is>
      </c>
      <c r="B49" s="1" t="n">
        <v>44995</v>
      </c>
      <c r="C49" s="1" t="n">
        <v>45894</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36220-2022</t>
        </is>
      </c>
      <c r="B50" s="1" t="n">
        <v>44803</v>
      </c>
      <c r="C50" s="1" t="n">
        <v>45894</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27926-2025</t>
        </is>
      </c>
      <c r="B51" s="1" t="n">
        <v>45814</v>
      </c>
      <c r="C51" s="1" t="n">
        <v>45894</v>
      </c>
      <c r="D51" t="inlineStr">
        <is>
          <t>SÖDERMANLANDS LÄN</t>
        </is>
      </c>
      <c r="E51" t="inlineStr">
        <is>
          <t>KATRINEHOLM</t>
        </is>
      </c>
      <c r="F51" t="inlineStr">
        <is>
          <t>Allmännings- och besparingsskogar</t>
        </is>
      </c>
      <c r="G51" t="n">
        <v>10.7</v>
      </c>
      <c r="H51" t="n">
        <v>1</v>
      </c>
      <c r="I51" t="n">
        <v>0</v>
      </c>
      <c r="J51" t="n">
        <v>0</v>
      </c>
      <c r="K51" t="n">
        <v>0</v>
      </c>
      <c r="L51" t="n">
        <v>0</v>
      </c>
      <c r="M51" t="n">
        <v>0</v>
      </c>
      <c r="N51" t="n">
        <v>0</v>
      </c>
      <c r="O51" t="n">
        <v>0</v>
      </c>
      <c r="P51" t="n">
        <v>0</v>
      </c>
      <c r="Q51" t="n">
        <v>1</v>
      </c>
      <c r="R51" s="2" t="inlineStr">
        <is>
          <t>Revlummer</t>
        </is>
      </c>
      <c r="S51">
        <f>HYPERLINK("https://klasma.github.io/Logging_0483/artfynd/A 27926-2025 artfynd.xlsx", "A 27926-2025")</f>
        <v/>
      </c>
      <c r="T51">
        <f>HYPERLINK("https://klasma.github.io/Logging_0483/kartor/A 27926-2025 karta.png", "A 27926-2025")</f>
        <v/>
      </c>
      <c r="V51">
        <f>HYPERLINK("https://klasma.github.io/Logging_0483/klagomål/A 27926-2025 FSC-klagomål.docx", "A 27926-2025")</f>
        <v/>
      </c>
      <c r="W51">
        <f>HYPERLINK("https://klasma.github.io/Logging_0483/klagomålsmail/A 27926-2025 FSC-klagomål mail.docx", "A 27926-2025")</f>
        <v/>
      </c>
      <c r="X51">
        <f>HYPERLINK("https://klasma.github.io/Logging_0483/tillsyn/A 27926-2025 tillsynsbegäran.docx", "A 27926-2025")</f>
        <v/>
      </c>
      <c r="Y51">
        <f>HYPERLINK("https://klasma.github.io/Logging_0483/tillsynsmail/A 27926-2025 tillsynsbegäran mail.docx", "A 27926-2025")</f>
        <v/>
      </c>
    </row>
    <row r="52" ht="15" customHeight="1">
      <c r="A52" t="inlineStr">
        <is>
          <t>A 53990-2023</t>
        </is>
      </c>
      <c r="B52" s="1" t="n">
        <v>45231</v>
      </c>
      <c r="C52" s="1" t="n">
        <v>45894</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11890-2023</t>
        </is>
      </c>
      <c r="B53" s="1" t="n">
        <v>44995</v>
      </c>
      <c r="C53" s="1" t="n">
        <v>45894</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56074-2022</t>
        </is>
      </c>
      <c r="B54" s="1" t="n">
        <v>44889</v>
      </c>
      <c r="C54" s="1" t="n">
        <v>45894</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33801-2023</t>
        </is>
      </c>
      <c r="B55" s="1" t="n">
        <v>45133</v>
      </c>
      <c r="C55" s="1" t="n">
        <v>45894</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Blåsippa</t>
        </is>
      </c>
      <c r="S55">
        <f>HYPERLINK("https://klasma.github.io/Logging_0483/artfynd/A 33801-2023 artfynd.xlsx", "A 33801-2023")</f>
        <v/>
      </c>
      <c r="T55">
        <f>HYPERLINK("https://klasma.github.io/Logging_0483/kartor/A 33801-2023 karta.png", "A 33801-2023")</f>
        <v/>
      </c>
      <c r="V55">
        <f>HYPERLINK("https://klasma.github.io/Logging_0483/klagomål/A 33801-2023 FSC-klagomål.docx", "A 33801-2023")</f>
        <v/>
      </c>
      <c r="W55">
        <f>HYPERLINK("https://klasma.github.io/Logging_0483/klagomålsmail/A 33801-2023 FSC-klagomål mail.docx", "A 33801-2023")</f>
        <v/>
      </c>
      <c r="X55">
        <f>HYPERLINK("https://klasma.github.io/Logging_0483/tillsyn/A 33801-2023 tillsynsbegäran.docx", "A 33801-2023")</f>
        <v/>
      </c>
      <c r="Y55">
        <f>HYPERLINK("https://klasma.github.io/Logging_0483/tillsynsmail/A 33801-2023 tillsynsbegäran mail.docx", "A 33801-2023")</f>
        <v/>
      </c>
    </row>
    <row r="56" ht="15" customHeight="1">
      <c r="A56" t="inlineStr">
        <is>
          <t>A 36856-2021</t>
        </is>
      </c>
      <c r="B56" s="1" t="n">
        <v>44393</v>
      </c>
      <c r="C56" s="1" t="n">
        <v>45894</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45894</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45894</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45894</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45894</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45894</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45894</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45894</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72822-2021</t>
        </is>
      </c>
      <c r="B64" s="1" t="n">
        <v>44546</v>
      </c>
      <c r="C64" s="1" t="n">
        <v>45894</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45894</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45894</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45894</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45894</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45894</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45894</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45894</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45894</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45894</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45894</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45894</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45894</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45894</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17430-2021</t>
        </is>
      </c>
      <c r="B78" s="1" t="n">
        <v>44299.40710648148</v>
      </c>
      <c r="C78" s="1" t="n">
        <v>45894</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45894</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45894</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45894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45894</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45894</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45894</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45894</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45894</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45894</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45894</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45894</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45894</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45894</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45894</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45894</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45894</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45894</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45894</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45894</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45894</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45894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45894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45894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45894</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45894</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45894</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45894</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45894</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45894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9576-2021</t>
        </is>
      </c>
      <c r="B108" s="1" t="n">
        <v>44251</v>
      </c>
      <c r="C108" s="1" t="n">
        <v>45894</v>
      </c>
      <c r="D108" t="inlineStr">
        <is>
          <t>SÖDERMANLANDS LÄN</t>
        </is>
      </c>
      <c r="E108" t="inlineStr">
        <is>
          <t>KATRINEHOLM</t>
        </is>
      </c>
      <c r="G108" t="n">
        <v>1.5</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45894</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45894</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45894</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45894</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45894</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45894</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45894</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45894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45894</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45894</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45894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45894</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45894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45894</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45894</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45894</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45894</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45894</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45894</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45894</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45894</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45894</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45894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45894</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45894</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45894</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45894</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45894</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45894</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45894</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45894</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45894</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45894</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45894</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45894</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45894</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45894</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45894</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45894</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45894</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45894</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45894</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45894</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45894</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45894</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59212-2021</t>
        </is>
      </c>
      <c r="B154" s="1" t="n">
        <v>44490.60873842592</v>
      </c>
      <c r="C154" s="1" t="n">
        <v>45894</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45894</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45894</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21576-2022</t>
        </is>
      </c>
      <c r="B157" s="1" t="n">
        <v>44706</v>
      </c>
      <c r="C157" s="1" t="n">
        <v>45894</v>
      </c>
      <c r="D157" t="inlineStr">
        <is>
          <t>SÖDERMANLANDS LÄN</t>
        </is>
      </c>
      <c r="E157" t="inlineStr">
        <is>
          <t>KATRINEHOLM</t>
        </is>
      </c>
      <c r="G157" t="n">
        <v>4.2</v>
      </c>
      <c r="H157" t="n">
        <v>0</v>
      </c>
      <c r="I157" t="n">
        <v>0</v>
      </c>
      <c r="J157" t="n">
        <v>0</v>
      </c>
      <c r="K157" t="n">
        <v>0</v>
      </c>
      <c r="L157" t="n">
        <v>0</v>
      </c>
      <c r="M157" t="n">
        <v>0</v>
      </c>
      <c r="N157" t="n">
        <v>0</v>
      </c>
      <c r="O157" t="n">
        <v>0</v>
      </c>
      <c r="P157" t="n">
        <v>0</v>
      </c>
      <c r="Q157" t="n">
        <v>0</v>
      </c>
      <c r="R157" s="2" t="inlineStr"/>
    </row>
    <row r="158" ht="15" customHeight="1">
      <c r="A158" t="inlineStr">
        <is>
          <t>A 43967-2022</t>
        </is>
      </c>
      <c r="B158" s="1" t="n">
        <v>44837</v>
      </c>
      <c r="C158" s="1" t="n">
        <v>45894</v>
      </c>
      <c r="D158" t="inlineStr">
        <is>
          <t>SÖDERMANLANDS LÄN</t>
        </is>
      </c>
      <c r="E158" t="inlineStr">
        <is>
          <t>KATRINEHOLM</t>
        </is>
      </c>
      <c r="G158" t="n">
        <v>6.2</v>
      </c>
      <c r="H158" t="n">
        <v>0</v>
      </c>
      <c r="I158" t="n">
        <v>0</v>
      </c>
      <c r="J158" t="n">
        <v>0</v>
      </c>
      <c r="K158" t="n">
        <v>0</v>
      </c>
      <c r="L158" t="n">
        <v>0</v>
      </c>
      <c r="M158" t="n">
        <v>0</v>
      </c>
      <c r="N158" t="n">
        <v>0</v>
      </c>
      <c r="O158" t="n">
        <v>0</v>
      </c>
      <c r="P158" t="n">
        <v>0</v>
      </c>
      <c r="Q158" t="n">
        <v>0</v>
      </c>
      <c r="R158" s="2" t="inlineStr"/>
    </row>
    <row r="159" ht="15" customHeight="1">
      <c r="A159" t="inlineStr">
        <is>
          <t>A 44012-2022</t>
        </is>
      </c>
      <c r="B159" s="1" t="n">
        <v>44838</v>
      </c>
      <c r="C159" s="1" t="n">
        <v>45894</v>
      </c>
      <c r="D159" t="inlineStr">
        <is>
          <t>SÖDERMANLANDS LÄN</t>
        </is>
      </c>
      <c r="E159" t="inlineStr">
        <is>
          <t>KATRINEHOLM</t>
        </is>
      </c>
      <c r="G159" t="n">
        <v>0.4</v>
      </c>
      <c r="H159" t="n">
        <v>0</v>
      </c>
      <c r="I159" t="n">
        <v>0</v>
      </c>
      <c r="J159" t="n">
        <v>0</v>
      </c>
      <c r="K159" t="n">
        <v>0</v>
      </c>
      <c r="L159" t="n">
        <v>0</v>
      </c>
      <c r="M159" t="n">
        <v>0</v>
      </c>
      <c r="N159" t="n">
        <v>0</v>
      </c>
      <c r="O159" t="n">
        <v>0</v>
      </c>
      <c r="P159" t="n">
        <v>0</v>
      </c>
      <c r="Q159" t="n">
        <v>0</v>
      </c>
      <c r="R159" s="2" t="inlineStr"/>
    </row>
    <row r="160" ht="15" customHeight="1">
      <c r="A160" t="inlineStr">
        <is>
          <t>A 56572-2021</t>
        </is>
      </c>
      <c r="B160" s="1" t="n">
        <v>44480</v>
      </c>
      <c r="C160" s="1" t="n">
        <v>45894</v>
      </c>
      <c r="D160" t="inlineStr">
        <is>
          <t>SÖDERMANLANDS LÄN</t>
        </is>
      </c>
      <c r="E160" t="inlineStr">
        <is>
          <t>KATRINEHOLM</t>
        </is>
      </c>
      <c r="F160" t="inlineStr">
        <is>
          <t>Holmen skog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45894</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11070-2021</t>
        </is>
      </c>
      <c r="B162" s="1" t="n">
        <v>44260</v>
      </c>
      <c r="C162" s="1" t="n">
        <v>45894</v>
      </c>
      <c r="D162" t="inlineStr">
        <is>
          <t>SÖDERMANLANDS LÄN</t>
        </is>
      </c>
      <c r="E162" t="inlineStr">
        <is>
          <t>KATRINEHOLM</t>
        </is>
      </c>
      <c r="F162" t="inlineStr">
        <is>
          <t>Allmännings- och besparingsskogar</t>
        </is>
      </c>
      <c r="G162" t="n">
        <v>2.9</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45894</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45894</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45894</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25893-2022</t>
        </is>
      </c>
      <c r="B166" s="1" t="n">
        <v>44733.77543981482</v>
      </c>
      <c r="C166" s="1" t="n">
        <v>45894</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45894</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45894</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45894</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45894</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24099-2022</t>
        </is>
      </c>
      <c r="B171" s="1" t="n">
        <v>44725</v>
      </c>
      <c r="C171" s="1" t="n">
        <v>45894</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45894</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45894</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24199-2022</t>
        </is>
      </c>
      <c r="B174" s="1" t="n">
        <v>44725</v>
      </c>
      <c r="C174" s="1" t="n">
        <v>45894</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38835-2021</t>
        </is>
      </c>
      <c r="B175" s="1" t="n">
        <v>44411</v>
      </c>
      <c r="C175" s="1" t="n">
        <v>45894</v>
      </c>
      <c r="D175" t="inlineStr">
        <is>
          <t>SÖDERMANLANDS LÄN</t>
        </is>
      </c>
      <c r="E175" t="inlineStr">
        <is>
          <t>KATRINEHOLM</t>
        </is>
      </c>
      <c r="G175" t="n">
        <v>10.2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45894</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68206-2021</t>
        </is>
      </c>
      <c r="B177" s="1" t="n">
        <v>44526</v>
      </c>
      <c r="C177" s="1" t="n">
        <v>45894</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45894</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69429-2021</t>
        </is>
      </c>
      <c r="B179" s="1" t="n">
        <v>44531</v>
      </c>
      <c r="C179" s="1" t="n">
        <v>45894</v>
      </c>
      <c r="D179" t="inlineStr">
        <is>
          <t>SÖDERMANLANDS LÄN</t>
        </is>
      </c>
      <c r="E179" t="inlineStr">
        <is>
          <t>KATRINEHOLM</t>
        </is>
      </c>
      <c r="G179" t="n">
        <v>1.2</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45894</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2877-2022</t>
        </is>
      </c>
      <c r="B181" s="1" t="n">
        <v>44581</v>
      </c>
      <c r="C181" s="1" t="n">
        <v>45894</v>
      </c>
      <c r="D181" t="inlineStr">
        <is>
          <t>SÖDERMANLANDS LÄN</t>
        </is>
      </c>
      <c r="E181" t="inlineStr">
        <is>
          <t>KATRINEHOLM</t>
        </is>
      </c>
      <c r="G181" t="n">
        <v>10.3</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45894</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33753-2022</t>
        </is>
      </c>
      <c r="B183" s="1" t="n">
        <v>44789</v>
      </c>
      <c r="C183" s="1" t="n">
        <v>45894</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60596-2021</t>
        </is>
      </c>
      <c r="B184" s="1" t="n">
        <v>44496.58033564815</v>
      </c>
      <c r="C184" s="1" t="n">
        <v>45894</v>
      </c>
      <c r="D184" t="inlineStr">
        <is>
          <t>SÖDERMANLANDS LÄN</t>
        </is>
      </c>
      <c r="E184" t="inlineStr">
        <is>
          <t>KATRINEHOLM</t>
        </is>
      </c>
      <c r="G184" t="n">
        <v>1.5</v>
      </c>
      <c r="H184" t="n">
        <v>0</v>
      </c>
      <c r="I184" t="n">
        <v>0</v>
      </c>
      <c r="J184" t="n">
        <v>0</v>
      </c>
      <c r="K184" t="n">
        <v>0</v>
      </c>
      <c r="L184" t="n">
        <v>0</v>
      </c>
      <c r="M184" t="n">
        <v>0</v>
      </c>
      <c r="N184" t="n">
        <v>0</v>
      </c>
      <c r="O184" t="n">
        <v>0</v>
      </c>
      <c r="P184" t="n">
        <v>0</v>
      </c>
      <c r="Q184" t="n">
        <v>0</v>
      </c>
      <c r="R184" s="2" t="inlineStr"/>
    </row>
    <row r="185" ht="15" customHeight="1">
      <c r="A185" t="inlineStr">
        <is>
          <t>A 57745-2020</t>
        </is>
      </c>
      <c r="B185" s="1" t="n">
        <v>44141</v>
      </c>
      <c r="C185" s="1" t="n">
        <v>45894</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53791-2021</t>
        </is>
      </c>
      <c r="B186" s="1" t="n">
        <v>44467</v>
      </c>
      <c r="C186" s="1" t="n">
        <v>45894</v>
      </c>
      <c r="D186" t="inlineStr">
        <is>
          <t>SÖDERMANLANDS LÄN</t>
        </is>
      </c>
      <c r="E186" t="inlineStr">
        <is>
          <t>KATRINEHOLM</t>
        </is>
      </c>
      <c r="G186" t="n">
        <v>2.7</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45894</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64633-2020</t>
        </is>
      </c>
      <c r="B188" s="1" t="n">
        <v>44169</v>
      </c>
      <c r="C188" s="1" t="n">
        <v>45894</v>
      </c>
      <c r="D188" t="inlineStr">
        <is>
          <t>SÖDERMANLANDS LÄN</t>
        </is>
      </c>
      <c r="E188" t="inlineStr">
        <is>
          <t>KATRINEHOLM</t>
        </is>
      </c>
      <c r="F188" t="inlineStr">
        <is>
          <t>Holmen skog AB</t>
        </is>
      </c>
      <c r="G188" t="n">
        <v>0.5</v>
      </c>
      <c r="H188" t="n">
        <v>0</v>
      </c>
      <c r="I188" t="n">
        <v>0</v>
      </c>
      <c r="J188" t="n">
        <v>0</v>
      </c>
      <c r="K188" t="n">
        <v>0</v>
      </c>
      <c r="L188" t="n">
        <v>0</v>
      </c>
      <c r="M188" t="n">
        <v>0</v>
      </c>
      <c r="N188" t="n">
        <v>0</v>
      </c>
      <c r="O188" t="n">
        <v>0</v>
      </c>
      <c r="P188" t="n">
        <v>0</v>
      </c>
      <c r="Q188" t="n">
        <v>0</v>
      </c>
      <c r="R188" s="2" t="inlineStr"/>
    </row>
    <row r="189" ht="15" customHeight="1">
      <c r="A189" t="inlineStr">
        <is>
          <t>A 34625-2022</t>
        </is>
      </c>
      <c r="B189" s="1" t="n">
        <v>44795.44392361111</v>
      </c>
      <c r="C189" s="1" t="n">
        <v>45894</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41642-2022</t>
        </is>
      </c>
      <c r="B190" s="1" t="n">
        <v>44827</v>
      </c>
      <c r="C190" s="1" t="n">
        <v>45894</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45894</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45894</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45894</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45894</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45894</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45894</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4767-2021</t>
        </is>
      </c>
      <c r="B197" s="1" t="n">
        <v>44225</v>
      </c>
      <c r="C197" s="1" t="n">
        <v>45894</v>
      </c>
      <c r="D197" t="inlineStr">
        <is>
          <t>SÖDERMANLANDS LÄN</t>
        </is>
      </c>
      <c r="E197" t="inlineStr">
        <is>
          <t>KATRINEHOLM</t>
        </is>
      </c>
      <c r="G197" t="n">
        <v>3.8</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45894</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7189-2022</t>
        </is>
      </c>
      <c r="B199" s="1" t="n">
        <v>44605</v>
      </c>
      <c r="C199" s="1" t="n">
        <v>45894</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40749-2022</t>
        </is>
      </c>
      <c r="B200" s="1" t="n">
        <v>44824</v>
      </c>
      <c r="C200" s="1" t="n">
        <v>45894</v>
      </c>
      <c r="D200" t="inlineStr">
        <is>
          <t>SÖDERMANLANDS LÄN</t>
        </is>
      </c>
      <c r="E200" t="inlineStr">
        <is>
          <t>KATRINEHOLM</t>
        </is>
      </c>
      <c r="G200" t="n">
        <v>0.2</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45894</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15945-2024</t>
        </is>
      </c>
      <c r="B202" s="1" t="n">
        <v>45405.48912037037</v>
      </c>
      <c r="C202" s="1" t="n">
        <v>45894</v>
      </c>
      <c r="D202" t="inlineStr">
        <is>
          <t>SÖDERMANLANDS LÄN</t>
        </is>
      </c>
      <c r="E202" t="inlineStr">
        <is>
          <t>KATRINEHOLM</t>
        </is>
      </c>
      <c r="G202" t="n">
        <v>1.8</v>
      </c>
      <c r="H202" t="n">
        <v>0</v>
      </c>
      <c r="I202" t="n">
        <v>0</v>
      </c>
      <c r="J202" t="n">
        <v>0</v>
      </c>
      <c r="K202" t="n">
        <v>0</v>
      </c>
      <c r="L202" t="n">
        <v>0</v>
      </c>
      <c r="M202" t="n">
        <v>0</v>
      </c>
      <c r="N202" t="n">
        <v>0</v>
      </c>
      <c r="O202" t="n">
        <v>0</v>
      </c>
      <c r="P202" t="n">
        <v>0</v>
      </c>
      <c r="Q202" t="n">
        <v>0</v>
      </c>
      <c r="R202" s="2" t="inlineStr"/>
    </row>
    <row r="203" ht="15" customHeight="1">
      <c r="A203" t="inlineStr">
        <is>
          <t>A 1329-2025</t>
        </is>
      </c>
      <c r="B203" s="1" t="n">
        <v>45667</v>
      </c>
      <c r="C203" s="1" t="n">
        <v>45894</v>
      </c>
      <c r="D203" t="inlineStr">
        <is>
          <t>SÖDERMANLANDS LÄN</t>
        </is>
      </c>
      <c r="E203" t="inlineStr">
        <is>
          <t>KATRINEHOLM</t>
        </is>
      </c>
      <c r="G203" t="n">
        <v>2.7</v>
      </c>
      <c r="H203" t="n">
        <v>0</v>
      </c>
      <c r="I203" t="n">
        <v>0</v>
      </c>
      <c r="J203" t="n">
        <v>0</v>
      </c>
      <c r="K203" t="n">
        <v>0</v>
      </c>
      <c r="L203" t="n">
        <v>0</v>
      </c>
      <c r="M203" t="n">
        <v>0</v>
      </c>
      <c r="N203" t="n">
        <v>0</v>
      </c>
      <c r="O203" t="n">
        <v>0</v>
      </c>
      <c r="P203" t="n">
        <v>0</v>
      </c>
      <c r="Q203" t="n">
        <v>0</v>
      </c>
      <c r="R203" s="2" t="inlineStr"/>
    </row>
    <row r="204" ht="15" customHeight="1">
      <c r="A204" t="inlineStr">
        <is>
          <t>A 65358-2020</t>
        </is>
      </c>
      <c r="B204" s="1" t="n">
        <v>44173</v>
      </c>
      <c r="C204" s="1" t="n">
        <v>45894</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52044-2021</t>
        </is>
      </c>
      <c r="B205" s="1" t="n">
        <v>44463</v>
      </c>
      <c r="C205" s="1" t="n">
        <v>45894</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50061-2022</t>
        </is>
      </c>
      <c r="B206" s="1" t="n">
        <v>44865</v>
      </c>
      <c r="C206" s="1" t="n">
        <v>45894</v>
      </c>
      <c r="D206" t="inlineStr">
        <is>
          <t>SÖDERMANLANDS LÄN</t>
        </is>
      </c>
      <c r="E206" t="inlineStr">
        <is>
          <t>KATRINEHOLM</t>
        </is>
      </c>
      <c r="G206" t="n">
        <v>4.9</v>
      </c>
      <c r="H206" t="n">
        <v>0</v>
      </c>
      <c r="I206" t="n">
        <v>0</v>
      </c>
      <c r="J206" t="n">
        <v>0</v>
      </c>
      <c r="K206" t="n">
        <v>0</v>
      </c>
      <c r="L206" t="n">
        <v>0</v>
      </c>
      <c r="M206" t="n">
        <v>0</v>
      </c>
      <c r="N206" t="n">
        <v>0</v>
      </c>
      <c r="O206" t="n">
        <v>0</v>
      </c>
      <c r="P206" t="n">
        <v>0</v>
      </c>
      <c r="Q206" t="n">
        <v>0</v>
      </c>
      <c r="R206" s="2" t="inlineStr"/>
    </row>
    <row r="207" ht="15" customHeight="1">
      <c r="A207" t="inlineStr">
        <is>
          <t>A 48838-2020</t>
        </is>
      </c>
      <c r="B207" s="1" t="n">
        <v>44099</v>
      </c>
      <c r="C207" s="1" t="n">
        <v>45894</v>
      </c>
      <c r="D207" t="inlineStr">
        <is>
          <t>SÖDERMANLANDS LÄN</t>
        </is>
      </c>
      <c r="E207" t="inlineStr">
        <is>
          <t>KATRINEHOLM</t>
        </is>
      </c>
      <c r="G207" t="n">
        <v>6.8</v>
      </c>
      <c r="H207" t="n">
        <v>0</v>
      </c>
      <c r="I207" t="n">
        <v>0</v>
      </c>
      <c r="J207" t="n">
        <v>0</v>
      </c>
      <c r="K207" t="n">
        <v>0</v>
      </c>
      <c r="L207" t="n">
        <v>0</v>
      </c>
      <c r="M207" t="n">
        <v>0</v>
      </c>
      <c r="N207" t="n">
        <v>0</v>
      </c>
      <c r="O207" t="n">
        <v>0</v>
      </c>
      <c r="P207" t="n">
        <v>0</v>
      </c>
      <c r="Q207" t="n">
        <v>0</v>
      </c>
      <c r="R207" s="2" t="inlineStr"/>
    </row>
    <row r="208" ht="15" customHeight="1">
      <c r="A208" t="inlineStr">
        <is>
          <t>A 40744-2022</t>
        </is>
      </c>
      <c r="B208" s="1" t="n">
        <v>44824.55655092592</v>
      </c>
      <c r="C208" s="1" t="n">
        <v>45894</v>
      </c>
      <c r="D208" t="inlineStr">
        <is>
          <t>SÖDERMANLANDS LÄN</t>
        </is>
      </c>
      <c r="E208" t="inlineStr">
        <is>
          <t>KATRINEHOLM</t>
        </is>
      </c>
      <c r="G208" t="n">
        <v>3.7</v>
      </c>
      <c r="H208" t="n">
        <v>0</v>
      </c>
      <c r="I208" t="n">
        <v>0</v>
      </c>
      <c r="J208" t="n">
        <v>0</v>
      </c>
      <c r="K208" t="n">
        <v>0</v>
      </c>
      <c r="L208" t="n">
        <v>0</v>
      </c>
      <c r="M208" t="n">
        <v>0</v>
      </c>
      <c r="N208" t="n">
        <v>0</v>
      </c>
      <c r="O208" t="n">
        <v>0</v>
      </c>
      <c r="P208" t="n">
        <v>0</v>
      </c>
      <c r="Q208" t="n">
        <v>0</v>
      </c>
      <c r="R208" s="2" t="inlineStr"/>
    </row>
    <row r="209" ht="15" customHeight="1">
      <c r="A209" t="inlineStr">
        <is>
          <t>A 20803-2024</t>
        </is>
      </c>
      <c r="B209" s="1" t="n">
        <v>45438</v>
      </c>
      <c r="C209" s="1" t="n">
        <v>45894</v>
      </c>
      <c r="D209" t="inlineStr">
        <is>
          <t>SÖDERMANLANDS LÄN</t>
        </is>
      </c>
      <c r="E209" t="inlineStr">
        <is>
          <t>KATRINEHOLM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15392-2023</t>
        </is>
      </c>
      <c r="B210" s="1" t="n">
        <v>45016</v>
      </c>
      <c r="C210" s="1" t="n">
        <v>45894</v>
      </c>
      <c r="D210" t="inlineStr">
        <is>
          <t>SÖDERMANLANDS LÄN</t>
        </is>
      </c>
      <c r="E210" t="inlineStr">
        <is>
          <t>KATRINEHOLM</t>
        </is>
      </c>
      <c r="F210" t="inlineStr">
        <is>
          <t>Övriga Aktiebolag</t>
        </is>
      </c>
      <c r="G210" t="n">
        <v>2.7</v>
      </c>
      <c r="H210" t="n">
        <v>0</v>
      </c>
      <c r="I210" t="n">
        <v>0</v>
      </c>
      <c r="J210" t="n">
        <v>0</v>
      </c>
      <c r="K210" t="n">
        <v>0</v>
      </c>
      <c r="L210" t="n">
        <v>0</v>
      </c>
      <c r="M210" t="n">
        <v>0</v>
      </c>
      <c r="N210" t="n">
        <v>0</v>
      </c>
      <c r="O210" t="n">
        <v>0</v>
      </c>
      <c r="P210" t="n">
        <v>0</v>
      </c>
      <c r="Q210" t="n">
        <v>0</v>
      </c>
      <c r="R210" s="2" t="inlineStr"/>
    </row>
    <row r="211" ht="15" customHeight="1">
      <c r="A211" t="inlineStr">
        <is>
          <t>A 4645-2024</t>
        </is>
      </c>
      <c r="B211" s="1" t="n">
        <v>45328</v>
      </c>
      <c r="C211" s="1" t="n">
        <v>45894</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8475-2023</t>
        </is>
      </c>
      <c r="B212" s="1" t="n">
        <v>44977</v>
      </c>
      <c r="C212" s="1" t="n">
        <v>45894</v>
      </c>
      <c r="D212" t="inlineStr">
        <is>
          <t>SÖDERMANLANDS LÄN</t>
        </is>
      </c>
      <c r="E212" t="inlineStr">
        <is>
          <t>KATRINEHOLM</t>
        </is>
      </c>
      <c r="F212" t="inlineStr">
        <is>
          <t>Allmännings- och besparingsskogar</t>
        </is>
      </c>
      <c r="G212" t="n">
        <v>8.1</v>
      </c>
      <c r="H212" t="n">
        <v>0</v>
      </c>
      <c r="I212" t="n">
        <v>0</v>
      </c>
      <c r="J212" t="n">
        <v>0</v>
      </c>
      <c r="K212" t="n">
        <v>0</v>
      </c>
      <c r="L212" t="n">
        <v>0</v>
      </c>
      <c r="M212" t="n">
        <v>0</v>
      </c>
      <c r="N212" t="n">
        <v>0</v>
      </c>
      <c r="O212" t="n">
        <v>0</v>
      </c>
      <c r="P212" t="n">
        <v>0</v>
      </c>
      <c r="Q212" t="n">
        <v>0</v>
      </c>
      <c r="R212" s="2" t="inlineStr"/>
    </row>
    <row r="213" ht="15" customHeight="1">
      <c r="A213" t="inlineStr">
        <is>
          <t>A 8518-2023</t>
        </is>
      </c>
      <c r="B213" s="1" t="n">
        <v>44977</v>
      </c>
      <c r="C213" s="1" t="n">
        <v>45894</v>
      </c>
      <c r="D213" t="inlineStr">
        <is>
          <t>SÖDERMANLANDS LÄN</t>
        </is>
      </c>
      <c r="E213" t="inlineStr">
        <is>
          <t>KATRINEHOLM</t>
        </is>
      </c>
      <c r="F213" t="inlineStr">
        <is>
          <t>Allmännings- och besparingsskogar</t>
        </is>
      </c>
      <c r="G213" t="n">
        <v>35.3</v>
      </c>
      <c r="H213" t="n">
        <v>0</v>
      </c>
      <c r="I213" t="n">
        <v>0</v>
      </c>
      <c r="J213" t="n">
        <v>0</v>
      </c>
      <c r="K213" t="n">
        <v>0</v>
      </c>
      <c r="L213" t="n">
        <v>0</v>
      </c>
      <c r="M213" t="n">
        <v>0</v>
      </c>
      <c r="N213" t="n">
        <v>0</v>
      </c>
      <c r="O213" t="n">
        <v>0</v>
      </c>
      <c r="P213" t="n">
        <v>0</v>
      </c>
      <c r="Q213" t="n">
        <v>0</v>
      </c>
      <c r="R213" s="2" t="inlineStr"/>
    </row>
    <row r="214" ht="15" customHeight="1">
      <c r="A214" t="inlineStr">
        <is>
          <t>A 28508-2023</t>
        </is>
      </c>
      <c r="B214" s="1" t="n">
        <v>45103.46788194445</v>
      </c>
      <c r="C214" s="1" t="n">
        <v>45894</v>
      </c>
      <c r="D214" t="inlineStr">
        <is>
          <t>SÖDERMANLANDS LÄN</t>
        </is>
      </c>
      <c r="E214" t="inlineStr">
        <is>
          <t>KATRINEHOLM</t>
        </is>
      </c>
      <c r="F214" t="inlineStr">
        <is>
          <t>Kyrkan</t>
        </is>
      </c>
      <c r="G214" t="n">
        <v>20.5</v>
      </c>
      <c r="H214" t="n">
        <v>0</v>
      </c>
      <c r="I214" t="n">
        <v>0</v>
      </c>
      <c r="J214" t="n">
        <v>0</v>
      </c>
      <c r="K214" t="n">
        <v>0</v>
      </c>
      <c r="L214" t="n">
        <v>0</v>
      </c>
      <c r="M214" t="n">
        <v>0</v>
      </c>
      <c r="N214" t="n">
        <v>0</v>
      </c>
      <c r="O214" t="n">
        <v>0</v>
      </c>
      <c r="P214" t="n">
        <v>0</v>
      </c>
      <c r="Q214" t="n">
        <v>0</v>
      </c>
      <c r="R214" s="2" t="inlineStr"/>
    </row>
    <row r="215" ht="15" customHeight="1">
      <c r="A215" t="inlineStr">
        <is>
          <t>A 30333-2023</t>
        </is>
      </c>
      <c r="B215" s="1" t="n">
        <v>45111</v>
      </c>
      <c r="C215" s="1" t="n">
        <v>45894</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6628-2022</t>
        </is>
      </c>
      <c r="B216" s="1" t="n">
        <v>44601.78850694445</v>
      </c>
      <c r="C216" s="1" t="n">
        <v>45894</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20212-2025</t>
        </is>
      </c>
      <c r="B217" s="1" t="n">
        <v>45772.63049768518</v>
      </c>
      <c r="C217" s="1" t="n">
        <v>45894</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39120-2023</t>
        </is>
      </c>
      <c r="B218" s="1" t="n">
        <v>45165</v>
      </c>
      <c r="C218" s="1" t="n">
        <v>45894</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46670-2021</t>
        </is>
      </c>
      <c r="B219" s="1" t="n">
        <v>44445</v>
      </c>
      <c r="C219" s="1" t="n">
        <v>45894</v>
      </c>
      <c r="D219" t="inlineStr">
        <is>
          <t>SÖDERMANLANDS LÄN</t>
        </is>
      </c>
      <c r="E219" t="inlineStr">
        <is>
          <t>KATRINEHOLM</t>
        </is>
      </c>
      <c r="G219" t="n">
        <v>4.4</v>
      </c>
      <c r="H219" t="n">
        <v>0</v>
      </c>
      <c r="I219" t="n">
        <v>0</v>
      </c>
      <c r="J219" t="n">
        <v>0</v>
      </c>
      <c r="K219" t="n">
        <v>0</v>
      </c>
      <c r="L219" t="n">
        <v>0</v>
      </c>
      <c r="M219" t="n">
        <v>0</v>
      </c>
      <c r="N219" t="n">
        <v>0</v>
      </c>
      <c r="O219" t="n">
        <v>0</v>
      </c>
      <c r="P219" t="n">
        <v>0</v>
      </c>
      <c r="Q219" t="n">
        <v>0</v>
      </c>
      <c r="R219" s="2" t="inlineStr"/>
    </row>
    <row r="220" ht="15" customHeight="1">
      <c r="A220" t="inlineStr">
        <is>
          <t>A 61674-2020</t>
        </is>
      </c>
      <c r="B220" s="1" t="n">
        <v>44158</v>
      </c>
      <c r="C220" s="1" t="n">
        <v>45894</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45530-2023</t>
        </is>
      </c>
      <c r="B221" s="1" t="n">
        <v>45188</v>
      </c>
      <c r="C221" s="1" t="n">
        <v>45894</v>
      </c>
      <c r="D221" t="inlineStr">
        <is>
          <t>SÖDERMANLANDS LÄN</t>
        </is>
      </c>
      <c r="E221" t="inlineStr">
        <is>
          <t>KATRINEHOLM</t>
        </is>
      </c>
      <c r="F221" t="inlineStr">
        <is>
          <t>Allmännings- och besparingsskogar</t>
        </is>
      </c>
      <c r="G221" t="n">
        <v>37</v>
      </c>
      <c r="H221" t="n">
        <v>0</v>
      </c>
      <c r="I221" t="n">
        <v>0</v>
      </c>
      <c r="J221" t="n">
        <v>0</v>
      </c>
      <c r="K221" t="n">
        <v>0</v>
      </c>
      <c r="L221" t="n">
        <v>0</v>
      </c>
      <c r="M221" t="n">
        <v>0</v>
      </c>
      <c r="N221" t="n">
        <v>0</v>
      </c>
      <c r="O221" t="n">
        <v>0</v>
      </c>
      <c r="P221" t="n">
        <v>0</v>
      </c>
      <c r="Q221" t="n">
        <v>0</v>
      </c>
      <c r="R221" s="2" t="inlineStr"/>
    </row>
    <row r="222" ht="15" customHeight="1">
      <c r="A222" t="inlineStr">
        <is>
          <t>A 36964-2021</t>
        </is>
      </c>
      <c r="B222" s="1" t="n">
        <v>44393</v>
      </c>
      <c r="C222" s="1" t="n">
        <v>45894</v>
      </c>
      <c r="D222" t="inlineStr">
        <is>
          <t>SÖDERMANLANDS LÄN</t>
        </is>
      </c>
      <c r="E222" t="inlineStr">
        <is>
          <t>KATRINEHOLM</t>
        </is>
      </c>
      <c r="G222" t="n">
        <v>3.5</v>
      </c>
      <c r="H222" t="n">
        <v>0</v>
      </c>
      <c r="I222" t="n">
        <v>0</v>
      </c>
      <c r="J222" t="n">
        <v>0</v>
      </c>
      <c r="K222" t="n">
        <v>0</v>
      </c>
      <c r="L222" t="n">
        <v>0</v>
      </c>
      <c r="M222" t="n">
        <v>0</v>
      </c>
      <c r="N222" t="n">
        <v>0</v>
      </c>
      <c r="O222" t="n">
        <v>0</v>
      </c>
      <c r="P222" t="n">
        <v>0</v>
      </c>
      <c r="Q222" t="n">
        <v>0</v>
      </c>
      <c r="R222" s="2" t="inlineStr"/>
    </row>
    <row r="223" ht="15" customHeight="1">
      <c r="A223" t="inlineStr">
        <is>
          <t>A 30981-2022</t>
        </is>
      </c>
      <c r="B223" s="1" t="n">
        <v>44768</v>
      </c>
      <c r="C223" s="1" t="n">
        <v>45894</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47889-2023</t>
        </is>
      </c>
      <c r="B224" s="1" t="n">
        <v>45204</v>
      </c>
      <c r="C224" s="1" t="n">
        <v>45894</v>
      </c>
      <c r="D224" t="inlineStr">
        <is>
          <t>SÖDERMANLANDS LÄN</t>
        </is>
      </c>
      <c r="E224" t="inlineStr">
        <is>
          <t>KATRINEHOLM</t>
        </is>
      </c>
      <c r="G224" t="n">
        <v>2.1</v>
      </c>
      <c r="H224" t="n">
        <v>0</v>
      </c>
      <c r="I224" t="n">
        <v>0</v>
      </c>
      <c r="J224" t="n">
        <v>0</v>
      </c>
      <c r="K224" t="n">
        <v>0</v>
      </c>
      <c r="L224" t="n">
        <v>0</v>
      </c>
      <c r="M224" t="n">
        <v>0</v>
      </c>
      <c r="N224" t="n">
        <v>0</v>
      </c>
      <c r="O224" t="n">
        <v>0</v>
      </c>
      <c r="P224" t="n">
        <v>0</v>
      </c>
      <c r="Q224" t="n">
        <v>0</v>
      </c>
      <c r="R224" s="2" t="inlineStr"/>
    </row>
    <row r="225" ht="15" customHeight="1">
      <c r="A225" t="inlineStr">
        <is>
          <t>A 53822-2023</t>
        </is>
      </c>
      <c r="B225" s="1" t="n">
        <v>45231.40846064815</v>
      </c>
      <c r="C225" s="1" t="n">
        <v>45894</v>
      </c>
      <c r="D225" t="inlineStr">
        <is>
          <t>SÖDERMANLANDS LÄN</t>
        </is>
      </c>
      <c r="E225" t="inlineStr">
        <is>
          <t>KATRINEHOLM</t>
        </is>
      </c>
      <c r="G225" t="n">
        <v>0.6</v>
      </c>
      <c r="H225" t="n">
        <v>0</v>
      </c>
      <c r="I225" t="n">
        <v>0</v>
      </c>
      <c r="J225" t="n">
        <v>0</v>
      </c>
      <c r="K225" t="n">
        <v>0</v>
      </c>
      <c r="L225" t="n">
        <v>0</v>
      </c>
      <c r="M225" t="n">
        <v>0</v>
      </c>
      <c r="N225" t="n">
        <v>0</v>
      </c>
      <c r="O225" t="n">
        <v>0</v>
      </c>
      <c r="P225" t="n">
        <v>0</v>
      </c>
      <c r="Q225" t="n">
        <v>0</v>
      </c>
      <c r="R225" s="2" t="inlineStr"/>
    </row>
    <row r="226" ht="15" customHeight="1">
      <c r="A226" t="inlineStr">
        <is>
          <t>A 24287-2024</t>
        </is>
      </c>
      <c r="B226" s="1" t="n">
        <v>45457</v>
      </c>
      <c r="C226" s="1" t="n">
        <v>45894</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57947-2020</t>
        </is>
      </c>
      <c r="B227" s="1" t="n">
        <v>44142</v>
      </c>
      <c r="C227" s="1" t="n">
        <v>45894</v>
      </c>
      <c r="D227" t="inlineStr">
        <is>
          <t>SÖDERMANLANDS LÄN</t>
        </is>
      </c>
      <c r="E227" t="inlineStr">
        <is>
          <t>KATRINEHOLM</t>
        </is>
      </c>
      <c r="G227" t="n">
        <v>9.6</v>
      </c>
      <c r="H227" t="n">
        <v>0</v>
      </c>
      <c r="I227" t="n">
        <v>0</v>
      </c>
      <c r="J227" t="n">
        <v>0</v>
      </c>
      <c r="K227" t="n">
        <v>0</v>
      </c>
      <c r="L227" t="n">
        <v>0</v>
      </c>
      <c r="M227" t="n">
        <v>0</v>
      </c>
      <c r="N227" t="n">
        <v>0</v>
      </c>
      <c r="O227" t="n">
        <v>0</v>
      </c>
      <c r="P227" t="n">
        <v>0</v>
      </c>
      <c r="Q227" t="n">
        <v>0</v>
      </c>
      <c r="R227" s="2" t="inlineStr"/>
    </row>
    <row r="228" ht="15" customHeight="1">
      <c r="A228" t="inlineStr">
        <is>
          <t>A 40393-2022</t>
        </is>
      </c>
      <c r="B228" s="1" t="n">
        <v>44823</v>
      </c>
      <c r="C228" s="1" t="n">
        <v>45894</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12975-2022</t>
        </is>
      </c>
      <c r="B229" s="1" t="n">
        <v>44643</v>
      </c>
      <c r="C229" s="1" t="n">
        <v>45894</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9668-2023</t>
        </is>
      </c>
      <c r="B230" s="1" t="n">
        <v>44984.41238425926</v>
      </c>
      <c r="C230" s="1" t="n">
        <v>45894</v>
      </c>
      <c r="D230" t="inlineStr">
        <is>
          <t>SÖDERMANLANDS LÄN</t>
        </is>
      </c>
      <c r="E230" t="inlineStr">
        <is>
          <t>KATRINEHOLM</t>
        </is>
      </c>
      <c r="G230" t="n">
        <v>4.8</v>
      </c>
      <c r="H230" t="n">
        <v>0</v>
      </c>
      <c r="I230" t="n">
        <v>0</v>
      </c>
      <c r="J230" t="n">
        <v>0</v>
      </c>
      <c r="K230" t="n">
        <v>0</v>
      </c>
      <c r="L230" t="n">
        <v>0</v>
      </c>
      <c r="M230" t="n">
        <v>0</v>
      </c>
      <c r="N230" t="n">
        <v>0</v>
      </c>
      <c r="O230" t="n">
        <v>0</v>
      </c>
      <c r="P230" t="n">
        <v>0</v>
      </c>
      <c r="Q230" t="n">
        <v>0</v>
      </c>
      <c r="R230" s="2" t="inlineStr"/>
    </row>
    <row r="231" ht="15" customHeight="1">
      <c r="A231" t="inlineStr">
        <is>
          <t>A 29977-2023</t>
        </is>
      </c>
      <c r="B231" s="1" t="n">
        <v>45108</v>
      </c>
      <c r="C231" s="1" t="n">
        <v>45894</v>
      </c>
      <c r="D231" t="inlineStr">
        <is>
          <t>SÖDERMANLANDS LÄN</t>
        </is>
      </c>
      <c r="E231" t="inlineStr">
        <is>
          <t>KATRINEHOLM</t>
        </is>
      </c>
      <c r="G231" t="n">
        <v>2.4</v>
      </c>
      <c r="H231" t="n">
        <v>0</v>
      </c>
      <c r="I231" t="n">
        <v>0</v>
      </c>
      <c r="J231" t="n">
        <v>0</v>
      </c>
      <c r="K231" t="n">
        <v>0</v>
      </c>
      <c r="L231" t="n">
        <v>0</v>
      </c>
      <c r="M231" t="n">
        <v>0</v>
      </c>
      <c r="N231" t="n">
        <v>0</v>
      </c>
      <c r="O231" t="n">
        <v>0</v>
      </c>
      <c r="P231" t="n">
        <v>0</v>
      </c>
      <c r="Q231" t="n">
        <v>0</v>
      </c>
      <c r="R231" s="2" t="inlineStr"/>
    </row>
    <row r="232" ht="15" customHeight="1">
      <c r="A232" t="inlineStr">
        <is>
          <t>A 33934-2022</t>
        </is>
      </c>
      <c r="B232" s="1" t="n">
        <v>44790</v>
      </c>
      <c r="C232" s="1" t="n">
        <v>45894</v>
      </c>
      <c r="D232" t="inlineStr">
        <is>
          <t>SÖDERMANLANDS LÄN</t>
        </is>
      </c>
      <c r="E232" t="inlineStr">
        <is>
          <t>KATRINEHOLM</t>
        </is>
      </c>
      <c r="G232" t="n">
        <v>1.4</v>
      </c>
      <c r="H232" t="n">
        <v>0</v>
      </c>
      <c r="I232" t="n">
        <v>0</v>
      </c>
      <c r="J232" t="n">
        <v>0</v>
      </c>
      <c r="K232" t="n">
        <v>0</v>
      </c>
      <c r="L232" t="n">
        <v>0</v>
      </c>
      <c r="M232" t="n">
        <v>0</v>
      </c>
      <c r="N232" t="n">
        <v>0</v>
      </c>
      <c r="O232" t="n">
        <v>0</v>
      </c>
      <c r="P232" t="n">
        <v>0</v>
      </c>
      <c r="Q232" t="n">
        <v>0</v>
      </c>
      <c r="R232" s="2" t="inlineStr"/>
    </row>
    <row r="233" ht="15" customHeight="1">
      <c r="A233" t="inlineStr">
        <is>
          <t>A 74354-2021</t>
        </is>
      </c>
      <c r="B233" s="1" t="n">
        <v>44559.57041666667</v>
      </c>
      <c r="C233" s="1" t="n">
        <v>45894</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45894</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4669-2023</t>
        </is>
      </c>
      <c r="B235" s="1" t="n">
        <v>44957</v>
      </c>
      <c r="C235" s="1" t="n">
        <v>45894</v>
      </c>
      <c r="D235" t="inlineStr">
        <is>
          <t>SÖDERMANLANDS LÄN</t>
        </is>
      </c>
      <c r="E235" t="inlineStr">
        <is>
          <t>KATRINEHOLM</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948-2023</t>
        </is>
      </c>
      <c r="B236" s="1" t="n">
        <v>44934</v>
      </c>
      <c r="C236" s="1" t="n">
        <v>45894</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33001-2024</t>
        </is>
      </c>
      <c r="B237" s="1" t="n">
        <v>45517</v>
      </c>
      <c r="C237" s="1" t="n">
        <v>45894</v>
      </c>
      <c r="D237" t="inlineStr">
        <is>
          <t>SÖDERMANLANDS LÄN</t>
        </is>
      </c>
      <c r="E237" t="inlineStr">
        <is>
          <t>KATRINEHOLM</t>
        </is>
      </c>
      <c r="G237" t="n">
        <v>1.5</v>
      </c>
      <c r="H237" t="n">
        <v>0</v>
      </c>
      <c r="I237" t="n">
        <v>0</v>
      </c>
      <c r="J237" t="n">
        <v>0</v>
      </c>
      <c r="K237" t="n">
        <v>0</v>
      </c>
      <c r="L237" t="n">
        <v>0</v>
      </c>
      <c r="M237" t="n">
        <v>0</v>
      </c>
      <c r="N237" t="n">
        <v>0</v>
      </c>
      <c r="O237" t="n">
        <v>0</v>
      </c>
      <c r="P237" t="n">
        <v>0</v>
      </c>
      <c r="Q237" t="n">
        <v>0</v>
      </c>
      <c r="R237" s="2" t="inlineStr"/>
    </row>
    <row r="238" ht="15" customHeight="1">
      <c r="A238" t="inlineStr">
        <is>
          <t>A 6087-2022</t>
        </is>
      </c>
      <c r="B238" s="1" t="n">
        <v>44599.61034722222</v>
      </c>
      <c r="C238" s="1" t="n">
        <v>45894</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47134-2022</t>
        </is>
      </c>
      <c r="B239" s="1" t="n">
        <v>44851</v>
      </c>
      <c r="C239" s="1" t="n">
        <v>45894</v>
      </c>
      <c r="D239" t="inlineStr">
        <is>
          <t>SÖDERMANLANDS LÄN</t>
        </is>
      </c>
      <c r="E239" t="inlineStr">
        <is>
          <t>KATRINEHOLM</t>
        </is>
      </c>
      <c r="F239" t="inlineStr">
        <is>
          <t>Övriga statliga verk och myndigheter</t>
        </is>
      </c>
      <c r="G239" t="n">
        <v>1.5</v>
      </c>
      <c r="H239" t="n">
        <v>0</v>
      </c>
      <c r="I239" t="n">
        <v>0</v>
      </c>
      <c r="J239" t="n">
        <v>0</v>
      </c>
      <c r="K239" t="n">
        <v>0</v>
      </c>
      <c r="L239" t="n">
        <v>0</v>
      </c>
      <c r="M239" t="n">
        <v>0</v>
      </c>
      <c r="N239" t="n">
        <v>0</v>
      </c>
      <c r="O239" t="n">
        <v>0</v>
      </c>
      <c r="P239" t="n">
        <v>0</v>
      </c>
      <c r="Q239" t="n">
        <v>0</v>
      </c>
      <c r="R239" s="2" t="inlineStr"/>
    </row>
    <row r="240" ht="15" customHeight="1">
      <c r="A240" t="inlineStr">
        <is>
          <t>A 61911-2021</t>
        </is>
      </c>
      <c r="B240" s="1" t="n">
        <v>44502.35746527778</v>
      </c>
      <c r="C240" s="1" t="n">
        <v>45894</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43513-2023</t>
        </is>
      </c>
      <c r="B241" s="1" t="n">
        <v>45184</v>
      </c>
      <c r="C241" s="1" t="n">
        <v>45894</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10732-2022</t>
        </is>
      </c>
      <c r="B242" s="1" t="n">
        <v>44627.34033564815</v>
      </c>
      <c r="C242" s="1" t="n">
        <v>45894</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2297-2021</t>
        </is>
      </c>
      <c r="B243" s="1" t="n">
        <v>44212</v>
      </c>
      <c r="C243" s="1" t="n">
        <v>45894</v>
      </c>
      <c r="D243" t="inlineStr">
        <is>
          <t>SÖDERMANLANDS LÄN</t>
        </is>
      </c>
      <c r="E243" t="inlineStr">
        <is>
          <t>KATRINEHOLM</t>
        </is>
      </c>
      <c r="G243" t="n">
        <v>14.4</v>
      </c>
      <c r="H243" t="n">
        <v>0</v>
      </c>
      <c r="I243" t="n">
        <v>0</v>
      </c>
      <c r="J243" t="n">
        <v>0</v>
      </c>
      <c r="K243" t="n">
        <v>0</v>
      </c>
      <c r="L243" t="n">
        <v>0</v>
      </c>
      <c r="M243" t="n">
        <v>0</v>
      </c>
      <c r="N243" t="n">
        <v>0</v>
      </c>
      <c r="O243" t="n">
        <v>0</v>
      </c>
      <c r="P243" t="n">
        <v>0</v>
      </c>
      <c r="Q243" t="n">
        <v>0</v>
      </c>
      <c r="R243" s="2" t="inlineStr"/>
    </row>
    <row r="244" ht="15" customHeight="1">
      <c r="A244" t="inlineStr">
        <is>
          <t>A 49122-2024</t>
        </is>
      </c>
      <c r="B244" s="1" t="n">
        <v>45594</v>
      </c>
      <c r="C244" s="1" t="n">
        <v>45894</v>
      </c>
      <c r="D244" t="inlineStr">
        <is>
          <t>SÖDERMANLANDS LÄN</t>
        </is>
      </c>
      <c r="E244" t="inlineStr">
        <is>
          <t>KATRINEHOLM</t>
        </is>
      </c>
      <c r="G244" t="n">
        <v>19.4</v>
      </c>
      <c r="H244" t="n">
        <v>0</v>
      </c>
      <c r="I244" t="n">
        <v>0</v>
      </c>
      <c r="J244" t="n">
        <v>0</v>
      </c>
      <c r="K244" t="n">
        <v>0</v>
      </c>
      <c r="L244" t="n">
        <v>0</v>
      </c>
      <c r="M244" t="n">
        <v>0</v>
      </c>
      <c r="N244" t="n">
        <v>0</v>
      </c>
      <c r="O244" t="n">
        <v>0</v>
      </c>
      <c r="P244" t="n">
        <v>0</v>
      </c>
      <c r="Q244" t="n">
        <v>0</v>
      </c>
      <c r="R244" s="2" t="inlineStr"/>
    </row>
    <row r="245" ht="15" customHeight="1">
      <c r="A245" t="inlineStr">
        <is>
          <t>A 49124-2024</t>
        </is>
      </c>
      <c r="B245" s="1" t="n">
        <v>45594</v>
      </c>
      <c r="C245" s="1" t="n">
        <v>45894</v>
      </c>
      <c r="D245" t="inlineStr">
        <is>
          <t>SÖDERMANLANDS LÄN</t>
        </is>
      </c>
      <c r="E245" t="inlineStr">
        <is>
          <t>KATRINEHOLM</t>
        </is>
      </c>
      <c r="G245" t="n">
        <v>11.6</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45894</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8791-2023</t>
        </is>
      </c>
      <c r="B247" s="1" t="n">
        <v>44978</v>
      </c>
      <c r="C247" s="1" t="n">
        <v>45894</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55825-2022</t>
        </is>
      </c>
      <c r="B248" s="1" t="n">
        <v>44886</v>
      </c>
      <c r="C248" s="1" t="n">
        <v>45894</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12835-2024</t>
        </is>
      </c>
      <c r="B249" s="1" t="n">
        <v>45384</v>
      </c>
      <c r="C249" s="1" t="n">
        <v>45894</v>
      </c>
      <c r="D249" t="inlineStr">
        <is>
          <t>SÖDERMANLANDS LÄN</t>
        </is>
      </c>
      <c r="E249" t="inlineStr">
        <is>
          <t>KATRINEHOLM</t>
        </is>
      </c>
      <c r="F249" t="inlineStr">
        <is>
          <t>Allmännings- och besparingsskogar</t>
        </is>
      </c>
      <c r="G249" t="n">
        <v>0.5</v>
      </c>
      <c r="H249" t="n">
        <v>0</v>
      </c>
      <c r="I249" t="n">
        <v>0</v>
      </c>
      <c r="J249" t="n">
        <v>0</v>
      </c>
      <c r="K249" t="n">
        <v>0</v>
      </c>
      <c r="L249" t="n">
        <v>0</v>
      </c>
      <c r="M249" t="n">
        <v>0</v>
      </c>
      <c r="N249" t="n">
        <v>0</v>
      </c>
      <c r="O249" t="n">
        <v>0</v>
      </c>
      <c r="P249" t="n">
        <v>0</v>
      </c>
      <c r="Q249" t="n">
        <v>0</v>
      </c>
      <c r="R249" s="2" t="inlineStr"/>
    </row>
    <row r="250" ht="15" customHeight="1">
      <c r="A250" t="inlineStr">
        <is>
          <t>A 69600-2020</t>
        </is>
      </c>
      <c r="B250" s="1" t="n">
        <v>44195</v>
      </c>
      <c r="C250" s="1" t="n">
        <v>45894</v>
      </c>
      <c r="D250" t="inlineStr">
        <is>
          <t>SÖDERMANLANDS LÄN</t>
        </is>
      </c>
      <c r="E250" t="inlineStr">
        <is>
          <t>KATRINEHOLM</t>
        </is>
      </c>
      <c r="G250" t="n">
        <v>11.3</v>
      </c>
      <c r="H250" t="n">
        <v>0</v>
      </c>
      <c r="I250" t="n">
        <v>0</v>
      </c>
      <c r="J250" t="n">
        <v>0</v>
      </c>
      <c r="K250" t="n">
        <v>0</v>
      </c>
      <c r="L250" t="n">
        <v>0</v>
      </c>
      <c r="M250" t="n">
        <v>0</v>
      </c>
      <c r="N250" t="n">
        <v>0</v>
      </c>
      <c r="O250" t="n">
        <v>0</v>
      </c>
      <c r="P250" t="n">
        <v>0</v>
      </c>
      <c r="Q250" t="n">
        <v>0</v>
      </c>
      <c r="R250" s="2" t="inlineStr"/>
    </row>
    <row r="251" ht="15" customHeight="1">
      <c r="A251" t="inlineStr">
        <is>
          <t>A 47879-2023</t>
        </is>
      </c>
      <c r="B251" s="1" t="n">
        <v>45204</v>
      </c>
      <c r="C251" s="1" t="n">
        <v>45894</v>
      </c>
      <c r="D251" t="inlineStr">
        <is>
          <t>SÖDERMANLANDS LÄN</t>
        </is>
      </c>
      <c r="E251" t="inlineStr">
        <is>
          <t>KATRINEHOLM</t>
        </is>
      </c>
      <c r="F251" t="inlineStr">
        <is>
          <t>Övriga Aktiebolag</t>
        </is>
      </c>
      <c r="G251" t="n">
        <v>2.3</v>
      </c>
      <c r="H251" t="n">
        <v>0</v>
      </c>
      <c r="I251" t="n">
        <v>0</v>
      </c>
      <c r="J251" t="n">
        <v>0</v>
      </c>
      <c r="K251" t="n">
        <v>0</v>
      </c>
      <c r="L251" t="n">
        <v>0</v>
      </c>
      <c r="M251" t="n">
        <v>0</v>
      </c>
      <c r="N251" t="n">
        <v>0</v>
      </c>
      <c r="O251" t="n">
        <v>0</v>
      </c>
      <c r="P251" t="n">
        <v>0</v>
      </c>
      <c r="Q251" t="n">
        <v>0</v>
      </c>
      <c r="R251" s="2" t="inlineStr"/>
    </row>
    <row r="252" ht="15" customHeight="1">
      <c r="A252" t="inlineStr">
        <is>
          <t>A 61410-2024</t>
        </is>
      </c>
      <c r="B252" s="1" t="n">
        <v>45646.43950231482</v>
      </c>
      <c r="C252" s="1" t="n">
        <v>45894</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55034-2021</t>
        </is>
      </c>
      <c r="B253" s="1" t="n">
        <v>44474</v>
      </c>
      <c r="C253" s="1" t="n">
        <v>45894</v>
      </c>
      <c r="D253" t="inlineStr">
        <is>
          <t>SÖDERMANLANDS LÄN</t>
        </is>
      </c>
      <c r="E253" t="inlineStr">
        <is>
          <t>KATRINEHOLM</t>
        </is>
      </c>
      <c r="G253" t="n">
        <v>5</v>
      </c>
      <c r="H253" t="n">
        <v>0</v>
      </c>
      <c r="I253" t="n">
        <v>0</v>
      </c>
      <c r="J253" t="n">
        <v>0</v>
      </c>
      <c r="K253" t="n">
        <v>0</v>
      </c>
      <c r="L253" t="n">
        <v>0</v>
      </c>
      <c r="M253" t="n">
        <v>0</v>
      </c>
      <c r="N253" t="n">
        <v>0</v>
      </c>
      <c r="O253" t="n">
        <v>0</v>
      </c>
      <c r="P253" t="n">
        <v>0</v>
      </c>
      <c r="Q253" t="n">
        <v>0</v>
      </c>
      <c r="R253" s="2" t="inlineStr"/>
    </row>
    <row r="254" ht="15" customHeight="1">
      <c r="A254" t="inlineStr">
        <is>
          <t>A 29397-2024</t>
        </is>
      </c>
      <c r="B254" s="1" t="n">
        <v>45483</v>
      </c>
      <c r="C254" s="1" t="n">
        <v>45894</v>
      </c>
      <c r="D254" t="inlineStr">
        <is>
          <t>SÖDERMANLANDS LÄN</t>
        </is>
      </c>
      <c r="E254" t="inlineStr">
        <is>
          <t>KATRINEHOLM</t>
        </is>
      </c>
      <c r="G254" t="n">
        <v>3.4</v>
      </c>
      <c r="H254" t="n">
        <v>0</v>
      </c>
      <c r="I254" t="n">
        <v>0</v>
      </c>
      <c r="J254" t="n">
        <v>0</v>
      </c>
      <c r="K254" t="n">
        <v>0</v>
      </c>
      <c r="L254" t="n">
        <v>0</v>
      </c>
      <c r="M254" t="n">
        <v>0</v>
      </c>
      <c r="N254" t="n">
        <v>0</v>
      </c>
      <c r="O254" t="n">
        <v>0</v>
      </c>
      <c r="P254" t="n">
        <v>0</v>
      </c>
      <c r="Q254" t="n">
        <v>0</v>
      </c>
      <c r="R254" s="2" t="inlineStr"/>
    </row>
    <row r="255" ht="15" customHeight="1">
      <c r="A255" t="inlineStr">
        <is>
          <t>A 62954-2023</t>
        </is>
      </c>
      <c r="B255" s="1" t="n">
        <v>45272.55362268518</v>
      </c>
      <c r="C255" s="1" t="n">
        <v>45894</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65485-2020</t>
        </is>
      </c>
      <c r="B256" s="1" t="n">
        <v>44173</v>
      </c>
      <c r="C256" s="1" t="n">
        <v>45894</v>
      </c>
      <c r="D256" t="inlineStr">
        <is>
          <t>SÖDERMANLANDS LÄN</t>
        </is>
      </c>
      <c r="E256" t="inlineStr">
        <is>
          <t>KATRINEHOLM</t>
        </is>
      </c>
      <c r="F256" t="inlineStr">
        <is>
          <t>Holmen skog AB</t>
        </is>
      </c>
      <c r="G256" t="n">
        <v>1.3</v>
      </c>
      <c r="H256" t="n">
        <v>0</v>
      </c>
      <c r="I256" t="n">
        <v>0</v>
      </c>
      <c r="J256" t="n">
        <v>0</v>
      </c>
      <c r="K256" t="n">
        <v>0</v>
      </c>
      <c r="L256" t="n">
        <v>0</v>
      </c>
      <c r="M256" t="n">
        <v>0</v>
      </c>
      <c r="N256" t="n">
        <v>0</v>
      </c>
      <c r="O256" t="n">
        <v>0</v>
      </c>
      <c r="P256" t="n">
        <v>0</v>
      </c>
      <c r="Q256" t="n">
        <v>0</v>
      </c>
      <c r="R256" s="2" t="inlineStr"/>
    </row>
    <row r="257" ht="15" customHeight="1">
      <c r="A257" t="inlineStr">
        <is>
          <t>A 24929-2024</t>
        </is>
      </c>
      <c r="B257" s="1" t="n">
        <v>45461</v>
      </c>
      <c r="C257" s="1" t="n">
        <v>45894</v>
      </c>
      <c r="D257" t="inlineStr">
        <is>
          <t>SÖDERMANLANDS LÄN</t>
        </is>
      </c>
      <c r="E257" t="inlineStr">
        <is>
          <t>KATRINEHOLM</t>
        </is>
      </c>
      <c r="G257" t="n">
        <v>7.6</v>
      </c>
      <c r="H257" t="n">
        <v>0</v>
      </c>
      <c r="I257" t="n">
        <v>0</v>
      </c>
      <c r="J257" t="n">
        <v>0</v>
      </c>
      <c r="K257" t="n">
        <v>0</v>
      </c>
      <c r="L257" t="n">
        <v>0</v>
      </c>
      <c r="M257" t="n">
        <v>0</v>
      </c>
      <c r="N257" t="n">
        <v>0</v>
      </c>
      <c r="O257" t="n">
        <v>0</v>
      </c>
      <c r="P257" t="n">
        <v>0</v>
      </c>
      <c r="Q257" t="n">
        <v>0</v>
      </c>
      <c r="R257" s="2" t="inlineStr"/>
    </row>
    <row r="258" ht="15" customHeight="1">
      <c r="A258" t="inlineStr">
        <is>
          <t>A 7191-2023</t>
        </is>
      </c>
      <c r="B258" s="1" t="n">
        <v>44965</v>
      </c>
      <c r="C258" s="1" t="n">
        <v>45894</v>
      </c>
      <c r="D258" t="inlineStr">
        <is>
          <t>SÖDERMANLANDS LÄN</t>
        </is>
      </c>
      <c r="E258" t="inlineStr">
        <is>
          <t>KATRINEHOLM</t>
        </is>
      </c>
      <c r="G258" t="n">
        <v>14.1</v>
      </c>
      <c r="H258" t="n">
        <v>0</v>
      </c>
      <c r="I258" t="n">
        <v>0</v>
      </c>
      <c r="J258" t="n">
        <v>0</v>
      </c>
      <c r="K258" t="n">
        <v>0</v>
      </c>
      <c r="L258" t="n">
        <v>0</v>
      </c>
      <c r="M258" t="n">
        <v>0</v>
      </c>
      <c r="N258" t="n">
        <v>0</v>
      </c>
      <c r="O258" t="n">
        <v>0</v>
      </c>
      <c r="P258" t="n">
        <v>0</v>
      </c>
      <c r="Q258" t="n">
        <v>0</v>
      </c>
      <c r="R258" s="2" t="inlineStr"/>
    </row>
    <row r="259" ht="15" customHeight="1">
      <c r="A259" t="inlineStr">
        <is>
          <t>A 6807-2023</t>
        </is>
      </c>
      <c r="B259" s="1" t="n">
        <v>44964</v>
      </c>
      <c r="C259" s="1" t="n">
        <v>45894</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6091-2025</t>
        </is>
      </c>
      <c r="B260" s="1" t="n">
        <v>45697</v>
      </c>
      <c r="C260" s="1" t="n">
        <v>45894</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6093-2025</t>
        </is>
      </c>
      <c r="B261" s="1" t="n">
        <v>45697</v>
      </c>
      <c r="C261" s="1" t="n">
        <v>45894</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24179-2024</t>
        </is>
      </c>
      <c r="B262" s="1" t="n">
        <v>45456.83059027778</v>
      </c>
      <c r="C262" s="1" t="n">
        <v>45894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37834-2023</t>
        </is>
      </c>
      <c r="B263" s="1" t="n">
        <v>45160</v>
      </c>
      <c r="C263" s="1" t="n">
        <v>45894</v>
      </c>
      <c r="D263" t="inlineStr">
        <is>
          <t>SÖDERMANLANDS LÄN</t>
        </is>
      </c>
      <c r="E263" t="inlineStr">
        <is>
          <t>KATRINEHOLM</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36210-2022</t>
        </is>
      </c>
      <c r="B264" s="1" t="n">
        <v>44803.47950231482</v>
      </c>
      <c r="C264" s="1" t="n">
        <v>45894</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19685-2022</t>
        </is>
      </c>
      <c r="B265" s="1" t="n">
        <v>44694</v>
      </c>
      <c r="C265" s="1" t="n">
        <v>45894</v>
      </c>
      <c r="D265" t="inlineStr">
        <is>
          <t>SÖDERMANLANDS LÄN</t>
        </is>
      </c>
      <c r="E265" t="inlineStr">
        <is>
          <t>KATRINEHOLM</t>
        </is>
      </c>
      <c r="G265" t="n">
        <v>1.7</v>
      </c>
      <c r="H265" t="n">
        <v>0</v>
      </c>
      <c r="I265" t="n">
        <v>0</v>
      </c>
      <c r="J265" t="n">
        <v>0</v>
      </c>
      <c r="K265" t="n">
        <v>0</v>
      </c>
      <c r="L265" t="n">
        <v>0</v>
      </c>
      <c r="M265" t="n">
        <v>0</v>
      </c>
      <c r="N265" t="n">
        <v>0</v>
      </c>
      <c r="O265" t="n">
        <v>0</v>
      </c>
      <c r="P265" t="n">
        <v>0</v>
      </c>
      <c r="Q265" t="n">
        <v>0</v>
      </c>
      <c r="R265" s="2" t="inlineStr"/>
    </row>
    <row r="266" ht="15" customHeight="1">
      <c r="A266" t="inlineStr">
        <is>
          <t>A 8951-2024</t>
        </is>
      </c>
      <c r="B266" s="1" t="n">
        <v>45357.44695601852</v>
      </c>
      <c r="C266" s="1" t="n">
        <v>45894</v>
      </c>
      <c r="D266" t="inlineStr">
        <is>
          <t>SÖDERMANLANDS LÄN</t>
        </is>
      </c>
      <c r="E266" t="inlineStr">
        <is>
          <t>KATRINEHOLM</t>
        </is>
      </c>
      <c r="G266" t="n">
        <v>3.3</v>
      </c>
      <c r="H266" t="n">
        <v>0</v>
      </c>
      <c r="I266" t="n">
        <v>0</v>
      </c>
      <c r="J266" t="n">
        <v>0</v>
      </c>
      <c r="K266" t="n">
        <v>0</v>
      </c>
      <c r="L266" t="n">
        <v>0</v>
      </c>
      <c r="M266" t="n">
        <v>0</v>
      </c>
      <c r="N266" t="n">
        <v>0</v>
      </c>
      <c r="O266" t="n">
        <v>0</v>
      </c>
      <c r="P266" t="n">
        <v>0</v>
      </c>
      <c r="Q266" t="n">
        <v>0</v>
      </c>
      <c r="R266" s="2" t="inlineStr"/>
    </row>
    <row r="267" ht="15" customHeight="1">
      <c r="A267" t="inlineStr">
        <is>
          <t>A 30276-2023</t>
        </is>
      </c>
      <c r="B267" s="1" t="n">
        <v>45110</v>
      </c>
      <c r="C267" s="1" t="n">
        <v>45894</v>
      </c>
      <c r="D267" t="inlineStr">
        <is>
          <t>SÖDERMANLANDS LÄN</t>
        </is>
      </c>
      <c r="E267" t="inlineStr">
        <is>
          <t>KATRINEHOLM</t>
        </is>
      </c>
      <c r="G267" t="n">
        <v>2.3</v>
      </c>
      <c r="H267" t="n">
        <v>0</v>
      </c>
      <c r="I267" t="n">
        <v>0</v>
      </c>
      <c r="J267" t="n">
        <v>0</v>
      </c>
      <c r="K267" t="n">
        <v>0</v>
      </c>
      <c r="L267" t="n">
        <v>0</v>
      </c>
      <c r="M267" t="n">
        <v>0</v>
      </c>
      <c r="N267" t="n">
        <v>0</v>
      </c>
      <c r="O267" t="n">
        <v>0</v>
      </c>
      <c r="P267" t="n">
        <v>0</v>
      </c>
      <c r="Q267" t="n">
        <v>0</v>
      </c>
      <c r="R267" s="2" t="inlineStr"/>
    </row>
    <row r="268" ht="15" customHeight="1">
      <c r="A268" t="inlineStr">
        <is>
          <t>A 14224-2024</t>
        </is>
      </c>
      <c r="B268" s="1" t="n">
        <v>45393</v>
      </c>
      <c r="C268" s="1" t="n">
        <v>45894</v>
      </c>
      <c r="D268" t="inlineStr">
        <is>
          <t>SÖDERMANLANDS LÄN</t>
        </is>
      </c>
      <c r="E268" t="inlineStr">
        <is>
          <t>KATRINEHOLM</t>
        </is>
      </c>
      <c r="F268" t="inlineStr">
        <is>
          <t>Sveaskog</t>
        </is>
      </c>
      <c r="G268" t="n">
        <v>7.6</v>
      </c>
      <c r="H268" t="n">
        <v>0</v>
      </c>
      <c r="I268" t="n">
        <v>0</v>
      </c>
      <c r="J268" t="n">
        <v>0</v>
      </c>
      <c r="K268" t="n">
        <v>0</v>
      </c>
      <c r="L268" t="n">
        <v>0</v>
      </c>
      <c r="M268" t="n">
        <v>0</v>
      </c>
      <c r="N268" t="n">
        <v>0</v>
      </c>
      <c r="O268" t="n">
        <v>0</v>
      </c>
      <c r="P268" t="n">
        <v>0</v>
      </c>
      <c r="Q268" t="n">
        <v>0</v>
      </c>
      <c r="R268" s="2" t="inlineStr"/>
    </row>
    <row r="269" ht="15" customHeight="1">
      <c r="A269" t="inlineStr">
        <is>
          <t>A 44989-2022</t>
        </is>
      </c>
      <c r="B269" s="1" t="n">
        <v>44840</v>
      </c>
      <c r="C269" s="1" t="n">
        <v>45894</v>
      </c>
      <c r="D269" t="inlineStr">
        <is>
          <t>SÖDERMANLANDS LÄN</t>
        </is>
      </c>
      <c r="E269" t="inlineStr">
        <is>
          <t>KATRINEHOLM</t>
        </is>
      </c>
      <c r="G269" t="n">
        <v>6</v>
      </c>
      <c r="H269" t="n">
        <v>0</v>
      </c>
      <c r="I269" t="n">
        <v>0</v>
      </c>
      <c r="J269" t="n">
        <v>0</v>
      </c>
      <c r="K269" t="n">
        <v>0</v>
      </c>
      <c r="L269" t="n">
        <v>0</v>
      </c>
      <c r="M269" t="n">
        <v>0</v>
      </c>
      <c r="N269" t="n">
        <v>0</v>
      </c>
      <c r="O269" t="n">
        <v>0</v>
      </c>
      <c r="P269" t="n">
        <v>0</v>
      </c>
      <c r="Q269" t="n">
        <v>0</v>
      </c>
      <c r="R269" s="2" t="inlineStr"/>
    </row>
    <row r="270" ht="15" customHeight="1">
      <c r="A270" t="inlineStr">
        <is>
          <t>A 57263-2022</t>
        </is>
      </c>
      <c r="B270" s="1" t="n">
        <v>44895</v>
      </c>
      <c r="C270" s="1" t="n">
        <v>45894</v>
      </c>
      <c r="D270" t="inlineStr">
        <is>
          <t>SÖDERMANLANDS LÄN</t>
        </is>
      </c>
      <c r="E270" t="inlineStr">
        <is>
          <t>KATRINEHOLM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42791-2023</t>
        </is>
      </c>
      <c r="B271" s="1" t="n">
        <v>45181.92876157408</v>
      </c>
      <c r="C271" s="1" t="n">
        <v>45894</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42792-2023</t>
        </is>
      </c>
      <c r="B272" s="1" t="n">
        <v>45181.95491898148</v>
      </c>
      <c r="C272" s="1" t="n">
        <v>45894</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32786-2022</t>
        </is>
      </c>
      <c r="B273" s="1" t="n">
        <v>44784</v>
      </c>
      <c r="C273" s="1" t="n">
        <v>45894</v>
      </c>
      <c r="D273" t="inlineStr">
        <is>
          <t>SÖDERMANLANDS LÄN</t>
        </is>
      </c>
      <c r="E273" t="inlineStr">
        <is>
          <t>KATRINEHOLM</t>
        </is>
      </c>
      <c r="G273" t="n">
        <v>7</v>
      </c>
      <c r="H273" t="n">
        <v>0</v>
      </c>
      <c r="I273" t="n">
        <v>0</v>
      </c>
      <c r="J273" t="n">
        <v>0</v>
      </c>
      <c r="K273" t="n">
        <v>0</v>
      </c>
      <c r="L273" t="n">
        <v>0</v>
      </c>
      <c r="M273" t="n">
        <v>0</v>
      </c>
      <c r="N273" t="n">
        <v>0</v>
      </c>
      <c r="O273" t="n">
        <v>0</v>
      </c>
      <c r="P273" t="n">
        <v>0</v>
      </c>
      <c r="Q273" t="n">
        <v>0</v>
      </c>
      <c r="R273" s="2" t="inlineStr"/>
    </row>
    <row r="274" ht="15" customHeight="1">
      <c r="A274" t="inlineStr">
        <is>
          <t>A 65077-2020</t>
        </is>
      </c>
      <c r="B274" s="1" t="n">
        <v>44172</v>
      </c>
      <c r="C274" s="1" t="n">
        <v>45894</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49218-2023</t>
        </is>
      </c>
      <c r="B275" s="1" t="n">
        <v>45205</v>
      </c>
      <c r="C275" s="1" t="n">
        <v>45894</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42025-2022</t>
        </is>
      </c>
      <c r="B276" s="1" t="n">
        <v>44830.47399305556</v>
      </c>
      <c r="C276" s="1" t="n">
        <v>45894</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13658-2023</t>
        </is>
      </c>
      <c r="B277" s="1" t="n">
        <v>45006</v>
      </c>
      <c r="C277" s="1" t="n">
        <v>45894</v>
      </c>
      <c r="D277" t="inlineStr">
        <is>
          <t>SÖDERMANLANDS LÄN</t>
        </is>
      </c>
      <c r="E277" t="inlineStr">
        <is>
          <t>KATRINEHOLM</t>
        </is>
      </c>
      <c r="F277" t="inlineStr">
        <is>
          <t>Kyrkan</t>
        </is>
      </c>
      <c r="G277" t="n">
        <v>24.3</v>
      </c>
      <c r="H277" t="n">
        <v>0</v>
      </c>
      <c r="I277" t="n">
        <v>0</v>
      </c>
      <c r="J277" t="n">
        <v>0</v>
      </c>
      <c r="K277" t="n">
        <v>0</v>
      </c>
      <c r="L277" t="n">
        <v>0</v>
      </c>
      <c r="M277" t="n">
        <v>0</v>
      </c>
      <c r="N277" t="n">
        <v>0</v>
      </c>
      <c r="O277" t="n">
        <v>0</v>
      </c>
      <c r="P277" t="n">
        <v>0</v>
      </c>
      <c r="Q277" t="n">
        <v>0</v>
      </c>
      <c r="R277" s="2" t="inlineStr"/>
    </row>
    <row r="278" ht="15" customHeight="1">
      <c r="A278" t="inlineStr">
        <is>
          <t>A 4679-2023</t>
        </is>
      </c>
      <c r="B278" s="1" t="n">
        <v>44957.44885416667</v>
      </c>
      <c r="C278" s="1" t="n">
        <v>45894</v>
      </c>
      <c r="D278" t="inlineStr">
        <is>
          <t>SÖDERMANLANDS LÄN</t>
        </is>
      </c>
      <c r="E278" t="inlineStr">
        <is>
          <t>KATRINEHOLM</t>
        </is>
      </c>
      <c r="G278" t="n">
        <v>5.3</v>
      </c>
      <c r="H278" t="n">
        <v>0</v>
      </c>
      <c r="I278" t="n">
        <v>0</v>
      </c>
      <c r="J278" t="n">
        <v>0</v>
      </c>
      <c r="K278" t="n">
        <v>0</v>
      </c>
      <c r="L278" t="n">
        <v>0</v>
      </c>
      <c r="M278" t="n">
        <v>0</v>
      </c>
      <c r="N278" t="n">
        <v>0</v>
      </c>
      <c r="O278" t="n">
        <v>0</v>
      </c>
      <c r="P278" t="n">
        <v>0</v>
      </c>
      <c r="Q278" t="n">
        <v>0</v>
      </c>
      <c r="R278" s="2" t="inlineStr"/>
    </row>
    <row r="279" ht="15" customHeight="1">
      <c r="A279" t="inlineStr">
        <is>
          <t>A 7459-2022</t>
        </is>
      </c>
      <c r="B279" s="1" t="n">
        <v>44607.35009259259</v>
      </c>
      <c r="C279" s="1" t="n">
        <v>45894</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2320-2023</t>
        </is>
      </c>
      <c r="B280" s="1" t="n">
        <v>44942.58850694444</v>
      </c>
      <c r="C280" s="1" t="n">
        <v>45894</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2325-2023</t>
        </is>
      </c>
      <c r="B281" s="1" t="n">
        <v>44942</v>
      </c>
      <c r="C281" s="1" t="n">
        <v>45894</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45894</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45894</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49112-2024</t>
        </is>
      </c>
      <c r="B284" s="1" t="n">
        <v>45594.65637731482</v>
      </c>
      <c r="C284" s="1" t="n">
        <v>45894</v>
      </c>
      <c r="D284" t="inlineStr">
        <is>
          <t>SÖDERMANLANDS LÄN</t>
        </is>
      </c>
      <c r="E284" t="inlineStr">
        <is>
          <t>KATRINEHOLM</t>
        </is>
      </c>
      <c r="G284" t="n">
        <v>3.6</v>
      </c>
      <c r="H284" t="n">
        <v>0</v>
      </c>
      <c r="I284" t="n">
        <v>0</v>
      </c>
      <c r="J284" t="n">
        <v>0</v>
      </c>
      <c r="K284" t="n">
        <v>0</v>
      </c>
      <c r="L284" t="n">
        <v>0</v>
      </c>
      <c r="M284" t="n">
        <v>0</v>
      </c>
      <c r="N284" t="n">
        <v>0</v>
      </c>
      <c r="O284" t="n">
        <v>0</v>
      </c>
      <c r="P284" t="n">
        <v>0</v>
      </c>
      <c r="Q284" t="n">
        <v>0</v>
      </c>
      <c r="R284" s="2" t="inlineStr"/>
    </row>
    <row r="285" ht="15" customHeight="1">
      <c r="A285" t="inlineStr">
        <is>
          <t>A 34731-2023</t>
        </is>
      </c>
      <c r="B285" s="1" t="n">
        <v>45141</v>
      </c>
      <c r="C285" s="1" t="n">
        <v>45894</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55732-2023</t>
        </is>
      </c>
      <c r="B286" s="1" t="n">
        <v>45239</v>
      </c>
      <c r="C286" s="1" t="n">
        <v>45894</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38826-2021</t>
        </is>
      </c>
      <c r="B287" s="1" t="n">
        <v>44411</v>
      </c>
      <c r="C287" s="1" t="n">
        <v>45894</v>
      </c>
      <c r="D287" t="inlineStr">
        <is>
          <t>SÖDERMANLANDS LÄN</t>
        </is>
      </c>
      <c r="E287" t="inlineStr">
        <is>
          <t>KATRINEHOLM</t>
        </is>
      </c>
      <c r="G287" t="n">
        <v>3.1</v>
      </c>
      <c r="H287" t="n">
        <v>0</v>
      </c>
      <c r="I287" t="n">
        <v>0</v>
      </c>
      <c r="J287" t="n">
        <v>0</v>
      </c>
      <c r="K287" t="n">
        <v>0</v>
      </c>
      <c r="L287" t="n">
        <v>0</v>
      </c>
      <c r="M287" t="n">
        <v>0</v>
      </c>
      <c r="N287" t="n">
        <v>0</v>
      </c>
      <c r="O287" t="n">
        <v>0</v>
      </c>
      <c r="P287" t="n">
        <v>0</v>
      </c>
      <c r="Q287" t="n">
        <v>0</v>
      </c>
      <c r="R287" s="2" t="inlineStr"/>
    </row>
    <row r="288" ht="15" customHeight="1">
      <c r="A288" t="inlineStr">
        <is>
          <t>A 11875-2023</t>
        </is>
      </c>
      <c r="B288" s="1" t="n">
        <v>44995</v>
      </c>
      <c r="C288" s="1" t="n">
        <v>45894</v>
      </c>
      <c r="D288" t="inlineStr">
        <is>
          <t>SÖDERMANLANDS LÄN</t>
        </is>
      </c>
      <c r="E288" t="inlineStr">
        <is>
          <t>KATRINEHOLM</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6808-2023</t>
        </is>
      </c>
      <c r="B289" s="1" t="n">
        <v>44964</v>
      </c>
      <c r="C289" s="1" t="n">
        <v>45894</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51128-2021</t>
        </is>
      </c>
      <c r="B290" s="1" t="n">
        <v>44460</v>
      </c>
      <c r="C290" s="1" t="n">
        <v>45894</v>
      </c>
      <c r="D290" t="inlineStr">
        <is>
          <t>SÖDERMANLANDS LÄN</t>
        </is>
      </c>
      <c r="E290" t="inlineStr">
        <is>
          <t>KATRINEHOLM</t>
        </is>
      </c>
      <c r="G290" t="n">
        <v>7.8</v>
      </c>
      <c r="H290" t="n">
        <v>0</v>
      </c>
      <c r="I290" t="n">
        <v>0</v>
      </c>
      <c r="J290" t="n">
        <v>0</v>
      </c>
      <c r="K290" t="n">
        <v>0</v>
      </c>
      <c r="L290" t="n">
        <v>0</v>
      </c>
      <c r="M290" t="n">
        <v>0</v>
      </c>
      <c r="N290" t="n">
        <v>0</v>
      </c>
      <c r="O290" t="n">
        <v>0</v>
      </c>
      <c r="P290" t="n">
        <v>0</v>
      </c>
      <c r="Q290" t="n">
        <v>0</v>
      </c>
      <c r="R290" s="2" t="inlineStr"/>
    </row>
    <row r="291" ht="15" customHeight="1">
      <c r="A291" t="inlineStr">
        <is>
          <t>A 51264-2021</t>
        </is>
      </c>
      <c r="B291" s="1" t="n">
        <v>44461</v>
      </c>
      <c r="C291" s="1" t="n">
        <v>45894</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23207-2023</t>
        </is>
      </c>
      <c r="B292" s="1" t="n">
        <v>45071</v>
      </c>
      <c r="C292" s="1" t="n">
        <v>45894</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5935-2023</t>
        </is>
      </c>
      <c r="B293" s="1" t="n">
        <v>44963</v>
      </c>
      <c r="C293" s="1" t="n">
        <v>45894</v>
      </c>
      <c r="D293" t="inlineStr">
        <is>
          <t>SÖDERMANLANDS LÄN</t>
        </is>
      </c>
      <c r="E293" t="inlineStr">
        <is>
          <t>KATRINEHOLM</t>
        </is>
      </c>
      <c r="G293" t="n">
        <v>1.5</v>
      </c>
      <c r="H293" t="n">
        <v>0</v>
      </c>
      <c r="I293" t="n">
        <v>0</v>
      </c>
      <c r="J293" t="n">
        <v>0</v>
      </c>
      <c r="K293" t="n">
        <v>0</v>
      </c>
      <c r="L293" t="n">
        <v>0</v>
      </c>
      <c r="M293" t="n">
        <v>0</v>
      </c>
      <c r="N293" t="n">
        <v>0</v>
      </c>
      <c r="O293" t="n">
        <v>0</v>
      </c>
      <c r="P293" t="n">
        <v>0</v>
      </c>
      <c r="Q293" t="n">
        <v>0</v>
      </c>
      <c r="R293" s="2" t="inlineStr"/>
    </row>
    <row r="294" ht="15" customHeight="1">
      <c r="A294" t="inlineStr">
        <is>
          <t>A 11104-2023</t>
        </is>
      </c>
      <c r="B294" s="1" t="n">
        <v>44992</v>
      </c>
      <c r="C294" s="1" t="n">
        <v>45894</v>
      </c>
      <c r="D294" t="inlineStr">
        <is>
          <t>SÖDERMANLANDS LÄN</t>
        </is>
      </c>
      <c r="E294" t="inlineStr">
        <is>
          <t>KATRINEHOLM</t>
        </is>
      </c>
      <c r="F294" t="inlineStr">
        <is>
          <t>Allmännings- och besparingsskogar</t>
        </is>
      </c>
      <c r="G294" t="n">
        <v>7.8</v>
      </c>
      <c r="H294" t="n">
        <v>0</v>
      </c>
      <c r="I294" t="n">
        <v>0</v>
      </c>
      <c r="J294" t="n">
        <v>0</v>
      </c>
      <c r="K294" t="n">
        <v>0</v>
      </c>
      <c r="L294" t="n">
        <v>0</v>
      </c>
      <c r="M294" t="n">
        <v>0</v>
      </c>
      <c r="N294" t="n">
        <v>0</v>
      </c>
      <c r="O294" t="n">
        <v>0</v>
      </c>
      <c r="P294" t="n">
        <v>0</v>
      </c>
      <c r="Q294" t="n">
        <v>0</v>
      </c>
      <c r="R294" s="2" t="inlineStr"/>
    </row>
    <row r="295" ht="15" customHeight="1">
      <c r="A295" t="inlineStr">
        <is>
          <t>A 17792-2025</t>
        </is>
      </c>
      <c r="B295" s="1" t="n">
        <v>45758</v>
      </c>
      <c r="C295" s="1" t="n">
        <v>45894</v>
      </c>
      <c r="D295" t="inlineStr">
        <is>
          <t>SÖDERMANLANDS LÄN</t>
        </is>
      </c>
      <c r="E295" t="inlineStr">
        <is>
          <t>KATRINEHOLM</t>
        </is>
      </c>
      <c r="G295" t="n">
        <v>4.2</v>
      </c>
      <c r="H295" t="n">
        <v>0</v>
      </c>
      <c r="I295" t="n">
        <v>0</v>
      </c>
      <c r="J295" t="n">
        <v>0</v>
      </c>
      <c r="K295" t="n">
        <v>0</v>
      </c>
      <c r="L295" t="n">
        <v>0</v>
      </c>
      <c r="M295" t="n">
        <v>0</v>
      </c>
      <c r="N295" t="n">
        <v>0</v>
      </c>
      <c r="O295" t="n">
        <v>0</v>
      </c>
      <c r="P295" t="n">
        <v>0</v>
      </c>
      <c r="Q295" t="n">
        <v>0</v>
      </c>
      <c r="R295" s="2" t="inlineStr"/>
    </row>
    <row r="296" ht="15" customHeight="1">
      <c r="A296" t="inlineStr">
        <is>
          <t>A 32890-2024</t>
        </is>
      </c>
      <c r="B296" s="1" t="n">
        <v>45516</v>
      </c>
      <c r="C296" s="1" t="n">
        <v>45894</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40159-2023</t>
        </is>
      </c>
      <c r="B297" s="1" t="n">
        <v>45169</v>
      </c>
      <c r="C297" s="1" t="n">
        <v>45894</v>
      </c>
      <c r="D297" t="inlineStr">
        <is>
          <t>SÖDERMANLANDS LÄN</t>
        </is>
      </c>
      <c r="E297" t="inlineStr">
        <is>
          <t>KATRINEHOLM</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36562-2023</t>
        </is>
      </c>
      <c r="B298" s="1" t="n">
        <v>45153</v>
      </c>
      <c r="C298" s="1" t="n">
        <v>45894</v>
      </c>
      <c r="D298" t="inlineStr">
        <is>
          <t>SÖDERMANLANDS LÄN</t>
        </is>
      </c>
      <c r="E298" t="inlineStr">
        <is>
          <t>KATRINEHOLM</t>
        </is>
      </c>
      <c r="G298" t="n">
        <v>5.8</v>
      </c>
      <c r="H298" t="n">
        <v>0</v>
      </c>
      <c r="I298" t="n">
        <v>0</v>
      </c>
      <c r="J298" t="n">
        <v>0</v>
      </c>
      <c r="K298" t="n">
        <v>0</v>
      </c>
      <c r="L298" t="n">
        <v>0</v>
      </c>
      <c r="M298" t="n">
        <v>0</v>
      </c>
      <c r="N298" t="n">
        <v>0</v>
      </c>
      <c r="O298" t="n">
        <v>0</v>
      </c>
      <c r="P298" t="n">
        <v>0</v>
      </c>
      <c r="Q298" t="n">
        <v>0</v>
      </c>
      <c r="R298" s="2" t="inlineStr"/>
    </row>
    <row r="299" ht="15" customHeight="1">
      <c r="A299" t="inlineStr">
        <is>
          <t>A 4872-2024</t>
        </is>
      </c>
      <c r="B299" s="1" t="n">
        <v>45329</v>
      </c>
      <c r="C299" s="1" t="n">
        <v>45894</v>
      </c>
      <c r="D299" t="inlineStr">
        <is>
          <t>SÖDERMANLANDS LÄN</t>
        </is>
      </c>
      <c r="E299" t="inlineStr">
        <is>
          <t>KATRINEHOLM</t>
        </is>
      </c>
      <c r="G299" t="n">
        <v>0.5</v>
      </c>
      <c r="H299" t="n">
        <v>0</v>
      </c>
      <c r="I299" t="n">
        <v>0</v>
      </c>
      <c r="J299" t="n">
        <v>0</v>
      </c>
      <c r="K299" t="n">
        <v>0</v>
      </c>
      <c r="L299" t="n">
        <v>0</v>
      </c>
      <c r="M299" t="n">
        <v>0</v>
      </c>
      <c r="N299" t="n">
        <v>0</v>
      </c>
      <c r="O299" t="n">
        <v>0</v>
      </c>
      <c r="P299" t="n">
        <v>0</v>
      </c>
      <c r="Q299" t="n">
        <v>0</v>
      </c>
      <c r="R299" s="2" t="inlineStr"/>
    </row>
    <row r="300" ht="15" customHeight="1">
      <c r="A300" t="inlineStr">
        <is>
          <t>A 58473-2021</t>
        </is>
      </c>
      <c r="B300" s="1" t="n">
        <v>44488</v>
      </c>
      <c r="C300" s="1" t="n">
        <v>45894</v>
      </c>
      <c r="D300" t="inlineStr">
        <is>
          <t>SÖDERMANLANDS LÄN</t>
        </is>
      </c>
      <c r="E300" t="inlineStr">
        <is>
          <t>KATRINEHOLM</t>
        </is>
      </c>
      <c r="G300" t="n">
        <v>0.5</v>
      </c>
      <c r="H300" t="n">
        <v>0</v>
      </c>
      <c r="I300" t="n">
        <v>0</v>
      </c>
      <c r="J300" t="n">
        <v>0</v>
      </c>
      <c r="K300" t="n">
        <v>0</v>
      </c>
      <c r="L300" t="n">
        <v>0</v>
      </c>
      <c r="M300" t="n">
        <v>0</v>
      </c>
      <c r="N300" t="n">
        <v>0</v>
      </c>
      <c r="O300" t="n">
        <v>0</v>
      </c>
      <c r="P300" t="n">
        <v>0</v>
      </c>
      <c r="Q300" t="n">
        <v>0</v>
      </c>
      <c r="R300" s="2" t="inlineStr"/>
    </row>
    <row r="301" ht="15" customHeight="1">
      <c r="A301" t="inlineStr">
        <is>
          <t>A 39704-2023</t>
        </is>
      </c>
      <c r="B301" s="1" t="n">
        <v>45167</v>
      </c>
      <c r="C301" s="1" t="n">
        <v>45894</v>
      </c>
      <c r="D301" t="inlineStr">
        <is>
          <t>SÖDERMANLANDS LÄN</t>
        </is>
      </c>
      <c r="E301" t="inlineStr">
        <is>
          <t>KATRINEHOLM</t>
        </is>
      </c>
      <c r="F301" t="inlineStr">
        <is>
          <t>Övriga Aktiebolag</t>
        </is>
      </c>
      <c r="G301" t="n">
        <v>3.4</v>
      </c>
      <c r="H301" t="n">
        <v>0</v>
      </c>
      <c r="I301" t="n">
        <v>0</v>
      </c>
      <c r="J301" t="n">
        <v>0</v>
      </c>
      <c r="K301" t="n">
        <v>0</v>
      </c>
      <c r="L301" t="n">
        <v>0</v>
      </c>
      <c r="M301" t="n">
        <v>0</v>
      </c>
      <c r="N301" t="n">
        <v>0</v>
      </c>
      <c r="O301" t="n">
        <v>0</v>
      </c>
      <c r="P301" t="n">
        <v>0</v>
      </c>
      <c r="Q301" t="n">
        <v>0</v>
      </c>
      <c r="R301" s="2" t="inlineStr"/>
    </row>
    <row r="302" ht="15" customHeight="1">
      <c r="A302" t="inlineStr">
        <is>
          <t>A 6611-2023</t>
        </is>
      </c>
      <c r="B302" s="1" t="n">
        <v>44963</v>
      </c>
      <c r="C302" s="1" t="n">
        <v>45894</v>
      </c>
      <c r="D302" t="inlineStr">
        <is>
          <t>SÖDERMANLANDS LÄN</t>
        </is>
      </c>
      <c r="E302" t="inlineStr">
        <is>
          <t>KATRINEHOLM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25823-2023</t>
        </is>
      </c>
      <c r="B303" s="1" t="n">
        <v>45090.55078703703</v>
      </c>
      <c r="C303" s="1" t="n">
        <v>45894</v>
      </c>
      <c r="D303" t="inlineStr">
        <is>
          <t>SÖDERMANLANDS LÄN</t>
        </is>
      </c>
      <c r="E303" t="inlineStr">
        <is>
          <t>KATRINEHOLM</t>
        </is>
      </c>
      <c r="F303" t="inlineStr">
        <is>
          <t>Kyrkan</t>
        </is>
      </c>
      <c r="G303" t="n">
        <v>10.2</v>
      </c>
      <c r="H303" t="n">
        <v>0</v>
      </c>
      <c r="I303" t="n">
        <v>0</v>
      </c>
      <c r="J303" t="n">
        <v>0</v>
      </c>
      <c r="K303" t="n">
        <v>0</v>
      </c>
      <c r="L303" t="n">
        <v>0</v>
      </c>
      <c r="M303" t="n">
        <v>0</v>
      </c>
      <c r="N303" t="n">
        <v>0</v>
      </c>
      <c r="O303" t="n">
        <v>0</v>
      </c>
      <c r="P303" t="n">
        <v>0</v>
      </c>
      <c r="Q303" t="n">
        <v>0</v>
      </c>
      <c r="R303" s="2" t="inlineStr"/>
    </row>
    <row r="304" ht="15" customHeight="1">
      <c r="A304" t="inlineStr">
        <is>
          <t>A 61398-2024</t>
        </is>
      </c>
      <c r="B304" s="1" t="n">
        <v>45646.42608796297</v>
      </c>
      <c r="C304" s="1" t="n">
        <v>45894</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20480-2022</t>
        </is>
      </c>
      <c r="B305" s="1" t="n">
        <v>44699</v>
      </c>
      <c r="C305" s="1" t="n">
        <v>45894</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15235-2023</t>
        </is>
      </c>
      <c r="B306" s="1" t="n">
        <v>45019</v>
      </c>
      <c r="C306" s="1" t="n">
        <v>45894</v>
      </c>
      <c r="D306" t="inlineStr">
        <is>
          <t>SÖDERMANLANDS LÄN</t>
        </is>
      </c>
      <c r="E306" t="inlineStr">
        <is>
          <t>KATRINEHOLM</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3060-2022</t>
        </is>
      </c>
      <c r="B307" s="1" t="n">
        <v>44582.40109953703</v>
      </c>
      <c r="C307" s="1" t="n">
        <v>45894</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53860-2021</t>
        </is>
      </c>
      <c r="B308" s="1" t="n">
        <v>44467</v>
      </c>
      <c r="C308" s="1" t="n">
        <v>45894</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24748-2024</t>
        </is>
      </c>
      <c r="B309" s="1" t="n">
        <v>45460.66567129629</v>
      </c>
      <c r="C309" s="1" t="n">
        <v>45894</v>
      </c>
      <c r="D309" t="inlineStr">
        <is>
          <t>SÖDERMANLANDS LÄN</t>
        </is>
      </c>
      <c r="E309" t="inlineStr">
        <is>
          <t>KATRINEHOLM</t>
        </is>
      </c>
      <c r="G309" t="n">
        <v>3.3</v>
      </c>
      <c r="H309" t="n">
        <v>0</v>
      </c>
      <c r="I309" t="n">
        <v>0</v>
      </c>
      <c r="J309" t="n">
        <v>0</v>
      </c>
      <c r="K309" t="n">
        <v>0</v>
      </c>
      <c r="L309" t="n">
        <v>0</v>
      </c>
      <c r="M309" t="n">
        <v>0</v>
      </c>
      <c r="N309" t="n">
        <v>0</v>
      </c>
      <c r="O309" t="n">
        <v>0</v>
      </c>
      <c r="P309" t="n">
        <v>0</v>
      </c>
      <c r="Q309" t="n">
        <v>0</v>
      </c>
      <c r="R309" s="2" t="inlineStr"/>
    </row>
    <row r="310" ht="15" customHeight="1">
      <c r="A310" t="inlineStr">
        <is>
          <t>A 20533-2023</t>
        </is>
      </c>
      <c r="B310" s="1" t="n">
        <v>45057</v>
      </c>
      <c r="C310" s="1" t="n">
        <v>45894</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c r="T310">
        <f>HYPERLINK("https://klasma.github.io/Logging_0483/kartor/A 20533-2023 karta.png", "A 20533-2023")</f>
        <v/>
      </c>
      <c r="V310">
        <f>HYPERLINK("https://klasma.github.io/Logging_0483/klagomål/A 20533-2023 FSC-klagomål.docx", "A 20533-2023")</f>
        <v/>
      </c>
      <c r="W310">
        <f>HYPERLINK("https://klasma.github.io/Logging_0483/klagomålsmail/A 20533-2023 FSC-klagomål mail.docx", "A 20533-2023")</f>
        <v/>
      </c>
      <c r="X310">
        <f>HYPERLINK("https://klasma.github.io/Logging_0483/tillsyn/A 20533-2023 tillsynsbegäran.docx", "A 20533-2023")</f>
        <v/>
      </c>
      <c r="Y310">
        <f>HYPERLINK("https://klasma.github.io/Logging_0483/tillsynsmail/A 20533-2023 tillsynsbegäran mail.docx", "A 20533-2023")</f>
        <v/>
      </c>
      <c r="Z310">
        <f>HYPERLINK("https://klasma.github.io/Logging_0483/fåglar/A 20533-2023 prioriterade fågelarter.docx", "A 20533-2023")</f>
        <v/>
      </c>
    </row>
    <row r="311" ht="15" customHeight="1">
      <c r="A311" t="inlineStr">
        <is>
          <t>A 3075-2022</t>
        </is>
      </c>
      <c r="B311" s="1" t="n">
        <v>44582</v>
      </c>
      <c r="C311" s="1" t="n">
        <v>45894</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44915-2022</t>
        </is>
      </c>
      <c r="B312" s="1" t="n">
        <v>44840</v>
      </c>
      <c r="C312" s="1" t="n">
        <v>45894</v>
      </c>
      <c r="D312" t="inlineStr">
        <is>
          <t>SÖDERMANLANDS LÄN</t>
        </is>
      </c>
      <c r="E312" t="inlineStr">
        <is>
          <t>KATRINEHOLM</t>
        </is>
      </c>
      <c r="G312" t="n">
        <v>6.3</v>
      </c>
      <c r="H312" t="n">
        <v>0</v>
      </c>
      <c r="I312" t="n">
        <v>0</v>
      </c>
      <c r="J312" t="n">
        <v>0</v>
      </c>
      <c r="K312" t="n">
        <v>0</v>
      </c>
      <c r="L312" t="n">
        <v>0</v>
      </c>
      <c r="M312" t="n">
        <v>0</v>
      </c>
      <c r="N312" t="n">
        <v>0</v>
      </c>
      <c r="O312" t="n">
        <v>0</v>
      </c>
      <c r="P312" t="n">
        <v>0</v>
      </c>
      <c r="Q312" t="n">
        <v>0</v>
      </c>
      <c r="R312" s="2" t="inlineStr"/>
    </row>
    <row r="313" ht="15" customHeight="1">
      <c r="A313" t="inlineStr">
        <is>
          <t>A 45793-2022</t>
        </is>
      </c>
      <c r="B313" s="1" t="n">
        <v>44844</v>
      </c>
      <c r="C313" s="1" t="n">
        <v>45894</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9388-2021</t>
        </is>
      </c>
      <c r="B314" s="1" t="n">
        <v>44250</v>
      </c>
      <c r="C314" s="1" t="n">
        <v>45894</v>
      </c>
      <c r="D314" t="inlineStr">
        <is>
          <t>SÖDERMANLANDS LÄN</t>
        </is>
      </c>
      <c r="E314" t="inlineStr">
        <is>
          <t>KATRINEHOLM</t>
        </is>
      </c>
      <c r="G314" t="n">
        <v>5.4</v>
      </c>
      <c r="H314" t="n">
        <v>0</v>
      </c>
      <c r="I314" t="n">
        <v>0</v>
      </c>
      <c r="J314" t="n">
        <v>0</v>
      </c>
      <c r="K314" t="n">
        <v>0</v>
      </c>
      <c r="L314" t="n">
        <v>0</v>
      </c>
      <c r="M314" t="n">
        <v>0</v>
      </c>
      <c r="N314" t="n">
        <v>0</v>
      </c>
      <c r="O314" t="n">
        <v>0</v>
      </c>
      <c r="P314" t="n">
        <v>0</v>
      </c>
      <c r="Q314" t="n">
        <v>0</v>
      </c>
      <c r="R314" s="2" t="inlineStr"/>
    </row>
    <row r="315" ht="15" customHeight="1">
      <c r="A315" t="inlineStr">
        <is>
          <t>A 29702-2021</t>
        </is>
      </c>
      <c r="B315" s="1" t="n">
        <v>44362</v>
      </c>
      <c r="C315" s="1" t="n">
        <v>45894</v>
      </c>
      <c r="D315" t="inlineStr">
        <is>
          <t>SÖDERMANLANDS LÄN</t>
        </is>
      </c>
      <c r="E315" t="inlineStr">
        <is>
          <t>KATRINEHOLM</t>
        </is>
      </c>
      <c r="F315" t="inlineStr">
        <is>
          <t>Holmen skog AB</t>
        </is>
      </c>
      <c r="G315" t="n">
        <v>0.3</v>
      </c>
      <c r="H315" t="n">
        <v>0</v>
      </c>
      <c r="I315" t="n">
        <v>0</v>
      </c>
      <c r="J315" t="n">
        <v>0</v>
      </c>
      <c r="K315" t="n">
        <v>0</v>
      </c>
      <c r="L315" t="n">
        <v>0</v>
      </c>
      <c r="M315" t="n">
        <v>0</v>
      </c>
      <c r="N315" t="n">
        <v>0</v>
      </c>
      <c r="O315" t="n">
        <v>0</v>
      </c>
      <c r="P315" t="n">
        <v>0</v>
      </c>
      <c r="Q315" t="n">
        <v>0</v>
      </c>
      <c r="R315" s="2" t="inlineStr"/>
    </row>
    <row r="316" ht="15" customHeight="1">
      <c r="A316" t="inlineStr">
        <is>
          <t>A 4662-2023</t>
        </is>
      </c>
      <c r="B316" s="1" t="n">
        <v>44957</v>
      </c>
      <c r="C316" s="1" t="n">
        <v>45894</v>
      </c>
      <c r="D316" t="inlineStr">
        <is>
          <t>SÖDERMANLANDS LÄN</t>
        </is>
      </c>
      <c r="E316" t="inlineStr">
        <is>
          <t>KATRINEHOLM</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22304-2024</t>
        </is>
      </c>
      <c r="B317" s="1" t="n">
        <v>45446.56626157407</v>
      </c>
      <c r="C317" s="1" t="n">
        <v>45894</v>
      </c>
      <c r="D317" t="inlineStr">
        <is>
          <t>SÖDERMANLANDS LÄN</t>
        </is>
      </c>
      <c r="E317" t="inlineStr">
        <is>
          <t>KATRINEHOLM</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13171-2024</t>
        </is>
      </c>
      <c r="B318" s="1" t="n">
        <v>45386</v>
      </c>
      <c r="C318" s="1" t="n">
        <v>45894</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45894</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13175-2024</t>
        </is>
      </c>
      <c r="B320" s="1" t="n">
        <v>45386</v>
      </c>
      <c r="C320" s="1" t="n">
        <v>45894</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33752-2023</t>
        </is>
      </c>
      <c r="B321" s="1" t="n">
        <v>45120</v>
      </c>
      <c r="C321" s="1" t="n">
        <v>45894</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45438-2021</t>
        </is>
      </c>
      <c r="B322" s="1" t="n">
        <v>44440</v>
      </c>
      <c r="C322" s="1" t="n">
        <v>45894</v>
      </c>
      <c r="D322" t="inlineStr">
        <is>
          <t>SÖDERMANLANDS LÄN</t>
        </is>
      </c>
      <c r="E322" t="inlineStr">
        <is>
          <t>KATRINEHOLM</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26081-2024</t>
        </is>
      </c>
      <c r="B323" s="1" t="n">
        <v>45462</v>
      </c>
      <c r="C323" s="1" t="n">
        <v>45894</v>
      </c>
      <c r="D323" t="inlineStr">
        <is>
          <t>SÖDERMANLANDS LÄN</t>
        </is>
      </c>
      <c r="E323" t="inlineStr">
        <is>
          <t>KATRINEHOLM</t>
        </is>
      </c>
      <c r="G323" t="n">
        <v>4.1</v>
      </c>
      <c r="H323" t="n">
        <v>0</v>
      </c>
      <c r="I323" t="n">
        <v>0</v>
      </c>
      <c r="J323" t="n">
        <v>0</v>
      </c>
      <c r="K323" t="n">
        <v>0</v>
      </c>
      <c r="L323" t="n">
        <v>0</v>
      </c>
      <c r="M323" t="n">
        <v>0</v>
      </c>
      <c r="N323" t="n">
        <v>0</v>
      </c>
      <c r="O323" t="n">
        <v>0</v>
      </c>
      <c r="P323" t="n">
        <v>0</v>
      </c>
      <c r="Q323" t="n">
        <v>0</v>
      </c>
      <c r="R323" s="2" t="inlineStr"/>
    </row>
    <row r="324" ht="15" customHeight="1">
      <c r="A324" t="inlineStr">
        <is>
          <t>A 4667-2024</t>
        </is>
      </c>
      <c r="B324" s="1" t="n">
        <v>45328.47</v>
      </c>
      <c r="C324" s="1" t="n">
        <v>45894</v>
      </c>
      <c r="D324" t="inlineStr">
        <is>
          <t>SÖDERMANLANDS LÄN</t>
        </is>
      </c>
      <c r="E324" t="inlineStr">
        <is>
          <t>KATRINEHOLM</t>
        </is>
      </c>
      <c r="F324" t="inlineStr">
        <is>
          <t>Övriga Aktiebolag</t>
        </is>
      </c>
      <c r="G324" t="n">
        <v>10.2</v>
      </c>
      <c r="H324" t="n">
        <v>0</v>
      </c>
      <c r="I324" t="n">
        <v>0</v>
      </c>
      <c r="J324" t="n">
        <v>0</v>
      </c>
      <c r="K324" t="n">
        <v>0</v>
      </c>
      <c r="L324" t="n">
        <v>0</v>
      </c>
      <c r="M324" t="n">
        <v>0</v>
      </c>
      <c r="N324" t="n">
        <v>0</v>
      </c>
      <c r="O324" t="n">
        <v>0</v>
      </c>
      <c r="P324" t="n">
        <v>0</v>
      </c>
      <c r="Q324" t="n">
        <v>0</v>
      </c>
      <c r="R324" s="2" t="inlineStr"/>
    </row>
    <row r="325" ht="15" customHeight="1">
      <c r="A325" t="inlineStr">
        <is>
          <t>A 5953-2021</t>
        </is>
      </c>
      <c r="B325" s="1" t="n">
        <v>44231</v>
      </c>
      <c r="C325" s="1" t="n">
        <v>45894</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28652-2024</t>
        </is>
      </c>
      <c r="B326" s="1" t="n">
        <v>45478</v>
      </c>
      <c r="C326" s="1" t="n">
        <v>45894</v>
      </c>
      <c r="D326" t="inlineStr">
        <is>
          <t>SÖDERMANLANDS LÄN</t>
        </is>
      </c>
      <c r="E326" t="inlineStr">
        <is>
          <t>KATRINEHOLM</t>
        </is>
      </c>
      <c r="G326" t="n">
        <v>1.4</v>
      </c>
      <c r="H326" t="n">
        <v>0</v>
      </c>
      <c r="I326" t="n">
        <v>0</v>
      </c>
      <c r="J326" t="n">
        <v>0</v>
      </c>
      <c r="K326" t="n">
        <v>0</v>
      </c>
      <c r="L326" t="n">
        <v>0</v>
      </c>
      <c r="M326" t="n">
        <v>0</v>
      </c>
      <c r="N326" t="n">
        <v>0</v>
      </c>
      <c r="O326" t="n">
        <v>0</v>
      </c>
      <c r="P326" t="n">
        <v>0</v>
      </c>
      <c r="Q326" t="n">
        <v>0</v>
      </c>
      <c r="R326" s="2" t="inlineStr"/>
    </row>
    <row r="327" ht="15" customHeight="1">
      <c r="A327" t="inlineStr">
        <is>
          <t>A 19107-2022</t>
        </is>
      </c>
      <c r="B327" s="1" t="n">
        <v>44691.54077546296</v>
      </c>
      <c r="C327" s="1" t="n">
        <v>45894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9936-2023</t>
        </is>
      </c>
      <c r="B328" s="1" t="n">
        <v>44985.47086805556</v>
      </c>
      <c r="C328" s="1" t="n">
        <v>45894</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15184-2023</t>
        </is>
      </c>
      <c r="B329" s="1" t="n">
        <v>45016</v>
      </c>
      <c r="C329" s="1" t="n">
        <v>45894</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19442-2023</t>
        </is>
      </c>
      <c r="B330" s="1" t="n">
        <v>45050</v>
      </c>
      <c r="C330" s="1" t="n">
        <v>45894</v>
      </c>
      <c r="D330" t="inlineStr">
        <is>
          <t>SÖDERMANLANDS LÄN</t>
        </is>
      </c>
      <c r="E330" t="inlineStr">
        <is>
          <t>KATRINEHOLM</t>
        </is>
      </c>
      <c r="F330" t="inlineStr">
        <is>
          <t>Holmen skog AB</t>
        </is>
      </c>
      <c r="G330" t="n">
        <v>0.7</v>
      </c>
      <c r="H330" t="n">
        <v>0</v>
      </c>
      <c r="I330" t="n">
        <v>0</v>
      </c>
      <c r="J330" t="n">
        <v>0</v>
      </c>
      <c r="K330" t="n">
        <v>0</v>
      </c>
      <c r="L330" t="n">
        <v>0</v>
      </c>
      <c r="M330" t="n">
        <v>0</v>
      </c>
      <c r="N330" t="n">
        <v>0</v>
      </c>
      <c r="O330" t="n">
        <v>0</v>
      </c>
      <c r="P330" t="n">
        <v>0</v>
      </c>
      <c r="Q330" t="n">
        <v>0</v>
      </c>
      <c r="R330" s="2" t="inlineStr"/>
    </row>
    <row r="331" ht="15" customHeight="1">
      <c r="A331" t="inlineStr">
        <is>
          <t>A 59093-2024</t>
        </is>
      </c>
      <c r="B331" s="1" t="n">
        <v>45636</v>
      </c>
      <c r="C331" s="1" t="n">
        <v>45894</v>
      </c>
      <c r="D331" t="inlineStr">
        <is>
          <t>SÖDERMANLANDS LÄN</t>
        </is>
      </c>
      <c r="E331" t="inlineStr">
        <is>
          <t>KATRINEHOLM</t>
        </is>
      </c>
      <c r="G331" t="n">
        <v>2.8</v>
      </c>
      <c r="H331" t="n">
        <v>0</v>
      </c>
      <c r="I331" t="n">
        <v>0</v>
      </c>
      <c r="J331" t="n">
        <v>0</v>
      </c>
      <c r="K331" t="n">
        <v>0</v>
      </c>
      <c r="L331" t="n">
        <v>0</v>
      </c>
      <c r="M331" t="n">
        <v>0</v>
      </c>
      <c r="N331" t="n">
        <v>0</v>
      </c>
      <c r="O331" t="n">
        <v>0</v>
      </c>
      <c r="P331" t="n">
        <v>0</v>
      </c>
      <c r="Q331" t="n">
        <v>0</v>
      </c>
      <c r="R331" s="2" t="inlineStr"/>
    </row>
    <row r="332" ht="15" customHeight="1">
      <c r="A332" t="inlineStr">
        <is>
          <t>A 9192-2023</t>
        </is>
      </c>
      <c r="B332" s="1" t="n">
        <v>44980</v>
      </c>
      <c r="C332" s="1" t="n">
        <v>45894</v>
      </c>
      <c r="D332" t="inlineStr">
        <is>
          <t>SÖDERMANLANDS LÄN</t>
        </is>
      </c>
      <c r="E332" t="inlineStr">
        <is>
          <t>KATRINEHOLM</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57462-2020</t>
        </is>
      </c>
      <c r="B333" s="1" t="n">
        <v>44140</v>
      </c>
      <c r="C333" s="1" t="n">
        <v>45894</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72984-2021</t>
        </is>
      </c>
      <c r="B334" s="1" t="n">
        <v>44549.74741898148</v>
      </c>
      <c r="C334" s="1" t="n">
        <v>45894</v>
      </c>
      <c r="D334" t="inlineStr">
        <is>
          <t>SÖDERMANLANDS LÄN</t>
        </is>
      </c>
      <c r="E334" t="inlineStr">
        <is>
          <t>KATRINEHOLM</t>
        </is>
      </c>
      <c r="G334" t="n">
        <v>4.9</v>
      </c>
      <c r="H334" t="n">
        <v>0</v>
      </c>
      <c r="I334" t="n">
        <v>0</v>
      </c>
      <c r="J334" t="n">
        <v>0</v>
      </c>
      <c r="K334" t="n">
        <v>0</v>
      </c>
      <c r="L334" t="n">
        <v>0</v>
      </c>
      <c r="M334" t="n">
        <v>0</v>
      </c>
      <c r="N334" t="n">
        <v>0</v>
      </c>
      <c r="O334" t="n">
        <v>0</v>
      </c>
      <c r="P334" t="n">
        <v>0</v>
      </c>
      <c r="Q334" t="n">
        <v>0</v>
      </c>
      <c r="R334" s="2" t="inlineStr"/>
    </row>
    <row r="335" ht="15" customHeight="1">
      <c r="A335" t="inlineStr">
        <is>
          <t>A 2606-2025</t>
        </is>
      </c>
      <c r="B335" s="1" t="n">
        <v>45674</v>
      </c>
      <c r="C335" s="1" t="n">
        <v>45894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4387-2024</t>
        </is>
      </c>
      <c r="B336" s="1" t="n">
        <v>45327.35068287037</v>
      </c>
      <c r="C336" s="1" t="n">
        <v>45894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33712-2022</t>
        </is>
      </c>
      <c r="B337" s="1" t="n">
        <v>44789</v>
      </c>
      <c r="C337" s="1" t="n">
        <v>45894</v>
      </c>
      <c r="D337" t="inlineStr">
        <is>
          <t>SÖDERMANLANDS LÄN</t>
        </is>
      </c>
      <c r="E337" t="inlineStr">
        <is>
          <t>KATRINEHOLM</t>
        </is>
      </c>
      <c r="G337" t="n">
        <v>4.3</v>
      </c>
      <c r="H337" t="n">
        <v>0</v>
      </c>
      <c r="I337" t="n">
        <v>0</v>
      </c>
      <c r="J337" t="n">
        <v>0</v>
      </c>
      <c r="K337" t="n">
        <v>0</v>
      </c>
      <c r="L337" t="n">
        <v>0</v>
      </c>
      <c r="M337" t="n">
        <v>0</v>
      </c>
      <c r="N337" t="n">
        <v>0</v>
      </c>
      <c r="O337" t="n">
        <v>0</v>
      </c>
      <c r="P337" t="n">
        <v>0</v>
      </c>
      <c r="Q337" t="n">
        <v>0</v>
      </c>
      <c r="R337" s="2" t="inlineStr"/>
    </row>
    <row r="338" ht="15" customHeight="1">
      <c r="A338" t="inlineStr">
        <is>
          <t>A 33717-2022</t>
        </is>
      </c>
      <c r="B338" s="1" t="n">
        <v>44789</v>
      </c>
      <c r="C338" s="1" t="n">
        <v>45894</v>
      </c>
      <c r="D338" t="inlineStr">
        <is>
          <t>SÖDERMANLANDS LÄN</t>
        </is>
      </c>
      <c r="E338" t="inlineStr">
        <is>
          <t>KATRINEHOLM</t>
        </is>
      </c>
      <c r="G338" t="n">
        <v>4.4</v>
      </c>
      <c r="H338" t="n">
        <v>0</v>
      </c>
      <c r="I338" t="n">
        <v>0</v>
      </c>
      <c r="J338" t="n">
        <v>0</v>
      </c>
      <c r="K338" t="n">
        <v>0</v>
      </c>
      <c r="L338" t="n">
        <v>0</v>
      </c>
      <c r="M338" t="n">
        <v>0</v>
      </c>
      <c r="N338" t="n">
        <v>0</v>
      </c>
      <c r="O338" t="n">
        <v>0</v>
      </c>
      <c r="P338" t="n">
        <v>0</v>
      </c>
      <c r="Q338" t="n">
        <v>0</v>
      </c>
      <c r="R338" s="2" t="inlineStr"/>
    </row>
    <row r="339" ht="15" customHeight="1">
      <c r="A339" t="inlineStr">
        <is>
          <t>A 51440-2024</t>
        </is>
      </c>
      <c r="B339" s="1" t="n">
        <v>45604</v>
      </c>
      <c r="C339" s="1" t="n">
        <v>45894</v>
      </c>
      <c r="D339" t="inlineStr">
        <is>
          <t>SÖDERMANLANDS LÄN</t>
        </is>
      </c>
      <c r="E339" t="inlineStr">
        <is>
          <t>KATRINEHOLM</t>
        </is>
      </c>
      <c r="G339" t="n">
        <v>4.7</v>
      </c>
      <c r="H339" t="n">
        <v>0</v>
      </c>
      <c r="I339" t="n">
        <v>0</v>
      </c>
      <c r="J339" t="n">
        <v>0</v>
      </c>
      <c r="K339" t="n">
        <v>0</v>
      </c>
      <c r="L339" t="n">
        <v>0</v>
      </c>
      <c r="M339" t="n">
        <v>0</v>
      </c>
      <c r="N339" t="n">
        <v>0</v>
      </c>
      <c r="O339" t="n">
        <v>0</v>
      </c>
      <c r="P339" t="n">
        <v>0</v>
      </c>
      <c r="Q339" t="n">
        <v>0</v>
      </c>
      <c r="R339" s="2" t="inlineStr"/>
    </row>
    <row r="340" ht="15" customHeight="1">
      <c r="A340" t="inlineStr">
        <is>
          <t>A 61167-2020</t>
        </is>
      </c>
      <c r="B340" s="1" t="n">
        <v>44155</v>
      </c>
      <c r="C340" s="1" t="n">
        <v>45894</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2298-2021</t>
        </is>
      </c>
      <c r="B341" s="1" t="n">
        <v>44212</v>
      </c>
      <c r="C341" s="1" t="n">
        <v>45894</v>
      </c>
      <c r="D341" t="inlineStr">
        <is>
          <t>SÖDERMANLANDS LÄN</t>
        </is>
      </c>
      <c r="E341" t="inlineStr">
        <is>
          <t>KATRINEHOLM</t>
        </is>
      </c>
      <c r="G341" t="n">
        <v>3.4</v>
      </c>
      <c r="H341" t="n">
        <v>0</v>
      </c>
      <c r="I341" t="n">
        <v>0</v>
      </c>
      <c r="J341" t="n">
        <v>0</v>
      </c>
      <c r="K341" t="n">
        <v>0</v>
      </c>
      <c r="L341" t="n">
        <v>0</v>
      </c>
      <c r="M341" t="n">
        <v>0</v>
      </c>
      <c r="N341" t="n">
        <v>0</v>
      </c>
      <c r="O341" t="n">
        <v>0</v>
      </c>
      <c r="P341" t="n">
        <v>0</v>
      </c>
      <c r="Q341" t="n">
        <v>0</v>
      </c>
      <c r="R341" s="2" t="inlineStr"/>
    </row>
    <row r="342" ht="15" customHeight="1">
      <c r="A342" t="inlineStr">
        <is>
          <t>A 18097-2025</t>
        </is>
      </c>
      <c r="B342" s="1" t="n">
        <v>45761</v>
      </c>
      <c r="C342" s="1" t="n">
        <v>45894</v>
      </c>
      <c r="D342" t="inlineStr">
        <is>
          <t>SÖDERMANLANDS LÄN</t>
        </is>
      </c>
      <c r="E342" t="inlineStr">
        <is>
          <t>KATRINEHOLM</t>
        </is>
      </c>
      <c r="G342" t="n">
        <v>10.9</v>
      </c>
      <c r="H342" t="n">
        <v>0</v>
      </c>
      <c r="I342" t="n">
        <v>0</v>
      </c>
      <c r="J342" t="n">
        <v>0</v>
      </c>
      <c r="K342" t="n">
        <v>0</v>
      </c>
      <c r="L342" t="n">
        <v>0</v>
      </c>
      <c r="M342" t="n">
        <v>0</v>
      </c>
      <c r="N342" t="n">
        <v>0</v>
      </c>
      <c r="O342" t="n">
        <v>0</v>
      </c>
      <c r="P342" t="n">
        <v>0</v>
      </c>
      <c r="Q342" t="n">
        <v>0</v>
      </c>
      <c r="R342" s="2" t="inlineStr"/>
    </row>
    <row r="343" ht="15" customHeight="1">
      <c r="A343" t="inlineStr">
        <is>
          <t>A 51260-2021</t>
        </is>
      </c>
      <c r="B343" s="1" t="n">
        <v>44461</v>
      </c>
      <c r="C343" s="1" t="n">
        <v>45894</v>
      </c>
      <c r="D343" t="inlineStr">
        <is>
          <t>SÖDERMANLANDS LÄN</t>
        </is>
      </c>
      <c r="E343" t="inlineStr">
        <is>
          <t>KATRINEHOLM</t>
        </is>
      </c>
      <c r="G343" t="n">
        <v>0.7</v>
      </c>
      <c r="H343" t="n">
        <v>0</v>
      </c>
      <c r="I343" t="n">
        <v>0</v>
      </c>
      <c r="J343" t="n">
        <v>0</v>
      </c>
      <c r="K343" t="n">
        <v>0</v>
      </c>
      <c r="L343" t="n">
        <v>0</v>
      </c>
      <c r="M343" t="n">
        <v>0</v>
      </c>
      <c r="N343" t="n">
        <v>0</v>
      </c>
      <c r="O343" t="n">
        <v>0</v>
      </c>
      <c r="P343" t="n">
        <v>0</v>
      </c>
      <c r="Q343" t="n">
        <v>0</v>
      </c>
      <c r="R343" s="2" t="inlineStr"/>
    </row>
    <row r="344" ht="15" customHeight="1">
      <c r="A344" t="inlineStr">
        <is>
          <t>A 38879-2024</t>
        </is>
      </c>
      <c r="B344" s="1" t="n">
        <v>45547</v>
      </c>
      <c r="C344" s="1" t="n">
        <v>45894</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18386-2025</t>
        </is>
      </c>
      <c r="B345" s="1" t="n">
        <v>45762</v>
      </c>
      <c r="C345" s="1" t="n">
        <v>45894</v>
      </c>
      <c r="D345" t="inlineStr">
        <is>
          <t>SÖDERMANLANDS LÄN</t>
        </is>
      </c>
      <c r="E345" t="inlineStr">
        <is>
          <t>KATRINEHOLM</t>
        </is>
      </c>
      <c r="G345" t="n">
        <v>0.5</v>
      </c>
      <c r="H345" t="n">
        <v>0</v>
      </c>
      <c r="I345" t="n">
        <v>0</v>
      </c>
      <c r="J345" t="n">
        <v>0</v>
      </c>
      <c r="K345" t="n">
        <v>0</v>
      </c>
      <c r="L345" t="n">
        <v>0</v>
      </c>
      <c r="M345" t="n">
        <v>0</v>
      </c>
      <c r="N345" t="n">
        <v>0</v>
      </c>
      <c r="O345" t="n">
        <v>0</v>
      </c>
      <c r="P345" t="n">
        <v>0</v>
      </c>
      <c r="Q345" t="n">
        <v>0</v>
      </c>
      <c r="R345" s="2" t="inlineStr"/>
    </row>
    <row r="346" ht="15" customHeight="1">
      <c r="A346" t="inlineStr">
        <is>
          <t>A 42945-2023</t>
        </is>
      </c>
      <c r="B346" s="1" t="n">
        <v>45182.5793287037</v>
      </c>
      <c r="C346" s="1" t="n">
        <v>45894</v>
      </c>
      <c r="D346" t="inlineStr">
        <is>
          <t>SÖDERMANLANDS LÄN</t>
        </is>
      </c>
      <c r="E346" t="inlineStr">
        <is>
          <t>KATRINEHOLM</t>
        </is>
      </c>
      <c r="F346" t="inlineStr">
        <is>
          <t>Övriga Aktiebolag</t>
        </is>
      </c>
      <c r="G346" t="n">
        <v>2.2</v>
      </c>
      <c r="H346" t="n">
        <v>0</v>
      </c>
      <c r="I346" t="n">
        <v>0</v>
      </c>
      <c r="J346" t="n">
        <v>0</v>
      </c>
      <c r="K346" t="n">
        <v>0</v>
      </c>
      <c r="L346" t="n">
        <v>0</v>
      </c>
      <c r="M346" t="n">
        <v>0</v>
      </c>
      <c r="N346" t="n">
        <v>0</v>
      </c>
      <c r="O346" t="n">
        <v>0</v>
      </c>
      <c r="P346" t="n">
        <v>0</v>
      </c>
      <c r="Q346" t="n">
        <v>0</v>
      </c>
      <c r="R346" s="2" t="inlineStr"/>
    </row>
    <row r="347" ht="15" customHeight="1">
      <c r="A347" t="inlineStr">
        <is>
          <t>A 42962-2023</t>
        </is>
      </c>
      <c r="B347" s="1" t="n">
        <v>45182</v>
      </c>
      <c r="C347" s="1" t="n">
        <v>45894</v>
      </c>
      <c r="D347" t="inlineStr">
        <is>
          <t>SÖDERMANLANDS LÄN</t>
        </is>
      </c>
      <c r="E347" t="inlineStr">
        <is>
          <t>KATRINEHOLM</t>
        </is>
      </c>
      <c r="F347" t="inlineStr">
        <is>
          <t>Övriga Aktiebolag</t>
        </is>
      </c>
      <c r="G347" t="n">
        <v>10.6</v>
      </c>
      <c r="H347" t="n">
        <v>0</v>
      </c>
      <c r="I347" t="n">
        <v>0</v>
      </c>
      <c r="J347" t="n">
        <v>0</v>
      </c>
      <c r="K347" t="n">
        <v>0</v>
      </c>
      <c r="L347" t="n">
        <v>0</v>
      </c>
      <c r="M347" t="n">
        <v>0</v>
      </c>
      <c r="N347" t="n">
        <v>0</v>
      </c>
      <c r="O347" t="n">
        <v>0</v>
      </c>
      <c r="P347" t="n">
        <v>0</v>
      </c>
      <c r="Q347" t="n">
        <v>0</v>
      </c>
      <c r="R347" s="2" t="inlineStr"/>
    </row>
    <row r="348" ht="15" customHeight="1">
      <c r="A348" t="inlineStr">
        <is>
          <t>A 33538-2022</t>
        </is>
      </c>
      <c r="B348" s="1" t="n">
        <v>44789</v>
      </c>
      <c r="C348" s="1" t="n">
        <v>45894</v>
      </c>
      <c r="D348" t="inlineStr">
        <is>
          <t>SÖDERMANLANDS LÄN</t>
        </is>
      </c>
      <c r="E348" t="inlineStr">
        <is>
          <t>KATRINEHOLM</t>
        </is>
      </c>
      <c r="G348" t="n">
        <v>1.2</v>
      </c>
      <c r="H348" t="n">
        <v>0</v>
      </c>
      <c r="I348" t="n">
        <v>0</v>
      </c>
      <c r="J348" t="n">
        <v>0</v>
      </c>
      <c r="K348" t="n">
        <v>0</v>
      </c>
      <c r="L348" t="n">
        <v>0</v>
      </c>
      <c r="M348" t="n">
        <v>0</v>
      </c>
      <c r="N348" t="n">
        <v>0</v>
      </c>
      <c r="O348" t="n">
        <v>0</v>
      </c>
      <c r="P348" t="n">
        <v>0</v>
      </c>
      <c r="Q348" t="n">
        <v>0</v>
      </c>
      <c r="R348" s="2" t="inlineStr"/>
    </row>
    <row r="349" ht="15" customHeight="1">
      <c r="A349" t="inlineStr">
        <is>
          <t>A 14313-2024</t>
        </is>
      </c>
      <c r="B349" s="1" t="n">
        <v>45393</v>
      </c>
      <c r="C349" s="1" t="n">
        <v>45894</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12938-2023</t>
        </is>
      </c>
      <c r="B350" s="1" t="n">
        <v>45001</v>
      </c>
      <c r="C350" s="1" t="n">
        <v>45894</v>
      </c>
      <c r="D350" t="inlineStr">
        <is>
          <t>SÖDERMANLANDS LÄN</t>
        </is>
      </c>
      <c r="E350" t="inlineStr">
        <is>
          <t>KATRINEHOLM</t>
        </is>
      </c>
      <c r="G350" t="n">
        <v>0.4</v>
      </c>
      <c r="H350" t="n">
        <v>0</v>
      </c>
      <c r="I350" t="n">
        <v>0</v>
      </c>
      <c r="J350" t="n">
        <v>0</v>
      </c>
      <c r="K350" t="n">
        <v>0</v>
      </c>
      <c r="L350" t="n">
        <v>0</v>
      </c>
      <c r="M350" t="n">
        <v>0</v>
      </c>
      <c r="N350" t="n">
        <v>0</v>
      </c>
      <c r="O350" t="n">
        <v>0</v>
      </c>
      <c r="P350" t="n">
        <v>0</v>
      </c>
      <c r="Q350" t="n">
        <v>0</v>
      </c>
      <c r="R350" s="2" t="inlineStr"/>
    </row>
    <row r="351" ht="15" customHeight="1">
      <c r="A351" t="inlineStr">
        <is>
          <t>A 16605-2025</t>
        </is>
      </c>
      <c r="B351" s="1" t="n">
        <v>45753.61614583333</v>
      </c>
      <c r="C351" s="1" t="n">
        <v>45894</v>
      </c>
      <c r="D351" t="inlineStr">
        <is>
          <t>SÖDERMANLANDS LÄN</t>
        </is>
      </c>
      <c r="E351" t="inlineStr">
        <is>
          <t>KATRINEHOLM</t>
        </is>
      </c>
      <c r="G351" t="n">
        <v>5.2</v>
      </c>
      <c r="H351" t="n">
        <v>0</v>
      </c>
      <c r="I351" t="n">
        <v>0</v>
      </c>
      <c r="J351" t="n">
        <v>0</v>
      </c>
      <c r="K351" t="n">
        <v>0</v>
      </c>
      <c r="L351" t="n">
        <v>0</v>
      </c>
      <c r="M351" t="n">
        <v>0</v>
      </c>
      <c r="N351" t="n">
        <v>0</v>
      </c>
      <c r="O351" t="n">
        <v>0</v>
      </c>
      <c r="P351" t="n">
        <v>0</v>
      </c>
      <c r="Q351" t="n">
        <v>0</v>
      </c>
      <c r="R351" s="2" t="inlineStr"/>
    </row>
    <row r="352" ht="15" customHeight="1">
      <c r="A352" t="inlineStr">
        <is>
          <t>A 7398-2024</t>
        </is>
      </c>
      <c r="B352" s="1" t="n">
        <v>45345</v>
      </c>
      <c r="C352" s="1" t="n">
        <v>45894</v>
      </c>
      <c r="D352" t="inlineStr">
        <is>
          <t>SÖDERMANLANDS LÄN</t>
        </is>
      </c>
      <c r="E352" t="inlineStr">
        <is>
          <t>KATRINEHOLM</t>
        </is>
      </c>
      <c r="G352" t="n">
        <v>4.4</v>
      </c>
      <c r="H352" t="n">
        <v>0</v>
      </c>
      <c r="I352" t="n">
        <v>0</v>
      </c>
      <c r="J352" t="n">
        <v>0</v>
      </c>
      <c r="K352" t="n">
        <v>0</v>
      </c>
      <c r="L352" t="n">
        <v>0</v>
      </c>
      <c r="M352" t="n">
        <v>0</v>
      </c>
      <c r="N352" t="n">
        <v>0</v>
      </c>
      <c r="O352" t="n">
        <v>0</v>
      </c>
      <c r="P352" t="n">
        <v>0</v>
      </c>
      <c r="Q352" t="n">
        <v>0</v>
      </c>
      <c r="R352" s="2" t="inlineStr"/>
    </row>
    <row r="353" ht="15" customHeight="1">
      <c r="A353" t="inlineStr">
        <is>
          <t>A 48763-2024</t>
        </is>
      </c>
      <c r="B353" s="1" t="n">
        <v>45593.60288194445</v>
      </c>
      <c r="C353" s="1" t="n">
        <v>45894</v>
      </c>
      <c r="D353" t="inlineStr">
        <is>
          <t>SÖDERMANLANDS LÄN</t>
        </is>
      </c>
      <c r="E353" t="inlineStr">
        <is>
          <t>KATRINEHOLM</t>
        </is>
      </c>
      <c r="G353" t="n">
        <v>1.3</v>
      </c>
      <c r="H353" t="n">
        <v>0</v>
      </c>
      <c r="I353" t="n">
        <v>0</v>
      </c>
      <c r="J353" t="n">
        <v>0</v>
      </c>
      <c r="K353" t="n">
        <v>0</v>
      </c>
      <c r="L353" t="n">
        <v>0</v>
      </c>
      <c r="M353" t="n">
        <v>0</v>
      </c>
      <c r="N353" t="n">
        <v>0</v>
      </c>
      <c r="O353" t="n">
        <v>0</v>
      </c>
      <c r="P353" t="n">
        <v>0</v>
      </c>
      <c r="Q353" t="n">
        <v>0</v>
      </c>
      <c r="R353" s="2" t="inlineStr"/>
    </row>
    <row r="354" ht="15" customHeight="1">
      <c r="A354" t="inlineStr">
        <is>
          <t>A 73409-2021</t>
        </is>
      </c>
      <c r="B354" s="1" t="n">
        <v>44551</v>
      </c>
      <c r="C354" s="1" t="n">
        <v>45894</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73415-2021</t>
        </is>
      </c>
      <c r="B355" s="1" t="n">
        <v>44551</v>
      </c>
      <c r="C355" s="1" t="n">
        <v>45894</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38872-2024</t>
        </is>
      </c>
      <c r="B356" s="1" t="n">
        <v>45547</v>
      </c>
      <c r="C356" s="1" t="n">
        <v>45894</v>
      </c>
      <c r="D356" t="inlineStr">
        <is>
          <t>SÖDERMANLANDS LÄN</t>
        </is>
      </c>
      <c r="E356" t="inlineStr">
        <is>
          <t>KATRINEHOLM</t>
        </is>
      </c>
      <c r="G356" t="n">
        <v>5.7</v>
      </c>
      <c r="H356" t="n">
        <v>0</v>
      </c>
      <c r="I356" t="n">
        <v>0</v>
      </c>
      <c r="J356" t="n">
        <v>0</v>
      </c>
      <c r="K356" t="n">
        <v>0</v>
      </c>
      <c r="L356" t="n">
        <v>0</v>
      </c>
      <c r="M356" t="n">
        <v>0</v>
      </c>
      <c r="N356" t="n">
        <v>0</v>
      </c>
      <c r="O356" t="n">
        <v>0</v>
      </c>
      <c r="P356" t="n">
        <v>0</v>
      </c>
      <c r="Q356" t="n">
        <v>0</v>
      </c>
      <c r="R356" s="2" t="inlineStr"/>
    </row>
    <row r="357" ht="15" customHeight="1">
      <c r="A357" t="inlineStr">
        <is>
          <t>A 63188-2021</t>
        </is>
      </c>
      <c r="B357" s="1" t="n">
        <v>44507.56865740741</v>
      </c>
      <c r="C357" s="1" t="n">
        <v>45894</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8955-2024</t>
        </is>
      </c>
      <c r="B358" s="1" t="n">
        <v>45357.44873842593</v>
      </c>
      <c r="C358" s="1" t="n">
        <v>45894</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41229-2022</t>
        </is>
      </c>
      <c r="B359" s="1" t="n">
        <v>44825</v>
      </c>
      <c r="C359" s="1" t="n">
        <v>45894</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64713-2023</t>
        </is>
      </c>
      <c r="B360" s="1" t="n">
        <v>45281</v>
      </c>
      <c r="C360" s="1" t="n">
        <v>45894</v>
      </c>
      <c r="D360" t="inlineStr">
        <is>
          <t>SÖDERMANLANDS LÄN</t>
        </is>
      </c>
      <c r="E360" t="inlineStr">
        <is>
          <t>KATRINEHOLM</t>
        </is>
      </c>
      <c r="G360" t="n">
        <v>4.9</v>
      </c>
      <c r="H360" t="n">
        <v>0</v>
      </c>
      <c r="I360" t="n">
        <v>0</v>
      </c>
      <c r="J360" t="n">
        <v>0</v>
      </c>
      <c r="K360" t="n">
        <v>0</v>
      </c>
      <c r="L360" t="n">
        <v>0</v>
      </c>
      <c r="M360" t="n">
        <v>0</v>
      </c>
      <c r="N360" t="n">
        <v>0</v>
      </c>
      <c r="O360" t="n">
        <v>0</v>
      </c>
      <c r="P360" t="n">
        <v>0</v>
      </c>
      <c r="Q360" t="n">
        <v>0</v>
      </c>
      <c r="R360" s="2" t="inlineStr"/>
    </row>
    <row r="361" ht="15" customHeight="1">
      <c r="A361" t="inlineStr">
        <is>
          <t>A 28304-2024</t>
        </is>
      </c>
      <c r="B361" s="1" t="n">
        <v>45477</v>
      </c>
      <c r="C361" s="1" t="n">
        <v>45894</v>
      </c>
      <c r="D361" t="inlineStr">
        <is>
          <t>SÖDERMANLANDS LÄN</t>
        </is>
      </c>
      <c r="E361" t="inlineStr">
        <is>
          <t>KATRINEHOLM</t>
        </is>
      </c>
      <c r="G361" t="n">
        <v>3.8</v>
      </c>
      <c r="H361" t="n">
        <v>0</v>
      </c>
      <c r="I361" t="n">
        <v>0</v>
      </c>
      <c r="J361" t="n">
        <v>0</v>
      </c>
      <c r="K361" t="n">
        <v>0</v>
      </c>
      <c r="L361" t="n">
        <v>0</v>
      </c>
      <c r="M361" t="n">
        <v>0</v>
      </c>
      <c r="N361" t="n">
        <v>0</v>
      </c>
      <c r="O361" t="n">
        <v>0</v>
      </c>
      <c r="P361" t="n">
        <v>0</v>
      </c>
      <c r="Q361" t="n">
        <v>0</v>
      </c>
      <c r="R361" s="2" t="inlineStr"/>
    </row>
    <row r="362" ht="15" customHeight="1">
      <c r="A362" t="inlineStr">
        <is>
          <t>A 8457-2023</t>
        </is>
      </c>
      <c r="B362" s="1" t="n">
        <v>44977</v>
      </c>
      <c r="C362" s="1" t="n">
        <v>45894</v>
      </c>
      <c r="D362" t="inlineStr">
        <is>
          <t>SÖDERMANLANDS LÄN</t>
        </is>
      </c>
      <c r="E362" t="inlineStr">
        <is>
          <t>KATRINEHOLM</t>
        </is>
      </c>
      <c r="F362" t="inlineStr">
        <is>
          <t>Allmännings- och besparingsskogar</t>
        </is>
      </c>
      <c r="G362" t="n">
        <v>16.1</v>
      </c>
      <c r="H362" t="n">
        <v>0</v>
      </c>
      <c r="I362" t="n">
        <v>0</v>
      </c>
      <c r="J362" t="n">
        <v>0</v>
      </c>
      <c r="K362" t="n">
        <v>0</v>
      </c>
      <c r="L362" t="n">
        <v>0</v>
      </c>
      <c r="M362" t="n">
        <v>0</v>
      </c>
      <c r="N362" t="n">
        <v>0</v>
      </c>
      <c r="O362" t="n">
        <v>0</v>
      </c>
      <c r="P362" t="n">
        <v>0</v>
      </c>
      <c r="Q362" t="n">
        <v>0</v>
      </c>
      <c r="R362" s="2" t="inlineStr"/>
    </row>
    <row r="363" ht="15" customHeight="1">
      <c r="A363" t="inlineStr">
        <is>
          <t>A 1091-2025</t>
        </is>
      </c>
      <c r="B363" s="1" t="n">
        <v>45666</v>
      </c>
      <c r="C363" s="1" t="n">
        <v>45894</v>
      </c>
      <c r="D363" t="inlineStr">
        <is>
          <t>SÖDERMANLANDS LÄN</t>
        </is>
      </c>
      <c r="E363" t="inlineStr">
        <is>
          <t>KATRINEHOLM</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52134-2020</t>
        </is>
      </c>
      <c r="B364" s="1" t="n">
        <v>44110</v>
      </c>
      <c r="C364" s="1" t="n">
        <v>45894</v>
      </c>
      <c r="D364" t="inlineStr">
        <is>
          <t>SÖDERMANLANDS LÄN</t>
        </is>
      </c>
      <c r="E364" t="inlineStr">
        <is>
          <t>KATRINEHOLM</t>
        </is>
      </c>
      <c r="G364" t="n">
        <v>2.2</v>
      </c>
      <c r="H364" t="n">
        <v>0</v>
      </c>
      <c r="I364" t="n">
        <v>0</v>
      </c>
      <c r="J364" t="n">
        <v>0</v>
      </c>
      <c r="K364" t="n">
        <v>0</v>
      </c>
      <c r="L364" t="n">
        <v>0</v>
      </c>
      <c r="M364" t="n">
        <v>0</v>
      </c>
      <c r="N364" t="n">
        <v>0</v>
      </c>
      <c r="O364" t="n">
        <v>0</v>
      </c>
      <c r="P364" t="n">
        <v>0</v>
      </c>
      <c r="Q364" t="n">
        <v>0</v>
      </c>
      <c r="R364" s="2" t="inlineStr"/>
    </row>
    <row r="365" ht="15" customHeight="1">
      <c r="A365" t="inlineStr">
        <is>
          <t>A 36001-2024</t>
        </is>
      </c>
      <c r="B365" s="1" t="n">
        <v>45533.54609953704</v>
      </c>
      <c r="C365" s="1" t="n">
        <v>45894</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36-2023</t>
        </is>
      </c>
      <c r="B366" s="1" t="n">
        <v>44928.36578703704</v>
      </c>
      <c r="C366" s="1" t="n">
        <v>45894</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59749-2020</t>
        </is>
      </c>
      <c r="B367" s="1" t="n">
        <v>44151</v>
      </c>
      <c r="C367" s="1" t="n">
        <v>45894</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39010-2021</t>
        </is>
      </c>
      <c r="B368" s="1" t="n">
        <v>44412</v>
      </c>
      <c r="C368" s="1" t="n">
        <v>45894</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46569-2022</t>
        </is>
      </c>
      <c r="B369" s="1" t="n">
        <v>44847</v>
      </c>
      <c r="C369" s="1" t="n">
        <v>45894</v>
      </c>
      <c r="D369" t="inlineStr">
        <is>
          <t>SÖDERMANLANDS LÄN</t>
        </is>
      </c>
      <c r="E369" t="inlineStr">
        <is>
          <t>KATRINEHOLM</t>
        </is>
      </c>
      <c r="G369" t="n">
        <v>1.7</v>
      </c>
      <c r="H369" t="n">
        <v>0</v>
      </c>
      <c r="I369" t="n">
        <v>0</v>
      </c>
      <c r="J369" t="n">
        <v>0</v>
      </c>
      <c r="K369" t="n">
        <v>0</v>
      </c>
      <c r="L369" t="n">
        <v>0</v>
      </c>
      <c r="M369" t="n">
        <v>0</v>
      </c>
      <c r="N369" t="n">
        <v>0</v>
      </c>
      <c r="O369" t="n">
        <v>0</v>
      </c>
      <c r="P369" t="n">
        <v>0</v>
      </c>
      <c r="Q369" t="n">
        <v>0</v>
      </c>
      <c r="R369" s="2" t="inlineStr"/>
    </row>
    <row r="370" ht="15" customHeight="1">
      <c r="A370" t="inlineStr">
        <is>
          <t>A 19098-2022</t>
        </is>
      </c>
      <c r="B370" s="1" t="n">
        <v>44691.52616898148</v>
      </c>
      <c r="C370" s="1" t="n">
        <v>45894</v>
      </c>
      <c r="D370" t="inlineStr">
        <is>
          <t>SÖDERMANLANDS LÄN</t>
        </is>
      </c>
      <c r="E370" t="inlineStr">
        <is>
          <t>KATRINEHOLM</t>
        </is>
      </c>
      <c r="G370" t="n">
        <v>5.5</v>
      </c>
      <c r="H370" t="n">
        <v>0</v>
      </c>
      <c r="I370" t="n">
        <v>0</v>
      </c>
      <c r="J370" t="n">
        <v>0</v>
      </c>
      <c r="K370" t="n">
        <v>0</v>
      </c>
      <c r="L370" t="n">
        <v>0</v>
      </c>
      <c r="M370" t="n">
        <v>0</v>
      </c>
      <c r="N370" t="n">
        <v>0</v>
      </c>
      <c r="O370" t="n">
        <v>0</v>
      </c>
      <c r="P370" t="n">
        <v>0</v>
      </c>
      <c r="Q370" t="n">
        <v>0</v>
      </c>
      <c r="R370" s="2" t="inlineStr"/>
    </row>
    <row r="371" ht="15" customHeight="1">
      <c r="A371" t="inlineStr">
        <is>
          <t>A 11454-2025</t>
        </is>
      </c>
      <c r="B371" s="1" t="n">
        <v>45726.64574074074</v>
      </c>
      <c r="C371" s="1" t="n">
        <v>45894</v>
      </c>
      <c r="D371" t="inlineStr">
        <is>
          <t>SÖDERMANLANDS LÄN</t>
        </is>
      </c>
      <c r="E371" t="inlineStr">
        <is>
          <t>KATRINEHOLM</t>
        </is>
      </c>
      <c r="G371" t="n">
        <v>3.3</v>
      </c>
      <c r="H371" t="n">
        <v>0</v>
      </c>
      <c r="I371" t="n">
        <v>0</v>
      </c>
      <c r="J371" t="n">
        <v>0</v>
      </c>
      <c r="K371" t="n">
        <v>0</v>
      </c>
      <c r="L371" t="n">
        <v>0</v>
      </c>
      <c r="M371" t="n">
        <v>0</v>
      </c>
      <c r="N371" t="n">
        <v>0</v>
      </c>
      <c r="O371" t="n">
        <v>0</v>
      </c>
      <c r="P371" t="n">
        <v>0</v>
      </c>
      <c r="Q371" t="n">
        <v>0</v>
      </c>
      <c r="R371" s="2" t="inlineStr"/>
    </row>
    <row r="372" ht="15" customHeight="1">
      <c r="A372" t="inlineStr">
        <is>
          <t>A 11543-2025</t>
        </is>
      </c>
      <c r="B372" s="1" t="n">
        <v>45727.34248842593</v>
      </c>
      <c r="C372" s="1" t="n">
        <v>45894</v>
      </c>
      <c r="D372" t="inlineStr">
        <is>
          <t>SÖDERMANLANDS LÄN</t>
        </is>
      </c>
      <c r="E372" t="inlineStr">
        <is>
          <t>KATRINEHOLM</t>
        </is>
      </c>
      <c r="G372" t="n">
        <v>3.6</v>
      </c>
      <c r="H372" t="n">
        <v>0</v>
      </c>
      <c r="I372" t="n">
        <v>0</v>
      </c>
      <c r="J372" t="n">
        <v>0</v>
      </c>
      <c r="K372" t="n">
        <v>0</v>
      </c>
      <c r="L372" t="n">
        <v>0</v>
      </c>
      <c r="M372" t="n">
        <v>0</v>
      </c>
      <c r="N372" t="n">
        <v>0</v>
      </c>
      <c r="O372" t="n">
        <v>0</v>
      </c>
      <c r="P372" t="n">
        <v>0</v>
      </c>
      <c r="Q372" t="n">
        <v>0</v>
      </c>
      <c r="R372" s="2" t="inlineStr"/>
    </row>
    <row r="373" ht="15" customHeight="1">
      <c r="A373" t="inlineStr">
        <is>
          <t>A 51530-2023</t>
        </is>
      </c>
      <c r="B373" s="1" t="n">
        <v>45222</v>
      </c>
      <c r="C373" s="1" t="n">
        <v>45894</v>
      </c>
      <c r="D373" t="inlineStr">
        <is>
          <t>SÖDERMANLANDS LÄN</t>
        </is>
      </c>
      <c r="E373" t="inlineStr">
        <is>
          <t>KATRINEHOLM</t>
        </is>
      </c>
      <c r="G373" t="n">
        <v>0.9</v>
      </c>
      <c r="H373" t="n">
        <v>0</v>
      </c>
      <c r="I373" t="n">
        <v>0</v>
      </c>
      <c r="J373" t="n">
        <v>0</v>
      </c>
      <c r="K373" t="n">
        <v>0</v>
      </c>
      <c r="L373" t="n">
        <v>0</v>
      </c>
      <c r="M373" t="n">
        <v>0</v>
      </c>
      <c r="N373" t="n">
        <v>0</v>
      </c>
      <c r="O373" t="n">
        <v>0</v>
      </c>
      <c r="P373" t="n">
        <v>0</v>
      </c>
      <c r="Q373" t="n">
        <v>0</v>
      </c>
      <c r="R373" s="2" t="inlineStr"/>
    </row>
    <row r="374" ht="15" customHeight="1">
      <c r="A374" t="inlineStr">
        <is>
          <t>A 6311-2025</t>
        </is>
      </c>
      <c r="B374" s="1" t="n">
        <v>45698</v>
      </c>
      <c r="C374" s="1" t="n">
        <v>45894</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3315-2023</t>
        </is>
      </c>
      <c r="B375" s="1" t="n">
        <v>44945</v>
      </c>
      <c r="C375" s="1" t="n">
        <v>45894</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2093-2025</t>
        </is>
      </c>
      <c r="B376" s="1" t="n">
        <v>45672</v>
      </c>
      <c r="C376" s="1" t="n">
        <v>45894</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64657-2020</t>
        </is>
      </c>
      <c r="B377" s="1" t="n">
        <v>44169</v>
      </c>
      <c r="C377" s="1" t="n">
        <v>45894</v>
      </c>
      <c r="D377" t="inlineStr">
        <is>
          <t>SÖDERMANLANDS LÄN</t>
        </is>
      </c>
      <c r="E377" t="inlineStr">
        <is>
          <t>KATRINEHOLM</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7322-2023</t>
        </is>
      </c>
      <c r="B378" s="1" t="n">
        <v>44970</v>
      </c>
      <c r="C378" s="1" t="n">
        <v>45894</v>
      </c>
      <c r="D378" t="inlineStr">
        <is>
          <t>SÖDERMANLANDS LÄN</t>
        </is>
      </c>
      <c r="E378" t="inlineStr">
        <is>
          <t>KATRINEHOLM</t>
        </is>
      </c>
      <c r="G378" t="n">
        <v>2.1</v>
      </c>
      <c r="H378" t="n">
        <v>0</v>
      </c>
      <c r="I378" t="n">
        <v>0</v>
      </c>
      <c r="J378" t="n">
        <v>0</v>
      </c>
      <c r="K378" t="n">
        <v>0</v>
      </c>
      <c r="L378" t="n">
        <v>0</v>
      </c>
      <c r="M378" t="n">
        <v>0</v>
      </c>
      <c r="N378" t="n">
        <v>0</v>
      </c>
      <c r="O378" t="n">
        <v>0</v>
      </c>
      <c r="P378" t="n">
        <v>0</v>
      </c>
      <c r="Q378" t="n">
        <v>0</v>
      </c>
      <c r="R378" s="2" t="inlineStr"/>
    </row>
    <row r="379" ht="15" customHeight="1">
      <c r="A379" t="inlineStr">
        <is>
          <t>A 60160-2022</t>
        </is>
      </c>
      <c r="B379" s="1" t="n">
        <v>44909</v>
      </c>
      <c r="C379" s="1" t="n">
        <v>45894</v>
      </c>
      <c r="D379" t="inlineStr">
        <is>
          <t>SÖDERMANLANDS LÄN</t>
        </is>
      </c>
      <c r="E379" t="inlineStr">
        <is>
          <t>KATRINEHOLM</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12227-2025</t>
        </is>
      </c>
      <c r="B380" s="1" t="n">
        <v>45729.56836805555</v>
      </c>
      <c r="C380" s="1" t="n">
        <v>45894</v>
      </c>
      <c r="D380" t="inlineStr">
        <is>
          <t>SÖDERMANLANDS LÄN</t>
        </is>
      </c>
      <c r="E380" t="inlineStr">
        <is>
          <t>KATRINEHOLM</t>
        </is>
      </c>
      <c r="G380" t="n">
        <v>7</v>
      </c>
      <c r="H380" t="n">
        <v>0</v>
      </c>
      <c r="I380" t="n">
        <v>0</v>
      </c>
      <c r="J380" t="n">
        <v>0</v>
      </c>
      <c r="K380" t="n">
        <v>0</v>
      </c>
      <c r="L380" t="n">
        <v>0</v>
      </c>
      <c r="M380" t="n">
        <v>0</v>
      </c>
      <c r="N380" t="n">
        <v>0</v>
      </c>
      <c r="O380" t="n">
        <v>0</v>
      </c>
      <c r="P380" t="n">
        <v>0</v>
      </c>
      <c r="Q380" t="n">
        <v>0</v>
      </c>
      <c r="R380" s="2" t="inlineStr"/>
    </row>
    <row r="381" ht="15" customHeight="1">
      <c r="A381" t="inlineStr">
        <is>
          <t>A 12238-2021</t>
        </is>
      </c>
      <c r="B381" s="1" t="n">
        <v>44266</v>
      </c>
      <c r="C381" s="1" t="n">
        <v>45894</v>
      </c>
      <c r="D381" t="inlineStr">
        <is>
          <t>SÖDERMANLANDS LÄN</t>
        </is>
      </c>
      <c r="E381" t="inlineStr">
        <is>
          <t>KATRINEHOLM</t>
        </is>
      </c>
      <c r="G381" t="n">
        <v>0.7</v>
      </c>
      <c r="H381" t="n">
        <v>0</v>
      </c>
      <c r="I381" t="n">
        <v>0</v>
      </c>
      <c r="J381" t="n">
        <v>0</v>
      </c>
      <c r="K381" t="n">
        <v>0</v>
      </c>
      <c r="L381" t="n">
        <v>0</v>
      </c>
      <c r="M381" t="n">
        <v>0</v>
      </c>
      <c r="N381" t="n">
        <v>0</v>
      </c>
      <c r="O381" t="n">
        <v>0</v>
      </c>
      <c r="P381" t="n">
        <v>0</v>
      </c>
      <c r="Q381" t="n">
        <v>0</v>
      </c>
      <c r="R381" s="2" t="inlineStr"/>
    </row>
    <row r="382" ht="15" customHeight="1">
      <c r="A382" t="inlineStr">
        <is>
          <t>A 48685-2022</t>
        </is>
      </c>
      <c r="B382" s="1" t="n">
        <v>44859</v>
      </c>
      <c r="C382" s="1" t="n">
        <v>45894</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20826-2022</t>
        </is>
      </c>
      <c r="B383" s="1" t="n">
        <v>44701.44754629629</v>
      </c>
      <c r="C383" s="1" t="n">
        <v>45894</v>
      </c>
      <c r="D383" t="inlineStr">
        <is>
          <t>SÖDERMANLANDS LÄN</t>
        </is>
      </c>
      <c r="E383" t="inlineStr">
        <is>
          <t>KATRINEHOLM</t>
        </is>
      </c>
      <c r="G383" t="n">
        <v>6.8</v>
      </c>
      <c r="H383" t="n">
        <v>0</v>
      </c>
      <c r="I383" t="n">
        <v>0</v>
      </c>
      <c r="J383" t="n">
        <v>0</v>
      </c>
      <c r="K383" t="n">
        <v>0</v>
      </c>
      <c r="L383" t="n">
        <v>0</v>
      </c>
      <c r="M383" t="n">
        <v>0</v>
      </c>
      <c r="N383" t="n">
        <v>0</v>
      </c>
      <c r="O383" t="n">
        <v>0</v>
      </c>
      <c r="P383" t="n">
        <v>0</v>
      </c>
      <c r="Q383" t="n">
        <v>0</v>
      </c>
      <c r="R383" s="2" t="inlineStr"/>
    </row>
    <row r="384" ht="15" customHeight="1">
      <c r="A384" t="inlineStr">
        <is>
          <t>A 20846-2022</t>
        </is>
      </c>
      <c r="B384" s="1" t="n">
        <v>44701.4744212963</v>
      </c>
      <c r="C384" s="1" t="n">
        <v>45894</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42519-2024</t>
        </is>
      </c>
      <c r="B385" s="1" t="n">
        <v>45565</v>
      </c>
      <c r="C385" s="1" t="n">
        <v>45894</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22113-2025</t>
        </is>
      </c>
      <c r="B386" s="1" t="n">
        <v>45785</v>
      </c>
      <c r="C386" s="1" t="n">
        <v>45894</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43499-2021</t>
        </is>
      </c>
      <c r="B387" s="1" t="n">
        <v>44433</v>
      </c>
      <c r="C387" s="1" t="n">
        <v>45894</v>
      </c>
      <c r="D387" t="inlineStr">
        <is>
          <t>SÖDERMANLANDS LÄN</t>
        </is>
      </c>
      <c r="E387" t="inlineStr">
        <is>
          <t>KATRINEHOLM</t>
        </is>
      </c>
      <c r="F387" t="inlineStr">
        <is>
          <t>Övriga Aktiebolag</t>
        </is>
      </c>
      <c r="G387" t="n">
        <v>1.4</v>
      </c>
      <c r="H387" t="n">
        <v>0</v>
      </c>
      <c r="I387" t="n">
        <v>0</v>
      </c>
      <c r="J387" t="n">
        <v>0</v>
      </c>
      <c r="K387" t="n">
        <v>0</v>
      </c>
      <c r="L387" t="n">
        <v>0</v>
      </c>
      <c r="M387" t="n">
        <v>0</v>
      </c>
      <c r="N387" t="n">
        <v>0</v>
      </c>
      <c r="O387" t="n">
        <v>0</v>
      </c>
      <c r="P387" t="n">
        <v>0</v>
      </c>
      <c r="Q387" t="n">
        <v>0</v>
      </c>
      <c r="R387" s="2" t="inlineStr"/>
    </row>
    <row r="388" ht="15" customHeight="1">
      <c r="A388" t="inlineStr">
        <is>
          <t>A 32169-2022</t>
        </is>
      </c>
      <c r="B388" s="1" t="n">
        <v>44781</v>
      </c>
      <c r="C388" s="1" t="n">
        <v>45894</v>
      </c>
      <c r="D388" t="inlineStr">
        <is>
          <t>SÖDERMANLANDS LÄN</t>
        </is>
      </c>
      <c r="E388" t="inlineStr">
        <is>
          <t>KATRINEHOLM</t>
        </is>
      </c>
      <c r="F388" t="inlineStr">
        <is>
          <t>Kommuner</t>
        </is>
      </c>
      <c r="G388" t="n">
        <v>0.9</v>
      </c>
      <c r="H388" t="n">
        <v>0</v>
      </c>
      <c r="I388" t="n">
        <v>0</v>
      </c>
      <c r="J388" t="n">
        <v>0</v>
      </c>
      <c r="K388" t="n">
        <v>0</v>
      </c>
      <c r="L388" t="n">
        <v>0</v>
      </c>
      <c r="M388" t="n">
        <v>0</v>
      </c>
      <c r="N388" t="n">
        <v>0</v>
      </c>
      <c r="O388" t="n">
        <v>0</v>
      </c>
      <c r="P388" t="n">
        <v>0</v>
      </c>
      <c r="Q388" t="n">
        <v>0</v>
      </c>
      <c r="R388" s="2" t="inlineStr"/>
    </row>
    <row r="389" ht="15" customHeight="1">
      <c r="A389" t="inlineStr">
        <is>
          <t>A 42641-2020</t>
        </is>
      </c>
      <c r="B389" s="1" t="n">
        <v>44075</v>
      </c>
      <c r="C389" s="1" t="n">
        <v>45894</v>
      </c>
      <c r="D389" t="inlineStr">
        <is>
          <t>SÖDERMANLANDS LÄN</t>
        </is>
      </c>
      <c r="E389" t="inlineStr">
        <is>
          <t>KATRINEHOLM</t>
        </is>
      </c>
      <c r="G389" t="n">
        <v>2.8</v>
      </c>
      <c r="H389" t="n">
        <v>0</v>
      </c>
      <c r="I389" t="n">
        <v>0</v>
      </c>
      <c r="J389" t="n">
        <v>0</v>
      </c>
      <c r="K389" t="n">
        <v>0</v>
      </c>
      <c r="L389" t="n">
        <v>0</v>
      </c>
      <c r="M389" t="n">
        <v>0</v>
      </c>
      <c r="N389" t="n">
        <v>0</v>
      </c>
      <c r="O389" t="n">
        <v>0</v>
      </c>
      <c r="P389" t="n">
        <v>0</v>
      </c>
      <c r="Q389" t="n">
        <v>0</v>
      </c>
      <c r="R389" s="2" t="inlineStr"/>
    </row>
    <row r="390" ht="15" customHeight="1">
      <c r="A390" t="inlineStr">
        <is>
          <t>A 17246-2024</t>
        </is>
      </c>
      <c r="B390" s="1" t="n">
        <v>45414</v>
      </c>
      <c r="C390" s="1" t="n">
        <v>45894</v>
      </c>
      <c r="D390" t="inlineStr">
        <is>
          <t>SÖDERMANLANDS LÄN</t>
        </is>
      </c>
      <c r="E390" t="inlineStr">
        <is>
          <t>KATRINEHOLM</t>
        </is>
      </c>
      <c r="F390" t="inlineStr">
        <is>
          <t>Allmännings- och besparingsskogar</t>
        </is>
      </c>
      <c r="G390" t="n">
        <v>13.7</v>
      </c>
      <c r="H390" t="n">
        <v>0</v>
      </c>
      <c r="I390" t="n">
        <v>0</v>
      </c>
      <c r="J390" t="n">
        <v>0</v>
      </c>
      <c r="K390" t="n">
        <v>0</v>
      </c>
      <c r="L390" t="n">
        <v>0</v>
      </c>
      <c r="M390" t="n">
        <v>0</v>
      </c>
      <c r="N390" t="n">
        <v>0</v>
      </c>
      <c r="O390" t="n">
        <v>0</v>
      </c>
      <c r="P390" t="n">
        <v>0</v>
      </c>
      <c r="Q390" t="n">
        <v>0</v>
      </c>
      <c r="R390" s="2" t="inlineStr"/>
    </row>
    <row r="391" ht="15" customHeight="1">
      <c r="A391" t="inlineStr">
        <is>
          <t>A 22119-2025</t>
        </is>
      </c>
      <c r="B391" s="1" t="n">
        <v>45785</v>
      </c>
      <c r="C391" s="1" t="n">
        <v>45894</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55122-2022</t>
        </is>
      </c>
      <c r="B392" s="1" t="n">
        <v>44886.65092592593</v>
      </c>
      <c r="C392" s="1" t="n">
        <v>45894</v>
      </c>
      <c r="D392" t="inlineStr">
        <is>
          <t>SÖDERMANLANDS LÄN</t>
        </is>
      </c>
      <c r="E392" t="inlineStr">
        <is>
          <t>KATRINEHOLM</t>
        </is>
      </c>
      <c r="G392" t="n">
        <v>6.5</v>
      </c>
      <c r="H392" t="n">
        <v>0</v>
      </c>
      <c r="I392" t="n">
        <v>0</v>
      </c>
      <c r="J392" t="n">
        <v>0</v>
      </c>
      <c r="K392" t="n">
        <v>0</v>
      </c>
      <c r="L392" t="n">
        <v>0</v>
      </c>
      <c r="M392" t="n">
        <v>0</v>
      </c>
      <c r="N392" t="n">
        <v>0</v>
      </c>
      <c r="O392" t="n">
        <v>0</v>
      </c>
      <c r="P392" t="n">
        <v>0</v>
      </c>
      <c r="Q392" t="n">
        <v>0</v>
      </c>
      <c r="R392" s="2" t="inlineStr"/>
    </row>
    <row r="393" ht="15" customHeight="1">
      <c r="A393" t="inlineStr">
        <is>
          <t>A 43964-2022</t>
        </is>
      </c>
      <c r="B393" s="1" t="n">
        <v>44837</v>
      </c>
      <c r="C393" s="1" t="n">
        <v>45894</v>
      </c>
      <c r="D393" t="inlineStr">
        <is>
          <t>SÖDERMANLANDS LÄN</t>
        </is>
      </c>
      <c r="E393" t="inlineStr">
        <is>
          <t>KATRINEHOLM</t>
        </is>
      </c>
      <c r="G393" t="n">
        <v>3.6</v>
      </c>
      <c r="H393" t="n">
        <v>0</v>
      </c>
      <c r="I393" t="n">
        <v>0</v>
      </c>
      <c r="J393" t="n">
        <v>0</v>
      </c>
      <c r="K393" t="n">
        <v>0</v>
      </c>
      <c r="L393" t="n">
        <v>0</v>
      </c>
      <c r="M393" t="n">
        <v>0</v>
      </c>
      <c r="N393" t="n">
        <v>0</v>
      </c>
      <c r="O393" t="n">
        <v>0</v>
      </c>
      <c r="P393" t="n">
        <v>0</v>
      </c>
      <c r="Q393" t="n">
        <v>0</v>
      </c>
      <c r="R393" s="2" t="inlineStr"/>
    </row>
    <row r="394" ht="15" customHeight="1">
      <c r="A394" t="inlineStr">
        <is>
          <t>A 46075-2023</t>
        </is>
      </c>
      <c r="B394" s="1" t="n">
        <v>45196</v>
      </c>
      <c r="C394" s="1" t="n">
        <v>45894</v>
      </c>
      <c r="D394" t="inlineStr">
        <is>
          <t>SÖDERMANLANDS LÄN</t>
        </is>
      </c>
      <c r="E394" t="inlineStr">
        <is>
          <t>KATRINEHOLM</t>
        </is>
      </c>
      <c r="F394" t="inlineStr">
        <is>
          <t>Övriga Aktiebolag</t>
        </is>
      </c>
      <c r="G394" t="n">
        <v>9.5</v>
      </c>
      <c r="H394" t="n">
        <v>0</v>
      </c>
      <c r="I394" t="n">
        <v>0</v>
      </c>
      <c r="J394" t="n">
        <v>0</v>
      </c>
      <c r="K394" t="n">
        <v>0</v>
      </c>
      <c r="L394" t="n">
        <v>0</v>
      </c>
      <c r="M394" t="n">
        <v>0</v>
      </c>
      <c r="N394" t="n">
        <v>0</v>
      </c>
      <c r="O394" t="n">
        <v>0</v>
      </c>
      <c r="P394" t="n">
        <v>0</v>
      </c>
      <c r="Q394" t="n">
        <v>0</v>
      </c>
      <c r="R394" s="2" t="inlineStr"/>
    </row>
    <row r="395" ht="15" customHeight="1">
      <c r="A395" t="inlineStr">
        <is>
          <t>A 9992-2022</t>
        </is>
      </c>
      <c r="B395" s="1" t="n">
        <v>44621</v>
      </c>
      <c r="C395" s="1" t="n">
        <v>45894</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44659-2023</t>
        </is>
      </c>
      <c r="B396" s="1" t="n">
        <v>45189</v>
      </c>
      <c r="C396" s="1" t="n">
        <v>45894</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12930-2023</t>
        </is>
      </c>
      <c r="B397" s="1" t="n">
        <v>45001</v>
      </c>
      <c r="C397" s="1" t="n">
        <v>45894</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45894</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23031-2024</t>
        </is>
      </c>
      <c r="B399" s="1" t="n">
        <v>45450.38120370371</v>
      </c>
      <c r="C399" s="1" t="n">
        <v>45894</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15284-2023</t>
        </is>
      </c>
      <c r="B400" s="1" t="n">
        <v>45019</v>
      </c>
      <c r="C400" s="1" t="n">
        <v>45894</v>
      </c>
      <c r="D400" t="inlineStr">
        <is>
          <t>SÖDERMANLANDS LÄN</t>
        </is>
      </c>
      <c r="E400" t="inlineStr">
        <is>
          <t>KATRINEHOLM</t>
        </is>
      </c>
      <c r="F400" t="inlineStr">
        <is>
          <t>Allmännings- och besparingsskogar</t>
        </is>
      </c>
      <c r="G400" t="n">
        <v>17.4</v>
      </c>
      <c r="H400" t="n">
        <v>0</v>
      </c>
      <c r="I400" t="n">
        <v>0</v>
      </c>
      <c r="J400" t="n">
        <v>0</v>
      </c>
      <c r="K400" t="n">
        <v>0</v>
      </c>
      <c r="L400" t="n">
        <v>0</v>
      </c>
      <c r="M400" t="n">
        <v>0</v>
      </c>
      <c r="N400" t="n">
        <v>0</v>
      </c>
      <c r="O400" t="n">
        <v>0</v>
      </c>
      <c r="P400" t="n">
        <v>0</v>
      </c>
      <c r="Q400" t="n">
        <v>0</v>
      </c>
      <c r="R400" s="2" t="inlineStr"/>
    </row>
    <row r="401" ht="15" customHeight="1">
      <c r="A401" t="inlineStr">
        <is>
          <t>A 48682-2022</t>
        </is>
      </c>
      <c r="B401" s="1" t="n">
        <v>44859</v>
      </c>
      <c r="C401" s="1" t="n">
        <v>45894</v>
      </c>
      <c r="D401" t="inlineStr">
        <is>
          <t>SÖDERMANLANDS LÄN</t>
        </is>
      </c>
      <c r="E401" t="inlineStr">
        <is>
          <t>KATRINEHOLM</t>
        </is>
      </c>
      <c r="G401" t="n">
        <v>2</v>
      </c>
      <c r="H401" t="n">
        <v>0</v>
      </c>
      <c r="I401" t="n">
        <v>0</v>
      </c>
      <c r="J401" t="n">
        <v>0</v>
      </c>
      <c r="K401" t="n">
        <v>0</v>
      </c>
      <c r="L401" t="n">
        <v>0</v>
      </c>
      <c r="M401" t="n">
        <v>0</v>
      </c>
      <c r="N401" t="n">
        <v>0</v>
      </c>
      <c r="O401" t="n">
        <v>0</v>
      </c>
      <c r="P401" t="n">
        <v>0</v>
      </c>
      <c r="Q401" t="n">
        <v>0</v>
      </c>
      <c r="R401" s="2" t="inlineStr"/>
    </row>
    <row r="402" ht="15" customHeight="1">
      <c r="A402" t="inlineStr">
        <is>
          <t>A 24983-2024</t>
        </is>
      </c>
      <c r="B402" s="1" t="n">
        <v>45461</v>
      </c>
      <c r="C402" s="1" t="n">
        <v>45894</v>
      </c>
      <c r="D402" t="inlineStr">
        <is>
          <t>SÖDERMANLANDS LÄN</t>
        </is>
      </c>
      <c r="E402" t="inlineStr">
        <is>
          <t>KATRINEHOLM</t>
        </is>
      </c>
      <c r="G402" t="n">
        <v>2.6</v>
      </c>
      <c r="H402" t="n">
        <v>0</v>
      </c>
      <c r="I402" t="n">
        <v>0</v>
      </c>
      <c r="J402" t="n">
        <v>0</v>
      </c>
      <c r="K402" t="n">
        <v>0</v>
      </c>
      <c r="L402" t="n">
        <v>0</v>
      </c>
      <c r="M402" t="n">
        <v>0</v>
      </c>
      <c r="N402" t="n">
        <v>0</v>
      </c>
      <c r="O402" t="n">
        <v>0</v>
      </c>
      <c r="P402" t="n">
        <v>0</v>
      </c>
      <c r="Q402" t="n">
        <v>0</v>
      </c>
      <c r="R402" s="2" t="inlineStr"/>
    </row>
    <row r="403" ht="15" customHeight="1">
      <c r="A403" t="inlineStr">
        <is>
          <t>A 22336-2025</t>
        </is>
      </c>
      <c r="B403" s="1" t="n">
        <v>45786.44217592593</v>
      </c>
      <c r="C403" s="1" t="n">
        <v>45894</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32943-2024</t>
        </is>
      </c>
      <c r="B404" s="1" t="n">
        <v>45517</v>
      </c>
      <c r="C404" s="1" t="n">
        <v>45894</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55856-2022</t>
        </is>
      </c>
      <c r="B405" s="1" t="n">
        <v>44888</v>
      </c>
      <c r="C405" s="1" t="n">
        <v>45894</v>
      </c>
      <c r="D405" t="inlineStr">
        <is>
          <t>SÖDERMANLANDS LÄN</t>
        </is>
      </c>
      <c r="E405" t="inlineStr">
        <is>
          <t>KATRINEHOLM</t>
        </is>
      </c>
      <c r="G405" t="n">
        <v>5.6</v>
      </c>
      <c r="H405" t="n">
        <v>0</v>
      </c>
      <c r="I405" t="n">
        <v>0</v>
      </c>
      <c r="J405" t="n">
        <v>0</v>
      </c>
      <c r="K405" t="n">
        <v>0</v>
      </c>
      <c r="L405" t="n">
        <v>0</v>
      </c>
      <c r="M405" t="n">
        <v>0</v>
      </c>
      <c r="N405" t="n">
        <v>0</v>
      </c>
      <c r="O405" t="n">
        <v>0</v>
      </c>
      <c r="P405" t="n">
        <v>0</v>
      </c>
      <c r="Q405" t="n">
        <v>0</v>
      </c>
      <c r="R405" s="2" t="inlineStr"/>
    </row>
    <row r="406" ht="15" customHeight="1">
      <c r="A406" t="inlineStr">
        <is>
          <t>A 37542-2022</t>
        </is>
      </c>
      <c r="B406" s="1" t="n">
        <v>44809</v>
      </c>
      <c r="C406" s="1" t="n">
        <v>45894</v>
      </c>
      <c r="D406" t="inlineStr">
        <is>
          <t>SÖDERMANLANDS LÄN</t>
        </is>
      </c>
      <c r="E406" t="inlineStr">
        <is>
          <t>KATRINEHOLM</t>
        </is>
      </c>
      <c r="G406" t="n">
        <v>1.3</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45894</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36366-2023</t>
        </is>
      </c>
      <c r="B408" s="1" t="n">
        <v>45152</v>
      </c>
      <c r="C408" s="1" t="n">
        <v>45894</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14629-2023</t>
        </is>
      </c>
      <c r="B409" s="1" t="n">
        <v>45013</v>
      </c>
      <c r="C409" s="1" t="n">
        <v>45894</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22476-2025</t>
        </is>
      </c>
      <c r="B410" s="1" t="n">
        <v>45786</v>
      </c>
      <c r="C410" s="1" t="n">
        <v>45894</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23838-2021</t>
        </is>
      </c>
      <c r="B411" s="1" t="n">
        <v>44335</v>
      </c>
      <c r="C411" s="1" t="n">
        <v>45894</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55031-2020</t>
        </is>
      </c>
      <c r="B412" s="1" t="n">
        <v>44130</v>
      </c>
      <c r="C412" s="1" t="n">
        <v>45894</v>
      </c>
      <c r="D412" t="inlineStr">
        <is>
          <t>SÖDERMANLANDS LÄN</t>
        </is>
      </c>
      <c r="E412" t="inlineStr">
        <is>
          <t>KATRINEHOLM</t>
        </is>
      </c>
      <c r="G412" t="n">
        <v>1.9</v>
      </c>
      <c r="H412" t="n">
        <v>0</v>
      </c>
      <c r="I412" t="n">
        <v>0</v>
      </c>
      <c r="J412" t="n">
        <v>0</v>
      </c>
      <c r="K412" t="n">
        <v>0</v>
      </c>
      <c r="L412" t="n">
        <v>0</v>
      </c>
      <c r="M412" t="n">
        <v>0</v>
      </c>
      <c r="N412" t="n">
        <v>0</v>
      </c>
      <c r="O412" t="n">
        <v>0</v>
      </c>
      <c r="P412" t="n">
        <v>0</v>
      </c>
      <c r="Q412" t="n">
        <v>0</v>
      </c>
      <c r="R412" s="2" t="inlineStr"/>
    </row>
    <row r="413" ht="15" customHeight="1">
      <c r="A413" t="inlineStr">
        <is>
          <t>A 57524-2021</t>
        </is>
      </c>
      <c r="B413" s="1" t="n">
        <v>44483</v>
      </c>
      <c r="C413" s="1" t="n">
        <v>45894</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8917-2024</t>
        </is>
      </c>
      <c r="B414" s="1" t="n">
        <v>45357.37618055556</v>
      </c>
      <c r="C414" s="1" t="n">
        <v>45894</v>
      </c>
      <c r="D414" t="inlineStr">
        <is>
          <t>SÖDERMANLANDS LÄN</t>
        </is>
      </c>
      <c r="E414" t="inlineStr">
        <is>
          <t>KATRINEHOLM</t>
        </is>
      </c>
      <c r="G414" t="n">
        <v>3</v>
      </c>
      <c r="H414" t="n">
        <v>0</v>
      </c>
      <c r="I414" t="n">
        <v>0</v>
      </c>
      <c r="J414" t="n">
        <v>0</v>
      </c>
      <c r="K414" t="n">
        <v>0</v>
      </c>
      <c r="L414" t="n">
        <v>0</v>
      </c>
      <c r="M414" t="n">
        <v>0</v>
      </c>
      <c r="N414" t="n">
        <v>0</v>
      </c>
      <c r="O414" t="n">
        <v>0</v>
      </c>
      <c r="P414" t="n">
        <v>0</v>
      </c>
      <c r="Q414" t="n">
        <v>0</v>
      </c>
      <c r="R414" s="2" t="inlineStr"/>
    </row>
    <row r="415" ht="15" customHeight="1">
      <c r="A415" t="inlineStr">
        <is>
          <t>A 27345-2023</t>
        </is>
      </c>
      <c r="B415" s="1" t="n">
        <v>45096</v>
      </c>
      <c r="C415" s="1" t="n">
        <v>45894</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53996-2023</t>
        </is>
      </c>
      <c r="B416" s="1" t="n">
        <v>45231</v>
      </c>
      <c r="C416" s="1" t="n">
        <v>45894</v>
      </c>
      <c r="D416" t="inlineStr">
        <is>
          <t>SÖDERMANLANDS LÄN</t>
        </is>
      </c>
      <c r="E416" t="inlineStr">
        <is>
          <t>KATRINEHOLM</t>
        </is>
      </c>
      <c r="G416" t="n">
        <v>4.9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45894</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23050-2025</t>
        </is>
      </c>
      <c r="B418" s="1" t="n">
        <v>45790.69971064815</v>
      </c>
      <c r="C418" s="1" t="n">
        <v>45894</v>
      </c>
      <c r="D418" t="inlineStr">
        <is>
          <t>SÖDERMANLANDS LÄN</t>
        </is>
      </c>
      <c r="E418" t="inlineStr">
        <is>
          <t>KATRINEHOLM</t>
        </is>
      </c>
      <c r="G418" t="n">
        <v>3.7</v>
      </c>
      <c r="H418" t="n">
        <v>0</v>
      </c>
      <c r="I418" t="n">
        <v>0</v>
      </c>
      <c r="J418" t="n">
        <v>0</v>
      </c>
      <c r="K418" t="n">
        <v>0</v>
      </c>
      <c r="L418" t="n">
        <v>0</v>
      </c>
      <c r="M418" t="n">
        <v>0</v>
      </c>
      <c r="N418" t="n">
        <v>0</v>
      </c>
      <c r="O418" t="n">
        <v>0</v>
      </c>
      <c r="P418" t="n">
        <v>0</v>
      </c>
      <c r="Q418" t="n">
        <v>0</v>
      </c>
      <c r="R418" s="2" t="inlineStr"/>
    </row>
    <row r="419" ht="15" customHeight="1">
      <c r="A419" t="inlineStr">
        <is>
          <t>A 37185-2023</t>
        </is>
      </c>
      <c r="B419" s="1" t="n">
        <v>45154</v>
      </c>
      <c r="C419" s="1" t="n">
        <v>45894</v>
      </c>
      <c r="D419" t="inlineStr">
        <is>
          <t>SÖDERMANLANDS LÄN</t>
        </is>
      </c>
      <c r="E419" t="inlineStr">
        <is>
          <t>KATRINEHOLM</t>
        </is>
      </c>
      <c r="G419" t="n">
        <v>3</v>
      </c>
      <c r="H419" t="n">
        <v>0</v>
      </c>
      <c r="I419" t="n">
        <v>0</v>
      </c>
      <c r="J419" t="n">
        <v>0</v>
      </c>
      <c r="K419" t="n">
        <v>0</v>
      </c>
      <c r="L419" t="n">
        <v>0</v>
      </c>
      <c r="M419" t="n">
        <v>0</v>
      </c>
      <c r="N419" t="n">
        <v>0</v>
      </c>
      <c r="O419" t="n">
        <v>0</v>
      </c>
      <c r="P419" t="n">
        <v>0</v>
      </c>
      <c r="Q419" t="n">
        <v>0</v>
      </c>
      <c r="R419" s="2" t="inlineStr"/>
    </row>
    <row r="420" ht="15" customHeight="1">
      <c r="A420" t="inlineStr">
        <is>
          <t>A 61867-2020</t>
        </is>
      </c>
      <c r="B420" s="1" t="n">
        <v>44159</v>
      </c>
      <c r="C420" s="1" t="n">
        <v>45894</v>
      </c>
      <c r="D420" t="inlineStr">
        <is>
          <t>SÖDERMANLANDS LÄN</t>
        </is>
      </c>
      <c r="E420" t="inlineStr">
        <is>
          <t>KATRINEHOLM</t>
        </is>
      </c>
      <c r="G420" t="n">
        <v>2.9</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44424.38577546296</v>
      </c>
      <c r="C421" s="1" t="n">
        <v>45894</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55296-2022</t>
        </is>
      </c>
      <c r="B422" s="1" t="n">
        <v>44887</v>
      </c>
      <c r="C422" s="1" t="n">
        <v>45894</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9932-2023</t>
        </is>
      </c>
      <c r="B423" s="1" t="n">
        <v>44985.46709490741</v>
      </c>
      <c r="C423" s="1" t="n">
        <v>45894</v>
      </c>
      <c r="D423" t="inlineStr">
        <is>
          <t>SÖDERMANLANDS LÄN</t>
        </is>
      </c>
      <c r="E423" t="inlineStr">
        <is>
          <t>KATRINEHOLM</t>
        </is>
      </c>
      <c r="G423" t="n">
        <v>0.3</v>
      </c>
      <c r="H423" t="n">
        <v>0</v>
      </c>
      <c r="I423" t="n">
        <v>0</v>
      </c>
      <c r="J423" t="n">
        <v>0</v>
      </c>
      <c r="K423" t="n">
        <v>0</v>
      </c>
      <c r="L423" t="n">
        <v>0</v>
      </c>
      <c r="M423" t="n">
        <v>0</v>
      </c>
      <c r="N423" t="n">
        <v>0</v>
      </c>
      <c r="O423" t="n">
        <v>0</v>
      </c>
      <c r="P423" t="n">
        <v>0</v>
      </c>
      <c r="Q423" t="n">
        <v>0</v>
      </c>
      <c r="R423" s="2" t="inlineStr"/>
    </row>
    <row r="424" ht="15" customHeight="1">
      <c r="A424" t="inlineStr">
        <is>
          <t>A 42590-2022</t>
        </is>
      </c>
      <c r="B424" s="1" t="n">
        <v>44831</v>
      </c>
      <c r="C424" s="1" t="n">
        <v>45894</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24284-2024</t>
        </is>
      </c>
      <c r="B425" s="1" t="n">
        <v>45457</v>
      </c>
      <c r="C425" s="1" t="n">
        <v>45894</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17360-2022</t>
        </is>
      </c>
      <c r="B426" s="1" t="n">
        <v>44678</v>
      </c>
      <c r="C426" s="1" t="n">
        <v>45894</v>
      </c>
      <c r="D426" t="inlineStr">
        <is>
          <t>SÖDERMANLANDS LÄN</t>
        </is>
      </c>
      <c r="E426" t="inlineStr">
        <is>
          <t>KATRINEHOLM</t>
        </is>
      </c>
      <c r="G426" t="n">
        <v>4.5</v>
      </c>
      <c r="H426" t="n">
        <v>0</v>
      </c>
      <c r="I426" t="n">
        <v>0</v>
      </c>
      <c r="J426" t="n">
        <v>0</v>
      </c>
      <c r="K426" t="n">
        <v>0</v>
      </c>
      <c r="L426" t="n">
        <v>0</v>
      </c>
      <c r="M426" t="n">
        <v>0</v>
      </c>
      <c r="N426" t="n">
        <v>0</v>
      </c>
      <c r="O426" t="n">
        <v>0</v>
      </c>
      <c r="P426" t="n">
        <v>0</v>
      </c>
      <c r="Q426" t="n">
        <v>0</v>
      </c>
      <c r="R426" s="2" t="inlineStr"/>
    </row>
    <row r="427" ht="15" customHeight="1">
      <c r="A427" t="inlineStr">
        <is>
          <t>A 66393-2021</t>
        </is>
      </c>
      <c r="B427" s="1" t="n">
        <v>44518</v>
      </c>
      <c r="C427" s="1" t="n">
        <v>45894</v>
      </c>
      <c r="D427" t="inlineStr">
        <is>
          <t>SÖDERMANLANDS LÄN</t>
        </is>
      </c>
      <c r="E427" t="inlineStr">
        <is>
          <t>KATRINEHOLM</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50840-2022</t>
        </is>
      </c>
      <c r="B428" s="1" t="n">
        <v>44862</v>
      </c>
      <c r="C428" s="1" t="n">
        <v>45894</v>
      </c>
      <c r="D428" t="inlineStr">
        <is>
          <t>SÖDERMANLANDS LÄN</t>
        </is>
      </c>
      <c r="E428" t="inlineStr">
        <is>
          <t>KATRINEHOLM</t>
        </is>
      </c>
      <c r="G428" t="n">
        <v>4.2</v>
      </c>
      <c r="H428" t="n">
        <v>0</v>
      </c>
      <c r="I428" t="n">
        <v>0</v>
      </c>
      <c r="J428" t="n">
        <v>0</v>
      </c>
      <c r="K428" t="n">
        <v>0</v>
      </c>
      <c r="L428" t="n">
        <v>0</v>
      </c>
      <c r="M428" t="n">
        <v>0</v>
      </c>
      <c r="N428" t="n">
        <v>0</v>
      </c>
      <c r="O428" t="n">
        <v>0</v>
      </c>
      <c r="P428" t="n">
        <v>0</v>
      </c>
      <c r="Q428" t="n">
        <v>0</v>
      </c>
      <c r="R428" s="2" t="inlineStr"/>
    </row>
    <row r="429" ht="15" customHeight="1">
      <c r="A429" t="inlineStr">
        <is>
          <t>A 13113-2023</t>
        </is>
      </c>
      <c r="B429" s="1" t="n">
        <v>45002</v>
      </c>
      <c r="C429" s="1" t="n">
        <v>45894</v>
      </c>
      <c r="D429" t="inlineStr">
        <is>
          <t>SÖDERMANLANDS LÄN</t>
        </is>
      </c>
      <c r="E429" t="inlineStr">
        <is>
          <t>KATRINEHOLM</t>
        </is>
      </c>
      <c r="F429" t="inlineStr">
        <is>
          <t>Allmännings- och besparingsskogar</t>
        </is>
      </c>
      <c r="G429" t="n">
        <v>3.6</v>
      </c>
      <c r="H429" t="n">
        <v>0</v>
      </c>
      <c r="I429" t="n">
        <v>0</v>
      </c>
      <c r="J429" t="n">
        <v>0</v>
      </c>
      <c r="K429" t="n">
        <v>0</v>
      </c>
      <c r="L429" t="n">
        <v>0</v>
      </c>
      <c r="M429" t="n">
        <v>0</v>
      </c>
      <c r="N429" t="n">
        <v>0</v>
      </c>
      <c r="O429" t="n">
        <v>0</v>
      </c>
      <c r="P429" t="n">
        <v>0</v>
      </c>
      <c r="Q429" t="n">
        <v>0</v>
      </c>
      <c r="R429" s="2" t="inlineStr"/>
    </row>
    <row r="430" ht="15" customHeight="1">
      <c r="A430" t="inlineStr">
        <is>
          <t>A 48520-2023</t>
        </is>
      </c>
      <c r="B430" s="1" t="n">
        <v>45208</v>
      </c>
      <c r="C430" s="1" t="n">
        <v>45894</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14245-2024</t>
        </is>
      </c>
      <c r="B431" s="1" t="n">
        <v>45393</v>
      </c>
      <c r="C431" s="1" t="n">
        <v>45894</v>
      </c>
      <c r="D431" t="inlineStr">
        <is>
          <t>SÖDERMANLANDS LÄN</t>
        </is>
      </c>
      <c r="E431" t="inlineStr">
        <is>
          <t>KATRINEHOLM</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9693-2024</t>
        </is>
      </c>
      <c r="B432" s="1" t="n">
        <v>45362</v>
      </c>
      <c r="C432" s="1" t="n">
        <v>45894</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24902-2024</t>
        </is>
      </c>
      <c r="B433" s="1" t="n">
        <v>45461</v>
      </c>
      <c r="C433" s="1" t="n">
        <v>45894</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32818-2023</t>
        </is>
      </c>
      <c r="B434" s="1" t="n">
        <v>45124.55633101852</v>
      </c>
      <c r="C434" s="1" t="n">
        <v>45894</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36832-2023</t>
        </is>
      </c>
      <c r="B435" s="1" t="n">
        <v>45153</v>
      </c>
      <c r="C435" s="1" t="n">
        <v>45894</v>
      </c>
      <c r="D435" t="inlineStr">
        <is>
          <t>SÖDERMANLANDS LÄN</t>
        </is>
      </c>
      <c r="E435" t="inlineStr">
        <is>
          <t>KATRINEHOLM</t>
        </is>
      </c>
      <c r="F435" t="inlineStr">
        <is>
          <t>Övriga Aktiebolag</t>
        </is>
      </c>
      <c r="G435" t="n">
        <v>9</v>
      </c>
      <c r="H435" t="n">
        <v>0</v>
      </c>
      <c r="I435" t="n">
        <v>0</v>
      </c>
      <c r="J435" t="n">
        <v>0</v>
      </c>
      <c r="K435" t="n">
        <v>0</v>
      </c>
      <c r="L435" t="n">
        <v>0</v>
      </c>
      <c r="M435" t="n">
        <v>0</v>
      </c>
      <c r="N435" t="n">
        <v>0</v>
      </c>
      <c r="O435" t="n">
        <v>0</v>
      </c>
      <c r="P435" t="n">
        <v>0</v>
      </c>
      <c r="Q435" t="n">
        <v>0</v>
      </c>
      <c r="R435" s="2" t="inlineStr"/>
    </row>
    <row r="436" ht="15" customHeight="1">
      <c r="A436" t="inlineStr">
        <is>
          <t>A 57132-2020</t>
        </is>
      </c>
      <c r="B436" s="1" t="n">
        <v>44139</v>
      </c>
      <c r="C436" s="1" t="n">
        <v>45894</v>
      </c>
      <c r="D436" t="inlineStr">
        <is>
          <t>SÖDERMANLANDS LÄN</t>
        </is>
      </c>
      <c r="E436" t="inlineStr">
        <is>
          <t>KATRINEHOLM</t>
        </is>
      </c>
      <c r="G436" t="n">
        <v>4</v>
      </c>
      <c r="H436" t="n">
        <v>0</v>
      </c>
      <c r="I436" t="n">
        <v>0</v>
      </c>
      <c r="J436" t="n">
        <v>0</v>
      </c>
      <c r="K436" t="n">
        <v>0</v>
      </c>
      <c r="L436" t="n">
        <v>0</v>
      </c>
      <c r="M436" t="n">
        <v>0</v>
      </c>
      <c r="N436" t="n">
        <v>0</v>
      </c>
      <c r="O436" t="n">
        <v>0</v>
      </c>
      <c r="P436" t="n">
        <v>0</v>
      </c>
      <c r="Q436" t="n">
        <v>0</v>
      </c>
      <c r="R436" s="2" t="inlineStr"/>
    </row>
    <row r="437" ht="15" customHeight="1">
      <c r="A437" t="inlineStr">
        <is>
          <t>A 35864-2023</t>
        </is>
      </c>
      <c r="B437" s="1" t="n">
        <v>45147</v>
      </c>
      <c r="C437" s="1" t="n">
        <v>45894</v>
      </c>
      <c r="D437" t="inlineStr">
        <is>
          <t>SÖDERMANLANDS LÄN</t>
        </is>
      </c>
      <c r="E437" t="inlineStr">
        <is>
          <t>KATRINEHOLM</t>
        </is>
      </c>
      <c r="F437" t="inlineStr">
        <is>
          <t>Övriga Aktiebolag</t>
        </is>
      </c>
      <c r="G437" t="n">
        <v>4.7</v>
      </c>
      <c r="H437" t="n">
        <v>0</v>
      </c>
      <c r="I437" t="n">
        <v>0</v>
      </c>
      <c r="J437" t="n">
        <v>0</v>
      </c>
      <c r="K437" t="n">
        <v>0</v>
      </c>
      <c r="L437" t="n">
        <v>0</v>
      </c>
      <c r="M437" t="n">
        <v>0</v>
      </c>
      <c r="N437" t="n">
        <v>0</v>
      </c>
      <c r="O437" t="n">
        <v>0</v>
      </c>
      <c r="P437" t="n">
        <v>0</v>
      </c>
      <c r="Q437" t="n">
        <v>0</v>
      </c>
      <c r="R437" s="2" t="inlineStr"/>
    </row>
    <row r="438" ht="15" customHeight="1">
      <c r="A438" t="inlineStr">
        <is>
          <t>A 39052-2023</t>
        </is>
      </c>
      <c r="B438" s="1" t="n">
        <v>45163</v>
      </c>
      <c r="C438" s="1" t="n">
        <v>45894</v>
      </c>
      <c r="D438" t="inlineStr">
        <is>
          <t>SÖDERMANLANDS LÄN</t>
        </is>
      </c>
      <c r="E438" t="inlineStr">
        <is>
          <t>KATRINEHOLM</t>
        </is>
      </c>
      <c r="G438" t="n">
        <v>3</v>
      </c>
      <c r="H438" t="n">
        <v>0</v>
      </c>
      <c r="I438" t="n">
        <v>0</v>
      </c>
      <c r="J438" t="n">
        <v>0</v>
      </c>
      <c r="K438" t="n">
        <v>0</v>
      </c>
      <c r="L438" t="n">
        <v>0</v>
      </c>
      <c r="M438" t="n">
        <v>0</v>
      </c>
      <c r="N438" t="n">
        <v>0</v>
      </c>
      <c r="O438" t="n">
        <v>0</v>
      </c>
      <c r="P438" t="n">
        <v>0</v>
      </c>
      <c r="Q438" t="n">
        <v>0</v>
      </c>
      <c r="R438" s="2" t="inlineStr"/>
    </row>
    <row r="439" ht="15" customHeight="1">
      <c r="A439" t="inlineStr">
        <is>
          <t>A 2603-2025</t>
        </is>
      </c>
      <c r="B439" s="1" t="n">
        <v>45674</v>
      </c>
      <c r="C439" s="1" t="n">
        <v>45894</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41946-2022</t>
        </is>
      </c>
      <c r="B440" s="1" t="n">
        <v>44830.38502314815</v>
      </c>
      <c r="C440" s="1" t="n">
        <v>45894</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51613-2022</t>
        </is>
      </c>
      <c r="B441" s="1" t="n">
        <v>44871</v>
      </c>
      <c r="C441" s="1" t="n">
        <v>45894</v>
      </c>
      <c r="D441" t="inlineStr">
        <is>
          <t>SÖDERMANLANDS LÄN</t>
        </is>
      </c>
      <c r="E441" t="inlineStr">
        <is>
          <t>KATRINEHOLM</t>
        </is>
      </c>
      <c r="G441" t="n">
        <v>3</v>
      </c>
      <c r="H441" t="n">
        <v>0</v>
      </c>
      <c r="I441" t="n">
        <v>0</v>
      </c>
      <c r="J441" t="n">
        <v>0</v>
      </c>
      <c r="K441" t="n">
        <v>0</v>
      </c>
      <c r="L441" t="n">
        <v>0</v>
      </c>
      <c r="M441" t="n">
        <v>0</v>
      </c>
      <c r="N441" t="n">
        <v>0</v>
      </c>
      <c r="O441" t="n">
        <v>0</v>
      </c>
      <c r="P441" t="n">
        <v>0</v>
      </c>
      <c r="Q441" t="n">
        <v>0</v>
      </c>
      <c r="R441" s="2" t="inlineStr"/>
    </row>
    <row r="442" ht="15" customHeight="1">
      <c r="A442" t="inlineStr">
        <is>
          <t>A 27886-2024</t>
        </is>
      </c>
      <c r="B442" s="1" t="n">
        <v>45475</v>
      </c>
      <c r="C442" s="1" t="n">
        <v>45894</v>
      </c>
      <c r="D442" t="inlineStr">
        <is>
          <t>SÖDERMANLANDS LÄN</t>
        </is>
      </c>
      <c r="E442" t="inlineStr">
        <is>
          <t>KATRINEHOLM</t>
        </is>
      </c>
      <c r="G442" t="n">
        <v>10.3</v>
      </c>
      <c r="H442" t="n">
        <v>0</v>
      </c>
      <c r="I442" t="n">
        <v>0</v>
      </c>
      <c r="J442" t="n">
        <v>0</v>
      </c>
      <c r="K442" t="n">
        <v>0</v>
      </c>
      <c r="L442" t="n">
        <v>0</v>
      </c>
      <c r="M442" t="n">
        <v>0</v>
      </c>
      <c r="N442" t="n">
        <v>0</v>
      </c>
      <c r="O442" t="n">
        <v>0</v>
      </c>
      <c r="P442" t="n">
        <v>0</v>
      </c>
      <c r="Q442" t="n">
        <v>0</v>
      </c>
      <c r="R442" s="2" t="inlineStr"/>
    </row>
    <row r="443" ht="15" customHeight="1">
      <c r="A443" t="inlineStr">
        <is>
          <t>A 61423-2024</t>
        </is>
      </c>
      <c r="B443" s="1" t="n">
        <v>45646.45209490741</v>
      </c>
      <c r="C443" s="1" t="n">
        <v>45894</v>
      </c>
      <c r="D443" t="inlineStr">
        <is>
          <t>SÖDERMANLANDS LÄN</t>
        </is>
      </c>
      <c r="E443" t="inlineStr">
        <is>
          <t>KATRINEHOLM</t>
        </is>
      </c>
      <c r="G443" t="n">
        <v>1.2</v>
      </c>
      <c r="H443" t="n">
        <v>0</v>
      </c>
      <c r="I443" t="n">
        <v>0</v>
      </c>
      <c r="J443" t="n">
        <v>0</v>
      </c>
      <c r="K443" t="n">
        <v>0</v>
      </c>
      <c r="L443" t="n">
        <v>0</v>
      </c>
      <c r="M443" t="n">
        <v>0</v>
      </c>
      <c r="N443" t="n">
        <v>0</v>
      </c>
      <c r="O443" t="n">
        <v>0</v>
      </c>
      <c r="P443" t="n">
        <v>0</v>
      </c>
      <c r="Q443" t="n">
        <v>0</v>
      </c>
      <c r="R443" s="2" t="inlineStr"/>
    </row>
    <row r="444" ht="15" customHeight="1">
      <c r="A444" t="inlineStr">
        <is>
          <t>A 19868-2022</t>
        </is>
      </c>
      <c r="B444" s="1" t="n">
        <v>44696</v>
      </c>
      <c r="C444" s="1" t="n">
        <v>45894</v>
      </c>
      <c r="D444" t="inlineStr">
        <is>
          <t>SÖDERMANLANDS LÄN</t>
        </is>
      </c>
      <c r="E444" t="inlineStr">
        <is>
          <t>KATRINEHOLM</t>
        </is>
      </c>
      <c r="G444" t="n">
        <v>13</v>
      </c>
      <c r="H444" t="n">
        <v>0</v>
      </c>
      <c r="I444" t="n">
        <v>0</v>
      </c>
      <c r="J444" t="n">
        <v>0</v>
      </c>
      <c r="K444" t="n">
        <v>0</v>
      </c>
      <c r="L444" t="n">
        <v>0</v>
      </c>
      <c r="M444" t="n">
        <v>0</v>
      </c>
      <c r="N444" t="n">
        <v>0</v>
      </c>
      <c r="O444" t="n">
        <v>0</v>
      </c>
      <c r="P444" t="n">
        <v>0</v>
      </c>
      <c r="Q444" t="n">
        <v>0</v>
      </c>
      <c r="R444" s="2" t="inlineStr"/>
    </row>
    <row r="445" ht="15" customHeight="1">
      <c r="A445" t="inlineStr">
        <is>
          <t>A 58651-2023</t>
        </is>
      </c>
      <c r="B445" s="1" t="n">
        <v>45247</v>
      </c>
      <c r="C445" s="1" t="n">
        <v>45894</v>
      </c>
      <c r="D445" t="inlineStr">
        <is>
          <t>SÖDERMANLANDS LÄN</t>
        </is>
      </c>
      <c r="E445" t="inlineStr">
        <is>
          <t>KATRINEHOLM</t>
        </is>
      </c>
      <c r="G445" t="n">
        <v>2.7</v>
      </c>
      <c r="H445" t="n">
        <v>0</v>
      </c>
      <c r="I445" t="n">
        <v>0</v>
      </c>
      <c r="J445" t="n">
        <v>0</v>
      </c>
      <c r="K445" t="n">
        <v>0</v>
      </c>
      <c r="L445" t="n">
        <v>0</v>
      </c>
      <c r="M445" t="n">
        <v>0</v>
      </c>
      <c r="N445" t="n">
        <v>0</v>
      </c>
      <c r="O445" t="n">
        <v>0</v>
      </c>
      <c r="P445" t="n">
        <v>0</v>
      </c>
      <c r="Q445" t="n">
        <v>0</v>
      </c>
      <c r="R445" s="2" t="inlineStr"/>
    </row>
    <row r="446" ht="15" customHeight="1">
      <c r="A446" t="inlineStr">
        <is>
          <t>A 6810-2023</t>
        </is>
      </c>
      <c r="B446" s="1" t="n">
        <v>44964</v>
      </c>
      <c r="C446" s="1" t="n">
        <v>45894</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11635-2023</t>
        </is>
      </c>
      <c r="B447" s="1" t="n">
        <v>44994</v>
      </c>
      <c r="C447" s="1" t="n">
        <v>45894</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57648-2020</t>
        </is>
      </c>
      <c r="B448" s="1" t="n">
        <v>44140.69324074074</v>
      </c>
      <c r="C448" s="1" t="n">
        <v>45894</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34732-2022</t>
        </is>
      </c>
      <c r="B449" s="1" t="n">
        <v>44795</v>
      </c>
      <c r="C449" s="1" t="n">
        <v>45894</v>
      </c>
      <c r="D449" t="inlineStr">
        <is>
          <t>SÖDERMANLANDS LÄN</t>
        </is>
      </c>
      <c r="E449" t="inlineStr">
        <is>
          <t>KATRINEHOLM</t>
        </is>
      </c>
      <c r="G449" t="n">
        <v>3</v>
      </c>
      <c r="H449" t="n">
        <v>0</v>
      </c>
      <c r="I449" t="n">
        <v>0</v>
      </c>
      <c r="J449" t="n">
        <v>0</v>
      </c>
      <c r="K449" t="n">
        <v>0</v>
      </c>
      <c r="L449" t="n">
        <v>0</v>
      </c>
      <c r="M449" t="n">
        <v>0</v>
      </c>
      <c r="N449" t="n">
        <v>0</v>
      </c>
      <c r="O449" t="n">
        <v>0</v>
      </c>
      <c r="P449" t="n">
        <v>0</v>
      </c>
      <c r="Q449" t="n">
        <v>0</v>
      </c>
      <c r="R449" s="2" t="inlineStr"/>
    </row>
    <row r="450" ht="15" customHeight="1">
      <c r="A450" t="inlineStr">
        <is>
          <t>A 8765-2023</t>
        </is>
      </c>
      <c r="B450" s="1" t="n">
        <v>44978.52131944444</v>
      </c>
      <c r="C450" s="1" t="n">
        <v>45894</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24596-2025</t>
        </is>
      </c>
      <c r="B451" s="1" t="n">
        <v>45798.5558912037</v>
      </c>
      <c r="C451" s="1" t="n">
        <v>45894</v>
      </c>
      <c r="D451" t="inlineStr">
        <is>
          <t>SÖDERMANLANDS LÄN</t>
        </is>
      </c>
      <c r="E451" t="inlineStr">
        <is>
          <t>KATRINEHOLM</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24605-2025</t>
        </is>
      </c>
      <c r="B452" s="1" t="n">
        <v>45798.57403935185</v>
      </c>
      <c r="C452" s="1" t="n">
        <v>45894</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53999-2023</t>
        </is>
      </c>
      <c r="B453" s="1" t="n">
        <v>45231</v>
      </c>
      <c r="C453" s="1" t="n">
        <v>45894</v>
      </c>
      <c r="D453" t="inlineStr">
        <is>
          <t>SÖDERMANLANDS LÄN</t>
        </is>
      </c>
      <c r="E453" t="inlineStr">
        <is>
          <t>KATRINEHOLM</t>
        </is>
      </c>
      <c r="G453" t="n">
        <v>5.4</v>
      </c>
      <c r="H453" t="n">
        <v>0</v>
      </c>
      <c r="I453" t="n">
        <v>0</v>
      </c>
      <c r="J453" t="n">
        <v>0</v>
      </c>
      <c r="K453" t="n">
        <v>0</v>
      </c>
      <c r="L453" t="n">
        <v>0</v>
      </c>
      <c r="M453" t="n">
        <v>0</v>
      </c>
      <c r="N453" t="n">
        <v>0</v>
      </c>
      <c r="O453" t="n">
        <v>0</v>
      </c>
      <c r="P453" t="n">
        <v>0</v>
      </c>
      <c r="Q453" t="n">
        <v>0</v>
      </c>
      <c r="R453" s="2" t="inlineStr"/>
    </row>
    <row r="454" ht="15" customHeight="1">
      <c r="A454" t="inlineStr">
        <is>
          <t>A 41727-2024</t>
        </is>
      </c>
      <c r="B454" s="1" t="n">
        <v>45560</v>
      </c>
      <c r="C454" s="1" t="n">
        <v>45894</v>
      </c>
      <c r="D454" t="inlineStr">
        <is>
          <t>SÖDERMANLANDS LÄN</t>
        </is>
      </c>
      <c r="E454" t="inlineStr">
        <is>
          <t>KATRINEHOLM</t>
        </is>
      </c>
      <c r="G454" t="n">
        <v>3.9</v>
      </c>
      <c r="H454" t="n">
        <v>0</v>
      </c>
      <c r="I454" t="n">
        <v>0</v>
      </c>
      <c r="J454" t="n">
        <v>0</v>
      </c>
      <c r="K454" t="n">
        <v>0</v>
      </c>
      <c r="L454" t="n">
        <v>0</v>
      </c>
      <c r="M454" t="n">
        <v>0</v>
      </c>
      <c r="N454" t="n">
        <v>0</v>
      </c>
      <c r="O454" t="n">
        <v>0</v>
      </c>
      <c r="P454" t="n">
        <v>0</v>
      </c>
      <c r="Q454" t="n">
        <v>0</v>
      </c>
      <c r="R454" s="2" t="inlineStr"/>
    </row>
    <row r="455" ht="15" customHeight="1">
      <c r="A455" t="inlineStr">
        <is>
          <t>A 3982-2024</t>
        </is>
      </c>
      <c r="B455" s="1" t="n">
        <v>45322</v>
      </c>
      <c r="C455" s="1" t="n">
        <v>45894</v>
      </c>
      <c r="D455" t="inlineStr">
        <is>
          <t>SÖDERMANLANDS LÄN</t>
        </is>
      </c>
      <c r="E455" t="inlineStr">
        <is>
          <t>KATRINEHOLM</t>
        </is>
      </c>
      <c r="G455" t="n">
        <v>3.7</v>
      </c>
      <c r="H455" t="n">
        <v>0</v>
      </c>
      <c r="I455" t="n">
        <v>0</v>
      </c>
      <c r="J455" t="n">
        <v>0</v>
      </c>
      <c r="K455" t="n">
        <v>0</v>
      </c>
      <c r="L455" t="n">
        <v>0</v>
      </c>
      <c r="M455" t="n">
        <v>0</v>
      </c>
      <c r="N455" t="n">
        <v>0</v>
      </c>
      <c r="O455" t="n">
        <v>0</v>
      </c>
      <c r="P455" t="n">
        <v>0</v>
      </c>
      <c r="Q455" t="n">
        <v>0</v>
      </c>
      <c r="R455" s="2" t="inlineStr"/>
    </row>
    <row r="456" ht="15" customHeight="1">
      <c r="A456" t="inlineStr">
        <is>
          <t>A 13086-2023</t>
        </is>
      </c>
      <c r="B456" s="1" t="n">
        <v>45002.42188657408</v>
      </c>
      <c r="C456" s="1" t="n">
        <v>45894</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28992-2024</t>
        </is>
      </c>
      <c r="B457" s="1" t="n">
        <v>45481.49289351852</v>
      </c>
      <c r="C457" s="1" t="n">
        <v>45894</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25433-2024</t>
        </is>
      </c>
      <c r="B458" s="1" t="n">
        <v>45463</v>
      </c>
      <c r="C458" s="1" t="n">
        <v>45894</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17820-2025</t>
        </is>
      </c>
      <c r="B459" s="1" t="n">
        <v>45758</v>
      </c>
      <c r="C459" s="1" t="n">
        <v>45894</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57154-2023</t>
        </is>
      </c>
      <c r="B460" s="1" t="n">
        <v>45245</v>
      </c>
      <c r="C460" s="1" t="n">
        <v>45894</v>
      </c>
      <c r="D460" t="inlineStr">
        <is>
          <t>SÖDERMANLANDS LÄN</t>
        </is>
      </c>
      <c r="E460" t="inlineStr">
        <is>
          <t>KATRINEHOLM</t>
        </is>
      </c>
      <c r="F460" t="inlineStr">
        <is>
          <t>Allmännings- och besparingsskogar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30242-2023</t>
        </is>
      </c>
      <c r="B461" s="1" t="n">
        <v>45099</v>
      </c>
      <c r="C461" s="1" t="n">
        <v>45894</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57265-2022</t>
        </is>
      </c>
      <c r="B462" s="1" t="n">
        <v>44895</v>
      </c>
      <c r="C462" s="1" t="n">
        <v>45894</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42111-2022</t>
        </is>
      </c>
      <c r="B463" s="1" t="n">
        <v>44830</v>
      </c>
      <c r="C463" s="1" t="n">
        <v>45894</v>
      </c>
      <c r="D463" t="inlineStr">
        <is>
          <t>SÖDERMANLANDS LÄN</t>
        </is>
      </c>
      <c r="E463" t="inlineStr">
        <is>
          <t>KATRINEHOLM</t>
        </is>
      </c>
      <c r="G463" t="n">
        <v>2.5</v>
      </c>
      <c r="H463" t="n">
        <v>0</v>
      </c>
      <c r="I463" t="n">
        <v>0</v>
      </c>
      <c r="J463" t="n">
        <v>0</v>
      </c>
      <c r="K463" t="n">
        <v>0</v>
      </c>
      <c r="L463" t="n">
        <v>0</v>
      </c>
      <c r="M463" t="n">
        <v>0</v>
      </c>
      <c r="N463" t="n">
        <v>0</v>
      </c>
      <c r="O463" t="n">
        <v>0</v>
      </c>
      <c r="P463" t="n">
        <v>0</v>
      </c>
      <c r="Q463" t="n">
        <v>0</v>
      </c>
      <c r="R463" s="2" t="inlineStr"/>
    </row>
    <row r="464" ht="15" customHeight="1">
      <c r="A464" t="inlineStr">
        <is>
          <t>A 24566-2025</t>
        </is>
      </c>
      <c r="B464" s="1" t="n">
        <v>45798.46452546296</v>
      </c>
      <c r="C464" s="1" t="n">
        <v>45894</v>
      </c>
      <c r="D464" t="inlineStr">
        <is>
          <t>SÖDERMANLANDS LÄN</t>
        </is>
      </c>
      <c r="E464" t="inlineStr">
        <is>
          <t>KATRINEHOLM</t>
        </is>
      </c>
      <c r="G464" t="n">
        <v>6.3</v>
      </c>
      <c r="H464" t="n">
        <v>0</v>
      </c>
      <c r="I464" t="n">
        <v>0</v>
      </c>
      <c r="J464" t="n">
        <v>0</v>
      </c>
      <c r="K464" t="n">
        <v>0</v>
      </c>
      <c r="L464" t="n">
        <v>0</v>
      </c>
      <c r="M464" t="n">
        <v>0</v>
      </c>
      <c r="N464" t="n">
        <v>0</v>
      </c>
      <c r="O464" t="n">
        <v>0</v>
      </c>
      <c r="P464" t="n">
        <v>0</v>
      </c>
      <c r="Q464" t="n">
        <v>0</v>
      </c>
      <c r="R464" s="2" t="inlineStr"/>
    </row>
    <row r="465" ht="15" customHeight="1">
      <c r="A465" t="inlineStr">
        <is>
          <t>A 56086-2023</t>
        </is>
      </c>
      <c r="B465" s="1" t="n">
        <v>45240</v>
      </c>
      <c r="C465" s="1" t="n">
        <v>45894</v>
      </c>
      <c r="D465" t="inlineStr">
        <is>
          <t>SÖDERMANLANDS LÄN</t>
        </is>
      </c>
      <c r="E465" t="inlineStr">
        <is>
          <t>KATRINEHOLM</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24719-2025</t>
        </is>
      </c>
      <c r="B466" s="1" t="n">
        <v>45799</v>
      </c>
      <c r="C466" s="1" t="n">
        <v>45894</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6298-2024</t>
        </is>
      </c>
      <c r="B467" s="1" t="n">
        <v>45338.34245370371</v>
      </c>
      <c r="C467" s="1" t="n">
        <v>45894</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24717-2025</t>
        </is>
      </c>
      <c r="B468" s="1" t="n">
        <v>45799.27168981481</v>
      </c>
      <c r="C468" s="1" t="n">
        <v>45894</v>
      </c>
      <c r="D468" t="inlineStr">
        <is>
          <t>SÖDERMANLANDS LÄN</t>
        </is>
      </c>
      <c r="E468" t="inlineStr">
        <is>
          <t>KATRINEHOLM</t>
        </is>
      </c>
      <c r="G468" t="n">
        <v>24.5</v>
      </c>
      <c r="H468" t="n">
        <v>0</v>
      </c>
      <c r="I468" t="n">
        <v>0</v>
      </c>
      <c r="J468" t="n">
        <v>0</v>
      </c>
      <c r="K468" t="n">
        <v>0</v>
      </c>
      <c r="L468" t="n">
        <v>0</v>
      </c>
      <c r="M468" t="n">
        <v>0</v>
      </c>
      <c r="N468" t="n">
        <v>0</v>
      </c>
      <c r="O468" t="n">
        <v>0</v>
      </c>
      <c r="P468" t="n">
        <v>0</v>
      </c>
      <c r="Q468" t="n">
        <v>0</v>
      </c>
      <c r="R468" s="2" t="inlineStr"/>
    </row>
    <row r="469" ht="15" customHeight="1">
      <c r="A469" t="inlineStr">
        <is>
          <t>A 36021-2023</t>
        </is>
      </c>
      <c r="B469" s="1" t="n">
        <v>45148</v>
      </c>
      <c r="C469" s="1" t="n">
        <v>45894</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25786-2025</t>
        </is>
      </c>
      <c r="B470" s="1" t="n">
        <v>45804.37456018518</v>
      </c>
      <c r="C470" s="1" t="n">
        <v>45894</v>
      </c>
      <c r="D470" t="inlineStr">
        <is>
          <t>SÖDERMANLANDS LÄN</t>
        </is>
      </c>
      <c r="E470" t="inlineStr">
        <is>
          <t>KATRINEHOLM</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48877-2022</t>
        </is>
      </c>
      <c r="B471" s="1" t="n">
        <v>44859</v>
      </c>
      <c r="C471" s="1" t="n">
        <v>45894</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40402-2022</t>
        </is>
      </c>
      <c r="B472" s="1" t="n">
        <v>44823.44353009259</v>
      </c>
      <c r="C472" s="1" t="n">
        <v>45894</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34539-2022</t>
        </is>
      </c>
      <c r="B473" s="1" t="n">
        <v>44793.50563657407</v>
      </c>
      <c r="C473" s="1" t="n">
        <v>45894</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45894</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27334-2023</t>
        </is>
      </c>
      <c r="B475" s="1" t="n">
        <v>45096</v>
      </c>
      <c r="C475" s="1" t="n">
        <v>45894</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23705-2023</t>
        </is>
      </c>
      <c r="B476" s="1" t="n">
        <v>45077</v>
      </c>
      <c r="C476" s="1" t="n">
        <v>45894</v>
      </c>
      <c r="D476" t="inlineStr">
        <is>
          <t>SÖDERMANLANDS LÄN</t>
        </is>
      </c>
      <c r="E476" t="inlineStr">
        <is>
          <t>KATRINEHOLM</t>
        </is>
      </c>
      <c r="F476" t="inlineStr">
        <is>
          <t>Kyrkan</t>
        </is>
      </c>
      <c r="G476" t="n">
        <v>11.9</v>
      </c>
      <c r="H476" t="n">
        <v>0</v>
      </c>
      <c r="I476" t="n">
        <v>0</v>
      </c>
      <c r="J476" t="n">
        <v>0</v>
      </c>
      <c r="K476" t="n">
        <v>0</v>
      </c>
      <c r="L476" t="n">
        <v>0</v>
      </c>
      <c r="M476" t="n">
        <v>0</v>
      </c>
      <c r="N476" t="n">
        <v>0</v>
      </c>
      <c r="O476" t="n">
        <v>0</v>
      </c>
      <c r="P476" t="n">
        <v>0</v>
      </c>
      <c r="Q476" t="n">
        <v>0</v>
      </c>
      <c r="R476" s="2" t="inlineStr"/>
    </row>
    <row r="477" ht="15" customHeight="1">
      <c r="A477" t="inlineStr">
        <is>
          <t>A 26154-2025</t>
        </is>
      </c>
      <c r="B477" s="1" t="n">
        <v>45805.43341435185</v>
      </c>
      <c r="C477" s="1" t="n">
        <v>45894</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7305-2024</t>
        </is>
      </c>
      <c r="B478" s="1" t="n">
        <v>45344</v>
      </c>
      <c r="C478" s="1" t="n">
        <v>45894</v>
      </c>
      <c r="D478" t="inlineStr">
        <is>
          <t>SÖDERMANLANDS LÄN</t>
        </is>
      </c>
      <c r="E478" t="inlineStr">
        <is>
          <t>KATRINEHOLM</t>
        </is>
      </c>
      <c r="G478" t="n">
        <v>0.7</v>
      </c>
      <c r="H478" t="n">
        <v>0</v>
      </c>
      <c r="I478" t="n">
        <v>0</v>
      </c>
      <c r="J478" t="n">
        <v>0</v>
      </c>
      <c r="K478" t="n">
        <v>0</v>
      </c>
      <c r="L478" t="n">
        <v>0</v>
      </c>
      <c r="M478" t="n">
        <v>0</v>
      </c>
      <c r="N478" t="n">
        <v>0</v>
      </c>
      <c r="O478" t="n">
        <v>0</v>
      </c>
      <c r="P478" t="n">
        <v>0</v>
      </c>
      <c r="Q478" t="n">
        <v>0</v>
      </c>
      <c r="R478" s="2" t="inlineStr"/>
    </row>
    <row r="479" ht="15" customHeight="1">
      <c r="A479" t="inlineStr">
        <is>
          <t>A 26684-2025</t>
        </is>
      </c>
      <c r="B479" s="1" t="n">
        <v>45810</v>
      </c>
      <c r="C479" s="1" t="n">
        <v>45894</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26156-2025</t>
        </is>
      </c>
      <c r="B480" s="1" t="n">
        <v>45805.43864583333</v>
      </c>
      <c r="C480" s="1" t="n">
        <v>45894</v>
      </c>
      <c r="D480" t="inlineStr">
        <is>
          <t>SÖDERMANLANDS LÄN</t>
        </is>
      </c>
      <c r="E480" t="inlineStr">
        <is>
          <t>KATRINEHOLM</t>
        </is>
      </c>
      <c r="G480" t="n">
        <v>4.1</v>
      </c>
      <c r="H480" t="n">
        <v>0</v>
      </c>
      <c r="I480" t="n">
        <v>0</v>
      </c>
      <c r="J480" t="n">
        <v>0</v>
      </c>
      <c r="K480" t="n">
        <v>0</v>
      </c>
      <c r="L480" t="n">
        <v>0</v>
      </c>
      <c r="M480" t="n">
        <v>0</v>
      </c>
      <c r="N480" t="n">
        <v>0</v>
      </c>
      <c r="O480" t="n">
        <v>0</v>
      </c>
      <c r="P480" t="n">
        <v>0</v>
      </c>
      <c r="Q480" t="n">
        <v>0</v>
      </c>
      <c r="R480" s="2" t="inlineStr"/>
    </row>
    <row r="481" ht="15" customHeight="1">
      <c r="A481" t="inlineStr">
        <is>
          <t>A 7704-2023</t>
        </is>
      </c>
      <c r="B481" s="1" t="n">
        <v>44968</v>
      </c>
      <c r="C481" s="1" t="n">
        <v>45894</v>
      </c>
      <c r="D481" t="inlineStr">
        <is>
          <t>SÖDERMANLANDS LÄN</t>
        </is>
      </c>
      <c r="E481" t="inlineStr">
        <is>
          <t>KATRINEHOLM</t>
        </is>
      </c>
      <c r="G481" t="n">
        <v>7.3</v>
      </c>
      <c r="H481" t="n">
        <v>0</v>
      </c>
      <c r="I481" t="n">
        <v>0</v>
      </c>
      <c r="J481" t="n">
        <v>0</v>
      </c>
      <c r="K481" t="n">
        <v>0</v>
      </c>
      <c r="L481" t="n">
        <v>0</v>
      </c>
      <c r="M481" t="n">
        <v>0</v>
      </c>
      <c r="N481" t="n">
        <v>0</v>
      </c>
      <c r="O481" t="n">
        <v>0</v>
      </c>
      <c r="P481" t="n">
        <v>0</v>
      </c>
      <c r="Q481" t="n">
        <v>0</v>
      </c>
      <c r="R481" s="2" t="inlineStr"/>
    </row>
    <row r="482" ht="15" customHeight="1">
      <c r="A482" t="inlineStr">
        <is>
          <t>A 58528-2024</t>
        </is>
      </c>
      <c r="B482" s="1" t="n">
        <v>45635.44527777778</v>
      </c>
      <c r="C482" s="1" t="n">
        <v>45894</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52769-2023</t>
        </is>
      </c>
      <c r="B483" s="1" t="n">
        <v>45226</v>
      </c>
      <c r="C483" s="1" t="n">
        <v>45894</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7223-2022</t>
        </is>
      </c>
      <c r="B484" s="1" t="n">
        <v>44603</v>
      </c>
      <c r="C484" s="1" t="n">
        <v>45894</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14478-2023</t>
        </is>
      </c>
      <c r="B485" s="1" t="n">
        <v>45012.66421296296</v>
      </c>
      <c r="C485" s="1" t="n">
        <v>45894</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39055-2022</t>
        </is>
      </c>
      <c r="B486" s="1" t="n">
        <v>44817</v>
      </c>
      <c r="C486" s="1" t="n">
        <v>45894</v>
      </c>
      <c r="D486" t="inlineStr">
        <is>
          <t>SÖDERMANLANDS LÄN</t>
        </is>
      </c>
      <c r="E486" t="inlineStr">
        <is>
          <t>KATRINEHOLM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35160-2025</t>
        </is>
      </c>
      <c r="B487" s="1" t="n">
        <v>45852.70430555556</v>
      </c>
      <c r="C487" s="1" t="n">
        <v>45894</v>
      </c>
      <c r="D487" t="inlineStr">
        <is>
          <t>SÖDERMANLANDS LÄN</t>
        </is>
      </c>
      <c r="E487" t="inlineStr">
        <is>
          <t>KATRINEHOLM</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35165-2025</t>
        </is>
      </c>
      <c r="B488" s="1" t="n">
        <v>45852.72320601852</v>
      </c>
      <c r="C488" s="1" t="n">
        <v>45894</v>
      </c>
      <c r="D488" t="inlineStr">
        <is>
          <t>SÖDERMANLANDS LÄN</t>
        </is>
      </c>
      <c r="E488" t="inlineStr">
        <is>
          <t>KATRINEHOLM</t>
        </is>
      </c>
      <c r="F488" t="inlineStr">
        <is>
          <t>Övriga Aktiebolag</t>
        </is>
      </c>
      <c r="G488" t="n">
        <v>20.7</v>
      </c>
      <c r="H488" t="n">
        <v>0</v>
      </c>
      <c r="I488" t="n">
        <v>0</v>
      </c>
      <c r="J488" t="n">
        <v>0</v>
      </c>
      <c r="K488" t="n">
        <v>0</v>
      </c>
      <c r="L488" t="n">
        <v>0</v>
      </c>
      <c r="M488" t="n">
        <v>0</v>
      </c>
      <c r="N488" t="n">
        <v>0</v>
      </c>
      <c r="O488" t="n">
        <v>0</v>
      </c>
      <c r="P488" t="n">
        <v>0</v>
      </c>
      <c r="Q488" t="n">
        <v>0</v>
      </c>
      <c r="R488" s="2" t="inlineStr"/>
    </row>
    <row r="489" ht="15" customHeight="1">
      <c r="A489" t="inlineStr">
        <is>
          <t>A 7056-2022</t>
        </is>
      </c>
      <c r="B489" s="1" t="n">
        <v>44603</v>
      </c>
      <c r="C489" s="1" t="n">
        <v>45894</v>
      </c>
      <c r="D489" t="inlineStr">
        <is>
          <t>SÖDERMANLANDS LÄN</t>
        </is>
      </c>
      <c r="E489" t="inlineStr">
        <is>
          <t>KATRINEHOLM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45894</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50021-2023</t>
        </is>
      </c>
      <c r="B491" s="1" t="n">
        <v>45215</v>
      </c>
      <c r="C491" s="1" t="n">
        <v>45894</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12937-2023</t>
        </is>
      </c>
      <c r="B492" s="1" t="n">
        <v>45001</v>
      </c>
      <c r="C492" s="1" t="n">
        <v>45894</v>
      </c>
      <c r="D492" t="inlineStr">
        <is>
          <t>SÖDERMANLANDS LÄN</t>
        </is>
      </c>
      <c r="E492" t="inlineStr">
        <is>
          <t>KATRINEHOLM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35161-2025</t>
        </is>
      </c>
      <c r="B493" s="1" t="n">
        <v>45852.70716435185</v>
      </c>
      <c r="C493" s="1" t="n">
        <v>45894</v>
      </c>
      <c r="D493" t="inlineStr">
        <is>
          <t>SÖDERMANLANDS LÄN</t>
        </is>
      </c>
      <c r="E493" t="inlineStr">
        <is>
          <t>KATRINEHOLM</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46833-2020</t>
        </is>
      </c>
      <c r="B494" s="1" t="n">
        <v>44089</v>
      </c>
      <c r="C494" s="1" t="n">
        <v>45894</v>
      </c>
      <c r="D494" t="inlineStr">
        <is>
          <t>SÖDERMANLANDS LÄN</t>
        </is>
      </c>
      <c r="E494" t="inlineStr">
        <is>
          <t>KATRINEHOLM</t>
        </is>
      </c>
      <c r="G494" t="n">
        <v>1.5</v>
      </c>
      <c r="H494" t="n">
        <v>0</v>
      </c>
      <c r="I494" t="n">
        <v>0</v>
      </c>
      <c r="J494" t="n">
        <v>0</v>
      </c>
      <c r="K494" t="n">
        <v>0</v>
      </c>
      <c r="L494" t="n">
        <v>0</v>
      </c>
      <c r="M494" t="n">
        <v>0</v>
      </c>
      <c r="N494" t="n">
        <v>0</v>
      </c>
      <c r="O494" t="n">
        <v>0</v>
      </c>
      <c r="P494" t="n">
        <v>0</v>
      </c>
      <c r="Q494" t="n">
        <v>0</v>
      </c>
      <c r="R494" s="2" t="inlineStr"/>
    </row>
    <row r="495" ht="15" customHeight="1">
      <c r="A495" t="inlineStr">
        <is>
          <t>A 42896-2024</t>
        </is>
      </c>
      <c r="B495" s="1" t="n">
        <v>45566.82973379629</v>
      </c>
      <c r="C495" s="1" t="n">
        <v>45894</v>
      </c>
      <c r="D495" t="inlineStr">
        <is>
          <t>SÖDERMANLANDS LÄN</t>
        </is>
      </c>
      <c r="E495" t="inlineStr">
        <is>
          <t>KATRINEHOLM</t>
        </is>
      </c>
      <c r="G495" t="n">
        <v>4.3</v>
      </c>
      <c r="H495" t="n">
        <v>0</v>
      </c>
      <c r="I495" t="n">
        <v>0</v>
      </c>
      <c r="J495" t="n">
        <v>0</v>
      </c>
      <c r="K495" t="n">
        <v>0</v>
      </c>
      <c r="L495" t="n">
        <v>0</v>
      </c>
      <c r="M495" t="n">
        <v>0</v>
      </c>
      <c r="N495" t="n">
        <v>0</v>
      </c>
      <c r="O495" t="n">
        <v>0</v>
      </c>
      <c r="P495" t="n">
        <v>0</v>
      </c>
      <c r="Q495" t="n">
        <v>0</v>
      </c>
      <c r="R495" s="2" t="inlineStr"/>
    </row>
    <row r="496" ht="15" customHeight="1">
      <c r="A496" t="inlineStr">
        <is>
          <t>A 28931-2024</t>
        </is>
      </c>
      <c r="B496" s="1" t="n">
        <v>45479</v>
      </c>
      <c r="C496" s="1" t="n">
        <v>45894</v>
      </c>
      <c r="D496" t="inlineStr">
        <is>
          <t>SÖDERMANLANDS LÄN</t>
        </is>
      </c>
      <c r="E496" t="inlineStr">
        <is>
          <t>KATRINEHOLM</t>
        </is>
      </c>
      <c r="G496" t="n">
        <v>7.4</v>
      </c>
      <c r="H496" t="n">
        <v>0</v>
      </c>
      <c r="I496" t="n">
        <v>0</v>
      </c>
      <c r="J496" t="n">
        <v>0</v>
      </c>
      <c r="K496" t="n">
        <v>0</v>
      </c>
      <c r="L496" t="n">
        <v>0</v>
      </c>
      <c r="M496" t="n">
        <v>0</v>
      </c>
      <c r="N496" t="n">
        <v>0</v>
      </c>
      <c r="O496" t="n">
        <v>0</v>
      </c>
      <c r="P496" t="n">
        <v>0</v>
      </c>
      <c r="Q496" t="n">
        <v>0</v>
      </c>
      <c r="R496" s="2" t="inlineStr"/>
    </row>
    <row r="497" ht="15" customHeight="1">
      <c r="A497" t="inlineStr">
        <is>
          <t>A 27646-2023</t>
        </is>
      </c>
      <c r="B497" s="1" t="n">
        <v>45097</v>
      </c>
      <c r="C497" s="1" t="n">
        <v>45894</v>
      </c>
      <c r="D497" t="inlineStr">
        <is>
          <t>SÖDERMANLANDS LÄN</t>
        </is>
      </c>
      <c r="E497" t="inlineStr">
        <is>
          <t>KATRINEHOLM</t>
        </is>
      </c>
      <c r="G497" t="n">
        <v>2.4</v>
      </c>
      <c r="H497" t="n">
        <v>0</v>
      </c>
      <c r="I497" t="n">
        <v>0</v>
      </c>
      <c r="J497" t="n">
        <v>0</v>
      </c>
      <c r="K497" t="n">
        <v>0</v>
      </c>
      <c r="L497" t="n">
        <v>0</v>
      </c>
      <c r="M497" t="n">
        <v>0</v>
      </c>
      <c r="N497" t="n">
        <v>0</v>
      </c>
      <c r="O497" t="n">
        <v>0</v>
      </c>
      <c r="P497" t="n">
        <v>0</v>
      </c>
      <c r="Q497" t="n">
        <v>0</v>
      </c>
      <c r="R497" s="2" t="inlineStr"/>
    </row>
    <row r="498" ht="15" customHeight="1">
      <c r="A498" t="inlineStr">
        <is>
          <t>A 50626-2024</t>
        </is>
      </c>
      <c r="B498" s="1" t="n">
        <v>45601</v>
      </c>
      <c r="C498" s="1" t="n">
        <v>45894</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35183-2022</t>
        </is>
      </c>
      <c r="B499" s="1" t="n">
        <v>44797</v>
      </c>
      <c r="C499" s="1" t="n">
        <v>45894</v>
      </c>
      <c r="D499" t="inlineStr">
        <is>
          <t>SÖDERMANLANDS LÄN</t>
        </is>
      </c>
      <c r="E499" t="inlineStr">
        <is>
          <t>KATRINEHOLM</t>
        </is>
      </c>
      <c r="G499" t="n">
        <v>4.6</v>
      </c>
      <c r="H499" t="n">
        <v>0</v>
      </c>
      <c r="I499" t="n">
        <v>0</v>
      </c>
      <c r="J499" t="n">
        <v>0</v>
      </c>
      <c r="K499" t="n">
        <v>0</v>
      </c>
      <c r="L499" t="n">
        <v>0</v>
      </c>
      <c r="M499" t="n">
        <v>0</v>
      </c>
      <c r="N499" t="n">
        <v>0</v>
      </c>
      <c r="O499" t="n">
        <v>0</v>
      </c>
      <c r="P499" t="n">
        <v>0</v>
      </c>
      <c r="Q499" t="n">
        <v>0</v>
      </c>
      <c r="R499" s="2" t="inlineStr"/>
    </row>
    <row r="500" ht="15" customHeight="1">
      <c r="A500" t="inlineStr">
        <is>
          <t>A 29008-2024</t>
        </is>
      </c>
      <c r="B500" s="1" t="n">
        <v>45481</v>
      </c>
      <c r="C500" s="1" t="n">
        <v>45894</v>
      </c>
      <c r="D500" t="inlineStr">
        <is>
          <t>SÖDERMANLANDS LÄN</t>
        </is>
      </c>
      <c r="E500" t="inlineStr">
        <is>
          <t>KATRINEHOLM</t>
        </is>
      </c>
      <c r="G500" t="n">
        <v>1.7</v>
      </c>
      <c r="H500" t="n">
        <v>0</v>
      </c>
      <c r="I500" t="n">
        <v>0</v>
      </c>
      <c r="J500" t="n">
        <v>0</v>
      </c>
      <c r="K500" t="n">
        <v>0</v>
      </c>
      <c r="L500" t="n">
        <v>0</v>
      </c>
      <c r="M500" t="n">
        <v>0</v>
      </c>
      <c r="N500" t="n">
        <v>0</v>
      </c>
      <c r="O500" t="n">
        <v>0</v>
      </c>
      <c r="P500" t="n">
        <v>0</v>
      </c>
      <c r="Q500" t="n">
        <v>0</v>
      </c>
      <c r="R500" s="2" t="inlineStr"/>
    </row>
    <row r="501" ht="15" customHeight="1">
      <c r="A501" t="inlineStr">
        <is>
          <t>A 62419-2023</t>
        </is>
      </c>
      <c r="B501" s="1" t="n">
        <v>45268</v>
      </c>
      <c r="C501" s="1" t="n">
        <v>45894</v>
      </c>
      <c r="D501" t="inlineStr">
        <is>
          <t>SÖDERMANLANDS LÄN</t>
        </is>
      </c>
      <c r="E501" t="inlineStr">
        <is>
          <t>KATRINEHOLM</t>
        </is>
      </c>
      <c r="G501" t="n">
        <v>9</v>
      </c>
      <c r="H501" t="n">
        <v>0</v>
      </c>
      <c r="I501" t="n">
        <v>0</v>
      </c>
      <c r="J501" t="n">
        <v>0</v>
      </c>
      <c r="K501" t="n">
        <v>0</v>
      </c>
      <c r="L501" t="n">
        <v>0</v>
      </c>
      <c r="M501" t="n">
        <v>0</v>
      </c>
      <c r="N501" t="n">
        <v>0</v>
      </c>
      <c r="O501" t="n">
        <v>0</v>
      </c>
      <c r="P501" t="n">
        <v>0</v>
      </c>
      <c r="Q501" t="n">
        <v>0</v>
      </c>
      <c r="R501" s="2" t="inlineStr"/>
    </row>
    <row r="502" ht="15" customHeight="1">
      <c r="A502" t="inlineStr">
        <is>
          <t>A 12888-2025</t>
        </is>
      </c>
      <c r="B502" s="1" t="n">
        <v>45733</v>
      </c>
      <c r="C502" s="1" t="n">
        <v>45894</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53722-2023</t>
        </is>
      </c>
      <c r="B503" s="1" t="n">
        <v>45230</v>
      </c>
      <c r="C503" s="1" t="n">
        <v>45894</v>
      </c>
      <c r="D503" t="inlineStr">
        <is>
          <t>SÖDERMANLANDS LÄN</t>
        </is>
      </c>
      <c r="E503" t="inlineStr">
        <is>
          <t>KATRINEHOLM</t>
        </is>
      </c>
      <c r="F503" t="inlineStr">
        <is>
          <t>Allmännings- och besparingsskogar</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44024-2021</t>
        </is>
      </c>
      <c r="B504" s="1" t="n">
        <v>44434</v>
      </c>
      <c r="C504" s="1" t="n">
        <v>45894</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7197-2023</t>
        </is>
      </c>
      <c r="B505" s="1" t="n">
        <v>44965</v>
      </c>
      <c r="C505" s="1" t="n">
        <v>45894</v>
      </c>
      <c r="D505" t="inlineStr">
        <is>
          <t>SÖDERMANLANDS LÄN</t>
        </is>
      </c>
      <c r="E505" t="inlineStr">
        <is>
          <t>KATRINEHOLM</t>
        </is>
      </c>
      <c r="G505" t="n">
        <v>5.3</v>
      </c>
      <c r="H505" t="n">
        <v>0</v>
      </c>
      <c r="I505" t="n">
        <v>0</v>
      </c>
      <c r="J505" t="n">
        <v>0</v>
      </c>
      <c r="K505" t="n">
        <v>0</v>
      </c>
      <c r="L505" t="n">
        <v>0</v>
      </c>
      <c r="M505" t="n">
        <v>0</v>
      </c>
      <c r="N505" t="n">
        <v>0</v>
      </c>
      <c r="O505" t="n">
        <v>0</v>
      </c>
      <c r="P505" t="n">
        <v>0</v>
      </c>
      <c r="Q505" t="n">
        <v>0</v>
      </c>
      <c r="R505" s="2" t="inlineStr"/>
    </row>
    <row r="506" ht="15" customHeight="1">
      <c r="A506" t="inlineStr">
        <is>
          <t>A 57693-2020</t>
        </is>
      </c>
      <c r="B506" s="1" t="n">
        <v>44140</v>
      </c>
      <c r="C506" s="1" t="n">
        <v>45894</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28394-2023</t>
        </is>
      </c>
      <c r="B507" s="1" t="n">
        <v>45100</v>
      </c>
      <c r="C507" s="1" t="n">
        <v>45894</v>
      </c>
      <c r="D507" t="inlineStr">
        <is>
          <t>SÖDERMANLANDS LÄN</t>
        </is>
      </c>
      <c r="E507" t="inlineStr">
        <is>
          <t>KATRINEHOLM</t>
        </is>
      </c>
      <c r="G507" t="n">
        <v>4.2</v>
      </c>
      <c r="H507" t="n">
        <v>0</v>
      </c>
      <c r="I507" t="n">
        <v>0</v>
      </c>
      <c r="J507" t="n">
        <v>0</v>
      </c>
      <c r="K507" t="n">
        <v>0</v>
      </c>
      <c r="L507" t="n">
        <v>0</v>
      </c>
      <c r="M507" t="n">
        <v>0</v>
      </c>
      <c r="N507" t="n">
        <v>0</v>
      </c>
      <c r="O507" t="n">
        <v>0</v>
      </c>
      <c r="P507" t="n">
        <v>0</v>
      </c>
      <c r="Q507" t="n">
        <v>0</v>
      </c>
      <c r="R507" s="2" t="inlineStr"/>
    </row>
    <row r="508" ht="15" customHeight="1">
      <c r="A508" t="inlineStr">
        <is>
          <t>A 25362-2023</t>
        </is>
      </c>
      <c r="B508" s="1" t="n">
        <v>45088.83430555555</v>
      </c>
      <c r="C508" s="1" t="n">
        <v>45894</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38869-2024</t>
        </is>
      </c>
      <c r="B509" s="1" t="n">
        <v>45547</v>
      </c>
      <c r="C509" s="1" t="n">
        <v>45894</v>
      </c>
      <c r="D509" t="inlineStr">
        <is>
          <t>SÖDERMANLANDS LÄN</t>
        </is>
      </c>
      <c r="E509" t="inlineStr">
        <is>
          <t>KATRINEHOLM</t>
        </is>
      </c>
      <c r="G509" t="n">
        <v>2.2</v>
      </c>
      <c r="H509" t="n">
        <v>0</v>
      </c>
      <c r="I509" t="n">
        <v>0</v>
      </c>
      <c r="J509" t="n">
        <v>0</v>
      </c>
      <c r="K509" t="n">
        <v>0</v>
      </c>
      <c r="L509" t="n">
        <v>0</v>
      </c>
      <c r="M509" t="n">
        <v>0</v>
      </c>
      <c r="N509" t="n">
        <v>0</v>
      </c>
      <c r="O509" t="n">
        <v>0</v>
      </c>
      <c r="P509" t="n">
        <v>0</v>
      </c>
      <c r="Q509" t="n">
        <v>0</v>
      </c>
      <c r="R509" s="2" t="inlineStr"/>
    </row>
    <row r="510" ht="15" customHeight="1">
      <c r="A510" t="inlineStr">
        <is>
          <t>A 20214-2025</t>
        </is>
      </c>
      <c r="B510" s="1" t="n">
        <v>45772.63540509259</v>
      </c>
      <c r="C510" s="1" t="n">
        <v>45894</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62140-2022</t>
        </is>
      </c>
      <c r="B511" s="1" t="n">
        <v>44922</v>
      </c>
      <c r="C511" s="1" t="n">
        <v>45894</v>
      </c>
      <c r="D511" t="inlineStr">
        <is>
          <t>SÖDERMANLANDS LÄN</t>
        </is>
      </c>
      <c r="E511" t="inlineStr">
        <is>
          <t>KATRINEHOLM</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27375-2024</t>
        </is>
      </c>
      <c r="B512" s="1" t="n">
        <v>45473.87645833333</v>
      </c>
      <c r="C512" s="1" t="n">
        <v>45894</v>
      </c>
      <c r="D512" t="inlineStr">
        <is>
          <t>SÖDERMANLANDS LÄN</t>
        </is>
      </c>
      <c r="E512" t="inlineStr">
        <is>
          <t>KATRINEHOLM</t>
        </is>
      </c>
      <c r="F512" t="inlineStr">
        <is>
          <t>Kommuner</t>
        </is>
      </c>
      <c r="G512" t="n">
        <v>1.9</v>
      </c>
      <c r="H512" t="n">
        <v>0</v>
      </c>
      <c r="I512" t="n">
        <v>0</v>
      </c>
      <c r="J512" t="n">
        <v>0</v>
      </c>
      <c r="K512" t="n">
        <v>0</v>
      </c>
      <c r="L512" t="n">
        <v>0</v>
      </c>
      <c r="M512" t="n">
        <v>0</v>
      </c>
      <c r="N512" t="n">
        <v>0</v>
      </c>
      <c r="O512" t="n">
        <v>0</v>
      </c>
      <c r="P512" t="n">
        <v>0</v>
      </c>
      <c r="Q512" t="n">
        <v>0</v>
      </c>
      <c r="R512" s="2" t="inlineStr"/>
    </row>
    <row r="513" ht="15" customHeight="1">
      <c r="A513" t="inlineStr">
        <is>
          <t>A 7867-2024</t>
        </is>
      </c>
      <c r="B513" s="1" t="n">
        <v>45350.32991898148</v>
      </c>
      <c r="C513" s="1" t="n">
        <v>45894</v>
      </c>
      <c r="D513" t="inlineStr">
        <is>
          <t>SÖDERMANLANDS LÄN</t>
        </is>
      </c>
      <c r="E513" t="inlineStr">
        <is>
          <t>KATRINEHOLM</t>
        </is>
      </c>
      <c r="F513" t="inlineStr">
        <is>
          <t>Kyrkan</t>
        </is>
      </c>
      <c r="G513" t="n">
        <v>3.3</v>
      </c>
      <c r="H513" t="n">
        <v>0</v>
      </c>
      <c r="I513" t="n">
        <v>0</v>
      </c>
      <c r="J513" t="n">
        <v>0</v>
      </c>
      <c r="K513" t="n">
        <v>0</v>
      </c>
      <c r="L513" t="n">
        <v>0</v>
      </c>
      <c r="M513" t="n">
        <v>0</v>
      </c>
      <c r="N513" t="n">
        <v>0</v>
      </c>
      <c r="O513" t="n">
        <v>0</v>
      </c>
      <c r="P513" t="n">
        <v>0</v>
      </c>
      <c r="Q513" t="n">
        <v>0</v>
      </c>
      <c r="R513" s="2" t="inlineStr"/>
    </row>
    <row r="514" ht="15" customHeight="1">
      <c r="A514" t="inlineStr">
        <is>
          <t>A 8957-2024</t>
        </is>
      </c>
      <c r="B514" s="1" t="n">
        <v>45357.45089120371</v>
      </c>
      <c r="C514" s="1" t="n">
        <v>45894</v>
      </c>
      <c r="D514" t="inlineStr">
        <is>
          <t>SÖDERMANLANDS LÄN</t>
        </is>
      </c>
      <c r="E514" t="inlineStr">
        <is>
          <t>KATRINEHOLM</t>
        </is>
      </c>
      <c r="G514" t="n">
        <v>3.6</v>
      </c>
      <c r="H514" t="n">
        <v>0</v>
      </c>
      <c r="I514" t="n">
        <v>0</v>
      </c>
      <c r="J514" t="n">
        <v>0</v>
      </c>
      <c r="K514" t="n">
        <v>0</v>
      </c>
      <c r="L514" t="n">
        <v>0</v>
      </c>
      <c r="M514" t="n">
        <v>0</v>
      </c>
      <c r="N514" t="n">
        <v>0</v>
      </c>
      <c r="O514" t="n">
        <v>0</v>
      </c>
      <c r="P514" t="n">
        <v>0</v>
      </c>
      <c r="Q514" t="n">
        <v>0</v>
      </c>
      <c r="R514" s="2" t="inlineStr"/>
    </row>
    <row r="515" ht="15" customHeight="1">
      <c r="A515" t="inlineStr">
        <is>
          <t>A 47456-2022</t>
        </is>
      </c>
      <c r="B515" s="1" t="n">
        <v>44852</v>
      </c>
      <c r="C515" s="1" t="n">
        <v>45894</v>
      </c>
      <c r="D515" t="inlineStr">
        <is>
          <t>SÖDERMANLANDS LÄN</t>
        </is>
      </c>
      <c r="E515" t="inlineStr">
        <is>
          <t>KATRINEHOLM</t>
        </is>
      </c>
      <c r="G515" t="n">
        <v>3.7</v>
      </c>
      <c r="H515" t="n">
        <v>0</v>
      </c>
      <c r="I515" t="n">
        <v>0</v>
      </c>
      <c r="J515" t="n">
        <v>0</v>
      </c>
      <c r="K515" t="n">
        <v>0</v>
      </c>
      <c r="L515" t="n">
        <v>0</v>
      </c>
      <c r="M515" t="n">
        <v>0</v>
      </c>
      <c r="N515" t="n">
        <v>0</v>
      </c>
      <c r="O515" t="n">
        <v>0</v>
      </c>
      <c r="P515" t="n">
        <v>0</v>
      </c>
      <c r="Q515" t="n">
        <v>0</v>
      </c>
      <c r="R515" s="2" t="inlineStr"/>
    </row>
    <row r="516" ht="15" customHeight="1">
      <c r="A516" t="inlineStr">
        <is>
          <t>A 4656-2023</t>
        </is>
      </c>
      <c r="B516" s="1" t="n">
        <v>44957</v>
      </c>
      <c r="C516" s="1" t="n">
        <v>45894</v>
      </c>
      <c r="D516" t="inlineStr">
        <is>
          <t>SÖDERMANLANDS LÄN</t>
        </is>
      </c>
      <c r="E516" t="inlineStr">
        <is>
          <t>KATRINEHOLM</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49078-2024</t>
        </is>
      </c>
      <c r="B517" s="1" t="n">
        <v>45594.62556712963</v>
      </c>
      <c r="C517" s="1" t="n">
        <v>45894</v>
      </c>
      <c r="D517" t="inlineStr">
        <is>
          <t>SÖDERMANLANDS LÄN</t>
        </is>
      </c>
      <c r="E517" t="inlineStr">
        <is>
          <t>KATRINEHOLM</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35188-2022</t>
        </is>
      </c>
      <c r="B518" s="1" t="n">
        <v>44797</v>
      </c>
      <c r="C518" s="1" t="n">
        <v>45894</v>
      </c>
      <c r="D518" t="inlineStr">
        <is>
          <t>SÖDERMANLANDS LÄN</t>
        </is>
      </c>
      <c r="E518" t="inlineStr">
        <is>
          <t>KATRINEHOLM</t>
        </is>
      </c>
      <c r="G518" t="n">
        <v>3</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45894</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5327-2025</t>
        </is>
      </c>
      <c r="B520" s="1" t="n">
        <v>45692</v>
      </c>
      <c r="C520" s="1" t="n">
        <v>45894</v>
      </c>
      <c r="D520" t="inlineStr">
        <is>
          <t>SÖDERMANLANDS LÄN</t>
        </is>
      </c>
      <c r="E520" t="inlineStr">
        <is>
          <t>KATRINEHOLM</t>
        </is>
      </c>
      <c r="F520" t="inlineStr">
        <is>
          <t>Kommuner</t>
        </is>
      </c>
      <c r="G520" t="n">
        <v>0.5</v>
      </c>
      <c r="H520" t="n">
        <v>0</v>
      </c>
      <c r="I520" t="n">
        <v>0</v>
      </c>
      <c r="J520" t="n">
        <v>0</v>
      </c>
      <c r="K520" t="n">
        <v>0</v>
      </c>
      <c r="L520" t="n">
        <v>0</v>
      </c>
      <c r="M520" t="n">
        <v>0</v>
      </c>
      <c r="N520" t="n">
        <v>0</v>
      </c>
      <c r="O520" t="n">
        <v>0</v>
      </c>
      <c r="P520" t="n">
        <v>0</v>
      </c>
      <c r="Q520" t="n">
        <v>0</v>
      </c>
      <c r="R520" s="2" t="inlineStr"/>
    </row>
    <row r="521" ht="15" customHeight="1">
      <c r="A521" t="inlineStr">
        <is>
          <t>A 35156-2025</t>
        </is>
      </c>
      <c r="B521" s="1" t="n">
        <v>45852</v>
      </c>
      <c r="C521" s="1" t="n">
        <v>45894</v>
      </c>
      <c r="D521" t="inlineStr">
        <is>
          <t>SÖDERMANLANDS LÄN</t>
        </is>
      </c>
      <c r="E521" t="inlineStr">
        <is>
          <t>KATRINEHOLM</t>
        </is>
      </c>
      <c r="G521" t="n">
        <v>5.7</v>
      </c>
      <c r="H521" t="n">
        <v>0</v>
      </c>
      <c r="I521" t="n">
        <v>0</v>
      </c>
      <c r="J521" t="n">
        <v>0</v>
      </c>
      <c r="K521" t="n">
        <v>0</v>
      </c>
      <c r="L521" t="n">
        <v>0</v>
      </c>
      <c r="M521" t="n">
        <v>0</v>
      </c>
      <c r="N521" t="n">
        <v>0</v>
      </c>
      <c r="O521" t="n">
        <v>0</v>
      </c>
      <c r="P521" t="n">
        <v>0</v>
      </c>
      <c r="Q521" t="n">
        <v>0</v>
      </c>
      <c r="R521" s="2" t="inlineStr"/>
    </row>
    <row r="522" ht="15" customHeight="1">
      <c r="A522" t="inlineStr">
        <is>
          <t>A 27552-2025</t>
        </is>
      </c>
      <c r="B522" s="1" t="n">
        <v>45813</v>
      </c>
      <c r="C522" s="1" t="n">
        <v>45894</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27534-2025</t>
        </is>
      </c>
      <c r="B523" s="1" t="n">
        <v>45813</v>
      </c>
      <c r="C523" s="1" t="n">
        <v>45894</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6175-2023</t>
        </is>
      </c>
      <c r="B524" s="1" t="n">
        <v>44964</v>
      </c>
      <c r="C524" s="1" t="n">
        <v>45894</v>
      </c>
      <c r="D524" t="inlineStr">
        <is>
          <t>SÖDERMANLANDS LÄN</t>
        </is>
      </c>
      <c r="E524" t="inlineStr">
        <is>
          <t>KATRINEHOLM</t>
        </is>
      </c>
      <c r="G524" t="n">
        <v>11.2</v>
      </c>
      <c r="H524" t="n">
        <v>0</v>
      </c>
      <c r="I524" t="n">
        <v>0</v>
      </c>
      <c r="J524" t="n">
        <v>0</v>
      </c>
      <c r="K524" t="n">
        <v>0</v>
      </c>
      <c r="L524" t="n">
        <v>0</v>
      </c>
      <c r="M524" t="n">
        <v>0</v>
      </c>
      <c r="N524" t="n">
        <v>0</v>
      </c>
      <c r="O524" t="n">
        <v>0</v>
      </c>
      <c r="P524" t="n">
        <v>0</v>
      </c>
      <c r="Q524" t="n">
        <v>0</v>
      </c>
      <c r="R524" s="2" t="inlineStr"/>
    </row>
    <row r="525" ht="15" customHeight="1">
      <c r="A525" t="inlineStr">
        <is>
          <t>A 4655-2024</t>
        </is>
      </c>
      <c r="B525" s="1" t="n">
        <v>45328</v>
      </c>
      <c r="C525" s="1" t="n">
        <v>45894</v>
      </c>
      <c r="D525" t="inlineStr">
        <is>
          <t>SÖDERMANLANDS LÄN</t>
        </is>
      </c>
      <c r="E525" t="inlineStr">
        <is>
          <t>KATRINEHOLM</t>
        </is>
      </c>
      <c r="G525" t="n">
        <v>17.7</v>
      </c>
      <c r="H525" t="n">
        <v>0</v>
      </c>
      <c r="I525" t="n">
        <v>0</v>
      </c>
      <c r="J525" t="n">
        <v>0</v>
      </c>
      <c r="K525" t="n">
        <v>0</v>
      </c>
      <c r="L525" t="n">
        <v>0</v>
      </c>
      <c r="M525" t="n">
        <v>0</v>
      </c>
      <c r="N525" t="n">
        <v>0</v>
      </c>
      <c r="O525" t="n">
        <v>0</v>
      </c>
      <c r="P525" t="n">
        <v>0</v>
      </c>
      <c r="Q525" t="n">
        <v>0</v>
      </c>
      <c r="R525" s="2" t="inlineStr"/>
    </row>
    <row r="526" ht="15" customHeight="1">
      <c r="A526" t="inlineStr">
        <is>
          <t>A 51218-2020</t>
        </is>
      </c>
      <c r="B526" s="1" t="n">
        <v>44112</v>
      </c>
      <c r="C526" s="1" t="n">
        <v>45894</v>
      </c>
      <c r="D526" t="inlineStr">
        <is>
          <t>SÖDERMANLANDS LÄN</t>
        </is>
      </c>
      <c r="E526" t="inlineStr">
        <is>
          <t>KATRINEHOLM</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46830-2020</t>
        </is>
      </c>
      <c r="B527" s="1" t="n">
        <v>44089</v>
      </c>
      <c r="C527" s="1" t="n">
        <v>45894</v>
      </c>
      <c r="D527" t="inlineStr">
        <is>
          <t>SÖDERMANLANDS LÄN</t>
        </is>
      </c>
      <c r="E527" t="inlineStr">
        <is>
          <t>KATRINEHOLM</t>
        </is>
      </c>
      <c r="G527" t="n">
        <v>1.1</v>
      </c>
      <c r="H527" t="n">
        <v>0</v>
      </c>
      <c r="I527" t="n">
        <v>0</v>
      </c>
      <c r="J527" t="n">
        <v>0</v>
      </c>
      <c r="K527" t="n">
        <v>0</v>
      </c>
      <c r="L527" t="n">
        <v>0</v>
      </c>
      <c r="M527" t="n">
        <v>0</v>
      </c>
      <c r="N527" t="n">
        <v>0</v>
      </c>
      <c r="O527" t="n">
        <v>0</v>
      </c>
      <c r="P527" t="n">
        <v>0</v>
      </c>
      <c r="Q527" t="n">
        <v>0</v>
      </c>
      <c r="R527" s="2" t="inlineStr"/>
    </row>
    <row r="528" ht="15" customHeight="1">
      <c r="A528" t="inlineStr">
        <is>
          <t>A 27636-2025</t>
        </is>
      </c>
      <c r="B528" s="1" t="n">
        <v>45813.57603009259</v>
      </c>
      <c r="C528" s="1" t="n">
        <v>45894</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35149-2025</t>
        </is>
      </c>
      <c r="B529" s="1" t="n">
        <v>45852</v>
      </c>
      <c r="C529" s="1" t="n">
        <v>45894</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35152-2025</t>
        </is>
      </c>
      <c r="B530" s="1" t="n">
        <v>45852</v>
      </c>
      <c r="C530" s="1" t="n">
        <v>45894</v>
      </c>
      <c r="D530" t="inlineStr">
        <is>
          <t>SÖDERMANLANDS LÄN</t>
        </is>
      </c>
      <c r="E530" t="inlineStr">
        <is>
          <t>KATRINEHOLM</t>
        </is>
      </c>
      <c r="G530" t="n">
        <v>4.6</v>
      </c>
      <c r="H530" t="n">
        <v>0</v>
      </c>
      <c r="I530" t="n">
        <v>0</v>
      </c>
      <c r="J530" t="n">
        <v>0</v>
      </c>
      <c r="K530" t="n">
        <v>0</v>
      </c>
      <c r="L530" t="n">
        <v>0</v>
      </c>
      <c r="M530" t="n">
        <v>0</v>
      </c>
      <c r="N530" t="n">
        <v>0</v>
      </c>
      <c r="O530" t="n">
        <v>0</v>
      </c>
      <c r="P530" t="n">
        <v>0</v>
      </c>
      <c r="Q530" t="n">
        <v>0</v>
      </c>
      <c r="R530" s="2" t="inlineStr"/>
    </row>
    <row r="531" ht="15" customHeight="1">
      <c r="A531" t="inlineStr">
        <is>
          <t>A 60677-2021</t>
        </is>
      </c>
      <c r="B531" s="1" t="n">
        <v>44495</v>
      </c>
      <c r="C531" s="1" t="n">
        <v>45894</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50316-2023</t>
        </is>
      </c>
      <c r="B532" s="1" t="n">
        <v>45209</v>
      </c>
      <c r="C532" s="1" t="n">
        <v>45894</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45894</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35145-2025</t>
        </is>
      </c>
      <c r="B534" s="1" t="n">
        <v>45852</v>
      </c>
      <c r="C534" s="1" t="n">
        <v>45894</v>
      </c>
      <c r="D534" t="inlineStr">
        <is>
          <t>SÖDERMANLANDS LÄN</t>
        </is>
      </c>
      <c r="E534" t="inlineStr">
        <is>
          <t>KATRINEHOLM</t>
        </is>
      </c>
      <c r="G534" t="n">
        <v>3.1</v>
      </c>
      <c r="H534" t="n">
        <v>0</v>
      </c>
      <c r="I534" t="n">
        <v>0</v>
      </c>
      <c r="J534" t="n">
        <v>0</v>
      </c>
      <c r="K534" t="n">
        <v>0</v>
      </c>
      <c r="L534" t="n">
        <v>0</v>
      </c>
      <c r="M534" t="n">
        <v>0</v>
      </c>
      <c r="N534" t="n">
        <v>0</v>
      </c>
      <c r="O534" t="n">
        <v>0</v>
      </c>
      <c r="P534" t="n">
        <v>0</v>
      </c>
      <c r="Q534" t="n">
        <v>0</v>
      </c>
      <c r="R534" s="2" t="inlineStr"/>
    </row>
    <row r="535" ht="15" customHeight="1">
      <c r="A535" t="inlineStr">
        <is>
          <t>A 35157-2025</t>
        </is>
      </c>
      <c r="B535" s="1" t="n">
        <v>45852</v>
      </c>
      <c r="C535" s="1" t="n">
        <v>45894</v>
      </c>
      <c r="D535" t="inlineStr">
        <is>
          <t>SÖDERMANLANDS LÄN</t>
        </is>
      </c>
      <c r="E535" t="inlineStr">
        <is>
          <t>KATRINEHOLM</t>
        </is>
      </c>
      <c r="G535" t="n">
        <v>3.7</v>
      </c>
      <c r="H535" t="n">
        <v>0</v>
      </c>
      <c r="I535" t="n">
        <v>0</v>
      </c>
      <c r="J535" t="n">
        <v>0</v>
      </c>
      <c r="K535" t="n">
        <v>0</v>
      </c>
      <c r="L535" t="n">
        <v>0</v>
      </c>
      <c r="M535" t="n">
        <v>0</v>
      </c>
      <c r="N535" t="n">
        <v>0</v>
      </c>
      <c r="O535" t="n">
        <v>0</v>
      </c>
      <c r="P535" t="n">
        <v>0</v>
      </c>
      <c r="Q535" t="n">
        <v>0</v>
      </c>
      <c r="R535" s="2" t="inlineStr"/>
    </row>
    <row r="536" ht="15" customHeight="1">
      <c r="A536" t="inlineStr">
        <is>
          <t>A 35158-2025</t>
        </is>
      </c>
      <c r="B536" s="1" t="n">
        <v>45852</v>
      </c>
      <c r="C536" s="1" t="n">
        <v>45894</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51404-2023</t>
        </is>
      </c>
      <c r="B537" s="1" t="n">
        <v>45214</v>
      </c>
      <c r="C537" s="1" t="n">
        <v>45894</v>
      </c>
      <c r="D537" t="inlineStr">
        <is>
          <t>SÖDERMANLANDS LÄN</t>
        </is>
      </c>
      <c r="E537" t="inlineStr">
        <is>
          <t>KATRINEHOLM</t>
        </is>
      </c>
      <c r="G537" t="n">
        <v>9</v>
      </c>
      <c r="H537" t="n">
        <v>0</v>
      </c>
      <c r="I537" t="n">
        <v>0</v>
      </c>
      <c r="J537" t="n">
        <v>0</v>
      </c>
      <c r="K537" t="n">
        <v>0</v>
      </c>
      <c r="L537" t="n">
        <v>0</v>
      </c>
      <c r="M537" t="n">
        <v>0</v>
      </c>
      <c r="N537" t="n">
        <v>0</v>
      </c>
      <c r="O537" t="n">
        <v>0</v>
      </c>
      <c r="P537" t="n">
        <v>0</v>
      </c>
      <c r="Q537" t="n">
        <v>0</v>
      </c>
      <c r="R537" s="2" t="inlineStr"/>
    </row>
    <row r="538" ht="15" customHeight="1">
      <c r="A538" t="inlineStr">
        <is>
          <t>A 3939-2022</t>
        </is>
      </c>
      <c r="B538" s="1" t="n">
        <v>44587</v>
      </c>
      <c r="C538" s="1" t="n">
        <v>45894</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2683-2025</t>
        </is>
      </c>
      <c r="B539" s="1" t="n">
        <v>45677</v>
      </c>
      <c r="C539" s="1" t="n">
        <v>45894</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3317-2023</t>
        </is>
      </c>
      <c r="B540" s="1" t="n">
        <v>44945</v>
      </c>
      <c r="C540" s="1" t="n">
        <v>45894</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24600-2025</t>
        </is>
      </c>
      <c r="B541" s="1" t="n">
        <v>45798.56348379629</v>
      </c>
      <c r="C541" s="1" t="n">
        <v>45894</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15898-2022</t>
        </is>
      </c>
      <c r="B542" s="1" t="n">
        <v>44664.55688657407</v>
      </c>
      <c r="C542" s="1" t="n">
        <v>45894</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15910-2022</t>
        </is>
      </c>
      <c r="B543" s="1" t="n">
        <v>44664</v>
      </c>
      <c r="C543" s="1" t="n">
        <v>45894</v>
      </c>
      <c r="D543" t="inlineStr">
        <is>
          <t>SÖDERMANLANDS LÄN</t>
        </is>
      </c>
      <c r="E543" t="inlineStr">
        <is>
          <t>KATRINEHOLM</t>
        </is>
      </c>
      <c r="G543" t="n">
        <v>5.6</v>
      </c>
      <c r="H543" t="n">
        <v>0</v>
      </c>
      <c r="I543" t="n">
        <v>0</v>
      </c>
      <c r="J543" t="n">
        <v>0</v>
      </c>
      <c r="K543" t="n">
        <v>0</v>
      </c>
      <c r="L543" t="n">
        <v>0</v>
      </c>
      <c r="M543" t="n">
        <v>0</v>
      </c>
      <c r="N543" t="n">
        <v>0</v>
      </c>
      <c r="O543" t="n">
        <v>0</v>
      </c>
      <c r="P543" t="n">
        <v>0</v>
      </c>
      <c r="Q543" t="n">
        <v>0</v>
      </c>
      <c r="R543" s="2" t="inlineStr"/>
    </row>
    <row r="544" ht="15" customHeight="1">
      <c r="A544" t="inlineStr">
        <is>
          <t>A 64605-2023</t>
        </is>
      </c>
      <c r="B544" s="1" t="n">
        <v>45281</v>
      </c>
      <c r="C544" s="1" t="n">
        <v>45894</v>
      </c>
      <c r="D544" t="inlineStr">
        <is>
          <t>SÖDERMANLANDS LÄN</t>
        </is>
      </c>
      <c r="E544" t="inlineStr">
        <is>
          <t>KATRINEHOLM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64652-2023</t>
        </is>
      </c>
      <c r="B545" s="1" t="n">
        <v>45281</v>
      </c>
      <c r="C545" s="1" t="n">
        <v>45894</v>
      </c>
      <c r="D545" t="inlineStr">
        <is>
          <t>SÖDERMANLANDS LÄN</t>
        </is>
      </c>
      <c r="E545" t="inlineStr">
        <is>
          <t>KATRINEHOLM</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32944-2023</t>
        </is>
      </c>
      <c r="B546" s="1" t="n">
        <v>45125</v>
      </c>
      <c r="C546" s="1" t="n">
        <v>45894</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55074-2020</t>
        </is>
      </c>
      <c r="B547" s="1" t="n">
        <v>44130</v>
      </c>
      <c r="C547" s="1" t="n">
        <v>45894</v>
      </c>
      <c r="D547" t="inlineStr">
        <is>
          <t>SÖDERMANLANDS LÄN</t>
        </is>
      </c>
      <c r="E547" t="inlineStr">
        <is>
          <t>KATRINEHOLM</t>
        </is>
      </c>
      <c r="G547" t="n">
        <v>2.9</v>
      </c>
      <c r="H547" t="n">
        <v>0</v>
      </c>
      <c r="I547" t="n">
        <v>0</v>
      </c>
      <c r="J547" t="n">
        <v>0</v>
      </c>
      <c r="K547" t="n">
        <v>0</v>
      </c>
      <c r="L547" t="n">
        <v>0</v>
      </c>
      <c r="M547" t="n">
        <v>0</v>
      </c>
      <c r="N547" t="n">
        <v>0</v>
      </c>
      <c r="O547" t="n">
        <v>0</v>
      </c>
      <c r="P547" t="n">
        <v>0</v>
      </c>
      <c r="Q547" t="n">
        <v>0</v>
      </c>
      <c r="R547" s="2" t="inlineStr"/>
    </row>
    <row r="548" ht="15" customHeight="1">
      <c r="A548" t="inlineStr">
        <is>
          <t>A 55079-2020</t>
        </is>
      </c>
      <c r="B548" s="1" t="n">
        <v>44130.46172453704</v>
      </c>
      <c r="C548" s="1" t="n">
        <v>45894</v>
      </c>
      <c r="D548" t="inlineStr">
        <is>
          <t>SÖDERMANLANDS LÄN</t>
        </is>
      </c>
      <c r="E548" t="inlineStr">
        <is>
          <t>KATRINEHOLM</t>
        </is>
      </c>
      <c r="G548" t="n">
        <v>2.7</v>
      </c>
      <c r="H548" t="n">
        <v>0</v>
      </c>
      <c r="I548" t="n">
        <v>0</v>
      </c>
      <c r="J548" t="n">
        <v>0</v>
      </c>
      <c r="K548" t="n">
        <v>0</v>
      </c>
      <c r="L548" t="n">
        <v>0</v>
      </c>
      <c r="M548" t="n">
        <v>0</v>
      </c>
      <c r="N548" t="n">
        <v>0</v>
      </c>
      <c r="O548" t="n">
        <v>0</v>
      </c>
      <c r="P548" t="n">
        <v>0</v>
      </c>
      <c r="Q548" t="n">
        <v>0</v>
      </c>
      <c r="R548" s="2" t="inlineStr"/>
    </row>
    <row r="549" ht="15" customHeight="1">
      <c r="A549" t="inlineStr">
        <is>
          <t>A 29198-2023</t>
        </is>
      </c>
      <c r="B549" s="1" t="n">
        <v>45105</v>
      </c>
      <c r="C549" s="1" t="n">
        <v>45894</v>
      </c>
      <c r="D549" t="inlineStr">
        <is>
          <t>SÖDERMANLANDS LÄN</t>
        </is>
      </c>
      <c r="E549" t="inlineStr">
        <is>
          <t>KATRINEHOLM</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56661-2021</t>
        </is>
      </c>
      <c r="B550" s="1" t="n">
        <v>44481.24327546296</v>
      </c>
      <c r="C550" s="1" t="n">
        <v>45894</v>
      </c>
      <c r="D550" t="inlineStr">
        <is>
          <t>SÖDERMANLANDS LÄN</t>
        </is>
      </c>
      <c r="E550" t="inlineStr">
        <is>
          <t>KATRINEHOLM</t>
        </is>
      </c>
      <c r="G550" t="n">
        <v>5.8</v>
      </c>
      <c r="H550" t="n">
        <v>0</v>
      </c>
      <c r="I550" t="n">
        <v>0</v>
      </c>
      <c r="J550" t="n">
        <v>0</v>
      </c>
      <c r="K550" t="n">
        <v>0</v>
      </c>
      <c r="L550" t="n">
        <v>0</v>
      </c>
      <c r="M550" t="n">
        <v>0</v>
      </c>
      <c r="N550" t="n">
        <v>0</v>
      </c>
      <c r="O550" t="n">
        <v>0</v>
      </c>
      <c r="P550" t="n">
        <v>0</v>
      </c>
      <c r="Q550" t="n">
        <v>0</v>
      </c>
      <c r="R550" s="2" t="inlineStr"/>
    </row>
    <row r="551" ht="15" customHeight="1">
      <c r="A551" t="inlineStr">
        <is>
          <t>A 45246-2023</t>
        </is>
      </c>
      <c r="B551" s="1" t="n">
        <v>45191</v>
      </c>
      <c r="C551" s="1" t="n">
        <v>45894</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29830-2023</t>
        </is>
      </c>
      <c r="B552" s="1" t="n">
        <v>45107</v>
      </c>
      <c r="C552" s="1" t="n">
        <v>45894</v>
      </c>
      <c r="D552" t="inlineStr">
        <is>
          <t>SÖDERMANLANDS LÄN</t>
        </is>
      </c>
      <c r="E552" t="inlineStr">
        <is>
          <t>KATRINEHOLM</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55171-2023</t>
        </is>
      </c>
      <c r="B553" s="1" t="n">
        <v>45231</v>
      </c>
      <c r="C553" s="1" t="n">
        <v>45894</v>
      </c>
      <c r="D553" t="inlineStr">
        <is>
          <t>SÖDERMANLANDS LÄN</t>
        </is>
      </c>
      <c r="E553" t="inlineStr">
        <is>
          <t>KATRINEHOLM</t>
        </is>
      </c>
      <c r="G553" t="n">
        <v>4.2</v>
      </c>
      <c r="H553" t="n">
        <v>0</v>
      </c>
      <c r="I553" t="n">
        <v>0</v>
      </c>
      <c r="J553" t="n">
        <v>0</v>
      </c>
      <c r="K553" t="n">
        <v>0</v>
      </c>
      <c r="L553" t="n">
        <v>0</v>
      </c>
      <c r="M553" t="n">
        <v>0</v>
      </c>
      <c r="N553" t="n">
        <v>0</v>
      </c>
      <c r="O553" t="n">
        <v>0</v>
      </c>
      <c r="P553" t="n">
        <v>0</v>
      </c>
      <c r="Q553" t="n">
        <v>0</v>
      </c>
      <c r="R553" s="2" t="inlineStr"/>
    </row>
    <row r="554" ht="15" customHeight="1">
      <c r="A554" t="inlineStr">
        <is>
          <t>A 35608-2024</t>
        </is>
      </c>
      <c r="B554" s="1" t="n">
        <v>45531</v>
      </c>
      <c r="C554" s="1" t="n">
        <v>45894</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28582-2024</t>
        </is>
      </c>
      <c r="B555" s="1" t="n">
        <v>45478.40751157407</v>
      </c>
      <c r="C555" s="1" t="n">
        <v>45894</v>
      </c>
      <c r="D555" t="inlineStr">
        <is>
          <t>SÖDERMANLANDS LÄN</t>
        </is>
      </c>
      <c r="E555" t="inlineStr">
        <is>
          <t>KATRINEHOLM</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27376-2024</t>
        </is>
      </c>
      <c r="B556" s="1" t="n">
        <v>45473.88313657408</v>
      </c>
      <c r="C556" s="1" t="n">
        <v>45894</v>
      </c>
      <c r="D556" t="inlineStr">
        <is>
          <t>SÖDERMANLANDS LÄN</t>
        </is>
      </c>
      <c r="E556" t="inlineStr">
        <is>
          <t>KATRINEHOLM</t>
        </is>
      </c>
      <c r="F556" t="inlineStr">
        <is>
          <t>Kommuner</t>
        </is>
      </c>
      <c r="G556" t="n">
        <v>2.8</v>
      </c>
      <c r="H556" t="n">
        <v>0</v>
      </c>
      <c r="I556" t="n">
        <v>0</v>
      </c>
      <c r="J556" t="n">
        <v>0</v>
      </c>
      <c r="K556" t="n">
        <v>0</v>
      </c>
      <c r="L556" t="n">
        <v>0</v>
      </c>
      <c r="M556" t="n">
        <v>0</v>
      </c>
      <c r="N556" t="n">
        <v>0</v>
      </c>
      <c r="O556" t="n">
        <v>0</v>
      </c>
      <c r="P556" t="n">
        <v>0</v>
      </c>
      <c r="Q556" t="n">
        <v>0</v>
      </c>
      <c r="R556" s="2" t="inlineStr"/>
    </row>
    <row r="557" ht="15" customHeight="1">
      <c r="A557" t="inlineStr">
        <is>
          <t>A 48097-2023</t>
        </is>
      </c>
      <c r="B557" s="1" t="n">
        <v>45205.31987268518</v>
      </c>
      <c r="C557" s="1" t="n">
        <v>45894</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29394-2024</t>
        </is>
      </c>
      <c r="B558" s="1" t="n">
        <v>45483</v>
      </c>
      <c r="C558" s="1" t="n">
        <v>45894</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46011-2021</t>
        </is>
      </c>
      <c r="B559" s="1" t="n">
        <v>44441.88092592593</v>
      </c>
      <c r="C559" s="1" t="n">
        <v>45894</v>
      </c>
      <c r="D559" t="inlineStr">
        <is>
          <t>SÖDERMANLANDS LÄN</t>
        </is>
      </c>
      <c r="E559" t="inlineStr">
        <is>
          <t>KATRINEHOLM</t>
        </is>
      </c>
      <c r="G559" t="n">
        <v>4.7</v>
      </c>
      <c r="H559" t="n">
        <v>0</v>
      </c>
      <c r="I559" t="n">
        <v>0</v>
      </c>
      <c r="J559" t="n">
        <v>0</v>
      </c>
      <c r="K559" t="n">
        <v>0</v>
      </c>
      <c r="L559" t="n">
        <v>0</v>
      </c>
      <c r="M559" t="n">
        <v>0</v>
      </c>
      <c r="N559" t="n">
        <v>0</v>
      </c>
      <c r="O559" t="n">
        <v>0</v>
      </c>
      <c r="P559" t="n">
        <v>0</v>
      </c>
      <c r="Q559" t="n">
        <v>0</v>
      </c>
      <c r="R559" s="2" t="inlineStr"/>
    </row>
    <row r="560" ht="15" customHeight="1">
      <c r="A560" t="inlineStr">
        <is>
          <t>A 12633-2022</t>
        </is>
      </c>
      <c r="B560" s="1" t="n">
        <v>44638</v>
      </c>
      <c r="C560" s="1" t="n">
        <v>45894</v>
      </c>
      <c r="D560" t="inlineStr">
        <is>
          <t>SÖDERMANLANDS LÄN</t>
        </is>
      </c>
      <c r="E560" t="inlineStr">
        <is>
          <t>KATRINEHOLM</t>
        </is>
      </c>
      <c r="G560" t="n">
        <v>6.4</v>
      </c>
      <c r="H560" t="n">
        <v>0</v>
      </c>
      <c r="I560" t="n">
        <v>0</v>
      </c>
      <c r="J560" t="n">
        <v>0</v>
      </c>
      <c r="K560" t="n">
        <v>0</v>
      </c>
      <c r="L560" t="n">
        <v>0</v>
      </c>
      <c r="M560" t="n">
        <v>0</v>
      </c>
      <c r="N560" t="n">
        <v>0</v>
      </c>
      <c r="O560" t="n">
        <v>0</v>
      </c>
      <c r="P560" t="n">
        <v>0</v>
      </c>
      <c r="Q560" t="n">
        <v>0</v>
      </c>
      <c r="R560" s="2" t="inlineStr"/>
    </row>
    <row r="561" ht="15" customHeight="1">
      <c r="A561" t="inlineStr">
        <is>
          <t>A 7753-2024</t>
        </is>
      </c>
      <c r="B561" s="1" t="n">
        <v>45348</v>
      </c>
      <c r="C561" s="1" t="n">
        <v>45894</v>
      </c>
      <c r="D561" t="inlineStr">
        <is>
          <t>SÖDERMANLANDS LÄN</t>
        </is>
      </c>
      <c r="E561" t="inlineStr">
        <is>
          <t>KATRINEHOLM</t>
        </is>
      </c>
      <c r="G561" t="n">
        <v>13.4</v>
      </c>
      <c r="H561" t="n">
        <v>0</v>
      </c>
      <c r="I561" t="n">
        <v>0</v>
      </c>
      <c r="J561" t="n">
        <v>0</v>
      </c>
      <c r="K561" t="n">
        <v>0</v>
      </c>
      <c r="L561" t="n">
        <v>0</v>
      </c>
      <c r="M561" t="n">
        <v>0</v>
      </c>
      <c r="N561" t="n">
        <v>0</v>
      </c>
      <c r="O561" t="n">
        <v>0</v>
      </c>
      <c r="P561" t="n">
        <v>0</v>
      </c>
      <c r="Q561" t="n">
        <v>0</v>
      </c>
      <c r="R561" s="2" t="inlineStr"/>
    </row>
    <row r="562" ht="15" customHeight="1">
      <c r="A562" t="inlineStr">
        <is>
          <t>A 42284-2020</t>
        </is>
      </c>
      <c r="B562" s="1" t="n">
        <v>44074</v>
      </c>
      <c r="C562" s="1" t="n">
        <v>45894</v>
      </c>
      <c r="D562" t="inlineStr">
        <is>
          <t>SÖDERMANLANDS LÄN</t>
        </is>
      </c>
      <c r="E562" t="inlineStr">
        <is>
          <t>KATRINEHOLM</t>
        </is>
      </c>
      <c r="G562" t="n">
        <v>1.5</v>
      </c>
      <c r="H562" t="n">
        <v>0</v>
      </c>
      <c r="I562" t="n">
        <v>0</v>
      </c>
      <c r="J562" t="n">
        <v>0</v>
      </c>
      <c r="K562" t="n">
        <v>0</v>
      </c>
      <c r="L562" t="n">
        <v>0</v>
      </c>
      <c r="M562" t="n">
        <v>0</v>
      </c>
      <c r="N562" t="n">
        <v>0</v>
      </c>
      <c r="O562" t="n">
        <v>0</v>
      </c>
      <c r="P562" t="n">
        <v>0</v>
      </c>
      <c r="Q562" t="n">
        <v>0</v>
      </c>
      <c r="R562" s="2" t="inlineStr"/>
    </row>
    <row r="563" ht="15" customHeight="1">
      <c r="A563" t="inlineStr">
        <is>
          <t>A 30387-2022</t>
        </is>
      </c>
      <c r="B563" s="1" t="n">
        <v>44760</v>
      </c>
      <c r="C563" s="1" t="n">
        <v>45894</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61915-2021</t>
        </is>
      </c>
      <c r="B564" s="1" t="n">
        <v>44502.36780092592</v>
      </c>
      <c r="C564" s="1" t="n">
        <v>45894</v>
      </c>
      <c r="D564" t="inlineStr">
        <is>
          <t>SÖDERMANLANDS LÄN</t>
        </is>
      </c>
      <c r="E564" t="inlineStr">
        <is>
          <t>KATRINEHOLM</t>
        </is>
      </c>
      <c r="G564" t="n">
        <v>2.6</v>
      </c>
      <c r="H564" t="n">
        <v>0</v>
      </c>
      <c r="I564" t="n">
        <v>0</v>
      </c>
      <c r="J564" t="n">
        <v>0</v>
      </c>
      <c r="K564" t="n">
        <v>0</v>
      </c>
      <c r="L564" t="n">
        <v>0</v>
      </c>
      <c r="M564" t="n">
        <v>0</v>
      </c>
      <c r="N564" t="n">
        <v>0</v>
      </c>
      <c r="O564" t="n">
        <v>0</v>
      </c>
      <c r="P564" t="n">
        <v>0</v>
      </c>
      <c r="Q564" t="n">
        <v>0</v>
      </c>
      <c r="R564" s="2" t="inlineStr"/>
    </row>
    <row r="565" ht="15" customHeight="1">
      <c r="A565" t="inlineStr">
        <is>
          <t>A 55795-2023</t>
        </is>
      </c>
      <c r="B565" s="1" t="n">
        <v>45239.54861111111</v>
      </c>
      <c r="C565" s="1" t="n">
        <v>45894</v>
      </c>
      <c r="D565" t="inlineStr">
        <is>
          <t>SÖDERMANLANDS LÄN</t>
        </is>
      </c>
      <c r="E565" t="inlineStr">
        <is>
          <t>KATRINEHOLM</t>
        </is>
      </c>
      <c r="G565" t="n">
        <v>7</v>
      </c>
      <c r="H565" t="n">
        <v>0</v>
      </c>
      <c r="I565" t="n">
        <v>0</v>
      </c>
      <c r="J565" t="n">
        <v>0</v>
      </c>
      <c r="K565" t="n">
        <v>0</v>
      </c>
      <c r="L565" t="n">
        <v>0</v>
      </c>
      <c r="M565" t="n">
        <v>0</v>
      </c>
      <c r="N565" t="n">
        <v>0</v>
      </c>
      <c r="O565" t="n">
        <v>0</v>
      </c>
      <c r="P565" t="n">
        <v>0</v>
      </c>
      <c r="Q565" t="n">
        <v>0</v>
      </c>
      <c r="R565" s="2" t="inlineStr"/>
    </row>
    <row r="566" ht="15" customHeight="1">
      <c r="A566" t="inlineStr">
        <is>
          <t>A 20768-2022</t>
        </is>
      </c>
      <c r="B566" s="1" t="n">
        <v>44701.36431712963</v>
      </c>
      <c r="C566" s="1" t="n">
        <v>45894</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48834-2020</t>
        </is>
      </c>
      <c r="B567" s="1" t="n">
        <v>44099</v>
      </c>
      <c r="C567" s="1" t="n">
        <v>45894</v>
      </c>
      <c r="D567" t="inlineStr">
        <is>
          <t>SÖDERMANLANDS LÄN</t>
        </is>
      </c>
      <c r="E567" t="inlineStr">
        <is>
          <t>KATRINEHOLM</t>
        </is>
      </c>
      <c r="G567" t="n">
        <v>12.9</v>
      </c>
      <c r="H567" t="n">
        <v>0</v>
      </c>
      <c r="I567" t="n">
        <v>0</v>
      </c>
      <c r="J567" t="n">
        <v>0</v>
      </c>
      <c r="K567" t="n">
        <v>0</v>
      </c>
      <c r="L567" t="n">
        <v>0</v>
      </c>
      <c r="M567" t="n">
        <v>0</v>
      </c>
      <c r="N567" t="n">
        <v>0</v>
      </c>
      <c r="O567" t="n">
        <v>0</v>
      </c>
      <c r="P567" t="n">
        <v>0</v>
      </c>
      <c r="Q567" t="n">
        <v>0</v>
      </c>
      <c r="R567" s="2" t="inlineStr"/>
    </row>
    <row r="568" ht="15" customHeight="1">
      <c r="A568" t="inlineStr">
        <is>
          <t>A 55846-2022</t>
        </is>
      </c>
      <c r="B568" s="1" t="n">
        <v>44888</v>
      </c>
      <c r="C568" s="1" t="n">
        <v>45894</v>
      </c>
      <c r="D568" t="inlineStr">
        <is>
          <t>SÖDERMANLANDS LÄN</t>
        </is>
      </c>
      <c r="E568" t="inlineStr">
        <is>
          <t>KATRINEHOLM</t>
        </is>
      </c>
      <c r="G568" t="n">
        <v>6.5</v>
      </c>
      <c r="H568" t="n">
        <v>0</v>
      </c>
      <c r="I568" t="n">
        <v>0</v>
      </c>
      <c r="J568" t="n">
        <v>0</v>
      </c>
      <c r="K568" t="n">
        <v>0</v>
      </c>
      <c r="L568" t="n">
        <v>0</v>
      </c>
      <c r="M568" t="n">
        <v>0</v>
      </c>
      <c r="N568" t="n">
        <v>0</v>
      </c>
      <c r="O568" t="n">
        <v>0</v>
      </c>
      <c r="P568" t="n">
        <v>0</v>
      </c>
      <c r="Q568" t="n">
        <v>0</v>
      </c>
      <c r="R568" s="2" t="inlineStr"/>
    </row>
    <row r="569" ht="15" customHeight="1">
      <c r="A569" t="inlineStr">
        <is>
          <t>A 44783-2020</t>
        </is>
      </c>
      <c r="B569" s="1" t="n">
        <v>44085</v>
      </c>
      <c r="C569" s="1" t="n">
        <v>45894</v>
      </c>
      <c r="D569" t="inlineStr">
        <is>
          <t>SÖDERMANLANDS LÄN</t>
        </is>
      </c>
      <c r="E569" t="inlineStr">
        <is>
          <t>KATRINEHOLM</t>
        </is>
      </c>
      <c r="G569" t="n">
        <v>1.3</v>
      </c>
      <c r="H569" t="n">
        <v>0</v>
      </c>
      <c r="I569" t="n">
        <v>0</v>
      </c>
      <c r="J569" t="n">
        <v>0</v>
      </c>
      <c r="K569" t="n">
        <v>0</v>
      </c>
      <c r="L569" t="n">
        <v>0</v>
      </c>
      <c r="M569" t="n">
        <v>0</v>
      </c>
      <c r="N569" t="n">
        <v>0</v>
      </c>
      <c r="O569" t="n">
        <v>0</v>
      </c>
      <c r="P569" t="n">
        <v>0</v>
      </c>
      <c r="Q569" t="n">
        <v>0</v>
      </c>
      <c r="R569" s="2" t="inlineStr"/>
    </row>
    <row r="570" ht="15" customHeight="1">
      <c r="A570" t="inlineStr">
        <is>
          <t>A 61394-2024</t>
        </is>
      </c>
      <c r="B570" s="1" t="n">
        <v>45646.42061342593</v>
      </c>
      <c r="C570" s="1" t="n">
        <v>45894</v>
      </c>
      <c r="D570" t="inlineStr">
        <is>
          <t>SÖDERMANLANDS LÄN</t>
        </is>
      </c>
      <c r="E570" t="inlineStr">
        <is>
          <t>KATRINEHOLM</t>
        </is>
      </c>
      <c r="G570" t="n">
        <v>1.6</v>
      </c>
      <c r="H570" t="n">
        <v>0</v>
      </c>
      <c r="I570" t="n">
        <v>0</v>
      </c>
      <c r="J570" t="n">
        <v>0</v>
      </c>
      <c r="K570" t="n">
        <v>0</v>
      </c>
      <c r="L570" t="n">
        <v>0</v>
      </c>
      <c r="M570" t="n">
        <v>0</v>
      </c>
      <c r="N570" t="n">
        <v>0</v>
      </c>
      <c r="O570" t="n">
        <v>0</v>
      </c>
      <c r="P570" t="n">
        <v>0</v>
      </c>
      <c r="Q570" t="n">
        <v>0</v>
      </c>
      <c r="R570" s="2" t="inlineStr"/>
    </row>
    <row r="571" ht="15" customHeight="1">
      <c r="A571" t="inlineStr">
        <is>
          <t>A 19452-2023</t>
        </is>
      </c>
      <c r="B571" s="1" t="n">
        <v>45050</v>
      </c>
      <c r="C571" s="1" t="n">
        <v>45894</v>
      </c>
      <c r="D571" t="inlineStr">
        <is>
          <t>SÖDERMANLANDS LÄN</t>
        </is>
      </c>
      <c r="E571" t="inlineStr">
        <is>
          <t>KATRINEHOLM</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31719-2024</t>
        </is>
      </c>
      <c r="B572" s="1" t="n">
        <v>45509</v>
      </c>
      <c r="C572" s="1" t="n">
        <v>45894</v>
      </c>
      <c r="D572" t="inlineStr">
        <is>
          <t>SÖDERMANLANDS LÄN</t>
        </is>
      </c>
      <c r="E572" t="inlineStr">
        <is>
          <t>KATRINEHOLM</t>
        </is>
      </c>
      <c r="F572" t="inlineStr">
        <is>
          <t>Kyrkan</t>
        </is>
      </c>
      <c r="G572" t="n">
        <v>11.9</v>
      </c>
      <c r="H572" t="n">
        <v>0</v>
      </c>
      <c r="I572" t="n">
        <v>0</v>
      </c>
      <c r="J572" t="n">
        <v>0</v>
      </c>
      <c r="K572" t="n">
        <v>0</v>
      </c>
      <c r="L572" t="n">
        <v>0</v>
      </c>
      <c r="M572" t="n">
        <v>0</v>
      </c>
      <c r="N572" t="n">
        <v>0</v>
      </c>
      <c r="O572" t="n">
        <v>0</v>
      </c>
      <c r="P572" t="n">
        <v>0</v>
      </c>
      <c r="Q572" t="n">
        <v>0</v>
      </c>
      <c r="R572" s="2" t="inlineStr"/>
    </row>
    <row r="573" ht="15" customHeight="1">
      <c r="A573" t="inlineStr">
        <is>
          <t>A 43837-2022</t>
        </is>
      </c>
      <c r="B573" s="1" t="n">
        <v>44838</v>
      </c>
      <c r="C573" s="1" t="n">
        <v>45894</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29189-2025</t>
        </is>
      </c>
      <c r="B574" s="1" t="n">
        <v>45822</v>
      </c>
      <c r="C574" s="1" t="n">
        <v>45894</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931-2023</t>
        </is>
      </c>
      <c r="B575" s="1" t="n">
        <v>44932.74261574074</v>
      </c>
      <c r="C575" s="1" t="n">
        <v>45894</v>
      </c>
      <c r="D575" t="inlineStr">
        <is>
          <t>SÖDERMANLANDS LÄN</t>
        </is>
      </c>
      <c r="E575" t="inlineStr">
        <is>
          <t>KATRINEHOLM</t>
        </is>
      </c>
      <c r="G575" t="n">
        <v>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45894</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34176-2025</t>
        </is>
      </c>
      <c r="B577" s="1" t="n">
        <v>45845</v>
      </c>
      <c r="C577" s="1" t="n">
        <v>45894</v>
      </c>
      <c r="D577" t="inlineStr">
        <is>
          <t>SÖDERMANLANDS LÄN</t>
        </is>
      </c>
      <c r="E577" t="inlineStr">
        <is>
          <t>KATRINEHOLM</t>
        </is>
      </c>
      <c r="G577" t="n">
        <v>0.5</v>
      </c>
      <c r="H577" t="n">
        <v>0</v>
      </c>
      <c r="I577" t="n">
        <v>0</v>
      </c>
      <c r="J577" t="n">
        <v>0</v>
      </c>
      <c r="K577" t="n">
        <v>0</v>
      </c>
      <c r="L577" t="n">
        <v>0</v>
      </c>
      <c r="M577" t="n">
        <v>0</v>
      </c>
      <c r="N577" t="n">
        <v>0</v>
      </c>
      <c r="O577" t="n">
        <v>0</v>
      </c>
      <c r="P577" t="n">
        <v>0</v>
      </c>
      <c r="Q577" t="n">
        <v>0</v>
      </c>
      <c r="R577" s="2" t="inlineStr"/>
    </row>
    <row r="578" ht="15" customHeight="1">
      <c r="A578" t="inlineStr">
        <is>
          <t>A 19670-2022</t>
        </is>
      </c>
      <c r="B578" s="1" t="n">
        <v>44694</v>
      </c>
      <c r="C578" s="1" t="n">
        <v>45894</v>
      </c>
      <c r="D578" t="inlineStr">
        <is>
          <t>SÖDERMANLANDS LÄN</t>
        </is>
      </c>
      <c r="E578" t="inlineStr">
        <is>
          <t>KATRINEHOLM</t>
        </is>
      </c>
      <c r="G578" t="n">
        <v>13.6</v>
      </c>
      <c r="H578" t="n">
        <v>0</v>
      </c>
      <c r="I578" t="n">
        <v>0</v>
      </c>
      <c r="J578" t="n">
        <v>0</v>
      </c>
      <c r="K578" t="n">
        <v>0</v>
      </c>
      <c r="L578" t="n">
        <v>0</v>
      </c>
      <c r="M578" t="n">
        <v>0</v>
      </c>
      <c r="N578" t="n">
        <v>0</v>
      </c>
      <c r="O578" t="n">
        <v>0</v>
      </c>
      <c r="P578" t="n">
        <v>0</v>
      </c>
      <c r="Q578" t="n">
        <v>0</v>
      </c>
      <c r="R578" s="2" t="inlineStr"/>
    </row>
    <row r="579" ht="15" customHeight="1">
      <c r="A579" t="inlineStr">
        <is>
          <t>A 43649-2020</t>
        </is>
      </c>
      <c r="B579" s="1" t="n">
        <v>44082</v>
      </c>
      <c r="C579" s="1" t="n">
        <v>45894</v>
      </c>
      <c r="D579" t="inlineStr">
        <is>
          <t>SÖDERMANLANDS LÄN</t>
        </is>
      </c>
      <c r="E579" t="inlineStr">
        <is>
          <t>KATRINEHOLM</t>
        </is>
      </c>
      <c r="G579" t="n">
        <v>6.9</v>
      </c>
      <c r="H579" t="n">
        <v>0</v>
      </c>
      <c r="I579" t="n">
        <v>0</v>
      </c>
      <c r="J579" t="n">
        <v>0</v>
      </c>
      <c r="K579" t="n">
        <v>0</v>
      </c>
      <c r="L579" t="n">
        <v>0</v>
      </c>
      <c r="M579" t="n">
        <v>0</v>
      </c>
      <c r="N579" t="n">
        <v>0</v>
      </c>
      <c r="O579" t="n">
        <v>0</v>
      </c>
      <c r="P579" t="n">
        <v>0</v>
      </c>
      <c r="Q579" t="n">
        <v>0</v>
      </c>
      <c r="R579" s="2" t="inlineStr"/>
    </row>
    <row r="580" ht="15" customHeight="1">
      <c r="A580" t="inlineStr">
        <is>
          <t>A 38883-2024</t>
        </is>
      </c>
      <c r="B580" s="1" t="n">
        <v>45547</v>
      </c>
      <c r="C580" s="1" t="n">
        <v>45894</v>
      </c>
      <c r="D580" t="inlineStr">
        <is>
          <t>SÖDERMANLANDS LÄN</t>
        </is>
      </c>
      <c r="E580" t="inlineStr">
        <is>
          <t>KATRINEHOLM</t>
        </is>
      </c>
      <c r="G580" t="n">
        <v>3.1</v>
      </c>
      <c r="H580" t="n">
        <v>0</v>
      </c>
      <c r="I580" t="n">
        <v>0</v>
      </c>
      <c r="J580" t="n">
        <v>0</v>
      </c>
      <c r="K580" t="n">
        <v>0</v>
      </c>
      <c r="L580" t="n">
        <v>0</v>
      </c>
      <c r="M580" t="n">
        <v>0</v>
      </c>
      <c r="N580" t="n">
        <v>0</v>
      </c>
      <c r="O580" t="n">
        <v>0</v>
      </c>
      <c r="P580" t="n">
        <v>0</v>
      </c>
      <c r="Q580" t="n">
        <v>0</v>
      </c>
      <c r="R580" s="2" t="inlineStr"/>
    </row>
    <row r="581" ht="15" customHeight="1">
      <c r="A581" t="inlineStr">
        <is>
          <t>A 6796-2022</t>
        </is>
      </c>
      <c r="B581" s="1" t="n">
        <v>44602</v>
      </c>
      <c r="C581" s="1" t="n">
        <v>45894</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52857-2021</t>
        </is>
      </c>
      <c r="B582" s="1" t="n">
        <v>44466</v>
      </c>
      <c r="C582" s="1" t="n">
        <v>45894</v>
      </c>
      <c r="D582" t="inlineStr">
        <is>
          <t>SÖDERMANLANDS LÄN</t>
        </is>
      </c>
      <c r="E582" t="inlineStr">
        <is>
          <t>KATRINEHOLM</t>
        </is>
      </c>
      <c r="G582" t="n">
        <v>0.8</v>
      </c>
      <c r="H582" t="n">
        <v>0</v>
      </c>
      <c r="I582" t="n">
        <v>0</v>
      </c>
      <c r="J582" t="n">
        <v>0</v>
      </c>
      <c r="K582" t="n">
        <v>0</v>
      </c>
      <c r="L582" t="n">
        <v>0</v>
      </c>
      <c r="M582" t="n">
        <v>0</v>
      </c>
      <c r="N582" t="n">
        <v>0</v>
      </c>
      <c r="O582" t="n">
        <v>0</v>
      </c>
      <c r="P582" t="n">
        <v>0</v>
      </c>
      <c r="Q582" t="n">
        <v>0</v>
      </c>
      <c r="R582" s="2" t="inlineStr"/>
    </row>
    <row r="583" ht="15" customHeight="1">
      <c r="A583" t="inlineStr">
        <is>
          <t>A 6606-2022</t>
        </is>
      </c>
      <c r="B583" s="1" t="n">
        <v>44601</v>
      </c>
      <c r="C583" s="1" t="n">
        <v>45894</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4122-2023</t>
        </is>
      </c>
      <c r="B584" s="1" t="n">
        <v>44952</v>
      </c>
      <c r="C584" s="1" t="n">
        <v>45894</v>
      </c>
      <c r="D584" t="inlineStr">
        <is>
          <t>SÖDERMANLANDS LÄN</t>
        </is>
      </c>
      <c r="E584" t="inlineStr">
        <is>
          <t>KATRINEHOLM</t>
        </is>
      </c>
      <c r="G584" t="n">
        <v>9</v>
      </c>
      <c r="H584" t="n">
        <v>0</v>
      </c>
      <c r="I584" t="n">
        <v>0</v>
      </c>
      <c r="J584" t="n">
        <v>0</v>
      </c>
      <c r="K584" t="n">
        <v>0</v>
      </c>
      <c r="L584" t="n">
        <v>0</v>
      </c>
      <c r="M584" t="n">
        <v>0</v>
      </c>
      <c r="N584" t="n">
        <v>0</v>
      </c>
      <c r="O584" t="n">
        <v>0</v>
      </c>
      <c r="P584" t="n">
        <v>0</v>
      </c>
      <c r="Q584" t="n">
        <v>0</v>
      </c>
      <c r="R584" s="2" t="inlineStr"/>
    </row>
    <row r="585" ht="15" customHeight="1">
      <c r="A585" t="inlineStr">
        <is>
          <t>A 30287-2025</t>
        </is>
      </c>
      <c r="B585" s="1" t="n">
        <v>45827</v>
      </c>
      <c r="C585" s="1" t="n">
        <v>45894</v>
      </c>
      <c r="D585" t="inlineStr">
        <is>
          <t>SÖDERMANLANDS LÄN</t>
        </is>
      </c>
      <c r="E585" t="inlineStr">
        <is>
          <t>KATRINEHOLM</t>
        </is>
      </c>
      <c r="G585" t="n">
        <v>10.2</v>
      </c>
      <c r="H585" t="n">
        <v>0</v>
      </c>
      <c r="I585" t="n">
        <v>0</v>
      </c>
      <c r="J585" t="n">
        <v>0</v>
      </c>
      <c r="K585" t="n">
        <v>0</v>
      </c>
      <c r="L585" t="n">
        <v>0</v>
      </c>
      <c r="M585" t="n">
        <v>0</v>
      </c>
      <c r="N585" t="n">
        <v>0</v>
      </c>
      <c r="O585" t="n">
        <v>0</v>
      </c>
      <c r="P585" t="n">
        <v>0</v>
      </c>
      <c r="Q585" t="n">
        <v>0</v>
      </c>
      <c r="R585" s="2" t="inlineStr"/>
    </row>
    <row r="586" ht="15" customHeight="1">
      <c r="A586" t="inlineStr">
        <is>
          <t>A 30352-2025</t>
        </is>
      </c>
      <c r="B586" s="1" t="n">
        <v>45827</v>
      </c>
      <c r="C586" s="1" t="n">
        <v>45894</v>
      </c>
      <c r="D586" t="inlineStr">
        <is>
          <t>SÖDERMANLANDS LÄN</t>
        </is>
      </c>
      <c r="E586" t="inlineStr">
        <is>
          <t>KATRINEHOLM</t>
        </is>
      </c>
      <c r="G586" t="n">
        <v>1.6</v>
      </c>
      <c r="H586" t="n">
        <v>0</v>
      </c>
      <c r="I586" t="n">
        <v>0</v>
      </c>
      <c r="J586" t="n">
        <v>0</v>
      </c>
      <c r="K586" t="n">
        <v>0</v>
      </c>
      <c r="L586" t="n">
        <v>0</v>
      </c>
      <c r="M586" t="n">
        <v>0</v>
      </c>
      <c r="N586" t="n">
        <v>0</v>
      </c>
      <c r="O586" t="n">
        <v>0</v>
      </c>
      <c r="P586" t="n">
        <v>0</v>
      </c>
      <c r="Q586" t="n">
        <v>0</v>
      </c>
      <c r="R586" s="2" t="inlineStr"/>
    </row>
    <row r="587" ht="15" customHeight="1">
      <c r="A587" t="inlineStr">
        <is>
          <t>A 42015-2022</t>
        </is>
      </c>
      <c r="B587" s="1" t="n">
        <v>44830.4649074074</v>
      </c>
      <c r="C587" s="1" t="n">
        <v>45894</v>
      </c>
      <c r="D587" t="inlineStr">
        <is>
          <t>SÖDERMANLANDS LÄN</t>
        </is>
      </c>
      <c r="E587" t="inlineStr">
        <is>
          <t>KATRINEHOLM</t>
        </is>
      </c>
      <c r="G587" t="n">
        <v>3.8</v>
      </c>
      <c r="H587" t="n">
        <v>0</v>
      </c>
      <c r="I587" t="n">
        <v>0</v>
      </c>
      <c r="J587" t="n">
        <v>0</v>
      </c>
      <c r="K587" t="n">
        <v>0</v>
      </c>
      <c r="L587" t="n">
        <v>0</v>
      </c>
      <c r="M587" t="n">
        <v>0</v>
      </c>
      <c r="N587" t="n">
        <v>0</v>
      </c>
      <c r="O587" t="n">
        <v>0</v>
      </c>
      <c r="P587" t="n">
        <v>0</v>
      </c>
      <c r="Q587" t="n">
        <v>0</v>
      </c>
      <c r="R587" s="2" t="inlineStr"/>
    </row>
    <row r="588" ht="15" customHeight="1">
      <c r="A588" t="inlineStr">
        <is>
          <t>A 42020-2022</t>
        </is>
      </c>
      <c r="B588" s="1" t="n">
        <v>44830.46849537037</v>
      </c>
      <c r="C588" s="1" t="n">
        <v>45894</v>
      </c>
      <c r="D588" t="inlineStr">
        <is>
          <t>SÖDERMANLANDS LÄN</t>
        </is>
      </c>
      <c r="E588" t="inlineStr">
        <is>
          <t>KATRINEHOLM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30050-2025</t>
        </is>
      </c>
      <c r="B589" s="1" t="n">
        <v>45826.59151620371</v>
      </c>
      <c r="C589" s="1" t="n">
        <v>45894</v>
      </c>
      <c r="D589" t="inlineStr">
        <is>
          <t>SÖDERMANLANDS LÄN</t>
        </is>
      </c>
      <c r="E589" t="inlineStr">
        <is>
          <t>KATRINEHOLM</t>
        </is>
      </c>
      <c r="G589" t="n">
        <v>7.9</v>
      </c>
      <c r="H589" t="n">
        <v>0</v>
      </c>
      <c r="I589" t="n">
        <v>0</v>
      </c>
      <c r="J589" t="n">
        <v>0</v>
      </c>
      <c r="K589" t="n">
        <v>0</v>
      </c>
      <c r="L589" t="n">
        <v>0</v>
      </c>
      <c r="M589" t="n">
        <v>0</v>
      </c>
      <c r="N589" t="n">
        <v>0</v>
      </c>
      <c r="O589" t="n">
        <v>0</v>
      </c>
      <c r="P589" t="n">
        <v>0</v>
      </c>
      <c r="Q589" t="n">
        <v>0</v>
      </c>
      <c r="R589" s="2" t="inlineStr"/>
    </row>
    <row r="590" ht="15" customHeight="1">
      <c r="A590" t="inlineStr">
        <is>
          <t>A 8394-2024</t>
        </is>
      </c>
      <c r="B590" s="1" t="n">
        <v>45352</v>
      </c>
      <c r="C590" s="1" t="n">
        <v>45894</v>
      </c>
      <c r="D590" t="inlineStr">
        <is>
          <t>SÖDERMANLANDS LÄN</t>
        </is>
      </c>
      <c r="E590" t="inlineStr">
        <is>
          <t>KATRINEHOLM</t>
        </is>
      </c>
      <c r="G590" t="n">
        <v>4</v>
      </c>
      <c r="H590" t="n">
        <v>0</v>
      </c>
      <c r="I590" t="n">
        <v>0</v>
      </c>
      <c r="J590" t="n">
        <v>0</v>
      </c>
      <c r="K590" t="n">
        <v>0</v>
      </c>
      <c r="L590" t="n">
        <v>0</v>
      </c>
      <c r="M590" t="n">
        <v>0</v>
      </c>
      <c r="N590" t="n">
        <v>0</v>
      </c>
      <c r="O590" t="n">
        <v>0</v>
      </c>
      <c r="P590" t="n">
        <v>0</v>
      </c>
      <c r="Q590" t="n">
        <v>0</v>
      </c>
      <c r="R590" s="2" t="inlineStr"/>
    </row>
    <row r="591" ht="15" customHeight="1">
      <c r="A591" t="inlineStr">
        <is>
          <t>A 14239-2024</t>
        </is>
      </c>
      <c r="B591" s="1" t="n">
        <v>45393</v>
      </c>
      <c r="C591" s="1" t="n">
        <v>45894</v>
      </c>
      <c r="D591" t="inlineStr">
        <is>
          <t>SÖDERMANLANDS LÄN</t>
        </is>
      </c>
      <c r="E591" t="inlineStr">
        <is>
          <t>KATRINEHOLM</t>
        </is>
      </c>
      <c r="G591" t="n">
        <v>2.7</v>
      </c>
      <c r="H591" t="n">
        <v>0</v>
      </c>
      <c r="I591" t="n">
        <v>0</v>
      </c>
      <c r="J591" t="n">
        <v>0</v>
      </c>
      <c r="K591" t="n">
        <v>0</v>
      </c>
      <c r="L591" t="n">
        <v>0</v>
      </c>
      <c r="M591" t="n">
        <v>0</v>
      </c>
      <c r="N591" t="n">
        <v>0</v>
      </c>
      <c r="O591" t="n">
        <v>0</v>
      </c>
      <c r="P591" t="n">
        <v>0</v>
      </c>
      <c r="Q591" t="n">
        <v>0</v>
      </c>
      <c r="R591" s="2" t="inlineStr"/>
    </row>
    <row r="592" ht="15" customHeight="1">
      <c r="A592" t="inlineStr">
        <is>
          <t>A 14248-2024</t>
        </is>
      </c>
      <c r="B592" s="1" t="n">
        <v>45393</v>
      </c>
      <c r="C592" s="1" t="n">
        <v>45894</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25716-2022</t>
        </is>
      </c>
      <c r="B593" s="1" t="n">
        <v>44733.39600694444</v>
      </c>
      <c r="C593" s="1" t="n">
        <v>45894</v>
      </c>
      <c r="D593" t="inlineStr">
        <is>
          <t>SÖDERMANLANDS LÄN</t>
        </is>
      </c>
      <c r="E593" t="inlineStr">
        <is>
          <t>KATRINEHOLM</t>
        </is>
      </c>
      <c r="G593" t="n">
        <v>3.4</v>
      </c>
      <c r="H593" t="n">
        <v>0</v>
      </c>
      <c r="I593" t="n">
        <v>0</v>
      </c>
      <c r="J593" t="n">
        <v>0</v>
      </c>
      <c r="K593" t="n">
        <v>0</v>
      </c>
      <c r="L593" t="n">
        <v>0</v>
      </c>
      <c r="M593" t="n">
        <v>0</v>
      </c>
      <c r="N593" t="n">
        <v>0</v>
      </c>
      <c r="O593" t="n">
        <v>0</v>
      </c>
      <c r="P593" t="n">
        <v>0</v>
      </c>
      <c r="Q593" t="n">
        <v>0</v>
      </c>
      <c r="R593" s="2" t="inlineStr"/>
    </row>
    <row r="594" ht="15" customHeight="1">
      <c r="A594" t="inlineStr">
        <is>
          <t>A 23347-2023</t>
        </is>
      </c>
      <c r="B594" s="1" t="n">
        <v>45076</v>
      </c>
      <c r="C594" s="1" t="n">
        <v>45894</v>
      </c>
      <c r="D594" t="inlineStr">
        <is>
          <t>SÖDERMANLANDS LÄN</t>
        </is>
      </c>
      <c r="E594" t="inlineStr">
        <is>
          <t>KATRINEHOLM</t>
        </is>
      </c>
      <c r="G594" t="n">
        <v>4.3</v>
      </c>
      <c r="H594" t="n">
        <v>0</v>
      </c>
      <c r="I594" t="n">
        <v>0</v>
      </c>
      <c r="J594" t="n">
        <v>0</v>
      </c>
      <c r="K594" t="n">
        <v>0</v>
      </c>
      <c r="L594" t="n">
        <v>0</v>
      </c>
      <c r="M594" t="n">
        <v>0</v>
      </c>
      <c r="N594" t="n">
        <v>0</v>
      </c>
      <c r="O594" t="n">
        <v>0</v>
      </c>
      <c r="P594" t="n">
        <v>0</v>
      </c>
      <c r="Q594" t="n">
        <v>0</v>
      </c>
      <c r="R594" s="2" t="inlineStr"/>
    </row>
    <row r="595" ht="15" customHeight="1">
      <c r="A595" t="inlineStr">
        <is>
          <t>A 23916-2023</t>
        </is>
      </c>
      <c r="B595" s="1" t="n">
        <v>45075</v>
      </c>
      <c r="C595" s="1" t="n">
        <v>45894</v>
      </c>
      <c r="D595" t="inlineStr">
        <is>
          <t>SÖDERMANLANDS LÄN</t>
        </is>
      </c>
      <c r="E595" t="inlineStr">
        <is>
          <t>KATRINEHOLM</t>
        </is>
      </c>
      <c r="G595" t="n">
        <v>8</v>
      </c>
      <c r="H595" t="n">
        <v>0</v>
      </c>
      <c r="I595" t="n">
        <v>0</v>
      </c>
      <c r="J595" t="n">
        <v>0</v>
      </c>
      <c r="K595" t="n">
        <v>0</v>
      </c>
      <c r="L595" t="n">
        <v>0</v>
      </c>
      <c r="M595" t="n">
        <v>0</v>
      </c>
      <c r="N595" t="n">
        <v>0</v>
      </c>
      <c r="O595" t="n">
        <v>0</v>
      </c>
      <c r="P595" t="n">
        <v>0</v>
      </c>
      <c r="Q595" t="n">
        <v>0</v>
      </c>
      <c r="R595" s="2" t="inlineStr"/>
    </row>
    <row r="596" ht="15" customHeight="1">
      <c r="A596" t="inlineStr">
        <is>
          <t>A 23842-2023</t>
        </is>
      </c>
      <c r="B596" s="1" t="n">
        <v>45075</v>
      </c>
      <c r="C596" s="1" t="n">
        <v>45894</v>
      </c>
      <c r="D596" t="inlineStr">
        <is>
          <t>SÖDERMANLANDS LÄN</t>
        </is>
      </c>
      <c r="E596" t="inlineStr">
        <is>
          <t>KATRINEHOLM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30350-2025</t>
        </is>
      </c>
      <c r="B597" s="1" t="n">
        <v>45827.53319444445</v>
      </c>
      <c r="C597" s="1" t="n">
        <v>45894</v>
      </c>
      <c r="D597" t="inlineStr">
        <is>
          <t>SÖDERMANLANDS LÄN</t>
        </is>
      </c>
      <c r="E597" t="inlineStr">
        <is>
          <t>KATRINEHOLM</t>
        </is>
      </c>
      <c r="G597" t="n">
        <v>1.2</v>
      </c>
      <c r="H597" t="n">
        <v>0</v>
      </c>
      <c r="I597" t="n">
        <v>0</v>
      </c>
      <c r="J597" t="n">
        <v>0</v>
      </c>
      <c r="K597" t="n">
        <v>0</v>
      </c>
      <c r="L597" t="n">
        <v>0</v>
      </c>
      <c r="M597" t="n">
        <v>0</v>
      </c>
      <c r="N597" t="n">
        <v>0</v>
      </c>
      <c r="O597" t="n">
        <v>0</v>
      </c>
      <c r="P597" t="n">
        <v>0</v>
      </c>
      <c r="Q597" t="n">
        <v>0</v>
      </c>
      <c r="R597" s="2" t="inlineStr"/>
    </row>
    <row r="598" ht="15" customHeight="1">
      <c r="A598" t="inlineStr">
        <is>
          <t>A 46700-2023</t>
        </is>
      </c>
      <c r="B598" s="1" t="n">
        <v>45194</v>
      </c>
      <c r="C598" s="1" t="n">
        <v>45894</v>
      </c>
      <c r="D598" t="inlineStr">
        <is>
          <t>SÖDERMANLANDS LÄN</t>
        </is>
      </c>
      <c r="E598" t="inlineStr">
        <is>
          <t>KATRINEHOLM</t>
        </is>
      </c>
      <c r="G598" t="n">
        <v>3</v>
      </c>
      <c r="H598" t="n">
        <v>0</v>
      </c>
      <c r="I598" t="n">
        <v>0</v>
      </c>
      <c r="J598" t="n">
        <v>0</v>
      </c>
      <c r="K598" t="n">
        <v>0</v>
      </c>
      <c r="L598" t="n">
        <v>0</v>
      </c>
      <c r="M598" t="n">
        <v>0</v>
      </c>
      <c r="N598" t="n">
        <v>0</v>
      </c>
      <c r="O598" t="n">
        <v>0</v>
      </c>
      <c r="P598" t="n">
        <v>0</v>
      </c>
      <c r="Q598" t="n">
        <v>0</v>
      </c>
      <c r="R598" s="2" t="inlineStr"/>
    </row>
    <row r="599" ht="15" customHeight="1">
      <c r="A599" t="inlineStr">
        <is>
          <t>A 30386-2025</t>
        </is>
      </c>
      <c r="B599" s="1" t="n">
        <v>45827</v>
      </c>
      <c r="C599" s="1" t="n">
        <v>45894</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25428-2024</t>
        </is>
      </c>
      <c r="B600" s="1" t="n">
        <v>45463</v>
      </c>
      <c r="C600" s="1" t="n">
        <v>45894</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33278-2024</t>
        </is>
      </c>
      <c r="B601" s="1" t="n">
        <v>45518</v>
      </c>
      <c r="C601" s="1" t="n">
        <v>45894</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30070-2025</t>
        </is>
      </c>
      <c r="B602" s="1" t="n">
        <v>45826.63324074074</v>
      </c>
      <c r="C602" s="1" t="n">
        <v>45894</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30402-2025</t>
        </is>
      </c>
      <c r="B603" s="1" t="n">
        <v>45827</v>
      </c>
      <c r="C603" s="1" t="n">
        <v>45894</v>
      </c>
      <c r="D603" t="inlineStr">
        <is>
          <t>SÖDERMANLANDS LÄN</t>
        </is>
      </c>
      <c r="E603" t="inlineStr">
        <is>
          <t>KATRINEHOLM</t>
        </is>
      </c>
      <c r="G603" t="n">
        <v>7.1</v>
      </c>
      <c r="H603" t="n">
        <v>0</v>
      </c>
      <c r="I603" t="n">
        <v>0</v>
      </c>
      <c r="J603" t="n">
        <v>0</v>
      </c>
      <c r="K603" t="n">
        <v>0</v>
      </c>
      <c r="L603" t="n">
        <v>0</v>
      </c>
      <c r="M603" t="n">
        <v>0</v>
      </c>
      <c r="N603" t="n">
        <v>0</v>
      </c>
      <c r="O603" t="n">
        <v>0</v>
      </c>
      <c r="P603" t="n">
        <v>0</v>
      </c>
      <c r="Q603" t="n">
        <v>0</v>
      </c>
      <c r="R603" s="2" t="inlineStr"/>
    </row>
    <row r="604" ht="15" customHeight="1">
      <c r="A604" t="inlineStr">
        <is>
          <t>A 40186-2023</t>
        </is>
      </c>
      <c r="B604" s="1" t="n">
        <v>45169</v>
      </c>
      <c r="C604" s="1" t="n">
        <v>45894</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49700-2022</t>
        </is>
      </c>
      <c r="B605" s="1" t="n">
        <v>44862</v>
      </c>
      <c r="C605" s="1" t="n">
        <v>45894</v>
      </c>
      <c r="D605" t="inlineStr">
        <is>
          <t>SÖDERMANLANDS LÄN</t>
        </is>
      </c>
      <c r="E605" t="inlineStr">
        <is>
          <t>KATRINEHOLM</t>
        </is>
      </c>
      <c r="G605" t="n">
        <v>19.5</v>
      </c>
      <c r="H605" t="n">
        <v>0</v>
      </c>
      <c r="I605" t="n">
        <v>0</v>
      </c>
      <c r="J605" t="n">
        <v>0</v>
      </c>
      <c r="K605" t="n">
        <v>0</v>
      </c>
      <c r="L605" t="n">
        <v>0</v>
      </c>
      <c r="M605" t="n">
        <v>0</v>
      </c>
      <c r="N605" t="n">
        <v>0</v>
      </c>
      <c r="O605" t="n">
        <v>0</v>
      </c>
      <c r="P605" t="n">
        <v>0</v>
      </c>
      <c r="Q605" t="n">
        <v>0</v>
      </c>
      <c r="R605" s="2" t="inlineStr"/>
    </row>
    <row r="606" ht="15" customHeight="1">
      <c r="A606" t="inlineStr">
        <is>
          <t>A 27955-2023</t>
        </is>
      </c>
      <c r="B606" s="1" t="n">
        <v>45098</v>
      </c>
      <c r="C606" s="1" t="n">
        <v>45894</v>
      </c>
      <c r="D606" t="inlineStr">
        <is>
          <t>SÖDERMANLANDS LÄN</t>
        </is>
      </c>
      <c r="E606" t="inlineStr">
        <is>
          <t>KATRINEHOLM</t>
        </is>
      </c>
      <c r="G606" t="n">
        <v>5.9</v>
      </c>
      <c r="H606" t="n">
        <v>0</v>
      </c>
      <c r="I606" t="n">
        <v>0</v>
      </c>
      <c r="J606" t="n">
        <v>0</v>
      </c>
      <c r="K606" t="n">
        <v>0</v>
      </c>
      <c r="L606" t="n">
        <v>0</v>
      </c>
      <c r="M606" t="n">
        <v>0</v>
      </c>
      <c r="N606" t="n">
        <v>0</v>
      </c>
      <c r="O606" t="n">
        <v>0</v>
      </c>
      <c r="P606" t="n">
        <v>0</v>
      </c>
      <c r="Q606" t="n">
        <v>0</v>
      </c>
      <c r="R606" s="2" t="inlineStr"/>
    </row>
    <row r="607" ht="15" customHeight="1">
      <c r="A607" t="inlineStr">
        <is>
          <t>A 33141-2023</t>
        </is>
      </c>
      <c r="B607" s="1" t="n">
        <v>45126.65491898148</v>
      </c>
      <c r="C607" s="1" t="n">
        <v>45894</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46899-2022</t>
        </is>
      </c>
      <c r="B608" s="1" t="n">
        <v>44848</v>
      </c>
      <c r="C608" s="1" t="n">
        <v>45894</v>
      </c>
      <c r="D608" t="inlineStr">
        <is>
          <t>SÖDERMANLANDS LÄN</t>
        </is>
      </c>
      <c r="E608" t="inlineStr">
        <is>
          <t>KATRINEHOLM</t>
        </is>
      </c>
      <c r="G608" t="n">
        <v>2</v>
      </c>
      <c r="H608" t="n">
        <v>0</v>
      </c>
      <c r="I608" t="n">
        <v>0</v>
      </c>
      <c r="J608" t="n">
        <v>0</v>
      </c>
      <c r="K608" t="n">
        <v>0</v>
      </c>
      <c r="L608" t="n">
        <v>0</v>
      </c>
      <c r="M608" t="n">
        <v>0</v>
      </c>
      <c r="N608" t="n">
        <v>0</v>
      </c>
      <c r="O608" t="n">
        <v>0</v>
      </c>
      <c r="P608" t="n">
        <v>0</v>
      </c>
      <c r="Q608" t="n">
        <v>0</v>
      </c>
      <c r="R608" s="2" t="inlineStr"/>
    </row>
    <row r="609" ht="15" customHeight="1">
      <c r="A609" t="inlineStr">
        <is>
          <t>A 9714-2024</t>
        </is>
      </c>
      <c r="B609" s="1" t="n">
        <v>45362</v>
      </c>
      <c r="C609" s="1" t="n">
        <v>45894</v>
      </c>
      <c r="D609" t="inlineStr">
        <is>
          <t>SÖDERMANLANDS LÄN</t>
        </is>
      </c>
      <c r="E609" t="inlineStr">
        <is>
          <t>KATRINEHOLM</t>
        </is>
      </c>
      <c r="G609" t="n">
        <v>4</v>
      </c>
      <c r="H609" t="n">
        <v>0</v>
      </c>
      <c r="I609" t="n">
        <v>0</v>
      </c>
      <c r="J609" t="n">
        <v>0</v>
      </c>
      <c r="K609" t="n">
        <v>0</v>
      </c>
      <c r="L609" t="n">
        <v>0</v>
      </c>
      <c r="M609" t="n">
        <v>0</v>
      </c>
      <c r="N609" t="n">
        <v>0</v>
      </c>
      <c r="O609" t="n">
        <v>0</v>
      </c>
      <c r="P609" t="n">
        <v>0</v>
      </c>
      <c r="Q609" t="n">
        <v>0</v>
      </c>
      <c r="R609" s="2" t="inlineStr"/>
    </row>
    <row r="610" ht="15" customHeight="1">
      <c r="A610" t="inlineStr">
        <is>
          <t>A 39897-2023</t>
        </is>
      </c>
      <c r="B610" s="1" t="n">
        <v>45168</v>
      </c>
      <c r="C610" s="1" t="n">
        <v>45894</v>
      </c>
      <c r="D610" t="inlineStr">
        <is>
          <t>SÖDERMANLANDS LÄN</t>
        </is>
      </c>
      <c r="E610" t="inlineStr">
        <is>
          <t>KATRINEHOLM</t>
        </is>
      </c>
      <c r="G610" t="n">
        <v>15.6</v>
      </c>
      <c r="H610" t="n">
        <v>0</v>
      </c>
      <c r="I610" t="n">
        <v>0</v>
      </c>
      <c r="J610" t="n">
        <v>0</v>
      </c>
      <c r="K610" t="n">
        <v>0</v>
      </c>
      <c r="L610" t="n">
        <v>0</v>
      </c>
      <c r="M610" t="n">
        <v>0</v>
      </c>
      <c r="N610" t="n">
        <v>0</v>
      </c>
      <c r="O610" t="n">
        <v>0</v>
      </c>
      <c r="P610" t="n">
        <v>0</v>
      </c>
      <c r="Q610" t="n">
        <v>0</v>
      </c>
      <c r="R610" s="2" t="inlineStr"/>
    </row>
    <row r="611" ht="15" customHeight="1">
      <c r="A611" t="inlineStr">
        <is>
          <t>A 2735-2025</t>
        </is>
      </c>
      <c r="B611" s="1" t="n">
        <v>45677</v>
      </c>
      <c r="C611" s="1" t="n">
        <v>45894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36590-2025</t>
        </is>
      </c>
      <c r="B612" s="1" t="n">
        <v>45870</v>
      </c>
      <c r="C612" s="1" t="n">
        <v>45894</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20326-2023</t>
        </is>
      </c>
      <c r="B613" s="1" t="n">
        <v>45056.46821759259</v>
      </c>
      <c r="C613" s="1" t="n">
        <v>45894</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67337-2021</t>
        </is>
      </c>
      <c r="B614" s="1" t="n">
        <v>44523</v>
      </c>
      <c r="C614" s="1" t="n">
        <v>45894</v>
      </c>
      <c r="D614" t="inlineStr">
        <is>
          <t>SÖDERMANLANDS LÄN</t>
        </is>
      </c>
      <c r="E614" t="inlineStr">
        <is>
          <t>KATRINEHOLM</t>
        </is>
      </c>
      <c r="G614" t="n">
        <v>5.2</v>
      </c>
      <c r="H614" t="n">
        <v>0</v>
      </c>
      <c r="I614" t="n">
        <v>0</v>
      </c>
      <c r="J614" t="n">
        <v>0</v>
      </c>
      <c r="K614" t="n">
        <v>0</v>
      </c>
      <c r="L614" t="n">
        <v>0</v>
      </c>
      <c r="M614" t="n">
        <v>0</v>
      </c>
      <c r="N614" t="n">
        <v>0</v>
      </c>
      <c r="O614" t="n">
        <v>0</v>
      </c>
      <c r="P614" t="n">
        <v>0</v>
      </c>
      <c r="Q614" t="n">
        <v>0</v>
      </c>
      <c r="R614" s="2" t="inlineStr"/>
    </row>
    <row r="615" ht="15" customHeight="1">
      <c r="A615" t="inlineStr">
        <is>
          <t>A 50032-2022</t>
        </is>
      </c>
      <c r="B615" s="1" t="n">
        <v>44860</v>
      </c>
      <c r="C615" s="1" t="n">
        <v>45894</v>
      </c>
      <c r="D615" t="inlineStr">
        <is>
          <t>SÖDERMANLANDS LÄN</t>
        </is>
      </c>
      <c r="E615" t="inlineStr">
        <is>
          <t>KATRINEHOLM</t>
        </is>
      </c>
      <c r="G615" t="n">
        <v>7.5</v>
      </c>
      <c r="H615" t="n">
        <v>0</v>
      </c>
      <c r="I615" t="n">
        <v>0</v>
      </c>
      <c r="J615" t="n">
        <v>0</v>
      </c>
      <c r="K615" t="n">
        <v>0</v>
      </c>
      <c r="L615" t="n">
        <v>0</v>
      </c>
      <c r="M615" t="n">
        <v>0</v>
      </c>
      <c r="N615" t="n">
        <v>0</v>
      </c>
      <c r="O615" t="n">
        <v>0</v>
      </c>
      <c r="P615" t="n">
        <v>0</v>
      </c>
      <c r="Q615" t="n">
        <v>0</v>
      </c>
      <c r="R615" s="2" t="inlineStr"/>
    </row>
    <row r="616" ht="15" customHeight="1">
      <c r="A616" t="inlineStr">
        <is>
          <t>A 9044-2022</t>
        </is>
      </c>
      <c r="B616" s="1" t="n">
        <v>44602</v>
      </c>
      <c r="C616" s="1" t="n">
        <v>45894</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50804-2023</t>
        </is>
      </c>
      <c r="B617" s="1" t="n">
        <v>45211</v>
      </c>
      <c r="C617" s="1" t="n">
        <v>45894</v>
      </c>
      <c r="D617" t="inlineStr">
        <is>
          <t>SÖDERMANLANDS LÄN</t>
        </is>
      </c>
      <c r="E617" t="inlineStr">
        <is>
          <t>KATRINEHOLM</t>
        </is>
      </c>
      <c r="G617" t="n">
        <v>4</v>
      </c>
      <c r="H617" t="n">
        <v>0</v>
      </c>
      <c r="I617" t="n">
        <v>0</v>
      </c>
      <c r="J617" t="n">
        <v>0</v>
      </c>
      <c r="K617" t="n">
        <v>0</v>
      </c>
      <c r="L617" t="n">
        <v>0</v>
      </c>
      <c r="M617" t="n">
        <v>0</v>
      </c>
      <c r="N617" t="n">
        <v>0</v>
      </c>
      <c r="O617" t="n">
        <v>0</v>
      </c>
      <c r="P617" t="n">
        <v>0</v>
      </c>
      <c r="Q617" t="n">
        <v>0</v>
      </c>
      <c r="R617" s="2" t="inlineStr"/>
    </row>
    <row r="618" ht="15" customHeight="1">
      <c r="A618" t="inlineStr">
        <is>
          <t>A 29502-2023</t>
        </is>
      </c>
      <c r="B618" s="1" t="n">
        <v>45106</v>
      </c>
      <c r="C618" s="1" t="n">
        <v>45894</v>
      </c>
      <c r="D618" t="inlineStr">
        <is>
          <t>SÖDERMANLANDS LÄN</t>
        </is>
      </c>
      <c r="E618" t="inlineStr">
        <is>
          <t>KATRINEHOLM</t>
        </is>
      </c>
      <c r="G618" t="n">
        <v>2.3</v>
      </c>
      <c r="H618" t="n">
        <v>0</v>
      </c>
      <c r="I618" t="n">
        <v>0</v>
      </c>
      <c r="J618" t="n">
        <v>0</v>
      </c>
      <c r="K618" t="n">
        <v>0</v>
      </c>
      <c r="L618" t="n">
        <v>0</v>
      </c>
      <c r="M618" t="n">
        <v>0</v>
      </c>
      <c r="N618" t="n">
        <v>0</v>
      </c>
      <c r="O618" t="n">
        <v>0</v>
      </c>
      <c r="P618" t="n">
        <v>0</v>
      </c>
      <c r="Q618" t="n">
        <v>0</v>
      </c>
      <c r="R618" s="2" t="inlineStr"/>
    </row>
    <row r="619" ht="15" customHeight="1">
      <c r="A619" t="inlineStr">
        <is>
          <t>A 56074-2022</t>
        </is>
      </c>
      <c r="B619" s="1" t="n">
        <v>44889</v>
      </c>
      <c r="C619" s="1" t="n">
        <v>45894</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c r="T619">
        <f>HYPERLINK("https://klasma.github.io/Logging_0483/kartor/A 56074-2022 karta.png", "A 56074-2022")</f>
        <v/>
      </c>
      <c r="V619">
        <f>HYPERLINK("https://klasma.github.io/Logging_0483/klagomål/A 56074-2022 FSC-klagomål.docx", "A 56074-2022")</f>
        <v/>
      </c>
      <c r="W619">
        <f>HYPERLINK("https://klasma.github.io/Logging_0483/klagomålsmail/A 56074-2022 FSC-klagomål mail.docx", "A 56074-2022")</f>
        <v/>
      </c>
      <c r="X619">
        <f>HYPERLINK("https://klasma.github.io/Logging_0483/tillsyn/A 56074-2022 tillsynsbegäran.docx", "A 56074-2022")</f>
        <v/>
      </c>
      <c r="Y619">
        <f>HYPERLINK("https://klasma.github.io/Logging_0483/tillsynsmail/A 56074-2022 tillsynsbegäran mail.docx", "A 56074-2022")</f>
        <v/>
      </c>
    </row>
    <row r="620" ht="15" customHeight="1">
      <c r="A620" t="inlineStr">
        <is>
          <t>A 31392-2025</t>
        </is>
      </c>
      <c r="B620" s="1" t="n">
        <v>45833</v>
      </c>
      <c r="C620" s="1" t="n">
        <v>45894</v>
      </c>
      <c r="D620" t="inlineStr">
        <is>
          <t>SÖDERMANLANDS LÄN</t>
        </is>
      </c>
      <c r="E620" t="inlineStr">
        <is>
          <t>KATRINEHOLM</t>
        </is>
      </c>
      <c r="G620" t="n">
        <v>5</v>
      </c>
      <c r="H620" t="n">
        <v>0</v>
      </c>
      <c r="I620" t="n">
        <v>0</v>
      </c>
      <c r="J620" t="n">
        <v>0</v>
      </c>
      <c r="K620" t="n">
        <v>0</v>
      </c>
      <c r="L620" t="n">
        <v>0</v>
      </c>
      <c r="M620" t="n">
        <v>0</v>
      </c>
      <c r="N620" t="n">
        <v>0</v>
      </c>
      <c r="O620" t="n">
        <v>0</v>
      </c>
      <c r="P620" t="n">
        <v>0</v>
      </c>
      <c r="Q620" t="n">
        <v>0</v>
      </c>
      <c r="R620" s="2" t="inlineStr"/>
    </row>
    <row r="621" ht="15" customHeight="1">
      <c r="A621" t="inlineStr">
        <is>
          <t>A 69117-2021</t>
        </is>
      </c>
      <c r="B621" s="1" t="n">
        <v>44530.82445601852</v>
      </c>
      <c r="C621" s="1" t="n">
        <v>45894</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31376-2025</t>
        </is>
      </c>
      <c r="B622" s="1" t="n">
        <v>45833</v>
      </c>
      <c r="C622" s="1" t="n">
        <v>45894</v>
      </c>
      <c r="D622" t="inlineStr">
        <is>
          <t>SÖDERMANLANDS LÄN</t>
        </is>
      </c>
      <c r="E622" t="inlineStr">
        <is>
          <t>KATRINEHOLM</t>
        </is>
      </c>
      <c r="G622" t="n">
        <v>1.6</v>
      </c>
      <c r="H622" t="n">
        <v>0</v>
      </c>
      <c r="I622" t="n">
        <v>0</v>
      </c>
      <c r="J622" t="n">
        <v>0</v>
      </c>
      <c r="K622" t="n">
        <v>0</v>
      </c>
      <c r="L622" t="n">
        <v>0</v>
      </c>
      <c r="M622" t="n">
        <v>0</v>
      </c>
      <c r="N622" t="n">
        <v>0</v>
      </c>
      <c r="O622" t="n">
        <v>0</v>
      </c>
      <c r="P622" t="n">
        <v>0</v>
      </c>
      <c r="Q622" t="n">
        <v>0</v>
      </c>
      <c r="R622" s="2" t="inlineStr"/>
    </row>
    <row r="623" ht="15" customHeight="1">
      <c r="A623" t="inlineStr">
        <is>
          <t>A 12559-2023</t>
        </is>
      </c>
      <c r="B623" s="1" t="n">
        <v>45000.36373842593</v>
      </c>
      <c r="C623" s="1" t="n">
        <v>45894</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6722-2022</t>
        </is>
      </c>
      <c r="B624" s="1" t="n">
        <v>44602</v>
      </c>
      <c r="C624" s="1" t="n">
        <v>45894</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11872-2023</t>
        </is>
      </c>
      <c r="B625" s="1" t="n">
        <v>44995</v>
      </c>
      <c r="C625" s="1" t="n">
        <v>45894</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37043-2025</t>
        </is>
      </c>
      <c r="B626" s="1" t="n">
        <v>45875.3396412037</v>
      </c>
      <c r="C626" s="1" t="n">
        <v>45894</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31386-2025</t>
        </is>
      </c>
      <c r="B627" s="1" t="n">
        <v>45833.45259259259</v>
      </c>
      <c r="C627" s="1" t="n">
        <v>45894</v>
      </c>
      <c r="D627" t="inlineStr">
        <is>
          <t>SÖDERMANLANDS LÄN</t>
        </is>
      </c>
      <c r="E627" t="inlineStr">
        <is>
          <t>KATRINEHOLM</t>
        </is>
      </c>
      <c r="F627" t="inlineStr">
        <is>
          <t>Övriga Aktiebolag</t>
        </is>
      </c>
      <c r="G627" t="n">
        <v>2.2</v>
      </c>
      <c r="H627" t="n">
        <v>0</v>
      </c>
      <c r="I627" t="n">
        <v>0</v>
      </c>
      <c r="J627" t="n">
        <v>0</v>
      </c>
      <c r="K627" t="n">
        <v>0</v>
      </c>
      <c r="L627" t="n">
        <v>0</v>
      </c>
      <c r="M627" t="n">
        <v>0</v>
      </c>
      <c r="N627" t="n">
        <v>0</v>
      </c>
      <c r="O627" t="n">
        <v>0</v>
      </c>
      <c r="P627" t="n">
        <v>0</v>
      </c>
      <c r="Q627" t="n">
        <v>0</v>
      </c>
      <c r="R627" s="2" t="inlineStr"/>
    </row>
    <row r="628" ht="15" customHeight="1">
      <c r="A628" t="inlineStr">
        <is>
          <t>A 51848-2022</t>
        </is>
      </c>
      <c r="B628" s="1" t="n">
        <v>44872.57752314815</v>
      </c>
      <c r="C628" s="1" t="n">
        <v>45894</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8922-2024</t>
        </is>
      </c>
      <c r="B629" s="1" t="n">
        <v>45357.38601851852</v>
      </c>
      <c r="C629" s="1" t="n">
        <v>45894</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45376-2022</t>
        </is>
      </c>
      <c r="B630" s="1" t="n">
        <v>44844</v>
      </c>
      <c r="C630" s="1" t="n">
        <v>45894</v>
      </c>
      <c r="D630" t="inlineStr">
        <is>
          <t>SÖDERMANLANDS LÄN</t>
        </is>
      </c>
      <c r="E630" t="inlineStr">
        <is>
          <t>KATRINEHOLM</t>
        </is>
      </c>
      <c r="G630" t="n">
        <v>4.7</v>
      </c>
      <c r="H630" t="n">
        <v>0</v>
      </c>
      <c r="I630" t="n">
        <v>0</v>
      </c>
      <c r="J630" t="n">
        <v>0</v>
      </c>
      <c r="K630" t="n">
        <v>0</v>
      </c>
      <c r="L630" t="n">
        <v>0</v>
      </c>
      <c r="M630" t="n">
        <v>0</v>
      </c>
      <c r="N630" t="n">
        <v>0</v>
      </c>
      <c r="O630" t="n">
        <v>0</v>
      </c>
      <c r="P630" t="n">
        <v>0</v>
      </c>
      <c r="Q630" t="n">
        <v>0</v>
      </c>
      <c r="R630" s="2" t="inlineStr"/>
    </row>
    <row r="631" ht="15" customHeight="1">
      <c r="A631" t="inlineStr">
        <is>
          <t>A 16087-2023</t>
        </is>
      </c>
      <c r="B631" s="1" t="n">
        <v>45026</v>
      </c>
      <c r="C631" s="1" t="n">
        <v>45894</v>
      </c>
      <c r="D631" t="inlineStr">
        <is>
          <t>SÖDERMANLANDS LÄN</t>
        </is>
      </c>
      <c r="E631" t="inlineStr">
        <is>
          <t>KATRINEHOLM</t>
        </is>
      </c>
      <c r="G631" t="n">
        <v>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45894</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21959-2022</t>
        </is>
      </c>
      <c r="B633" s="1" t="n">
        <v>44708</v>
      </c>
      <c r="C633" s="1" t="n">
        <v>45894</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3090-2025</t>
        </is>
      </c>
      <c r="B634" s="1" t="n">
        <v>45678</v>
      </c>
      <c r="C634" s="1" t="n">
        <v>45894</v>
      </c>
      <c r="D634" t="inlineStr">
        <is>
          <t>SÖDERMANLANDS LÄN</t>
        </is>
      </c>
      <c r="E634" t="inlineStr">
        <is>
          <t>KATRINEHOLM</t>
        </is>
      </c>
      <c r="F634" t="inlineStr">
        <is>
          <t>Kyrkan</t>
        </is>
      </c>
      <c r="G634" t="n">
        <v>6.9</v>
      </c>
      <c r="H634" t="n">
        <v>0</v>
      </c>
      <c r="I634" t="n">
        <v>0</v>
      </c>
      <c r="J634" t="n">
        <v>0</v>
      </c>
      <c r="K634" t="n">
        <v>0</v>
      </c>
      <c r="L634" t="n">
        <v>0</v>
      </c>
      <c r="M634" t="n">
        <v>0</v>
      </c>
      <c r="N634" t="n">
        <v>0</v>
      </c>
      <c r="O634" t="n">
        <v>0</v>
      </c>
      <c r="P634" t="n">
        <v>0</v>
      </c>
      <c r="Q634" t="n">
        <v>0</v>
      </c>
      <c r="R634" s="2" t="inlineStr"/>
    </row>
    <row r="635" ht="15" customHeight="1">
      <c r="A635" t="inlineStr">
        <is>
          <t>A 28427-2024</t>
        </is>
      </c>
      <c r="B635" s="1" t="n">
        <v>45477.64910879629</v>
      </c>
      <c r="C635" s="1" t="n">
        <v>45894</v>
      </c>
      <c r="D635" t="inlineStr">
        <is>
          <t>SÖDERMANLANDS LÄN</t>
        </is>
      </c>
      <c r="E635" t="inlineStr">
        <is>
          <t>KATRINEHOLM</t>
        </is>
      </c>
      <c r="G635" t="n">
        <v>5.9</v>
      </c>
      <c r="H635" t="n">
        <v>0</v>
      </c>
      <c r="I635" t="n">
        <v>0</v>
      </c>
      <c r="J635" t="n">
        <v>0</v>
      </c>
      <c r="K635" t="n">
        <v>0</v>
      </c>
      <c r="L635" t="n">
        <v>0</v>
      </c>
      <c r="M635" t="n">
        <v>0</v>
      </c>
      <c r="N635" t="n">
        <v>0</v>
      </c>
      <c r="O635" t="n">
        <v>0</v>
      </c>
      <c r="P635" t="n">
        <v>0</v>
      </c>
      <c r="Q635" t="n">
        <v>0</v>
      </c>
      <c r="R635" s="2" t="inlineStr"/>
    </row>
    <row r="636" ht="15" customHeight="1">
      <c r="A636" t="inlineStr">
        <is>
          <t>A 28431-2024</t>
        </is>
      </c>
      <c r="B636" s="1" t="n">
        <v>45477.65216435185</v>
      </c>
      <c r="C636" s="1" t="n">
        <v>45894</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42451-2023</t>
        </is>
      </c>
      <c r="B637" s="1" t="n">
        <v>45180</v>
      </c>
      <c r="C637" s="1" t="n">
        <v>45894</v>
      </c>
      <c r="D637" t="inlineStr">
        <is>
          <t>SÖDERMANLANDS LÄN</t>
        </is>
      </c>
      <c r="E637" t="inlineStr">
        <is>
          <t>KATRINEHOLM</t>
        </is>
      </c>
      <c r="G637" t="n">
        <v>3.8</v>
      </c>
      <c r="H637" t="n">
        <v>0</v>
      </c>
      <c r="I637" t="n">
        <v>0</v>
      </c>
      <c r="J637" t="n">
        <v>0</v>
      </c>
      <c r="K637" t="n">
        <v>0</v>
      </c>
      <c r="L637" t="n">
        <v>0</v>
      </c>
      <c r="M637" t="n">
        <v>0</v>
      </c>
      <c r="N637" t="n">
        <v>0</v>
      </c>
      <c r="O637" t="n">
        <v>0</v>
      </c>
      <c r="P637" t="n">
        <v>0</v>
      </c>
      <c r="Q637" t="n">
        <v>0</v>
      </c>
      <c r="R637" s="2" t="inlineStr"/>
    </row>
    <row r="638" ht="15" customHeight="1">
      <c r="A638" t="inlineStr">
        <is>
          <t>A 22506-2023</t>
        </is>
      </c>
      <c r="B638" s="1" t="n">
        <v>45071.37393518518</v>
      </c>
      <c r="C638" s="1" t="n">
        <v>45894</v>
      </c>
      <c r="D638" t="inlineStr">
        <is>
          <t>SÖDERMANLANDS LÄN</t>
        </is>
      </c>
      <c r="E638" t="inlineStr">
        <is>
          <t>KATRINEHOLM</t>
        </is>
      </c>
      <c r="F638" t="inlineStr">
        <is>
          <t>Kyrkan</t>
        </is>
      </c>
      <c r="G638" t="n">
        <v>5.9</v>
      </c>
      <c r="H638" t="n">
        <v>0</v>
      </c>
      <c r="I638" t="n">
        <v>0</v>
      </c>
      <c r="J638" t="n">
        <v>0</v>
      </c>
      <c r="K638" t="n">
        <v>0</v>
      </c>
      <c r="L638" t="n">
        <v>0</v>
      </c>
      <c r="M638" t="n">
        <v>0</v>
      </c>
      <c r="N638" t="n">
        <v>0</v>
      </c>
      <c r="O638" t="n">
        <v>0</v>
      </c>
      <c r="P638" t="n">
        <v>0</v>
      </c>
      <c r="Q638" t="n">
        <v>0</v>
      </c>
      <c r="R638" s="2" t="inlineStr"/>
    </row>
    <row r="639" ht="15" customHeight="1">
      <c r="A639" t="inlineStr">
        <is>
          <t>A 26713-2024</t>
        </is>
      </c>
      <c r="B639" s="1" t="n">
        <v>45470</v>
      </c>
      <c r="C639" s="1" t="n">
        <v>45894</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34981-2023</t>
        </is>
      </c>
      <c r="B640" s="1" t="n">
        <v>45142</v>
      </c>
      <c r="C640" s="1" t="n">
        <v>45894</v>
      </c>
      <c r="D640" t="inlineStr">
        <is>
          <t>SÖDERMANLANDS LÄN</t>
        </is>
      </c>
      <c r="E640" t="inlineStr">
        <is>
          <t>KATRINEHOLM</t>
        </is>
      </c>
      <c r="G640" t="n">
        <v>10</v>
      </c>
      <c r="H640" t="n">
        <v>0</v>
      </c>
      <c r="I640" t="n">
        <v>0</v>
      </c>
      <c r="J640" t="n">
        <v>0</v>
      </c>
      <c r="K640" t="n">
        <v>0</v>
      </c>
      <c r="L640" t="n">
        <v>0</v>
      </c>
      <c r="M640" t="n">
        <v>0</v>
      </c>
      <c r="N640" t="n">
        <v>0</v>
      </c>
      <c r="O640" t="n">
        <v>0</v>
      </c>
      <c r="P640" t="n">
        <v>0</v>
      </c>
      <c r="Q640" t="n">
        <v>0</v>
      </c>
      <c r="R640" s="2" t="inlineStr"/>
    </row>
    <row r="641" ht="15" customHeight="1">
      <c r="A641" t="inlineStr">
        <is>
          <t>A 1151-2025</t>
        </is>
      </c>
      <c r="B641" s="1" t="n">
        <v>45666</v>
      </c>
      <c r="C641" s="1" t="n">
        <v>45894</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36133-2021</t>
        </is>
      </c>
      <c r="B642" s="1" t="n">
        <v>44386</v>
      </c>
      <c r="C642" s="1" t="n">
        <v>45894</v>
      </c>
      <c r="D642" t="inlineStr">
        <is>
          <t>SÖDERMANLANDS LÄN</t>
        </is>
      </c>
      <c r="E642" t="inlineStr">
        <is>
          <t>KATRINEHOLM</t>
        </is>
      </c>
      <c r="F642" t="inlineStr">
        <is>
          <t>Övriga Aktiebolag</t>
        </is>
      </c>
      <c r="G642" t="n">
        <v>8.9</v>
      </c>
      <c r="H642" t="n">
        <v>0</v>
      </c>
      <c r="I642" t="n">
        <v>0</v>
      </c>
      <c r="J642" t="n">
        <v>0</v>
      </c>
      <c r="K642" t="n">
        <v>0</v>
      </c>
      <c r="L642" t="n">
        <v>0</v>
      </c>
      <c r="M642" t="n">
        <v>0</v>
      </c>
      <c r="N642" t="n">
        <v>0</v>
      </c>
      <c r="O642" t="n">
        <v>0</v>
      </c>
      <c r="P642" t="n">
        <v>0</v>
      </c>
      <c r="Q642" t="n">
        <v>0</v>
      </c>
      <c r="R642" s="2" t="inlineStr"/>
    </row>
    <row r="643" ht="15" customHeight="1">
      <c r="A643" t="inlineStr">
        <is>
          <t>A 50017-2023</t>
        </is>
      </c>
      <c r="B643" s="1" t="n">
        <v>45215</v>
      </c>
      <c r="C643" s="1" t="n">
        <v>45894</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50018-2023</t>
        </is>
      </c>
      <c r="B644" s="1" t="n">
        <v>45215</v>
      </c>
      <c r="C644" s="1" t="n">
        <v>45894</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31740-2022</t>
        </is>
      </c>
      <c r="B645" s="1" t="n">
        <v>44776</v>
      </c>
      <c r="C645" s="1" t="n">
        <v>45894</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29843-2023</t>
        </is>
      </c>
      <c r="B646" s="1" t="n">
        <v>45107</v>
      </c>
      <c r="C646" s="1" t="n">
        <v>45894</v>
      </c>
      <c r="D646" t="inlineStr">
        <is>
          <t>SÖDERMANLANDS LÄN</t>
        </is>
      </c>
      <c r="E646" t="inlineStr">
        <is>
          <t>KATRINEHOLM</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53750-2022</t>
        </is>
      </c>
      <c r="B647" s="1" t="n">
        <v>44875</v>
      </c>
      <c r="C647" s="1" t="n">
        <v>45894</v>
      </c>
      <c r="D647" t="inlineStr">
        <is>
          <t>SÖDERMANLANDS LÄN</t>
        </is>
      </c>
      <c r="E647" t="inlineStr">
        <is>
          <t>KATRINEHOLM</t>
        </is>
      </c>
      <c r="F647" t="inlineStr">
        <is>
          <t>Övriga Aktiebolag</t>
        </is>
      </c>
      <c r="G647" t="n">
        <v>12.6</v>
      </c>
      <c r="H647" t="n">
        <v>0</v>
      </c>
      <c r="I647" t="n">
        <v>0</v>
      </c>
      <c r="J647" t="n">
        <v>0</v>
      </c>
      <c r="K647" t="n">
        <v>0</v>
      </c>
      <c r="L647" t="n">
        <v>0</v>
      </c>
      <c r="M647" t="n">
        <v>0</v>
      </c>
      <c r="N647" t="n">
        <v>0</v>
      </c>
      <c r="O647" t="n">
        <v>0</v>
      </c>
      <c r="P647" t="n">
        <v>0</v>
      </c>
      <c r="Q647" t="n">
        <v>0</v>
      </c>
      <c r="R647" s="2" t="inlineStr"/>
    </row>
    <row r="648" ht="15" customHeight="1">
      <c r="A648" t="inlineStr">
        <is>
          <t>A 56628-2021</t>
        </is>
      </c>
      <c r="B648" s="1" t="n">
        <v>44480</v>
      </c>
      <c r="C648" s="1" t="n">
        <v>45894</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45894</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47886-2023</t>
        </is>
      </c>
      <c r="B650" s="1" t="n">
        <v>45204</v>
      </c>
      <c r="C650" s="1" t="n">
        <v>45894</v>
      </c>
      <c r="D650" t="inlineStr">
        <is>
          <t>SÖDERMANLANDS LÄN</t>
        </is>
      </c>
      <c r="E650" t="inlineStr">
        <is>
          <t>KATRINEHOLM</t>
        </is>
      </c>
      <c r="G650" t="n">
        <v>22</v>
      </c>
      <c r="H650" t="n">
        <v>0</v>
      </c>
      <c r="I650" t="n">
        <v>0</v>
      </c>
      <c r="J650" t="n">
        <v>0</v>
      </c>
      <c r="K650" t="n">
        <v>0</v>
      </c>
      <c r="L650" t="n">
        <v>0</v>
      </c>
      <c r="M650" t="n">
        <v>0</v>
      </c>
      <c r="N650" t="n">
        <v>0</v>
      </c>
      <c r="O650" t="n">
        <v>0</v>
      </c>
      <c r="P650" t="n">
        <v>0</v>
      </c>
      <c r="Q650" t="n">
        <v>0</v>
      </c>
      <c r="R650" s="2" t="inlineStr"/>
    </row>
    <row r="651" ht="15" customHeight="1">
      <c r="A651" t="inlineStr">
        <is>
          <t>A 31990-2025</t>
        </is>
      </c>
      <c r="B651" s="1" t="n">
        <v>45835.36697916667</v>
      </c>
      <c r="C651" s="1" t="n">
        <v>45894</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3125-2024</t>
        </is>
      </c>
      <c r="B652" s="1" t="n">
        <v>45316</v>
      </c>
      <c r="C652" s="1" t="n">
        <v>45894</v>
      </c>
      <c r="D652" t="inlineStr">
        <is>
          <t>SÖDERMANLANDS LÄN</t>
        </is>
      </c>
      <c r="E652" t="inlineStr">
        <is>
          <t>KATRINEHOLM</t>
        </is>
      </c>
      <c r="G652" t="n">
        <v>3.4</v>
      </c>
      <c r="H652" t="n">
        <v>0</v>
      </c>
      <c r="I652" t="n">
        <v>0</v>
      </c>
      <c r="J652" t="n">
        <v>0</v>
      </c>
      <c r="K652" t="n">
        <v>0</v>
      </c>
      <c r="L652" t="n">
        <v>0</v>
      </c>
      <c r="M652" t="n">
        <v>0</v>
      </c>
      <c r="N652" t="n">
        <v>0</v>
      </c>
      <c r="O652" t="n">
        <v>0</v>
      </c>
      <c r="P652" t="n">
        <v>0</v>
      </c>
      <c r="Q652" t="n">
        <v>0</v>
      </c>
      <c r="R652" s="2" t="inlineStr"/>
    </row>
    <row r="653" ht="15" customHeight="1">
      <c r="A653" t="inlineStr">
        <is>
          <t>A 8087-2022</t>
        </is>
      </c>
      <c r="B653" s="1" t="n">
        <v>44609.53502314815</v>
      </c>
      <c r="C653" s="1" t="n">
        <v>45894</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35228-2025</t>
        </is>
      </c>
      <c r="B654" s="1" t="n">
        <v>45853</v>
      </c>
      <c r="C654" s="1" t="n">
        <v>45894</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27852-2023</t>
        </is>
      </c>
      <c r="B655" s="1" t="n">
        <v>45098</v>
      </c>
      <c r="C655" s="1" t="n">
        <v>45894</v>
      </c>
      <c r="D655" t="inlineStr">
        <is>
          <t>SÖDERMANLANDS LÄN</t>
        </is>
      </c>
      <c r="E655" t="inlineStr">
        <is>
          <t>KATRINEHOLM</t>
        </is>
      </c>
      <c r="G655" t="n">
        <v>7.4</v>
      </c>
      <c r="H655" t="n">
        <v>0</v>
      </c>
      <c r="I655" t="n">
        <v>0</v>
      </c>
      <c r="J655" t="n">
        <v>0</v>
      </c>
      <c r="K655" t="n">
        <v>0</v>
      </c>
      <c r="L655" t="n">
        <v>0</v>
      </c>
      <c r="M655" t="n">
        <v>0</v>
      </c>
      <c r="N655" t="n">
        <v>0</v>
      </c>
      <c r="O655" t="n">
        <v>0</v>
      </c>
      <c r="P655" t="n">
        <v>0</v>
      </c>
      <c r="Q655" t="n">
        <v>0</v>
      </c>
      <c r="R655" s="2" t="inlineStr"/>
    </row>
    <row r="656" ht="15" customHeight="1">
      <c r="A656" t="inlineStr">
        <is>
          <t>A 1143-2024</t>
        </is>
      </c>
      <c r="B656" s="1" t="n">
        <v>45302</v>
      </c>
      <c r="C656" s="1" t="n">
        <v>45894</v>
      </c>
      <c r="D656" t="inlineStr">
        <is>
          <t>SÖDERMANLANDS LÄN</t>
        </is>
      </c>
      <c r="E656" t="inlineStr">
        <is>
          <t>KATRINEHOLM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48091-2024</t>
        </is>
      </c>
      <c r="B657" s="1" t="n">
        <v>45590</v>
      </c>
      <c r="C657" s="1" t="n">
        <v>45894</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48160-2022</t>
        </is>
      </c>
      <c r="B658" s="1" t="n">
        <v>44853</v>
      </c>
      <c r="C658" s="1" t="n">
        <v>45894</v>
      </c>
      <c r="D658" t="inlineStr">
        <is>
          <t>SÖDERMANLANDS LÄN</t>
        </is>
      </c>
      <c r="E658" t="inlineStr">
        <is>
          <t>KATRINEHOLM</t>
        </is>
      </c>
      <c r="F658" t="inlineStr">
        <is>
          <t>Övriga statliga verk och myndigheter</t>
        </is>
      </c>
      <c r="G658" t="n">
        <v>2.2</v>
      </c>
      <c r="H658" t="n">
        <v>0</v>
      </c>
      <c r="I658" t="n">
        <v>0</v>
      </c>
      <c r="J658" t="n">
        <v>0</v>
      </c>
      <c r="K658" t="n">
        <v>0</v>
      </c>
      <c r="L658" t="n">
        <v>0</v>
      </c>
      <c r="M658" t="n">
        <v>0</v>
      </c>
      <c r="N658" t="n">
        <v>0</v>
      </c>
      <c r="O658" t="n">
        <v>0</v>
      </c>
      <c r="P658" t="n">
        <v>0</v>
      </c>
      <c r="Q658" t="n">
        <v>0</v>
      </c>
      <c r="R658" s="2" t="inlineStr"/>
    </row>
    <row r="659" ht="15" customHeight="1">
      <c r="A659" t="inlineStr">
        <is>
          <t>A 40230-2020</t>
        </is>
      </c>
      <c r="B659" s="1" t="n">
        <v>44068</v>
      </c>
      <c r="C659" s="1" t="n">
        <v>45894</v>
      </c>
      <c r="D659" t="inlineStr">
        <is>
          <t>SÖDERMANLANDS LÄN</t>
        </is>
      </c>
      <c r="E659" t="inlineStr">
        <is>
          <t>KATRINEHOLM</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37827-2025</t>
        </is>
      </c>
      <c r="B660" s="1" t="n">
        <v>45881.40907407407</v>
      </c>
      <c r="C660" s="1" t="n">
        <v>45894</v>
      </c>
      <c r="D660" t="inlineStr">
        <is>
          <t>SÖDERMANLANDS LÄN</t>
        </is>
      </c>
      <c r="E660" t="inlineStr">
        <is>
          <t>KATRINEHOLM</t>
        </is>
      </c>
      <c r="F660" t="inlineStr">
        <is>
          <t>Övriga Aktiebolag</t>
        </is>
      </c>
      <c r="G660" t="n">
        <v>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45894</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45894</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45894</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45894</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33469-2025</t>
        </is>
      </c>
      <c r="B665" s="1" t="n">
        <v>45841.48686342593</v>
      </c>
      <c r="C665" s="1" t="n">
        <v>45894</v>
      </c>
      <c r="D665" t="inlineStr">
        <is>
          <t>SÖDERMANLANDS LÄN</t>
        </is>
      </c>
      <c r="E665" t="inlineStr">
        <is>
          <t>KATRINEHOLM</t>
        </is>
      </c>
      <c r="G665" t="n">
        <v>2.1</v>
      </c>
      <c r="H665" t="n">
        <v>0</v>
      </c>
      <c r="I665" t="n">
        <v>0</v>
      </c>
      <c r="J665" t="n">
        <v>0</v>
      </c>
      <c r="K665" t="n">
        <v>0</v>
      </c>
      <c r="L665" t="n">
        <v>0</v>
      </c>
      <c r="M665" t="n">
        <v>0</v>
      </c>
      <c r="N665" t="n">
        <v>0</v>
      </c>
      <c r="O665" t="n">
        <v>0</v>
      </c>
      <c r="P665" t="n">
        <v>0</v>
      </c>
      <c r="Q665" t="n">
        <v>0</v>
      </c>
      <c r="R665" s="2" t="inlineStr"/>
    </row>
    <row r="666" ht="15" customHeight="1">
      <c r="A666" t="inlineStr">
        <is>
          <t>A 55172-2022</t>
        </is>
      </c>
      <c r="B666" s="1" t="n">
        <v>44886</v>
      </c>
      <c r="C666" s="1" t="n">
        <v>45894</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33084-2025</t>
        </is>
      </c>
      <c r="B667" s="1" t="n">
        <v>45840.46559027778</v>
      </c>
      <c r="C667" s="1" t="n">
        <v>45894</v>
      </c>
      <c r="D667" t="inlineStr">
        <is>
          <t>SÖDERMANLANDS LÄN</t>
        </is>
      </c>
      <c r="E667" t="inlineStr">
        <is>
          <t>KATRINEHOLM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33129-2025</t>
        </is>
      </c>
      <c r="B668" s="1" t="n">
        <v>45840.50141203704</v>
      </c>
      <c r="C668" s="1" t="n">
        <v>45894</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50935-2023</t>
        </is>
      </c>
      <c r="B669" s="1" t="n">
        <v>45211</v>
      </c>
      <c r="C669" s="1" t="n">
        <v>45894</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33577-2025</t>
        </is>
      </c>
      <c r="B670" s="1" t="n">
        <v>45841.59056712963</v>
      </c>
      <c r="C670" s="1" t="n">
        <v>45894</v>
      </c>
      <c r="D670" t="inlineStr">
        <is>
          <t>SÖDERMANLANDS LÄN</t>
        </is>
      </c>
      <c r="E670" t="inlineStr">
        <is>
          <t>KATRINEHOLM</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24619-2024</t>
        </is>
      </c>
      <c r="B671" s="1" t="n">
        <v>45460</v>
      </c>
      <c r="C671" s="1" t="n">
        <v>45894</v>
      </c>
      <c r="D671" t="inlineStr">
        <is>
          <t>SÖDERMANLANDS LÄN</t>
        </is>
      </c>
      <c r="E671" t="inlineStr">
        <is>
          <t>KATRINEHOLM</t>
        </is>
      </c>
      <c r="G671" t="n">
        <v>4.7</v>
      </c>
      <c r="H671" t="n">
        <v>0</v>
      </c>
      <c r="I671" t="n">
        <v>0</v>
      </c>
      <c r="J671" t="n">
        <v>0</v>
      </c>
      <c r="K671" t="n">
        <v>0</v>
      </c>
      <c r="L671" t="n">
        <v>0</v>
      </c>
      <c r="M671" t="n">
        <v>0</v>
      </c>
      <c r="N671" t="n">
        <v>0</v>
      </c>
      <c r="O671" t="n">
        <v>0</v>
      </c>
      <c r="P671" t="n">
        <v>0</v>
      </c>
      <c r="Q671" t="n">
        <v>0</v>
      </c>
      <c r="R671" s="2" t="inlineStr"/>
    </row>
    <row r="672" ht="15" customHeight="1">
      <c r="A672" t="inlineStr">
        <is>
          <t>A 33077-2025</t>
        </is>
      </c>
      <c r="B672" s="1" t="n">
        <v>45840.45864583334</v>
      </c>
      <c r="C672" s="1" t="n">
        <v>45894</v>
      </c>
      <c r="D672" t="inlineStr">
        <is>
          <t>SÖDERMANLANDS LÄN</t>
        </is>
      </c>
      <c r="E672" t="inlineStr">
        <is>
          <t>KATRINEHOLM</t>
        </is>
      </c>
      <c r="G672" t="n">
        <v>7</v>
      </c>
      <c r="H672" t="n">
        <v>0</v>
      </c>
      <c r="I672" t="n">
        <v>0</v>
      </c>
      <c r="J672" t="n">
        <v>0</v>
      </c>
      <c r="K672" t="n">
        <v>0</v>
      </c>
      <c r="L672" t="n">
        <v>0</v>
      </c>
      <c r="M672" t="n">
        <v>0</v>
      </c>
      <c r="N672" t="n">
        <v>0</v>
      </c>
      <c r="O672" t="n">
        <v>0</v>
      </c>
      <c r="P672" t="n">
        <v>0</v>
      </c>
      <c r="Q672" t="n">
        <v>0</v>
      </c>
      <c r="R672" s="2" t="inlineStr"/>
    </row>
    <row r="673" ht="15" customHeight="1">
      <c r="A673" t="inlineStr">
        <is>
          <t>A 33090-2025</t>
        </is>
      </c>
      <c r="B673" s="1" t="n">
        <v>45840.46840277778</v>
      </c>
      <c r="C673" s="1" t="n">
        <v>45894</v>
      </c>
      <c r="D673" t="inlineStr">
        <is>
          <t>SÖDERMANLANDS LÄN</t>
        </is>
      </c>
      <c r="E673" t="inlineStr">
        <is>
          <t>KATRINEHOLM</t>
        </is>
      </c>
      <c r="G673" t="n">
        <v>0.6</v>
      </c>
      <c r="H673" t="n">
        <v>0</v>
      </c>
      <c r="I673" t="n">
        <v>0</v>
      </c>
      <c r="J673" t="n">
        <v>0</v>
      </c>
      <c r="K673" t="n">
        <v>0</v>
      </c>
      <c r="L673" t="n">
        <v>0</v>
      </c>
      <c r="M673" t="n">
        <v>0</v>
      </c>
      <c r="N673" t="n">
        <v>0</v>
      </c>
      <c r="O673" t="n">
        <v>0</v>
      </c>
      <c r="P673" t="n">
        <v>0</v>
      </c>
      <c r="Q673" t="n">
        <v>0</v>
      </c>
      <c r="R673" s="2" t="inlineStr"/>
    </row>
    <row r="674" ht="15" customHeight="1">
      <c r="A674" t="inlineStr">
        <is>
          <t>A 33096-2025</t>
        </is>
      </c>
      <c r="B674" s="1" t="n">
        <v>45840.47563657408</v>
      </c>
      <c r="C674" s="1" t="n">
        <v>45894</v>
      </c>
      <c r="D674" t="inlineStr">
        <is>
          <t>SÖDERMANLANDS LÄN</t>
        </is>
      </c>
      <c r="E674" t="inlineStr">
        <is>
          <t>KATRINEHOLM</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33101-2025</t>
        </is>
      </c>
      <c r="B675" s="1" t="n">
        <v>45840.47953703703</v>
      </c>
      <c r="C675" s="1" t="n">
        <v>45894</v>
      </c>
      <c r="D675" t="inlineStr">
        <is>
          <t>SÖDERMANLANDS LÄN</t>
        </is>
      </c>
      <c r="E675" t="inlineStr">
        <is>
          <t>KATRINEHOLM</t>
        </is>
      </c>
      <c r="G675" t="n">
        <v>4.4</v>
      </c>
      <c r="H675" t="n">
        <v>0</v>
      </c>
      <c r="I675" t="n">
        <v>0</v>
      </c>
      <c r="J675" t="n">
        <v>0</v>
      </c>
      <c r="K675" t="n">
        <v>0</v>
      </c>
      <c r="L675" t="n">
        <v>0</v>
      </c>
      <c r="M675" t="n">
        <v>0</v>
      </c>
      <c r="N675" t="n">
        <v>0</v>
      </c>
      <c r="O675" t="n">
        <v>0</v>
      </c>
      <c r="P675" t="n">
        <v>0</v>
      </c>
      <c r="Q675" t="n">
        <v>0</v>
      </c>
      <c r="R675" s="2" t="inlineStr"/>
    </row>
    <row r="676" ht="15" customHeight="1">
      <c r="A676" t="inlineStr">
        <is>
          <t>A 3980-2024</t>
        </is>
      </c>
      <c r="B676" s="1" t="n">
        <v>45322</v>
      </c>
      <c r="C676" s="1" t="n">
        <v>45894</v>
      </c>
      <c r="D676" t="inlineStr">
        <is>
          <t>SÖDERMANLANDS LÄN</t>
        </is>
      </c>
      <c r="E676" t="inlineStr">
        <is>
          <t>KATRINEHOLM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6087-2021</t>
        </is>
      </c>
      <c r="B677" s="1" t="n">
        <v>44232</v>
      </c>
      <c r="C677" s="1" t="n">
        <v>45894</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17335-2023</t>
        </is>
      </c>
      <c r="B678" s="1" t="n">
        <v>45033</v>
      </c>
      <c r="C678" s="1" t="n">
        <v>45894</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59898-2022</t>
        </is>
      </c>
      <c r="B679" s="1" t="n">
        <v>44908</v>
      </c>
      <c r="C679" s="1" t="n">
        <v>45894</v>
      </c>
      <c r="D679" t="inlineStr">
        <is>
          <t>SÖDERMANLANDS LÄN</t>
        </is>
      </c>
      <c r="E679" t="inlineStr">
        <is>
          <t>KATRINEHOLM</t>
        </is>
      </c>
      <c r="G679" t="n">
        <v>4.8</v>
      </c>
      <c r="H679" t="n">
        <v>0</v>
      </c>
      <c r="I679" t="n">
        <v>0</v>
      </c>
      <c r="J679" t="n">
        <v>0</v>
      </c>
      <c r="K679" t="n">
        <v>0</v>
      </c>
      <c r="L679" t="n">
        <v>0</v>
      </c>
      <c r="M679" t="n">
        <v>0</v>
      </c>
      <c r="N679" t="n">
        <v>0</v>
      </c>
      <c r="O679" t="n">
        <v>0</v>
      </c>
      <c r="P679" t="n">
        <v>0</v>
      </c>
      <c r="Q679" t="n">
        <v>0</v>
      </c>
      <c r="R679" s="2" t="inlineStr"/>
    </row>
    <row r="680" ht="15" customHeight="1">
      <c r="A680" t="inlineStr">
        <is>
          <t>A 53843-2023</t>
        </is>
      </c>
      <c r="B680" s="1" t="n">
        <v>45230</v>
      </c>
      <c r="C680" s="1" t="n">
        <v>45894</v>
      </c>
      <c r="D680" t="inlineStr">
        <is>
          <t>SÖDERMANLANDS LÄN</t>
        </is>
      </c>
      <c r="E680" t="inlineStr">
        <is>
          <t>KATRINEHOLM</t>
        </is>
      </c>
      <c r="G680" t="n">
        <v>14.2</v>
      </c>
      <c r="H680" t="n">
        <v>0</v>
      </c>
      <c r="I680" t="n">
        <v>0</v>
      </c>
      <c r="J680" t="n">
        <v>0</v>
      </c>
      <c r="K680" t="n">
        <v>0</v>
      </c>
      <c r="L680" t="n">
        <v>0</v>
      </c>
      <c r="M680" t="n">
        <v>0</v>
      </c>
      <c r="N680" t="n">
        <v>0</v>
      </c>
      <c r="O680" t="n">
        <v>0</v>
      </c>
      <c r="P680" t="n">
        <v>0</v>
      </c>
      <c r="Q680" t="n">
        <v>0</v>
      </c>
      <c r="R680" s="2" t="inlineStr"/>
    </row>
    <row r="681" ht="15" customHeight="1">
      <c r="A681" t="inlineStr">
        <is>
          <t>A 7254-2021</t>
        </is>
      </c>
      <c r="B681" s="1" t="n">
        <v>44238</v>
      </c>
      <c r="C681" s="1" t="n">
        <v>45894</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22295-2024</t>
        </is>
      </c>
      <c r="B682" s="1" t="n">
        <v>45446.56141203704</v>
      </c>
      <c r="C682" s="1" t="n">
        <v>45894</v>
      </c>
      <c r="D682" t="inlineStr">
        <is>
          <t>SÖDERMANLANDS LÄN</t>
        </is>
      </c>
      <c r="E682" t="inlineStr">
        <is>
          <t>KATRINEHOLM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22272-2022</t>
        </is>
      </c>
      <c r="B683" s="1" t="n">
        <v>44712</v>
      </c>
      <c r="C683" s="1" t="n">
        <v>45894</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33812-2025</t>
        </is>
      </c>
      <c r="B684" s="1" t="n">
        <v>45842</v>
      </c>
      <c r="C684" s="1" t="n">
        <v>45894</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73412-2021</t>
        </is>
      </c>
      <c r="B685" s="1" t="n">
        <v>44551</v>
      </c>
      <c r="C685" s="1" t="n">
        <v>45894</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53715-2023</t>
        </is>
      </c>
      <c r="B686" s="1" t="n">
        <v>45230</v>
      </c>
      <c r="C686" s="1" t="n">
        <v>45894</v>
      </c>
      <c r="D686" t="inlineStr">
        <is>
          <t>SÖDERMANLANDS LÄN</t>
        </is>
      </c>
      <c r="E686" t="inlineStr">
        <is>
          <t>KATRINEHOLM</t>
        </is>
      </c>
      <c r="F686" t="inlineStr">
        <is>
          <t>Allmännings- och besparingsskogar</t>
        </is>
      </c>
      <c r="G686" t="n">
        <v>5.6</v>
      </c>
      <c r="H686" t="n">
        <v>0</v>
      </c>
      <c r="I686" t="n">
        <v>0</v>
      </c>
      <c r="J686" t="n">
        <v>0</v>
      </c>
      <c r="K686" t="n">
        <v>0</v>
      </c>
      <c r="L686" t="n">
        <v>0</v>
      </c>
      <c r="M686" t="n">
        <v>0</v>
      </c>
      <c r="N686" t="n">
        <v>0</v>
      </c>
      <c r="O686" t="n">
        <v>0</v>
      </c>
      <c r="P686" t="n">
        <v>0</v>
      </c>
      <c r="Q686" t="n">
        <v>0</v>
      </c>
      <c r="R686" s="2" t="inlineStr"/>
    </row>
    <row r="687" ht="15" customHeight="1">
      <c r="A687" t="inlineStr">
        <is>
          <t>A 58175-2024</t>
        </is>
      </c>
      <c r="B687" s="1" t="n">
        <v>45632.46648148148</v>
      </c>
      <c r="C687" s="1" t="n">
        <v>45894</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59474-2021</t>
        </is>
      </c>
      <c r="B688" s="1" t="n">
        <v>44491</v>
      </c>
      <c r="C688" s="1" t="n">
        <v>45894</v>
      </c>
      <c r="D688" t="inlineStr">
        <is>
          <t>SÖDERMANLANDS LÄN</t>
        </is>
      </c>
      <c r="E688" t="inlineStr">
        <is>
          <t>KATRINEHOLM</t>
        </is>
      </c>
      <c r="G688" t="n">
        <v>2.7</v>
      </c>
      <c r="H688" t="n">
        <v>0</v>
      </c>
      <c r="I688" t="n">
        <v>0</v>
      </c>
      <c r="J688" t="n">
        <v>0</v>
      </c>
      <c r="K688" t="n">
        <v>0</v>
      </c>
      <c r="L688" t="n">
        <v>0</v>
      </c>
      <c r="M688" t="n">
        <v>0</v>
      </c>
      <c r="N688" t="n">
        <v>0</v>
      </c>
      <c r="O688" t="n">
        <v>0</v>
      </c>
      <c r="P688" t="n">
        <v>0</v>
      </c>
      <c r="Q688" t="n">
        <v>0</v>
      </c>
      <c r="R688" s="2" t="inlineStr"/>
    </row>
    <row r="689" ht="15" customHeight="1">
      <c r="A689" t="inlineStr">
        <is>
          <t>A 28995-2024</t>
        </is>
      </c>
      <c r="B689" s="1" t="n">
        <v>45481.49899305555</v>
      </c>
      <c r="C689" s="1" t="n">
        <v>45894</v>
      </c>
      <c r="D689" t="inlineStr">
        <is>
          <t>SÖDERMANLANDS LÄN</t>
        </is>
      </c>
      <c r="E689" t="inlineStr">
        <is>
          <t>KATRINEHOLM</t>
        </is>
      </c>
      <c r="G689" t="n">
        <v>0.9</v>
      </c>
      <c r="H689" t="n">
        <v>0</v>
      </c>
      <c r="I689" t="n">
        <v>0</v>
      </c>
      <c r="J689" t="n">
        <v>0</v>
      </c>
      <c r="K689" t="n">
        <v>0</v>
      </c>
      <c r="L689" t="n">
        <v>0</v>
      </c>
      <c r="M689" t="n">
        <v>0</v>
      </c>
      <c r="N689" t="n">
        <v>0</v>
      </c>
      <c r="O689" t="n">
        <v>0</v>
      </c>
      <c r="P689" t="n">
        <v>0</v>
      </c>
      <c r="Q689" t="n">
        <v>0</v>
      </c>
      <c r="R689" s="2" t="inlineStr"/>
    </row>
    <row r="690" ht="15" customHeight="1">
      <c r="A690" t="inlineStr">
        <is>
          <t>A 51923-2023</t>
        </is>
      </c>
      <c r="B690" s="1" t="n">
        <v>45223</v>
      </c>
      <c r="C690" s="1" t="n">
        <v>45894</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28597-2024</t>
        </is>
      </c>
      <c r="B691" s="1" t="n">
        <v>45478</v>
      </c>
      <c r="C691" s="1" t="n">
        <v>45894</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27875-2024</t>
        </is>
      </c>
      <c r="B692" s="1" t="n">
        <v>45475</v>
      </c>
      <c r="C692" s="1" t="n">
        <v>45894</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59887-2020</t>
        </is>
      </c>
      <c r="B693" s="1" t="n">
        <v>44151</v>
      </c>
      <c r="C693" s="1" t="n">
        <v>45894</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49341-2024</t>
        </is>
      </c>
      <c r="B694" s="1" t="n">
        <v>45595</v>
      </c>
      <c r="C694" s="1" t="n">
        <v>45894</v>
      </c>
      <c r="D694" t="inlineStr">
        <is>
          <t>SÖDERMANLANDS LÄN</t>
        </is>
      </c>
      <c r="E694" t="inlineStr">
        <is>
          <t>KATRINEHOLM</t>
        </is>
      </c>
      <c r="G694" t="n">
        <v>10</v>
      </c>
      <c r="H694" t="n">
        <v>0</v>
      </c>
      <c r="I694" t="n">
        <v>0</v>
      </c>
      <c r="J694" t="n">
        <v>0</v>
      </c>
      <c r="K694" t="n">
        <v>0</v>
      </c>
      <c r="L694" t="n">
        <v>0</v>
      </c>
      <c r="M694" t="n">
        <v>0</v>
      </c>
      <c r="N694" t="n">
        <v>0</v>
      </c>
      <c r="O694" t="n">
        <v>0</v>
      </c>
      <c r="P694" t="n">
        <v>0</v>
      </c>
      <c r="Q694" t="n">
        <v>0</v>
      </c>
      <c r="R694" s="2" t="inlineStr"/>
    </row>
    <row r="695" ht="15" customHeight="1">
      <c r="A695" t="inlineStr">
        <is>
          <t>A 6762-2025</t>
        </is>
      </c>
      <c r="B695" s="1" t="n">
        <v>45700</v>
      </c>
      <c r="C695" s="1" t="n">
        <v>45894</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43088-2022</t>
        </is>
      </c>
      <c r="B696" s="1" t="n">
        <v>44833</v>
      </c>
      <c r="C696" s="1" t="n">
        <v>45894</v>
      </c>
      <c r="D696" t="inlineStr">
        <is>
          <t>SÖDERMANLANDS LÄN</t>
        </is>
      </c>
      <c r="E696" t="inlineStr">
        <is>
          <t>KATRINEHOLM</t>
        </is>
      </c>
      <c r="G696" t="n">
        <v>6.6</v>
      </c>
      <c r="H696" t="n">
        <v>0</v>
      </c>
      <c r="I696" t="n">
        <v>0</v>
      </c>
      <c r="J696" t="n">
        <v>0</v>
      </c>
      <c r="K696" t="n">
        <v>0</v>
      </c>
      <c r="L696" t="n">
        <v>0</v>
      </c>
      <c r="M696" t="n">
        <v>0</v>
      </c>
      <c r="N696" t="n">
        <v>0</v>
      </c>
      <c r="O696" t="n">
        <v>0</v>
      </c>
      <c r="P696" t="n">
        <v>0</v>
      </c>
      <c r="Q696" t="n">
        <v>0</v>
      </c>
      <c r="R696" s="2" t="inlineStr"/>
    </row>
    <row r="697" ht="15" customHeight="1">
      <c r="A697" t="inlineStr">
        <is>
          <t>A 52658-2023</t>
        </is>
      </c>
      <c r="B697" s="1" t="n">
        <v>45225</v>
      </c>
      <c r="C697" s="1" t="n">
        <v>45894</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33815-2025</t>
        </is>
      </c>
      <c r="B698" s="1" t="n">
        <v>45842</v>
      </c>
      <c r="C698" s="1" t="n">
        <v>45894</v>
      </c>
      <c r="D698" t="inlineStr">
        <is>
          <t>SÖDERMANLANDS LÄN</t>
        </is>
      </c>
      <c r="E698" t="inlineStr">
        <is>
          <t>KATRINEHOLM</t>
        </is>
      </c>
      <c r="G698" t="n">
        <v>3.4</v>
      </c>
      <c r="H698" t="n">
        <v>0</v>
      </c>
      <c r="I698" t="n">
        <v>0</v>
      </c>
      <c r="J698" t="n">
        <v>0</v>
      </c>
      <c r="K698" t="n">
        <v>0</v>
      </c>
      <c r="L698" t="n">
        <v>0</v>
      </c>
      <c r="M698" t="n">
        <v>0</v>
      </c>
      <c r="N698" t="n">
        <v>0</v>
      </c>
      <c r="O698" t="n">
        <v>0</v>
      </c>
      <c r="P698" t="n">
        <v>0</v>
      </c>
      <c r="Q698" t="n">
        <v>0</v>
      </c>
      <c r="R698" s="2" t="inlineStr"/>
    </row>
    <row r="699" ht="15" customHeight="1">
      <c r="A699" t="inlineStr">
        <is>
          <t>A 61385-2023</t>
        </is>
      </c>
      <c r="B699" s="1" t="n">
        <v>45264.64241898148</v>
      </c>
      <c r="C699" s="1" t="n">
        <v>45894</v>
      </c>
      <c r="D699" t="inlineStr">
        <is>
          <t>SÖDERMANLANDS LÄN</t>
        </is>
      </c>
      <c r="E699" t="inlineStr">
        <is>
          <t>KATRINEHOLM</t>
        </is>
      </c>
      <c r="G699" t="n">
        <v>0.4</v>
      </c>
      <c r="H699" t="n">
        <v>0</v>
      </c>
      <c r="I699" t="n">
        <v>0</v>
      </c>
      <c r="J699" t="n">
        <v>0</v>
      </c>
      <c r="K699" t="n">
        <v>0</v>
      </c>
      <c r="L699" t="n">
        <v>0</v>
      </c>
      <c r="M699" t="n">
        <v>0</v>
      </c>
      <c r="N699" t="n">
        <v>0</v>
      </c>
      <c r="O699" t="n">
        <v>0</v>
      </c>
      <c r="P699" t="n">
        <v>0</v>
      </c>
      <c r="Q699" t="n">
        <v>0</v>
      </c>
      <c r="R699" s="2" t="inlineStr"/>
    </row>
    <row r="700" ht="15" customHeight="1">
      <c r="A700" t="inlineStr">
        <is>
          <t>A 48030-2022</t>
        </is>
      </c>
      <c r="B700" s="1" t="n">
        <v>44855</v>
      </c>
      <c r="C700" s="1" t="n">
        <v>45894</v>
      </c>
      <c r="D700" t="inlineStr">
        <is>
          <t>SÖDERMANLANDS LÄN</t>
        </is>
      </c>
      <c r="E700" t="inlineStr">
        <is>
          <t>KATRINEHOLM</t>
        </is>
      </c>
      <c r="F700" t="inlineStr">
        <is>
          <t>Allmännings- och besparingsskogar</t>
        </is>
      </c>
      <c r="G700" t="n">
        <v>1.5</v>
      </c>
      <c r="H700" t="n">
        <v>0</v>
      </c>
      <c r="I700" t="n">
        <v>0</v>
      </c>
      <c r="J700" t="n">
        <v>0</v>
      </c>
      <c r="K700" t="n">
        <v>0</v>
      </c>
      <c r="L700" t="n">
        <v>0</v>
      </c>
      <c r="M700" t="n">
        <v>0</v>
      </c>
      <c r="N700" t="n">
        <v>0</v>
      </c>
      <c r="O700" t="n">
        <v>0</v>
      </c>
      <c r="P700" t="n">
        <v>0</v>
      </c>
      <c r="Q700" t="n">
        <v>0</v>
      </c>
      <c r="R700" s="2" t="inlineStr"/>
    </row>
    <row r="701" ht="15" customHeight="1">
      <c r="A701" t="inlineStr">
        <is>
          <t>A 20213-2025</t>
        </is>
      </c>
      <c r="B701" s="1" t="n">
        <v>45772.63453703704</v>
      </c>
      <c r="C701" s="1" t="n">
        <v>45894</v>
      </c>
      <c r="D701" t="inlineStr">
        <is>
          <t>SÖDERMANLANDS LÄN</t>
        </is>
      </c>
      <c r="E701" t="inlineStr">
        <is>
          <t>KATRINEHOLM</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41966-2023</t>
        </is>
      </c>
      <c r="B702" s="1" t="n">
        <v>45177</v>
      </c>
      <c r="C702" s="1" t="n">
        <v>45894</v>
      </c>
      <c r="D702" t="inlineStr">
        <is>
          <t>SÖDERMANLANDS LÄN</t>
        </is>
      </c>
      <c r="E702" t="inlineStr">
        <is>
          <t>KATRINEHOLM</t>
        </is>
      </c>
      <c r="G702" t="n">
        <v>36.9</v>
      </c>
      <c r="H702" t="n">
        <v>0</v>
      </c>
      <c r="I702" t="n">
        <v>0</v>
      </c>
      <c r="J702" t="n">
        <v>0</v>
      </c>
      <c r="K702" t="n">
        <v>0</v>
      </c>
      <c r="L702" t="n">
        <v>0</v>
      </c>
      <c r="M702" t="n">
        <v>0</v>
      </c>
      <c r="N702" t="n">
        <v>0</v>
      </c>
      <c r="O702" t="n">
        <v>0</v>
      </c>
      <c r="P702" t="n">
        <v>0</v>
      </c>
      <c r="Q702" t="n">
        <v>0</v>
      </c>
      <c r="R702" s="2" t="inlineStr"/>
    </row>
    <row r="703" ht="15" customHeight="1">
      <c r="A703" t="inlineStr">
        <is>
          <t>A 10446-2024</t>
        </is>
      </c>
      <c r="B703" s="1" t="n">
        <v>45366</v>
      </c>
      <c r="C703" s="1" t="n">
        <v>45894</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8761-2023</t>
        </is>
      </c>
      <c r="B704" s="1" t="n">
        <v>44978.49685185185</v>
      </c>
      <c r="C704" s="1" t="n">
        <v>45894</v>
      </c>
      <c r="D704" t="inlineStr">
        <is>
          <t>SÖDERMANLANDS LÄN</t>
        </is>
      </c>
      <c r="E704" t="inlineStr">
        <is>
          <t>KATRINEHOLM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8778-2023</t>
        </is>
      </c>
      <c r="B705" s="1" t="n">
        <v>44978.5737037037</v>
      </c>
      <c r="C705" s="1" t="n">
        <v>45894</v>
      </c>
      <c r="D705" t="inlineStr">
        <is>
          <t>SÖDERMANLANDS LÄN</t>
        </is>
      </c>
      <c r="E705" t="inlineStr">
        <is>
          <t>KATRINEHOLM</t>
        </is>
      </c>
      <c r="G705" t="n">
        <v>4.5</v>
      </c>
      <c r="H705" t="n">
        <v>0</v>
      </c>
      <c r="I705" t="n">
        <v>0</v>
      </c>
      <c r="J705" t="n">
        <v>0</v>
      </c>
      <c r="K705" t="n">
        <v>0</v>
      </c>
      <c r="L705" t="n">
        <v>0</v>
      </c>
      <c r="M705" t="n">
        <v>0</v>
      </c>
      <c r="N705" t="n">
        <v>0</v>
      </c>
      <c r="O705" t="n">
        <v>0</v>
      </c>
      <c r="P705" t="n">
        <v>0</v>
      </c>
      <c r="Q705" t="n">
        <v>0</v>
      </c>
      <c r="R705" s="2" t="inlineStr"/>
    </row>
    <row r="706" ht="15" customHeight="1">
      <c r="A706" t="inlineStr">
        <is>
          <t>A 35084-2025</t>
        </is>
      </c>
      <c r="B706" s="1" t="n">
        <v>45852</v>
      </c>
      <c r="C706" s="1" t="n">
        <v>45894</v>
      </c>
      <c r="D706" t="inlineStr">
        <is>
          <t>SÖDERMANLANDS LÄN</t>
        </is>
      </c>
      <c r="E706" t="inlineStr">
        <is>
          <t>KATRINEHOLM</t>
        </is>
      </c>
      <c r="G706" t="n">
        <v>3.2</v>
      </c>
      <c r="H706" t="n">
        <v>0</v>
      </c>
      <c r="I706" t="n">
        <v>0</v>
      </c>
      <c r="J706" t="n">
        <v>0</v>
      </c>
      <c r="K706" t="n">
        <v>0</v>
      </c>
      <c r="L706" t="n">
        <v>0</v>
      </c>
      <c r="M706" t="n">
        <v>0</v>
      </c>
      <c r="N706" t="n">
        <v>0</v>
      </c>
      <c r="O706" t="n">
        <v>0</v>
      </c>
      <c r="P706" t="n">
        <v>0</v>
      </c>
      <c r="Q706" t="n">
        <v>0</v>
      </c>
      <c r="R706" s="2" t="inlineStr"/>
    </row>
    <row r="707" ht="15" customHeight="1">
      <c r="A707" t="inlineStr">
        <is>
          <t>A 10932-2023</t>
        </is>
      </c>
      <c r="B707" s="1" t="n">
        <v>44985</v>
      </c>
      <c r="C707" s="1" t="n">
        <v>45894</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36767-2022</t>
        </is>
      </c>
      <c r="B708" s="1" t="n">
        <v>44805</v>
      </c>
      <c r="C708" s="1" t="n">
        <v>45894</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63677-2020</t>
        </is>
      </c>
      <c r="B709" s="1" t="n">
        <v>44166</v>
      </c>
      <c r="C709" s="1" t="n">
        <v>45894</v>
      </c>
      <c r="D709" t="inlineStr">
        <is>
          <t>SÖDERMANLANDS LÄN</t>
        </is>
      </c>
      <c r="E709" t="inlineStr">
        <is>
          <t>KATRINEHOLM</t>
        </is>
      </c>
      <c r="F709" t="inlineStr">
        <is>
          <t>Holmen skog AB</t>
        </is>
      </c>
      <c r="G709" t="n">
        <v>2</v>
      </c>
      <c r="H709" t="n">
        <v>0</v>
      </c>
      <c r="I709" t="n">
        <v>0</v>
      </c>
      <c r="J709" t="n">
        <v>0</v>
      </c>
      <c r="K709" t="n">
        <v>0</v>
      </c>
      <c r="L709" t="n">
        <v>0</v>
      </c>
      <c r="M709" t="n">
        <v>0</v>
      </c>
      <c r="N709" t="n">
        <v>0</v>
      </c>
      <c r="O709" t="n">
        <v>0</v>
      </c>
      <c r="P709" t="n">
        <v>0</v>
      </c>
      <c r="Q709" t="n">
        <v>0</v>
      </c>
      <c r="R709" s="2" t="inlineStr"/>
    </row>
    <row r="710" ht="15" customHeight="1">
      <c r="A710" t="inlineStr">
        <is>
          <t>A 5834-2025</t>
        </is>
      </c>
      <c r="B710" s="1" t="n">
        <v>45694</v>
      </c>
      <c r="C710" s="1" t="n">
        <v>45894</v>
      </c>
      <c r="D710" t="inlineStr">
        <is>
          <t>SÖDERMANLANDS LÄN</t>
        </is>
      </c>
      <c r="E710" t="inlineStr">
        <is>
          <t>KATRINEHOLM</t>
        </is>
      </c>
      <c r="G710" t="n">
        <v>3.3</v>
      </c>
      <c r="H710" t="n">
        <v>0</v>
      </c>
      <c r="I710" t="n">
        <v>0</v>
      </c>
      <c r="J710" t="n">
        <v>0</v>
      </c>
      <c r="K710" t="n">
        <v>0</v>
      </c>
      <c r="L710" t="n">
        <v>0</v>
      </c>
      <c r="M710" t="n">
        <v>0</v>
      </c>
      <c r="N710" t="n">
        <v>0</v>
      </c>
      <c r="O710" t="n">
        <v>0</v>
      </c>
      <c r="P710" t="n">
        <v>0</v>
      </c>
      <c r="Q710" t="n">
        <v>0</v>
      </c>
      <c r="R710" s="2" t="inlineStr"/>
    </row>
    <row r="711" ht="15" customHeight="1">
      <c r="A711" t="inlineStr">
        <is>
          <t>A 15399-2022</t>
        </is>
      </c>
      <c r="B711" s="1" t="n">
        <v>44659</v>
      </c>
      <c r="C711" s="1" t="n">
        <v>45894</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48619-2020</t>
        </is>
      </c>
      <c r="B712" s="1" t="n">
        <v>44103</v>
      </c>
      <c r="C712" s="1" t="n">
        <v>45894</v>
      </c>
      <c r="D712" t="inlineStr">
        <is>
          <t>SÖDERMANLANDS LÄN</t>
        </is>
      </c>
      <c r="E712" t="inlineStr">
        <is>
          <t>KATRINEHOLM</t>
        </is>
      </c>
      <c r="F712" t="inlineStr">
        <is>
          <t>Övriga statliga verk och myndigheter</t>
        </is>
      </c>
      <c r="G712" t="n">
        <v>0.9</v>
      </c>
      <c r="H712" t="n">
        <v>0</v>
      </c>
      <c r="I712" t="n">
        <v>0</v>
      </c>
      <c r="J712" t="n">
        <v>0</v>
      </c>
      <c r="K712" t="n">
        <v>0</v>
      </c>
      <c r="L712" t="n">
        <v>0</v>
      </c>
      <c r="M712" t="n">
        <v>0</v>
      </c>
      <c r="N712" t="n">
        <v>0</v>
      </c>
      <c r="O712" t="n">
        <v>0</v>
      </c>
      <c r="P712" t="n">
        <v>0</v>
      </c>
      <c r="Q712" t="n">
        <v>0</v>
      </c>
      <c r="R712" s="2" t="inlineStr"/>
    </row>
    <row r="713" ht="15" customHeight="1">
      <c r="A713" t="inlineStr">
        <is>
          <t>A 49116-2024</t>
        </is>
      </c>
      <c r="B713" s="1" t="n">
        <v>45594.6605787037</v>
      </c>
      <c r="C713" s="1" t="n">
        <v>45894</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38708-2025</t>
        </is>
      </c>
      <c r="B714" s="1" t="n">
        <v>45885</v>
      </c>
      <c r="C714" s="1" t="n">
        <v>45894</v>
      </c>
      <c r="D714" t="inlineStr">
        <is>
          <t>SÖDERMANLANDS LÄN</t>
        </is>
      </c>
      <c r="E714" t="inlineStr">
        <is>
          <t>KATRINEHOLM</t>
        </is>
      </c>
      <c r="G714" t="n">
        <v>1.9</v>
      </c>
      <c r="H714" t="n">
        <v>0</v>
      </c>
      <c r="I714" t="n">
        <v>0</v>
      </c>
      <c r="J714" t="n">
        <v>0</v>
      </c>
      <c r="K714" t="n">
        <v>0</v>
      </c>
      <c r="L714" t="n">
        <v>0</v>
      </c>
      <c r="M714" t="n">
        <v>0</v>
      </c>
      <c r="N714" t="n">
        <v>0</v>
      </c>
      <c r="O714" t="n">
        <v>0</v>
      </c>
      <c r="P714" t="n">
        <v>0</v>
      </c>
      <c r="Q714" t="n">
        <v>0</v>
      </c>
      <c r="R714" s="2" t="inlineStr"/>
    </row>
    <row r="715" ht="15" customHeight="1">
      <c r="A715" t="inlineStr">
        <is>
          <t>A 9899-2023</t>
        </is>
      </c>
      <c r="B715" s="1" t="n">
        <v>44985</v>
      </c>
      <c r="C715" s="1" t="n">
        <v>45894</v>
      </c>
      <c r="D715" t="inlineStr">
        <is>
          <t>SÖDERMANLANDS LÄN</t>
        </is>
      </c>
      <c r="E715" t="inlineStr">
        <is>
          <t>KATRINEHOLM</t>
        </is>
      </c>
      <c r="F715" t="inlineStr">
        <is>
          <t>Allmännings- och besparingsskogar</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34263-2023</t>
        </is>
      </c>
      <c r="B716" s="1" t="n">
        <v>45138.60248842592</v>
      </c>
      <c r="C716" s="1" t="n">
        <v>45894</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6092-2025</t>
        </is>
      </c>
      <c r="B717" s="1" t="n">
        <v>45697</v>
      </c>
      <c r="C717" s="1" t="n">
        <v>45894</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55863-2022</t>
        </is>
      </c>
      <c r="B718" s="1" t="n">
        <v>44888</v>
      </c>
      <c r="C718" s="1" t="n">
        <v>45894</v>
      </c>
      <c r="D718" t="inlineStr">
        <is>
          <t>SÖDERMANLANDS LÄN</t>
        </is>
      </c>
      <c r="E718" t="inlineStr">
        <is>
          <t>KATRINEHOLM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55865-2022</t>
        </is>
      </c>
      <c r="B719" s="1" t="n">
        <v>44888</v>
      </c>
      <c r="C719" s="1" t="n">
        <v>45894</v>
      </c>
      <c r="D719" t="inlineStr">
        <is>
          <t>SÖDERMANLANDS LÄN</t>
        </is>
      </c>
      <c r="E719" t="inlineStr">
        <is>
          <t>KATRINEHOLM</t>
        </is>
      </c>
      <c r="G719" t="n">
        <v>9.1</v>
      </c>
      <c r="H719" t="n">
        <v>0</v>
      </c>
      <c r="I719" t="n">
        <v>0</v>
      </c>
      <c r="J719" t="n">
        <v>0</v>
      </c>
      <c r="K719" t="n">
        <v>0</v>
      </c>
      <c r="L719" t="n">
        <v>0</v>
      </c>
      <c r="M719" t="n">
        <v>0</v>
      </c>
      <c r="N719" t="n">
        <v>0</v>
      </c>
      <c r="O719" t="n">
        <v>0</v>
      </c>
      <c r="P719" t="n">
        <v>0</v>
      </c>
      <c r="Q719" t="n">
        <v>0</v>
      </c>
      <c r="R719" s="2" t="inlineStr"/>
    </row>
    <row r="720" ht="15" customHeight="1">
      <c r="A720" t="inlineStr">
        <is>
          <t>A 10341-2022</t>
        </is>
      </c>
      <c r="B720" s="1" t="n">
        <v>44623</v>
      </c>
      <c r="C720" s="1" t="n">
        <v>45894</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6753-2022</t>
        </is>
      </c>
      <c r="B721" s="1" t="n">
        <v>44602</v>
      </c>
      <c r="C721" s="1" t="n">
        <v>45894</v>
      </c>
      <c r="D721" t="inlineStr">
        <is>
          <t>SÖDERMANLANDS LÄN</t>
        </is>
      </c>
      <c r="E721" t="inlineStr">
        <is>
          <t>KATRINEHOLM</t>
        </is>
      </c>
      <c r="G721" t="n">
        <v>4.3</v>
      </c>
      <c r="H721" t="n">
        <v>0</v>
      </c>
      <c r="I721" t="n">
        <v>0</v>
      </c>
      <c r="J721" t="n">
        <v>0</v>
      </c>
      <c r="K721" t="n">
        <v>0</v>
      </c>
      <c r="L721" t="n">
        <v>0</v>
      </c>
      <c r="M721" t="n">
        <v>0</v>
      </c>
      <c r="N721" t="n">
        <v>0</v>
      </c>
      <c r="O721" t="n">
        <v>0</v>
      </c>
      <c r="P721" t="n">
        <v>0</v>
      </c>
      <c r="Q721" t="n">
        <v>0</v>
      </c>
      <c r="R721" s="2" t="inlineStr"/>
    </row>
    <row r="722" ht="15" customHeight="1">
      <c r="A722" t="inlineStr">
        <is>
          <t>A 6763-2022</t>
        </is>
      </c>
      <c r="B722" s="1" t="n">
        <v>44602</v>
      </c>
      <c r="C722" s="1" t="n">
        <v>45894</v>
      </c>
      <c r="D722" t="inlineStr">
        <is>
          <t>SÖDERMANLANDS LÄN</t>
        </is>
      </c>
      <c r="E722" t="inlineStr">
        <is>
          <t>KATRINEHOLM</t>
        </is>
      </c>
      <c r="G722" t="n">
        <v>6.7</v>
      </c>
      <c r="H722" t="n">
        <v>0</v>
      </c>
      <c r="I722" t="n">
        <v>0</v>
      </c>
      <c r="J722" t="n">
        <v>0</v>
      </c>
      <c r="K722" t="n">
        <v>0</v>
      </c>
      <c r="L722" t="n">
        <v>0</v>
      </c>
      <c r="M722" t="n">
        <v>0</v>
      </c>
      <c r="N722" t="n">
        <v>0</v>
      </c>
      <c r="O722" t="n">
        <v>0</v>
      </c>
      <c r="P722" t="n">
        <v>0</v>
      </c>
      <c r="Q722" t="n">
        <v>0</v>
      </c>
      <c r="R722" s="2" t="inlineStr"/>
    </row>
    <row r="723" ht="15" customHeight="1">
      <c r="A723" t="inlineStr">
        <is>
          <t>A 9437-2022</t>
        </is>
      </c>
      <c r="B723" s="1" t="n">
        <v>44616.69246527777</v>
      </c>
      <c r="C723" s="1" t="n">
        <v>45894</v>
      </c>
      <c r="D723" t="inlineStr">
        <is>
          <t>SÖDERMANLANDS LÄN</t>
        </is>
      </c>
      <c r="E723" t="inlineStr">
        <is>
          <t>KATRINEHOLM</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22345-2023</t>
        </is>
      </c>
      <c r="B724" s="1" t="n">
        <v>45070</v>
      </c>
      <c r="C724" s="1" t="n">
        <v>45894</v>
      </c>
      <c r="D724" t="inlineStr">
        <is>
          <t>SÖDERMANLANDS LÄN</t>
        </is>
      </c>
      <c r="E724" t="inlineStr">
        <is>
          <t>KATRINEHOLM</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48528-2021</t>
        </is>
      </c>
      <c r="B725" s="1" t="n">
        <v>44449</v>
      </c>
      <c r="C725" s="1" t="n">
        <v>45894</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39068-2022</t>
        </is>
      </c>
      <c r="B726" s="1" t="n">
        <v>44816</v>
      </c>
      <c r="C726" s="1" t="n">
        <v>45894</v>
      </c>
      <c r="D726" t="inlineStr">
        <is>
          <t>SÖDERMANLANDS LÄN</t>
        </is>
      </c>
      <c r="E726" t="inlineStr">
        <is>
          <t>KATRINEHOLM</t>
        </is>
      </c>
      <c r="G726" t="n">
        <v>3.6</v>
      </c>
      <c r="H726" t="n">
        <v>0</v>
      </c>
      <c r="I726" t="n">
        <v>0</v>
      </c>
      <c r="J726" t="n">
        <v>0</v>
      </c>
      <c r="K726" t="n">
        <v>0</v>
      </c>
      <c r="L726" t="n">
        <v>0</v>
      </c>
      <c r="M726" t="n">
        <v>0</v>
      </c>
      <c r="N726" t="n">
        <v>0</v>
      </c>
      <c r="O726" t="n">
        <v>0</v>
      </c>
      <c r="P726" t="n">
        <v>0</v>
      </c>
      <c r="Q726" t="n">
        <v>0</v>
      </c>
      <c r="R726" s="2" t="inlineStr"/>
    </row>
    <row r="727" ht="15" customHeight="1">
      <c r="A727" t="inlineStr">
        <is>
          <t>A 28675-2024</t>
        </is>
      </c>
      <c r="B727" s="1" t="n">
        <v>45478</v>
      </c>
      <c r="C727" s="1" t="n">
        <v>45894</v>
      </c>
      <c r="D727" t="inlineStr">
        <is>
          <t>SÖDERMANLANDS LÄN</t>
        </is>
      </c>
      <c r="E727" t="inlineStr">
        <is>
          <t>KATRINEHOLM</t>
        </is>
      </c>
      <c r="F727" t="inlineStr">
        <is>
          <t>Övriga Aktiebolag</t>
        </is>
      </c>
      <c r="G727" t="n">
        <v>3.5</v>
      </c>
      <c r="H727" t="n">
        <v>0</v>
      </c>
      <c r="I727" t="n">
        <v>0</v>
      </c>
      <c r="J727" t="n">
        <v>0</v>
      </c>
      <c r="K727" t="n">
        <v>0</v>
      </c>
      <c r="L727" t="n">
        <v>0</v>
      </c>
      <c r="M727" t="n">
        <v>0</v>
      </c>
      <c r="N727" t="n">
        <v>0</v>
      </c>
      <c r="O727" t="n">
        <v>0</v>
      </c>
      <c r="P727" t="n">
        <v>0</v>
      </c>
      <c r="Q727" t="n">
        <v>0</v>
      </c>
      <c r="R727" s="2" t="inlineStr"/>
    </row>
    <row r="728" ht="15" customHeight="1">
      <c r="A728" t="inlineStr">
        <is>
          <t>A 66540-2021</t>
        </is>
      </c>
      <c r="B728" s="1" t="n">
        <v>44519</v>
      </c>
      <c r="C728" s="1" t="n">
        <v>45894</v>
      </c>
      <c r="D728" t="inlineStr">
        <is>
          <t>SÖDERMANLANDS LÄN</t>
        </is>
      </c>
      <c r="E728" t="inlineStr">
        <is>
          <t>KATRINEHOLM</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39645-2025</t>
        </is>
      </c>
      <c r="B729" s="1" t="n">
        <v>45890</v>
      </c>
      <c r="C729" s="1" t="n">
        <v>45894</v>
      </c>
      <c r="D729" t="inlineStr">
        <is>
          <t>SÖDERMANLANDS LÄN</t>
        </is>
      </c>
      <c r="E729" t="inlineStr">
        <is>
          <t>KATRINEHOLM</t>
        </is>
      </c>
      <c r="G729" t="n">
        <v>0.2</v>
      </c>
      <c r="H729" t="n">
        <v>0</v>
      </c>
      <c r="I729" t="n">
        <v>0</v>
      </c>
      <c r="J729" t="n">
        <v>0</v>
      </c>
      <c r="K729" t="n">
        <v>0</v>
      </c>
      <c r="L729" t="n">
        <v>0</v>
      </c>
      <c r="M729" t="n">
        <v>0</v>
      </c>
      <c r="N729" t="n">
        <v>0</v>
      </c>
      <c r="O729" t="n">
        <v>0</v>
      </c>
      <c r="P729" t="n">
        <v>0</v>
      </c>
      <c r="Q729" t="n">
        <v>0</v>
      </c>
      <c r="R729" s="2" t="inlineStr"/>
    </row>
    <row r="730" ht="15" customHeight="1">
      <c r="A730" t="inlineStr">
        <is>
          <t>A 39668-2025</t>
        </is>
      </c>
      <c r="B730" s="1" t="n">
        <v>45890</v>
      </c>
      <c r="C730" s="1" t="n">
        <v>45894</v>
      </c>
      <c r="D730" t="inlineStr">
        <is>
          <t>SÖDERMANLANDS LÄN</t>
        </is>
      </c>
      <c r="E730" t="inlineStr">
        <is>
          <t>KATRINEHOLM</t>
        </is>
      </c>
      <c r="G730" t="n">
        <v>2.9</v>
      </c>
      <c r="H730" t="n">
        <v>0</v>
      </c>
      <c r="I730" t="n">
        <v>0</v>
      </c>
      <c r="J730" t="n">
        <v>0</v>
      </c>
      <c r="K730" t="n">
        <v>0</v>
      </c>
      <c r="L730" t="n">
        <v>0</v>
      </c>
      <c r="M730" t="n">
        <v>0</v>
      </c>
      <c r="N730" t="n">
        <v>0</v>
      </c>
      <c r="O730" t="n">
        <v>0</v>
      </c>
      <c r="P730" t="n">
        <v>0</v>
      </c>
      <c r="Q730" t="n">
        <v>0</v>
      </c>
      <c r="R730" s="2" t="inlineStr"/>
    </row>
    <row r="731" ht="15" customHeight="1">
      <c r="A731" t="inlineStr">
        <is>
          <t>A 39663-2025</t>
        </is>
      </c>
      <c r="B731" s="1" t="n">
        <v>45890</v>
      </c>
      <c r="C731" s="1" t="n">
        <v>45894</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33790-2024</t>
        </is>
      </c>
      <c r="B732" s="1" t="n">
        <v>45520.59179398148</v>
      </c>
      <c r="C732" s="1" t="n">
        <v>45894</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41267-2023</t>
        </is>
      </c>
      <c r="B733" s="1" t="n">
        <v>45174</v>
      </c>
      <c r="C733" s="1" t="n">
        <v>45894</v>
      </c>
      <c r="D733" t="inlineStr">
        <is>
          <t>SÖDERMANLANDS LÄN</t>
        </is>
      </c>
      <c r="E733" t="inlineStr">
        <is>
          <t>KATRINEHOLM</t>
        </is>
      </c>
      <c r="F733" t="inlineStr">
        <is>
          <t>Holmen skog AB</t>
        </is>
      </c>
      <c r="G733" t="n">
        <v>4.5</v>
      </c>
      <c r="H733" t="n">
        <v>0</v>
      </c>
      <c r="I733" t="n">
        <v>0</v>
      </c>
      <c r="J733" t="n">
        <v>0</v>
      </c>
      <c r="K733" t="n">
        <v>0</v>
      </c>
      <c r="L733" t="n">
        <v>0</v>
      </c>
      <c r="M733" t="n">
        <v>0</v>
      </c>
      <c r="N733" t="n">
        <v>0</v>
      </c>
      <c r="O733" t="n">
        <v>0</v>
      </c>
      <c r="P733" t="n">
        <v>0</v>
      </c>
      <c r="Q733" t="n">
        <v>0</v>
      </c>
      <c r="R733" s="2" t="inlineStr"/>
    </row>
    <row r="734" ht="15" customHeight="1">
      <c r="A734" t="inlineStr">
        <is>
          <t>A 53809-2021</t>
        </is>
      </c>
      <c r="B734" s="1" t="n">
        <v>44467</v>
      </c>
      <c r="C734" s="1" t="n">
        <v>45894</v>
      </c>
      <c r="D734" t="inlineStr">
        <is>
          <t>SÖDERMANLANDS LÄN</t>
        </is>
      </c>
      <c r="E734" t="inlineStr">
        <is>
          <t>KATRINEHOLM</t>
        </is>
      </c>
      <c r="G734" t="n">
        <v>7</v>
      </c>
      <c r="H734" t="n">
        <v>0</v>
      </c>
      <c r="I734" t="n">
        <v>0</v>
      </c>
      <c r="J734" t="n">
        <v>0</v>
      </c>
      <c r="K734" t="n">
        <v>0</v>
      </c>
      <c r="L734" t="n">
        <v>0</v>
      </c>
      <c r="M734" t="n">
        <v>0</v>
      </c>
      <c r="N734" t="n">
        <v>0</v>
      </c>
      <c r="O734" t="n">
        <v>0</v>
      </c>
      <c r="P734" t="n">
        <v>0</v>
      </c>
      <c r="Q734" t="n">
        <v>0</v>
      </c>
      <c r="R734" s="2" t="inlineStr"/>
    </row>
    <row r="735" ht="15" customHeight="1">
      <c r="A735" t="inlineStr">
        <is>
          <t>A 34439-2025</t>
        </is>
      </c>
      <c r="B735" s="1" t="n">
        <v>45845</v>
      </c>
      <c r="C735" s="1" t="n">
        <v>45894</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39737-2025</t>
        </is>
      </c>
      <c r="B736" s="1" t="n">
        <v>45891</v>
      </c>
      <c r="C736" s="1" t="n">
        <v>45894</v>
      </c>
      <c r="D736" t="inlineStr">
        <is>
          <t>SÖDERMANLANDS LÄN</t>
        </is>
      </c>
      <c r="E736" t="inlineStr">
        <is>
          <t>KATRINEHOLM</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39847-2025</t>
        </is>
      </c>
      <c r="B737" s="1" t="n">
        <v>45891.58381944444</v>
      </c>
      <c r="C737" s="1" t="n">
        <v>45894</v>
      </c>
      <c r="D737" t="inlineStr">
        <is>
          <t>SÖDERMANLANDS LÄN</t>
        </is>
      </c>
      <c r="E737" t="inlineStr">
        <is>
          <t>KATRINEHOLM</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4758-2025</t>
        </is>
      </c>
      <c r="B738" s="1" t="n">
        <v>45688</v>
      </c>
      <c r="C738" s="1" t="n">
        <v>45894</v>
      </c>
      <c r="D738" t="inlineStr">
        <is>
          <t>SÖDERMANLANDS LÄN</t>
        </is>
      </c>
      <c r="E738" t="inlineStr">
        <is>
          <t>KATRINEHOLM</t>
        </is>
      </c>
      <c r="G738" t="n">
        <v>2.3</v>
      </c>
      <c r="H738" t="n">
        <v>0</v>
      </c>
      <c r="I738" t="n">
        <v>0</v>
      </c>
      <c r="J738" t="n">
        <v>0</v>
      </c>
      <c r="K738" t="n">
        <v>0</v>
      </c>
      <c r="L738" t="n">
        <v>0</v>
      </c>
      <c r="M738" t="n">
        <v>0</v>
      </c>
      <c r="N738" t="n">
        <v>0</v>
      </c>
      <c r="O738" t="n">
        <v>0</v>
      </c>
      <c r="P738" t="n">
        <v>0</v>
      </c>
      <c r="Q738" t="n">
        <v>0</v>
      </c>
      <c r="R738" s="2" t="inlineStr"/>
    </row>
    <row r="739" ht="15" customHeight="1">
      <c r="A739" t="inlineStr">
        <is>
          <t>A 55136-2020</t>
        </is>
      </c>
      <c r="B739" s="1" t="n">
        <v>44130</v>
      </c>
      <c r="C739" s="1" t="n">
        <v>45894</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28317-2024</t>
        </is>
      </c>
      <c r="B740" s="1" t="n">
        <v>45477</v>
      </c>
      <c r="C740" s="1" t="n">
        <v>45894</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45894</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45142-2021</t>
        </is>
      </c>
      <c r="B742" s="1" t="n">
        <v>44439</v>
      </c>
      <c r="C742" s="1" t="n">
        <v>45894</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62424-2020</t>
        </is>
      </c>
      <c r="B743" s="1" t="n">
        <v>44160</v>
      </c>
      <c r="C743" s="1" t="n">
        <v>45894</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5788-2022</t>
        </is>
      </c>
      <c r="B744" s="1" t="n">
        <v>44596.54990740741</v>
      </c>
      <c r="C744" s="1" t="n">
        <v>45894</v>
      </c>
      <c r="D744" t="inlineStr">
        <is>
          <t>SÖDERMANLANDS LÄN</t>
        </is>
      </c>
      <c r="E744" t="inlineStr">
        <is>
          <t>KATRINEHOLM</t>
        </is>
      </c>
      <c r="G744" t="n">
        <v>4.1</v>
      </c>
      <c r="H744" t="n">
        <v>0</v>
      </c>
      <c r="I744" t="n">
        <v>0</v>
      </c>
      <c r="J744" t="n">
        <v>0</v>
      </c>
      <c r="K744" t="n">
        <v>0</v>
      </c>
      <c r="L744" t="n">
        <v>0</v>
      </c>
      <c r="M744" t="n">
        <v>0</v>
      </c>
      <c r="N744" t="n">
        <v>0</v>
      </c>
      <c r="O744" t="n">
        <v>0</v>
      </c>
      <c r="P744" t="n">
        <v>0</v>
      </c>
      <c r="Q744" t="n">
        <v>0</v>
      </c>
      <c r="R744" s="2" t="inlineStr"/>
    </row>
    <row r="745" ht="15" customHeight="1">
      <c r="A745" t="inlineStr">
        <is>
          <t>A 5790-2022</t>
        </is>
      </c>
      <c r="B745" s="1" t="n">
        <v>44596.55368055555</v>
      </c>
      <c r="C745" s="1" t="n">
        <v>45894</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53387-2023</t>
        </is>
      </c>
      <c r="B746" s="1" t="n">
        <v>45229</v>
      </c>
      <c r="C746" s="1" t="n">
        <v>45894</v>
      </c>
      <c r="D746" t="inlineStr">
        <is>
          <t>SÖDERMANLANDS LÄN</t>
        </is>
      </c>
      <c r="E746" t="inlineStr">
        <is>
          <t>KATRINEHOLM</t>
        </is>
      </c>
      <c r="F746" t="inlineStr">
        <is>
          <t>Kyrkan</t>
        </is>
      </c>
      <c r="G746" t="n">
        <v>7.4</v>
      </c>
      <c r="H746" t="n">
        <v>0</v>
      </c>
      <c r="I746" t="n">
        <v>0</v>
      </c>
      <c r="J746" t="n">
        <v>0</v>
      </c>
      <c r="K746" t="n">
        <v>0</v>
      </c>
      <c r="L746" t="n">
        <v>0</v>
      </c>
      <c r="M746" t="n">
        <v>0</v>
      </c>
      <c r="N746" t="n">
        <v>0</v>
      </c>
      <c r="O746" t="n">
        <v>0</v>
      </c>
      <c r="P746" t="n">
        <v>0</v>
      </c>
      <c r="Q746" t="n">
        <v>0</v>
      </c>
      <c r="R746" s="2" t="inlineStr"/>
    </row>
    <row r="747" ht="15" customHeight="1">
      <c r="A747" t="inlineStr">
        <is>
          <t>A 55169-2022</t>
        </is>
      </c>
      <c r="B747" s="1" t="n">
        <v>44886</v>
      </c>
      <c r="C747" s="1" t="n">
        <v>45894</v>
      </c>
      <c r="D747" t="inlineStr">
        <is>
          <t>SÖDERMANLANDS LÄN</t>
        </is>
      </c>
      <c r="E747" t="inlineStr">
        <is>
          <t>KATRINEHOLM</t>
        </is>
      </c>
      <c r="G747" t="n">
        <v>1.3</v>
      </c>
      <c r="H747" t="n">
        <v>0</v>
      </c>
      <c r="I747" t="n">
        <v>0</v>
      </c>
      <c r="J747" t="n">
        <v>0</v>
      </c>
      <c r="K747" t="n">
        <v>0</v>
      </c>
      <c r="L747" t="n">
        <v>0</v>
      </c>
      <c r="M747" t="n">
        <v>0</v>
      </c>
      <c r="N747" t="n">
        <v>0</v>
      </c>
      <c r="O747" t="n">
        <v>0</v>
      </c>
      <c r="P747" t="n">
        <v>0</v>
      </c>
      <c r="Q747" t="n">
        <v>0</v>
      </c>
      <c r="R747" s="2" t="inlineStr"/>
    </row>
    <row r="748" ht="15" customHeight="1">
      <c r="A748" t="inlineStr">
        <is>
          <t>A 57645-2020</t>
        </is>
      </c>
      <c r="B748" s="1" t="n">
        <v>44140.68782407408</v>
      </c>
      <c r="C748" s="1" t="n">
        <v>45894</v>
      </c>
      <c r="D748" t="inlineStr">
        <is>
          <t>SÖDERMANLANDS LÄN</t>
        </is>
      </c>
      <c r="E748" t="inlineStr">
        <is>
          <t>KATRINEHOLM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52348-2021</t>
        </is>
      </c>
      <c r="B749" s="1" t="n">
        <v>44464.49756944444</v>
      </c>
      <c r="C749" s="1" t="n">
        <v>45894</v>
      </c>
      <c r="D749" t="inlineStr">
        <is>
          <t>SÖDERMANLANDS LÄN</t>
        </is>
      </c>
      <c r="E749" t="inlineStr">
        <is>
          <t>KATRINEHOLM</t>
        </is>
      </c>
      <c r="G749" t="n">
        <v>1.5</v>
      </c>
      <c r="H749" t="n">
        <v>0</v>
      </c>
      <c r="I749" t="n">
        <v>0</v>
      </c>
      <c r="J749" t="n">
        <v>0</v>
      </c>
      <c r="K749" t="n">
        <v>0</v>
      </c>
      <c r="L749" t="n">
        <v>0</v>
      </c>
      <c r="M749" t="n">
        <v>0</v>
      </c>
      <c r="N749" t="n">
        <v>0</v>
      </c>
      <c r="O749" t="n">
        <v>0</v>
      </c>
      <c r="P749" t="n">
        <v>0</v>
      </c>
      <c r="Q749" t="n">
        <v>0</v>
      </c>
      <c r="R749" s="2" t="inlineStr"/>
    </row>
    <row r="750" ht="15" customHeight="1">
      <c r="A750" t="inlineStr">
        <is>
          <t>A 5795-2022</t>
        </is>
      </c>
      <c r="B750" s="1" t="n">
        <v>44596</v>
      </c>
      <c r="C750" s="1" t="n">
        <v>45894</v>
      </c>
      <c r="D750" t="inlineStr">
        <is>
          <t>SÖDERMANLANDS LÄN</t>
        </is>
      </c>
      <c r="E750" t="inlineStr">
        <is>
          <t>KATRINEHOLM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55590-2023</t>
        </is>
      </c>
      <c r="B751" s="1" t="n">
        <v>45238</v>
      </c>
      <c r="C751" s="1" t="n">
        <v>45894</v>
      </c>
      <c r="D751" t="inlineStr">
        <is>
          <t>SÖDERMANLANDS LÄN</t>
        </is>
      </c>
      <c r="E751" t="inlineStr">
        <is>
          <t>KATRINEHOLM</t>
        </is>
      </c>
      <c r="G751" t="n">
        <v>4.5</v>
      </c>
      <c r="H751" t="n">
        <v>0</v>
      </c>
      <c r="I751" t="n">
        <v>0</v>
      </c>
      <c r="J751" t="n">
        <v>0</v>
      </c>
      <c r="K751" t="n">
        <v>0</v>
      </c>
      <c r="L751" t="n">
        <v>0</v>
      </c>
      <c r="M751" t="n">
        <v>0</v>
      </c>
      <c r="N751" t="n">
        <v>0</v>
      </c>
      <c r="O751" t="n">
        <v>0</v>
      </c>
      <c r="P751" t="n">
        <v>0</v>
      </c>
      <c r="Q751" t="n">
        <v>0</v>
      </c>
      <c r="R751" s="2" t="inlineStr"/>
    </row>
    <row r="752" ht="15" customHeight="1">
      <c r="A752" t="inlineStr">
        <is>
          <t>A 13612-2023</t>
        </is>
      </c>
      <c r="B752" s="1" t="n">
        <v>45006</v>
      </c>
      <c r="C752" s="1" t="n">
        <v>45894</v>
      </c>
      <c r="D752" t="inlineStr">
        <is>
          <t>SÖDERMANLANDS LÄN</t>
        </is>
      </c>
      <c r="E752" t="inlineStr">
        <is>
          <t>KATRINEHOLM</t>
        </is>
      </c>
      <c r="G752" t="n">
        <v>2.3</v>
      </c>
      <c r="H752" t="n">
        <v>0</v>
      </c>
      <c r="I752" t="n">
        <v>0</v>
      </c>
      <c r="J752" t="n">
        <v>0</v>
      </c>
      <c r="K752" t="n">
        <v>0</v>
      </c>
      <c r="L752" t="n">
        <v>0</v>
      </c>
      <c r="M752" t="n">
        <v>0</v>
      </c>
      <c r="N752" t="n">
        <v>0</v>
      </c>
      <c r="O752" t="n">
        <v>0</v>
      </c>
      <c r="P752" t="n">
        <v>0</v>
      </c>
      <c r="Q752" t="n">
        <v>0</v>
      </c>
      <c r="R752" s="2" t="inlineStr"/>
    </row>
    <row r="753" ht="15" customHeight="1">
      <c r="A753" t="inlineStr">
        <is>
          <t>A 46257-2021</t>
        </is>
      </c>
      <c r="B753" s="1" t="n">
        <v>44442</v>
      </c>
      <c r="C753" s="1" t="n">
        <v>45894</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20949-2021</t>
        </is>
      </c>
      <c r="B754" s="1" t="n">
        <v>44319</v>
      </c>
      <c r="C754" s="1" t="n">
        <v>45894</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5320-2025</t>
        </is>
      </c>
      <c r="B755" s="1" t="n">
        <v>45692</v>
      </c>
      <c r="C755" s="1" t="n">
        <v>45894</v>
      </c>
      <c r="D755" t="inlineStr">
        <is>
          <t>SÖDERMANLANDS LÄN</t>
        </is>
      </c>
      <c r="E755" t="inlineStr">
        <is>
          <t>KATRINEHOLM</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49914-2023</t>
        </is>
      </c>
      <c r="B756" s="1" t="n">
        <v>45214</v>
      </c>
      <c r="C756" s="1" t="n">
        <v>45894</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7747-2024</t>
        </is>
      </c>
      <c r="B757" s="1" t="n">
        <v>45348</v>
      </c>
      <c r="C757" s="1" t="n">
        <v>45894</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44637-2023</t>
        </is>
      </c>
      <c r="B758" s="1" t="n">
        <v>45189</v>
      </c>
      <c r="C758" s="1" t="n">
        <v>45894</v>
      </c>
      <c r="D758" t="inlineStr">
        <is>
          <t>SÖDERMANLANDS LÄN</t>
        </is>
      </c>
      <c r="E758" t="inlineStr">
        <is>
          <t>KATRINEHOLM</t>
        </is>
      </c>
      <c r="G758" t="n">
        <v>5.1</v>
      </c>
      <c r="H758" t="n">
        <v>0</v>
      </c>
      <c r="I758" t="n">
        <v>0</v>
      </c>
      <c r="J758" t="n">
        <v>0</v>
      </c>
      <c r="K758" t="n">
        <v>0</v>
      </c>
      <c r="L758" t="n">
        <v>0</v>
      </c>
      <c r="M758" t="n">
        <v>0</v>
      </c>
      <c r="N758" t="n">
        <v>0</v>
      </c>
      <c r="O758" t="n">
        <v>0</v>
      </c>
      <c r="P758" t="n">
        <v>0</v>
      </c>
      <c r="Q758" t="n">
        <v>0</v>
      </c>
      <c r="R758" s="2" t="inlineStr"/>
    </row>
    <row r="759" ht="15" customHeight="1">
      <c r="A759" t="inlineStr">
        <is>
          <t>A 58522-2024</t>
        </is>
      </c>
      <c r="B759" s="1" t="n">
        <v>45635.43770833333</v>
      </c>
      <c r="C759" s="1" t="n">
        <v>45894</v>
      </c>
      <c r="D759" t="inlineStr">
        <is>
          <t>SÖDERMANLANDS LÄN</t>
        </is>
      </c>
      <c r="E759" t="inlineStr">
        <is>
          <t>KATRINEHOLM</t>
        </is>
      </c>
      <c r="G759" t="n">
        <v>2</v>
      </c>
      <c r="H759" t="n">
        <v>0</v>
      </c>
      <c r="I759" t="n">
        <v>0</v>
      </c>
      <c r="J759" t="n">
        <v>0</v>
      </c>
      <c r="K759" t="n">
        <v>0</v>
      </c>
      <c r="L759" t="n">
        <v>0</v>
      </c>
      <c r="M759" t="n">
        <v>0</v>
      </c>
      <c r="N759" t="n">
        <v>0</v>
      </c>
      <c r="O759" t="n">
        <v>0</v>
      </c>
      <c r="P759" t="n">
        <v>0</v>
      </c>
      <c r="Q759" t="n">
        <v>0</v>
      </c>
      <c r="R759" s="2" t="inlineStr"/>
    </row>
    <row r="760" ht="15" customHeight="1">
      <c r="A760" t="inlineStr">
        <is>
          <t>A 57687-2020</t>
        </is>
      </c>
      <c r="B760" s="1" t="n">
        <v>44140</v>
      </c>
      <c r="C760" s="1" t="n">
        <v>45894</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20921-2023</t>
        </is>
      </c>
      <c r="B761" s="1" t="n">
        <v>45061</v>
      </c>
      <c r="C761" s="1" t="n">
        <v>45894</v>
      </c>
      <c r="D761" t="inlineStr">
        <is>
          <t>SÖDERMANLANDS LÄN</t>
        </is>
      </c>
      <c r="E761" t="inlineStr">
        <is>
          <t>KATRINEHOLM</t>
        </is>
      </c>
      <c r="G761" t="n">
        <v>8.9</v>
      </c>
      <c r="H761" t="n">
        <v>0</v>
      </c>
      <c r="I761" t="n">
        <v>0</v>
      </c>
      <c r="J761" t="n">
        <v>0</v>
      </c>
      <c r="K761" t="n">
        <v>0</v>
      </c>
      <c r="L761" t="n">
        <v>0</v>
      </c>
      <c r="M761" t="n">
        <v>0</v>
      </c>
      <c r="N761" t="n">
        <v>0</v>
      </c>
      <c r="O761" t="n">
        <v>0</v>
      </c>
      <c r="P761" t="n">
        <v>0</v>
      </c>
      <c r="Q761" t="n">
        <v>0</v>
      </c>
      <c r="R761" s="2" t="inlineStr"/>
    </row>
    <row r="762" ht="15" customHeight="1">
      <c r="A762" t="inlineStr">
        <is>
          <t>A 12929-2023</t>
        </is>
      </c>
      <c r="B762" s="1" t="n">
        <v>45001</v>
      </c>
      <c r="C762" s="1" t="n">
        <v>45894</v>
      </c>
      <c r="D762" t="inlineStr">
        <is>
          <t>SÖDERMANLANDS LÄN</t>
        </is>
      </c>
      <c r="E762" t="inlineStr">
        <is>
          <t>KATRINEHOLM</t>
        </is>
      </c>
      <c r="G762" t="n">
        <v>3.1</v>
      </c>
      <c r="H762" t="n">
        <v>0</v>
      </c>
      <c r="I762" t="n">
        <v>0</v>
      </c>
      <c r="J762" t="n">
        <v>0</v>
      </c>
      <c r="K762" t="n">
        <v>0</v>
      </c>
      <c r="L762" t="n">
        <v>0</v>
      </c>
      <c r="M762" t="n">
        <v>0</v>
      </c>
      <c r="N762" t="n">
        <v>0</v>
      </c>
      <c r="O762" t="n">
        <v>0</v>
      </c>
      <c r="P762" t="n">
        <v>0</v>
      </c>
      <c r="Q762" t="n">
        <v>0</v>
      </c>
      <c r="R762" s="2" t="inlineStr"/>
    </row>
    <row r="763" ht="15" customHeight="1">
      <c r="A763" t="inlineStr">
        <is>
          <t>A 12932-2023</t>
        </is>
      </c>
      <c r="B763" s="1" t="n">
        <v>45001</v>
      </c>
      <c r="C763" s="1" t="n">
        <v>45894</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55038-2020</t>
        </is>
      </c>
      <c r="B764" s="1" t="n">
        <v>44130</v>
      </c>
      <c r="C764" s="1" t="n">
        <v>45894</v>
      </c>
      <c r="D764" t="inlineStr">
        <is>
          <t>SÖDERMANLANDS LÄN</t>
        </is>
      </c>
      <c r="E764" t="inlineStr">
        <is>
          <t>KATRINEHOLM</t>
        </is>
      </c>
      <c r="G764" t="n">
        <v>3.2</v>
      </c>
      <c r="H764" t="n">
        <v>0</v>
      </c>
      <c r="I764" t="n">
        <v>0</v>
      </c>
      <c r="J764" t="n">
        <v>0</v>
      </c>
      <c r="K764" t="n">
        <v>0</v>
      </c>
      <c r="L764" t="n">
        <v>0</v>
      </c>
      <c r="M764" t="n">
        <v>0</v>
      </c>
      <c r="N764" t="n">
        <v>0</v>
      </c>
      <c r="O764" t="n">
        <v>0</v>
      </c>
      <c r="P764" t="n">
        <v>0</v>
      </c>
      <c r="Q764" t="n">
        <v>0</v>
      </c>
      <c r="R764" s="2" t="inlineStr"/>
    </row>
    <row r="765" ht="15" customHeight="1">
      <c r="A765" t="inlineStr">
        <is>
          <t>A 4650-2024</t>
        </is>
      </c>
      <c r="B765" s="1" t="n">
        <v>45328</v>
      </c>
      <c r="C765" s="1" t="n">
        <v>45894</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4652-2024</t>
        </is>
      </c>
      <c r="B766" s="1" t="n">
        <v>45328</v>
      </c>
      <c r="C766" s="1" t="n">
        <v>45894</v>
      </c>
      <c r="D766" t="inlineStr">
        <is>
          <t>SÖDERMANLANDS LÄN</t>
        </is>
      </c>
      <c r="E766" t="inlineStr">
        <is>
          <t>KATRINEHOLM</t>
        </is>
      </c>
      <c r="F766" t="inlineStr">
        <is>
          <t>Övriga Aktiebolag</t>
        </is>
      </c>
      <c r="G766" t="n">
        <v>6.1</v>
      </c>
      <c r="H766" t="n">
        <v>0</v>
      </c>
      <c r="I766" t="n">
        <v>0</v>
      </c>
      <c r="J766" t="n">
        <v>0</v>
      </c>
      <c r="K766" t="n">
        <v>0</v>
      </c>
      <c r="L766" t="n">
        <v>0</v>
      </c>
      <c r="M766" t="n">
        <v>0</v>
      </c>
      <c r="N766" t="n">
        <v>0</v>
      </c>
      <c r="O766" t="n">
        <v>0</v>
      </c>
      <c r="P766" t="n">
        <v>0</v>
      </c>
      <c r="Q766" t="n">
        <v>0</v>
      </c>
      <c r="R766" s="2" t="inlineStr"/>
    </row>
    <row r="767" ht="15" customHeight="1">
      <c r="A767" t="inlineStr">
        <is>
          <t>A 6446-2022</t>
        </is>
      </c>
      <c r="B767" s="1" t="n">
        <v>44600</v>
      </c>
      <c r="C767" s="1" t="n">
        <v>45894</v>
      </c>
      <c r="D767" t="inlineStr">
        <is>
          <t>SÖDERMANLANDS LÄN</t>
        </is>
      </c>
      <c r="E767" t="inlineStr">
        <is>
          <t>KATRINEHOLM</t>
        </is>
      </c>
      <c r="G767" t="n">
        <v>1.5</v>
      </c>
      <c r="H767" t="n">
        <v>0</v>
      </c>
      <c r="I767" t="n">
        <v>0</v>
      </c>
      <c r="J767" t="n">
        <v>0</v>
      </c>
      <c r="K767" t="n">
        <v>0</v>
      </c>
      <c r="L767" t="n">
        <v>0</v>
      </c>
      <c r="M767" t="n">
        <v>0</v>
      </c>
      <c r="N767" t="n">
        <v>0</v>
      </c>
      <c r="O767" t="n">
        <v>0</v>
      </c>
      <c r="P767" t="n">
        <v>0</v>
      </c>
      <c r="Q767" t="n">
        <v>0</v>
      </c>
      <c r="R767" s="2" t="inlineStr"/>
    </row>
    <row r="768" ht="15" customHeight="1">
      <c r="A768" t="inlineStr">
        <is>
          <t>A 48253-2022</t>
        </is>
      </c>
      <c r="B768" s="1" t="n">
        <v>44858</v>
      </c>
      <c r="C768" s="1" t="n">
        <v>45894</v>
      </c>
      <c r="D768" t="inlineStr">
        <is>
          <t>SÖDERMANLANDS LÄN</t>
        </is>
      </c>
      <c r="E768" t="inlineStr">
        <is>
          <t>KATRINEHOLM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45894</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61431-2024</t>
        </is>
      </c>
      <c r="B770" s="1" t="n">
        <v>45646.45950231481</v>
      </c>
      <c r="C770" s="1" t="n">
        <v>45894</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24097-2022</t>
        </is>
      </c>
      <c r="B771" s="1" t="n">
        <v>44725.39371527778</v>
      </c>
      <c r="C771" s="1" t="n">
        <v>45894</v>
      </c>
      <c r="D771" t="inlineStr">
        <is>
          <t>SÖDERMANLANDS LÄN</t>
        </is>
      </c>
      <c r="E771" t="inlineStr">
        <is>
          <t>KATRINEHOLM</t>
        </is>
      </c>
      <c r="G771" t="n">
        <v>6.5</v>
      </c>
      <c r="H771" t="n">
        <v>0</v>
      </c>
      <c r="I771" t="n">
        <v>0</v>
      </c>
      <c r="J771" t="n">
        <v>0</v>
      </c>
      <c r="K771" t="n">
        <v>0</v>
      </c>
      <c r="L771" t="n">
        <v>0</v>
      </c>
      <c r="M771" t="n">
        <v>0</v>
      </c>
      <c r="N771" t="n">
        <v>0</v>
      </c>
      <c r="O771" t="n">
        <v>0</v>
      </c>
      <c r="P771" t="n">
        <v>0</v>
      </c>
      <c r="Q771" t="n">
        <v>0</v>
      </c>
      <c r="R771" s="2" t="inlineStr"/>
    </row>
    <row r="772" ht="15" customHeight="1">
      <c r="A772" t="inlineStr">
        <is>
          <t>A 32166-2022</t>
        </is>
      </c>
      <c r="B772" s="1" t="n">
        <v>44781</v>
      </c>
      <c r="C772" s="1" t="n">
        <v>45894</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59384-2022</t>
        </is>
      </c>
      <c r="B773" s="1" t="n">
        <v>44905</v>
      </c>
      <c r="C773" s="1" t="n">
        <v>45894</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53393-2023</t>
        </is>
      </c>
      <c r="B774" s="1" t="n">
        <v>45229</v>
      </c>
      <c r="C774" s="1" t="n">
        <v>45894</v>
      </c>
      <c r="D774" t="inlineStr">
        <is>
          <t>SÖDERMANLANDS LÄN</t>
        </is>
      </c>
      <c r="E774" t="inlineStr">
        <is>
          <t>KATRINEHOLM</t>
        </is>
      </c>
      <c r="F774" t="inlineStr">
        <is>
          <t>Kyrkan</t>
        </is>
      </c>
      <c r="G774" t="n">
        <v>5.6</v>
      </c>
      <c r="H774" t="n">
        <v>0</v>
      </c>
      <c r="I774" t="n">
        <v>0</v>
      </c>
      <c r="J774" t="n">
        <v>0</v>
      </c>
      <c r="K774" t="n">
        <v>0</v>
      </c>
      <c r="L774" t="n">
        <v>0</v>
      </c>
      <c r="M774" t="n">
        <v>0</v>
      </c>
      <c r="N774" t="n">
        <v>0</v>
      </c>
      <c r="O774" t="n">
        <v>0</v>
      </c>
      <c r="P774" t="n">
        <v>0</v>
      </c>
      <c r="Q774" t="n">
        <v>0</v>
      </c>
      <c r="R774" s="2" t="inlineStr"/>
    </row>
    <row r="775" ht="15" customHeight="1">
      <c r="A775" t="inlineStr">
        <is>
          <t>A 10996-2022</t>
        </is>
      </c>
      <c r="B775" s="1" t="n">
        <v>44628</v>
      </c>
      <c r="C775" s="1" t="n">
        <v>45894</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row r="776" ht="15" customHeight="1">
      <c r="A776" t="inlineStr">
        <is>
          <t>A 25363-2023</t>
        </is>
      </c>
      <c r="B776" s="1" t="n">
        <v>45088.83840277778</v>
      </c>
      <c r="C776" s="1" t="n">
        <v>45894</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59308-2020</t>
        </is>
      </c>
      <c r="B777" s="1" t="n">
        <v>44147</v>
      </c>
      <c r="C777" s="1" t="n">
        <v>45894</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7705-2021</t>
        </is>
      </c>
      <c r="B778" s="1" t="n">
        <v>44242</v>
      </c>
      <c r="C778" s="1" t="n">
        <v>45894</v>
      </c>
      <c r="D778" t="inlineStr">
        <is>
          <t>SÖDERMANLANDS LÄN</t>
        </is>
      </c>
      <c r="E778" t="inlineStr">
        <is>
          <t>KATRINEHOLM</t>
        </is>
      </c>
      <c r="F778" t="inlineStr">
        <is>
          <t>Allmännings- och besparingsskogar</t>
        </is>
      </c>
      <c r="G778" t="n">
        <v>9.800000000000001</v>
      </c>
      <c r="H778" t="n">
        <v>0</v>
      </c>
      <c r="I778" t="n">
        <v>0</v>
      </c>
      <c r="J778" t="n">
        <v>0</v>
      </c>
      <c r="K778" t="n">
        <v>0</v>
      </c>
      <c r="L778" t="n">
        <v>0</v>
      </c>
      <c r="M778" t="n">
        <v>0</v>
      </c>
      <c r="N778" t="n">
        <v>0</v>
      </c>
      <c r="O778" t="n">
        <v>0</v>
      </c>
      <c r="P778" t="n">
        <v>0</v>
      </c>
      <c r="Q778" t="n">
        <v>0</v>
      </c>
      <c r="R778" s="2" t="inlineStr"/>
    </row>
    <row r="779">
      <c r="A779" t="inlineStr">
        <is>
          <t>A 48398-2022</t>
        </is>
      </c>
      <c r="B779" s="1" t="n">
        <v>44858.60809027778</v>
      </c>
      <c r="C779" s="1" t="n">
        <v>45894</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2025-08-25T08:29:26Z</dcterms:created>
  <dcterms:modified xmlns:dcterms="http://purl.org/dc/terms/" xmlns:xsi="http://www.w3.org/2001/XMLSchema-instance" xsi:type="dcterms:W3CDTF">2025-08-25T08:29:26Z</dcterms:modified>
</cp:coreProperties>
</file>