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46013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46013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46013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46013</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46013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46013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46013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46013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46013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46013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46013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46013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46013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46013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46013</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46013</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46013</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46013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46013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46013</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46013</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46013</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46013</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46013</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46013</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46013</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46013</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46013</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46013</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46013</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46013</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46013</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46013</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11890-2023</t>
        </is>
      </c>
      <c r="B36" s="1" t="n">
        <v>44995</v>
      </c>
      <c r="C36" s="1" t="n">
        <v>46013</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27926-2025</t>
        </is>
      </c>
      <c r="B37" s="1" t="n">
        <v>45814</v>
      </c>
      <c r="C37" s="1" t="n">
        <v>46013</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46013</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16458-2022</t>
        </is>
      </c>
      <c r="B39" s="1" t="n">
        <v>44671</v>
      </c>
      <c r="C39" s="1" t="n">
        <v>46013</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41980-2025</t>
        </is>
      </c>
      <c r="B40" s="1" t="n">
        <v>45903</v>
      </c>
      <c r="C40" s="1" t="n">
        <v>46013</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23568-2023</t>
        </is>
      </c>
      <c r="B41" s="1" t="n">
        <v>45077</v>
      </c>
      <c r="C41" s="1" t="n">
        <v>46013</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35163-2025</t>
        </is>
      </c>
      <c r="B42" s="1" t="n">
        <v>45852.71136574074</v>
      </c>
      <c r="C42" s="1" t="n">
        <v>46013</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55700-2025</t>
        </is>
      </c>
      <c r="B43" s="1" t="n">
        <v>45972.45605324074</v>
      </c>
      <c r="C43" s="1" t="n">
        <v>46013</v>
      </c>
      <c r="D43" t="inlineStr">
        <is>
          <t>SÖDERMANLANDS LÄN</t>
        </is>
      </c>
      <c r="E43" t="inlineStr">
        <is>
          <t>KATRINEHOLM</t>
        </is>
      </c>
      <c r="F43" t="inlineStr">
        <is>
          <t>Kyrkan</t>
        </is>
      </c>
      <c r="G43" t="n">
        <v>6</v>
      </c>
      <c r="H43" t="n">
        <v>0</v>
      </c>
      <c r="I43" t="n">
        <v>0</v>
      </c>
      <c r="J43" t="n">
        <v>0</v>
      </c>
      <c r="K43" t="n">
        <v>1</v>
      </c>
      <c r="L43" t="n">
        <v>0</v>
      </c>
      <c r="M43" t="n">
        <v>0</v>
      </c>
      <c r="N43" t="n">
        <v>0</v>
      </c>
      <c r="O43" t="n">
        <v>1</v>
      </c>
      <c r="P43" t="n">
        <v>1</v>
      </c>
      <c r="Q43" t="n">
        <v>1</v>
      </c>
      <c r="R43" s="2" t="inlineStr">
        <is>
          <t>Ljungsnärja</t>
        </is>
      </c>
      <c r="S43">
        <f>HYPERLINK("https://klasma.github.io/Logging_0483/artfynd/A 55700-2025 artfynd.xlsx", "A 55700-2025")</f>
        <v/>
      </c>
      <c r="T43">
        <f>HYPERLINK("https://klasma.github.io/Logging_0483/kartor/A 55700-2025 karta.png", "A 55700-2025")</f>
        <v/>
      </c>
      <c r="V43">
        <f>HYPERLINK("https://klasma.github.io/Logging_0483/klagomål/A 55700-2025 FSC-klagomål.docx", "A 55700-2025")</f>
        <v/>
      </c>
      <c r="W43">
        <f>HYPERLINK("https://klasma.github.io/Logging_0483/klagomålsmail/A 55700-2025 FSC-klagomål mail.docx", "A 55700-2025")</f>
        <v/>
      </c>
      <c r="X43">
        <f>HYPERLINK("https://klasma.github.io/Logging_0483/tillsyn/A 55700-2025 tillsynsbegäran.docx", "A 55700-2025")</f>
        <v/>
      </c>
      <c r="Y43">
        <f>HYPERLINK("https://klasma.github.io/Logging_0483/tillsynsmail/A 55700-2025 tillsynsbegäran mail.docx", "A 55700-2025")</f>
        <v/>
      </c>
    </row>
    <row r="44" ht="15" customHeight="1">
      <c r="A44" t="inlineStr">
        <is>
          <t>A 57519-2021</t>
        </is>
      </c>
      <c r="B44" s="1" t="n">
        <v>44483</v>
      </c>
      <c r="C44" s="1" t="n">
        <v>46013</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44486-2023</t>
        </is>
      </c>
      <c r="B45" s="1" t="n">
        <v>45183</v>
      </c>
      <c r="C45" s="1" t="n">
        <v>46013</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48199-2025</t>
        </is>
      </c>
      <c r="B46" s="1" t="n">
        <v>45933.47856481482</v>
      </c>
      <c r="C46" s="1" t="n">
        <v>46013</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44632-2023</t>
        </is>
      </c>
      <c r="B47" s="1" t="n">
        <v>45184</v>
      </c>
      <c r="C47" s="1" t="n">
        <v>46013</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33801-2023</t>
        </is>
      </c>
      <c r="B48" s="1" t="n">
        <v>45133</v>
      </c>
      <c r="C48" s="1" t="n">
        <v>46013</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46013</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46013</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62957-2025</t>
        </is>
      </c>
      <c r="B51" s="1" t="n">
        <v>46009</v>
      </c>
      <c r="C51" s="1" t="n">
        <v>46013</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7305-2024</t>
        </is>
      </c>
      <c r="B52" s="1" t="n">
        <v>45344</v>
      </c>
      <c r="C52" s="1" t="n">
        <v>46013</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53990-2023</t>
        </is>
      </c>
      <c r="B53" s="1" t="n">
        <v>45231</v>
      </c>
      <c r="C53" s="1" t="n">
        <v>46013</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46013</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46013</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46013</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46013</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46013</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46013</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46013</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46013</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46013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46013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46013</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46013</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48166-2022</t>
        </is>
      </c>
      <c r="B66" s="1" t="n">
        <v>44853</v>
      </c>
      <c r="C66" s="1" t="n">
        <v>46013</v>
      </c>
      <c r="D66" t="inlineStr">
        <is>
          <t>SÖDERMANLANDS LÄN</t>
        </is>
      </c>
      <c r="E66" t="inlineStr">
        <is>
          <t>KATRINEHOLM</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46013</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17668-2021</t>
        </is>
      </c>
      <c r="B68" s="1" t="n">
        <v>44299</v>
      </c>
      <c r="C68" s="1" t="n">
        <v>46013</v>
      </c>
      <c r="D68" t="inlineStr">
        <is>
          <t>SÖDERMANLANDS LÄN</t>
        </is>
      </c>
      <c r="E68" t="inlineStr">
        <is>
          <t>KATRINEHOLM</t>
        </is>
      </c>
      <c r="G68" t="n">
        <v>1.5</v>
      </c>
      <c r="H68" t="n">
        <v>0</v>
      </c>
      <c r="I68" t="n">
        <v>0</v>
      </c>
      <c r="J68" t="n">
        <v>0</v>
      </c>
      <c r="K68" t="n">
        <v>0</v>
      </c>
      <c r="L68" t="n">
        <v>0</v>
      </c>
      <c r="M68" t="n">
        <v>0</v>
      </c>
      <c r="N68" t="n">
        <v>0</v>
      </c>
      <c r="O68" t="n">
        <v>0</v>
      </c>
      <c r="P68" t="n">
        <v>0</v>
      </c>
      <c r="Q68" t="n">
        <v>0</v>
      </c>
      <c r="R68" s="2" t="inlineStr"/>
    </row>
    <row r="69" ht="15" customHeight="1">
      <c r="A69" t="inlineStr">
        <is>
          <t>A 17711-2021</t>
        </is>
      </c>
      <c r="B69" s="1" t="n">
        <v>44299</v>
      </c>
      <c r="C69" s="1" t="n">
        <v>46013</v>
      </c>
      <c r="D69" t="inlineStr">
        <is>
          <t>SÖDERMANLANDS LÄN</t>
        </is>
      </c>
      <c r="E69" t="inlineStr">
        <is>
          <t>KATRINEHOLM</t>
        </is>
      </c>
      <c r="G69" t="n">
        <v>3.9</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46013</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46013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46013</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46013</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46013</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46013</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46013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46013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46013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46013</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46013</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46013</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11893-2021</t>
        </is>
      </c>
      <c r="B82" s="1" t="n">
        <v>44265</v>
      </c>
      <c r="C82" s="1" t="n">
        <v>46013</v>
      </c>
      <c r="D82" t="inlineStr">
        <is>
          <t>SÖDERMANLANDS LÄN</t>
        </is>
      </c>
      <c r="E82" t="inlineStr">
        <is>
          <t>KATRINEHOLM</t>
        </is>
      </c>
      <c r="G82" t="n">
        <v>7.1</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46013</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46013</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46013</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46013</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46013</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46013</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46013</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46013</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46013</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46013</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46013</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46013</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46013</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46013</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46013</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46013</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46013</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46013</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46013</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46013</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46013</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46013</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46013</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46013</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46013</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46013</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46013</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46013</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46013</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46013</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46013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46013</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46013</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46013</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46013</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46013</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46013</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46013</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46013</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46013</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46013</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46013</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46013</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46013</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46013</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46013</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46013</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46013</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46013</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46013</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46013</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46013</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46013</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46013</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46013</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46013</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46013</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46013</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46013</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46013</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46013</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46013</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46013</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46013</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46013</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46013</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46013</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46013</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46013</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46013</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46013</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46013</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46013</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46013</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46013</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46013</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46013</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46013</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46013</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46013</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46013</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46013</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46013</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46013</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46013</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46013</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46013</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46013</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46013</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46013</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46013</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46013</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46013</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46013</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46013</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46013</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46013</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46013</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46013</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46013</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46013</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46013</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46013</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46013</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46013</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46013</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46013</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46013</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46013</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46013</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46013</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46013</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46013</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46013</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46013</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7705-2021</t>
        </is>
      </c>
      <c r="B198" s="1" t="n">
        <v>44242</v>
      </c>
      <c r="C198" s="1" t="n">
        <v>46013</v>
      </c>
      <c r="D198" t="inlineStr">
        <is>
          <t>SÖDERMANLANDS LÄN</t>
        </is>
      </c>
      <c r="E198" t="inlineStr">
        <is>
          <t>KATRINEHOLM</t>
        </is>
      </c>
      <c r="F198" t="inlineStr">
        <is>
          <t>Allmännings- och besparingsskogar</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35188-2022</t>
        </is>
      </c>
      <c r="B199" s="1" t="n">
        <v>44797</v>
      </c>
      <c r="C199" s="1" t="n">
        <v>46013</v>
      </c>
      <c r="D199" t="inlineStr">
        <is>
          <t>SÖDERMANLANDS LÄN</t>
        </is>
      </c>
      <c r="E199" t="inlineStr">
        <is>
          <t>KATRINEHOLM</t>
        </is>
      </c>
      <c r="G199" t="n">
        <v>3</v>
      </c>
      <c r="H199" t="n">
        <v>0</v>
      </c>
      <c r="I199" t="n">
        <v>0</v>
      </c>
      <c r="J199" t="n">
        <v>0</v>
      </c>
      <c r="K199" t="n">
        <v>0</v>
      </c>
      <c r="L199" t="n">
        <v>0</v>
      </c>
      <c r="M199" t="n">
        <v>0</v>
      </c>
      <c r="N199" t="n">
        <v>0</v>
      </c>
      <c r="O199" t="n">
        <v>0</v>
      </c>
      <c r="P199" t="n">
        <v>0</v>
      </c>
      <c r="Q199" t="n">
        <v>0</v>
      </c>
      <c r="R199" s="2" t="inlineStr"/>
    </row>
    <row r="200" ht="15" customHeight="1">
      <c r="A200" t="inlineStr">
        <is>
          <t>A 58473-2021</t>
        </is>
      </c>
      <c r="B200" s="1" t="n">
        <v>44488</v>
      </c>
      <c r="C200" s="1" t="n">
        <v>46013</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46569-2022</t>
        </is>
      </c>
      <c r="B201" s="1" t="n">
        <v>44847</v>
      </c>
      <c r="C201" s="1" t="n">
        <v>46013</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46013</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46013</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41966-2023</t>
        </is>
      </c>
      <c r="B204" s="1" t="n">
        <v>45177</v>
      </c>
      <c r="C204" s="1" t="n">
        <v>46013</v>
      </c>
      <c r="D204" t="inlineStr">
        <is>
          <t>SÖDERMANLANDS LÄN</t>
        </is>
      </c>
      <c r="E204" t="inlineStr">
        <is>
          <t>KATRINEHOLM</t>
        </is>
      </c>
      <c r="G204" t="n">
        <v>36.9</v>
      </c>
      <c r="H204" t="n">
        <v>0</v>
      </c>
      <c r="I204" t="n">
        <v>0</v>
      </c>
      <c r="J204" t="n">
        <v>0</v>
      </c>
      <c r="K204" t="n">
        <v>0</v>
      </c>
      <c r="L204" t="n">
        <v>0</v>
      </c>
      <c r="M204" t="n">
        <v>0</v>
      </c>
      <c r="N204" t="n">
        <v>0</v>
      </c>
      <c r="O204" t="n">
        <v>0</v>
      </c>
      <c r="P204" t="n">
        <v>0</v>
      </c>
      <c r="Q204" t="n">
        <v>0</v>
      </c>
      <c r="R204" s="2" t="inlineStr"/>
    </row>
    <row r="205" ht="15" customHeight="1">
      <c r="A205" t="inlineStr">
        <is>
          <t>A 33538-2022</t>
        </is>
      </c>
      <c r="B205" s="1" t="n">
        <v>44789</v>
      </c>
      <c r="C205" s="1" t="n">
        <v>46013</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36210-2022</t>
        </is>
      </c>
      <c r="B206" s="1" t="n">
        <v>44803.47950231482</v>
      </c>
      <c r="C206" s="1" t="n">
        <v>46013</v>
      </c>
      <c r="D206" t="inlineStr">
        <is>
          <t>SÖDERMANLANDS LÄN</t>
        </is>
      </c>
      <c r="E206" t="inlineStr">
        <is>
          <t>KATRINEHOLM</t>
        </is>
      </c>
      <c r="G206" t="n">
        <v>1.6</v>
      </c>
      <c r="H206" t="n">
        <v>0</v>
      </c>
      <c r="I206" t="n">
        <v>0</v>
      </c>
      <c r="J206" t="n">
        <v>0</v>
      </c>
      <c r="K206" t="n">
        <v>0</v>
      </c>
      <c r="L206" t="n">
        <v>0</v>
      </c>
      <c r="M206" t="n">
        <v>0</v>
      </c>
      <c r="N206" t="n">
        <v>0</v>
      </c>
      <c r="O206" t="n">
        <v>0</v>
      </c>
      <c r="P206" t="n">
        <v>0</v>
      </c>
      <c r="Q206" t="n">
        <v>0</v>
      </c>
      <c r="R206" s="2" t="inlineStr"/>
    </row>
    <row r="207" ht="15" customHeight="1">
      <c r="A207" t="inlineStr">
        <is>
          <t>A 20949-2021</t>
        </is>
      </c>
      <c r="B207" s="1" t="n">
        <v>44319</v>
      </c>
      <c r="C207" s="1" t="n">
        <v>46013</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46013</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46013</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46013</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9693-2024</t>
        </is>
      </c>
      <c r="B211" s="1" t="n">
        <v>45362</v>
      </c>
      <c r="C211" s="1" t="n">
        <v>46013</v>
      </c>
      <c r="D211" t="inlineStr">
        <is>
          <t>SÖDERMANLANDS LÄN</t>
        </is>
      </c>
      <c r="E211" t="inlineStr">
        <is>
          <t>KATRINEHOLM</t>
        </is>
      </c>
      <c r="G211" t="n">
        <v>5.9</v>
      </c>
      <c r="H211" t="n">
        <v>0</v>
      </c>
      <c r="I211" t="n">
        <v>0</v>
      </c>
      <c r="J211" t="n">
        <v>0</v>
      </c>
      <c r="K211" t="n">
        <v>0</v>
      </c>
      <c r="L211" t="n">
        <v>0</v>
      </c>
      <c r="M211" t="n">
        <v>0</v>
      </c>
      <c r="N211" t="n">
        <v>0</v>
      </c>
      <c r="O211" t="n">
        <v>0</v>
      </c>
      <c r="P211" t="n">
        <v>0</v>
      </c>
      <c r="Q211" t="n">
        <v>0</v>
      </c>
      <c r="R211" s="2" t="inlineStr"/>
    </row>
    <row r="212" ht="15" customHeight="1">
      <c r="A212" t="inlineStr">
        <is>
          <t>A 43964-2022</t>
        </is>
      </c>
      <c r="B212" s="1" t="n">
        <v>44837</v>
      </c>
      <c r="C212" s="1" t="n">
        <v>46013</v>
      </c>
      <c r="D212" t="inlineStr">
        <is>
          <t>SÖDERMANLANDS LÄN</t>
        </is>
      </c>
      <c r="E212" t="inlineStr">
        <is>
          <t>KATRINEHOLM</t>
        </is>
      </c>
      <c r="G212" t="n">
        <v>3.6</v>
      </c>
      <c r="H212" t="n">
        <v>0</v>
      </c>
      <c r="I212" t="n">
        <v>0</v>
      </c>
      <c r="J212" t="n">
        <v>0</v>
      </c>
      <c r="K212" t="n">
        <v>0</v>
      </c>
      <c r="L212" t="n">
        <v>0</v>
      </c>
      <c r="M212" t="n">
        <v>0</v>
      </c>
      <c r="N212" t="n">
        <v>0</v>
      </c>
      <c r="O212" t="n">
        <v>0</v>
      </c>
      <c r="P212" t="n">
        <v>0</v>
      </c>
      <c r="Q212" t="n">
        <v>0</v>
      </c>
      <c r="R212" s="2" t="inlineStr"/>
    </row>
    <row r="213" ht="15" customHeight="1">
      <c r="A213" t="inlineStr">
        <is>
          <t>A 20460-2025</t>
        </is>
      </c>
      <c r="B213" s="1" t="n">
        <v>45775.52854166667</v>
      </c>
      <c r="C213" s="1" t="n">
        <v>46013</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42015-2022</t>
        </is>
      </c>
      <c r="B214" s="1" t="n">
        <v>44830.4649074074</v>
      </c>
      <c r="C214" s="1" t="n">
        <v>46013</v>
      </c>
      <c r="D214" t="inlineStr">
        <is>
          <t>SÖDERMANLANDS LÄN</t>
        </is>
      </c>
      <c r="E214" t="inlineStr">
        <is>
          <t>KATRINEHOLM</t>
        </is>
      </c>
      <c r="G214" t="n">
        <v>3.8</v>
      </c>
      <c r="H214" t="n">
        <v>0</v>
      </c>
      <c r="I214" t="n">
        <v>0</v>
      </c>
      <c r="J214" t="n">
        <v>0</v>
      </c>
      <c r="K214" t="n">
        <v>0</v>
      </c>
      <c r="L214" t="n">
        <v>0</v>
      </c>
      <c r="M214" t="n">
        <v>0</v>
      </c>
      <c r="N214" t="n">
        <v>0</v>
      </c>
      <c r="O214" t="n">
        <v>0</v>
      </c>
      <c r="P214" t="n">
        <v>0</v>
      </c>
      <c r="Q214" t="n">
        <v>0</v>
      </c>
      <c r="R214" s="2" t="inlineStr"/>
    </row>
    <row r="215" ht="15" customHeight="1">
      <c r="A215" t="inlineStr">
        <is>
          <t>A 42020-2022</t>
        </is>
      </c>
      <c r="B215" s="1" t="n">
        <v>44830.46849537037</v>
      </c>
      <c r="C215" s="1" t="n">
        <v>46013</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55846-2022</t>
        </is>
      </c>
      <c r="B216" s="1" t="n">
        <v>44888</v>
      </c>
      <c r="C216" s="1" t="n">
        <v>46013</v>
      </c>
      <c r="D216" t="inlineStr">
        <is>
          <t>SÖDERMANLANDS LÄN</t>
        </is>
      </c>
      <c r="E216" t="inlineStr">
        <is>
          <t>KATRINEHOLM</t>
        </is>
      </c>
      <c r="G216" t="n">
        <v>6.5</v>
      </c>
      <c r="H216" t="n">
        <v>0</v>
      </c>
      <c r="I216" t="n">
        <v>0</v>
      </c>
      <c r="J216" t="n">
        <v>0</v>
      </c>
      <c r="K216" t="n">
        <v>0</v>
      </c>
      <c r="L216" t="n">
        <v>0</v>
      </c>
      <c r="M216" t="n">
        <v>0</v>
      </c>
      <c r="N216" t="n">
        <v>0</v>
      </c>
      <c r="O216" t="n">
        <v>0</v>
      </c>
      <c r="P216" t="n">
        <v>0</v>
      </c>
      <c r="Q216" t="n">
        <v>0</v>
      </c>
      <c r="R216" s="2" t="inlineStr"/>
    </row>
    <row r="217" ht="15" customHeight="1">
      <c r="A217" t="inlineStr">
        <is>
          <t>A 53722-2023</t>
        </is>
      </c>
      <c r="B217" s="1" t="n">
        <v>45230</v>
      </c>
      <c r="C217" s="1" t="n">
        <v>46013</v>
      </c>
      <c r="D217" t="inlineStr">
        <is>
          <t>SÖDERMANLANDS LÄN</t>
        </is>
      </c>
      <c r="E217" t="inlineStr">
        <is>
          <t>KATRINEHOLM</t>
        </is>
      </c>
      <c r="F217" t="inlineStr">
        <is>
          <t>Allmännings- och besparingsskogar</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48520-2023</t>
        </is>
      </c>
      <c r="B218" s="1" t="n">
        <v>45208</v>
      </c>
      <c r="C218" s="1" t="n">
        <v>46013</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56661-2021</t>
        </is>
      </c>
      <c r="B219" s="1" t="n">
        <v>44481.24327546296</v>
      </c>
      <c r="C219" s="1" t="n">
        <v>46013</v>
      </c>
      <c r="D219" t="inlineStr">
        <is>
          <t>SÖDERMANLANDS LÄN</t>
        </is>
      </c>
      <c r="E219" t="inlineStr">
        <is>
          <t>KATRINEHOLM</t>
        </is>
      </c>
      <c r="G219" t="n">
        <v>5.8</v>
      </c>
      <c r="H219" t="n">
        <v>0</v>
      </c>
      <c r="I219" t="n">
        <v>0</v>
      </c>
      <c r="J219" t="n">
        <v>0</v>
      </c>
      <c r="K219" t="n">
        <v>0</v>
      </c>
      <c r="L219" t="n">
        <v>0</v>
      </c>
      <c r="M219" t="n">
        <v>0</v>
      </c>
      <c r="N219" t="n">
        <v>0</v>
      </c>
      <c r="O219" t="n">
        <v>0</v>
      </c>
      <c r="P219" t="n">
        <v>0</v>
      </c>
      <c r="Q219" t="n">
        <v>0</v>
      </c>
      <c r="R219" s="2" t="inlineStr"/>
    </row>
    <row r="220" ht="15" customHeight="1">
      <c r="A220" t="inlineStr">
        <is>
          <t>A 55863-2022</t>
        </is>
      </c>
      <c r="B220" s="1" t="n">
        <v>44888</v>
      </c>
      <c r="C220" s="1" t="n">
        <v>46013</v>
      </c>
      <c r="D220" t="inlineStr">
        <is>
          <t>SÖDERMANLANDS LÄN</t>
        </is>
      </c>
      <c r="E220" t="inlineStr">
        <is>
          <t>KATRINEHOLM</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55865-2022</t>
        </is>
      </c>
      <c r="B221" s="1" t="n">
        <v>44888</v>
      </c>
      <c r="C221" s="1" t="n">
        <v>46013</v>
      </c>
      <c r="D221" t="inlineStr">
        <is>
          <t>SÖDERMANLANDS LÄN</t>
        </is>
      </c>
      <c r="E221" t="inlineStr">
        <is>
          <t>KATRINEHOLM</t>
        </is>
      </c>
      <c r="G221" t="n">
        <v>9.1</v>
      </c>
      <c r="H221" t="n">
        <v>0</v>
      </c>
      <c r="I221" t="n">
        <v>0</v>
      </c>
      <c r="J221" t="n">
        <v>0</v>
      </c>
      <c r="K221" t="n">
        <v>0</v>
      </c>
      <c r="L221" t="n">
        <v>0</v>
      </c>
      <c r="M221" t="n">
        <v>0</v>
      </c>
      <c r="N221" t="n">
        <v>0</v>
      </c>
      <c r="O221" t="n">
        <v>0</v>
      </c>
      <c r="P221" t="n">
        <v>0</v>
      </c>
      <c r="Q221" t="n">
        <v>0</v>
      </c>
      <c r="R221" s="2" t="inlineStr"/>
    </row>
    <row r="222" ht="15" customHeight="1">
      <c r="A222" t="inlineStr">
        <is>
          <t>A 28394-2023</t>
        </is>
      </c>
      <c r="B222" s="1" t="n">
        <v>45100</v>
      </c>
      <c r="C222" s="1" t="n">
        <v>46013</v>
      </c>
      <c r="D222" t="inlineStr">
        <is>
          <t>SÖDERMANLANDS LÄN</t>
        </is>
      </c>
      <c r="E222" t="inlineStr">
        <is>
          <t>KATRINEHOLM</t>
        </is>
      </c>
      <c r="G222" t="n">
        <v>4.2</v>
      </c>
      <c r="H222" t="n">
        <v>0</v>
      </c>
      <c r="I222" t="n">
        <v>0</v>
      </c>
      <c r="J222" t="n">
        <v>0</v>
      </c>
      <c r="K222" t="n">
        <v>0</v>
      </c>
      <c r="L222" t="n">
        <v>0</v>
      </c>
      <c r="M222" t="n">
        <v>0</v>
      </c>
      <c r="N222" t="n">
        <v>0</v>
      </c>
      <c r="O222" t="n">
        <v>0</v>
      </c>
      <c r="P222" t="n">
        <v>0</v>
      </c>
      <c r="Q222" t="n">
        <v>0</v>
      </c>
      <c r="R222" s="2" t="inlineStr"/>
    </row>
    <row r="223" ht="15" customHeight="1">
      <c r="A223" t="inlineStr">
        <is>
          <t>A 4122-2023</t>
        </is>
      </c>
      <c r="B223" s="1" t="n">
        <v>44952</v>
      </c>
      <c r="C223" s="1" t="n">
        <v>46013</v>
      </c>
      <c r="D223" t="inlineStr">
        <is>
          <t>SÖDERMANLANDS LÄN</t>
        </is>
      </c>
      <c r="E223" t="inlineStr">
        <is>
          <t>KATRINEHOLM</t>
        </is>
      </c>
      <c r="G223" t="n">
        <v>9</v>
      </c>
      <c r="H223" t="n">
        <v>0</v>
      </c>
      <c r="I223" t="n">
        <v>0</v>
      </c>
      <c r="J223" t="n">
        <v>0</v>
      </c>
      <c r="K223" t="n">
        <v>0</v>
      </c>
      <c r="L223" t="n">
        <v>0</v>
      </c>
      <c r="M223" t="n">
        <v>0</v>
      </c>
      <c r="N223" t="n">
        <v>0</v>
      </c>
      <c r="O223" t="n">
        <v>0</v>
      </c>
      <c r="P223" t="n">
        <v>0</v>
      </c>
      <c r="Q223" t="n">
        <v>0</v>
      </c>
      <c r="R223" s="2" t="inlineStr"/>
    </row>
    <row r="224" ht="15" customHeight="1">
      <c r="A224" t="inlineStr">
        <is>
          <t>A 55795-2023</t>
        </is>
      </c>
      <c r="B224" s="1" t="n">
        <v>45239.54861111111</v>
      </c>
      <c r="C224" s="1" t="n">
        <v>46013</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29502-2023</t>
        </is>
      </c>
      <c r="B225" s="1" t="n">
        <v>45106</v>
      </c>
      <c r="C225" s="1" t="n">
        <v>46013</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24284-2024</t>
        </is>
      </c>
      <c r="B226" s="1" t="n">
        <v>45457</v>
      </c>
      <c r="C226" s="1" t="n">
        <v>46013</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42111-2022</t>
        </is>
      </c>
      <c r="B227" s="1" t="n">
        <v>44830</v>
      </c>
      <c r="C227" s="1" t="n">
        <v>46013</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33712-2022</t>
        </is>
      </c>
      <c r="B228" s="1" t="n">
        <v>44789</v>
      </c>
      <c r="C228" s="1" t="n">
        <v>46013</v>
      </c>
      <c r="D228" t="inlineStr">
        <is>
          <t>SÖDERMANLANDS LÄN</t>
        </is>
      </c>
      <c r="E228" t="inlineStr">
        <is>
          <t>KATRINEHOLM</t>
        </is>
      </c>
      <c r="G228" t="n">
        <v>4.3</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46013</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33717-2022</t>
        </is>
      </c>
      <c r="B230" s="1" t="n">
        <v>44789</v>
      </c>
      <c r="C230" s="1" t="n">
        <v>46013</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36767-2022</t>
        </is>
      </c>
      <c r="B231" s="1" t="n">
        <v>44805</v>
      </c>
      <c r="C231" s="1" t="n">
        <v>46013</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55122-2022</t>
        </is>
      </c>
      <c r="B232" s="1" t="n">
        <v>44886.65092592593</v>
      </c>
      <c r="C232" s="1" t="n">
        <v>46013</v>
      </c>
      <c r="D232" t="inlineStr">
        <is>
          <t>SÖDERMANLANDS LÄN</t>
        </is>
      </c>
      <c r="E232" t="inlineStr">
        <is>
          <t>KATRINEHOLM</t>
        </is>
      </c>
      <c r="G232" t="n">
        <v>6.5</v>
      </c>
      <c r="H232" t="n">
        <v>0</v>
      </c>
      <c r="I232" t="n">
        <v>0</v>
      </c>
      <c r="J232" t="n">
        <v>0</v>
      </c>
      <c r="K232" t="n">
        <v>0</v>
      </c>
      <c r="L232" t="n">
        <v>0</v>
      </c>
      <c r="M232" t="n">
        <v>0</v>
      </c>
      <c r="N232" t="n">
        <v>0</v>
      </c>
      <c r="O232" t="n">
        <v>0</v>
      </c>
      <c r="P232" t="n">
        <v>0</v>
      </c>
      <c r="Q232" t="n">
        <v>0</v>
      </c>
      <c r="R232" s="2" t="inlineStr"/>
    </row>
    <row r="233" ht="15" customHeight="1">
      <c r="A233" t="inlineStr">
        <is>
          <t>A 17746-2024</t>
        </is>
      </c>
      <c r="B233" s="1" t="n">
        <v>45415</v>
      </c>
      <c r="C233" s="1" t="n">
        <v>46013</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33752-2023</t>
        </is>
      </c>
      <c r="B234" s="1" t="n">
        <v>45120</v>
      </c>
      <c r="C234" s="1" t="n">
        <v>46013</v>
      </c>
      <c r="D234" t="inlineStr">
        <is>
          <t>SÖDERMANLANDS LÄN</t>
        </is>
      </c>
      <c r="E234" t="inlineStr">
        <is>
          <t>KATRINEHOLM</t>
        </is>
      </c>
      <c r="G234" t="n">
        <v>1</v>
      </c>
      <c r="H234" t="n">
        <v>0</v>
      </c>
      <c r="I234" t="n">
        <v>0</v>
      </c>
      <c r="J234" t="n">
        <v>0</v>
      </c>
      <c r="K234" t="n">
        <v>0</v>
      </c>
      <c r="L234" t="n">
        <v>0</v>
      </c>
      <c r="M234" t="n">
        <v>0</v>
      </c>
      <c r="N234" t="n">
        <v>0</v>
      </c>
      <c r="O234" t="n">
        <v>0</v>
      </c>
      <c r="P234" t="n">
        <v>0</v>
      </c>
      <c r="Q234" t="n">
        <v>0</v>
      </c>
      <c r="R234" s="2" t="inlineStr"/>
    </row>
    <row r="235" ht="15" customHeight="1">
      <c r="A235" t="inlineStr">
        <is>
          <t>A 45376-2022</t>
        </is>
      </c>
      <c r="B235" s="1" t="n">
        <v>44844</v>
      </c>
      <c r="C235" s="1" t="n">
        <v>46013</v>
      </c>
      <c r="D235" t="inlineStr">
        <is>
          <t>SÖDERMANLANDS LÄN</t>
        </is>
      </c>
      <c r="E235" t="inlineStr">
        <is>
          <t>KATRINEHOLM</t>
        </is>
      </c>
      <c r="G235" t="n">
        <v>4.7</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46013</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3980-2024</t>
        </is>
      </c>
      <c r="B237" s="1" t="n">
        <v>45322</v>
      </c>
      <c r="C237" s="1" t="n">
        <v>46013</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64713-2023</t>
        </is>
      </c>
      <c r="B238" s="1" t="n">
        <v>45281</v>
      </c>
      <c r="C238" s="1" t="n">
        <v>46013</v>
      </c>
      <c r="D238" t="inlineStr">
        <is>
          <t>SÖDERMANLANDS LÄN</t>
        </is>
      </c>
      <c r="E238" t="inlineStr">
        <is>
          <t>KATRINEHOLM</t>
        </is>
      </c>
      <c r="G238" t="n">
        <v>4.9</v>
      </c>
      <c r="H238" t="n">
        <v>0</v>
      </c>
      <c r="I238" t="n">
        <v>0</v>
      </c>
      <c r="J238" t="n">
        <v>0</v>
      </c>
      <c r="K238" t="n">
        <v>0</v>
      </c>
      <c r="L238" t="n">
        <v>0</v>
      </c>
      <c r="M238" t="n">
        <v>0</v>
      </c>
      <c r="N238" t="n">
        <v>0</v>
      </c>
      <c r="O238" t="n">
        <v>0</v>
      </c>
      <c r="P238" t="n">
        <v>0</v>
      </c>
      <c r="Q238" t="n">
        <v>0</v>
      </c>
      <c r="R238" s="2" t="inlineStr"/>
    </row>
    <row r="239" ht="15" customHeight="1">
      <c r="A239" t="inlineStr">
        <is>
          <t>A 64605-2023</t>
        </is>
      </c>
      <c r="B239" s="1" t="n">
        <v>45281</v>
      </c>
      <c r="C239" s="1" t="n">
        <v>46013</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60677-2021</t>
        </is>
      </c>
      <c r="B240" s="1" t="n">
        <v>44495</v>
      </c>
      <c r="C240" s="1" t="n">
        <v>46013</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43088-2022</t>
        </is>
      </c>
      <c r="B241" s="1" t="n">
        <v>44833</v>
      </c>
      <c r="C241" s="1" t="n">
        <v>46013</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24179-2024</t>
        </is>
      </c>
      <c r="B242" s="1" t="n">
        <v>45456.83059027778</v>
      </c>
      <c r="C242" s="1" t="n">
        <v>46013</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46013</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51264-2021</t>
        </is>
      </c>
      <c r="B244" s="1" t="n">
        <v>44461</v>
      </c>
      <c r="C244" s="1" t="n">
        <v>46013</v>
      </c>
      <c r="D244" t="inlineStr">
        <is>
          <t>SÖDERMANLANDS LÄN</t>
        </is>
      </c>
      <c r="E244" t="inlineStr">
        <is>
          <t>KATRINEHOLM</t>
        </is>
      </c>
      <c r="G244" t="n">
        <v>3.1</v>
      </c>
      <c r="H244" t="n">
        <v>0</v>
      </c>
      <c r="I244" t="n">
        <v>0</v>
      </c>
      <c r="J244" t="n">
        <v>0</v>
      </c>
      <c r="K244" t="n">
        <v>0</v>
      </c>
      <c r="L244" t="n">
        <v>0</v>
      </c>
      <c r="M244" t="n">
        <v>0</v>
      </c>
      <c r="N244" t="n">
        <v>0</v>
      </c>
      <c r="O244" t="n">
        <v>0</v>
      </c>
      <c r="P244" t="n">
        <v>0</v>
      </c>
      <c r="Q244" t="n">
        <v>0</v>
      </c>
      <c r="R244" s="2" t="inlineStr"/>
    </row>
    <row r="245" ht="15" customHeight="1">
      <c r="A245" t="inlineStr">
        <is>
          <t>A 26081-2024</t>
        </is>
      </c>
      <c r="B245" s="1" t="n">
        <v>45462</v>
      </c>
      <c r="C245" s="1" t="n">
        <v>46013</v>
      </c>
      <c r="D245" t="inlineStr">
        <is>
          <t>SÖDERMANLANDS LÄN</t>
        </is>
      </c>
      <c r="E245" t="inlineStr">
        <is>
          <t>KATRINEHOLM</t>
        </is>
      </c>
      <c r="G245" t="n">
        <v>4.1</v>
      </c>
      <c r="H245" t="n">
        <v>0</v>
      </c>
      <c r="I245" t="n">
        <v>0</v>
      </c>
      <c r="J245" t="n">
        <v>0</v>
      </c>
      <c r="K245" t="n">
        <v>0</v>
      </c>
      <c r="L245" t="n">
        <v>0</v>
      </c>
      <c r="M245" t="n">
        <v>0</v>
      </c>
      <c r="N245" t="n">
        <v>0</v>
      </c>
      <c r="O245" t="n">
        <v>0</v>
      </c>
      <c r="P245" t="n">
        <v>0</v>
      </c>
      <c r="Q245" t="n">
        <v>0</v>
      </c>
      <c r="R245" s="2" t="inlineStr"/>
    </row>
    <row r="246" ht="15" customHeight="1">
      <c r="A246" t="inlineStr">
        <is>
          <t>A 30242-2023</t>
        </is>
      </c>
      <c r="B246" s="1" t="n">
        <v>45099</v>
      </c>
      <c r="C246" s="1" t="n">
        <v>46013</v>
      </c>
      <c r="D246" t="inlineStr">
        <is>
          <t>SÖDERMANLANDS LÄN</t>
        </is>
      </c>
      <c r="E246" t="inlineStr">
        <is>
          <t>KATRINEHOLM</t>
        </is>
      </c>
      <c r="G246" t="n">
        <v>3</v>
      </c>
      <c r="H246" t="n">
        <v>0</v>
      </c>
      <c r="I246" t="n">
        <v>0</v>
      </c>
      <c r="J246" t="n">
        <v>0</v>
      </c>
      <c r="K246" t="n">
        <v>0</v>
      </c>
      <c r="L246" t="n">
        <v>0</v>
      </c>
      <c r="M246" t="n">
        <v>0</v>
      </c>
      <c r="N246" t="n">
        <v>0</v>
      </c>
      <c r="O246" t="n">
        <v>0</v>
      </c>
      <c r="P246" t="n">
        <v>0</v>
      </c>
      <c r="Q246" t="n">
        <v>0</v>
      </c>
      <c r="R246" s="2" t="inlineStr"/>
    </row>
    <row r="247" ht="15" customHeight="1">
      <c r="A247" t="inlineStr">
        <is>
          <t>A 35228-2025</t>
        </is>
      </c>
      <c r="B247" s="1" t="n">
        <v>45853</v>
      </c>
      <c r="C247" s="1" t="n">
        <v>46013</v>
      </c>
      <c r="D247" t="inlineStr">
        <is>
          <t>SÖDERMANLANDS LÄN</t>
        </is>
      </c>
      <c r="E247" t="inlineStr">
        <is>
          <t>KATRINEHOLM</t>
        </is>
      </c>
      <c r="G247" t="n">
        <v>1.1</v>
      </c>
      <c r="H247" t="n">
        <v>0</v>
      </c>
      <c r="I247" t="n">
        <v>0</v>
      </c>
      <c r="J247" t="n">
        <v>0</v>
      </c>
      <c r="K247" t="n">
        <v>0</v>
      </c>
      <c r="L247" t="n">
        <v>0</v>
      </c>
      <c r="M247" t="n">
        <v>0</v>
      </c>
      <c r="N247" t="n">
        <v>0</v>
      </c>
      <c r="O247" t="n">
        <v>0</v>
      </c>
      <c r="P247" t="n">
        <v>0</v>
      </c>
      <c r="Q247" t="n">
        <v>0</v>
      </c>
      <c r="R247" s="2" t="inlineStr"/>
    </row>
    <row r="248" ht="15" customHeight="1">
      <c r="A248" t="inlineStr">
        <is>
          <t>A 69117-2021</t>
        </is>
      </c>
      <c r="B248" s="1" t="n">
        <v>44530.82445601852</v>
      </c>
      <c r="C248" s="1" t="n">
        <v>46013</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2603-2025</t>
        </is>
      </c>
      <c r="B249" s="1" t="n">
        <v>45674</v>
      </c>
      <c r="C249" s="1" t="n">
        <v>46013</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38308-2021</t>
        </is>
      </c>
      <c r="B250" s="1" t="n">
        <v>44406</v>
      </c>
      <c r="C250" s="1" t="n">
        <v>46013</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55172-2022</t>
        </is>
      </c>
      <c r="B251" s="1" t="n">
        <v>44886</v>
      </c>
      <c r="C251" s="1" t="n">
        <v>46013</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67337-2021</t>
        </is>
      </c>
      <c r="B252" s="1" t="n">
        <v>44523</v>
      </c>
      <c r="C252" s="1" t="n">
        <v>46013</v>
      </c>
      <c r="D252" t="inlineStr">
        <is>
          <t>SÖDERMANLANDS LÄN</t>
        </is>
      </c>
      <c r="E252" t="inlineStr">
        <is>
          <t>KATRINEHOLM</t>
        </is>
      </c>
      <c r="G252" t="n">
        <v>5.2</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46013</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24566-2025</t>
        </is>
      </c>
      <c r="B254" s="1" t="n">
        <v>45798.46452546296</v>
      </c>
      <c r="C254" s="1" t="n">
        <v>46013</v>
      </c>
      <c r="D254" t="inlineStr">
        <is>
          <t>SÖDERMANLANDS LÄN</t>
        </is>
      </c>
      <c r="E254" t="inlineStr">
        <is>
          <t>KATRINEHOLM</t>
        </is>
      </c>
      <c r="G254" t="n">
        <v>6.3</v>
      </c>
      <c r="H254" t="n">
        <v>0</v>
      </c>
      <c r="I254" t="n">
        <v>0</v>
      </c>
      <c r="J254" t="n">
        <v>0</v>
      </c>
      <c r="K254" t="n">
        <v>0</v>
      </c>
      <c r="L254" t="n">
        <v>0</v>
      </c>
      <c r="M254" t="n">
        <v>0</v>
      </c>
      <c r="N254" t="n">
        <v>0</v>
      </c>
      <c r="O254" t="n">
        <v>0</v>
      </c>
      <c r="P254" t="n">
        <v>0</v>
      </c>
      <c r="Q254" t="n">
        <v>0</v>
      </c>
      <c r="R254" s="2" t="inlineStr"/>
    </row>
    <row r="255" ht="15" customHeight="1">
      <c r="A255" t="inlineStr">
        <is>
          <t>A 50032-2022</t>
        </is>
      </c>
      <c r="B255" s="1" t="n">
        <v>44860</v>
      </c>
      <c r="C255" s="1" t="n">
        <v>46013</v>
      </c>
      <c r="D255" t="inlineStr">
        <is>
          <t>SÖDERMANLANDS LÄN</t>
        </is>
      </c>
      <c r="E255" t="inlineStr">
        <is>
          <t>KATRINEHOLM</t>
        </is>
      </c>
      <c r="G255" t="n">
        <v>7.5</v>
      </c>
      <c r="H255" t="n">
        <v>0</v>
      </c>
      <c r="I255" t="n">
        <v>0</v>
      </c>
      <c r="J255" t="n">
        <v>0</v>
      </c>
      <c r="K255" t="n">
        <v>0</v>
      </c>
      <c r="L255" t="n">
        <v>0</v>
      </c>
      <c r="M255" t="n">
        <v>0</v>
      </c>
      <c r="N255" t="n">
        <v>0</v>
      </c>
      <c r="O255" t="n">
        <v>0</v>
      </c>
      <c r="P255" t="n">
        <v>0</v>
      </c>
      <c r="Q255" t="n">
        <v>0</v>
      </c>
      <c r="R255" s="2" t="inlineStr"/>
    </row>
    <row r="256" ht="15" customHeight="1">
      <c r="A256" t="inlineStr">
        <is>
          <t>A 26713-2024</t>
        </is>
      </c>
      <c r="B256" s="1" t="n">
        <v>45470</v>
      </c>
      <c r="C256" s="1" t="n">
        <v>46013</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43837-2022</t>
        </is>
      </c>
      <c r="B257" s="1" t="n">
        <v>44838</v>
      </c>
      <c r="C257" s="1" t="n">
        <v>46013</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57510-2021</t>
        </is>
      </c>
      <c r="B258" s="1" t="n">
        <v>44483</v>
      </c>
      <c r="C258" s="1" t="n">
        <v>46013</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24605-2025</t>
        </is>
      </c>
      <c r="B259" s="1" t="n">
        <v>45798.57403935185</v>
      </c>
      <c r="C259" s="1" t="n">
        <v>46013</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55732-2023</t>
        </is>
      </c>
      <c r="B260" s="1" t="n">
        <v>45239</v>
      </c>
      <c r="C260" s="1" t="n">
        <v>46013</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40159-2023</t>
        </is>
      </c>
      <c r="B261" s="1" t="n">
        <v>45169</v>
      </c>
      <c r="C261" s="1" t="n">
        <v>46013</v>
      </c>
      <c r="D261" t="inlineStr">
        <is>
          <t>SÖDERMANLANDS LÄN</t>
        </is>
      </c>
      <c r="E261" t="inlineStr">
        <is>
          <t>KATRINEHOLM</t>
        </is>
      </c>
      <c r="F261" t="inlineStr">
        <is>
          <t>Övriga Aktiebolag</t>
        </is>
      </c>
      <c r="G261" t="n">
        <v>1.1</v>
      </c>
      <c r="H261" t="n">
        <v>0</v>
      </c>
      <c r="I261" t="n">
        <v>0</v>
      </c>
      <c r="J261" t="n">
        <v>0</v>
      </c>
      <c r="K261" t="n">
        <v>0</v>
      </c>
      <c r="L261" t="n">
        <v>0</v>
      </c>
      <c r="M261" t="n">
        <v>0</v>
      </c>
      <c r="N261" t="n">
        <v>0</v>
      </c>
      <c r="O261" t="n">
        <v>0</v>
      </c>
      <c r="P261" t="n">
        <v>0</v>
      </c>
      <c r="Q261" t="n">
        <v>0</v>
      </c>
      <c r="R261" s="2" t="inlineStr"/>
    </row>
    <row r="262" ht="15" customHeight="1">
      <c r="A262" t="inlineStr">
        <is>
          <t>A 28675-2024</t>
        </is>
      </c>
      <c r="B262" s="1" t="n">
        <v>45478</v>
      </c>
      <c r="C262" s="1" t="n">
        <v>46013</v>
      </c>
      <c r="D262" t="inlineStr">
        <is>
          <t>SÖDERMANLANDS LÄN</t>
        </is>
      </c>
      <c r="E262" t="inlineStr">
        <is>
          <t>KATRINEHOLM</t>
        </is>
      </c>
      <c r="F262" t="inlineStr">
        <is>
          <t>Övriga Aktiebolag</t>
        </is>
      </c>
      <c r="G262" t="n">
        <v>3.5</v>
      </c>
      <c r="H262" t="n">
        <v>0</v>
      </c>
      <c r="I262" t="n">
        <v>0</v>
      </c>
      <c r="J262" t="n">
        <v>0</v>
      </c>
      <c r="K262" t="n">
        <v>0</v>
      </c>
      <c r="L262" t="n">
        <v>0</v>
      </c>
      <c r="M262" t="n">
        <v>0</v>
      </c>
      <c r="N262" t="n">
        <v>0</v>
      </c>
      <c r="O262" t="n">
        <v>0</v>
      </c>
      <c r="P262" t="n">
        <v>0</v>
      </c>
      <c r="Q262" t="n">
        <v>0</v>
      </c>
      <c r="R262" s="2" t="inlineStr"/>
    </row>
    <row r="263" ht="15" customHeight="1">
      <c r="A263" t="inlineStr">
        <is>
          <t>A 56086-2023</t>
        </is>
      </c>
      <c r="B263" s="1" t="n">
        <v>45240</v>
      </c>
      <c r="C263" s="1" t="n">
        <v>46013</v>
      </c>
      <c r="D263" t="inlineStr">
        <is>
          <t>SÖDERMANLANDS LÄN</t>
        </is>
      </c>
      <c r="E263" t="inlineStr">
        <is>
          <t>KATRINEHOLM</t>
        </is>
      </c>
      <c r="F263" t="inlineStr">
        <is>
          <t>Kyrkan</t>
        </is>
      </c>
      <c r="G263" t="n">
        <v>17</v>
      </c>
      <c r="H263" t="n">
        <v>0</v>
      </c>
      <c r="I263" t="n">
        <v>0</v>
      </c>
      <c r="J263" t="n">
        <v>0</v>
      </c>
      <c r="K263" t="n">
        <v>0</v>
      </c>
      <c r="L263" t="n">
        <v>0</v>
      </c>
      <c r="M263" t="n">
        <v>0</v>
      </c>
      <c r="N263" t="n">
        <v>0</v>
      </c>
      <c r="O263" t="n">
        <v>0</v>
      </c>
      <c r="P263" t="n">
        <v>0</v>
      </c>
      <c r="Q263" t="n">
        <v>0</v>
      </c>
      <c r="R263" s="2" t="inlineStr"/>
    </row>
    <row r="264" ht="15" customHeight="1">
      <c r="A264" t="inlineStr">
        <is>
          <t>A 27875-2024</t>
        </is>
      </c>
      <c r="B264" s="1" t="n">
        <v>45475</v>
      </c>
      <c r="C264" s="1" t="n">
        <v>46013</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27376-2024</t>
        </is>
      </c>
      <c r="B265" s="1" t="n">
        <v>45473.88313657408</v>
      </c>
      <c r="C265" s="1" t="n">
        <v>46013</v>
      </c>
      <c r="D265" t="inlineStr">
        <is>
          <t>SÖDERMANLANDS LÄN</t>
        </is>
      </c>
      <c r="E265" t="inlineStr">
        <is>
          <t>KATRINEHOLM</t>
        </is>
      </c>
      <c r="F265" t="inlineStr">
        <is>
          <t>Kommuner</t>
        </is>
      </c>
      <c r="G265" t="n">
        <v>2.8</v>
      </c>
      <c r="H265" t="n">
        <v>0</v>
      </c>
      <c r="I265" t="n">
        <v>0</v>
      </c>
      <c r="J265" t="n">
        <v>0</v>
      </c>
      <c r="K265" t="n">
        <v>0</v>
      </c>
      <c r="L265" t="n">
        <v>0</v>
      </c>
      <c r="M265" t="n">
        <v>0</v>
      </c>
      <c r="N265" t="n">
        <v>0</v>
      </c>
      <c r="O265" t="n">
        <v>0</v>
      </c>
      <c r="P265" t="n">
        <v>0</v>
      </c>
      <c r="Q265" t="n">
        <v>0</v>
      </c>
      <c r="R265" s="2" t="inlineStr"/>
    </row>
    <row r="266" ht="15" customHeight="1">
      <c r="A266" t="inlineStr">
        <is>
          <t>A 61423-2024</t>
        </is>
      </c>
      <c r="B266" s="1" t="n">
        <v>45646.45209490741</v>
      </c>
      <c r="C266" s="1" t="n">
        <v>46013</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28995-2024</t>
        </is>
      </c>
      <c r="B267" s="1" t="n">
        <v>45481.49899305555</v>
      </c>
      <c r="C267" s="1" t="n">
        <v>46013</v>
      </c>
      <c r="D267" t="inlineStr">
        <is>
          <t>SÖDERMANLANDS LÄN</t>
        </is>
      </c>
      <c r="E267" t="inlineStr">
        <is>
          <t>KATRINEHOLM</t>
        </is>
      </c>
      <c r="G267" t="n">
        <v>0.9</v>
      </c>
      <c r="H267" t="n">
        <v>0</v>
      </c>
      <c r="I267" t="n">
        <v>0</v>
      </c>
      <c r="J267" t="n">
        <v>0</v>
      </c>
      <c r="K267" t="n">
        <v>0</v>
      </c>
      <c r="L267" t="n">
        <v>0</v>
      </c>
      <c r="M267" t="n">
        <v>0</v>
      </c>
      <c r="N267" t="n">
        <v>0</v>
      </c>
      <c r="O267" t="n">
        <v>0</v>
      </c>
      <c r="P267" t="n">
        <v>0</v>
      </c>
      <c r="Q267" t="n">
        <v>0</v>
      </c>
      <c r="R267" s="2" t="inlineStr"/>
    </row>
    <row r="268" ht="15" customHeight="1">
      <c r="A268" t="inlineStr">
        <is>
          <t>A 44989-2022</t>
        </is>
      </c>
      <c r="B268" s="1" t="n">
        <v>44840</v>
      </c>
      <c r="C268" s="1" t="n">
        <v>46013</v>
      </c>
      <c r="D268" t="inlineStr">
        <is>
          <t>SÖDERMANLANDS LÄN</t>
        </is>
      </c>
      <c r="E268" t="inlineStr">
        <is>
          <t>KATRINEHOLM</t>
        </is>
      </c>
      <c r="G268" t="n">
        <v>6</v>
      </c>
      <c r="H268" t="n">
        <v>0</v>
      </c>
      <c r="I268" t="n">
        <v>0</v>
      </c>
      <c r="J268" t="n">
        <v>0</v>
      </c>
      <c r="K268" t="n">
        <v>0</v>
      </c>
      <c r="L268" t="n">
        <v>0</v>
      </c>
      <c r="M268" t="n">
        <v>0</v>
      </c>
      <c r="N268" t="n">
        <v>0</v>
      </c>
      <c r="O268" t="n">
        <v>0</v>
      </c>
      <c r="P268" t="n">
        <v>0</v>
      </c>
      <c r="Q268" t="n">
        <v>0</v>
      </c>
      <c r="R268" s="2" t="inlineStr"/>
    </row>
    <row r="269" ht="15" customHeight="1">
      <c r="A269" t="inlineStr">
        <is>
          <t>A 41727-2024</t>
        </is>
      </c>
      <c r="B269" s="1" t="n">
        <v>45560</v>
      </c>
      <c r="C269" s="1" t="n">
        <v>46013</v>
      </c>
      <c r="D269" t="inlineStr">
        <is>
          <t>SÖDERMANLANDS LÄN</t>
        </is>
      </c>
      <c r="E269" t="inlineStr">
        <is>
          <t>KATRINEHOLM</t>
        </is>
      </c>
      <c r="G269" t="n">
        <v>3.9</v>
      </c>
      <c r="H269" t="n">
        <v>0</v>
      </c>
      <c r="I269" t="n">
        <v>0</v>
      </c>
      <c r="J269" t="n">
        <v>0</v>
      </c>
      <c r="K269" t="n">
        <v>0</v>
      </c>
      <c r="L269" t="n">
        <v>0</v>
      </c>
      <c r="M269" t="n">
        <v>0</v>
      </c>
      <c r="N269" t="n">
        <v>0</v>
      </c>
      <c r="O269" t="n">
        <v>0</v>
      </c>
      <c r="P269" t="n">
        <v>0</v>
      </c>
      <c r="Q269" t="n">
        <v>0</v>
      </c>
      <c r="R269" s="2" t="inlineStr"/>
    </row>
    <row r="270" ht="15" customHeight="1">
      <c r="A270" t="inlineStr">
        <is>
          <t>A 48259-2022</t>
        </is>
      </c>
      <c r="B270" s="1" t="n">
        <v>44858</v>
      </c>
      <c r="C270" s="1" t="n">
        <v>46013</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28992-2024</t>
        </is>
      </c>
      <c r="B271" s="1" t="n">
        <v>45481.49289351852</v>
      </c>
      <c r="C271" s="1" t="n">
        <v>46013</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7322-2023</t>
        </is>
      </c>
      <c r="B272" s="1" t="n">
        <v>44970</v>
      </c>
      <c r="C272" s="1" t="n">
        <v>46013</v>
      </c>
      <c r="D272" t="inlineStr">
        <is>
          <t>SÖDERMANLANDS LÄN</t>
        </is>
      </c>
      <c r="E272" t="inlineStr">
        <is>
          <t>KATRINEHOLM</t>
        </is>
      </c>
      <c r="G272" t="n">
        <v>2.1</v>
      </c>
      <c r="H272" t="n">
        <v>0</v>
      </c>
      <c r="I272" t="n">
        <v>0</v>
      </c>
      <c r="J272" t="n">
        <v>0</v>
      </c>
      <c r="K272" t="n">
        <v>0</v>
      </c>
      <c r="L272" t="n">
        <v>0</v>
      </c>
      <c r="M272" t="n">
        <v>0</v>
      </c>
      <c r="N272" t="n">
        <v>0</v>
      </c>
      <c r="O272" t="n">
        <v>0</v>
      </c>
      <c r="P272" t="n">
        <v>0</v>
      </c>
      <c r="Q272" t="n">
        <v>0</v>
      </c>
      <c r="R272" s="2" t="inlineStr"/>
    </row>
    <row r="273" ht="15" customHeight="1">
      <c r="A273" t="inlineStr">
        <is>
          <t>A 2093-2025</t>
        </is>
      </c>
      <c r="B273" s="1" t="n">
        <v>45672</v>
      </c>
      <c r="C273" s="1" t="n">
        <v>46013</v>
      </c>
      <c r="D273" t="inlineStr">
        <is>
          <t>SÖDERMANLANDS LÄN</t>
        </is>
      </c>
      <c r="E273" t="inlineStr">
        <is>
          <t>KATRINEHOLM</t>
        </is>
      </c>
      <c r="G273" t="n">
        <v>1.4</v>
      </c>
      <c r="H273" t="n">
        <v>0</v>
      </c>
      <c r="I273" t="n">
        <v>0</v>
      </c>
      <c r="J273" t="n">
        <v>0</v>
      </c>
      <c r="K273" t="n">
        <v>0</v>
      </c>
      <c r="L273" t="n">
        <v>0</v>
      </c>
      <c r="M273" t="n">
        <v>0</v>
      </c>
      <c r="N273" t="n">
        <v>0</v>
      </c>
      <c r="O273" t="n">
        <v>0</v>
      </c>
      <c r="P273" t="n">
        <v>0</v>
      </c>
      <c r="Q273" t="n">
        <v>0</v>
      </c>
      <c r="R273" s="2" t="inlineStr"/>
    </row>
    <row r="274" ht="15" customHeight="1">
      <c r="A274" t="inlineStr">
        <is>
          <t>A 27886-2024</t>
        </is>
      </c>
      <c r="B274" s="1" t="n">
        <v>45475</v>
      </c>
      <c r="C274" s="1" t="n">
        <v>46013</v>
      </c>
      <c r="D274" t="inlineStr">
        <is>
          <t>SÖDERMANLANDS LÄN</t>
        </is>
      </c>
      <c r="E274" t="inlineStr">
        <is>
          <t>KATRINEHOLM</t>
        </is>
      </c>
      <c r="G274" t="n">
        <v>10.3</v>
      </c>
      <c r="H274" t="n">
        <v>0</v>
      </c>
      <c r="I274" t="n">
        <v>0</v>
      </c>
      <c r="J274" t="n">
        <v>0</v>
      </c>
      <c r="K274" t="n">
        <v>0</v>
      </c>
      <c r="L274" t="n">
        <v>0</v>
      </c>
      <c r="M274" t="n">
        <v>0</v>
      </c>
      <c r="N274" t="n">
        <v>0</v>
      </c>
      <c r="O274" t="n">
        <v>0</v>
      </c>
      <c r="P274" t="n">
        <v>0</v>
      </c>
      <c r="Q274" t="n">
        <v>0</v>
      </c>
      <c r="R274" s="2" t="inlineStr"/>
    </row>
    <row r="275" ht="15" customHeight="1">
      <c r="A275" t="inlineStr">
        <is>
          <t>A 24717-2025</t>
        </is>
      </c>
      <c r="B275" s="1" t="n">
        <v>45799.27168981481</v>
      </c>
      <c r="C275" s="1" t="n">
        <v>46013</v>
      </c>
      <c r="D275" t="inlineStr">
        <is>
          <t>SÖDERMANLANDS LÄN</t>
        </is>
      </c>
      <c r="E275" t="inlineStr">
        <is>
          <t>KATRINEHOLM</t>
        </is>
      </c>
      <c r="G275" t="n">
        <v>24.5</v>
      </c>
      <c r="H275" t="n">
        <v>0</v>
      </c>
      <c r="I275" t="n">
        <v>0</v>
      </c>
      <c r="J275" t="n">
        <v>0</v>
      </c>
      <c r="K275" t="n">
        <v>0</v>
      </c>
      <c r="L275" t="n">
        <v>0</v>
      </c>
      <c r="M275" t="n">
        <v>0</v>
      </c>
      <c r="N275" t="n">
        <v>0</v>
      </c>
      <c r="O275" t="n">
        <v>0</v>
      </c>
      <c r="P275" t="n">
        <v>0</v>
      </c>
      <c r="Q275" t="n">
        <v>0</v>
      </c>
      <c r="R275" s="2" t="inlineStr"/>
    </row>
    <row r="276" ht="15" customHeight="1">
      <c r="A276" t="inlineStr">
        <is>
          <t>A 53999-2023</t>
        </is>
      </c>
      <c r="B276" s="1" t="n">
        <v>45231</v>
      </c>
      <c r="C276" s="1" t="n">
        <v>46013</v>
      </c>
      <c r="D276" t="inlineStr">
        <is>
          <t>SÖDERMANLANDS LÄN</t>
        </is>
      </c>
      <c r="E276" t="inlineStr">
        <is>
          <t>KATRINEHOLM</t>
        </is>
      </c>
      <c r="G276" t="n">
        <v>5.4</v>
      </c>
      <c r="H276" t="n">
        <v>0</v>
      </c>
      <c r="I276" t="n">
        <v>0</v>
      </c>
      <c r="J276" t="n">
        <v>0</v>
      </c>
      <c r="K276" t="n">
        <v>0</v>
      </c>
      <c r="L276" t="n">
        <v>0</v>
      </c>
      <c r="M276" t="n">
        <v>0</v>
      </c>
      <c r="N276" t="n">
        <v>0</v>
      </c>
      <c r="O276" t="n">
        <v>0</v>
      </c>
      <c r="P276" t="n">
        <v>0</v>
      </c>
      <c r="Q276" t="n">
        <v>0</v>
      </c>
      <c r="R276" s="2" t="inlineStr"/>
    </row>
    <row r="277" ht="15" customHeight="1">
      <c r="A277" t="inlineStr">
        <is>
          <t>A 24719-2025</t>
        </is>
      </c>
      <c r="B277" s="1" t="n">
        <v>45799</v>
      </c>
      <c r="C277" s="1" t="n">
        <v>46013</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28427-2024</t>
        </is>
      </c>
      <c r="B278" s="1" t="n">
        <v>45477.64910879629</v>
      </c>
      <c r="C278" s="1" t="n">
        <v>46013</v>
      </c>
      <c r="D278" t="inlineStr">
        <is>
          <t>SÖDERMANLANDS LÄN</t>
        </is>
      </c>
      <c r="E278" t="inlineStr">
        <is>
          <t>KATRINEHOLM</t>
        </is>
      </c>
      <c r="G278" t="n">
        <v>5.9</v>
      </c>
      <c r="H278" t="n">
        <v>0</v>
      </c>
      <c r="I278" t="n">
        <v>0</v>
      </c>
      <c r="J278" t="n">
        <v>0</v>
      </c>
      <c r="K278" t="n">
        <v>0</v>
      </c>
      <c r="L278" t="n">
        <v>0</v>
      </c>
      <c r="M278" t="n">
        <v>0</v>
      </c>
      <c r="N278" t="n">
        <v>0</v>
      </c>
      <c r="O278" t="n">
        <v>0</v>
      </c>
      <c r="P278" t="n">
        <v>0</v>
      </c>
      <c r="Q278" t="n">
        <v>0</v>
      </c>
      <c r="R278" s="2" t="inlineStr"/>
    </row>
    <row r="279" ht="15" customHeight="1">
      <c r="A279" t="inlineStr">
        <is>
          <t>A 25363-2023</t>
        </is>
      </c>
      <c r="B279" s="1" t="n">
        <v>45088.83840277778</v>
      </c>
      <c r="C279" s="1" t="n">
        <v>46013</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38708-2025</t>
        </is>
      </c>
      <c r="B280" s="1" t="n">
        <v>45885</v>
      </c>
      <c r="C280" s="1" t="n">
        <v>46013</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6722-2022</t>
        </is>
      </c>
      <c r="B281" s="1" t="n">
        <v>44602</v>
      </c>
      <c r="C281" s="1" t="n">
        <v>46013</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6763-2022</t>
        </is>
      </c>
      <c r="B282" s="1" t="n">
        <v>44602</v>
      </c>
      <c r="C282" s="1" t="n">
        <v>46013</v>
      </c>
      <c r="D282" t="inlineStr">
        <is>
          <t>SÖDERMANLANDS LÄN</t>
        </is>
      </c>
      <c r="E282" t="inlineStr">
        <is>
          <t>KATRINEHOLM</t>
        </is>
      </c>
      <c r="G282" t="n">
        <v>6.7</v>
      </c>
      <c r="H282" t="n">
        <v>0</v>
      </c>
      <c r="I282" t="n">
        <v>0</v>
      </c>
      <c r="J282" t="n">
        <v>0</v>
      </c>
      <c r="K282" t="n">
        <v>0</v>
      </c>
      <c r="L282" t="n">
        <v>0</v>
      </c>
      <c r="M282" t="n">
        <v>0</v>
      </c>
      <c r="N282" t="n">
        <v>0</v>
      </c>
      <c r="O282" t="n">
        <v>0</v>
      </c>
      <c r="P282" t="n">
        <v>0</v>
      </c>
      <c r="Q282" t="n">
        <v>0</v>
      </c>
      <c r="R282" s="2" t="inlineStr"/>
    </row>
    <row r="283" ht="15" customHeight="1">
      <c r="A283" t="inlineStr">
        <is>
          <t>A 25786-2025</t>
        </is>
      </c>
      <c r="B283" s="1" t="n">
        <v>45804.37456018518</v>
      </c>
      <c r="C283" s="1" t="n">
        <v>46013</v>
      </c>
      <c r="D283" t="inlineStr">
        <is>
          <t>SÖDERMANLANDS LÄN</t>
        </is>
      </c>
      <c r="E283" t="inlineStr">
        <is>
          <t>KATRINEHOLM</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5790-2022</t>
        </is>
      </c>
      <c r="B284" s="1" t="n">
        <v>44596.55368055555</v>
      </c>
      <c r="C284" s="1" t="n">
        <v>46013</v>
      </c>
      <c r="D284" t="inlineStr">
        <is>
          <t>SÖDERMANLANDS LÄN</t>
        </is>
      </c>
      <c r="E284" t="inlineStr">
        <is>
          <t>KATRINEHOLM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46013</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29397-2024</t>
        </is>
      </c>
      <c r="B286" s="1" t="n">
        <v>45483</v>
      </c>
      <c r="C286" s="1" t="n">
        <v>46013</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26154-2025</t>
        </is>
      </c>
      <c r="B287" s="1" t="n">
        <v>45805.43341435185</v>
      </c>
      <c r="C287" s="1" t="n">
        <v>46013</v>
      </c>
      <c r="D287" t="inlineStr">
        <is>
          <t>SÖDERMANLANDS LÄN</t>
        </is>
      </c>
      <c r="E287" t="inlineStr">
        <is>
          <t>KATRINEHOLM</t>
        </is>
      </c>
      <c r="G287" t="n">
        <v>4.5</v>
      </c>
      <c r="H287" t="n">
        <v>0</v>
      </c>
      <c r="I287" t="n">
        <v>0</v>
      </c>
      <c r="J287" t="n">
        <v>0</v>
      </c>
      <c r="K287" t="n">
        <v>0</v>
      </c>
      <c r="L287" t="n">
        <v>0</v>
      </c>
      <c r="M287" t="n">
        <v>0</v>
      </c>
      <c r="N287" t="n">
        <v>0</v>
      </c>
      <c r="O287" t="n">
        <v>0</v>
      </c>
      <c r="P287" t="n">
        <v>0</v>
      </c>
      <c r="Q287" t="n">
        <v>0</v>
      </c>
      <c r="R287" s="2" t="inlineStr"/>
    </row>
    <row r="288" ht="15" customHeight="1">
      <c r="A288" t="inlineStr">
        <is>
          <t>A 26156-2025</t>
        </is>
      </c>
      <c r="B288" s="1" t="n">
        <v>45805.43864583333</v>
      </c>
      <c r="C288" s="1" t="n">
        <v>46013</v>
      </c>
      <c r="D288" t="inlineStr">
        <is>
          <t>SÖDERMANLANDS LÄN</t>
        </is>
      </c>
      <c r="E288" t="inlineStr">
        <is>
          <t>KATRINEHOLM</t>
        </is>
      </c>
      <c r="G288" t="n">
        <v>4.1</v>
      </c>
      <c r="H288" t="n">
        <v>0</v>
      </c>
      <c r="I288" t="n">
        <v>0</v>
      </c>
      <c r="J288" t="n">
        <v>0</v>
      </c>
      <c r="K288" t="n">
        <v>0</v>
      </c>
      <c r="L288" t="n">
        <v>0</v>
      </c>
      <c r="M288" t="n">
        <v>0</v>
      </c>
      <c r="N288" t="n">
        <v>0</v>
      </c>
      <c r="O288" t="n">
        <v>0</v>
      </c>
      <c r="P288" t="n">
        <v>0</v>
      </c>
      <c r="Q288" t="n">
        <v>0</v>
      </c>
      <c r="R288" s="2" t="inlineStr"/>
    </row>
    <row r="289" ht="15" customHeight="1">
      <c r="A289" t="inlineStr">
        <is>
          <t>A 33278-2024</t>
        </is>
      </c>
      <c r="B289" s="1" t="n">
        <v>45518</v>
      </c>
      <c r="C289" s="1" t="n">
        <v>46013</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46013</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39663-2025</t>
        </is>
      </c>
      <c r="B291" s="1" t="n">
        <v>45890</v>
      </c>
      <c r="C291" s="1" t="n">
        <v>46013</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9714-2024</t>
        </is>
      </c>
      <c r="B292" s="1" t="n">
        <v>45362</v>
      </c>
      <c r="C292" s="1" t="n">
        <v>46013</v>
      </c>
      <c r="D292" t="inlineStr">
        <is>
          <t>SÖDERMANLANDS LÄN</t>
        </is>
      </c>
      <c r="E292" t="inlineStr">
        <is>
          <t>KATRINEHOLM</t>
        </is>
      </c>
      <c r="G292" t="n">
        <v>4</v>
      </c>
      <c r="H292" t="n">
        <v>0</v>
      </c>
      <c r="I292" t="n">
        <v>0</v>
      </c>
      <c r="J292" t="n">
        <v>0</v>
      </c>
      <c r="K292" t="n">
        <v>0</v>
      </c>
      <c r="L292" t="n">
        <v>0</v>
      </c>
      <c r="M292" t="n">
        <v>0</v>
      </c>
      <c r="N292" t="n">
        <v>0</v>
      </c>
      <c r="O292" t="n">
        <v>0</v>
      </c>
      <c r="P292" t="n">
        <v>0</v>
      </c>
      <c r="Q292" t="n">
        <v>0</v>
      </c>
      <c r="R292" s="2" t="inlineStr"/>
    </row>
    <row r="293" ht="15" customHeight="1">
      <c r="A293" t="inlineStr">
        <is>
          <t>A 39668-2025</t>
        </is>
      </c>
      <c r="B293" s="1" t="n">
        <v>45890</v>
      </c>
      <c r="C293" s="1" t="n">
        <v>46013</v>
      </c>
      <c r="D293" t="inlineStr">
        <is>
          <t>SÖDERMANLANDS LÄN</t>
        </is>
      </c>
      <c r="E293" t="inlineStr">
        <is>
          <t>KATRINEHOLM</t>
        </is>
      </c>
      <c r="G293" t="n">
        <v>2.9</v>
      </c>
      <c r="H293" t="n">
        <v>0</v>
      </c>
      <c r="I293" t="n">
        <v>0</v>
      </c>
      <c r="J293" t="n">
        <v>0</v>
      </c>
      <c r="K293" t="n">
        <v>0</v>
      </c>
      <c r="L293" t="n">
        <v>0</v>
      </c>
      <c r="M293" t="n">
        <v>0</v>
      </c>
      <c r="N293" t="n">
        <v>0</v>
      </c>
      <c r="O293" t="n">
        <v>0</v>
      </c>
      <c r="P293" t="n">
        <v>0</v>
      </c>
      <c r="Q293" t="n">
        <v>0</v>
      </c>
      <c r="R293" s="2" t="inlineStr"/>
    </row>
    <row r="294" ht="15" customHeight="1">
      <c r="A294" t="inlineStr">
        <is>
          <t>A 24619-2024</t>
        </is>
      </c>
      <c r="B294" s="1" t="n">
        <v>45460</v>
      </c>
      <c r="C294" s="1" t="n">
        <v>46013</v>
      </c>
      <c r="D294" t="inlineStr">
        <is>
          <t>SÖDERMANLANDS LÄN</t>
        </is>
      </c>
      <c r="E294" t="inlineStr">
        <is>
          <t>KATRINEHOLM</t>
        </is>
      </c>
      <c r="G294" t="n">
        <v>4.7</v>
      </c>
      <c r="H294" t="n">
        <v>0</v>
      </c>
      <c r="I294" t="n">
        <v>0</v>
      </c>
      <c r="J294" t="n">
        <v>0</v>
      </c>
      <c r="K294" t="n">
        <v>0</v>
      </c>
      <c r="L294" t="n">
        <v>0</v>
      </c>
      <c r="M294" t="n">
        <v>0</v>
      </c>
      <c r="N294" t="n">
        <v>0</v>
      </c>
      <c r="O294" t="n">
        <v>0</v>
      </c>
      <c r="P294" t="n">
        <v>0</v>
      </c>
      <c r="Q294" t="n">
        <v>0</v>
      </c>
      <c r="R294" s="2" t="inlineStr"/>
    </row>
    <row r="295" ht="15" customHeight="1">
      <c r="A295" t="inlineStr">
        <is>
          <t>A 9699-2024</t>
        </is>
      </c>
      <c r="B295" s="1" t="n">
        <v>45362</v>
      </c>
      <c r="C295" s="1" t="n">
        <v>46013</v>
      </c>
      <c r="D295" t="inlineStr">
        <is>
          <t>SÖDERMANLANDS LÄN</t>
        </is>
      </c>
      <c r="E295" t="inlineStr">
        <is>
          <t>KATRINEHOLM</t>
        </is>
      </c>
      <c r="G295" t="n">
        <v>7.7</v>
      </c>
      <c r="H295" t="n">
        <v>0</v>
      </c>
      <c r="I295" t="n">
        <v>0</v>
      </c>
      <c r="J295" t="n">
        <v>0</v>
      </c>
      <c r="K295" t="n">
        <v>0</v>
      </c>
      <c r="L295" t="n">
        <v>0</v>
      </c>
      <c r="M295" t="n">
        <v>0</v>
      </c>
      <c r="N295" t="n">
        <v>0</v>
      </c>
      <c r="O295" t="n">
        <v>0</v>
      </c>
      <c r="P295" t="n">
        <v>0</v>
      </c>
      <c r="Q295" t="n">
        <v>0</v>
      </c>
      <c r="R295" s="2" t="inlineStr"/>
    </row>
    <row r="296" ht="15" customHeight="1">
      <c r="A296" t="inlineStr">
        <is>
          <t>A 59474-2021</t>
        </is>
      </c>
      <c r="B296" s="1" t="n">
        <v>44491</v>
      </c>
      <c r="C296" s="1" t="n">
        <v>46013</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39737-2025</t>
        </is>
      </c>
      <c r="B297" s="1" t="n">
        <v>45891</v>
      </c>
      <c r="C297" s="1" t="n">
        <v>46013</v>
      </c>
      <c r="D297" t="inlineStr">
        <is>
          <t>SÖDERMANLANDS LÄN</t>
        </is>
      </c>
      <c r="E297" t="inlineStr">
        <is>
          <t>KATRINEHOLM</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39847-2025</t>
        </is>
      </c>
      <c r="B298" s="1" t="n">
        <v>45891.58381944444</v>
      </c>
      <c r="C298" s="1" t="n">
        <v>46013</v>
      </c>
      <c r="D298" t="inlineStr">
        <is>
          <t>SÖDERMANLANDS LÄN</t>
        </is>
      </c>
      <c r="E298" t="inlineStr">
        <is>
          <t>KATRINEHOLM</t>
        </is>
      </c>
      <c r="F298" t="inlineStr">
        <is>
          <t>Holmen skog AB</t>
        </is>
      </c>
      <c r="G298" t="n">
        <v>2.5</v>
      </c>
      <c r="H298" t="n">
        <v>0</v>
      </c>
      <c r="I298" t="n">
        <v>0</v>
      </c>
      <c r="J298" t="n">
        <v>0</v>
      </c>
      <c r="K298" t="n">
        <v>0</v>
      </c>
      <c r="L298" t="n">
        <v>0</v>
      </c>
      <c r="M298" t="n">
        <v>0</v>
      </c>
      <c r="N298" t="n">
        <v>0</v>
      </c>
      <c r="O298" t="n">
        <v>0</v>
      </c>
      <c r="P298" t="n">
        <v>0</v>
      </c>
      <c r="Q298" t="n">
        <v>0</v>
      </c>
      <c r="R298" s="2" t="inlineStr"/>
    </row>
    <row r="299" ht="15" customHeight="1">
      <c r="A299" t="inlineStr">
        <is>
          <t>A 14239-2024</t>
        </is>
      </c>
      <c r="B299" s="1" t="n">
        <v>45393</v>
      </c>
      <c r="C299" s="1" t="n">
        <v>46013</v>
      </c>
      <c r="D299" t="inlineStr">
        <is>
          <t>SÖDERMANLANDS LÄN</t>
        </is>
      </c>
      <c r="E299" t="inlineStr">
        <is>
          <t>KATRINEHOLM</t>
        </is>
      </c>
      <c r="G299" t="n">
        <v>2.7</v>
      </c>
      <c r="H299" t="n">
        <v>0</v>
      </c>
      <c r="I299" t="n">
        <v>0</v>
      </c>
      <c r="J299" t="n">
        <v>0</v>
      </c>
      <c r="K299" t="n">
        <v>0</v>
      </c>
      <c r="L299" t="n">
        <v>0</v>
      </c>
      <c r="M299" t="n">
        <v>0</v>
      </c>
      <c r="N299" t="n">
        <v>0</v>
      </c>
      <c r="O299" t="n">
        <v>0</v>
      </c>
      <c r="P299" t="n">
        <v>0</v>
      </c>
      <c r="Q299" t="n">
        <v>0</v>
      </c>
      <c r="R299" s="2" t="inlineStr"/>
    </row>
    <row r="300" ht="15" customHeight="1">
      <c r="A300" t="inlineStr">
        <is>
          <t>A 14248-2024</t>
        </is>
      </c>
      <c r="B300" s="1" t="n">
        <v>45393</v>
      </c>
      <c r="C300" s="1" t="n">
        <v>46013</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11635-2023</t>
        </is>
      </c>
      <c r="B301" s="1" t="n">
        <v>44994</v>
      </c>
      <c r="C301" s="1" t="n">
        <v>46013</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10932-2023</t>
        </is>
      </c>
      <c r="B302" s="1" t="n">
        <v>44985</v>
      </c>
      <c r="C302" s="1" t="n">
        <v>46013</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6087-2022</t>
        </is>
      </c>
      <c r="B303" s="1" t="n">
        <v>44599.61034722222</v>
      </c>
      <c r="C303" s="1" t="n">
        <v>46013</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8957-2024</t>
        </is>
      </c>
      <c r="B304" s="1" t="n">
        <v>45357.45089120371</v>
      </c>
      <c r="C304" s="1" t="n">
        <v>46013</v>
      </c>
      <c r="D304" t="inlineStr">
        <is>
          <t>SÖDERMANLANDS LÄN</t>
        </is>
      </c>
      <c r="E304" t="inlineStr">
        <is>
          <t>KATRINEHOLM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42896-2024</t>
        </is>
      </c>
      <c r="B305" s="1" t="n">
        <v>45566.82973379629</v>
      </c>
      <c r="C305" s="1" t="n">
        <v>46013</v>
      </c>
      <c r="D305" t="inlineStr">
        <is>
          <t>SÖDERMANLANDS LÄN</t>
        </is>
      </c>
      <c r="E305" t="inlineStr">
        <is>
          <t>KATRINEHOLM</t>
        </is>
      </c>
      <c r="G305" t="n">
        <v>4.3</v>
      </c>
      <c r="H305" t="n">
        <v>0</v>
      </c>
      <c r="I305" t="n">
        <v>0</v>
      </c>
      <c r="J305" t="n">
        <v>0</v>
      </c>
      <c r="K305" t="n">
        <v>0</v>
      </c>
      <c r="L305" t="n">
        <v>0</v>
      </c>
      <c r="M305" t="n">
        <v>0</v>
      </c>
      <c r="N305" t="n">
        <v>0</v>
      </c>
      <c r="O305" t="n">
        <v>0</v>
      </c>
      <c r="P305" t="n">
        <v>0</v>
      </c>
      <c r="Q305" t="n">
        <v>0</v>
      </c>
      <c r="R305" s="2" t="inlineStr"/>
    </row>
    <row r="306" ht="15" customHeight="1">
      <c r="A306" t="inlineStr">
        <is>
          <t>A 7747-2024</t>
        </is>
      </c>
      <c r="B306" s="1" t="n">
        <v>45348</v>
      </c>
      <c r="C306" s="1" t="n">
        <v>46013</v>
      </c>
      <c r="D306" t="inlineStr">
        <is>
          <t>SÖDERMANLANDS LÄN</t>
        </is>
      </c>
      <c r="E306" t="inlineStr">
        <is>
          <t>KATRINEHOLM</t>
        </is>
      </c>
      <c r="G306" t="n">
        <v>1.1</v>
      </c>
      <c r="H306" t="n">
        <v>0</v>
      </c>
      <c r="I306" t="n">
        <v>0</v>
      </c>
      <c r="J306" t="n">
        <v>0</v>
      </c>
      <c r="K306" t="n">
        <v>0</v>
      </c>
      <c r="L306" t="n">
        <v>0</v>
      </c>
      <c r="M306" t="n">
        <v>0</v>
      </c>
      <c r="N306" t="n">
        <v>0</v>
      </c>
      <c r="O306" t="n">
        <v>0</v>
      </c>
      <c r="P306" t="n">
        <v>0</v>
      </c>
      <c r="Q306" t="n">
        <v>0</v>
      </c>
      <c r="R306" s="2" t="inlineStr"/>
    </row>
    <row r="307" ht="15" customHeight="1">
      <c r="A307" t="inlineStr">
        <is>
          <t>A 7753-2024</t>
        </is>
      </c>
      <c r="B307" s="1" t="n">
        <v>45348</v>
      </c>
      <c r="C307" s="1" t="n">
        <v>46013</v>
      </c>
      <c r="D307" t="inlineStr">
        <is>
          <t>SÖDERMANLANDS LÄN</t>
        </is>
      </c>
      <c r="E307" t="inlineStr">
        <is>
          <t>KATRINEHOLM</t>
        </is>
      </c>
      <c r="G307" t="n">
        <v>13.4</v>
      </c>
      <c r="H307" t="n">
        <v>0</v>
      </c>
      <c r="I307" t="n">
        <v>0</v>
      </c>
      <c r="J307" t="n">
        <v>0</v>
      </c>
      <c r="K307" t="n">
        <v>0</v>
      </c>
      <c r="L307" t="n">
        <v>0</v>
      </c>
      <c r="M307" t="n">
        <v>0</v>
      </c>
      <c r="N307" t="n">
        <v>0</v>
      </c>
      <c r="O307" t="n">
        <v>0</v>
      </c>
      <c r="P307" t="n">
        <v>0</v>
      </c>
      <c r="Q307" t="n">
        <v>0</v>
      </c>
      <c r="R307" s="2" t="inlineStr"/>
    </row>
    <row r="308" ht="15" customHeight="1">
      <c r="A308" t="inlineStr">
        <is>
          <t>A 5935-2023</t>
        </is>
      </c>
      <c r="B308" s="1" t="n">
        <v>44963</v>
      </c>
      <c r="C308" s="1" t="n">
        <v>46013</v>
      </c>
      <c r="D308" t="inlineStr">
        <is>
          <t>SÖDERMANLANDS LÄN</t>
        </is>
      </c>
      <c r="E308" t="inlineStr">
        <is>
          <t>KATRINEHOLM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27534-2025</t>
        </is>
      </c>
      <c r="B309" s="1" t="n">
        <v>45813</v>
      </c>
      <c r="C309" s="1" t="n">
        <v>46013</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27552-2025</t>
        </is>
      </c>
      <c r="B310" s="1" t="n">
        <v>45813</v>
      </c>
      <c r="C310" s="1" t="n">
        <v>46013</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41074-2025</t>
        </is>
      </c>
      <c r="B311" s="1" t="n">
        <v>45898</v>
      </c>
      <c r="C311" s="1" t="n">
        <v>46013</v>
      </c>
      <c r="D311" t="inlineStr">
        <is>
          <t>SÖDERMANLANDS LÄN</t>
        </is>
      </c>
      <c r="E311" t="inlineStr">
        <is>
          <t>KATRINEHOLM</t>
        </is>
      </c>
      <c r="F311" t="inlineStr">
        <is>
          <t>Allmännings- och besparingsskogar</t>
        </is>
      </c>
      <c r="G311" t="n">
        <v>4.8</v>
      </c>
      <c r="H311" t="n">
        <v>0</v>
      </c>
      <c r="I311" t="n">
        <v>0</v>
      </c>
      <c r="J311" t="n">
        <v>0</v>
      </c>
      <c r="K311" t="n">
        <v>0</v>
      </c>
      <c r="L311" t="n">
        <v>0</v>
      </c>
      <c r="M311" t="n">
        <v>0</v>
      </c>
      <c r="N311" t="n">
        <v>0</v>
      </c>
      <c r="O311" t="n">
        <v>0</v>
      </c>
      <c r="P311" t="n">
        <v>0</v>
      </c>
      <c r="Q311" t="n">
        <v>0</v>
      </c>
      <c r="R311" s="2" t="inlineStr"/>
    </row>
    <row r="312" ht="15" customHeight="1">
      <c r="A312" t="inlineStr">
        <is>
          <t>A 27636-2025</t>
        </is>
      </c>
      <c r="B312" s="1" t="n">
        <v>45813.57603009259</v>
      </c>
      <c r="C312" s="1" t="n">
        <v>46013</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24600-2025</t>
        </is>
      </c>
      <c r="B313" s="1" t="n">
        <v>45798.56348379629</v>
      </c>
      <c r="C313" s="1" t="n">
        <v>46013</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10732-2022</t>
        </is>
      </c>
      <c r="B314" s="1" t="n">
        <v>44627.34033564815</v>
      </c>
      <c r="C314" s="1" t="n">
        <v>46013</v>
      </c>
      <c r="D314" t="inlineStr">
        <is>
          <t>SÖDERMANLANDS LÄN</t>
        </is>
      </c>
      <c r="E314" t="inlineStr">
        <is>
          <t>KATRINEHOLM</t>
        </is>
      </c>
      <c r="G314" t="n">
        <v>2.4</v>
      </c>
      <c r="H314" t="n">
        <v>0</v>
      </c>
      <c r="I314" t="n">
        <v>0</v>
      </c>
      <c r="J314" t="n">
        <v>0</v>
      </c>
      <c r="K314" t="n">
        <v>0</v>
      </c>
      <c r="L314" t="n">
        <v>0</v>
      </c>
      <c r="M314" t="n">
        <v>0</v>
      </c>
      <c r="N314" t="n">
        <v>0</v>
      </c>
      <c r="O314" t="n">
        <v>0</v>
      </c>
      <c r="P314" t="n">
        <v>0</v>
      </c>
      <c r="Q314" t="n">
        <v>0</v>
      </c>
      <c r="R314" s="2" t="inlineStr"/>
    </row>
    <row r="315" ht="15" customHeight="1">
      <c r="A315" t="inlineStr">
        <is>
          <t>A 35608-2024</t>
        </is>
      </c>
      <c r="B315" s="1" t="n">
        <v>45531</v>
      </c>
      <c r="C315" s="1" t="n">
        <v>46013</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46013</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3939-2022</t>
        </is>
      </c>
      <c r="B317" s="1" t="n">
        <v>44587</v>
      </c>
      <c r="C317" s="1" t="n">
        <v>46013</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56074-2022</t>
        </is>
      </c>
      <c r="B318" s="1" t="n">
        <v>44889</v>
      </c>
      <c r="C318" s="1" t="n">
        <v>46013</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c r="T318">
        <f>HYPERLINK("https://klasma.github.io/Logging_0483/kartor/A 56074-2022 karta.png", "A 56074-2022")</f>
        <v/>
      </c>
      <c r="V318">
        <f>HYPERLINK("https://klasma.github.io/Logging_0483/klagomål/A 56074-2022 FSC-klagomål.docx", "A 56074-2022")</f>
        <v/>
      </c>
      <c r="W318">
        <f>HYPERLINK("https://klasma.github.io/Logging_0483/klagomålsmail/A 56074-2022 FSC-klagomål mail.docx", "A 56074-2022")</f>
        <v/>
      </c>
      <c r="X318">
        <f>HYPERLINK("https://klasma.github.io/Logging_0483/tillsyn/A 56074-2022 tillsynsbegäran.docx", "A 56074-2022")</f>
        <v/>
      </c>
      <c r="Y318">
        <f>HYPERLINK("https://klasma.github.io/Logging_0483/tillsynsmail/A 56074-2022 tillsynsbegäran mail.docx", "A 56074-2022")</f>
        <v/>
      </c>
    </row>
    <row r="319" ht="15" customHeight="1">
      <c r="A319" t="inlineStr">
        <is>
          <t>A 49341-2024</t>
        </is>
      </c>
      <c r="B319" s="1" t="n">
        <v>45595</v>
      </c>
      <c r="C319" s="1" t="n">
        <v>46013</v>
      </c>
      <c r="D319" t="inlineStr">
        <is>
          <t>SÖDERMANLANDS LÄN</t>
        </is>
      </c>
      <c r="E319" t="inlineStr">
        <is>
          <t>KATRINEHOLM</t>
        </is>
      </c>
      <c r="G319" t="n">
        <v>10</v>
      </c>
      <c r="H319" t="n">
        <v>0</v>
      </c>
      <c r="I319" t="n">
        <v>0</v>
      </c>
      <c r="J319" t="n">
        <v>0</v>
      </c>
      <c r="K319" t="n">
        <v>0</v>
      </c>
      <c r="L319" t="n">
        <v>0</v>
      </c>
      <c r="M319" t="n">
        <v>0</v>
      </c>
      <c r="N319" t="n">
        <v>0</v>
      </c>
      <c r="O319" t="n">
        <v>0</v>
      </c>
      <c r="P319" t="n">
        <v>0</v>
      </c>
      <c r="Q319" t="n">
        <v>0</v>
      </c>
      <c r="R319" s="2" t="inlineStr"/>
    </row>
    <row r="320" ht="15" customHeight="1">
      <c r="A320" t="inlineStr">
        <is>
          <t>A 12633-2022</t>
        </is>
      </c>
      <c r="B320" s="1" t="n">
        <v>44638</v>
      </c>
      <c r="C320" s="1" t="n">
        <v>46013</v>
      </c>
      <c r="D320" t="inlineStr">
        <is>
          <t>SÖDERMANLANDS LÄN</t>
        </is>
      </c>
      <c r="E320" t="inlineStr">
        <is>
          <t>KATRINEHOLM</t>
        </is>
      </c>
      <c r="G320" t="n">
        <v>6.4</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46013</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41632-2025</t>
        </is>
      </c>
      <c r="B322" s="1" t="n">
        <v>45901</v>
      </c>
      <c r="C322" s="1" t="n">
        <v>46013</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41648-2025</t>
        </is>
      </c>
      <c r="B323" s="1" t="n">
        <v>45902.32601851852</v>
      </c>
      <c r="C323" s="1" t="n">
        <v>46013</v>
      </c>
      <c r="D323" t="inlineStr">
        <is>
          <t>SÖDERMANLANDS LÄN</t>
        </is>
      </c>
      <c r="E323" t="inlineStr">
        <is>
          <t>KATRINEHOLM</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61915-2021</t>
        </is>
      </c>
      <c r="B324" s="1" t="n">
        <v>44502.36780092592</v>
      </c>
      <c r="C324" s="1" t="n">
        <v>46013</v>
      </c>
      <c r="D324" t="inlineStr">
        <is>
          <t>SÖDERMANLANDS LÄN</t>
        </is>
      </c>
      <c r="E324" t="inlineStr">
        <is>
          <t>KATRINEHOLM</t>
        </is>
      </c>
      <c r="G324" t="n">
        <v>2.6</v>
      </c>
      <c r="H324" t="n">
        <v>0</v>
      </c>
      <c r="I324" t="n">
        <v>0</v>
      </c>
      <c r="J324" t="n">
        <v>0</v>
      </c>
      <c r="K324" t="n">
        <v>0</v>
      </c>
      <c r="L324" t="n">
        <v>0</v>
      </c>
      <c r="M324" t="n">
        <v>0</v>
      </c>
      <c r="N324" t="n">
        <v>0</v>
      </c>
      <c r="O324" t="n">
        <v>0</v>
      </c>
      <c r="P324" t="n">
        <v>0</v>
      </c>
      <c r="Q324" t="n">
        <v>0</v>
      </c>
      <c r="R324" s="2" t="inlineStr"/>
    </row>
    <row r="325" ht="15" customHeight="1">
      <c r="A325" t="inlineStr">
        <is>
          <t>A 41793-2025</t>
        </is>
      </c>
      <c r="B325" s="1" t="n">
        <v>45902</v>
      </c>
      <c r="C325" s="1" t="n">
        <v>46013</v>
      </c>
      <c r="D325" t="inlineStr">
        <is>
          <t>SÖDERMANLANDS LÄN</t>
        </is>
      </c>
      <c r="E325" t="inlineStr">
        <is>
          <t>KATRINEHOLM</t>
        </is>
      </c>
      <c r="G325" t="n">
        <v>1.1</v>
      </c>
      <c r="H325" t="n">
        <v>0</v>
      </c>
      <c r="I325" t="n">
        <v>0</v>
      </c>
      <c r="J325" t="n">
        <v>0</v>
      </c>
      <c r="K325" t="n">
        <v>0</v>
      </c>
      <c r="L325" t="n">
        <v>0</v>
      </c>
      <c r="M325" t="n">
        <v>0</v>
      </c>
      <c r="N325" t="n">
        <v>0</v>
      </c>
      <c r="O325" t="n">
        <v>0</v>
      </c>
      <c r="P325" t="n">
        <v>0</v>
      </c>
      <c r="Q325" t="n">
        <v>0</v>
      </c>
      <c r="R325" s="2" t="inlineStr"/>
    </row>
    <row r="326" ht="15" customHeight="1">
      <c r="A326" t="inlineStr">
        <is>
          <t>A 29189-2025</t>
        </is>
      </c>
      <c r="B326" s="1" t="n">
        <v>45822</v>
      </c>
      <c r="C326" s="1" t="n">
        <v>46013</v>
      </c>
      <c r="D326" t="inlineStr">
        <is>
          <t>SÖDERMANLANDS LÄN</t>
        </is>
      </c>
      <c r="E326" t="inlineStr">
        <is>
          <t>KATRINEHOLM</t>
        </is>
      </c>
      <c r="G326" t="n">
        <v>3.5</v>
      </c>
      <c r="H326" t="n">
        <v>0</v>
      </c>
      <c r="I326" t="n">
        <v>0</v>
      </c>
      <c r="J326" t="n">
        <v>0</v>
      </c>
      <c r="K326" t="n">
        <v>0</v>
      </c>
      <c r="L326" t="n">
        <v>0</v>
      </c>
      <c r="M326" t="n">
        <v>0</v>
      </c>
      <c r="N326" t="n">
        <v>0</v>
      </c>
      <c r="O326" t="n">
        <v>0</v>
      </c>
      <c r="P326" t="n">
        <v>0</v>
      </c>
      <c r="Q326" t="n">
        <v>0</v>
      </c>
      <c r="R326" s="2" t="inlineStr"/>
    </row>
    <row r="327" ht="15" customHeight="1">
      <c r="A327" t="inlineStr">
        <is>
          <t>A 8917-2024</t>
        </is>
      </c>
      <c r="B327" s="1" t="n">
        <v>45357.37618055556</v>
      </c>
      <c r="C327" s="1" t="n">
        <v>46013</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4656-2023</t>
        </is>
      </c>
      <c r="B328" s="1" t="n">
        <v>44957</v>
      </c>
      <c r="C328" s="1" t="n">
        <v>46013</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30050-2025</t>
        </is>
      </c>
      <c r="B329" s="1" t="n">
        <v>45826.59151620371</v>
      </c>
      <c r="C329" s="1" t="n">
        <v>46013</v>
      </c>
      <c r="D329" t="inlineStr">
        <is>
          <t>SÖDERMANLANDS LÄN</t>
        </is>
      </c>
      <c r="E329" t="inlineStr">
        <is>
          <t>KATRINEHOLM</t>
        </is>
      </c>
      <c r="G329" t="n">
        <v>7.9</v>
      </c>
      <c r="H329" t="n">
        <v>0</v>
      </c>
      <c r="I329" t="n">
        <v>0</v>
      </c>
      <c r="J329" t="n">
        <v>0</v>
      </c>
      <c r="K329" t="n">
        <v>0</v>
      </c>
      <c r="L329" t="n">
        <v>0</v>
      </c>
      <c r="M329" t="n">
        <v>0</v>
      </c>
      <c r="N329" t="n">
        <v>0</v>
      </c>
      <c r="O329" t="n">
        <v>0</v>
      </c>
      <c r="P329" t="n">
        <v>0</v>
      </c>
      <c r="Q329" t="n">
        <v>0</v>
      </c>
      <c r="R329" s="2" t="inlineStr"/>
    </row>
    <row r="330" ht="15" customHeight="1">
      <c r="A330" t="inlineStr">
        <is>
          <t>A 59093-2024</t>
        </is>
      </c>
      <c r="B330" s="1" t="n">
        <v>45636</v>
      </c>
      <c r="C330" s="1" t="n">
        <v>46013</v>
      </c>
      <c r="D330" t="inlineStr">
        <is>
          <t>SÖDERMANLANDS LÄN</t>
        </is>
      </c>
      <c r="E330" t="inlineStr">
        <is>
          <t>KATRINEHOLM</t>
        </is>
      </c>
      <c r="G330" t="n">
        <v>2.8</v>
      </c>
      <c r="H330" t="n">
        <v>0</v>
      </c>
      <c r="I330" t="n">
        <v>0</v>
      </c>
      <c r="J330" t="n">
        <v>0</v>
      </c>
      <c r="K330" t="n">
        <v>0</v>
      </c>
      <c r="L330" t="n">
        <v>0</v>
      </c>
      <c r="M330" t="n">
        <v>0</v>
      </c>
      <c r="N330" t="n">
        <v>0</v>
      </c>
      <c r="O330" t="n">
        <v>0</v>
      </c>
      <c r="P330" t="n">
        <v>0</v>
      </c>
      <c r="Q330" t="n">
        <v>0</v>
      </c>
      <c r="R330" s="2" t="inlineStr"/>
    </row>
    <row r="331" ht="15" customHeight="1">
      <c r="A331" t="inlineStr">
        <is>
          <t>A 30070-2025</t>
        </is>
      </c>
      <c r="B331" s="1" t="n">
        <v>45826.63324074074</v>
      </c>
      <c r="C331" s="1" t="n">
        <v>46013</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42686-2025</t>
        </is>
      </c>
      <c r="B332" s="1" t="n">
        <v>45908.35550925926</v>
      </c>
      <c r="C332" s="1" t="n">
        <v>46013</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42799-2025</t>
        </is>
      </c>
      <c r="B333" s="1" t="n">
        <v>45907</v>
      </c>
      <c r="C333" s="1" t="n">
        <v>46013</v>
      </c>
      <c r="D333" t="inlineStr">
        <is>
          <t>SÖDERMANLANDS LÄN</t>
        </is>
      </c>
      <c r="E333" t="inlineStr">
        <is>
          <t>KATRINEHOLM</t>
        </is>
      </c>
      <c r="G333" t="n">
        <v>3.9</v>
      </c>
      <c r="H333" t="n">
        <v>0</v>
      </c>
      <c r="I333" t="n">
        <v>0</v>
      </c>
      <c r="J333" t="n">
        <v>0</v>
      </c>
      <c r="K333" t="n">
        <v>0</v>
      </c>
      <c r="L333" t="n">
        <v>0</v>
      </c>
      <c r="M333" t="n">
        <v>0</v>
      </c>
      <c r="N333" t="n">
        <v>0</v>
      </c>
      <c r="O333" t="n">
        <v>0</v>
      </c>
      <c r="P333" t="n">
        <v>0</v>
      </c>
      <c r="Q333" t="n">
        <v>0</v>
      </c>
      <c r="R333" s="2" t="inlineStr"/>
    </row>
    <row r="334" ht="15" customHeight="1">
      <c r="A334" t="inlineStr">
        <is>
          <t>A 38872-2024</t>
        </is>
      </c>
      <c r="B334" s="1" t="n">
        <v>45547</v>
      </c>
      <c r="C334" s="1" t="n">
        <v>46013</v>
      </c>
      <c r="D334" t="inlineStr">
        <is>
          <t>SÖDERMANLANDS LÄN</t>
        </is>
      </c>
      <c r="E334" t="inlineStr">
        <is>
          <t>KATRINEHOLM</t>
        </is>
      </c>
      <c r="G334" t="n">
        <v>5.7</v>
      </c>
      <c r="H334" t="n">
        <v>0</v>
      </c>
      <c r="I334" t="n">
        <v>0</v>
      </c>
      <c r="J334" t="n">
        <v>0</v>
      </c>
      <c r="K334" t="n">
        <v>0</v>
      </c>
      <c r="L334" t="n">
        <v>0</v>
      </c>
      <c r="M334" t="n">
        <v>0</v>
      </c>
      <c r="N334" t="n">
        <v>0</v>
      </c>
      <c r="O334" t="n">
        <v>0</v>
      </c>
      <c r="P334" t="n">
        <v>0</v>
      </c>
      <c r="Q334" t="n">
        <v>0</v>
      </c>
      <c r="R334" s="2" t="inlineStr"/>
    </row>
    <row r="335" ht="15" customHeight="1">
      <c r="A335" t="inlineStr">
        <is>
          <t>A 42474-2025</t>
        </is>
      </c>
      <c r="B335" s="1" t="n">
        <v>45905.46659722222</v>
      </c>
      <c r="C335" s="1" t="n">
        <v>46013</v>
      </c>
      <c r="D335" t="inlineStr">
        <is>
          <t>SÖDERMANLANDS LÄN</t>
        </is>
      </c>
      <c r="E335" t="inlineStr">
        <is>
          <t>KATRINEHOLM</t>
        </is>
      </c>
      <c r="G335" t="n">
        <v>4</v>
      </c>
      <c r="H335" t="n">
        <v>0</v>
      </c>
      <c r="I335" t="n">
        <v>0</v>
      </c>
      <c r="J335" t="n">
        <v>0</v>
      </c>
      <c r="K335" t="n">
        <v>0</v>
      </c>
      <c r="L335" t="n">
        <v>0</v>
      </c>
      <c r="M335" t="n">
        <v>0</v>
      </c>
      <c r="N335" t="n">
        <v>0</v>
      </c>
      <c r="O335" t="n">
        <v>0</v>
      </c>
      <c r="P335" t="n">
        <v>0</v>
      </c>
      <c r="Q335" t="n">
        <v>0</v>
      </c>
      <c r="R335" s="2" t="inlineStr"/>
    </row>
    <row r="336" ht="15" customHeight="1">
      <c r="A336" t="inlineStr">
        <is>
          <t>A 30287-2025</t>
        </is>
      </c>
      <c r="B336" s="1" t="n">
        <v>45827</v>
      </c>
      <c r="C336" s="1" t="n">
        <v>46013</v>
      </c>
      <c r="D336" t="inlineStr">
        <is>
          <t>SÖDERMANLANDS LÄN</t>
        </is>
      </c>
      <c r="E336" t="inlineStr">
        <is>
          <t>KATRINEHOLM</t>
        </is>
      </c>
      <c r="G336" t="n">
        <v>10.2</v>
      </c>
      <c r="H336" t="n">
        <v>0</v>
      </c>
      <c r="I336" t="n">
        <v>0</v>
      </c>
      <c r="J336" t="n">
        <v>0</v>
      </c>
      <c r="K336" t="n">
        <v>0</v>
      </c>
      <c r="L336" t="n">
        <v>0</v>
      </c>
      <c r="M336" t="n">
        <v>0</v>
      </c>
      <c r="N336" t="n">
        <v>0</v>
      </c>
      <c r="O336" t="n">
        <v>0</v>
      </c>
      <c r="P336" t="n">
        <v>0</v>
      </c>
      <c r="Q336" t="n">
        <v>0</v>
      </c>
      <c r="R336" s="2" t="inlineStr"/>
    </row>
    <row r="337" ht="15" customHeight="1">
      <c r="A337" t="inlineStr">
        <is>
          <t>A 30350-2025</t>
        </is>
      </c>
      <c r="B337" s="1" t="n">
        <v>45827.53319444445</v>
      </c>
      <c r="C337" s="1" t="n">
        <v>46013</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30352-2025</t>
        </is>
      </c>
      <c r="B338" s="1" t="n">
        <v>45827</v>
      </c>
      <c r="C338" s="1" t="n">
        <v>46013</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30386-2025</t>
        </is>
      </c>
      <c r="B339" s="1" t="n">
        <v>45827</v>
      </c>
      <c r="C339" s="1" t="n">
        <v>46013</v>
      </c>
      <c r="D339" t="inlineStr">
        <is>
          <t>SÖDERMANLANDS LÄN</t>
        </is>
      </c>
      <c r="E339" t="inlineStr">
        <is>
          <t>KATRINEHOLM</t>
        </is>
      </c>
      <c r="G339" t="n">
        <v>5.6</v>
      </c>
      <c r="H339" t="n">
        <v>0</v>
      </c>
      <c r="I339" t="n">
        <v>0</v>
      </c>
      <c r="J339" t="n">
        <v>0</v>
      </c>
      <c r="K339" t="n">
        <v>0</v>
      </c>
      <c r="L339" t="n">
        <v>0</v>
      </c>
      <c r="M339" t="n">
        <v>0</v>
      </c>
      <c r="N339" t="n">
        <v>0</v>
      </c>
      <c r="O339" t="n">
        <v>0</v>
      </c>
      <c r="P339" t="n">
        <v>0</v>
      </c>
      <c r="Q339" t="n">
        <v>0</v>
      </c>
      <c r="R339" s="2" t="inlineStr"/>
    </row>
    <row r="340" ht="15" customHeight="1">
      <c r="A340" t="inlineStr">
        <is>
          <t>A 30402-2025</t>
        </is>
      </c>
      <c r="B340" s="1" t="n">
        <v>45827</v>
      </c>
      <c r="C340" s="1" t="n">
        <v>46013</v>
      </c>
      <c r="D340" t="inlineStr">
        <is>
          <t>SÖDERMANLANDS LÄN</t>
        </is>
      </c>
      <c r="E340" t="inlineStr">
        <is>
          <t>KATRINEHOLM</t>
        </is>
      </c>
      <c r="G340" t="n">
        <v>7.1</v>
      </c>
      <c r="H340" t="n">
        <v>0</v>
      </c>
      <c r="I340" t="n">
        <v>0</v>
      </c>
      <c r="J340" t="n">
        <v>0</v>
      </c>
      <c r="K340" t="n">
        <v>0</v>
      </c>
      <c r="L340" t="n">
        <v>0</v>
      </c>
      <c r="M340" t="n">
        <v>0</v>
      </c>
      <c r="N340" t="n">
        <v>0</v>
      </c>
      <c r="O340" t="n">
        <v>0</v>
      </c>
      <c r="P340" t="n">
        <v>0</v>
      </c>
      <c r="Q340" t="n">
        <v>0</v>
      </c>
      <c r="R340" s="2" t="inlineStr"/>
    </row>
    <row r="341" ht="15" customHeight="1">
      <c r="A341" t="inlineStr">
        <is>
          <t>A 69600-2020</t>
        </is>
      </c>
      <c r="B341" s="1" t="n">
        <v>44195</v>
      </c>
      <c r="C341" s="1" t="n">
        <v>46013</v>
      </c>
      <c r="D341" t="inlineStr">
        <is>
          <t>SÖDERMANLANDS LÄN</t>
        </is>
      </c>
      <c r="E341" t="inlineStr">
        <is>
          <t>KATRINEHOLM</t>
        </is>
      </c>
      <c r="G341" t="n">
        <v>11.3</v>
      </c>
      <c r="H341" t="n">
        <v>0</v>
      </c>
      <c r="I341" t="n">
        <v>0</v>
      </c>
      <c r="J341" t="n">
        <v>0</v>
      </c>
      <c r="K341" t="n">
        <v>0</v>
      </c>
      <c r="L341" t="n">
        <v>0</v>
      </c>
      <c r="M341" t="n">
        <v>0</v>
      </c>
      <c r="N341" t="n">
        <v>0</v>
      </c>
      <c r="O341" t="n">
        <v>0</v>
      </c>
      <c r="P341" t="n">
        <v>0</v>
      </c>
      <c r="Q341" t="n">
        <v>0</v>
      </c>
      <c r="R341" s="2" t="inlineStr"/>
    </row>
    <row r="342" ht="15" customHeight="1">
      <c r="A342" t="inlineStr">
        <is>
          <t>A 9932-2023</t>
        </is>
      </c>
      <c r="B342" s="1" t="n">
        <v>44985.46709490741</v>
      </c>
      <c r="C342" s="1" t="n">
        <v>46013</v>
      </c>
      <c r="D342" t="inlineStr">
        <is>
          <t>SÖDERMANLANDS LÄN</t>
        </is>
      </c>
      <c r="E342" t="inlineStr">
        <is>
          <t>KATRINEHOLM</t>
        </is>
      </c>
      <c r="G342" t="n">
        <v>0.3</v>
      </c>
      <c r="H342" t="n">
        <v>0</v>
      </c>
      <c r="I342" t="n">
        <v>0</v>
      </c>
      <c r="J342" t="n">
        <v>0</v>
      </c>
      <c r="K342" t="n">
        <v>0</v>
      </c>
      <c r="L342" t="n">
        <v>0</v>
      </c>
      <c r="M342" t="n">
        <v>0</v>
      </c>
      <c r="N342" t="n">
        <v>0</v>
      </c>
      <c r="O342" t="n">
        <v>0</v>
      </c>
      <c r="P342" t="n">
        <v>0</v>
      </c>
      <c r="Q342" t="n">
        <v>0</v>
      </c>
      <c r="R342" s="2" t="inlineStr"/>
    </row>
    <row r="343" ht="15" customHeight="1">
      <c r="A343" t="inlineStr">
        <is>
          <t>A 9192-2023</t>
        </is>
      </c>
      <c r="B343" s="1" t="n">
        <v>44980</v>
      </c>
      <c r="C343" s="1" t="n">
        <v>46013</v>
      </c>
      <c r="D343" t="inlineStr">
        <is>
          <t>SÖDERMANLANDS LÄN</t>
        </is>
      </c>
      <c r="E343" t="inlineStr">
        <is>
          <t>KATRINEHOLM</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15399-2022</t>
        </is>
      </c>
      <c r="B344" s="1" t="n">
        <v>44659</v>
      </c>
      <c r="C344" s="1" t="n">
        <v>46013</v>
      </c>
      <c r="D344" t="inlineStr">
        <is>
          <t>SÖDERMANLANDS LÄN</t>
        </is>
      </c>
      <c r="E344" t="inlineStr">
        <is>
          <t>KATRINEHOLM</t>
        </is>
      </c>
      <c r="G344" t="n">
        <v>5.6</v>
      </c>
      <c r="H344" t="n">
        <v>0</v>
      </c>
      <c r="I344" t="n">
        <v>0</v>
      </c>
      <c r="J344" t="n">
        <v>0</v>
      </c>
      <c r="K344" t="n">
        <v>0</v>
      </c>
      <c r="L344" t="n">
        <v>0</v>
      </c>
      <c r="M344" t="n">
        <v>0</v>
      </c>
      <c r="N344" t="n">
        <v>0</v>
      </c>
      <c r="O344" t="n">
        <v>0</v>
      </c>
      <c r="P344" t="n">
        <v>0</v>
      </c>
      <c r="Q344" t="n">
        <v>0</v>
      </c>
      <c r="R344" s="2" t="inlineStr"/>
    </row>
    <row r="345" ht="15" customHeight="1">
      <c r="A345" t="inlineStr">
        <is>
          <t>A 11872-2023</t>
        </is>
      </c>
      <c r="B345" s="1" t="n">
        <v>44995</v>
      </c>
      <c r="C345" s="1" t="n">
        <v>46013</v>
      </c>
      <c r="D345" t="inlineStr">
        <is>
          <t>SÖDERMANLANDS LÄN</t>
        </is>
      </c>
      <c r="E345" t="inlineStr">
        <is>
          <t>KATRINEHOLM</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49092-2024</t>
        </is>
      </c>
      <c r="B346" s="1" t="n">
        <v>45594.63619212963</v>
      </c>
      <c r="C346" s="1" t="n">
        <v>46013</v>
      </c>
      <c r="D346" t="inlineStr">
        <is>
          <t>SÖDERMANLANDS LÄN</t>
        </is>
      </c>
      <c r="E346" t="inlineStr">
        <is>
          <t>KATRINEHOLM</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49095-2024</t>
        </is>
      </c>
      <c r="B347" s="1" t="n">
        <v>45594.63828703704</v>
      </c>
      <c r="C347" s="1" t="n">
        <v>46013</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31376-2025</t>
        </is>
      </c>
      <c r="B348" s="1" t="n">
        <v>45833</v>
      </c>
      <c r="C348" s="1" t="n">
        <v>46013</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7254-2021</t>
        </is>
      </c>
      <c r="B349" s="1" t="n">
        <v>44238</v>
      </c>
      <c r="C349" s="1" t="n">
        <v>46013</v>
      </c>
      <c r="D349" t="inlineStr">
        <is>
          <t>SÖDERMANLANDS LÄN</t>
        </is>
      </c>
      <c r="E349" t="inlineStr">
        <is>
          <t>KATRINEHOLM</t>
        </is>
      </c>
      <c r="G349" t="n">
        <v>3.6</v>
      </c>
      <c r="H349" t="n">
        <v>0</v>
      </c>
      <c r="I349" t="n">
        <v>0</v>
      </c>
      <c r="J349" t="n">
        <v>0</v>
      </c>
      <c r="K349" t="n">
        <v>0</v>
      </c>
      <c r="L349" t="n">
        <v>0</v>
      </c>
      <c r="M349" t="n">
        <v>0</v>
      </c>
      <c r="N349" t="n">
        <v>0</v>
      </c>
      <c r="O349" t="n">
        <v>0</v>
      </c>
      <c r="P349" t="n">
        <v>0</v>
      </c>
      <c r="Q349" t="n">
        <v>0</v>
      </c>
      <c r="R349" s="2" t="inlineStr"/>
    </row>
    <row r="350" ht="15" customHeight="1">
      <c r="A350" t="inlineStr">
        <is>
          <t>A 36-2023</t>
        </is>
      </c>
      <c r="B350" s="1" t="n">
        <v>44928.36578703704</v>
      </c>
      <c r="C350" s="1" t="n">
        <v>46013</v>
      </c>
      <c r="D350" t="inlineStr">
        <is>
          <t>SÖDERMANLANDS LÄN</t>
        </is>
      </c>
      <c r="E350" t="inlineStr">
        <is>
          <t>KATRINEHOLM</t>
        </is>
      </c>
      <c r="G350" t="n">
        <v>3.7</v>
      </c>
      <c r="H350" t="n">
        <v>0</v>
      </c>
      <c r="I350" t="n">
        <v>0</v>
      </c>
      <c r="J350" t="n">
        <v>0</v>
      </c>
      <c r="K350" t="n">
        <v>0</v>
      </c>
      <c r="L350" t="n">
        <v>0</v>
      </c>
      <c r="M350" t="n">
        <v>0</v>
      </c>
      <c r="N350" t="n">
        <v>0</v>
      </c>
      <c r="O350" t="n">
        <v>0</v>
      </c>
      <c r="P350" t="n">
        <v>0</v>
      </c>
      <c r="Q350" t="n">
        <v>0</v>
      </c>
      <c r="R350" s="2" t="inlineStr"/>
    </row>
    <row r="351" ht="15" customHeight="1">
      <c r="A351" t="inlineStr">
        <is>
          <t>A 31392-2025</t>
        </is>
      </c>
      <c r="B351" s="1" t="n">
        <v>45833</v>
      </c>
      <c r="C351" s="1" t="n">
        <v>46013</v>
      </c>
      <c r="D351" t="inlineStr">
        <is>
          <t>SÖDERMANLANDS LÄN</t>
        </is>
      </c>
      <c r="E351" t="inlineStr">
        <is>
          <t>KATRINEHOLM</t>
        </is>
      </c>
      <c r="G351" t="n">
        <v>5</v>
      </c>
      <c r="H351" t="n">
        <v>0</v>
      </c>
      <c r="I351" t="n">
        <v>0</v>
      </c>
      <c r="J351" t="n">
        <v>0</v>
      </c>
      <c r="K351" t="n">
        <v>0</v>
      </c>
      <c r="L351" t="n">
        <v>0</v>
      </c>
      <c r="M351" t="n">
        <v>0</v>
      </c>
      <c r="N351" t="n">
        <v>0</v>
      </c>
      <c r="O351" t="n">
        <v>0</v>
      </c>
      <c r="P351" t="n">
        <v>0</v>
      </c>
      <c r="Q351" t="n">
        <v>0</v>
      </c>
      <c r="R351" s="2" t="inlineStr"/>
    </row>
    <row r="352" ht="15" customHeight="1">
      <c r="A352" t="inlineStr">
        <is>
          <t>A 10341-2022</t>
        </is>
      </c>
      <c r="B352" s="1" t="n">
        <v>44623</v>
      </c>
      <c r="C352" s="1" t="n">
        <v>46013</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31386-2025</t>
        </is>
      </c>
      <c r="B353" s="1" t="n">
        <v>45833.45259259259</v>
      </c>
      <c r="C353" s="1" t="n">
        <v>46013</v>
      </c>
      <c r="D353" t="inlineStr">
        <is>
          <t>SÖDERMANLANDS LÄN</t>
        </is>
      </c>
      <c r="E353" t="inlineStr">
        <is>
          <t>KATRINEHOLM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44071-2025</t>
        </is>
      </c>
      <c r="B354" s="1" t="n">
        <v>45915</v>
      </c>
      <c r="C354" s="1" t="n">
        <v>46013</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43975-2025</t>
        </is>
      </c>
      <c r="B355" s="1" t="n">
        <v>45915.41148148148</v>
      </c>
      <c r="C355" s="1" t="n">
        <v>46013</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12835-2024</t>
        </is>
      </c>
      <c r="B356" s="1" t="n">
        <v>45384</v>
      </c>
      <c r="C356" s="1" t="n">
        <v>46013</v>
      </c>
      <c r="D356" t="inlineStr">
        <is>
          <t>SÖDERMANLANDS LÄN</t>
        </is>
      </c>
      <c r="E356" t="inlineStr">
        <is>
          <t>KATRINEHOLM</t>
        </is>
      </c>
      <c r="F356" t="inlineStr">
        <is>
          <t>Allmännings- och besparingsskogar</t>
        </is>
      </c>
      <c r="G356" t="n">
        <v>0.5</v>
      </c>
      <c r="H356" t="n">
        <v>0</v>
      </c>
      <c r="I356" t="n">
        <v>0</v>
      </c>
      <c r="J356" t="n">
        <v>0</v>
      </c>
      <c r="K356" t="n">
        <v>0</v>
      </c>
      <c r="L356" t="n">
        <v>0</v>
      </c>
      <c r="M356" t="n">
        <v>0</v>
      </c>
      <c r="N356" t="n">
        <v>0</v>
      </c>
      <c r="O356" t="n">
        <v>0</v>
      </c>
      <c r="P356" t="n">
        <v>0</v>
      </c>
      <c r="Q356" t="n">
        <v>0</v>
      </c>
      <c r="R356" s="2" t="inlineStr"/>
    </row>
    <row r="357" ht="15" customHeight="1">
      <c r="A357" t="inlineStr">
        <is>
          <t>A 25716-2022</t>
        </is>
      </c>
      <c r="B357" s="1" t="n">
        <v>44733.39600694444</v>
      </c>
      <c r="C357" s="1" t="n">
        <v>46013</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6807-2023</t>
        </is>
      </c>
      <c r="B358" s="1" t="n">
        <v>44964</v>
      </c>
      <c r="C358" s="1" t="n">
        <v>46013</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9668-2023</t>
        </is>
      </c>
      <c r="B359" s="1" t="n">
        <v>44984.41238425926</v>
      </c>
      <c r="C359" s="1" t="n">
        <v>46013</v>
      </c>
      <c r="D359" t="inlineStr">
        <is>
          <t>SÖDERMANLANDS LÄN</t>
        </is>
      </c>
      <c r="E359" t="inlineStr">
        <is>
          <t>KATRINEHOLM</t>
        </is>
      </c>
      <c r="G359" t="n">
        <v>4.8</v>
      </c>
      <c r="H359" t="n">
        <v>0</v>
      </c>
      <c r="I359" t="n">
        <v>0</v>
      </c>
      <c r="J359" t="n">
        <v>0</v>
      </c>
      <c r="K359" t="n">
        <v>0</v>
      </c>
      <c r="L359" t="n">
        <v>0</v>
      </c>
      <c r="M359" t="n">
        <v>0</v>
      </c>
      <c r="N359" t="n">
        <v>0</v>
      </c>
      <c r="O359" t="n">
        <v>0</v>
      </c>
      <c r="P359" t="n">
        <v>0</v>
      </c>
      <c r="Q359" t="n">
        <v>0</v>
      </c>
      <c r="R359" s="2" t="inlineStr"/>
    </row>
    <row r="360" ht="15" customHeight="1">
      <c r="A360" t="inlineStr">
        <is>
          <t>A 9044-2022</t>
        </is>
      </c>
      <c r="B360" s="1" t="n">
        <v>44602</v>
      </c>
      <c r="C360" s="1" t="n">
        <v>46013</v>
      </c>
      <c r="D360" t="inlineStr">
        <is>
          <t>SÖDERMANLANDS LÄN</t>
        </is>
      </c>
      <c r="E360" t="inlineStr">
        <is>
          <t>KATRINEHOLM</t>
        </is>
      </c>
      <c r="G360" t="n">
        <v>5.8</v>
      </c>
      <c r="H360" t="n">
        <v>0</v>
      </c>
      <c r="I360" t="n">
        <v>0</v>
      </c>
      <c r="J360" t="n">
        <v>0</v>
      </c>
      <c r="K360" t="n">
        <v>0</v>
      </c>
      <c r="L360" t="n">
        <v>0</v>
      </c>
      <c r="M360" t="n">
        <v>0</v>
      </c>
      <c r="N360" t="n">
        <v>0</v>
      </c>
      <c r="O360" t="n">
        <v>0</v>
      </c>
      <c r="P360" t="n">
        <v>0</v>
      </c>
      <c r="Q360" t="n">
        <v>0</v>
      </c>
      <c r="R360" s="2" t="inlineStr"/>
    </row>
    <row r="361" ht="15" customHeight="1">
      <c r="A361" t="inlineStr">
        <is>
          <t>A 31990-2025</t>
        </is>
      </c>
      <c r="B361" s="1" t="n">
        <v>45835.36697916667</v>
      </c>
      <c r="C361" s="1" t="n">
        <v>46013</v>
      </c>
      <c r="D361" t="inlineStr">
        <is>
          <t>SÖDERMANLANDS LÄN</t>
        </is>
      </c>
      <c r="E361" t="inlineStr">
        <is>
          <t>KATRINEHOLM</t>
        </is>
      </c>
      <c r="G361" t="n">
        <v>0.5</v>
      </c>
      <c r="H361" t="n">
        <v>0</v>
      </c>
      <c r="I361" t="n">
        <v>0</v>
      </c>
      <c r="J361" t="n">
        <v>0</v>
      </c>
      <c r="K361" t="n">
        <v>0</v>
      </c>
      <c r="L361" t="n">
        <v>0</v>
      </c>
      <c r="M361" t="n">
        <v>0</v>
      </c>
      <c r="N361" t="n">
        <v>0</v>
      </c>
      <c r="O361" t="n">
        <v>0</v>
      </c>
      <c r="P361" t="n">
        <v>0</v>
      </c>
      <c r="Q361" t="n">
        <v>0</v>
      </c>
      <c r="R361" s="2" t="inlineStr"/>
    </row>
    <row r="362" ht="15" customHeight="1">
      <c r="A362" t="inlineStr">
        <is>
          <t>A 33090-2025</t>
        </is>
      </c>
      <c r="B362" s="1" t="n">
        <v>45840.46840277778</v>
      </c>
      <c r="C362" s="1" t="n">
        <v>46013</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33084-2025</t>
        </is>
      </c>
      <c r="B363" s="1" t="n">
        <v>45840.46559027778</v>
      </c>
      <c r="C363" s="1" t="n">
        <v>46013</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48091-2024</t>
        </is>
      </c>
      <c r="B364" s="1" t="n">
        <v>45590</v>
      </c>
      <c r="C364" s="1" t="n">
        <v>46013</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24097-2022</t>
        </is>
      </c>
      <c r="B365" s="1" t="n">
        <v>44725.39371527778</v>
      </c>
      <c r="C365" s="1" t="n">
        <v>46013</v>
      </c>
      <c r="D365" t="inlineStr">
        <is>
          <t>SÖDERMANLANDS LÄN</t>
        </is>
      </c>
      <c r="E365" t="inlineStr">
        <is>
          <t>KATRINEHOLM</t>
        </is>
      </c>
      <c r="G365" t="n">
        <v>6.5</v>
      </c>
      <c r="H365" t="n">
        <v>0</v>
      </c>
      <c r="I365" t="n">
        <v>0</v>
      </c>
      <c r="J365" t="n">
        <v>0</v>
      </c>
      <c r="K365" t="n">
        <v>0</v>
      </c>
      <c r="L365" t="n">
        <v>0</v>
      </c>
      <c r="M365" t="n">
        <v>0</v>
      </c>
      <c r="N365" t="n">
        <v>0</v>
      </c>
      <c r="O365" t="n">
        <v>0</v>
      </c>
      <c r="P365" t="n">
        <v>0</v>
      </c>
      <c r="Q365" t="n">
        <v>0</v>
      </c>
      <c r="R365" s="2" t="inlineStr"/>
    </row>
    <row r="366" ht="15" customHeight="1">
      <c r="A366" t="inlineStr">
        <is>
          <t>A 46670-2021</t>
        </is>
      </c>
      <c r="B366" s="1" t="n">
        <v>44445</v>
      </c>
      <c r="C366" s="1" t="n">
        <v>46013</v>
      </c>
      <c r="D366" t="inlineStr">
        <is>
          <t>SÖDERMANLANDS LÄN</t>
        </is>
      </c>
      <c r="E366" t="inlineStr">
        <is>
          <t>KATRINEHOLM</t>
        </is>
      </c>
      <c r="G366" t="n">
        <v>4.4</v>
      </c>
      <c r="H366" t="n">
        <v>0</v>
      </c>
      <c r="I366" t="n">
        <v>0</v>
      </c>
      <c r="J366" t="n">
        <v>0</v>
      </c>
      <c r="K366" t="n">
        <v>0</v>
      </c>
      <c r="L366" t="n">
        <v>0</v>
      </c>
      <c r="M366" t="n">
        <v>0</v>
      </c>
      <c r="N366" t="n">
        <v>0</v>
      </c>
      <c r="O366" t="n">
        <v>0</v>
      </c>
      <c r="P366" t="n">
        <v>0</v>
      </c>
      <c r="Q366" t="n">
        <v>0</v>
      </c>
      <c r="R366" s="2" t="inlineStr"/>
    </row>
    <row r="367" ht="15" customHeight="1">
      <c r="A367" t="inlineStr">
        <is>
          <t>A 33577-2025</t>
        </is>
      </c>
      <c r="B367" s="1" t="n">
        <v>45841.59056712963</v>
      </c>
      <c r="C367" s="1" t="n">
        <v>46013</v>
      </c>
      <c r="D367" t="inlineStr">
        <is>
          <t>SÖDERMANLANDS LÄN</t>
        </is>
      </c>
      <c r="E367" t="inlineStr">
        <is>
          <t>KATRINEHOLM</t>
        </is>
      </c>
      <c r="F367" t="inlineStr">
        <is>
          <t>Holmen skog AB</t>
        </is>
      </c>
      <c r="G367" t="n">
        <v>0.3</v>
      </c>
      <c r="H367" t="n">
        <v>0</v>
      </c>
      <c r="I367" t="n">
        <v>0</v>
      </c>
      <c r="J367" t="n">
        <v>0</v>
      </c>
      <c r="K367" t="n">
        <v>0</v>
      </c>
      <c r="L367" t="n">
        <v>0</v>
      </c>
      <c r="M367" t="n">
        <v>0</v>
      </c>
      <c r="N367" t="n">
        <v>0</v>
      </c>
      <c r="O367" t="n">
        <v>0</v>
      </c>
      <c r="P367" t="n">
        <v>0</v>
      </c>
      <c r="Q367" t="n">
        <v>0</v>
      </c>
      <c r="R367" s="2" t="inlineStr"/>
    </row>
    <row r="368" ht="15" customHeight="1">
      <c r="A368" t="inlineStr">
        <is>
          <t>A 62954-2023</t>
        </is>
      </c>
      <c r="B368" s="1" t="n">
        <v>45272.55362268518</v>
      </c>
      <c r="C368" s="1" t="n">
        <v>46013</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33812-2025</t>
        </is>
      </c>
      <c r="B369" s="1" t="n">
        <v>45842</v>
      </c>
      <c r="C369" s="1" t="n">
        <v>46013</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33815-2025</t>
        </is>
      </c>
      <c r="B370" s="1" t="n">
        <v>45842</v>
      </c>
      <c r="C370" s="1" t="n">
        <v>46013</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58651-2023</t>
        </is>
      </c>
      <c r="B371" s="1" t="n">
        <v>45247</v>
      </c>
      <c r="C371" s="1" t="n">
        <v>46013</v>
      </c>
      <c r="D371" t="inlineStr">
        <is>
          <t>SÖDERMANLANDS LÄN</t>
        </is>
      </c>
      <c r="E371" t="inlineStr">
        <is>
          <t>KATRINEHOLM</t>
        </is>
      </c>
      <c r="G371" t="n">
        <v>2.7</v>
      </c>
      <c r="H371" t="n">
        <v>0</v>
      </c>
      <c r="I371" t="n">
        <v>0</v>
      </c>
      <c r="J371" t="n">
        <v>0</v>
      </c>
      <c r="K371" t="n">
        <v>0</v>
      </c>
      <c r="L371" t="n">
        <v>0</v>
      </c>
      <c r="M371" t="n">
        <v>0</v>
      </c>
      <c r="N371" t="n">
        <v>0</v>
      </c>
      <c r="O371" t="n">
        <v>0</v>
      </c>
      <c r="P371" t="n">
        <v>0</v>
      </c>
      <c r="Q371" t="n">
        <v>0</v>
      </c>
      <c r="R371" s="2" t="inlineStr"/>
    </row>
    <row r="372" ht="15" customHeight="1">
      <c r="A372" t="inlineStr">
        <is>
          <t>A 12238-2021</t>
        </is>
      </c>
      <c r="B372" s="1" t="n">
        <v>44266</v>
      </c>
      <c r="C372" s="1" t="n">
        <v>46013</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6762-2025</t>
        </is>
      </c>
      <c r="B373" s="1" t="n">
        <v>45700</v>
      </c>
      <c r="C373" s="1" t="n">
        <v>46013</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46288-2025</t>
        </is>
      </c>
      <c r="B374" s="1" t="n">
        <v>45925.38545138889</v>
      </c>
      <c r="C374" s="1" t="n">
        <v>46013</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20213-2025</t>
        </is>
      </c>
      <c r="B375" s="1" t="n">
        <v>45772.63453703704</v>
      </c>
      <c r="C375" s="1" t="n">
        <v>46013</v>
      </c>
      <c r="D375" t="inlineStr">
        <is>
          <t>SÖDERMANLANDS LÄN</t>
        </is>
      </c>
      <c r="E375" t="inlineStr">
        <is>
          <t>KATRINEHOLM</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54873-2025</t>
        </is>
      </c>
      <c r="B376" s="1" t="n">
        <v>45967.30731481482</v>
      </c>
      <c r="C376" s="1" t="n">
        <v>46013</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6446-2022</t>
        </is>
      </c>
      <c r="B377" s="1" t="n">
        <v>44600</v>
      </c>
      <c r="C377" s="1" t="n">
        <v>46013</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46524-2025</t>
        </is>
      </c>
      <c r="B378" s="1" t="n">
        <v>45926</v>
      </c>
      <c r="C378" s="1" t="n">
        <v>46013</v>
      </c>
      <c r="D378" t="inlineStr">
        <is>
          <t>SÖDERMANLANDS LÄN</t>
        </is>
      </c>
      <c r="E378" t="inlineStr">
        <is>
          <t>KATRINEHOLM</t>
        </is>
      </c>
      <c r="G378" t="n">
        <v>5.7</v>
      </c>
      <c r="H378" t="n">
        <v>0</v>
      </c>
      <c r="I378" t="n">
        <v>0</v>
      </c>
      <c r="J378" t="n">
        <v>0</v>
      </c>
      <c r="K378" t="n">
        <v>0</v>
      </c>
      <c r="L378" t="n">
        <v>0</v>
      </c>
      <c r="M378" t="n">
        <v>0</v>
      </c>
      <c r="N378" t="n">
        <v>0</v>
      </c>
      <c r="O378" t="n">
        <v>0</v>
      </c>
      <c r="P378" t="n">
        <v>0</v>
      </c>
      <c r="Q378" t="n">
        <v>0</v>
      </c>
      <c r="R378" s="2" t="inlineStr"/>
    </row>
    <row r="379" ht="15" customHeight="1">
      <c r="A379" t="inlineStr">
        <is>
          <t>A 51923-2023</t>
        </is>
      </c>
      <c r="B379" s="1" t="n">
        <v>45223</v>
      </c>
      <c r="C379" s="1" t="n">
        <v>46013</v>
      </c>
      <c r="D379" t="inlineStr">
        <is>
          <t>SÖDERMANLANDS LÄN</t>
        </is>
      </c>
      <c r="E379" t="inlineStr">
        <is>
          <t>KATRINEHOLM</t>
        </is>
      </c>
      <c r="G379" t="n">
        <v>0.6</v>
      </c>
      <c r="H379" t="n">
        <v>0</v>
      </c>
      <c r="I379" t="n">
        <v>0</v>
      </c>
      <c r="J379" t="n">
        <v>0</v>
      </c>
      <c r="K379" t="n">
        <v>0</v>
      </c>
      <c r="L379" t="n">
        <v>0</v>
      </c>
      <c r="M379" t="n">
        <v>0</v>
      </c>
      <c r="N379" t="n">
        <v>0</v>
      </c>
      <c r="O379" t="n">
        <v>0</v>
      </c>
      <c r="P379" t="n">
        <v>0</v>
      </c>
      <c r="Q379" t="n">
        <v>0</v>
      </c>
      <c r="R379" s="2" t="inlineStr"/>
    </row>
    <row r="380" ht="15" customHeight="1">
      <c r="A380" t="inlineStr">
        <is>
          <t>A 55831-2025</t>
        </is>
      </c>
      <c r="B380" s="1" t="n">
        <v>45972.81034722222</v>
      </c>
      <c r="C380" s="1" t="n">
        <v>46013</v>
      </c>
      <c r="D380" t="inlineStr">
        <is>
          <t>SÖDERMANLANDS LÄN</t>
        </is>
      </c>
      <c r="E380" t="inlineStr">
        <is>
          <t>KATRINEHOLM</t>
        </is>
      </c>
      <c r="G380" t="n">
        <v>6.2</v>
      </c>
      <c r="H380" t="n">
        <v>0</v>
      </c>
      <c r="I380" t="n">
        <v>0</v>
      </c>
      <c r="J380" t="n">
        <v>0</v>
      </c>
      <c r="K380" t="n">
        <v>0</v>
      </c>
      <c r="L380" t="n">
        <v>0</v>
      </c>
      <c r="M380" t="n">
        <v>0</v>
      </c>
      <c r="N380" t="n">
        <v>0</v>
      </c>
      <c r="O380" t="n">
        <v>0</v>
      </c>
      <c r="P380" t="n">
        <v>0</v>
      </c>
      <c r="Q380" t="n">
        <v>0</v>
      </c>
      <c r="R380" s="2" t="inlineStr"/>
    </row>
    <row r="381" ht="15" customHeight="1">
      <c r="A381" t="inlineStr">
        <is>
          <t>A 55832-2025</t>
        </is>
      </c>
      <c r="B381" s="1" t="n">
        <v>45972.81768518518</v>
      </c>
      <c r="C381" s="1" t="n">
        <v>46013</v>
      </c>
      <c r="D381" t="inlineStr">
        <is>
          <t>SÖDERMANLANDS LÄN</t>
        </is>
      </c>
      <c r="E381" t="inlineStr">
        <is>
          <t>KATRINEHOLM</t>
        </is>
      </c>
      <c r="G381" t="n">
        <v>2</v>
      </c>
      <c r="H381" t="n">
        <v>0</v>
      </c>
      <c r="I381" t="n">
        <v>0</v>
      </c>
      <c r="J381" t="n">
        <v>0</v>
      </c>
      <c r="K381" t="n">
        <v>0</v>
      </c>
      <c r="L381" t="n">
        <v>0</v>
      </c>
      <c r="M381" t="n">
        <v>0</v>
      </c>
      <c r="N381" t="n">
        <v>0</v>
      </c>
      <c r="O381" t="n">
        <v>0</v>
      </c>
      <c r="P381" t="n">
        <v>0</v>
      </c>
      <c r="Q381" t="n">
        <v>0</v>
      </c>
      <c r="R381" s="2" t="inlineStr"/>
    </row>
    <row r="382" ht="15" customHeight="1">
      <c r="A382" t="inlineStr">
        <is>
          <t>A 35156-2025</t>
        </is>
      </c>
      <c r="B382" s="1" t="n">
        <v>45852</v>
      </c>
      <c r="C382" s="1" t="n">
        <v>46013</v>
      </c>
      <c r="D382" t="inlineStr">
        <is>
          <t>SÖDERMANLANDS LÄN</t>
        </is>
      </c>
      <c r="E382" t="inlineStr">
        <is>
          <t>KATRINEHOLM</t>
        </is>
      </c>
      <c r="G382" t="n">
        <v>5.7</v>
      </c>
      <c r="H382" t="n">
        <v>0</v>
      </c>
      <c r="I382" t="n">
        <v>0</v>
      </c>
      <c r="J382" t="n">
        <v>0</v>
      </c>
      <c r="K382" t="n">
        <v>0</v>
      </c>
      <c r="L382" t="n">
        <v>0</v>
      </c>
      <c r="M382" t="n">
        <v>0</v>
      </c>
      <c r="N382" t="n">
        <v>0</v>
      </c>
      <c r="O382" t="n">
        <v>0</v>
      </c>
      <c r="P382" t="n">
        <v>0</v>
      </c>
      <c r="Q382" t="n">
        <v>0</v>
      </c>
      <c r="R382" s="2" t="inlineStr"/>
    </row>
    <row r="383" ht="15" customHeight="1">
      <c r="A383" t="inlineStr">
        <is>
          <t>A 35152-2025</t>
        </is>
      </c>
      <c r="B383" s="1" t="n">
        <v>45852</v>
      </c>
      <c r="C383" s="1" t="n">
        <v>46013</v>
      </c>
      <c r="D383" t="inlineStr">
        <is>
          <t>SÖDERMANLANDS LÄN</t>
        </is>
      </c>
      <c r="E383" t="inlineStr">
        <is>
          <t>KATRINEHOLM</t>
        </is>
      </c>
      <c r="G383" t="n">
        <v>4.6</v>
      </c>
      <c r="H383" t="n">
        <v>0</v>
      </c>
      <c r="I383" t="n">
        <v>0</v>
      </c>
      <c r="J383" t="n">
        <v>0</v>
      </c>
      <c r="K383" t="n">
        <v>0</v>
      </c>
      <c r="L383" t="n">
        <v>0</v>
      </c>
      <c r="M383" t="n">
        <v>0</v>
      </c>
      <c r="N383" t="n">
        <v>0</v>
      </c>
      <c r="O383" t="n">
        <v>0</v>
      </c>
      <c r="P383" t="n">
        <v>0</v>
      </c>
      <c r="Q383" t="n">
        <v>0</v>
      </c>
      <c r="R383" s="2" t="inlineStr"/>
    </row>
    <row r="384" ht="15" customHeight="1">
      <c r="A384" t="inlineStr">
        <is>
          <t>A 35165-2025</t>
        </is>
      </c>
      <c r="B384" s="1" t="n">
        <v>45852.72320601852</v>
      </c>
      <c r="C384" s="1" t="n">
        <v>46013</v>
      </c>
      <c r="D384" t="inlineStr">
        <is>
          <t>SÖDERMANLANDS LÄN</t>
        </is>
      </c>
      <c r="E384" t="inlineStr">
        <is>
          <t>KATRINEHOLM</t>
        </is>
      </c>
      <c r="F384" t="inlineStr">
        <is>
          <t>Övriga Aktiebolag</t>
        </is>
      </c>
      <c r="G384" t="n">
        <v>20.7</v>
      </c>
      <c r="H384" t="n">
        <v>0</v>
      </c>
      <c r="I384" t="n">
        <v>0</v>
      </c>
      <c r="J384" t="n">
        <v>0</v>
      </c>
      <c r="K384" t="n">
        <v>0</v>
      </c>
      <c r="L384" t="n">
        <v>0</v>
      </c>
      <c r="M384" t="n">
        <v>0</v>
      </c>
      <c r="N384" t="n">
        <v>0</v>
      </c>
      <c r="O384" t="n">
        <v>0</v>
      </c>
      <c r="P384" t="n">
        <v>0</v>
      </c>
      <c r="Q384" t="n">
        <v>0</v>
      </c>
      <c r="R384" s="2" t="inlineStr"/>
    </row>
    <row r="385" ht="15" customHeight="1">
      <c r="A385" t="inlineStr">
        <is>
          <t>A 35149-2025</t>
        </is>
      </c>
      <c r="B385" s="1" t="n">
        <v>45852</v>
      </c>
      <c r="C385" s="1" t="n">
        <v>46013</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35161-2025</t>
        </is>
      </c>
      <c r="B386" s="1" t="n">
        <v>45852.70716435185</v>
      </c>
      <c r="C386" s="1" t="n">
        <v>46013</v>
      </c>
      <c r="D386" t="inlineStr">
        <is>
          <t>SÖDERMANLANDS LÄN</t>
        </is>
      </c>
      <c r="E386" t="inlineStr">
        <is>
          <t>KATRINEHOLM</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18386-2025</t>
        </is>
      </c>
      <c r="B387" s="1" t="n">
        <v>45762</v>
      </c>
      <c r="C387" s="1" t="n">
        <v>46013</v>
      </c>
      <c r="D387" t="inlineStr">
        <is>
          <t>SÖDERMANLANDS LÄN</t>
        </is>
      </c>
      <c r="E387" t="inlineStr">
        <is>
          <t>KATRINEHOLM</t>
        </is>
      </c>
      <c r="G387" t="n">
        <v>0.5</v>
      </c>
      <c r="H387" t="n">
        <v>0</v>
      </c>
      <c r="I387" t="n">
        <v>0</v>
      </c>
      <c r="J387" t="n">
        <v>0</v>
      </c>
      <c r="K387" t="n">
        <v>0</v>
      </c>
      <c r="L387" t="n">
        <v>0</v>
      </c>
      <c r="M387" t="n">
        <v>0</v>
      </c>
      <c r="N387" t="n">
        <v>0</v>
      </c>
      <c r="O387" t="n">
        <v>0</v>
      </c>
      <c r="P387" t="n">
        <v>0</v>
      </c>
      <c r="Q387" t="n">
        <v>0</v>
      </c>
      <c r="R387" s="2" t="inlineStr"/>
    </row>
    <row r="388" ht="15" customHeight="1">
      <c r="A388" t="inlineStr">
        <is>
          <t>A 35084-2025</t>
        </is>
      </c>
      <c r="B388" s="1" t="n">
        <v>45852</v>
      </c>
      <c r="C388" s="1" t="n">
        <v>46013</v>
      </c>
      <c r="D388" t="inlineStr">
        <is>
          <t>SÖDERMANLANDS LÄN</t>
        </is>
      </c>
      <c r="E388" t="inlineStr">
        <is>
          <t>KATRINEHOLM</t>
        </is>
      </c>
      <c r="G388" t="n">
        <v>3.2</v>
      </c>
      <c r="H388" t="n">
        <v>0</v>
      </c>
      <c r="I388" t="n">
        <v>0</v>
      </c>
      <c r="J388" t="n">
        <v>0</v>
      </c>
      <c r="K388" t="n">
        <v>0</v>
      </c>
      <c r="L388" t="n">
        <v>0</v>
      </c>
      <c r="M388" t="n">
        <v>0</v>
      </c>
      <c r="N388" t="n">
        <v>0</v>
      </c>
      <c r="O388" t="n">
        <v>0</v>
      </c>
      <c r="P388" t="n">
        <v>0</v>
      </c>
      <c r="Q388" t="n">
        <v>0</v>
      </c>
      <c r="R388" s="2" t="inlineStr"/>
    </row>
    <row r="389" ht="15" customHeight="1">
      <c r="A389" t="inlineStr">
        <is>
          <t>A 35145-2025</t>
        </is>
      </c>
      <c r="B389" s="1" t="n">
        <v>45852</v>
      </c>
      <c r="C389" s="1" t="n">
        <v>46013</v>
      </c>
      <c r="D389" t="inlineStr">
        <is>
          <t>SÖDERMANLANDS LÄN</t>
        </is>
      </c>
      <c r="E389" t="inlineStr">
        <is>
          <t>KATRINEHOLM</t>
        </is>
      </c>
      <c r="G389" t="n">
        <v>3.1</v>
      </c>
      <c r="H389" t="n">
        <v>0</v>
      </c>
      <c r="I389" t="n">
        <v>0</v>
      </c>
      <c r="J389" t="n">
        <v>0</v>
      </c>
      <c r="K389" t="n">
        <v>0</v>
      </c>
      <c r="L389" t="n">
        <v>0</v>
      </c>
      <c r="M389" t="n">
        <v>0</v>
      </c>
      <c r="N389" t="n">
        <v>0</v>
      </c>
      <c r="O389" t="n">
        <v>0</v>
      </c>
      <c r="P389" t="n">
        <v>0</v>
      </c>
      <c r="Q389" t="n">
        <v>0</v>
      </c>
      <c r="R389" s="2" t="inlineStr"/>
    </row>
    <row r="390" ht="15" customHeight="1">
      <c r="A390" t="inlineStr">
        <is>
          <t>A 34439-2025</t>
        </is>
      </c>
      <c r="B390" s="1" t="n">
        <v>45845</v>
      </c>
      <c r="C390" s="1" t="n">
        <v>46013</v>
      </c>
      <c r="D390" t="inlineStr">
        <is>
          <t>SÖDERMANLANDS LÄN</t>
        </is>
      </c>
      <c r="E390" t="inlineStr">
        <is>
          <t>KATRINEHOLM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3125-2024</t>
        </is>
      </c>
      <c r="B391" s="1" t="n">
        <v>45316</v>
      </c>
      <c r="C391" s="1" t="n">
        <v>46013</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35157-2025</t>
        </is>
      </c>
      <c r="B392" s="1" t="n">
        <v>45852</v>
      </c>
      <c r="C392" s="1" t="n">
        <v>46013</v>
      </c>
      <c r="D392" t="inlineStr">
        <is>
          <t>SÖDERMANLANDS LÄN</t>
        </is>
      </c>
      <c r="E392" t="inlineStr">
        <is>
          <t>KATRINEHOLM</t>
        </is>
      </c>
      <c r="G392" t="n">
        <v>3.7</v>
      </c>
      <c r="H392" t="n">
        <v>0</v>
      </c>
      <c r="I392" t="n">
        <v>0</v>
      </c>
      <c r="J392" t="n">
        <v>0</v>
      </c>
      <c r="K392" t="n">
        <v>0</v>
      </c>
      <c r="L392" t="n">
        <v>0</v>
      </c>
      <c r="M392" t="n">
        <v>0</v>
      </c>
      <c r="N392" t="n">
        <v>0</v>
      </c>
      <c r="O392" t="n">
        <v>0</v>
      </c>
      <c r="P392" t="n">
        <v>0</v>
      </c>
      <c r="Q392" t="n">
        <v>0</v>
      </c>
      <c r="R392" s="2" t="inlineStr"/>
    </row>
    <row r="393" ht="15" customHeight="1">
      <c r="A393" t="inlineStr">
        <is>
          <t>A 35158-2025</t>
        </is>
      </c>
      <c r="B393" s="1" t="n">
        <v>45852</v>
      </c>
      <c r="C393" s="1" t="n">
        <v>46013</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35183-2022</t>
        </is>
      </c>
      <c r="B394" s="1" t="n">
        <v>44797</v>
      </c>
      <c r="C394" s="1" t="n">
        <v>46013</v>
      </c>
      <c r="D394" t="inlineStr">
        <is>
          <t>SÖDERMANLANDS LÄN</t>
        </is>
      </c>
      <c r="E394" t="inlineStr">
        <is>
          <t>KATRINEHOLM</t>
        </is>
      </c>
      <c r="G394" t="n">
        <v>4.6</v>
      </c>
      <c r="H394" t="n">
        <v>0</v>
      </c>
      <c r="I394" t="n">
        <v>0</v>
      </c>
      <c r="J394" t="n">
        <v>0</v>
      </c>
      <c r="K394" t="n">
        <v>0</v>
      </c>
      <c r="L394" t="n">
        <v>0</v>
      </c>
      <c r="M394" t="n">
        <v>0</v>
      </c>
      <c r="N394" t="n">
        <v>0</v>
      </c>
      <c r="O394" t="n">
        <v>0</v>
      </c>
      <c r="P394" t="n">
        <v>0</v>
      </c>
      <c r="Q394" t="n">
        <v>0</v>
      </c>
      <c r="R394" s="2" t="inlineStr"/>
    </row>
    <row r="395" ht="15" customHeight="1">
      <c r="A395" t="inlineStr">
        <is>
          <t>A 55829-2025</t>
        </is>
      </c>
      <c r="B395" s="1" t="n">
        <v>45972.79274305556</v>
      </c>
      <c r="C395" s="1" t="n">
        <v>46013</v>
      </c>
      <c r="D395" t="inlineStr">
        <is>
          <t>SÖDERMANLANDS LÄN</t>
        </is>
      </c>
      <c r="E395" t="inlineStr">
        <is>
          <t>KATRINEHOLM</t>
        </is>
      </c>
      <c r="G395" t="n">
        <v>3.2</v>
      </c>
      <c r="H395" t="n">
        <v>0</v>
      </c>
      <c r="I395" t="n">
        <v>0</v>
      </c>
      <c r="J395" t="n">
        <v>0</v>
      </c>
      <c r="K395" t="n">
        <v>0</v>
      </c>
      <c r="L395" t="n">
        <v>0</v>
      </c>
      <c r="M395" t="n">
        <v>0</v>
      </c>
      <c r="N395" t="n">
        <v>0</v>
      </c>
      <c r="O395" t="n">
        <v>0</v>
      </c>
      <c r="P395" t="n">
        <v>0</v>
      </c>
      <c r="Q395" t="n">
        <v>0</v>
      </c>
      <c r="R395" s="2" t="inlineStr"/>
    </row>
    <row r="396" ht="15" customHeight="1">
      <c r="A396" t="inlineStr">
        <is>
          <t>A 42519-2024</t>
        </is>
      </c>
      <c r="B396" s="1" t="n">
        <v>45565</v>
      </c>
      <c r="C396" s="1" t="n">
        <v>46013</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20826-2022</t>
        </is>
      </c>
      <c r="B397" s="1" t="n">
        <v>44701.44754629629</v>
      </c>
      <c r="C397" s="1" t="n">
        <v>46013</v>
      </c>
      <c r="D397" t="inlineStr">
        <is>
          <t>SÖDERMANLANDS LÄN</t>
        </is>
      </c>
      <c r="E397" t="inlineStr">
        <is>
          <t>KATRINEHOLM</t>
        </is>
      </c>
      <c r="G397" t="n">
        <v>6.8</v>
      </c>
      <c r="H397" t="n">
        <v>0</v>
      </c>
      <c r="I397" t="n">
        <v>0</v>
      </c>
      <c r="J397" t="n">
        <v>0</v>
      </c>
      <c r="K397" t="n">
        <v>0</v>
      </c>
      <c r="L397" t="n">
        <v>0</v>
      </c>
      <c r="M397" t="n">
        <v>0</v>
      </c>
      <c r="N397" t="n">
        <v>0</v>
      </c>
      <c r="O397" t="n">
        <v>0</v>
      </c>
      <c r="P397" t="n">
        <v>0</v>
      </c>
      <c r="Q397" t="n">
        <v>0</v>
      </c>
      <c r="R397" s="2" t="inlineStr"/>
    </row>
    <row r="398" ht="15" customHeight="1">
      <c r="A398" t="inlineStr">
        <is>
          <t>A 20846-2022</t>
        </is>
      </c>
      <c r="B398" s="1" t="n">
        <v>44701.4744212963</v>
      </c>
      <c r="C398" s="1" t="n">
        <v>46013</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49078-2024</t>
        </is>
      </c>
      <c r="B399" s="1" t="n">
        <v>45594.62556712963</v>
      </c>
      <c r="C399" s="1" t="n">
        <v>46013</v>
      </c>
      <c r="D399" t="inlineStr">
        <is>
          <t>SÖDERMANLANDS LÄN</t>
        </is>
      </c>
      <c r="E399" t="inlineStr">
        <is>
          <t>KATRINEHOLM</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34176-2025</t>
        </is>
      </c>
      <c r="B400" s="1" t="n">
        <v>45845</v>
      </c>
      <c r="C400" s="1" t="n">
        <v>46013</v>
      </c>
      <c r="D400" t="inlineStr">
        <is>
          <t>SÖDERMANLANDS LÄN</t>
        </is>
      </c>
      <c r="E400" t="inlineStr">
        <is>
          <t>KATRINEHOLM</t>
        </is>
      </c>
      <c r="G400" t="n">
        <v>0.5</v>
      </c>
      <c r="H400" t="n">
        <v>0</v>
      </c>
      <c r="I400" t="n">
        <v>0</v>
      </c>
      <c r="J400" t="n">
        <v>0</v>
      </c>
      <c r="K400" t="n">
        <v>0</v>
      </c>
      <c r="L400" t="n">
        <v>0</v>
      </c>
      <c r="M400" t="n">
        <v>0</v>
      </c>
      <c r="N400" t="n">
        <v>0</v>
      </c>
      <c r="O400" t="n">
        <v>0</v>
      </c>
      <c r="P400" t="n">
        <v>0</v>
      </c>
      <c r="Q400" t="n">
        <v>0</v>
      </c>
      <c r="R400" s="2" t="inlineStr"/>
    </row>
    <row r="401" ht="15" customHeight="1">
      <c r="A401" t="inlineStr">
        <is>
          <t>A 51440-2024</t>
        </is>
      </c>
      <c r="B401" s="1" t="n">
        <v>45604</v>
      </c>
      <c r="C401" s="1" t="n">
        <v>46013</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56330-2025</t>
        </is>
      </c>
      <c r="B402" s="1" t="n">
        <v>45974.64094907408</v>
      </c>
      <c r="C402" s="1" t="n">
        <v>46013</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47879-2023</t>
        </is>
      </c>
      <c r="B403" s="1" t="n">
        <v>45204</v>
      </c>
      <c r="C403" s="1" t="n">
        <v>46013</v>
      </c>
      <c r="D403" t="inlineStr">
        <is>
          <t>SÖDERMANLANDS LÄN</t>
        </is>
      </c>
      <c r="E403" t="inlineStr">
        <is>
          <t>KATRINEHOLM</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12975-2022</t>
        </is>
      </c>
      <c r="B404" s="1" t="n">
        <v>44643</v>
      </c>
      <c r="C404" s="1" t="n">
        <v>46013</v>
      </c>
      <c r="D404" t="inlineStr">
        <is>
          <t>SÖDERMANLANDS LÄN</t>
        </is>
      </c>
      <c r="E404" t="inlineStr">
        <is>
          <t>KATRINEHOLM</t>
        </is>
      </c>
      <c r="G404" t="n">
        <v>2.4</v>
      </c>
      <c r="H404" t="n">
        <v>0</v>
      </c>
      <c r="I404" t="n">
        <v>0</v>
      </c>
      <c r="J404" t="n">
        <v>0</v>
      </c>
      <c r="K404" t="n">
        <v>0</v>
      </c>
      <c r="L404" t="n">
        <v>0</v>
      </c>
      <c r="M404" t="n">
        <v>0</v>
      </c>
      <c r="N404" t="n">
        <v>0</v>
      </c>
      <c r="O404" t="n">
        <v>0</v>
      </c>
      <c r="P404" t="n">
        <v>0</v>
      </c>
      <c r="Q404" t="n">
        <v>0</v>
      </c>
      <c r="R404" s="2" t="inlineStr"/>
    </row>
    <row r="405" ht="15" customHeight="1">
      <c r="A405" t="inlineStr">
        <is>
          <t>A 51260-2021</t>
        </is>
      </c>
      <c r="B405" s="1" t="n">
        <v>44461</v>
      </c>
      <c r="C405" s="1" t="n">
        <v>46013</v>
      </c>
      <c r="D405" t="inlineStr">
        <is>
          <t>SÖDERMANLANDS LÄN</t>
        </is>
      </c>
      <c r="E405" t="inlineStr">
        <is>
          <t>KATRINEHOLM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53843-2023</t>
        </is>
      </c>
      <c r="B406" s="1" t="n">
        <v>45230</v>
      </c>
      <c r="C406" s="1" t="n">
        <v>46013</v>
      </c>
      <c r="D406" t="inlineStr">
        <is>
          <t>SÖDERMANLANDS LÄN</t>
        </is>
      </c>
      <c r="E406" t="inlineStr">
        <is>
          <t>KATRINEHOLM</t>
        </is>
      </c>
      <c r="G406" t="n">
        <v>14.2</v>
      </c>
      <c r="H406" t="n">
        <v>0</v>
      </c>
      <c r="I406" t="n">
        <v>0</v>
      </c>
      <c r="J406" t="n">
        <v>0</v>
      </c>
      <c r="K406" t="n">
        <v>0</v>
      </c>
      <c r="L406" t="n">
        <v>0</v>
      </c>
      <c r="M406" t="n">
        <v>0</v>
      </c>
      <c r="N406" t="n">
        <v>0</v>
      </c>
      <c r="O406" t="n">
        <v>0</v>
      </c>
      <c r="P406" t="n">
        <v>0</v>
      </c>
      <c r="Q406" t="n">
        <v>0</v>
      </c>
      <c r="R406" s="2" t="inlineStr"/>
    </row>
    <row r="407" ht="15" customHeight="1">
      <c r="A407" t="inlineStr">
        <is>
          <t>A 48763-2024</t>
        </is>
      </c>
      <c r="B407" s="1" t="n">
        <v>45593.60288194445</v>
      </c>
      <c r="C407" s="1" t="n">
        <v>46013</v>
      </c>
      <c r="D407" t="inlineStr">
        <is>
          <t>SÖDERMANLANDS LÄN</t>
        </is>
      </c>
      <c r="E407" t="inlineStr">
        <is>
          <t>KATRINEHOLM</t>
        </is>
      </c>
      <c r="G407" t="n">
        <v>1.3</v>
      </c>
      <c r="H407" t="n">
        <v>0</v>
      </c>
      <c r="I407" t="n">
        <v>0</v>
      </c>
      <c r="J407" t="n">
        <v>0</v>
      </c>
      <c r="K407" t="n">
        <v>0</v>
      </c>
      <c r="L407" t="n">
        <v>0</v>
      </c>
      <c r="M407" t="n">
        <v>0</v>
      </c>
      <c r="N407" t="n">
        <v>0</v>
      </c>
      <c r="O407" t="n">
        <v>0</v>
      </c>
      <c r="P407" t="n">
        <v>0</v>
      </c>
      <c r="Q407" t="n">
        <v>0</v>
      </c>
      <c r="R407" s="2" t="inlineStr"/>
    </row>
    <row r="408" ht="15" customHeight="1">
      <c r="A408" t="inlineStr">
        <is>
          <t>A 44024-2021</t>
        </is>
      </c>
      <c r="B408" s="1" t="n">
        <v>44434</v>
      </c>
      <c r="C408" s="1" t="n">
        <v>46013</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14478-2023</t>
        </is>
      </c>
      <c r="B409" s="1" t="n">
        <v>45012.66421296296</v>
      </c>
      <c r="C409" s="1" t="n">
        <v>46013</v>
      </c>
      <c r="D409" t="inlineStr">
        <is>
          <t>SÖDERMANLANDS LÄN</t>
        </is>
      </c>
      <c r="E409" t="inlineStr">
        <is>
          <t>KATRINEHOLM</t>
        </is>
      </c>
      <c r="G409" t="n">
        <v>3.9</v>
      </c>
      <c r="H409" t="n">
        <v>0</v>
      </c>
      <c r="I409" t="n">
        <v>0</v>
      </c>
      <c r="J409" t="n">
        <v>0</v>
      </c>
      <c r="K409" t="n">
        <v>0</v>
      </c>
      <c r="L409" t="n">
        <v>0</v>
      </c>
      <c r="M409" t="n">
        <v>0</v>
      </c>
      <c r="N409" t="n">
        <v>0</v>
      </c>
      <c r="O409" t="n">
        <v>0</v>
      </c>
      <c r="P409" t="n">
        <v>0</v>
      </c>
      <c r="Q409" t="n">
        <v>0</v>
      </c>
      <c r="R409" s="2" t="inlineStr"/>
    </row>
    <row r="410" ht="15" customHeight="1">
      <c r="A410" t="inlineStr">
        <is>
          <t>A 20921-2023</t>
        </is>
      </c>
      <c r="B410" s="1" t="n">
        <v>45061</v>
      </c>
      <c r="C410" s="1" t="n">
        <v>46013</v>
      </c>
      <c r="D410" t="inlineStr">
        <is>
          <t>SÖDERMANLANDS LÄN</t>
        </is>
      </c>
      <c r="E410" t="inlineStr">
        <is>
          <t>KATRINEHOLM</t>
        </is>
      </c>
      <c r="G410" t="n">
        <v>8.9</v>
      </c>
      <c r="H410" t="n">
        <v>0</v>
      </c>
      <c r="I410" t="n">
        <v>0</v>
      </c>
      <c r="J410" t="n">
        <v>0</v>
      </c>
      <c r="K410" t="n">
        <v>0</v>
      </c>
      <c r="L410" t="n">
        <v>0</v>
      </c>
      <c r="M410" t="n">
        <v>0</v>
      </c>
      <c r="N410" t="n">
        <v>0</v>
      </c>
      <c r="O410" t="n">
        <v>0</v>
      </c>
      <c r="P410" t="n">
        <v>0</v>
      </c>
      <c r="Q410" t="n">
        <v>0</v>
      </c>
      <c r="R410" s="2" t="inlineStr"/>
    </row>
    <row r="411" ht="15" customHeight="1">
      <c r="A411" t="inlineStr">
        <is>
          <t>A 12930-2023</t>
        </is>
      </c>
      <c r="B411" s="1" t="n">
        <v>45001</v>
      </c>
      <c r="C411" s="1" t="n">
        <v>46013</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12938-2023</t>
        </is>
      </c>
      <c r="B412" s="1" t="n">
        <v>45001</v>
      </c>
      <c r="C412" s="1" t="n">
        <v>46013</v>
      </c>
      <c r="D412" t="inlineStr">
        <is>
          <t>SÖDERMANLANDS LÄN</t>
        </is>
      </c>
      <c r="E412" t="inlineStr">
        <is>
          <t>KATRINEHOLM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12559-2023</t>
        </is>
      </c>
      <c r="B413" s="1" t="n">
        <v>45000.36373842593</v>
      </c>
      <c r="C413" s="1" t="n">
        <v>46013</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7704-2023</t>
        </is>
      </c>
      <c r="B414" s="1" t="n">
        <v>44968</v>
      </c>
      <c r="C414" s="1" t="n">
        <v>46013</v>
      </c>
      <c r="D414" t="inlineStr">
        <is>
          <t>SÖDERMANLANDS LÄN</t>
        </is>
      </c>
      <c r="E414" t="inlineStr">
        <is>
          <t>KATRINEHOLM</t>
        </is>
      </c>
      <c r="G414" t="n">
        <v>7.3</v>
      </c>
      <c r="H414" t="n">
        <v>0</v>
      </c>
      <c r="I414" t="n">
        <v>0</v>
      </c>
      <c r="J414" t="n">
        <v>0</v>
      </c>
      <c r="K414" t="n">
        <v>0</v>
      </c>
      <c r="L414" t="n">
        <v>0</v>
      </c>
      <c r="M414" t="n">
        <v>0</v>
      </c>
      <c r="N414" t="n">
        <v>0</v>
      </c>
      <c r="O414" t="n">
        <v>0</v>
      </c>
      <c r="P414" t="n">
        <v>0</v>
      </c>
      <c r="Q414" t="n">
        <v>0</v>
      </c>
      <c r="R414" s="2" t="inlineStr"/>
    </row>
    <row r="415" ht="15" customHeight="1">
      <c r="A415" t="inlineStr">
        <is>
          <t>A 49122-2024</t>
        </is>
      </c>
      <c r="B415" s="1" t="n">
        <v>45594</v>
      </c>
      <c r="C415" s="1" t="n">
        <v>46013</v>
      </c>
      <c r="D415" t="inlineStr">
        <is>
          <t>SÖDERMANLANDS LÄN</t>
        </is>
      </c>
      <c r="E415" t="inlineStr">
        <is>
          <t>KATRINEHOLM</t>
        </is>
      </c>
      <c r="G415" t="n">
        <v>19.4</v>
      </c>
      <c r="H415" t="n">
        <v>0</v>
      </c>
      <c r="I415" t="n">
        <v>0</v>
      </c>
      <c r="J415" t="n">
        <v>0</v>
      </c>
      <c r="K415" t="n">
        <v>0</v>
      </c>
      <c r="L415" t="n">
        <v>0</v>
      </c>
      <c r="M415" t="n">
        <v>0</v>
      </c>
      <c r="N415" t="n">
        <v>0</v>
      </c>
      <c r="O415" t="n">
        <v>0</v>
      </c>
      <c r="P415" t="n">
        <v>0</v>
      </c>
      <c r="Q415" t="n">
        <v>0</v>
      </c>
      <c r="R415" s="2" t="inlineStr"/>
    </row>
    <row r="416" ht="15" customHeight="1">
      <c r="A416" t="inlineStr">
        <is>
          <t>A 12937-2023</t>
        </is>
      </c>
      <c r="B416" s="1" t="n">
        <v>45001</v>
      </c>
      <c r="C416" s="1" t="n">
        <v>46013</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46013</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36590-2025</t>
        </is>
      </c>
      <c r="B418" s="1" t="n">
        <v>45870</v>
      </c>
      <c r="C418" s="1" t="n">
        <v>46013</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26684-2025</t>
        </is>
      </c>
      <c r="B419" s="1" t="n">
        <v>45810</v>
      </c>
      <c r="C419" s="1" t="n">
        <v>46013</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27345-2023</t>
        </is>
      </c>
      <c r="B420" s="1" t="n">
        <v>45096</v>
      </c>
      <c r="C420" s="1" t="n">
        <v>46013</v>
      </c>
      <c r="D420" t="inlineStr">
        <is>
          <t>SÖDERMANLANDS LÄN</t>
        </is>
      </c>
      <c r="E420" t="inlineStr">
        <is>
          <t>KATRINEHOLM</t>
        </is>
      </c>
      <c r="G420" t="n">
        <v>1.4</v>
      </c>
      <c r="H420" t="n">
        <v>0</v>
      </c>
      <c r="I420" t="n">
        <v>0</v>
      </c>
      <c r="J420" t="n">
        <v>0</v>
      </c>
      <c r="K420" t="n">
        <v>0</v>
      </c>
      <c r="L420" t="n">
        <v>0</v>
      </c>
      <c r="M420" t="n">
        <v>0</v>
      </c>
      <c r="N420" t="n">
        <v>0</v>
      </c>
      <c r="O420" t="n">
        <v>0</v>
      </c>
      <c r="P420" t="n">
        <v>0</v>
      </c>
      <c r="Q420" t="n">
        <v>0</v>
      </c>
      <c r="R420" s="2" t="inlineStr"/>
    </row>
    <row r="421" ht="15" customHeight="1">
      <c r="A421" t="inlineStr">
        <is>
          <t>A 1151-2025</t>
        </is>
      </c>
      <c r="B421" s="1" t="n">
        <v>45666</v>
      </c>
      <c r="C421" s="1" t="n">
        <v>46013</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6808-2023</t>
        </is>
      </c>
      <c r="B422" s="1" t="n">
        <v>44964</v>
      </c>
      <c r="C422" s="1" t="n">
        <v>46013</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12227-2025</t>
        </is>
      </c>
      <c r="B423" s="1" t="n">
        <v>45729.56836805555</v>
      </c>
      <c r="C423" s="1" t="n">
        <v>46013</v>
      </c>
      <c r="D423" t="inlineStr">
        <is>
          <t>SÖDERMANLANDS LÄN</t>
        </is>
      </c>
      <c r="E423" t="inlineStr">
        <is>
          <t>KATRINEHOLM</t>
        </is>
      </c>
      <c r="G423" t="n">
        <v>7</v>
      </c>
      <c r="H423" t="n">
        <v>0</v>
      </c>
      <c r="I423" t="n">
        <v>0</v>
      </c>
      <c r="J423" t="n">
        <v>0</v>
      </c>
      <c r="K423" t="n">
        <v>0</v>
      </c>
      <c r="L423" t="n">
        <v>0</v>
      </c>
      <c r="M423" t="n">
        <v>0</v>
      </c>
      <c r="N423" t="n">
        <v>0</v>
      </c>
      <c r="O423" t="n">
        <v>0</v>
      </c>
      <c r="P423" t="n">
        <v>0</v>
      </c>
      <c r="Q423" t="n">
        <v>0</v>
      </c>
      <c r="R423" s="2" t="inlineStr"/>
    </row>
    <row r="424" ht="15" customHeight="1">
      <c r="A424" t="inlineStr">
        <is>
          <t>A 56597-2025</t>
        </is>
      </c>
      <c r="B424" s="1" t="n">
        <v>45975.57271990741</v>
      </c>
      <c r="C424" s="1" t="n">
        <v>46013</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61394-2024</t>
        </is>
      </c>
      <c r="B425" s="1" t="n">
        <v>45646.42061342593</v>
      </c>
      <c r="C425" s="1" t="n">
        <v>46013</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50021-2023</t>
        </is>
      </c>
      <c r="B426" s="1" t="n">
        <v>45215</v>
      </c>
      <c r="C426" s="1" t="n">
        <v>46013</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37043-2025</t>
        </is>
      </c>
      <c r="B427" s="1" t="n">
        <v>45875.3396412037</v>
      </c>
      <c r="C427" s="1" t="n">
        <v>46013</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57323-2025</t>
        </is>
      </c>
      <c r="B428" s="1" t="n">
        <v>45980.32501157407</v>
      </c>
      <c r="C428" s="1" t="n">
        <v>46013</v>
      </c>
      <c r="D428" t="inlineStr">
        <is>
          <t>SÖDERMANLANDS LÄN</t>
        </is>
      </c>
      <c r="E428" t="inlineStr">
        <is>
          <t>KATRINEHOLM</t>
        </is>
      </c>
      <c r="F428" t="inlineStr">
        <is>
          <t>Övriga Aktiebolag</t>
        </is>
      </c>
      <c r="G428" t="n">
        <v>1.1</v>
      </c>
      <c r="H428" t="n">
        <v>0</v>
      </c>
      <c r="I428" t="n">
        <v>0</v>
      </c>
      <c r="J428" t="n">
        <v>0</v>
      </c>
      <c r="K428" t="n">
        <v>0</v>
      </c>
      <c r="L428" t="n">
        <v>0</v>
      </c>
      <c r="M428" t="n">
        <v>0</v>
      </c>
      <c r="N428" t="n">
        <v>0</v>
      </c>
      <c r="O428" t="n">
        <v>0</v>
      </c>
      <c r="P428" t="n">
        <v>0</v>
      </c>
      <c r="Q428" t="n">
        <v>0</v>
      </c>
      <c r="R428" s="2" t="inlineStr"/>
    </row>
    <row r="429" ht="15" customHeight="1">
      <c r="A429" t="inlineStr">
        <is>
          <t>A 18339-2023</t>
        </is>
      </c>
      <c r="B429" s="1" t="n">
        <v>45041</v>
      </c>
      <c r="C429" s="1" t="n">
        <v>46013</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58522-2024</t>
        </is>
      </c>
      <c r="B430" s="1" t="n">
        <v>45635.43770833333</v>
      </c>
      <c r="C430" s="1" t="n">
        <v>46013</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47889-2023</t>
        </is>
      </c>
      <c r="B431" s="1" t="n">
        <v>45204</v>
      </c>
      <c r="C431" s="1" t="n">
        <v>46013</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11543-2025</t>
        </is>
      </c>
      <c r="B432" s="1" t="n">
        <v>45727.34248842593</v>
      </c>
      <c r="C432" s="1" t="n">
        <v>46013</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34732-2022</t>
        </is>
      </c>
      <c r="B433" s="1" t="n">
        <v>44795</v>
      </c>
      <c r="C433" s="1" t="n">
        <v>46013</v>
      </c>
      <c r="D433" t="inlineStr">
        <is>
          <t>SÖDERMANLANDS LÄN</t>
        </is>
      </c>
      <c r="E433" t="inlineStr">
        <is>
          <t>KATRINEHOLM</t>
        </is>
      </c>
      <c r="G433" t="n">
        <v>3</v>
      </c>
      <c r="H433" t="n">
        <v>0</v>
      </c>
      <c r="I433" t="n">
        <v>0</v>
      </c>
      <c r="J433" t="n">
        <v>0</v>
      </c>
      <c r="K433" t="n">
        <v>0</v>
      </c>
      <c r="L433" t="n">
        <v>0</v>
      </c>
      <c r="M433" t="n">
        <v>0</v>
      </c>
      <c r="N433" t="n">
        <v>0</v>
      </c>
      <c r="O433" t="n">
        <v>0</v>
      </c>
      <c r="P433" t="n">
        <v>0</v>
      </c>
      <c r="Q433" t="n">
        <v>0</v>
      </c>
      <c r="R433" s="2" t="inlineStr"/>
    </row>
    <row r="434" ht="15" customHeight="1">
      <c r="A434" t="inlineStr">
        <is>
          <t>A 49743-2025</t>
        </is>
      </c>
      <c r="B434" s="1" t="n">
        <v>45940</v>
      </c>
      <c r="C434" s="1" t="n">
        <v>46013</v>
      </c>
      <c r="D434" t="inlineStr">
        <is>
          <t>SÖDERMANLANDS LÄN</t>
        </is>
      </c>
      <c r="E434" t="inlineStr">
        <is>
          <t>KATRINEHOLM</t>
        </is>
      </c>
      <c r="G434" t="n">
        <v>1.1</v>
      </c>
      <c r="H434" t="n">
        <v>0</v>
      </c>
      <c r="I434" t="n">
        <v>0</v>
      </c>
      <c r="J434" t="n">
        <v>0</v>
      </c>
      <c r="K434" t="n">
        <v>0</v>
      </c>
      <c r="L434" t="n">
        <v>0</v>
      </c>
      <c r="M434" t="n">
        <v>0</v>
      </c>
      <c r="N434" t="n">
        <v>0</v>
      </c>
      <c r="O434" t="n">
        <v>0</v>
      </c>
      <c r="P434" t="n">
        <v>0</v>
      </c>
      <c r="Q434" t="n">
        <v>0</v>
      </c>
      <c r="R434" s="2" t="inlineStr"/>
    </row>
    <row r="435" ht="15" customHeight="1">
      <c r="A435" t="inlineStr">
        <is>
          <t>A 37827-2025</t>
        </is>
      </c>
      <c r="B435" s="1" t="n">
        <v>45881.40907407407</v>
      </c>
      <c r="C435" s="1" t="n">
        <v>46013</v>
      </c>
      <c r="D435" t="inlineStr">
        <is>
          <t>SÖDERMANLANDS LÄN</t>
        </is>
      </c>
      <c r="E435" t="inlineStr">
        <is>
          <t>KATRINEHOLM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32166-2022</t>
        </is>
      </c>
      <c r="B436" s="1" t="n">
        <v>44781</v>
      </c>
      <c r="C436" s="1" t="n">
        <v>46013</v>
      </c>
      <c r="D436" t="inlineStr">
        <is>
          <t>SÖDERMANLANDS LÄN</t>
        </is>
      </c>
      <c r="E436" t="inlineStr">
        <is>
          <t>KATRINEHOLM</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32169-2022</t>
        </is>
      </c>
      <c r="B437" s="1" t="n">
        <v>44781</v>
      </c>
      <c r="C437" s="1" t="n">
        <v>46013</v>
      </c>
      <c r="D437" t="inlineStr">
        <is>
          <t>SÖDERMANLANDS LÄN</t>
        </is>
      </c>
      <c r="E437" t="inlineStr">
        <is>
          <t>KATRINEHOLM</t>
        </is>
      </c>
      <c r="F437" t="inlineStr">
        <is>
          <t>Kommuner</t>
        </is>
      </c>
      <c r="G437" t="n">
        <v>0.9</v>
      </c>
      <c r="H437" t="n">
        <v>0</v>
      </c>
      <c r="I437" t="n">
        <v>0</v>
      </c>
      <c r="J437" t="n">
        <v>0</v>
      </c>
      <c r="K437" t="n">
        <v>0</v>
      </c>
      <c r="L437" t="n">
        <v>0</v>
      </c>
      <c r="M437" t="n">
        <v>0</v>
      </c>
      <c r="N437" t="n">
        <v>0</v>
      </c>
      <c r="O437" t="n">
        <v>0</v>
      </c>
      <c r="P437" t="n">
        <v>0</v>
      </c>
      <c r="Q437" t="n">
        <v>0</v>
      </c>
      <c r="R437" s="2" t="inlineStr"/>
    </row>
    <row r="438" ht="15" customHeight="1">
      <c r="A438" t="inlineStr">
        <is>
          <t>A 35864-2023</t>
        </is>
      </c>
      <c r="B438" s="1" t="n">
        <v>45147</v>
      </c>
      <c r="C438" s="1" t="n">
        <v>46013</v>
      </c>
      <c r="D438" t="inlineStr">
        <is>
          <t>SÖDERMANLANDS LÄN</t>
        </is>
      </c>
      <c r="E438" t="inlineStr">
        <is>
          <t>KATRINEHOLM</t>
        </is>
      </c>
      <c r="F438" t="inlineStr">
        <is>
          <t>Övriga Aktiebolag</t>
        </is>
      </c>
      <c r="G438" t="n">
        <v>4.7</v>
      </c>
      <c r="H438" t="n">
        <v>0</v>
      </c>
      <c r="I438" t="n">
        <v>0</v>
      </c>
      <c r="J438" t="n">
        <v>0</v>
      </c>
      <c r="K438" t="n">
        <v>0</v>
      </c>
      <c r="L438" t="n">
        <v>0</v>
      </c>
      <c r="M438" t="n">
        <v>0</v>
      </c>
      <c r="N438" t="n">
        <v>0</v>
      </c>
      <c r="O438" t="n">
        <v>0</v>
      </c>
      <c r="P438" t="n">
        <v>0</v>
      </c>
      <c r="Q438" t="n">
        <v>0</v>
      </c>
      <c r="R438" s="2" t="inlineStr"/>
    </row>
    <row r="439" ht="15" customHeight="1">
      <c r="A439" t="inlineStr">
        <is>
          <t>A 57975-2025</t>
        </is>
      </c>
      <c r="B439" s="1" t="n">
        <v>45981</v>
      </c>
      <c r="C439" s="1" t="n">
        <v>46013</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44637-2023</t>
        </is>
      </c>
      <c r="B440" s="1" t="n">
        <v>45189</v>
      </c>
      <c r="C440" s="1" t="n">
        <v>46013</v>
      </c>
      <c r="D440" t="inlineStr">
        <is>
          <t>SÖDERMANLANDS LÄN</t>
        </is>
      </c>
      <c r="E440" t="inlineStr">
        <is>
          <t>KATRINEHOLM</t>
        </is>
      </c>
      <c r="G440" t="n">
        <v>5.1</v>
      </c>
      <c r="H440" t="n">
        <v>0</v>
      </c>
      <c r="I440" t="n">
        <v>0</v>
      </c>
      <c r="J440" t="n">
        <v>0</v>
      </c>
      <c r="K440" t="n">
        <v>0</v>
      </c>
      <c r="L440" t="n">
        <v>0</v>
      </c>
      <c r="M440" t="n">
        <v>0</v>
      </c>
      <c r="N440" t="n">
        <v>0</v>
      </c>
      <c r="O440" t="n">
        <v>0</v>
      </c>
      <c r="P440" t="n">
        <v>0</v>
      </c>
      <c r="Q440" t="n">
        <v>0</v>
      </c>
      <c r="R440" s="2" t="inlineStr"/>
    </row>
    <row r="441" ht="15" customHeight="1">
      <c r="A441" t="inlineStr">
        <is>
          <t>A 39055-2022</t>
        </is>
      </c>
      <c r="B441" s="1" t="n">
        <v>44817</v>
      </c>
      <c r="C441" s="1" t="n">
        <v>46013</v>
      </c>
      <c r="D441" t="inlineStr">
        <is>
          <t>SÖDERMANLANDS LÄN</t>
        </is>
      </c>
      <c r="E441" t="inlineStr">
        <is>
          <t>KATRINEHOLM</t>
        </is>
      </c>
      <c r="F441" t="inlineStr">
        <is>
          <t>Övriga Aktiebolag</t>
        </is>
      </c>
      <c r="G441" t="n">
        <v>0.6</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46013</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52769-2023</t>
        </is>
      </c>
      <c r="B443" s="1" t="n">
        <v>45226</v>
      </c>
      <c r="C443" s="1" t="n">
        <v>46013</v>
      </c>
      <c r="D443" t="inlineStr">
        <is>
          <t>SÖDERMANLANDS LÄN</t>
        </is>
      </c>
      <c r="E443" t="inlineStr">
        <is>
          <t>KATRINEHOLM</t>
        </is>
      </c>
      <c r="G443" t="n">
        <v>0.5</v>
      </c>
      <c r="H443" t="n">
        <v>0</v>
      </c>
      <c r="I443" t="n">
        <v>0</v>
      </c>
      <c r="J443" t="n">
        <v>0</v>
      </c>
      <c r="K443" t="n">
        <v>0</v>
      </c>
      <c r="L443" t="n">
        <v>0</v>
      </c>
      <c r="M443" t="n">
        <v>0</v>
      </c>
      <c r="N443" t="n">
        <v>0</v>
      </c>
      <c r="O443" t="n">
        <v>0</v>
      </c>
      <c r="P443" t="n">
        <v>0</v>
      </c>
      <c r="Q443" t="n">
        <v>0</v>
      </c>
      <c r="R443" s="2" t="inlineStr"/>
    </row>
    <row r="444" ht="15" customHeight="1">
      <c r="A444" t="inlineStr">
        <is>
          <t>A 50934-2025</t>
        </is>
      </c>
      <c r="B444" s="1" t="n">
        <v>45946.69195601852</v>
      </c>
      <c r="C444" s="1" t="n">
        <v>46013</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4758-2025</t>
        </is>
      </c>
      <c r="B445" s="1" t="n">
        <v>45688</v>
      </c>
      <c r="C445" s="1" t="n">
        <v>46013</v>
      </c>
      <c r="D445" t="inlineStr">
        <is>
          <t>SÖDERMANLANDS LÄN</t>
        </is>
      </c>
      <c r="E445" t="inlineStr">
        <is>
          <t>KATRINEHOLM</t>
        </is>
      </c>
      <c r="G445" t="n">
        <v>2.3</v>
      </c>
      <c r="H445" t="n">
        <v>0</v>
      </c>
      <c r="I445" t="n">
        <v>0</v>
      </c>
      <c r="J445" t="n">
        <v>0</v>
      </c>
      <c r="K445" t="n">
        <v>0</v>
      </c>
      <c r="L445" t="n">
        <v>0</v>
      </c>
      <c r="M445" t="n">
        <v>0</v>
      </c>
      <c r="N445" t="n">
        <v>0</v>
      </c>
      <c r="O445" t="n">
        <v>0</v>
      </c>
      <c r="P445" t="n">
        <v>0</v>
      </c>
      <c r="Q445" t="n">
        <v>0</v>
      </c>
      <c r="R445" s="2" t="inlineStr"/>
    </row>
    <row r="446" ht="15" customHeight="1">
      <c r="A446" t="inlineStr">
        <is>
          <t>A 27852-2023</t>
        </is>
      </c>
      <c r="B446" s="1" t="n">
        <v>45098</v>
      </c>
      <c r="C446" s="1" t="n">
        <v>46013</v>
      </c>
      <c r="D446" t="inlineStr">
        <is>
          <t>SÖDERMANLANDS LÄN</t>
        </is>
      </c>
      <c r="E446" t="inlineStr">
        <is>
          <t>KATRINEHOLM</t>
        </is>
      </c>
      <c r="G446" t="n">
        <v>7.4</v>
      </c>
      <c r="H446" t="n">
        <v>0</v>
      </c>
      <c r="I446" t="n">
        <v>0</v>
      </c>
      <c r="J446" t="n">
        <v>0</v>
      </c>
      <c r="K446" t="n">
        <v>0</v>
      </c>
      <c r="L446" t="n">
        <v>0</v>
      </c>
      <c r="M446" t="n">
        <v>0</v>
      </c>
      <c r="N446" t="n">
        <v>0</v>
      </c>
      <c r="O446" t="n">
        <v>0</v>
      </c>
      <c r="P446" t="n">
        <v>0</v>
      </c>
      <c r="Q446" t="n">
        <v>0</v>
      </c>
      <c r="R446" s="2" t="inlineStr"/>
    </row>
    <row r="447" ht="15" customHeight="1">
      <c r="A447" t="inlineStr">
        <is>
          <t>A 28304-2024</t>
        </is>
      </c>
      <c r="B447" s="1" t="n">
        <v>45477</v>
      </c>
      <c r="C447" s="1" t="n">
        <v>46013</v>
      </c>
      <c r="D447" t="inlineStr">
        <is>
          <t>SÖDERMANLANDS LÄN</t>
        </is>
      </c>
      <c r="E447" t="inlineStr">
        <is>
          <t>KATRINEHOLM</t>
        </is>
      </c>
      <c r="G447" t="n">
        <v>3.8</v>
      </c>
      <c r="H447" t="n">
        <v>0</v>
      </c>
      <c r="I447" t="n">
        <v>0</v>
      </c>
      <c r="J447" t="n">
        <v>0</v>
      </c>
      <c r="K447" t="n">
        <v>0</v>
      </c>
      <c r="L447" t="n">
        <v>0</v>
      </c>
      <c r="M447" t="n">
        <v>0</v>
      </c>
      <c r="N447" t="n">
        <v>0</v>
      </c>
      <c r="O447" t="n">
        <v>0</v>
      </c>
      <c r="P447" t="n">
        <v>0</v>
      </c>
      <c r="Q447" t="n">
        <v>0</v>
      </c>
      <c r="R447" s="2" t="inlineStr"/>
    </row>
    <row r="448" ht="15" customHeight="1">
      <c r="A448" t="inlineStr">
        <is>
          <t>A 61911-2021</t>
        </is>
      </c>
      <c r="B448" s="1" t="n">
        <v>44502.35746527778</v>
      </c>
      <c r="C448" s="1" t="n">
        <v>46013</v>
      </c>
      <c r="D448" t="inlineStr">
        <is>
          <t>SÖDERMANLANDS LÄN</t>
        </is>
      </c>
      <c r="E448" t="inlineStr">
        <is>
          <t>KATRINEHOLM</t>
        </is>
      </c>
      <c r="G448" t="n">
        <v>3.8</v>
      </c>
      <c r="H448" t="n">
        <v>0</v>
      </c>
      <c r="I448" t="n">
        <v>0</v>
      </c>
      <c r="J448" t="n">
        <v>0</v>
      </c>
      <c r="K448" t="n">
        <v>0</v>
      </c>
      <c r="L448" t="n">
        <v>0</v>
      </c>
      <c r="M448" t="n">
        <v>0</v>
      </c>
      <c r="N448" t="n">
        <v>0</v>
      </c>
      <c r="O448" t="n">
        <v>0</v>
      </c>
      <c r="P448" t="n">
        <v>0</v>
      </c>
      <c r="Q448" t="n">
        <v>0</v>
      </c>
      <c r="R448" s="2" t="inlineStr"/>
    </row>
    <row r="449" ht="15" customHeight="1">
      <c r="A449" t="inlineStr">
        <is>
          <t>A 42945-2023</t>
        </is>
      </c>
      <c r="B449" s="1" t="n">
        <v>45182.5793287037</v>
      </c>
      <c r="C449" s="1" t="n">
        <v>46013</v>
      </c>
      <c r="D449" t="inlineStr">
        <is>
          <t>SÖDERMANLANDS LÄN</t>
        </is>
      </c>
      <c r="E449" t="inlineStr">
        <is>
          <t>KATRINEHOLM</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42962-2023</t>
        </is>
      </c>
      <c r="B450" s="1" t="n">
        <v>45182</v>
      </c>
      <c r="C450" s="1" t="n">
        <v>46013</v>
      </c>
      <c r="D450" t="inlineStr">
        <is>
          <t>SÖDERMANLANDS LÄN</t>
        </is>
      </c>
      <c r="E450" t="inlineStr">
        <is>
          <t>KATRINEHOLM</t>
        </is>
      </c>
      <c r="F450" t="inlineStr">
        <is>
          <t>Övriga Aktiebolag</t>
        </is>
      </c>
      <c r="G450" t="n">
        <v>10.6</v>
      </c>
      <c r="H450" t="n">
        <v>0</v>
      </c>
      <c r="I450" t="n">
        <v>0</v>
      </c>
      <c r="J450" t="n">
        <v>0</v>
      </c>
      <c r="K450" t="n">
        <v>0</v>
      </c>
      <c r="L450" t="n">
        <v>0</v>
      </c>
      <c r="M450" t="n">
        <v>0</v>
      </c>
      <c r="N450" t="n">
        <v>0</v>
      </c>
      <c r="O450" t="n">
        <v>0</v>
      </c>
      <c r="P450" t="n">
        <v>0</v>
      </c>
      <c r="Q450" t="n">
        <v>0</v>
      </c>
      <c r="R450" s="2" t="inlineStr"/>
    </row>
    <row r="451" ht="15" customHeight="1">
      <c r="A451" t="inlineStr">
        <is>
          <t>A 44915-2022</t>
        </is>
      </c>
      <c r="B451" s="1" t="n">
        <v>44840</v>
      </c>
      <c r="C451" s="1" t="n">
        <v>46013</v>
      </c>
      <c r="D451" t="inlineStr">
        <is>
          <t>SÖDERMANLANDS LÄN</t>
        </is>
      </c>
      <c r="E451" t="inlineStr">
        <is>
          <t>KATRINEHOLM</t>
        </is>
      </c>
      <c r="G451" t="n">
        <v>6.3</v>
      </c>
      <c r="H451" t="n">
        <v>0</v>
      </c>
      <c r="I451" t="n">
        <v>0</v>
      </c>
      <c r="J451" t="n">
        <v>0</v>
      </c>
      <c r="K451" t="n">
        <v>0</v>
      </c>
      <c r="L451" t="n">
        <v>0</v>
      </c>
      <c r="M451" t="n">
        <v>0</v>
      </c>
      <c r="N451" t="n">
        <v>0</v>
      </c>
      <c r="O451" t="n">
        <v>0</v>
      </c>
      <c r="P451" t="n">
        <v>0</v>
      </c>
      <c r="Q451" t="n">
        <v>0</v>
      </c>
      <c r="R451" s="2" t="inlineStr"/>
    </row>
    <row r="452" ht="15" customHeight="1">
      <c r="A452" t="inlineStr">
        <is>
          <t>A 5953-2021</t>
        </is>
      </c>
      <c r="B452" s="1" t="n">
        <v>44231</v>
      </c>
      <c r="C452" s="1" t="n">
        <v>46013</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51367-2025</t>
        </is>
      </c>
      <c r="B453" s="1" t="n">
        <v>45950.44700231482</v>
      </c>
      <c r="C453" s="1" t="n">
        <v>46013</v>
      </c>
      <c r="D453" t="inlineStr">
        <is>
          <t>SÖDERMANLANDS LÄN</t>
        </is>
      </c>
      <c r="E453" t="inlineStr">
        <is>
          <t>KATRINEHOLM</t>
        </is>
      </c>
      <c r="G453" t="n">
        <v>2.7</v>
      </c>
      <c r="H453" t="n">
        <v>0</v>
      </c>
      <c r="I453" t="n">
        <v>0</v>
      </c>
      <c r="J453" t="n">
        <v>0</v>
      </c>
      <c r="K453" t="n">
        <v>0</v>
      </c>
      <c r="L453" t="n">
        <v>0</v>
      </c>
      <c r="M453" t="n">
        <v>0</v>
      </c>
      <c r="N453" t="n">
        <v>0</v>
      </c>
      <c r="O453" t="n">
        <v>0</v>
      </c>
      <c r="P453" t="n">
        <v>0</v>
      </c>
      <c r="Q453" t="n">
        <v>0</v>
      </c>
      <c r="R453" s="2" t="inlineStr"/>
    </row>
    <row r="454" ht="15" customHeight="1">
      <c r="A454" t="inlineStr">
        <is>
          <t>A 48097-2023</t>
        </is>
      </c>
      <c r="B454" s="1" t="n">
        <v>45205.31987268518</v>
      </c>
      <c r="C454" s="1" t="n">
        <v>46013</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45793-2022</t>
        </is>
      </c>
      <c r="B455" s="1" t="n">
        <v>44844</v>
      </c>
      <c r="C455" s="1" t="n">
        <v>46013</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40393-2022</t>
        </is>
      </c>
      <c r="B456" s="1" t="n">
        <v>44823</v>
      </c>
      <c r="C456" s="1" t="n">
        <v>46013</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48685-2022</t>
        </is>
      </c>
      <c r="B457" s="1" t="n">
        <v>44859</v>
      </c>
      <c r="C457" s="1" t="n">
        <v>46013</v>
      </c>
      <c r="D457" t="inlineStr">
        <is>
          <t>SÖDERMANLANDS LÄN</t>
        </is>
      </c>
      <c r="E457" t="inlineStr">
        <is>
          <t>KATRINEHOLM</t>
        </is>
      </c>
      <c r="G457" t="n">
        <v>0.5</v>
      </c>
      <c r="H457" t="n">
        <v>0</v>
      </c>
      <c r="I457" t="n">
        <v>0</v>
      </c>
      <c r="J457" t="n">
        <v>0</v>
      </c>
      <c r="K457" t="n">
        <v>0</v>
      </c>
      <c r="L457" t="n">
        <v>0</v>
      </c>
      <c r="M457" t="n">
        <v>0</v>
      </c>
      <c r="N457" t="n">
        <v>0</v>
      </c>
      <c r="O457" t="n">
        <v>0</v>
      </c>
      <c r="P457" t="n">
        <v>0</v>
      </c>
      <c r="Q457" t="n">
        <v>0</v>
      </c>
      <c r="R457" s="2" t="inlineStr"/>
    </row>
    <row r="458" ht="15" customHeight="1">
      <c r="A458" t="inlineStr">
        <is>
          <t>A 36133-2021</t>
        </is>
      </c>
      <c r="B458" s="1" t="n">
        <v>44386</v>
      </c>
      <c r="C458" s="1" t="n">
        <v>46013</v>
      </c>
      <c r="D458" t="inlineStr">
        <is>
          <t>SÖDERMANLANDS LÄN</t>
        </is>
      </c>
      <c r="E458" t="inlineStr">
        <is>
          <t>KATRINEHOLM</t>
        </is>
      </c>
      <c r="F458" t="inlineStr">
        <is>
          <t>Övriga Aktiebolag</t>
        </is>
      </c>
      <c r="G458" t="n">
        <v>8.9</v>
      </c>
      <c r="H458" t="n">
        <v>0</v>
      </c>
      <c r="I458" t="n">
        <v>0</v>
      </c>
      <c r="J458" t="n">
        <v>0</v>
      </c>
      <c r="K458" t="n">
        <v>0</v>
      </c>
      <c r="L458" t="n">
        <v>0</v>
      </c>
      <c r="M458" t="n">
        <v>0</v>
      </c>
      <c r="N458" t="n">
        <v>0</v>
      </c>
      <c r="O458" t="n">
        <v>0</v>
      </c>
      <c r="P458" t="n">
        <v>0</v>
      </c>
      <c r="Q458" t="n">
        <v>0</v>
      </c>
      <c r="R458" s="2" t="inlineStr"/>
    </row>
    <row r="459" ht="15" customHeight="1">
      <c r="A459" t="inlineStr">
        <is>
          <t>A 49700-2022</t>
        </is>
      </c>
      <c r="B459" s="1" t="n">
        <v>44862</v>
      </c>
      <c r="C459" s="1" t="n">
        <v>46013</v>
      </c>
      <c r="D459" t="inlineStr">
        <is>
          <t>SÖDERMANLANDS LÄN</t>
        </is>
      </c>
      <c r="E459" t="inlineStr">
        <is>
          <t>KATRINEHOLM</t>
        </is>
      </c>
      <c r="G459" t="n">
        <v>19.5</v>
      </c>
      <c r="H459" t="n">
        <v>0</v>
      </c>
      <c r="I459" t="n">
        <v>0</v>
      </c>
      <c r="J459" t="n">
        <v>0</v>
      </c>
      <c r="K459" t="n">
        <v>0</v>
      </c>
      <c r="L459" t="n">
        <v>0</v>
      </c>
      <c r="M459" t="n">
        <v>0</v>
      </c>
      <c r="N459" t="n">
        <v>0</v>
      </c>
      <c r="O459" t="n">
        <v>0</v>
      </c>
      <c r="P459" t="n">
        <v>0</v>
      </c>
      <c r="Q459" t="n">
        <v>0</v>
      </c>
      <c r="R459" s="2" t="inlineStr"/>
    </row>
    <row r="460" ht="15" customHeight="1">
      <c r="A460" t="inlineStr">
        <is>
          <t>A 30276-2023</t>
        </is>
      </c>
      <c r="B460" s="1" t="n">
        <v>45110</v>
      </c>
      <c r="C460" s="1" t="n">
        <v>46013</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59967-2025</t>
        </is>
      </c>
      <c r="B461" s="1" t="n">
        <v>45993.48525462963</v>
      </c>
      <c r="C461" s="1" t="n">
        <v>46013</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57265-2022</t>
        </is>
      </c>
      <c r="B462" s="1" t="n">
        <v>44895</v>
      </c>
      <c r="C462" s="1" t="n">
        <v>46013</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51780-2025</t>
        </is>
      </c>
      <c r="B463" s="1" t="n">
        <v>45951.65725694445</v>
      </c>
      <c r="C463" s="1" t="n">
        <v>46013</v>
      </c>
      <c r="D463" t="inlineStr">
        <is>
          <t>SÖDERMANLANDS LÄN</t>
        </is>
      </c>
      <c r="E463" t="inlineStr">
        <is>
          <t>KATRINEHOLM</t>
        </is>
      </c>
      <c r="F463" t="inlineStr">
        <is>
          <t>Allmännings- och besparingsskogar</t>
        </is>
      </c>
      <c r="G463" t="n">
        <v>1.3</v>
      </c>
      <c r="H463" t="n">
        <v>0</v>
      </c>
      <c r="I463" t="n">
        <v>0</v>
      </c>
      <c r="J463" t="n">
        <v>0</v>
      </c>
      <c r="K463" t="n">
        <v>0</v>
      </c>
      <c r="L463" t="n">
        <v>0</v>
      </c>
      <c r="M463" t="n">
        <v>0</v>
      </c>
      <c r="N463" t="n">
        <v>0</v>
      </c>
      <c r="O463" t="n">
        <v>0</v>
      </c>
      <c r="P463" t="n">
        <v>0</v>
      </c>
      <c r="Q463" t="n">
        <v>0</v>
      </c>
      <c r="R463" s="2" t="inlineStr"/>
    </row>
    <row r="464" ht="15" customHeight="1">
      <c r="A464" t="inlineStr">
        <is>
          <t>A 50316-2023</t>
        </is>
      </c>
      <c r="B464" s="1" t="n">
        <v>45209</v>
      </c>
      <c r="C464" s="1" t="n">
        <v>46013</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52857-2021</t>
        </is>
      </c>
      <c r="B465" s="1" t="n">
        <v>44466</v>
      </c>
      <c r="C465" s="1" t="n">
        <v>46013</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60160-2022</t>
        </is>
      </c>
      <c r="B466" s="1" t="n">
        <v>44909</v>
      </c>
      <c r="C466" s="1" t="n">
        <v>46013</v>
      </c>
      <c r="D466" t="inlineStr">
        <is>
          <t>SÖDERMANLANDS LÄN</t>
        </is>
      </c>
      <c r="E466" t="inlineStr">
        <is>
          <t>KATRINEHOLM</t>
        </is>
      </c>
      <c r="F466" t="inlineStr">
        <is>
          <t>Allmännings- och besparingsskogar</t>
        </is>
      </c>
      <c r="G466" t="n">
        <v>2</v>
      </c>
      <c r="H466" t="n">
        <v>0</v>
      </c>
      <c r="I466" t="n">
        <v>0</v>
      </c>
      <c r="J466" t="n">
        <v>0</v>
      </c>
      <c r="K466" t="n">
        <v>0</v>
      </c>
      <c r="L466" t="n">
        <v>0</v>
      </c>
      <c r="M466" t="n">
        <v>0</v>
      </c>
      <c r="N466" t="n">
        <v>0</v>
      </c>
      <c r="O466" t="n">
        <v>0</v>
      </c>
      <c r="P466" t="n">
        <v>0</v>
      </c>
      <c r="Q466" t="n">
        <v>0</v>
      </c>
      <c r="R466" s="2" t="inlineStr"/>
    </row>
    <row r="467" ht="15" customHeight="1">
      <c r="A467" t="inlineStr">
        <is>
          <t>A 19442-2023</t>
        </is>
      </c>
      <c r="B467" s="1" t="n">
        <v>45050</v>
      </c>
      <c r="C467" s="1" t="n">
        <v>46013</v>
      </c>
      <c r="D467" t="inlineStr">
        <is>
          <t>SÖDERMANLANDS LÄN</t>
        </is>
      </c>
      <c r="E467" t="inlineStr">
        <is>
          <t>KATRINEHOLM</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51774-2025</t>
        </is>
      </c>
      <c r="B468" s="1" t="n">
        <v>45951.65359953704</v>
      </c>
      <c r="C468" s="1" t="n">
        <v>46013</v>
      </c>
      <c r="D468" t="inlineStr">
        <is>
          <t>SÖDERMANLANDS LÄN</t>
        </is>
      </c>
      <c r="E468" t="inlineStr">
        <is>
          <t>KATRINEHOLM</t>
        </is>
      </c>
      <c r="F468" t="inlineStr">
        <is>
          <t>Allmännings- och besparingsskogar</t>
        </is>
      </c>
      <c r="G468" t="n">
        <v>3.7</v>
      </c>
      <c r="H468" t="n">
        <v>0</v>
      </c>
      <c r="I468" t="n">
        <v>0</v>
      </c>
      <c r="J468" t="n">
        <v>0</v>
      </c>
      <c r="K468" t="n">
        <v>0</v>
      </c>
      <c r="L468" t="n">
        <v>0</v>
      </c>
      <c r="M468" t="n">
        <v>0</v>
      </c>
      <c r="N468" t="n">
        <v>0</v>
      </c>
      <c r="O468" t="n">
        <v>0</v>
      </c>
      <c r="P468" t="n">
        <v>0</v>
      </c>
      <c r="Q468" t="n">
        <v>0</v>
      </c>
      <c r="R468" s="2" t="inlineStr"/>
    </row>
    <row r="469" ht="15" customHeight="1">
      <c r="A469" t="inlineStr">
        <is>
          <t>A 51783-2025</t>
        </is>
      </c>
      <c r="B469" s="1" t="n">
        <v>45951.67546296296</v>
      </c>
      <c r="C469" s="1" t="n">
        <v>46013</v>
      </c>
      <c r="D469" t="inlineStr">
        <is>
          <t>SÖDERMANLANDS LÄN</t>
        </is>
      </c>
      <c r="E469" t="inlineStr">
        <is>
          <t>KATRINEHOLM</t>
        </is>
      </c>
      <c r="F469" t="inlineStr">
        <is>
          <t>Allmännings- och besparingsskogar</t>
        </is>
      </c>
      <c r="G469" t="n">
        <v>5.8</v>
      </c>
      <c r="H469" t="n">
        <v>0</v>
      </c>
      <c r="I469" t="n">
        <v>0</v>
      </c>
      <c r="J469" t="n">
        <v>0</v>
      </c>
      <c r="K469" t="n">
        <v>0</v>
      </c>
      <c r="L469" t="n">
        <v>0</v>
      </c>
      <c r="M469" t="n">
        <v>0</v>
      </c>
      <c r="N469" t="n">
        <v>0</v>
      </c>
      <c r="O469" t="n">
        <v>0</v>
      </c>
      <c r="P469" t="n">
        <v>0</v>
      </c>
      <c r="Q469" t="n">
        <v>0</v>
      </c>
      <c r="R469" s="2" t="inlineStr"/>
    </row>
    <row r="470" ht="15" customHeight="1">
      <c r="A470" t="inlineStr">
        <is>
          <t>A 50840-2022</t>
        </is>
      </c>
      <c r="B470" s="1" t="n">
        <v>44862</v>
      </c>
      <c r="C470" s="1" t="n">
        <v>46013</v>
      </c>
      <c r="D470" t="inlineStr">
        <is>
          <t>SÖDERMANLANDS LÄN</t>
        </is>
      </c>
      <c r="E470" t="inlineStr">
        <is>
          <t>KATRINEHOLM</t>
        </is>
      </c>
      <c r="G470" t="n">
        <v>4.2</v>
      </c>
      <c r="H470" t="n">
        <v>0</v>
      </c>
      <c r="I470" t="n">
        <v>0</v>
      </c>
      <c r="J470" t="n">
        <v>0</v>
      </c>
      <c r="K470" t="n">
        <v>0</v>
      </c>
      <c r="L470" t="n">
        <v>0</v>
      </c>
      <c r="M470" t="n">
        <v>0</v>
      </c>
      <c r="N470" t="n">
        <v>0</v>
      </c>
      <c r="O470" t="n">
        <v>0</v>
      </c>
      <c r="P470" t="n">
        <v>0</v>
      </c>
      <c r="Q470" t="n">
        <v>0</v>
      </c>
      <c r="R470" s="2" t="inlineStr"/>
    </row>
    <row r="471" ht="15" customHeight="1">
      <c r="A471" t="inlineStr">
        <is>
          <t>A 3060-2022</t>
        </is>
      </c>
      <c r="B471" s="1" t="n">
        <v>44582.40109953703</v>
      </c>
      <c r="C471" s="1" t="n">
        <v>46013</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6611-2023</t>
        </is>
      </c>
      <c r="B472" s="1" t="n">
        <v>44963</v>
      </c>
      <c r="C472" s="1" t="n">
        <v>46013</v>
      </c>
      <c r="D472" t="inlineStr">
        <is>
          <t>SÖDERMANLANDS LÄN</t>
        </is>
      </c>
      <c r="E472" t="inlineStr">
        <is>
          <t>KATRINEHOLM</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52242-2025</t>
        </is>
      </c>
      <c r="B473" s="1" t="n">
        <v>45953.46886574074</v>
      </c>
      <c r="C473" s="1" t="n">
        <v>46013</v>
      </c>
      <c r="D473" t="inlineStr">
        <is>
          <t>SÖDERMANLANDS LÄN</t>
        </is>
      </c>
      <c r="E473" t="inlineStr">
        <is>
          <t>KATRINEHOLM</t>
        </is>
      </c>
      <c r="G473" t="n">
        <v>5.3</v>
      </c>
      <c r="H473" t="n">
        <v>0</v>
      </c>
      <c r="I473" t="n">
        <v>0</v>
      </c>
      <c r="J473" t="n">
        <v>0</v>
      </c>
      <c r="K473" t="n">
        <v>0</v>
      </c>
      <c r="L473" t="n">
        <v>0</v>
      </c>
      <c r="M473" t="n">
        <v>0</v>
      </c>
      <c r="N473" t="n">
        <v>0</v>
      </c>
      <c r="O473" t="n">
        <v>0</v>
      </c>
      <c r="P473" t="n">
        <v>0</v>
      </c>
      <c r="Q473" t="n">
        <v>0</v>
      </c>
      <c r="R473" s="2" t="inlineStr"/>
    </row>
    <row r="474" ht="15" customHeight="1">
      <c r="A474" t="inlineStr">
        <is>
          <t>A 60678-2025</t>
        </is>
      </c>
      <c r="B474" s="1" t="n">
        <v>45996.56251157408</v>
      </c>
      <c r="C474" s="1" t="n">
        <v>46013</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52239-2025</t>
        </is>
      </c>
      <c r="B475" s="1" t="n">
        <v>45953.46193287037</v>
      </c>
      <c r="C475" s="1" t="n">
        <v>46013</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50804-2023</t>
        </is>
      </c>
      <c r="B476" s="1" t="n">
        <v>45211</v>
      </c>
      <c r="C476" s="1" t="n">
        <v>46013</v>
      </c>
      <c r="D476" t="inlineStr">
        <is>
          <t>SÖDERMANLANDS LÄN</t>
        </is>
      </c>
      <c r="E476" t="inlineStr">
        <is>
          <t>KATRINEHOLM</t>
        </is>
      </c>
      <c r="G476" t="n">
        <v>4</v>
      </c>
      <c r="H476" t="n">
        <v>0</v>
      </c>
      <c r="I476" t="n">
        <v>0</v>
      </c>
      <c r="J476" t="n">
        <v>0</v>
      </c>
      <c r="K476" t="n">
        <v>0</v>
      </c>
      <c r="L476" t="n">
        <v>0</v>
      </c>
      <c r="M476" t="n">
        <v>0</v>
      </c>
      <c r="N476" t="n">
        <v>0</v>
      </c>
      <c r="O476" t="n">
        <v>0</v>
      </c>
      <c r="P476" t="n">
        <v>0</v>
      </c>
      <c r="Q476" t="n">
        <v>0</v>
      </c>
      <c r="R476" s="2" t="inlineStr"/>
    </row>
    <row r="477" ht="15" customHeight="1">
      <c r="A477" t="inlineStr">
        <is>
          <t>A 20533-2023</t>
        </is>
      </c>
      <c r="B477" s="1" t="n">
        <v>45057</v>
      </c>
      <c r="C477" s="1" t="n">
        <v>46013</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c r="T477">
        <f>HYPERLINK("https://klasma.github.io/Logging_0483/kartor/A 20533-2023 karta.png", "A 20533-2023")</f>
        <v/>
      </c>
      <c r="V477">
        <f>HYPERLINK("https://klasma.github.io/Logging_0483/klagomål/A 20533-2023 FSC-klagomål.docx", "A 20533-2023")</f>
        <v/>
      </c>
      <c r="W477">
        <f>HYPERLINK("https://klasma.github.io/Logging_0483/klagomålsmail/A 20533-2023 FSC-klagomål mail.docx", "A 20533-2023")</f>
        <v/>
      </c>
      <c r="X477">
        <f>HYPERLINK("https://klasma.github.io/Logging_0483/tillsyn/A 20533-2023 tillsynsbegäran.docx", "A 20533-2023")</f>
        <v/>
      </c>
      <c r="Y477">
        <f>HYPERLINK("https://klasma.github.io/Logging_0483/tillsynsmail/A 20533-2023 tillsynsbegäran mail.docx", "A 20533-2023")</f>
        <v/>
      </c>
      <c r="Z477">
        <f>HYPERLINK("https://klasma.github.io/Logging_0483/fåglar/A 20533-2023 prioriterade fågelarter.docx", "A 20533-2023")</f>
        <v/>
      </c>
    </row>
    <row r="478" ht="15" customHeight="1">
      <c r="A478" t="inlineStr">
        <is>
          <t>A 52244-2025</t>
        </is>
      </c>
      <c r="B478" s="1" t="n">
        <v>45953</v>
      </c>
      <c r="C478" s="1" t="n">
        <v>46013</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43499-2021</t>
        </is>
      </c>
      <c r="B479" s="1" t="n">
        <v>44433</v>
      </c>
      <c r="C479" s="1" t="n">
        <v>46013</v>
      </c>
      <c r="D479" t="inlineStr">
        <is>
          <t>SÖDERMANLANDS LÄN</t>
        </is>
      </c>
      <c r="E479" t="inlineStr">
        <is>
          <t>KATRINEHOLM</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53996-2023</t>
        </is>
      </c>
      <c r="B480" s="1" t="n">
        <v>45231</v>
      </c>
      <c r="C480" s="1" t="n">
        <v>46013</v>
      </c>
      <c r="D480" t="inlineStr">
        <is>
          <t>SÖDERMANLANDS LÄN</t>
        </is>
      </c>
      <c r="E480" t="inlineStr">
        <is>
          <t>KATRINEHOLM</t>
        </is>
      </c>
      <c r="G480" t="n">
        <v>4.9</v>
      </c>
      <c r="H480" t="n">
        <v>0</v>
      </c>
      <c r="I480" t="n">
        <v>0</v>
      </c>
      <c r="J480" t="n">
        <v>0</v>
      </c>
      <c r="K480" t="n">
        <v>0</v>
      </c>
      <c r="L480" t="n">
        <v>0</v>
      </c>
      <c r="M480" t="n">
        <v>0</v>
      </c>
      <c r="N480" t="n">
        <v>0</v>
      </c>
      <c r="O480" t="n">
        <v>0</v>
      </c>
      <c r="P480" t="n">
        <v>0</v>
      </c>
      <c r="Q480" t="n">
        <v>0</v>
      </c>
      <c r="R480" s="2" t="inlineStr"/>
    </row>
    <row r="481" ht="15" customHeight="1">
      <c r="A481" t="inlineStr">
        <is>
          <t>A 33790-2024</t>
        </is>
      </c>
      <c r="B481" s="1" t="n">
        <v>45520.59179398148</v>
      </c>
      <c r="C481" s="1" t="n">
        <v>46013</v>
      </c>
      <c r="D481" t="inlineStr">
        <is>
          <t>SÖDERMANLANDS LÄN</t>
        </is>
      </c>
      <c r="E481" t="inlineStr">
        <is>
          <t>KATRINEHOLM</t>
        </is>
      </c>
      <c r="G481" t="n">
        <v>14</v>
      </c>
      <c r="H481" t="n">
        <v>0</v>
      </c>
      <c r="I481" t="n">
        <v>0</v>
      </c>
      <c r="J481" t="n">
        <v>0</v>
      </c>
      <c r="K481" t="n">
        <v>0</v>
      </c>
      <c r="L481" t="n">
        <v>0</v>
      </c>
      <c r="M481" t="n">
        <v>0</v>
      </c>
      <c r="N481" t="n">
        <v>0</v>
      </c>
      <c r="O481" t="n">
        <v>0</v>
      </c>
      <c r="P481" t="n">
        <v>0</v>
      </c>
      <c r="Q481" t="n">
        <v>0</v>
      </c>
      <c r="R481" s="2" t="inlineStr"/>
    </row>
    <row r="482" ht="15" customHeight="1">
      <c r="A482" t="inlineStr">
        <is>
          <t>A 47456-2022</t>
        </is>
      </c>
      <c r="B482" s="1" t="n">
        <v>44852</v>
      </c>
      <c r="C482" s="1" t="n">
        <v>46013</v>
      </c>
      <c r="D482" t="inlineStr">
        <is>
          <t>SÖDERMANLANDS LÄN</t>
        </is>
      </c>
      <c r="E482" t="inlineStr">
        <is>
          <t>KATRINEHOLM</t>
        </is>
      </c>
      <c r="G482" t="n">
        <v>3.7</v>
      </c>
      <c r="H482" t="n">
        <v>0</v>
      </c>
      <c r="I482" t="n">
        <v>0</v>
      </c>
      <c r="J482" t="n">
        <v>0</v>
      </c>
      <c r="K482" t="n">
        <v>0</v>
      </c>
      <c r="L482" t="n">
        <v>0</v>
      </c>
      <c r="M482" t="n">
        <v>0</v>
      </c>
      <c r="N482" t="n">
        <v>0</v>
      </c>
      <c r="O482" t="n">
        <v>0</v>
      </c>
      <c r="P482" t="n">
        <v>0</v>
      </c>
      <c r="Q482" t="n">
        <v>0</v>
      </c>
      <c r="R482" s="2" t="inlineStr"/>
    </row>
    <row r="483" ht="15" customHeight="1">
      <c r="A483" t="inlineStr">
        <is>
          <t>A 23347-2023</t>
        </is>
      </c>
      <c r="B483" s="1" t="n">
        <v>45076</v>
      </c>
      <c r="C483" s="1" t="n">
        <v>46013</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74354-2021</t>
        </is>
      </c>
      <c r="B484" s="1" t="n">
        <v>44559.57041666667</v>
      </c>
      <c r="C484" s="1" t="n">
        <v>46013</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52348-2021</t>
        </is>
      </c>
      <c r="B485" s="1" t="n">
        <v>44464.49756944444</v>
      </c>
      <c r="C485" s="1" t="n">
        <v>46013</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61121-2025</t>
        </is>
      </c>
      <c r="B486" s="1" t="n">
        <v>46000.46746527778</v>
      </c>
      <c r="C486" s="1" t="n">
        <v>46013</v>
      </c>
      <c r="D486" t="inlineStr">
        <is>
          <t>SÖDERMANLANDS LÄN</t>
        </is>
      </c>
      <c r="E486" t="inlineStr">
        <is>
          <t>KATRINEHOLM</t>
        </is>
      </c>
      <c r="G486" t="n">
        <v>0.2</v>
      </c>
      <c r="H486" t="n">
        <v>0</v>
      </c>
      <c r="I486" t="n">
        <v>0</v>
      </c>
      <c r="J486" t="n">
        <v>0</v>
      </c>
      <c r="K486" t="n">
        <v>0</v>
      </c>
      <c r="L486" t="n">
        <v>0</v>
      </c>
      <c r="M486" t="n">
        <v>0</v>
      </c>
      <c r="N486" t="n">
        <v>0</v>
      </c>
      <c r="O486" t="n">
        <v>0</v>
      </c>
      <c r="P486" t="n">
        <v>0</v>
      </c>
      <c r="Q486" t="n">
        <v>0</v>
      </c>
      <c r="R486" s="2" t="inlineStr"/>
    </row>
    <row r="487" ht="15" customHeight="1">
      <c r="A487" t="inlineStr">
        <is>
          <t>A 56628-2021</t>
        </is>
      </c>
      <c r="B487" s="1" t="n">
        <v>44480</v>
      </c>
      <c r="C487" s="1" t="n">
        <v>46013</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45438-2021</t>
        </is>
      </c>
      <c r="B488" s="1" t="n">
        <v>44440</v>
      </c>
      <c r="C488" s="1" t="n">
        <v>46013</v>
      </c>
      <c r="D488" t="inlineStr">
        <is>
          <t>SÖDERMANLANDS LÄN</t>
        </is>
      </c>
      <c r="E488" t="inlineStr">
        <is>
          <t>KATRINEHOLM</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50061-2022</t>
        </is>
      </c>
      <c r="B489" s="1" t="n">
        <v>44865</v>
      </c>
      <c r="C489" s="1" t="n">
        <v>46013</v>
      </c>
      <c r="D489" t="inlineStr">
        <is>
          <t>SÖDERMANLANDS LÄN</t>
        </is>
      </c>
      <c r="E489" t="inlineStr">
        <is>
          <t>KATRINEHOLM</t>
        </is>
      </c>
      <c r="G489" t="n">
        <v>4.9</v>
      </c>
      <c r="H489" t="n">
        <v>0</v>
      </c>
      <c r="I489" t="n">
        <v>0</v>
      </c>
      <c r="J489" t="n">
        <v>0</v>
      </c>
      <c r="K489" t="n">
        <v>0</v>
      </c>
      <c r="L489" t="n">
        <v>0</v>
      </c>
      <c r="M489" t="n">
        <v>0</v>
      </c>
      <c r="N489" t="n">
        <v>0</v>
      </c>
      <c r="O489" t="n">
        <v>0</v>
      </c>
      <c r="P489" t="n">
        <v>0</v>
      </c>
      <c r="Q489" t="n">
        <v>0</v>
      </c>
      <c r="R489" s="2" t="inlineStr"/>
    </row>
    <row r="490" ht="15" customHeight="1">
      <c r="A490" t="inlineStr">
        <is>
          <t>A 10446-2024</t>
        </is>
      </c>
      <c r="B490" s="1" t="n">
        <v>45366</v>
      </c>
      <c r="C490" s="1" t="n">
        <v>46013</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61066-2025</t>
        </is>
      </c>
      <c r="B491" s="1" t="n">
        <v>46000.37695601852</v>
      </c>
      <c r="C491" s="1" t="n">
        <v>46013</v>
      </c>
      <c r="D491" t="inlineStr">
        <is>
          <t>SÖDERMANLANDS LÄN</t>
        </is>
      </c>
      <c r="E491" t="inlineStr">
        <is>
          <t>KATRINEHOLM</t>
        </is>
      </c>
      <c r="F491" t="inlineStr">
        <is>
          <t>Kyrkan</t>
        </is>
      </c>
      <c r="G491" t="n">
        <v>5</v>
      </c>
      <c r="H491" t="n">
        <v>0</v>
      </c>
      <c r="I491" t="n">
        <v>0</v>
      </c>
      <c r="J491" t="n">
        <v>0</v>
      </c>
      <c r="K491" t="n">
        <v>0</v>
      </c>
      <c r="L491" t="n">
        <v>0</v>
      </c>
      <c r="M491" t="n">
        <v>0</v>
      </c>
      <c r="N491" t="n">
        <v>0</v>
      </c>
      <c r="O491" t="n">
        <v>0</v>
      </c>
      <c r="P491" t="n">
        <v>0</v>
      </c>
      <c r="Q491" t="n">
        <v>0</v>
      </c>
      <c r="R491" s="2" t="inlineStr"/>
    </row>
    <row r="492" ht="15" customHeight="1">
      <c r="A492" t="inlineStr">
        <is>
          <t>A 52744-2025</t>
        </is>
      </c>
      <c r="B492" s="1" t="n">
        <v>45957.38387731482</v>
      </c>
      <c r="C492" s="1" t="n">
        <v>46013</v>
      </c>
      <c r="D492" t="inlineStr">
        <is>
          <t>SÖDERMANLANDS LÄN</t>
        </is>
      </c>
      <c r="E492" t="inlineStr">
        <is>
          <t>KATRINEHOLM</t>
        </is>
      </c>
      <c r="G492" t="n">
        <v>4</v>
      </c>
      <c r="H492" t="n">
        <v>0</v>
      </c>
      <c r="I492" t="n">
        <v>0</v>
      </c>
      <c r="J492" t="n">
        <v>0</v>
      </c>
      <c r="K492" t="n">
        <v>0</v>
      </c>
      <c r="L492" t="n">
        <v>0</v>
      </c>
      <c r="M492" t="n">
        <v>0</v>
      </c>
      <c r="N492" t="n">
        <v>0</v>
      </c>
      <c r="O492" t="n">
        <v>0</v>
      </c>
      <c r="P492" t="n">
        <v>0</v>
      </c>
      <c r="Q492" t="n">
        <v>0</v>
      </c>
      <c r="R492" s="2" t="inlineStr"/>
    </row>
    <row r="493" ht="15" customHeight="1">
      <c r="A493" t="inlineStr">
        <is>
          <t>A 53860-2021</t>
        </is>
      </c>
      <c r="B493" s="1" t="n">
        <v>44467</v>
      </c>
      <c r="C493" s="1" t="n">
        <v>46013</v>
      </c>
      <c r="D493" t="inlineStr">
        <is>
          <t>SÖDERMANLANDS LÄN</t>
        </is>
      </c>
      <c r="E493" t="inlineStr">
        <is>
          <t>KATRINEHOLM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23842-2023</t>
        </is>
      </c>
      <c r="B494" s="1" t="n">
        <v>45075</v>
      </c>
      <c r="C494" s="1" t="n">
        <v>46013</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34263-2023</t>
        </is>
      </c>
      <c r="B495" s="1" t="n">
        <v>45138.60248842592</v>
      </c>
      <c r="C495" s="1" t="n">
        <v>46013</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46899-2022</t>
        </is>
      </c>
      <c r="B496" s="1" t="n">
        <v>44848</v>
      </c>
      <c r="C496" s="1" t="n">
        <v>46013</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55296-2022</t>
        </is>
      </c>
      <c r="B497" s="1" t="n">
        <v>44887</v>
      </c>
      <c r="C497" s="1" t="n">
        <v>46013</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57524-2021</t>
        </is>
      </c>
      <c r="B498" s="1" t="n">
        <v>44483</v>
      </c>
      <c r="C498" s="1" t="n">
        <v>46013</v>
      </c>
      <c r="D498" t="inlineStr">
        <is>
          <t>SÖDERMANLANDS LÄN</t>
        </is>
      </c>
      <c r="E498" t="inlineStr">
        <is>
          <t>KATRINEHOLM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61721-2025</t>
        </is>
      </c>
      <c r="B499" s="1" t="n">
        <v>46002.57778935185</v>
      </c>
      <c r="C499" s="1" t="n">
        <v>46013</v>
      </c>
      <c r="D499" t="inlineStr">
        <is>
          <t>SÖDERMANLANDS LÄN</t>
        </is>
      </c>
      <c r="E499" t="inlineStr">
        <is>
          <t>KATRINEHOLM</t>
        </is>
      </c>
      <c r="G499" t="n">
        <v>4.5</v>
      </c>
      <c r="H499" t="n">
        <v>0</v>
      </c>
      <c r="I499" t="n">
        <v>0</v>
      </c>
      <c r="J499" t="n">
        <v>0</v>
      </c>
      <c r="K499" t="n">
        <v>0</v>
      </c>
      <c r="L499" t="n">
        <v>0</v>
      </c>
      <c r="M499" t="n">
        <v>0</v>
      </c>
      <c r="N499" t="n">
        <v>0</v>
      </c>
      <c r="O499" t="n">
        <v>0</v>
      </c>
      <c r="P499" t="n">
        <v>0</v>
      </c>
      <c r="Q499" t="n">
        <v>0</v>
      </c>
      <c r="R499" s="2" t="inlineStr"/>
    </row>
    <row r="500" ht="15" customHeight="1">
      <c r="A500" t="inlineStr">
        <is>
          <t>A 931-2023</t>
        </is>
      </c>
      <c r="B500" s="1" t="n">
        <v>44932.74261574074</v>
      </c>
      <c r="C500" s="1" t="n">
        <v>46013</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55171-2023</t>
        </is>
      </c>
      <c r="B501" s="1" t="n">
        <v>45231</v>
      </c>
      <c r="C501" s="1" t="n">
        <v>46013</v>
      </c>
      <c r="D501" t="inlineStr">
        <is>
          <t>SÖDERMANLANDS LÄN</t>
        </is>
      </c>
      <c r="E501" t="inlineStr">
        <is>
          <t>KATRINEHOLM</t>
        </is>
      </c>
      <c r="G501" t="n">
        <v>4.2</v>
      </c>
      <c r="H501" t="n">
        <v>0</v>
      </c>
      <c r="I501" t="n">
        <v>0</v>
      </c>
      <c r="J501" t="n">
        <v>0</v>
      </c>
      <c r="K501" t="n">
        <v>0</v>
      </c>
      <c r="L501" t="n">
        <v>0</v>
      </c>
      <c r="M501" t="n">
        <v>0</v>
      </c>
      <c r="N501" t="n">
        <v>0</v>
      </c>
      <c r="O501" t="n">
        <v>0</v>
      </c>
      <c r="P501" t="n">
        <v>0</v>
      </c>
      <c r="Q501" t="n">
        <v>0</v>
      </c>
      <c r="R501" s="2" t="inlineStr"/>
    </row>
    <row r="502" ht="15" customHeight="1">
      <c r="A502" t="inlineStr">
        <is>
          <t>A 53338-2025</t>
        </is>
      </c>
      <c r="B502" s="1" t="n">
        <v>45959.40447916667</v>
      </c>
      <c r="C502" s="1" t="n">
        <v>46013</v>
      </c>
      <c r="D502" t="inlineStr">
        <is>
          <t>SÖDERMANLANDS LÄN</t>
        </is>
      </c>
      <c r="E502" t="inlineStr">
        <is>
          <t>KATRINEHOLM</t>
        </is>
      </c>
      <c r="G502" t="n">
        <v>2.9</v>
      </c>
      <c r="H502" t="n">
        <v>0</v>
      </c>
      <c r="I502" t="n">
        <v>0</v>
      </c>
      <c r="J502" t="n">
        <v>0</v>
      </c>
      <c r="K502" t="n">
        <v>0</v>
      </c>
      <c r="L502" t="n">
        <v>0</v>
      </c>
      <c r="M502" t="n">
        <v>0</v>
      </c>
      <c r="N502" t="n">
        <v>0</v>
      </c>
      <c r="O502" t="n">
        <v>0</v>
      </c>
      <c r="P502" t="n">
        <v>0</v>
      </c>
      <c r="Q502" t="n">
        <v>0</v>
      </c>
      <c r="R502" s="2" t="inlineStr"/>
    </row>
    <row r="503" ht="15" customHeight="1">
      <c r="A503" t="inlineStr">
        <is>
          <t>A 53393-2023</t>
        </is>
      </c>
      <c r="B503" s="1" t="n">
        <v>45229</v>
      </c>
      <c r="C503" s="1" t="n">
        <v>46013</v>
      </c>
      <c r="D503" t="inlineStr">
        <is>
          <t>SÖDERMANLANDS LÄN</t>
        </is>
      </c>
      <c r="E503" t="inlineStr">
        <is>
          <t>KATRINEHOLM</t>
        </is>
      </c>
      <c r="F503" t="inlineStr">
        <is>
          <t>Kyrkan</t>
        </is>
      </c>
      <c r="G503" t="n">
        <v>5.6</v>
      </c>
      <c r="H503" t="n">
        <v>0</v>
      </c>
      <c r="I503" t="n">
        <v>0</v>
      </c>
      <c r="J503" t="n">
        <v>0</v>
      </c>
      <c r="K503" t="n">
        <v>0</v>
      </c>
      <c r="L503" t="n">
        <v>0</v>
      </c>
      <c r="M503" t="n">
        <v>0</v>
      </c>
      <c r="N503" t="n">
        <v>0</v>
      </c>
      <c r="O503" t="n">
        <v>0</v>
      </c>
      <c r="P503" t="n">
        <v>0</v>
      </c>
      <c r="Q503" t="n">
        <v>0</v>
      </c>
      <c r="R503" s="2" t="inlineStr"/>
    </row>
    <row r="504" ht="15" customHeight="1">
      <c r="A504" t="inlineStr">
        <is>
          <t>A 33469-2025</t>
        </is>
      </c>
      <c r="B504" s="1" t="n">
        <v>45841.48686342593</v>
      </c>
      <c r="C504" s="1" t="n">
        <v>46013</v>
      </c>
      <c r="D504" t="inlineStr">
        <is>
          <t>SÖDERMANLANDS LÄN</t>
        </is>
      </c>
      <c r="E504" t="inlineStr">
        <is>
          <t>KATRINEHOLM</t>
        </is>
      </c>
      <c r="G504" t="n">
        <v>2.1</v>
      </c>
      <c r="H504" t="n">
        <v>0</v>
      </c>
      <c r="I504" t="n">
        <v>0</v>
      </c>
      <c r="J504" t="n">
        <v>0</v>
      </c>
      <c r="K504" t="n">
        <v>0</v>
      </c>
      <c r="L504" t="n">
        <v>0</v>
      </c>
      <c r="M504" t="n">
        <v>0</v>
      </c>
      <c r="N504" t="n">
        <v>0</v>
      </c>
      <c r="O504" t="n">
        <v>0</v>
      </c>
      <c r="P504" t="n">
        <v>0</v>
      </c>
      <c r="Q504" t="n">
        <v>0</v>
      </c>
      <c r="R504" s="2" t="inlineStr"/>
    </row>
    <row r="505" ht="15" customHeight="1">
      <c r="A505" t="inlineStr">
        <is>
          <t>A 33129-2025</t>
        </is>
      </c>
      <c r="B505" s="1" t="n">
        <v>45840.50141203704</v>
      </c>
      <c r="C505" s="1" t="n">
        <v>46013</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23031-2024</t>
        </is>
      </c>
      <c r="B506" s="1" t="n">
        <v>45450.38120370371</v>
      </c>
      <c r="C506" s="1" t="n">
        <v>46013</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22506-2023</t>
        </is>
      </c>
      <c r="B507" s="1" t="n">
        <v>45071.37393518518</v>
      </c>
      <c r="C507" s="1" t="n">
        <v>46013</v>
      </c>
      <c r="D507" t="inlineStr">
        <is>
          <t>SÖDERMANLANDS LÄN</t>
        </is>
      </c>
      <c r="E507" t="inlineStr">
        <is>
          <t>KATRINEHOLM</t>
        </is>
      </c>
      <c r="F507" t="inlineStr">
        <is>
          <t>Kyrkan</t>
        </is>
      </c>
      <c r="G507" t="n">
        <v>5.9</v>
      </c>
      <c r="H507" t="n">
        <v>0</v>
      </c>
      <c r="I507" t="n">
        <v>0</v>
      </c>
      <c r="J507" t="n">
        <v>0</v>
      </c>
      <c r="K507" t="n">
        <v>0</v>
      </c>
      <c r="L507" t="n">
        <v>0</v>
      </c>
      <c r="M507" t="n">
        <v>0</v>
      </c>
      <c r="N507" t="n">
        <v>0</v>
      </c>
      <c r="O507" t="n">
        <v>0</v>
      </c>
      <c r="P507" t="n">
        <v>0</v>
      </c>
      <c r="Q507" t="n">
        <v>0</v>
      </c>
      <c r="R507" s="2" t="inlineStr"/>
    </row>
    <row r="508" ht="15" customHeight="1">
      <c r="A508" t="inlineStr">
        <is>
          <t>A 12888-2025</t>
        </is>
      </c>
      <c r="B508" s="1" t="n">
        <v>45733</v>
      </c>
      <c r="C508" s="1" t="n">
        <v>46013</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41548-2025</t>
        </is>
      </c>
      <c r="B509" s="1" t="n">
        <v>45901</v>
      </c>
      <c r="C509" s="1" t="n">
        <v>46013</v>
      </c>
      <c r="D509" t="inlineStr">
        <is>
          <t>SÖDERMANLANDS LÄN</t>
        </is>
      </c>
      <c r="E509" t="inlineStr">
        <is>
          <t>KATRINEHOLM</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33096-2025</t>
        </is>
      </c>
      <c r="B510" s="1" t="n">
        <v>45840.47563657408</v>
      </c>
      <c r="C510" s="1" t="n">
        <v>46013</v>
      </c>
      <c r="D510" t="inlineStr">
        <is>
          <t>SÖDERMANLANDS LÄN</t>
        </is>
      </c>
      <c r="E510" t="inlineStr">
        <is>
          <t>KATRINEHOLM</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33077-2025</t>
        </is>
      </c>
      <c r="B511" s="1" t="n">
        <v>45840.45864583334</v>
      </c>
      <c r="C511" s="1" t="n">
        <v>46013</v>
      </c>
      <c r="D511" t="inlineStr">
        <is>
          <t>SÖDERMANLANDS LÄN</t>
        </is>
      </c>
      <c r="E511" t="inlineStr">
        <is>
          <t>KATRINEHOLM</t>
        </is>
      </c>
      <c r="G511" t="n">
        <v>7</v>
      </c>
      <c r="H511" t="n">
        <v>0</v>
      </c>
      <c r="I511" t="n">
        <v>0</v>
      </c>
      <c r="J511" t="n">
        <v>0</v>
      </c>
      <c r="K511" t="n">
        <v>0</v>
      </c>
      <c r="L511" t="n">
        <v>0</v>
      </c>
      <c r="M511" t="n">
        <v>0</v>
      </c>
      <c r="N511" t="n">
        <v>0</v>
      </c>
      <c r="O511" t="n">
        <v>0</v>
      </c>
      <c r="P511" t="n">
        <v>0</v>
      </c>
      <c r="Q511" t="n">
        <v>0</v>
      </c>
      <c r="R511" s="2" t="inlineStr"/>
    </row>
    <row r="512" ht="15" customHeight="1">
      <c r="A512" t="inlineStr">
        <is>
          <t>A 22345-2023</t>
        </is>
      </c>
      <c r="B512" s="1" t="n">
        <v>45070</v>
      </c>
      <c r="C512" s="1" t="n">
        <v>46013</v>
      </c>
      <c r="D512" t="inlineStr">
        <is>
          <t>SÖDERMANLANDS LÄN</t>
        </is>
      </c>
      <c r="E512" t="inlineStr">
        <is>
          <t>KATRINEHOLM</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33101-2025</t>
        </is>
      </c>
      <c r="B513" s="1" t="n">
        <v>45840.47953703703</v>
      </c>
      <c r="C513" s="1" t="n">
        <v>46013</v>
      </c>
      <c r="D513" t="inlineStr">
        <is>
          <t>SÖDERMANLANDS LÄN</t>
        </is>
      </c>
      <c r="E513" t="inlineStr">
        <is>
          <t>KATRINEHOLM</t>
        </is>
      </c>
      <c r="G513" t="n">
        <v>4.4</v>
      </c>
      <c r="H513" t="n">
        <v>0</v>
      </c>
      <c r="I513" t="n">
        <v>0</v>
      </c>
      <c r="J513" t="n">
        <v>0</v>
      </c>
      <c r="K513" t="n">
        <v>0</v>
      </c>
      <c r="L513" t="n">
        <v>0</v>
      </c>
      <c r="M513" t="n">
        <v>0</v>
      </c>
      <c r="N513" t="n">
        <v>0</v>
      </c>
      <c r="O513" t="n">
        <v>0</v>
      </c>
      <c r="P513" t="n">
        <v>0</v>
      </c>
      <c r="Q513" t="n">
        <v>0</v>
      </c>
      <c r="R513" s="2" t="inlineStr"/>
    </row>
    <row r="514" ht="15" customHeight="1">
      <c r="A514" t="inlineStr">
        <is>
          <t>A 54359-2025</t>
        </is>
      </c>
      <c r="B514" s="1" t="n">
        <v>45964</v>
      </c>
      <c r="C514" s="1" t="n">
        <v>46013</v>
      </c>
      <c r="D514" t="inlineStr">
        <is>
          <t>SÖDERMANLANDS LÄN</t>
        </is>
      </c>
      <c r="E514" t="inlineStr">
        <is>
          <t>KATRINEHOLM</t>
        </is>
      </c>
      <c r="G514" t="n">
        <v>2.5</v>
      </c>
      <c r="H514" t="n">
        <v>0</v>
      </c>
      <c r="I514" t="n">
        <v>0</v>
      </c>
      <c r="J514" t="n">
        <v>0</v>
      </c>
      <c r="K514" t="n">
        <v>0</v>
      </c>
      <c r="L514" t="n">
        <v>0</v>
      </c>
      <c r="M514" t="n">
        <v>0</v>
      </c>
      <c r="N514" t="n">
        <v>0</v>
      </c>
      <c r="O514" t="n">
        <v>0</v>
      </c>
      <c r="P514" t="n">
        <v>0</v>
      </c>
      <c r="Q514" t="n">
        <v>0</v>
      </c>
      <c r="R514" s="2" t="inlineStr"/>
    </row>
    <row r="515" ht="15" customHeight="1">
      <c r="A515" t="inlineStr">
        <is>
          <t>A 54395-2025</t>
        </is>
      </c>
      <c r="B515" s="1" t="n">
        <v>45964</v>
      </c>
      <c r="C515" s="1" t="n">
        <v>46013</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48877-2022</t>
        </is>
      </c>
      <c r="B516" s="1" t="n">
        <v>44859</v>
      </c>
      <c r="C516" s="1" t="n">
        <v>46013</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row>
    <row r="517" ht="15" customHeight="1">
      <c r="A517" t="inlineStr">
        <is>
          <t>A 19868-2022</t>
        </is>
      </c>
      <c r="B517" s="1" t="n">
        <v>44696</v>
      </c>
      <c r="C517" s="1" t="n">
        <v>46013</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63188-2021</t>
        </is>
      </c>
      <c r="B518" s="1" t="n">
        <v>44507.56865740741</v>
      </c>
      <c r="C518" s="1" t="n">
        <v>46013</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46013</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46013</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34981-2023</t>
        </is>
      </c>
      <c r="B521" s="1" t="n">
        <v>45142</v>
      </c>
      <c r="C521" s="1" t="n">
        <v>46013</v>
      </c>
      <c r="D521" t="inlineStr">
        <is>
          <t>SÖDERMANLANDS LÄN</t>
        </is>
      </c>
      <c r="E521" t="inlineStr">
        <is>
          <t>KATRINEHOLM</t>
        </is>
      </c>
      <c r="G521" t="n">
        <v>10</v>
      </c>
      <c r="H521" t="n">
        <v>0</v>
      </c>
      <c r="I521" t="n">
        <v>0</v>
      </c>
      <c r="J521" t="n">
        <v>0</v>
      </c>
      <c r="K521" t="n">
        <v>0</v>
      </c>
      <c r="L521" t="n">
        <v>0</v>
      </c>
      <c r="M521" t="n">
        <v>0</v>
      </c>
      <c r="N521" t="n">
        <v>0</v>
      </c>
      <c r="O521" t="n">
        <v>0</v>
      </c>
      <c r="P521" t="n">
        <v>0</v>
      </c>
      <c r="Q521" t="n">
        <v>0</v>
      </c>
      <c r="R521" s="2" t="inlineStr"/>
    </row>
    <row r="522" ht="15" customHeight="1">
      <c r="A522" t="inlineStr">
        <is>
          <t>A 62862-2025</t>
        </is>
      </c>
      <c r="B522" s="1" t="n">
        <v>46008.77611111111</v>
      </c>
      <c r="C522" s="1" t="n">
        <v>46013</v>
      </c>
      <c r="D522" t="inlineStr">
        <is>
          <t>SÖDERMANLANDS LÄN</t>
        </is>
      </c>
      <c r="E522" t="inlineStr">
        <is>
          <t>KATRINEHOLM</t>
        </is>
      </c>
      <c r="G522" t="n">
        <v>5.7</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46013</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62859-2025</t>
        </is>
      </c>
      <c r="B524" s="1" t="n">
        <v>46008.76751157407</v>
      </c>
      <c r="C524" s="1" t="n">
        <v>46013</v>
      </c>
      <c r="D524" t="inlineStr">
        <is>
          <t>SÖDERMANLANDS LÄN</t>
        </is>
      </c>
      <c r="E524" t="inlineStr">
        <is>
          <t>KATRINEHOLM</t>
        </is>
      </c>
      <c r="G524" t="n">
        <v>3.4</v>
      </c>
      <c r="H524" t="n">
        <v>0</v>
      </c>
      <c r="I524" t="n">
        <v>0</v>
      </c>
      <c r="J524" t="n">
        <v>0</v>
      </c>
      <c r="K524" t="n">
        <v>0</v>
      </c>
      <c r="L524" t="n">
        <v>0</v>
      </c>
      <c r="M524" t="n">
        <v>0</v>
      </c>
      <c r="N524" t="n">
        <v>0</v>
      </c>
      <c r="O524" t="n">
        <v>0</v>
      </c>
      <c r="P524" t="n">
        <v>0</v>
      </c>
      <c r="Q524" t="n">
        <v>0</v>
      </c>
      <c r="R524" s="2" t="inlineStr"/>
    </row>
    <row r="525" ht="15" customHeight="1">
      <c r="A525" t="inlineStr">
        <is>
          <t>A 62860-2025</t>
        </is>
      </c>
      <c r="B525" s="1" t="n">
        <v>46008.77061342593</v>
      </c>
      <c r="C525" s="1" t="n">
        <v>46013</v>
      </c>
      <c r="D525" t="inlineStr">
        <is>
          <t>SÖDERMANLANDS LÄN</t>
        </is>
      </c>
      <c r="E525" t="inlineStr">
        <is>
          <t>KATRINEHOLM</t>
        </is>
      </c>
      <c r="G525" t="n">
        <v>2.4</v>
      </c>
      <c r="H525" t="n">
        <v>0</v>
      </c>
      <c r="I525" t="n">
        <v>0</v>
      </c>
      <c r="J525" t="n">
        <v>0</v>
      </c>
      <c r="K525" t="n">
        <v>0</v>
      </c>
      <c r="L525" t="n">
        <v>0</v>
      </c>
      <c r="M525" t="n">
        <v>0</v>
      </c>
      <c r="N525" t="n">
        <v>0</v>
      </c>
      <c r="O525" t="n">
        <v>0</v>
      </c>
      <c r="P525" t="n">
        <v>0</v>
      </c>
      <c r="Q525" t="n">
        <v>0</v>
      </c>
      <c r="R525" s="2" t="inlineStr"/>
    </row>
    <row r="526" ht="15" customHeight="1">
      <c r="A526" t="inlineStr">
        <is>
          <t>A 53750-2022</t>
        </is>
      </c>
      <c r="B526" s="1" t="n">
        <v>44875</v>
      </c>
      <c r="C526" s="1" t="n">
        <v>46013</v>
      </c>
      <c r="D526" t="inlineStr">
        <is>
          <t>SÖDERMANLANDS LÄN</t>
        </is>
      </c>
      <c r="E526" t="inlineStr">
        <is>
          <t>KATRINEHOLM</t>
        </is>
      </c>
      <c r="F526" t="inlineStr">
        <is>
          <t>Övriga Aktiebolag</t>
        </is>
      </c>
      <c r="G526" t="n">
        <v>12.6</v>
      </c>
      <c r="H526" t="n">
        <v>0</v>
      </c>
      <c r="I526" t="n">
        <v>0</v>
      </c>
      <c r="J526" t="n">
        <v>0</v>
      </c>
      <c r="K526" t="n">
        <v>0</v>
      </c>
      <c r="L526" t="n">
        <v>0</v>
      </c>
      <c r="M526" t="n">
        <v>0</v>
      </c>
      <c r="N526" t="n">
        <v>0</v>
      </c>
      <c r="O526" t="n">
        <v>0</v>
      </c>
      <c r="P526" t="n">
        <v>0</v>
      </c>
      <c r="Q526" t="n">
        <v>0</v>
      </c>
      <c r="R526" s="2" t="inlineStr"/>
    </row>
    <row r="527" ht="15" customHeight="1">
      <c r="A527" t="inlineStr">
        <is>
          <t>A 14245-2024</t>
        </is>
      </c>
      <c r="B527" s="1" t="n">
        <v>45393</v>
      </c>
      <c r="C527" s="1" t="n">
        <v>46013</v>
      </c>
      <c r="D527" t="inlineStr">
        <is>
          <t>SÖDERMANLANDS LÄN</t>
        </is>
      </c>
      <c r="E527" t="inlineStr">
        <is>
          <t>KATRINEHOLM</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11104-2023</t>
        </is>
      </c>
      <c r="B528" s="1" t="n">
        <v>44992</v>
      </c>
      <c r="C528" s="1" t="n">
        <v>46013</v>
      </c>
      <c r="D528" t="inlineStr">
        <is>
          <t>SÖDERMANLANDS LÄN</t>
        </is>
      </c>
      <c r="E528" t="inlineStr">
        <is>
          <t>KATRINEHOLM</t>
        </is>
      </c>
      <c r="F528" t="inlineStr">
        <is>
          <t>Allmännings- och besparingsskogar</t>
        </is>
      </c>
      <c r="G528" t="n">
        <v>7.8</v>
      </c>
      <c r="H528" t="n">
        <v>0</v>
      </c>
      <c r="I528" t="n">
        <v>0</v>
      </c>
      <c r="J528" t="n">
        <v>0</v>
      </c>
      <c r="K528" t="n">
        <v>0</v>
      </c>
      <c r="L528" t="n">
        <v>0</v>
      </c>
      <c r="M528" t="n">
        <v>0</v>
      </c>
      <c r="N528" t="n">
        <v>0</v>
      </c>
      <c r="O528" t="n">
        <v>0</v>
      </c>
      <c r="P528" t="n">
        <v>0</v>
      </c>
      <c r="Q528" t="n">
        <v>0</v>
      </c>
      <c r="R528" s="2" t="inlineStr"/>
    </row>
    <row r="529" ht="15" customHeight="1">
      <c r="A529" t="inlineStr">
        <is>
          <t>A 55029-2025</t>
        </is>
      </c>
      <c r="B529" s="1" t="n">
        <v>45967.63784722222</v>
      </c>
      <c r="C529" s="1" t="n">
        <v>46013</v>
      </c>
      <c r="D529" t="inlineStr">
        <is>
          <t>SÖDERMANLANDS LÄN</t>
        </is>
      </c>
      <c r="E529" t="inlineStr">
        <is>
          <t>KATRINEHOLM</t>
        </is>
      </c>
      <c r="G529" t="n">
        <v>10.1</v>
      </c>
      <c r="H529" t="n">
        <v>0</v>
      </c>
      <c r="I529" t="n">
        <v>0</v>
      </c>
      <c r="J529" t="n">
        <v>0</v>
      </c>
      <c r="K529" t="n">
        <v>0</v>
      </c>
      <c r="L529" t="n">
        <v>0</v>
      </c>
      <c r="M529" t="n">
        <v>0</v>
      </c>
      <c r="N529" t="n">
        <v>0</v>
      </c>
      <c r="O529" t="n">
        <v>0</v>
      </c>
      <c r="P529" t="n">
        <v>0</v>
      </c>
      <c r="Q529" t="n">
        <v>0</v>
      </c>
      <c r="R529" s="2" t="inlineStr"/>
    </row>
    <row r="530" ht="15" customHeight="1">
      <c r="A530" t="inlineStr">
        <is>
          <t>A 4387-2024</t>
        </is>
      </c>
      <c r="B530" s="1" t="n">
        <v>45327.35068287037</v>
      </c>
      <c r="C530" s="1" t="n">
        <v>46013</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4872-2024</t>
        </is>
      </c>
      <c r="B531" s="1" t="n">
        <v>45329</v>
      </c>
      <c r="C531" s="1" t="n">
        <v>46013</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29702-2021</t>
        </is>
      </c>
      <c r="B532" s="1" t="n">
        <v>44362</v>
      </c>
      <c r="C532" s="1" t="n">
        <v>46013</v>
      </c>
      <c r="D532" t="inlineStr">
        <is>
          <t>SÖDERMANLANDS LÄN</t>
        </is>
      </c>
      <c r="E532" t="inlineStr">
        <is>
          <t>KATRINEHOLM</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46013</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54999-2025</t>
        </is>
      </c>
      <c r="B534" s="1" t="n">
        <v>45967.59880787037</v>
      </c>
      <c r="C534" s="1" t="n">
        <v>46013</v>
      </c>
      <c r="D534" t="inlineStr">
        <is>
          <t>SÖDERMANLANDS LÄN</t>
        </is>
      </c>
      <c r="E534" t="inlineStr">
        <is>
          <t>KATRINEHOLM</t>
        </is>
      </c>
      <c r="G534" t="n">
        <v>8.5</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46013</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42451-2023</t>
        </is>
      </c>
      <c r="B536" s="1" t="n">
        <v>45180</v>
      </c>
      <c r="C536" s="1" t="n">
        <v>46013</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46013</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46013</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46013</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46013</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25433-2024</t>
        </is>
      </c>
      <c r="B541" s="1" t="n">
        <v>45463</v>
      </c>
      <c r="C541" s="1" t="n">
        <v>46013</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46013</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14224-2024</t>
        </is>
      </c>
      <c r="B543" s="1" t="n">
        <v>45393</v>
      </c>
      <c r="C543" s="1" t="n">
        <v>46013</v>
      </c>
      <c r="D543" t="inlineStr">
        <is>
          <t>SÖDERMANLANDS LÄN</t>
        </is>
      </c>
      <c r="E543" t="inlineStr">
        <is>
          <t>KATRINEHOLM</t>
        </is>
      </c>
      <c r="F543" t="inlineStr">
        <is>
          <t>Sveaskog</t>
        </is>
      </c>
      <c r="G543" t="n">
        <v>7.6</v>
      </c>
      <c r="H543" t="n">
        <v>0</v>
      </c>
      <c r="I543" t="n">
        <v>0</v>
      </c>
      <c r="J543" t="n">
        <v>0</v>
      </c>
      <c r="K543" t="n">
        <v>0</v>
      </c>
      <c r="L543" t="n">
        <v>0</v>
      </c>
      <c r="M543" t="n">
        <v>0</v>
      </c>
      <c r="N543" t="n">
        <v>0</v>
      </c>
      <c r="O543" t="n">
        <v>0</v>
      </c>
      <c r="P543" t="n">
        <v>0</v>
      </c>
      <c r="Q543" t="n">
        <v>0</v>
      </c>
      <c r="R543" s="2" t="inlineStr"/>
    </row>
    <row r="544" ht="15" customHeight="1">
      <c r="A544" t="inlineStr">
        <is>
          <t>A 23341-2023</t>
        </is>
      </c>
      <c r="B544" s="1" t="n">
        <v>45076</v>
      </c>
      <c r="C544" s="1" t="n">
        <v>46013</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46013</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36021-2023</t>
        </is>
      </c>
      <c r="B546" s="1" t="n">
        <v>45148</v>
      </c>
      <c r="C546" s="1" t="n">
        <v>46013</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28597-2024</t>
        </is>
      </c>
      <c r="B547" s="1" t="n">
        <v>45478</v>
      </c>
      <c r="C547" s="1" t="n">
        <v>46013</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46013</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9992-2022</t>
        </is>
      </c>
      <c r="B549" s="1" t="n">
        <v>44621</v>
      </c>
      <c r="C549" s="1" t="n">
        <v>46013</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41267-2023</t>
        </is>
      </c>
      <c r="B550" s="1" t="n">
        <v>45174</v>
      </c>
      <c r="C550" s="1" t="n">
        <v>46013</v>
      </c>
      <c r="D550" t="inlineStr">
        <is>
          <t>SÖDERMANLANDS LÄN</t>
        </is>
      </c>
      <c r="E550" t="inlineStr">
        <is>
          <t>KATRINEHOLM</t>
        </is>
      </c>
      <c r="F550" t="inlineStr">
        <is>
          <t>Holmen skog AB</t>
        </is>
      </c>
      <c r="G550" t="n">
        <v>4.5</v>
      </c>
      <c r="H550" t="n">
        <v>0</v>
      </c>
      <c r="I550" t="n">
        <v>0</v>
      </c>
      <c r="J550" t="n">
        <v>0</v>
      </c>
      <c r="K550" t="n">
        <v>0</v>
      </c>
      <c r="L550" t="n">
        <v>0</v>
      </c>
      <c r="M550" t="n">
        <v>0</v>
      </c>
      <c r="N550" t="n">
        <v>0</v>
      </c>
      <c r="O550" t="n">
        <v>0</v>
      </c>
      <c r="P550" t="n">
        <v>0</v>
      </c>
      <c r="Q550" t="n">
        <v>0</v>
      </c>
      <c r="R550" s="2" t="inlineStr"/>
    </row>
    <row r="551" ht="15" customHeight="1">
      <c r="A551" t="inlineStr">
        <is>
          <t>A 4650-2024</t>
        </is>
      </c>
      <c r="B551" s="1" t="n">
        <v>45328</v>
      </c>
      <c r="C551" s="1" t="n">
        <v>46013</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4652-2024</t>
        </is>
      </c>
      <c r="B552" s="1" t="n">
        <v>45328</v>
      </c>
      <c r="C552" s="1" t="n">
        <v>46013</v>
      </c>
      <c r="D552" t="inlineStr">
        <is>
          <t>SÖDERMANLANDS LÄN</t>
        </is>
      </c>
      <c r="E552" t="inlineStr">
        <is>
          <t>KATRINEHOLM</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29008-2024</t>
        </is>
      </c>
      <c r="B553" s="1" t="n">
        <v>45481</v>
      </c>
      <c r="C553" s="1" t="n">
        <v>46013</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9936-2023</t>
        </is>
      </c>
      <c r="B554" s="1" t="n">
        <v>44985.47086805556</v>
      </c>
      <c r="C554" s="1" t="n">
        <v>46013</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4645-2024</t>
        </is>
      </c>
      <c r="B555" s="1" t="n">
        <v>45328</v>
      </c>
      <c r="C555" s="1" t="n">
        <v>46013</v>
      </c>
      <c r="D555" t="inlineStr">
        <is>
          <t>SÖDERMANLANDS LÄN</t>
        </is>
      </c>
      <c r="E555" t="inlineStr">
        <is>
          <t>KATRINEHOLM</t>
        </is>
      </c>
      <c r="G555" t="n">
        <v>2.3</v>
      </c>
      <c r="H555" t="n">
        <v>0</v>
      </c>
      <c r="I555" t="n">
        <v>0</v>
      </c>
      <c r="J555" t="n">
        <v>0</v>
      </c>
      <c r="K555" t="n">
        <v>0</v>
      </c>
      <c r="L555" t="n">
        <v>0</v>
      </c>
      <c r="M555" t="n">
        <v>0</v>
      </c>
      <c r="N555" t="n">
        <v>0</v>
      </c>
      <c r="O555" t="n">
        <v>0</v>
      </c>
      <c r="P555" t="n">
        <v>0</v>
      </c>
      <c r="Q555" t="n">
        <v>0</v>
      </c>
      <c r="R555" s="2" t="inlineStr"/>
    </row>
    <row r="556" ht="15" customHeight="1">
      <c r="A556" t="inlineStr">
        <is>
          <t>A 36001-2024</t>
        </is>
      </c>
      <c r="B556" s="1" t="n">
        <v>45533.54609953704</v>
      </c>
      <c r="C556" s="1" t="n">
        <v>46013</v>
      </c>
      <c r="D556" t="inlineStr">
        <is>
          <t>SÖDERMANLANDS LÄN</t>
        </is>
      </c>
      <c r="E556" t="inlineStr">
        <is>
          <t>KATRINEHOLM</t>
        </is>
      </c>
      <c r="G556" t="n">
        <v>1</v>
      </c>
      <c r="H556" t="n">
        <v>0</v>
      </c>
      <c r="I556" t="n">
        <v>0</v>
      </c>
      <c r="J556" t="n">
        <v>0</v>
      </c>
      <c r="K556" t="n">
        <v>0</v>
      </c>
      <c r="L556" t="n">
        <v>0</v>
      </c>
      <c r="M556" t="n">
        <v>0</v>
      </c>
      <c r="N556" t="n">
        <v>0</v>
      </c>
      <c r="O556" t="n">
        <v>0</v>
      </c>
      <c r="P556" t="n">
        <v>0</v>
      </c>
      <c r="Q556" t="n">
        <v>0</v>
      </c>
      <c r="R556" s="2" t="inlineStr"/>
    </row>
    <row r="557" ht="15" customHeight="1">
      <c r="A557" t="inlineStr">
        <is>
          <t>A 36832-2023</t>
        </is>
      </c>
      <c r="B557" s="1" t="n">
        <v>45153</v>
      </c>
      <c r="C557" s="1" t="n">
        <v>46013</v>
      </c>
      <c r="D557" t="inlineStr">
        <is>
          <t>SÖDERMANLANDS LÄN</t>
        </is>
      </c>
      <c r="E557" t="inlineStr">
        <is>
          <t>KATRINEHOLM</t>
        </is>
      </c>
      <c r="F557" t="inlineStr">
        <is>
          <t>Övriga Aktiebolag</t>
        </is>
      </c>
      <c r="G557" t="n">
        <v>9</v>
      </c>
      <c r="H557" t="n">
        <v>0</v>
      </c>
      <c r="I557" t="n">
        <v>0</v>
      </c>
      <c r="J557" t="n">
        <v>0</v>
      </c>
      <c r="K557" t="n">
        <v>0</v>
      </c>
      <c r="L557" t="n">
        <v>0</v>
      </c>
      <c r="M557" t="n">
        <v>0</v>
      </c>
      <c r="N557" t="n">
        <v>0</v>
      </c>
      <c r="O557" t="n">
        <v>0</v>
      </c>
      <c r="P557" t="n">
        <v>0</v>
      </c>
      <c r="Q557" t="n">
        <v>0</v>
      </c>
      <c r="R557" s="2" t="inlineStr"/>
    </row>
    <row r="558" ht="15" customHeight="1">
      <c r="A558" t="inlineStr">
        <is>
          <t>A 28931-2024</t>
        </is>
      </c>
      <c r="B558" s="1" t="n">
        <v>45479</v>
      </c>
      <c r="C558" s="1" t="n">
        <v>46013</v>
      </c>
      <c r="D558" t="inlineStr">
        <is>
          <t>SÖDERMANLANDS LÄN</t>
        </is>
      </c>
      <c r="E558" t="inlineStr">
        <is>
          <t>KATRINEHOLM</t>
        </is>
      </c>
      <c r="G558" t="n">
        <v>7.4</v>
      </c>
      <c r="H558" t="n">
        <v>0</v>
      </c>
      <c r="I558" t="n">
        <v>0</v>
      </c>
      <c r="J558" t="n">
        <v>0</v>
      </c>
      <c r="K558" t="n">
        <v>0</v>
      </c>
      <c r="L558" t="n">
        <v>0</v>
      </c>
      <c r="M558" t="n">
        <v>0</v>
      </c>
      <c r="N558" t="n">
        <v>0</v>
      </c>
      <c r="O558" t="n">
        <v>0</v>
      </c>
      <c r="P558" t="n">
        <v>0</v>
      </c>
      <c r="Q558" t="n">
        <v>0</v>
      </c>
      <c r="R558" s="2" t="inlineStr"/>
    </row>
    <row r="559" ht="15" customHeight="1">
      <c r="A559" t="inlineStr">
        <is>
          <t>A 6810-2023</t>
        </is>
      </c>
      <c r="B559" s="1" t="n">
        <v>44964</v>
      </c>
      <c r="C559" s="1" t="n">
        <v>46013</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46013</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29977-2023</t>
        </is>
      </c>
      <c r="B561" s="1" t="n">
        <v>45108</v>
      </c>
      <c r="C561" s="1" t="n">
        <v>46013</v>
      </c>
      <c r="D561" t="inlineStr">
        <is>
          <t>SÖDERMANLANDS LÄN</t>
        </is>
      </c>
      <c r="E561" t="inlineStr">
        <is>
          <t>KATRINEHOLM</t>
        </is>
      </c>
      <c r="G561" t="n">
        <v>2.4</v>
      </c>
      <c r="H561" t="n">
        <v>0</v>
      </c>
      <c r="I561" t="n">
        <v>0</v>
      </c>
      <c r="J561" t="n">
        <v>0</v>
      </c>
      <c r="K561" t="n">
        <v>0</v>
      </c>
      <c r="L561" t="n">
        <v>0</v>
      </c>
      <c r="M561" t="n">
        <v>0</v>
      </c>
      <c r="N561" t="n">
        <v>0</v>
      </c>
      <c r="O561" t="n">
        <v>0</v>
      </c>
      <c r="P561" t="n">
        <v>0</v>
      </c>
      <c r="Q561" t="n">
        <v>0</v>
      </c>
      <c r="R561" s="2" t="inlineStr"/>
    </row>
    <row r="562" ht="15" customHeight="1">
      <c r="A562" t="inlineStr">
        <is>
          <t>A 5788-2022</t>
        </is>
      </c>
      <c r="B562" s="1" t="n">
        <v>44596.54990740741</v>
      </c>
      <c r="C562" s="1" t="n">
        <v>46013</v>
      </c>
      <c r="D562" t="inlineStr">
        <is>
          <t>SÖDERMANLANDS LÄN</t>
        </is>
      </c>
      <c r="E562" t="inlineStr">
        <is>
          <t>KATRINEHOLM</t>
        </is>
      </c>
      <c r="G562" t="n">
        <v>4.1</v>
      </c>
      <c r="H562" t="n">
        <v>0</v>
      </c>
      <c r="I562" t="n">
        <v>0</v>
      </c>
      <c r="J562" t="n">
        <v>0</v>
      </c>
      <c r="K562" t="n">
        <v>0</v>
      </c>
      <c r="L562" t="n">
        <v>0</v>
      </c>
      <c r="M562" t="n">
        <v>0</v>
      </c>
      <c r="N562" t="n">
        <v>0</v>
      </c>
      <c r="O562" t="n">
        <v>0</v>
      </c>
      <c r="P562" t="n">
        <v>0</v>
      </c>
      <c r="Q562" t="n">
        <v>0</v>
      </c>
      <c r="R562" s="2" t="inlineStr"/>
    </row>
    <row r="563" ht="15" customHeight="1">
      <c r="A563" t="inlineStr">
        <is>
          <t>A 20803-2024</t>
        </is>
      </c>
      <c r="B563" s="1" t="n">
        <v>45438</v>
      </c>
      <c r="C563" s="1" t="n">
        <v>46013</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5795-2022</t>
        </is>
      </c>
      <c r="B564" s="1" t="n">
        <v>44596</v>
      </c>
      <c r="C564" s="1" t="n">
        <v>46013</v>
      </c>
      <c r="D564" t="inlineStr">
        <is>
          <t>SÖDERMANLANDS LÄN</t>
        </is>
      </c>
      <c r="E564" t="inlineStr">
        <is>
          <t>KATRINEHOLM</t>
        </is>
      </c>
      <c r="G564" t="n">
        <v>8.1</v>
      </c>
      <c r="H564" t="n">
        <v>0</v>
      </c>
      <c r="I564" t="n">
        <v>0</v>
      </c>
      <c r="J564" t="n">
        <v>0</v>
      </c>
      <c r="K564" t="n">
        <v>0</v>
      </c>
      <c r="L564" t="n">
        <v>0</v>
      </c>
      <c r="M564" t="n">
        <v>0</v>
      </c>
      <c r="N564" t="n">
        <v>0</v>
      </c>
      <c r="O564" t="n">
        <v>0</v>
      </c>
      <c r="P564" t="n">
        <v>0</v>
      </c>
      <c r="Q564" t="n">
        <v>0</v>
      </c>
      <c r="R564" s="2" t="inlineStr"/>
    </row>
    <row r="565" ht="15" customHeight="1">
      <c r="A565" t="inlineStr">
        <is>
          <t>A 3075-2022</t>
        </is>
      </c>
      <c r="B565" s="1" t="n">
        <v>44582</v>
      </c>
      <c r="C565" s="1" t="n">
        <v>46013</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73409-2021</t>
        </is>
      </c>
      <c r="B566" s="1" t="n">
        <v>44551</v>
      </c>
      <c r="C566" s="1" t="n">
        <v>46013</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73415-2021</t>
        </is>
      </c>
      <c r="B567" s="1" t="n">
        <v>44551</v>
      </c>
      <c r="C567" s="1" t="n">
        <v>46013</v>
      </c>
      <c r="D567" t="inlineStr">
        <is>
          <t>SÖDERMANLANDS LÄN</t>
        </is>
      </c>
      <c r="E567" t="inlineStr">
        <is>
          <t>KATRINEHOLM</t>
        </is>
      </c>
      <c r="G567" t="n">
        <v>3.2</v>
      </c>
      <c r="H567" t="n">
        <v>0</v>
      </c>
      <c r="I567" t="n">
        <v>0</v>
      </c>
      <c r="J567" t="n">
        <v>0</v>
      </c>
      <c r="K567" t="n">
        <v>0</v>
      </c>
      <c r="L567" t="n">
        <v>0</v>
      </c>
      <c r="M567" t="n">
        <v>0</v>
      </c>
      <c r="N567" t="n">
        <v>0</v>
      </c>
      <c r="O567" t="n">
        <v>0</v>
      </c>
      <c r="P567" t="n">
        <v>0</v>
      </c>
      <c r="Q567" t="n">
        <v>0</v>
      </c>
      <c r="R567" s="2" t="inlineStr"/>
    </row>
    <row r="568" ht="15" customHeight="1">
      <c r="A568" t="inlineStr">
        <is>
          <t>A 8087-2022</t>
        </is>
      </c>
      <c r="B568" s="1" t="n">
        <v>44609.53502314815</v>
      </c>
      <c r="C568" s="1" t="n">
        <v>46013</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50935-2023</t>
        </is>
      </c>
      <c r="B569" s="1" t="n">
        <v>45211</v>
      </c>
      <c r="C569" s="1" t="n">
        <v>46013</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6298-2024</t>
        </is>
      </c>
      <c r="B570" s="1" t="n">
        <v>45338.34245370371</v>
      </c>
      <c r="C570" s="1" t="n">
        <v>46013</v>
      </c>
      <c r="D570" t="inlineStr">
        <is>
          <t>SÖDERMANLANDS LÄN</t>
        </is>
      </c>
      <c r="E570" t="inlineStr">
        <is>
          <t>KATRINEHOLM</t>
        </is>
      </c>
      <c r="G570" t="n">
        <v>1.4</v>
      </c>
      <c r="H570" t="n">
        <v>0</v>
      </c>
      <c r="I570" t="n">
        <v>0</v>
      </c>
      <c r="J570" t="n">
        <v>0</v>
      </c>
      <c r="K570" t="n">
        <v>0</v>
      </c>
      <c r="L570" t="n">
        <v>0</v>
      </c>
      <c r="M570" t="n">
        <v>0</v>
      </c>
      <c r="N570" t="n">
        <v>0</v>
      </c>
      <c r="O570" t="n">
        <v>0</v>
      </c>
      <c r="P570" t="n">
        <v>0</v>
      </c>
      <c r="Q570" t="n">
        <v>0</v>
      </c>
      <c r="R570" s="2" t="inlineStr"/>
    </row>
    <row r="571" ht="15" customHeight="1">
      <c r="A571" t="inlineStr">
        <is>
          <t>A 33001-2024</t>
        </is>
      </c>
      <c r="B571" s="1" t="n">
        <v>45517</v>
      </c>
      <c r="C571" s="1" t="n">
        <v>46013</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58175-2024</t>
        </is>
      </c>
      <c r="B572" s="1" t="n">
        <v>45632.46648148148</v>
      </c>
      <c r="C572" s="1" t="n">
        <v>46013</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53715-2023</t>
        </is>
      </c>
      <c r="B573" s="1" t="n">
        <v>45230</v>
      </c>
      <c r="C573" s="1" t="n">
        <v>46013</v>
      </c>
      <c r="D573" t="inlineStr">
        <is>
          <t>SÖDERMANLANDS LÄN</t>
        </is>
      </c>
      <c r="E573" t="inlineStr">
        <is>
          <t>KATRINEHOLM</t>
        </is>
      </c>
      <c r="F573" t="inlineStr">
        <is>
          <t>Allmännings- och besparingsskogar</t>
        </is>
      </c>
      <c r="G573" t="n">
        <v>5.6</v>
      </c>
      <c r="H573" t="n">
        <v>0</v>
      </c>
      <c r="I573" t="n">
        <v>0</v>
      </c>
      <c r="J573" t="n">
        <v>0</v>
      </c>
      <c r="K573" t="n">
        <v>0</v>
      </c>
      <c r="L573" t="n">
        <v>0</v>
      </c>
      <c r="M573" t="n">
        <v>0</v>
      </c>
      <c r="N573" t="n">
        <v>0</v>
      </c>
      <c r="O573" t="n">
        <v>0</v>
      </c>
      <c r="P573" t="n">
        <v>0</v>
      </c>
      <c r="Q573" t="n">
        <v>0</v>
      </c>
      <c r="R573" s="2" t="inlineStr"/>
    </row>
    <row r="574" ht="15" customHeight="1">
      <c r="A574" t="inlineStr">
        <is>
          <t>A 23705-2023</t>
        </is>
      </c>
      <c r="B574" s="1" t="n">
        <v>45077</v>
      </c>
      <c r="C574" s="1" t="n">
        <v>46013</v>
      </c>
      <c r="D574" t="inlineStr">
        <is>
          <t>SÖDERMANLANDS LÄN</t>
        </is>
      </c>
      <c r="E574" t="inlineStr">
        <is>
          <t>KATRINEHOLM</t>
        </is>
      </c>
      <c r="F574" t="inlineStr">
        <is>
          <t>Kyrkan</t>
        </is>
      </c>
      <c r="G574" t="n">
        <v>11.9</v>
      </c>
      <c r="H574" t="n">
        <v>0</v>
      </c>
      <c r="I574" t="n">
        <v>0</v>
      </c>
      <c r="J574" t="n">
        <v>0</v>
      </c>
      <c r="K574" t="n">
        <v>0</v>
      </c>
      <c r="L574" t="n">
        <v>0</v>
      </c>
      <c r="M574" t="n">
        <v>0</v>
      </c>
      <c r="N574" t="n">
        <v>0</v>
      </c>
      <c r="O574" t="n">
        <v>0</v>
      </c>
      <c r="P574" t="n">
        <v>0</v>
      </c>
      <c r="Q574" t="n">
        <v>0</v>
      </c>
      <c r="R574" s="2" t="inlineStr"/>
    </row>
    <row r="575" ht="15" customHeight="1">
      <c r="A575" t="inlineStr">
        <is>
          <t>A 39120-2023</t>
        </is>
      </c>
      <c r="B575" s="1" t="n">
        <v>45165</v>
      </c>
      <c r="C575" s="1" t="n">
        <v>46013</v>
      </c>
      <c r="D575" t="inlineStr">
        <is>
          <t>SÖDERMANLANDS LÄN</t>
        </is>
      </c>
      <c r="E575" t="inlineStr">
        <is>
          <t>KATRINEHOLM</t>
        </is>
      </c>
      <c r="G575" t="n">
        <v>4.4</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46013</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19452-2023</t>
        </is>
      </c>
      <c r="B577" s="1" t="n">
        <v>45050</v>
      </c>
      <c r="C577" s="1" t="n">
        <v>46013</v>
      </c>
      <c r="D577" t="inlineStr">
        <is>
          <t>SÖDERMANLANDS LÄN</t>
        </is>
      </c>
      <c r="E577" t="inlineStr">
        <is>
          <t>KATRINEHOLM</t>
        </is>
      </c>
      <c r="F577" t="inlineStr">
        <is>
          <t>Holmen skog AB</t>
        </is>
      </c>
      <c r="G577" t="n">
        <v>4.7</v>
      </c>
      <c r="H577" t="n">
        <v>0</v>
      </c>
      <c r="I577" t="n">
        <v>0</v>
      </c>
      <c r="J577" t="n">
        <v>0</v>
      </c>
      <c r="K577" t="n">
        <v>0</v>
      </c>
      <c r="L577" t="n">
        <v>0</v>
      </c>
      <c r="M577" t="n">
        <v>0</v>
      </c>
      <c r="N577" t="n">
        <v>0</v>
      </c>
      <c r="O577" t="n">
        <v>0</v>
      </c>
      <c r="P577" t="n">
        <v>0</v>
      </c>
      <c r="Q577" t="n">
        <v>0</v>
      </c>
      <c r="R577" s="2" t="inlineStr"/>
    </row>
    <row r="578" ht="15" customHeight="1">
      <c r="A578" t="inlineStr">
        <is>
          <t>A 52658-2023</t>
        </is>
      </c>
      <c r="B578" s="1" t="n">
        <v>45225</v>
      </c>
      <c r="C578" s="1" t="n">
        <v>46013</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5320-2025</t>
        </is>
      </c>
      <c r="B579" s="1" t="n">
        <v>45692</v>
      </c>
      <c r="C579" s="1" t="n">
        <v>46013</v>
      </c>
      <c r="D579" t="inlineStr">
        <is>
          <t>SÖDERMANLANDS LÄN</t>
        </is>
      </c>
      <c r="E579" t="inlineStr">
        <is>
          <t>KATRINEHOLM</t>
        </is>
      </c>
      <c r="F579" t="inlineStr">
        <is>
          <t>Kommuner</t>
        </is>
      </c>
      <c r="G579" t="n">
        <v>0.9</v>
      </c>
      <c r="H579" t="n">
        <v>0</v>
      </c>
      <c r="I579" t="n">
        <v>0</v>
      </c>
      <c r="J579" t="n">
        <v>0</v>
      </c>
      <c r="K579" t="n">
        <v>0</v>
      </c>
      <c r="L579" t="n">
        <v>0</v>
      </c>
      <c r="M579" t="n">
        <v>0</v>
      </c>
      <c r="N579" t="n">
        <v>0</v>
      </c>
      <c r="O579" t="n">
        <v>0</v>
      </c>
      <c r="P579" t="n">
        <v>0</v>
      </c>
      <c r="Q579" t="n">
        <v>0</v>
      </c>
      <c r="R579" s="2" t="inlineStr"/>
    </row>
    <row r="580" ht="15" customHeight="1">
      <c r="A580" t="inlineStr">
        <is>
          <t>A 2606-2025</t>
        </is>
      </c>
      <c r="B580" s="1" t="n">
        <v>45674</v>
      </c>
      <c r="C580" s="1" t="n">
        <v>46013</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39748-2022</t>
        </is>
      </c>
      <c r="B581" s="1" t="n">
        <v>44817</v>
      </c>
      <c r="C581" s="1" t="n">
        <v>46013</v>
      </c>
      <c r="D581" t="inlineStr">
        <is>
          <t>SÖDERMANLANDS LÄN</t>
        </is>
      </c>
      <c r="E581" t="inlineStr">
        <is>
          <t>KATRINEHOLM</t>
        </is>
      </c>
      <c r="G581" t="n">
        <v>10.2</v>
      </c>
      <c r="H581" t="n">
        <v>0</v>
      </c>
      <c r="I581" t="n">
        <v>0</v>
      </c>
      <c r="J581" t="n">
        <v>0</v>
      </c>
      <c r="K581" t="n">
        <v>0</v>
      </c>
      <c r="L581" t="n">
        <v>0</v>
      </c>
      <c r="M581" t="n">
        <v>0</v>
      </c>
      <c r="N581" t="n">
        <v>0</v>
      </c>
      <c r="O581" t="n">
        <v>0</v>
      </c>
      <c r="P581" t="n">
        <v>0</v>
      </c>
      <c r="Q581" t="n">
        <v>0</v>
      </c>
      <c r="R581" s="2" t="inlineStr"/>
    </row>
    <row r="582" ht="15" customHeight="1">
      <c r="A582" t="inlineStr">
        <is>
          <t>A 34731-2023</t>
        </is>
      </c>
      <c r="B582" s="1" t="n">
        <v>45141</v>
      </c>
      <c r="C582" s="1" t="n">
        <v>46013</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34739-2023</t>
        </is>
      </c>
      <c r="B583" s="1" t="n">
        <v>45141</v>
      </c>
      <c r="C583" s="1" t="n">
        <v>46013</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20480-2022</t>
        </is>
      </c>
      <c r="B584" s="1" t="n">
        <v>44699</v>
      </c>
      <c r="C584" s="1" t="n">
        <v>46013</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50017-2023</t>
        </is>
      </c>
      <c r="B585" s="1" t="n">
        <v>45215</v>
      </c>
      <c r="C585" s="1" t="n">
        <v>46013</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50018-2023</t>
        </is>
      </c>
      <c r="B586" s="1" t="n">
        <v>45215</v>
      </c>
      <c r="C586" s="1" t="n">
        <v>46013</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28508-2023</t>
        </is>
      </c>
      <c r="B587" s="1" t="n">
        <v>45103.46788194445</v>
      </c>
      <c r="C587" s="1" t="n">
        <v>46013</v>
      </c>
      <c r="D587" t="inlineStr">
        <is>
          <t>SÖDERMANLANDS LÄN</t>
        </is>
      </c>
      <c r="E587" t="inlineStr">
        <is>
          <t>KATRINEHOLM</t>
        </is>
      </c>
      <c r="F587" t="inlineStr">
        <is>
          <t>Kyrkan</t>
        </is>
      </c>
      <c r="G587" t="n">
        <v>20.5</v>
      </c>
      <c r="H587" t="n">
        <v>0</v>
      </c>
      <c r="I587" t="n">
        <v>0</v>
      </c>
      <c r="J587" t="n">
        <v>0</v>
      </c>
      <c r="K587" t="n">
        <v>0</v>
      </c>
      <c r="L587" t="n">
        <v>0</v>
      </c>
      <c r="M587" t="n">
        <v>0</v>
      </c>
      <c r="N587" t="n">
        <v>0</v>
      </c>
      <c r="O587" t="n">
        <v>0</v>
      </c>
      <c r="P587" t="n">
        <v>0</v>
      </c>
      <c r="Q587" t="n">
        <v>0</v>
      </c>
      <c r="R587" s="2" t="inlineStr"/>
    </row>
    <row r="588" ht="15" customHeight="1">
      <c r="A588" t="inlineStr">
        <is>
          <t>A 46075-2023</t>
        </is>
      </c>
      <c r="B588" s="1" t="n">
        <v>45196</v>
      </c>
      <c r="C588" s="1" t="n">
        <v>46013</v>
      </c>
      <c r="D588" t="inlineStr">
        <is>
          <t>SÖDERMANLANDS LÄN</t>
        </is>
      </c>
      <c r="E588" t="inlineStr">
        <is>
          <t>KATRINEHOLM</t>
        </is>
      </c>
      <c r="F588" t="inlineStr">
        <is>
          <t>Övriga Aktiebolag</t>
        </is>
      </c>
      <c r="G588" t="n">
        <v>9.5</v>
      </c>
      <c r="H588" t="n">
        <v>0</v>
      </c>
      <c r="I588" t="n">
        <v>0</v>
      </c>
      <c r="J588" t="n">
        <v>0</v>
      </c>
      <c r="K588" t="n">
        <v>0</v>
      </c>
      <c r="L588" t="n">
        <v>0</v>
      </c>
      <c r="M588" t="n">
        <v>0</v>
      </c>
      <c r="N588" t="n">
        <v>0</v>
      </c>
      <c r="O588" t="n">
        <v>0</v>
      </c>
      <c r="P588" t="n">
        <v>0</v>
      </c>
      <c r="Q588" t="n">
        <v>0</v>
      </c>
      <c r="R588" s="2" t="inlineStr"/>
    </row>
    <row r="589" ht="15" customHeight="1">
      <c r="A589" t="inlineStr">
        <is>
          <t>A 25823-2023</t>
        </is>
      </c>
      <c r="B589" s="1" t="n">
        <v>45090.55078703703</v>
      </c>
      <c r="C589" s="1" t="n">
        <v>46013</v>
      </c>
      <c r="D589" t="inlineStr">
        <is>
          <t>SÖDERMANLANDS LÄN</t>
        </is>
      </c>
      <c r="E589" t="inlineStr">
        <is>
          <t>KATRINEHOLM</t>
        </is>
      </c>
      <c r="F589" t="inlineStr">
        <is>
          <t>Kyrkan</t>
        </is>
      </c>
      <c r="G589" t="n">
        <v>10.2</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46013</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22295-2024</t>
        </is>
      </c>
      <c r="B591" s="1" t="n">
        <v>45446.56141203704</v>
      </c>
      <c r="C591" s="1" t="n">
        <v>46013</v>
      </c>
      <c r="D591" t="inlineStr">
        <is>
          <t>SÖDERMANLANDS LÄN</t>
        </is>
      </c>
      <c r="E591" t="inlineStr">
        <is>
          <t>KATRINEHOLM</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46700-2023</t>
        </is>
      </c>
      <c r="B592" s="1" t="n">
        <v>45194</v>
      </c>
      <c r="C592" s="1" t="n">
        <v>46013</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55590-2023</t>
        </is>
      </c>
      <c r="B593" s="1" t="n">
        <v>45238</v>
      </c>
      <c r="C593" s="1" t="n">
        <v>46013</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44664.55688657407</v>
      </c>
      <c r="C594" s="1" t="n">
        <v>46013</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46013</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32818-2023</t>
        </is>
      </c>
      <c r="B596" s="1" t="n">
        <v>45124.55633101852</v>
      </c>
      <c r="C596" s="1" t="n">
        <v>46013</v>
      </c>
      <c r="D596" t="inlineStr">
        <is>
          <t>SÖDERMANLANDS LÄN</t>
        </is>
      </c>
      <c r="E596" t="inlineStr">
        <is>
          <t>KATRINEHOLM</t>
        </is>
      </c>
      <c r="G596" t="n">
        <v>3.4</v>
      </c>
      <c r="H596" t="n">
        <v>0</v>
      </c>
      <c r="I596" t="n">
        <v>0</v>
      </c>
      <c r="J596" t="n">
        <v>0</v>
      </c>
      <c r="K596" t="n">
        <v>0</v>
      </c>
      <c r="L596" t="n">
        <v>0</v>
      </c>
      <c r="M596" t="n">
        <v>0</v>
      </c>
      <c r="N596" t="n">
        <v>0</v>
      </c>
      <c r="O596" t="n">
        <v>0</v>
      </c>
      <c r="P596" t="n">
        <v>0</v>
      </c>
      <c r="Q596" t="n">
        <v>0</v>
      </c>
      <c r="R596" s="2" t="inlineStr"/>
    </row>
    <row r="597" ht="15" customHeight="1">
      <c r="A597" t="inlineStr">
        <is>
          <t>A 20214-2025</t>
        </is>
      </c>
      <c r="B597" s="1" t="n">
        <v>45772.63540509259</v>
      </c>
      <c r="C597" s="1" t="n">
        <v>46013</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22272-2022</t>
        </is>
      </c>
      <c r="B598" s="1" t="n">
        <v>44712</v>
      </c>
      <c r="C598" s="1" t="n">
        <v>46013</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27334-2023</t>
        </is>
      </c>
      <c r="B599" s="1" t="n">
        <v>45096</v>
      </c>
      <c r="C599" s="1" t="n">
        <v>46013</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40186-2023</t>
        </is>
      </c>
      <c r="B600" s="1" t="n">
        <v>45169</v>
      </c>
      <c r="C600" s="1" t="n">
        <v>46013</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47886-2023</t>
        </is>
      </c>
      <c r="B601" s="1" t="n">
        <v>45204</v>
      </c>
      <c r="C601" s="1" t="n">
        <v>46013</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36562-2023</t>
        </is>
      </c>
      <c r="B602" s="1" t="n">
        <v>45153</v>
      </c>
      <c r="C602" s="1" t="n">
        <v>46013</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34539-2022</t>
        </is>
      </c>
      <c r="B603" s="1" t="n">
        <v>44793.50563657407</v>
      </c>
      <c r="C603" s="1" t="n">
        <v>46013</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41205-2021</t>
        </is>
      </c>
      <c r="B604" s="1" t="n">
        <v>44424.38577546296</v>
      </c>
      <c r="C604" s="1" t="n">
        <v>46013</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24748-2024</t>
        </is>
      </c>
      <c r="B605" s="1" t="n">
        <v>45460.66567129629</v>
      </c>
      <c r="C605" s="1" t="n">
        <v>46013</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2298-2021</t>
        </is>
      </c>
      <c r="B606" s="1" t="n">
        <v>44212</v>
      </c>
      <c r="C606" s="1" t="n">
        <v>46013</v>
      </c>
      <c r="D606" t="inlineStr">
        <is>
          <t>SÖDERMANLANDS LÄN</t>
        </is>
      </c>
      <c r="E606" t="inlineStr">
        <is>
          <t>KATRINEHOLM</t>
        </is>
      </c>
      <c r="G606" t="n">
        <v>3.4</v>
      </c>
      <c r="H606" t="n">
        <v>0</v>
      </c>
      <c r="I606" t="n">
        <v>0</v>
      </c>
      <c r="J606" t="n">
        <v>0</v>
      </c>
      <c r="K606" t="n">
        <v>0</v>
      </c>
      <c r="L606" t="n">
        <v>0</v>
      </c>
      <c r="M606" t="n">
        <v>0</v>
      </c>
      <c r="N606" t="n">
        <v>0</v>
      </c>
      <c r="O606" t="n">
        <v>0</v>
      </c>
      <c r="P606" t="n">
        <v>0</v>
      </c>
      <c r="Q606" t="n">
        <v>0</v>
      </c>
      <c r="R606" s="2" t="inlineStr"/>
    </row>
    <row r="607" ht="15" customHeight="1">
      <c r="A607" t="inlineStr">
        <is>
          <t>A 40402-2022</t>
        </is>
      </c>
      <c r="B607" s="1" t="n">
        <v>44823.44353009259</v>
      </c>
      <c r="C607" s="1" t="n">
        <v>46013</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17792-2025</t>
        </is>
      </c>
      <c r="B608" s="1" t="n">
        <v>45758</v>
      </c>
      <c r="C608" s="1" t="n">
        <v>46013</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17820-2025</t>
        </is>
      </c>
      <c r="B609" s="1" t="n">
        <v>45758</v>
      </c>
      <c r="C609" s="1" t="n">
        <v>46013</v>
      </c>
      <c r="D609" t="inlineStr">
        <is>
          <t>SÖDERMANLANDS LÄN</t>
        </is>
      </c>
      <c r="E609" t="inlineStr">
        <is>
          <t>KATRINEHOLM</t>
        </is>
      </c>
      <c r="G609" t="n">
        <v>5.9</v>
      </c>
      <c r="H609" t="n">
        <v>0</v>
      </c>
      <c r="I609" t="n">
        <v>0</v>
      </c>
      <c r="J609" t="n">
        <v>0</v>
      </c>
      <c r="K609" t="n">
        <v>0</v>
      </c>
      <c r="L609" t="n">
        <v>0</v>
      </c>
      <c r="M609" t="n">
        <v>0</v>
      </c>
      <c r="N609" t="n">
        <v>0</v>
      </c>
      <c r="O609" t="n">
        <v>0</v>
      </c>
      <c r="P609" t="n">
        <v>0</v>
      </c>
      <c r="Q609" t="n">
        <v>0</v>
      </c>
      <c r="R609" s="2" t="inlineStr"/>
    </row>
    <row r="610" ht="15" customHeight="1">
      <c r="A610" t="inlineStr">
        <is>
          <t>A 30387-2022</t>
        </is>
      </c>
      <c r="B610" s="1" t="n">
        <v>44760</v>
      </c>
      <c r="C610" s="1" t="n">
        <v>46013</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39052-2023</t>
        </is>
      </c>
      <c r="B611" s="1" t="n">
        <v>45163</v>
      </c>
      <c r="C611" s="1" t="n">
        <v>46013</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8922-2024</t>
        </is>
      </c>
      <c r="B612" s="1" t="n">
        <v>45357.38601851852</v>
      </c>
      <c r="C612" s="1" t="n">
        <v>46013</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48160-2022</t>
        </is>
      </c>
      <c r="B613" s="1" t="n">
        <v>44853</v>
      </c>
      <c r="C613" s="1" t="n">
        <v>46013</v>
      </c>
      <c r="D613" t="inlineStr">
        <is>
          <t>SÖDERMANLANDS LÄN</t>
        </is>
      </c>
      <c r="E613" t="inlineStr">
        <is>
          <t>KATRINEHOLM</t>
        </is>
      </c>
      <c r="F613" t="inlineStr">
        <is>
          <t>Övriga statliga verk och myndigheter</t>
        </is>
      </c>
      <c r="G613" t="n">
        <v>2.2</v>
      </c>
      <c r="H613" t="n">
        <v>0</v>
      </c>
      <c r="I613" t="n">
        <v>0</v>
      </c>
      <c r="J613" t="n">
        <v>0</v>
      </c>
      <c r="K613" t="n">
        <v>0</v>
      </c>
      <c r="L613" t="n">
        <v>0</v>
      </c>
      <c r="M613" t="n">
        <v>0</v>
      </c>
      <c r="N613" t="n">
        <v>0</v>
      </c>
      <c r="O613" t="n">
        <v>0</v>
      </c>
      <c r="P613" t="n">
        <v>0</v>
      </c>
      <c r="Q613" t="n">
        <v>0</v>
      </c>
      <c r="R613" s="2" t="inlineStr"/>
    </row>
    <row r="614" ht="15" customHeight="1">
      <c r="A614" t="inlineStr">
        <is>
          <t>A 28317-2024</t>
        </is>
      </c>
      <c r="B614" s="1" t="n">
        <v>45477</v>
      </c>
      <c r="C614" s="1" t="n">
        <v>46013</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66393-2021</t>
        </is>
      </c>
      <c r="B615" s="1" t="n">
        <v>44518</v>
      </c>
      <c r="C615" s="1" t="n">
        <v>46013</v>
      </c>
      <c r="D615" t="inlineStr">
        <is>
          <t>SÖDERMANLANDS LÄN</t>
        </is>
      </c>
      <c r="E615" t="inlineStr">
        <is>
          <t>KATRINEHOLM</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47134-2022</t>
        </is>
      </c>
      <c r="B616" s="1" t="n">
        <v>44851</v>
      </c>
      <c r="C616" s="1" t="n">
        <v>46013</v>
      </c>
      <c r="D616" t="inlineStr">
        <is>
          <t>SÖDERMANLANDS LÄN</t>
        </is>
      </c>
      <c r="E616" t="inlineStr">
        <is>
          <t>KATRINEHOLM</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1143-2024</t>
        </is>
      </c>
      <c r="B617" s="1" t="n">
        <v>45302</v>
      </c>
      <c r="C617" s="1" t="n">
        <v>46013</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3982-2024</t>
        </is>
      </c>
      <c r="B618" s="1" t="n">
        <v>45322</v>
      </c>
      <c r="C618" s="1" t="n">
        <v>46013</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57263-2022</t>
        </is>
      </c>
      <c r="B619" s="1" t="n">
        <v>44895</v>
      </c>
      <c r="C619" s="1" t="n">
        <v>46013</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28431-2024</t>
        </is>
      </c>
      <c r="B620" s="1" t="n">
        <v>45477.65216435185</v>
      </c>
      <c r="C620" s="1" t="n">
        <v>46013</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62418-2023</t>
        </is>
      </c>
      <c r="B621" s="1" t="n">
        <v>45268</v>
      </c>
      <c r="C621" s="1" t="n">
        <v>46013</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45142-2021</t>
        </is>
      </c>
      <c r="B622" s="1" t="n">
        <v>44439</v>
      </c>
      <c r="C622" s="1" t="n">
        <v>46013</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7191-2023</t>
        </is>
      </c>
      <c r="B623" s="1" t="n">
        <v>44965</v>
      </c>
      <c r="C623" s="1" t="n">
        <v>46013</v>
      </c>
      <c r="D623" t="inlineStr">
        <is>
          <t>SÖDERMANLANDS LÄN</t>
        </is>
      </c>
      <c r="E623" t="inlineStr">
        <is>
          <t>KATRINEHOLM</t>
        </is>
      </c>
      <c r="G623" t="n">
        <v>14.1</v>
      </c>
      <c r="H623" t="n">
        <v>0</v>
      </c>
      <c r="I623" t="n">
        <v>0</v>
      </c>
      <c r="J623" t="n">
        <v>0</v>
      </c>
      <c r="K623" t="n">
        <v>0</v>
      </c>
      <c r="L623" t="n">
        <v>0</v>
      </c>
      <c r="M623" t="n">
        <v>0</v>
      </c>
      <c r="N623" t="n">
        <v>0</v>
      </c>
      <c r="O623" t="n">
        <v>0</v>
      </c>
      <c r="P623" t="n">
        <v>0</v>
      </c>
      <c r="Q623" t="n">
        <v>0</v>
      </c>
      <c r="R623" s="2" t="inlineStr"/>
    </row>
    <row r="624" ht="15" customHeight="1">
      <c r="A624" t="inlineStr">
        <is>
          <t>A 66540-2021</t>
        </is>
      </c>
      <c r="B624" s="1" t="n">
        <v>44519</v>
      </c>
      <c r="C624" s="1" t="n">
        <v>46013</v>
      </c>
      <c r="D624" t="inlineStr">
        <is>
          <t>SÖDERMANLANDS LÄN</t>
        </is>
      </c>
      <c r="E624" t="inlineStr">
        <is>
          <t>KATRINEHOLM</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8394-2024</t>
        </is>
      </c>
      <c r="B625" s="1" t="n">
        <v>45352</v>
      </c>
      <c r="C625" s="1" t="n">
        <v>46013</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13658-2023</t>
        </is>
      </c>
      <c r="B626" s="1" t="n">
        <v>45006</v>
      </c>
      <c r="C626" s="1" t="n">
        <v>46013</v>
      </c>
      <c r="D626" t="inlineStr">
        <is>
          <t>SÖDERMANLANDS LÄN</t>
        </is>
      </c>
      <c r="E626" t="inlineStr">
        <is>
          <t>KATRINEHOLM</t>
        </is>
      </c>
      <c r="F626" t="inlineStr">
        <is>
          <t>Kyrkan</t>
        </is>
      </c>
      <c r="G626" t="n">
        <v>24.3</v>
      </c>
      <c r="H626" t="n">
        <v>0</v>
      </c>
      <c r="I626" t="n">
        <v>0</v>
      </c>
      <c r="J626" t="n">
        <v>0</v>
      </c>
      <c r="K626" t="n">
        <v>0</v>
      </c>
      <c r="L626" t="n">
        <v>0</v>
      </c>
      <c r="M626" t="n">
        <v>0</v>
      </c>
      <c r="N626" t="n">
        <v>0</v>
      </c>
      <c r="O626" t="n">
        <v>0</v>
      </c>
      <c r="P626" t="n">
        <v>0</v>
      </c>
      <c r="Q626" t="n">
        <v>0</v>
      </c>
      <c r="R626" s="2" t="inlineStr"/>
    </row>
    <row r="627" ht="15" customHeight="1">
      <c r="A627" t="inlineStr">
        <is>
          <t>A 61385-2023</t>
        </is>
      </c>
      <c r="B627" s="1" t="n">
        <v>45264.64241898148</v>
      </c>
      <c r="C627" s="1" t="n">
        <v>46013</v>
      </c>
      <c r="D627" t="inlineStr">
        <is>
          <t>SÖDERMANLANDS LÄN</t>
        </is>
      </c>
      <c r="E627" t="inlineStr">
        <is>
          <t>KATRINEHOLM</t>
        </is>
      </c>
      <c r="G627" t="n">
        <v>0.4</v>
      </c>
      <c r="H627" t="n">
        <v>0</v>
      </c>
      <c r="I627" t="n">
        <v>0</v>
      </c>
      <c r="J627" t="n">
        <v>0</v>
      </c>
      <c r="K627" t="n">
        <v>0</v>
      </c>
      <c r="L627" t="n">
        <v>0</v>
      </c>
      <c r="M627" t="n">
        <v>0</v>
      </c>
      <c r="N627" t="n">
        <v>0</v>
      </c>
      <c r="O627" t="n">
        <v>0</v>
      </c>
      <c r="P627" t="n">
        <v>0</v>
      </c>
      <c r="Q627" t="n">
        <v>0</v>
      </c>
      <c r="R627" s="2" t="inlineStr"/>
    </row>
    <row r="628" ht="15" customHeight="1">
      <c r="A628" t="inlineStr">
        <is>
          <t>A 55825-2022</t>
        </is>
      </c>
      <c r="B628" s="1" t="n">
        <v>44886</v>
      </c>
      <c r="C628" s="1" t="n">
        <v>46013</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55856-2022</t>
        </is>
      </c>
      <c r="B629" s="1" t="n">
        <v>44888</v>
      </c>
      <c r="C629" s="1" t="n">
        <v>46013</v>
      </c>
      <c r="D629" t="inlineStr">
        <is>
          <t>SÖDERMANLANDS LÄN</t>
        </is>
      </c>
      <c r="E629" t="inlineStr">
        <is>
          <t>KATRINEHOLM</t>
        </is>
      </c>
      <c r="G629" t="n">
        <v>5.6</v>
      </c>
      <c r="H629" t="n">
        <v>0</v>
      </c>
      <c r="I629" t="n">
        <v>0</v>
      </c>
      <c r="J629" t="n">
        <v>0</v>
      </c>
      <c r="K629" t="n">
        <v>0</v>
      </c>
      <c r="L629" t="n">
        <v>0</v>
      </c>
      <c r="M629" t="n">
        <v>0</v>
      </c>
      <c r="N629" t="n">
        <v>0</v>
      </c>
      <c r="O629" t="n">
        <v>0</v>
      </c>
      <c r="P629" t="n">
        <v>0</v>
      </c>
      <c r="Q629" t="n">
        <v>0</v>
      </c>
      <c r="R629" s="2" t="inlineStr"/>
    </row>
    <row r="630" ht="15" customHeight="1">
      <c r="A630" t="inlineStr">
        <is>
          <t>A 43513-2023</t>
        </is>
      </c>
      <c r="B630" s="1" t="n">
        <v>45184</v>
      </c>
      <c r="C630" s="1" t="n">
        <v>46013</v>
      </c>
      <c r="D630" t="inlineStr">
        <is>
          <t>SÖDERMANLANDS LÄN</t>
        </is>
      </c>
      <c r="E630" t="inlineStr">
        <is>
          <t>KATRINEHOLM</t>
        </is>
      </c>
      <c r="G630" t="n">
        <v>3.8</v>
      </c>
      <c r="H630" t="n">
        <v>0</v>
      </c>
      <c r="I630" t="n">
        <v>0</v>
      </c>
      <c r="J630" t="n">
        <v>0</v>
      </c>
      <c r="K630" t="n">
        <v>0</v>
      </c>
      <c r="L630" t="n">
        <v>0</v>
      </c>
      <c r="M630" t="n">
        <v>0</v>
      </c>
      <c r="N630" t="n">
        <v>0</v>
      </c>
      <c r="O630" t="n">
        <v>0</v>
      </c>
      <c r="P630" t="n">
        <v>0</v>
      </c>
      <c r="Q630" t="n">
        <v>0</v>
      </c>
      <c r="R630" s="2" t="inlineStr"/>
    </row>
    <row r="631" ht="15" customHeight="1">
      <c r="A631" t="inlineStr">
        <is>
          <t>A 8951-2024</t>
        </is>
      </c>
      <c r="B631" s="1" t="n">
        <v>45357.44695601852</v>
      </c>
      <c r="C631" s="1" t="n">
        <v>46013</v>
      </c>
      <c r="D631" t="inlineStr">
        <is>
          <t>SÖDERMANLANDS LÄN</t>
        </is>
      </c>
      <c r="E631" t="inlineStr">
        <is>
          <t>KATRINEHOLM</t>
        </is>
      </c>
      <c r="G631" t="n">
        <v>3.3</v>
      </c>
      <c r="H631" t="n">
        <v>0</v>
      </c>
      <c r="I631" t="n">
        <v>0</v>
      </c>
      <c r="J631" t="n">
        <v>0</v>
      </c>
      <c r="K631" t="n">
        <v>0</v>
      </c>
      <c r="L631" t="n">
        <v>0</v>
      </c>
      <c r="M631" t="n">
        <v>0</v>
      </c>
      <c r="N631" t="n">
        <v>0</v>
      </c>
      <c r="O631" t="n">
        <v>0</v>
      </c>
      <c r="P631" t="n">
        <v>0</v>
      </c>
      <c r="Q631" t="n">
        <v>0</v>
      </c>
      <c r="R631" s="2" t="inlineStr"/>
    </row>
    <row r="632" ht="15" customHeight="1">
      <c r="A632" t="inlineStr">
        <is>
          <t>A 8955-2024</t>
        </is>
      </c>
      <c r="B632" s="1" t="n">
        <v>45357.44873842593</v>
      </c>
      <c r="C632" s="1" t="n">
        <v>46013</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15945-2024</t>
        </is>
      </c>
      <c r="B633" s="1" t="n">
        <v>45405.48912037037</v>
      </c>
      <c r="C633" s="1" t="n">
        <v>46013</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4655-2024</t>
        </is>
      </c>
      <c r="B634" s="1" t="n">
        <v>45328</v>
      </c>
      <c r="C634" s="1" t="n">
        <v>46013</v>
      </c>
      <c r="D634" t="inlineStr">
        <is>
          <t>SÖDERMANLANDS LÄN</t>
        </is>
      </c>
      <c r="E634" t="inlineStr">
        <is>
          <t>KATRINEHOLM</t>
        </is>
      </c>
      <c r="G634" t="n">
        <v>17.7</v>
      </c>
      <c r="H634" t="n">
        <v>0</v>
      </c>
      <c r="I634" t="n">
        <v>0</v>
      </c>
      <c r="J634" t="n">
        <v>0</v>
      </c>
      <c r="K634" t="n">
        <v>0</v>
      </c>
      <c r="L634" t="n">
        <v>0</v>
      </c>
      <c r="M634" t="n">
        <v>0</v>
      </c>
      <c r="N634" t="n">
        <v>0</v>
      </c>
      <c r="O634" t="n">
        <v>0</v>
      </c>
      <c r="P634" t="n">
        <v>0</v>
      </c>
      <c r="Q634" t="n">
        <v>0</v>
      </c>
      <c r="R634" s="2" t="inlineStr"/>
    </row>
    <row r="635" ht="15" customHeight="1">
      <c r="A635" t="inlineStr">
        <is>
          <t>A 53387-2023</t>
        </is>
      </c>
      <c r="B635" s="1" t="n">
        <v>45229</v>
      </c>
      <c r="C635" s="1" t="n">
        <v>46013</v>
      </c>
      <c r="D635" t="inlineStr">
        <is>
          <t>SÖDERMANLANDS LÄN</t>
        </is>
      </c>
      <c r="E635" t="inlineStr">
        <is>
          <t>KATRINEHOLM</t>
        </is>
      </c>
      <c r="F635" t="inlineStr">
        <is>
          <t>Kyrkan</t>
        </is>
      </c>
      <c r="G635" t="n">
        <v>7.4</v>
      </c>
      <c r="H635" t="n">
        <v>0</v>
      </c>
      <c r="I635" t="n">
        <v>0</v>
      </c>
      <c r="J635" t="n">
        <v>0</v>
      </c>
      <c r="K635" t="n">
        <v>0</v>
      </c>
      <c r="L635" t="n">
        <v>0</v>
      </c>
      <c r="M635" t="n">
        <v>0</v>
      </c>
      <c r="N635" t="n">
        <v>0</v>
      </c>
      <c r="O635" t="n">
        <v>0</v>
      </c>
      <c r="P635" t="n">
        <v>0</v>
      </c>
      <c r="Q635" t="n">
        <v>0</v>
      </c>
      <c r="R635" s="2" t="inlineStr"/>
    </row>
    <row r="636" ht="15" customHeight="1">
      <c r="A636" t="inlineStr">
        <is>
          <t>A 42590-2022</t>
        </is>
      </c>
      <c r="B636" s="1" t="n">
        <v>44831</v>
      </c>
      <c r="C636" s="1" t="n">
        <v>46013</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38883-2024</t>
        </is>
      </c>
      <c r="B637" s="1" t="n">
        <v>45547</v>
      </c>
      <c r="C637" s="1" t="n">
        <v>46013</v>
      </c>
      <c r="D637" t="inlineStr">
        <is>
          <t>SÖDERMANLANDS LÄN</t>
        </is>
      </c>
      <c r="E637" t="inlineStr">
        <is>
          <t>KATRINEHOLM</t>
        </is>
      </c>
      <c r="G637" t="n">
        <v>3.1</v>
      </c>
      <c r="H637" t="n">
        <v>0</v>
      </c>
      <c r="I637" t="n">
        <v>0</v>
      </c>
      <c r="J637" t="n">
        <v>0</v>
      </c>
      <c r="K637" t="n">
        <v>0</v>
      </c>
      <c r="L637" t="n">
        <v>0</v>
      </c>
      <c r="M637" t="n">
        <v>0</v>
      </c>
      <c r="N637" t="n">
        <v>0</v>
      </c>
      <c r="O637" t="n">
        <v>0</v>
      </c>
      <c r="P637" t="n">
        <v>0</v>
      </c>
      <c r="Q637" t="n">
        <v>0</v>
      </c>
      <c r="R637" s="2" t="inlineStr"/>
    </row>
    <row r="638" ht="15" customHeight="1">
      <c r="A638" t="inlineStr">
        <is>
          <t>A 4667-2024</t>
        </is>
      </c>
      <c r="B638" s="1" t="n">
        <v>45328.47</v>
      </c>
      <c r="C638" s="1" t="n">
        <v>46013</v>
      </c>
      <c r="D638" t="inlineStr">
        <is>
          <t>SÖDERMANLANDS LÄN</t>
        </is>
      </c>
      <c r="E638" t="inlineStr">
        <is>
          <t>KATRINEHOLM</t>
        </is>
      </c>
      <c r="F638" t="inlineStr">
        <is>
          <t>Övriga Aktiebolag</t>
        </is>
      </c>
      <c r="G638" t="n">
        <v>10.2</v>
      </c>
      <c r="H638" t="n">
        <v>0</v>
      </c>
      <c r="I638" t="n">
        <v>0</v>
      </c>
      <c r="J638" t="n">
        <v>0</v>
      </c>
      <c r="K638" t="n">
        <v>0</v>
      </c>
      <c r="L638" t="n">
        <v>0</v>
      </c>
      <c r="M638" t="n">
        <v>0</v>
      </c>
      <c r="N638" t="n">
        <v>0</v>
      </c>
      <c r="O638" t="n">
        <v>0</v>
      </c>
      <c r="P638" t="n">
        <v>0</v>
      </c>
      <c r="Q638" t="n">
        <v>0</v>
      </c>
      <c r="R638" s="2" t="inlineStr"/>
    </row>
    <row r="639" ht="15" customHeight="1">
      <c r="A639" t="inlineStr">
        <is>
          <t>A 39704-2023</t>
        </is>
      </c>
      <c r="B639" s="1" t="n">
        <v>45167</v>
      </c>
      <c r="C639" s="1" t="n">
        <v>46013</v>
      </c>
      <c r="D639" t="inlineStr">
        <is>
          <t>SÖDERMANLANDS LÄN</t>
        </is>
      </c>
      <c r="E639" t="inlineStr">
        <is>
          <t>KATRINEHOLM</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16087-2023</t>
        </is>
      </c>
      <c r="B640" s="1" t="n">
        <v>45026</v>
      </c>
      <c r="C640" s="1" t="n">
        <v>46013</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28652-2024</t>
        </is>
      </c>
      <c r="B641" s="1" t="n">
        <v>45478</v>
      </c>
      <c r="C641" s="1" t="n">
        <v>46013</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42791-2023</t>
        </is>
      </c>
      <c r="B642" s="1" t="n">
        <v>45181.92876157408</v>
      </c>
      <c r="C642" s="1" t="n">
        <v>46013</v>
      </c>
      <c r="D642" t="inlineStr">
        <is>
          <t>SÖDERMANLANDS LÄN</t>
        </is>
      </c>
      <c r="E642" t="inlineStr">
        <is>
          <t>KATRINEHOLM</t>
        </is>
      </c>
      <c r="G642" t="n">
        <v>4.1</v>
      </c>
      <c r="H642" t="n">
        <v>0</v>
      </c>
      <c r="I642" t="n">
        <v>0</v>
      </c>
      <c r="J642" t="n">
        <v>0</v>
      </c>
      <c r="K642" t="n">
        <v>0</v>
      </c>
      <c r="L642" t="n">
        <v>0</v>
      </c>
      <c r="M642" t="n">
        <v>0</v>
      </c>
      <c r="N642" t="n">
        <v>0</v>
      </c>
      <c r="O642" t="n">
        <v>0</v>
      </c>
      <c r="P642" t="n">
        <v>0</v>
      </c>
      <c r="Q642" t="n">
        <v>0</v>
      </c>
      <c r="R642" s="2" t="inlineStr"/>
    </row>
    <row r="643" ht="15" customHeight="1">
      <c r="A643" t="inlineStr">
        <is>
          <t>A 42792-2023</t>
        </is>
      </c>
      <c r="B643" s="1" t="n">
        <v>45181.95491898148</v>
      </c>
      <c r="C643" s="1" t="n">
        <v>46013</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31740-2022</t>
        </is>
      </c>
      <c r="B644" s="1" t="n">
        <v>44776</v>
      </c>
      <c r="C644" s="1" t="n">
        <v>46013</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4679-2023</t>
        </is>
      </c>
      <c r="B645" s="1" t="n">
        <v>44957.44885416667</v>
      </c>
      <c r="C645" s="1" t="n">
        <v>46013</v>
      </c>
      <c r="D645" t="inlineStr">
        <is>
          <t>SÖDERMANLANDS LÄN</t>
        </is>
      </c>
      <c r="E645" t="inlineStr">
        <is>
          <t>KATRINEHOLM</t>
        </is>
      </c>
      <c r="G645" t="n">
        <v>5.3</v>
      </c>
      <c r="H645" t="n">
        <v>0</v>
      </c>
      <c r="I645" t="n">
        <v>0</v>
      </c>
      <c r="J645" t="n">
        <v>0</v>
      </c>
      <c r="K645" t="n">
        <v>0</v>
      </c>
      <c r="L645" t="n">
        <v>0</v>
      </c>
      <c r="M645" t="n">
        <v>0</v>
      </c>
      <c r="N645" t="n">
        <v>0</v>
      </c>
      <c r="O645" t="n">
        <v>0</v>
      </c>
      <c r="P645" t="n">
        <v>0</v>
      </c>
      <c r="Q645" t="n">
        <v>0</v>
      </c>
      <c r="R645" s="2" t="inlineStr"/>
    </row>
    <row r="646" ht="15" customHeight="1">
      <c r="A646" t="inlineStr">
        <is>
          <t>A 6087-2021</t>
        </is>
      </c>
      <c r="B646" s="1" t="n">
        <v>44232</v>
      </c>
      <c r="C646" s="1" t="n">
        <v>46013</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48528-2021</t>
        </is>
      </c>
      <c r="B647" s="1" t="n">
        <v>44449</v>
      </c>
      <c r="C647" s="1" t="n">
        <v>46013</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48398-2022</t>
        </is>
      </c>
      <c r="B648" s="1" t="n">
        <v>44858.60809027778</v>
      </c>
      <c r="C648" s="1" t="n">
        <v>46013</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6753-2022</t>
        </is>
      </c>
      <c r="B649" s="1" t="n">
        <v>44602</v>
      </c>
      <c r="C649" s="1" t="n">
        <v>46013</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15184-2023</t>
        </is>
      </c>
      <c r="B650" s="1" t="n">
        <v>45016</v>
      </c>
      <c r="C650" s="1" t="n">
        <v>46013</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38826-2021</t>
        </is>
      </c>
      <c r="B651" s="1" t="n">
        <v>44411</v>
      </c>
      <c r="C651" s="1" t="n">
        <v>46013</v>
      </c>
      <c r="D651" t="inlineStr">
        <is>
          <t>SÖDERMANLANDS LÄN</t>
        </is>
      </c>
      <c r="E651" t="inlineStr">
        <is>
          <t>KATRINEHOLM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2297-2021</t>
        </is>
      </c>
      <c r="B652" s="1" t="n">
        <v>44212</v>
      </c>
      <c r="C652" s="1" t="n">
        <v>46013</v>
      </c>
      <c r="D652" t="inlineStr">
        <is>
          <t>SÖDERMANLANDS LÄN</t>
        </is>
      </c>
      <c r="E652" t="inlineStr">
        <is>
          <t>KATRINEHOLM</t>
        </is>
      </c>
      <c r="G652" t="n">
        <v>14.4</v>
      </c>
      <c r="H652" t="n">
        <v>0</v>
      </c>
      <c r="I652" t="n">
        <v>0</v>
      </c>
      <c r="J652" t="n">
        <v>0</v>
      </c>
      <c r="K652" t="n">
        <v>0</v>
      </c>
      <c r="L652" t="n">
        <v>0</v>
      </c>
      <c r="M652" t="n">
        <v>0</v>
      </c>
      <c r="N652" t="n">
        <v>0</v>
      </c>
      <c r="O652" t="n">
        <v>0</v>
      </c>
      <c r="P652" t="n">
        <v>0</v>
      </c>
      <c r="Q652" t="n">
        <v>0</v>
      </c>
      <c r="R652" s="2" t="inlineStr"/>
    </row>
    <row r="653" ht="15" customHeight="1">
      <c r="A653" t="inlineStr">
        <is>
          <t>A 9388-2021</t>
        </is>
      </c>
      <c r="B653" s="1" t="n">
        <v>44250</v>
      </c>
      <c r="C653" s="1" t="n">
        <v>46013</v>
      </c>
      <c r="D653" t="inlineStr">
        <is>
          <t>SÖDERMANLANDS LÄN</t>
        </is>
      </c>
      <c r="E653" t="inlineStr">
        <is>
          <t>KATRINEHOLM</t>
        </is>
      </c>
      <c r="G653" t="n">
        <v>5.4</v>
      </c>
      <c r="H653" t="n">
        <v>0</v>
      </c>
      <c r="I653" t="n">
        <v>0</v>
      </c>
      <c r="J653" t="n">
        <v>0</v>
      </c>
      <c r="K653" t="n">
        <v>0</v>
      </c>
      <c r="L653" t="n">
        <v>0</v>
      </c>
      <c r="M653" t="n">
        <v>0</v>
      </c>
      <c r="N653" t="n">
        <v>0</v>
      </c>
      <c r="O653" t="n">
        <v>0</v>
      </c>
      <c r="P653" t="n">
        <v>0</v>
      </c>
      <c r="Q653" t="n">
        <v>0</v>
      </c>
      <c r="R653" s="2" t="inlineStr"/>
    </row>
    <row r="654" ht="15" customHeight="1">
      <c r="A654" t="inlineStr">
        <is>
          <t>A 29830-2023</t>
        </is>
      </c>
      <c r="B654" s="1" t="n">
        <v>45107</v>
      </c>
      <c r="C654" s="1" t="n">
        <v>46013</v>
      </c>
      <c r="D654" t="inlineStr">
        <is>
          <t>SÖDERMANLANDS LÄN</t>
        </is>
      </c>
      <c r="E654" t="inlineStr">
        <is>
          <t>KATRINEHOLM</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19098-2022</t>
        </is>
      </c>
      <c r="B655" s="1" t="n">
        <v>44691.52616898148</v>
      </c>
      <c r="C655" s="1" t="n">
        <v>46013</v>
      </c>
      <c r="D655" t="inlineStr">
        <is>
          <t>SÖDERMANLANDS LÄN</t>
        </is>
      </c>
      <c r="E655" t="inlineStr">
        <is>
          <t>KATRINEHOLM</t>
        </is>
      </c>
      <c r="G655" t="n">
        <v>5.5</v>
      </c>
      <c r="H655" t="n">
        <v>0</v>
      </c>
      <c r="I655" t="n">
        <v>0</v>
      </c>
      <c r="J655" t="n">
        <v>0</v>
      </c>
      <c r="K655" t="n">
        <v>0</v>
      </c>
      <c r="L655" t="n">
        <v>0</v>
      </c>
      <c r="M655" t="n">
        <v>0</v>
      </c>
      <c r="N655" t="n">
        <v>0</v>
      </c>
      <c r="O655" t="n">
        <v>0</v>
      </c>
      <c r="P655" t="n">
        <v>0</v>
      </c>
      <c r="Q655" t="n">
        <v>0</v>
      </c>
      <c r="R655" s="2" t="inlineStr"/>
    </row>
    <row r="656" ht="15" customHeight="1">
      <c r="A656" t="inlineStr">
        <is>
          <t>A 6628-2022</t>
        </is>
      </c>
      <c r="B656" s="1" t="n">
        <v>44601.78850694445</v>
      </c>
      <c r="C656" s="1" t="n">
        <v>46013</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72984-2021</t>
        </is>
      </c>
      <c r="B657" s="1" t="n">
        <v>44549.74741898148</v>
      </c>
      <c r="C657" s="1" t="n">
        <v>46013</v>
      </c>
      <c r="D657" t="inlineStr">
        <is>
          <t>SÖDERMANLANDS LÄN</t>
        </is>
      </c>
      <c r="E657" t="inlineStr">
        <is>
          <t>KATRINEHOLM</t>
        </is>
      </c>
      <c r="G657" t="n">
        <v>4.9</v>
      </c>
      <c r="H657" t="n">
        <v>0</v>
      </c>
      <c r="I657" t="n">
        <v>0</v>
      </c>
      <c r="J657" t="n">
        <v>0</v>
      </c>
      <c r="K657" t="n">
        <v>0</v>
      </c>
      <c r="L657" t="n">
        <v>0</v>
      </c>
      <c r="M657" t="n">
        <v>0</v>
      </c>
      <c r="N657" t="n">
        <v>0</v>
      </c>
      <c r="O657" t="n">
        <v>0</v>
      </c>
      <c r="P657" t="n">
        <v>0</v>
      </c>
      <c r="Q657" t="n">
        <v>0</v>
      </c>
      <c r="R657" s="2" t="inlineStr"/>
    </row>
    <row r="658" ht="15" customHeight="1">
      <c r="A658" t="inlineStr">
        <is>
          <t>A 2325-2023</t>
        </is>
      </c>
      <c r="B658" s="1" t="n">
        <v>44942</v>
      </c>
      <c r="C658" s="1" t="n">
        <v>46013</v>
      </c>
      <c r="D658" t="inlineStr">
        <is>
          <t>SÖDERMANLANDS LÄN</t>
        </is>
      </c>
      <c r="E658" t="inlineStr">
        <is>
          <t>KATRINEHOLM</t>
        </is>
      </c>
      <c r="G658" t="n">
        <v>5.6</v>
      </c>
      <c r="H658" t="n">
        <v>0</v>
      </c>
      <c r="I658" t="n">
        <v>0</v>
      </c>
      <c r="J658" t="n">
        <v>0</v>
      </c>
      <c r="K658" t="n">
        <v>0</v>
      </c>
      <c r="L658" t="n">
        <v>0</v>
      </c>
      <c r="M658" t="n">
        <v>0</v>
      </c>
      <c r="N658" t="n">
        <v>0</v>
      </c>
      <c r="O658" t="n">
        <v>0</v>
      </c>
      <c r="P658" t="n">
        <v>0</v>
      </c>
      <c r="Q658" t="n">
        <v>0</v>
      </c>
      <c r="R658" s="2" t="inlineStr"/>
    </row>
    <row r="659" ht="15" customHeight="1">
      <c r="A659" t="inlineStr">
        <is>
          <t>A 46011-2021</t>
        </is>
      </c>
      <c r="B659" s="1" t="n">
        <v>44441.88092592593</v>
      </c>
      <c r="C659" s="1" t="n">
        <v>46013</v>
      </c>
      <c r="D659" t="inlineStr">
        <is>
          <t>SÖDERMANLANDS LÄN</t>
        </is>
      </c>
      <c r="E659" t="inlineStr">
        <is>
          <t>KATRINEHOLM</t>
        </is>
      </c>
      <c r="G659" t="n">
        <v>4.7</v>
      </c>
      <c r="H659" t="n">
        <v>0</v>
      </c>
      <c r="I659" t="n">
        <v>0</v>
      </c>
      <c r="J659" t="n">
        <v>0</v>
      </c>
      <c r="K659" t="n">
        <v>0</v>
      </c>
      <c r="L659" t="n">
        <v>0</v>
      </c>
      <c r="M659" t="n">
        <v>0</v>
      </c>
      <c r="N659" t="n">
        <v>0</v>
      </c>
      <c r="O659" t="n">
        <v>0</v>
      </c>
      <c r="P659" t="n">
        <v>0</v>
      </c>
      <c r="Q659" t="n">
        <v>0</v>
      </c>
      <c r="R659" s="2" t="inlineStr"/>
    </row>
    <row r="660" ht="15" customHeight="1">
      <c r="A660" t="inlineStr">
        <is>
          <t>A 62140-2022</t>
        </is>
      </c>
      <c r="B660" s="1" t="n">
        <v>44922</v>
      </c>
      <c r="C660" s="1" t="n">
        <v>46013</v>
      </c>
      <c r="D660" t="inlineStr">
        <is>
          <t>SÖDERMANLANDS LÄN</t>
        </is>
      </c>
      <c r="E660" t="inlineStr">
        <is>
          <t>KATRINEHOLM</t>
        </is>
      </c>
      <c r="F660" t="inlineStr">
        <is>
          <t>Övriga Aktiebolag</t>
        </is>
      </c>
      <c r="G660" t="n">
        <v>2.4</v>
      </c>
      <c r="H660" t="n">
        <v>0</v>
      </c>
      <c r="I660" t="n">
        <v>0</v>
      </c>
      <c r="J660" t="n">
        <v>0</v>
      </c>
      <c r="K660" t="n">
        <v>0</v>
      </c>
      <c r="L660" t="n">
        <v>0</v>
      </c>
      <c r="M660" t="n">
        <v>0</v>
      </c>
      <c r="N660" t="n">
        <v>0</v>
      </c>
      <c r="O660" t="n">
        <v>0</v>
      </c>
      <c r="P660" t="n">
        <v>0</v>
      </c>
      <c r="Q660" t="n">
        <v>0</v>
      </c>
      <c r="R660" s="2" t="inlineStr"/>
    </row>
    <row r="661" ht="15" customHeight="1">
      <c r="A661" t="inlineStr">
        <is>
          <t>A 33934-2022</t>
        </is>
      </c>
      <c r="B661" s="1" t="n">
        <v>44790</v>
      </c>
      <c r="C661" s="1" t="n">
        <v>46013</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13171-2024</t>
        </is>
      </c>
      <c r="B662" s="1" t="n">
        <v>45386</v>
      </c>
      <c r="C662" s="1" t="n">
        <v>46013</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59384-2022</t>
        </is>
      </c>
      <c r="B663" s="1" t="n">
        <v>44905</v>
      </c>
      <c r="C663" s="1" t="n">
        <v>46013</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13086-2023</t>
        </is>
      </c>
      <c r="B664" s="1" t="n">
        <v>45002.42188657408</v>
      </c>
      <c r="C664" s="1" t="n">
        <v>46013</v>
      </c>
      <c r="D664" t="inlineStr">
        <is>
          <t>SÖDERMANLANDS LÄN</t>
        </is>
      </c>
      <c r="E664" t="inlineStr">
        <is>
          <t>KATRINEHOLM</t>
        </is>
      </c>
      <c r="G664" t="n">
        <v>2.2</v>
      </c>
      <c r="H664" t="n">
        <v>0</v>
      </c>
      <c r="I664" t="n">
        <v>0</v>
      </c>
      <c r="J664" t="n">
        <v>0</v>
      </c>
      <c r="K664" t="n">
        <v>0</v>
      </c>
      <c r="L664" t="n">
        <v>0</v>
      </c>
      <c r="M664" t="n">
        <v>0</v>
      </c>
      <c r="N664" t="n">
        <v>0</v>
      </c>
      <c r="O664" t="n">
        <v>0</v>
      </c>
      <c r="P664" t="n">
        <v>0</v>
      </c>
      <c r="Q664" t="n">
        <v>0</v>
      </c>
      <c r="R664" s="2" t="inlineStr"/>
    </row>
    <row r="665" ht="15" customHeight="1">
      <c r="A665" t="inlineStr">
        <is>
          <t>A 19670-2022</t>
        </is>
      </c>
      <c r="B665" s="1" t="n">
        <v>44694</v>
      </c>
      <c r="C665" s="1" t="n">
        <v>46013</v>
      </c>
      <c r="D665" t="inlineStr">
        <is>
          <t>SÖDERMANLANDS LÄN</t>
        </is>
      </c>
      <c r="E665" t="inlineStr">
        <is>
          <t>KATRINEHOLM</t>
        </is>
      </c>
      <c r="G665" t="n">
        <v>13.6</v>
      </c>
      <c r="H665" t="n">
        <v>0</v>
      </c>
      <c r="I665" t="n">
        <v>0</v>
      </c>
      <c r="J665" t="n">
        <v>0</v>
      </c>
      <c r="K665" t="n">
        <v>0</v>
      </c>
      <c r="L665" t="n">
        <v>0</v>
      </c>
      <c r="M665" t="n">
        <v>0</v>
      </c>
      <c r="N665" t="n">
        <v>0</v>
      </c>
      <c r="O665" t="n">
        <v>0</v>
      </c>
      <c r="P665" t="n">
        <v>0</v>
      </c>
      <c r="Q665" t="n">
        <v>0</v>
      </c>
      <c r="R665" s="2" t="inlineStr"/>
    </row>
    <row r="666" ht="15" customHeight="1">
      <c r="A666" t="inlineStr">
        <is>
          <t>A 19107-2022</t>
        </is>
      </c>
      <c r="B666" s="1" t="n">
        <v>44691.54077546296</v>
      </c>
      <c r="C666" s="1" t="n">
        <v>46013</v>
      </c>
      <c r="D666" t="inlineStr">
        <is>
          <t>SÖDERMANLANDS LÄN</t>
        </is>
      </c>
      <c r="E666" t="inlineStr">
        <is>
          <t>KATRINEHOLM</t>
        </is>
      </c>
      <c r="G666" t="n">
        <v>1</v>
      </c>
      <c r="H666" t="n">
        <v>0</v>
      </c>
      <c r="I666" t="n">
        <v>0</v>
      </c>
      <c r="J666" t="n">
        <v>0</v>
      </c>
      <c r="K666" t="n">
        <v>0</v>
      </c>
      <c r="L666" t="n">
        <v>0</v>
      </c>
      <c r="M666" t="n">
        <v>0</v>
      </c>
      <c r="N666" t="n">
        <v>0</v>
      </c>
      <c r="O666" t="n">
        <v>0</v>
      </c>
      <c r="P666" t="n">
        <v>0</v>
      </c>
      <c r="Q666" t="n">
        <v>0</v>
      </c>
      <c r="R666" s="2" t="inlineStr"/>
    </row>
    <row r="667" ht="15" customHeight="1">
      <c r="A667" t="inlineStr">
        <is>
          <t>A 30333-2023</t>
        </is>
      </c>
      <c r="B667" s="1" t="n">
        <v>45111</v>
      </c>
      <c r="C667" s="1" t="n">
        <v>46013</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6175-2023</t>
        </is>
      </c>
      <c r="B668" s="1" t="n">
        <v>44964</v>
      </c>
      <c r="C668" s="1" t="n">
        <v>46013</v>
      </c>
      <c r="D668" t="inlineStr">
        <is>
          <t>SÖDERMANLANDS LÄN</t>
        </is>
      </c>
      <c r="E668" t="inlineStr">
        <is>
          <t>KATRINEHOLM</t>
        </is>
      </c>
      <c r="G668" t="n">
        <v>11.2</v>
      </c>
      <c r="H668" t="n">
        <v>0</v>
      </c>
      <c r="I668" t="n">
        <v>0</v>
      </c>
      <c r="J668" t="n">
        <v>0</v>
      </c>
      <c r="K668" t="n">
        <v>0</v>
      </c>
      <c r="L668" t="n">
        <v>0</v>
      </c>
      <c r="M668" t="n">
        <v>0</v>
      </c>
      <c r="N668" t="n">
        <v>0</v>
      </c>
      <c r="O668" t="n">
        <v>0</v>
      </c>
      <c r="P668" t="n">
        <v>0</v>
      </c>
      <c r="Q668" t="n">
        <v>0</v>
      </c>
      <c r="R668" s="2" t="inlineStr"/>
    </row>
    <row r="669" ht="15" customHeight="1">
      <c r="A669" t="inlineStr">
        <is>
          <t>A 11875-2023</t>
        </is>
      </c>
      <c r="B669" s="1" t="n">
        <v>44995</v>
      </c>
      <c r="C669" s="1" t="n">
        <v>46013</v>
      </c>
      <c r="D669" t="inlineStr">
        <is>
          <t>SÖDERMANLANDS LÄN</t>
        </is>
      </c>
      <c r="E669" t="inlineStr">
        <is>
          <t>KATRINEHOLM</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6796-2022</t>
        </is>
      </c>
      <c r="B670" s="1" t="n">
        <v>44602</v>
      </c>
      <c r="C670" s="1" t="n">
        <v>46013</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13612-2023</t>
        </is>
      </c>
      <c r="B671" s="1" t="n">
        <v>45006</v>
      </c>
      <c r="C671" s="1" t="n">
        <v>46013</v>
      </c>
      <c r="D671" t="inlineStr">
        <is>
          <t>SÖDERMANLANDS LÄN</t>
        </is>
      </c>
      <c r="E671" t="inlineStr">
        <is>
          <t>KATRINEHOLM</t>
        </is>
      </c>
      <c r="G671" t="n">
        <v>2.3</v>
      </c>
      <c r="H671" t="n">
        <v>0</v>
      </c>
      <c r="I671" t="n">
        <v>0</v>
      </c>
      <c r="J671" t="n">
        <v>0</v>
      </c>
      <c r="K671" t="n">
        <v>0</v>
      </c>
      <c r="L671" t="n">
        <v>0</v>
      </c>
      <c r="M671" t="n">
        <v>0</v>
      </c>
      <c r="N671" t="n">
        <v>0</v>
      </c>
      <c r="O671" t="n">
        <v>0</v>
      </c>
      <c r="P671" t="n">
        <v>0</v>
      </c>
      <c r="Q671" t="n">
        <v>0</v>
      </c>
      <c r="R671" s="2" t="inlineStr"/>
    </row>
    <row r="672" ht="15" customHeight="1">
      <c r="A672" t="inlineStr">
        <is>
          <t>A 39068-2022</t>
        </is>
      </c>
      <c r="B672" s="1" t="n">
        <v>44816</v>
      </c>
      <c r="C672" s="1" t="n">
        <v>46013</v>
      </c>
      <c r="D672" t="inlineStr">
        <is>
          <t>SÖDERMANLANDS LÄN</t>
        </is>
      </c>
      <c r="E672" t="inlineStr">
        <is>
          <t>KATRINEHOLM</t>
        </is>
      </c>
      <c r="G672" t="n">
        <v>3.6</v>
      </c>
      <c r="H672" t="n">
        <v>0</v>
      </c>
      <c r="I672" t="n">
        <v>0</v>
      </c>
      <c r="J672" t="n">
        <v>0</v>
      </c>
      <c r="K672" t="n">
        <v>0</v>
      </c>
      <c r="L672" t="n">
        <v>0</v>
      </c>
      <c r="M672" t="n">
        <v>0</v>
      </c>
      <c r="N672" t="n">
        <v>0</v>
      </c>
      <c r="O672" t="n">
        <v>0</v>
      </c>
      <c r="P672" t="n">
        <v>0</v>
      </c>
      <c r="Q672" t="n">
        <v>0</v>
      </c>
      <c r="R672" s="2" t="inlineStr"/>
    </row>
    <row r="673" ht="15" customHeight="1">
      <c r="A673" t="inlineStr">
        <is>
          <t>A 8765-2023</t>
        </is>
      </c>
      <c r="B673" s="1" t="n">
        <v>44978.52131944444</v>
      </c>
      <c r="C673" s="1" t="n">
        <v>46013</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57154-2023</t>
        </is>
      </c>
      <c r="B674" s="1" t="n">
        <v>45245</v>
      </c>
      <c r="C674" s="1" t="n">
        <v>46013</v>
      </c>
      <c r="D674" t="inlineStr">
        <is>
          <t>SÖDERMANLANDS LÄN</t>
        </is>
      </c>
      <c r="E674" t="inlineStr">
        <is>
          <t>KATRINEHOLM</t>
        </is>
      </c>
      <c r="F674" t="inlineStr">
        <is>
          <t>Allmännings- och besparingsskogar</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21959-2022</t>
        </is>
      </c>
      <c r="B675" s="1" t="n">
        <v>44708</v>
      </c>
      <c r="C675" s="1" t="n">
        <v>46013</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51530-2023</t>
        </is>
      </c>
      <c r="B676" s="1" t="n">
        <v>45222</v>
      </c>
      <c r="C676" s="1" t="n">
        <v>46013</v>
      </c>
      <c r="D676" t="inlineStr">
        <is>
          <t>SÖDERMANLANDS LÄN</t>
        </is>
      </c>
      <c r="E676" t="inlineStr">
        <is>
          <t>KATRINEHOLM</t>
        </is>
      </c>
      <c r="G676" t="n">
        <v>0.9</v>
      </c>
      <c r="H676" t="n">
        <v>0</v>
      </c>
      <c r="I676" t="n">
        <v>0</v>
      </c>
      <c r="J676" t="n">
        <v>0</v>
      </c>
      <c r="K676" t="n">
        <v>0</v>
      </c>
      <c r="L676" t="n">
        <v>0</v>
      </c>
      <c r="M676" t="n">
        <v>0</v>
      </c>
      <c r="N676" t="n">
        <v>0</v>
      </c>
      <c r="O676" t="n">
        <v>0</v>
      </c>
      <c r="P676" t="n">
        <v>0</v>
      </c>
      <c r="Q676" t="n">
        <v>0</v>
      </c>
      <c r="R676" s="2" t="inlineStr"/>
    </row>
    <row r="677" ht="15" customHeight="1">
      <c r="A677" t="inlineStr">
        <is>
          <t>A 23916-2023</t>
        </is>
      </c>
      <c r="B677" s="1" t="n">
        <v>45075</v>
      </c>
      <c r="C677" s="1" t="n">
        <v>46013</v>
      </c>
      <c r="D677" t="inlineStr">
        <is>
          <t>SÖDERMANLANDS LÄN</t>
        </is>
      </c>
      <c r="E677" t="inlineStr">
        <is>
          <t>KATRINEHOLM</t>
        </is>
      </c>
      <c r="G677" t="n">
        <v>8</v>
      </c>
      <c r="H677" t="n">
        <v>0</v>
      </c>
      <c r="I677" t="n">
        <v>0</v>
      </c>
      <c r="J677" t="n">
        <v>0</v>
      </c>
      <c r="K677" t="n">
        <v>0</v>
      </c>
      <c r="L677" t="n">
        <v>0</v>
      </c>
      <c r="M677" t="n">
        <v>0</v>
      </c>
      <c r="N677" t="n">
        <v>0</v>
      </c>
      <c r="O677" t="n">
        <v>0</v>
      </c>
      <c r="P677" t="n">
        <v>0</v>
      </c>
      <c r="Q677" t="n">
        <v>0</v>
      </c>
      <c r="R677" s="2" t="inlineStr"/>
    </row>
    <row r="678" ht="15" customHeight="1">
      <c r="A678" t="inlineStr">
        <is>
          <t>A 38879-2024</t>
        </is>
      </c>
      <c r="B678" s="1" t="n">
        <v>45547</v>
      </c>
      <c r="C678" s="1" t="n">
        <v>46013</v>
      </c>
      <c r="D678" t="inlineStr">
        <is>
          <t>SÖDERMANLANDS LÄN</t>
        </is>
      </c>
      <c r="E678" t="inlineStr">
        <is>
          <t>KATRINEHOLM</t>
        </is>
      </c>
      <c r="G678" t="n">
        <v>2.6</v>
      </c>
      <c r="H678" t="n">
        <v>0</v>
      </c>
      <c r="I678" t="n">
        <v>0</v>
      </c>
      <c r="J678" t="n">
        <v>0</v>
      </c>
      <c r="K678" t="n">
        <v>0</v>
      </c>
      <c r="L678" t="n">
        <v>0</v>
      </c>
      <c r="M678" t="n">
        <v>0</v>
      </c>
      <c r="N678" t="n">
        <v>0</v>
      </c>
      <c r="O678" t="n">
        <v>0</v>
      </c>
      <c r="P678" t="n">
        <v>0</v>
      </c>
      <c r="Q678" t="n">
        <v>0</v>
      </c>
      <c r="R678" s="2" t="inlineStr"/>
    </row>
    <row r="679" ht="15" customHeight="1">
      <c r="A679" t="inlineStr">
        <is>
          <t>A 9437-2022</t>
        </is>
      </c>
      <c r="B679" s="1" t="n">
        <v>44616.69246527777</v>
      </c>
      <c r="C679" s="1" t="n">
        <v>46013</v>
      </c>
      <c r="D679" t="inlineStr">
        <is>
          <t>SÖDERMANLANDS LÄN</t>
        </is>
      </c>
      <c r="E679" t="inlineStr">
        <is>
          <t>KATRINEHOLM</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25362-2023</t>
        </is>
      </c>
      <c r="B680" s="1" t="n">
        <v>45088.83430555555</v>
      </c>
      <c r="C680" s="1" t="n">
        <v>46013</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4662-2023</t>
        </is>
      </c>
      <c r="B681" s="1" t="n">
        <v>44957</v>
      </c>
      <c r="C681" s="1" t="n">
        <v>46013</v>
      </c>
      <c r="D681" t="inlineStr">
        <is>
          <t>SÖDERMANLANDS LÄN</t>
        </is>
      </c>
      <c r="E681" t="inlineStr">
        <is>
          <t>KATRINEHOLM</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19685-2022</t>
        </is>
      </c>
      <c r="B682" s="1" t="n">
        <v>44694</v>
      </c>
      <c r="C682" s="1" t="n">
        <v>46013</v>
      </c>
      <c r="D682" t="inlineStr">
        <is>
          <t>SÖDERMANLANDS LÄN</t>
        </is>
      </c>
      <c r="E682" t="inlineStr">
        <is>
          <t>KATRINEHOLM</t>
        </is>
      </c>
      <c r="G682" t="n">
        <v>1.7</v>
      </c>
      <c r="H682" t="n">
        <v>0</v>
      </c>
      <c r="I682" t="n">
        <v>0</v>
      </c>
      <c r="J682" t="n">
        <v>0</v>
      </c>
      <c r="K682" t="n">
        <v>0</v>
      </c>
      <c r="L682" t="n">
        <v>0</v>
      </c>
      <c r="M682" t="n">
        <v>0</v>
      </c>
      <c r="N682" t="n">
        <v>0</v>
      </c>
      <c r="O682" t="n">
        <v>0</v>
      </c>
      <c r="P682" t="n">
        <v>0</v>
      </c>
      <c r="Q682" t="n">
        <v>0</v>
      </c>
      <c r="R682" s="2" t="inlineStr"/>
    </row>
    <row r="683" ht="15" customHeight="1">
      <c r="A683" t="inlineStr">
        <is>
          <t>A 62419-2023</t>
        </is>
      </c>
      <c r="B683" s="1" t="n">
        <v>45268</v>
      </c>
      <c r="C683" s="1" t="n">
        <v>46013</v>
      </c>
      <c r="D683" t="inlineStr">
        <is>
          <t>SÖDERMANLANDS LÄN</t>
        </is>
      </c>
      <c r="E683" t="inlineStr">
        <is>
          <t>KATRINEHOLM</t>
        </is>
      </c>
      <c r="G683" t="n">
        <v>9</v>
      </c>
      <c r="H683" t="n">
        <v>0</v>
      </c>
      <c r="I683" t="n">
        <v>0</v>
      </c>
      <c r="J683" t="n">
        <v>0</v>
      </c>
      <c r="K683" t="n">
        <v>0</v>
      </c>
      <c r="L683" t="n">
        <v>0</v>
      </c>
      <c r="M683" t="n">
        <v>0</v>
      </c>
      <c r="N683" t="n">
        <v>0</v>
      </c>
      <c r="O683" t="n">
        <v>0</v>
      </c>
      <c r="P683" t="n">
        <v>0</v>
      </c>
      <c r="Q683" t="n">
        <v>0</v>
      </c>
      <c r="R683" s="2" t="inlineStr"/>
    </row>
    <row r="684" ht="15" customHeight="1">
      <c r="A684" t="inlineStr">
        <is>
          <t>A 39897-2023</t>
        </is>
      </c>
      <c r="B684" s="1" t="n">
        <v>45168</v>
      </c>
      <c r="C684" s="1" t="n">
        <v>46013</v>
      </c>
      <c r="D684" t="inlineStr">
        <is>
          <t>SÖDERMANLANDS LÄN</t>
        </is>
      </c>
      <c r="E684" t="inlineStr">
        <is>
          <t>KATRINEHOLM</t>
        </is>
      </c>
      <c r="G684" t="n">
        <v>15.6</v>
      </c>
      <c r="H684" t="n">
        <v>0</v>
      </c>
      <c r="I684" t="n">
        <v>0</v>
      </c>
      <c r="J684" t="n">
        <v>0</v>
      </c>
      <c r="K684" t="n">
        <v>0</v>
      </c>
      <c r="L684" t="n">
        <v>0</v>
      </c>
      <c r="M684" t="n">
        <v>0</v>
      </c>
      <c r="N684" t="n">
        <v>0</v>
      </c>
      <c r="O684" t="n">
        <v>0</v>
      </c>
      <c r="P684" t="n">
        <v>0</v>
      </c>
      <c r="Q684" t="n">
        <v>0</v>
      </c>
      <c r="R684" s="2" t="inlineStr"/>
    </row>
    <row r="685" ht="15" customHeight="1">
      <c r="A685" t="inlineStr">
        <is>
          <t>A 23207-2023</t>
        </is>
      </c>
      <c r="B685" s="1" t="n">
        <v>45071</v>
      </c>
      <c r="C685" s="1" t="n">
        <v>46013</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42025-2022</t>
        </is>
      </c>
      <c r="B686" s="1" t="n">
        <v>44830.47399305556</v>
      </c>
      <c r="C686" s="1" t="n">
        <v>46013</v>
      </c>
      <c r="D686" t="inlineStr">
        <is>
          <t>SÖDERMANLANDS LÄN</t>
        </is>
      </c>
      <c r="E686" t="inlineStr">
        <is>
          <t>KATRINEHOLM</t>
        </is>
      </c>
      <c r="G686" t="n">
        <v>1.5</v>
      </c>
      <c r="H686" t="n">
        <v>0</v>
      </c>
      <c r="I686" t="n">
        <v>0</v>
      </c>
      <c r="J686" t="n">
        <v>0</v>
      </c>
      <c r="K686" t="n">
        <v>0</v>
      </c>
      <c r="L686" t="n">
        <v>0</v>
      </c>
      <c r="M686" t="n">
        <v>0</v>
      </c>
      <c r="N686" t="n">
        <v>0</v>
      </c>
      <c r="O686" t="n">
        <v>0</v>
      </c>
      <c r="P686" t="n">
        <v>0</v>
      </c>
      <c r="Q686" t="n">
        <v>0</v>
      </c>
      <c r="R686" s="2" t="inlineStr"/>
    </row>
    <row r="687" ht="15" customHeight="1">
      <c r="A687" t="inlineStr">
        <is>
          <t>A 8791-2023</t>
        </is>
      </c>
      <c r="B687" s="1" t="n">
        <v>44978</v>
      </c>
      <c r="C687" s="1" t="n">
        <v>46013</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48253-2022</t>
        </is>
      </c>
      <c r="B688" s="1" t="n">
        <v>44858</v>
      </c>
      <c r="C688" s="1" t="n">
        <v>46013</v>
      </c>
      <c r="D688" t="inlineStr">
        <is>
          <t>SÖDERMANLANDS LÄN</t>
        </is>
      </c>
      <c r="E688" t="inlineStr">
        <is>
          <t>KATRINEHOLM</t>
        </is>
      </c>
      <c r="G688" t="n">
        <v>4.7</v>
      </c>
      <c r="H688" t="n">
        <v>0</v>
      </c>
      <c r="I688" t="n">
        <v>0</v>
      </c>
      <c r="J688" t="n">
        <v>0</v>
      </c>
      <c r="K688" t="n">
        <v>0</v>
      </c>
      <c r="L688" t="n">
        <v>0</v>
      </c>
      <c r="M688" t="n">
        <v>0</v>
      </c>
      <c r="N688" t="n">
        <v>0</v>
      </c>
      <c r="O688" t="n">
        <v>0</v>
      </c>
      <c r="P688" t="n">
        <v>0</v>
      </c>
      <c r="Q688" t="n">
        <v>0</v>
      </c>
      <c r="R688" s="2" t="inlineStr"/>
    </row>
    <row r="689" ht="15" customHeight="1">
      <c r="A689" t="inlineStr">
        <is>
          <t>A 53809-2021</t>
        </is>
      </c>
      <c r="B689" s="1" t="n">
        <v>44467</v>
      </c>
      <c r="C689" s="1" t="n">
        <v>46013</v>
      </c>
      <c r="D689" t="inlineStr">
        <is>
          <t>SÖDERMANLANDS LÄN</t>
        </is>
      </c>
      <c r="E689" t="inlineStr">
        <is>
          <t>KATRINEHOLM</t>
        </is>
      </c>
      <c r="G689" t="n">
        <v>7</v>
      </c>
      <c r="H689" t="n">
        <v>0</v>
      </c>
      <c r="I689" t="n">
        <v>0</v>
      </c>
      <c r="J689" t="n">
        <v>0</v>
      </c>
      <c r="K689" t="n">
        <v>0</v>
      </c>
      <c r="L689" t="n">
        <v>0</v>
      </c>
      <c r="M689" t="n">
        <v>0</v>
      </c>
      <c r="N689" t="n">
        <v>0</v>
      </c>
      <c r="O689" t="n">
        <v>0</v>
      </c>
      <c r="P689" t="n">
        <v>0</v>
      </c>
      <c r="Q689" t="n">
        <v>0</v>
      </c>
      <c r="R689" s="2" t="inlineStr"/>
    </row>
    <row r="690" ht="15" customHeight="1">
      <c r="A690" t="inlineStr">
        <is>
          <t>A 31719-2024</t>
        </is>
      </c>
      <c r="B690" s="1" t="n">
        <v>45509</v>
      </c>
      <c r="C690" s="1" t="n">
        <v>46013</v>
      </c>
      <c r="D690" t="inlineStr">
        <is>
          <t>SÖDERMANLANDS LÄN</t>
        </is>
      </c>
      <c r="E690" t="inlineStr">
        <is>
          <t>KATRINEHOLM</t>
        </is>
      </c>
      <c r="F690" t="inlineStr">
        <is>
          <t>Kyrkan</t>
        </is>
      </c>
      <c r="G690" t="n">
        <v>11.9</v>
      </c>
      <c r="H690" t="n">
        <v>0</v>
      </c>
      <c r="I690" t="n">
        <v>0</v>
      </c>
      <c r="J690" t="n">
        <v>0</v>
      </c>
      <c r="K690" t="n">
        <v>0</v>
      </c>
      <c r="L690" t="n">
        <v>0</v>
      </c>
      <c r="M690" t="n">
        <v>0</v>
      </c>
      <c r="N690" t="n">
        <v>0</v>
      </c>
      <c r="O690" t="n">
        <v>0</v>
      </c>
      <c r="P690" t="n">
        <v>0</v>
      </c>
      <c r="Q690" t="n">
        <v>0</v>
      </c>
      <c r="R690" s="2" t="inlineStr"/>
    </row>
    <row r="691" ht="15" customHeight="1">
      <c r="A691" t="inlineStr">
        <is>
          <t>A 13175-2024</t>
        </is>
      </c>
      <c r="B691" s="1" t="n">
        <v>45386</v>
      </c>
      <c r="C691" s="1" t="n">
        <v>46013</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44824.55655092592</v>
      </c>
      <c r="C692" s="1" t="n">
        <v>46013</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8761-2023</t>
        </is>
      </c>
      <c r="B693" s="1" t="n">
        <v>44978.49685185185</v>
      </c>
      <c r="C693" s="1" t="n">
        <v>46013</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8778-2023</t>
        </is>
      </c>
      <c r="B694" s="1" t="n">
        <v>44978.5737037037</v>
      </c>
      <c r="C694" s="1" t="n">
        <v>46013</v>
      </c>
      <c r="D694" t="inlineStr">
        <is>
          <t>SÖDERMANLANDS LÄN</t>
        </is>
      </c>
      <c r="E694" t="inlineStr">
        <is>
          <t>KATRINEHOLM</t>
        </is>
      </c>
      <c r="G694" t="n">
        <v>4.5</v>
      </c>
      <c r="H694" t="n">
        <v>0</v>
      </c>
      <c r="I694" t="n">
        <v>0</v>
      </c>
      <c r="J694" t="n">
        <v>0</v>
      </c>
      <c r="K694" t="n">
        <v>0</v>
      </c>
      <c r="L694" t="n">
        <v>0</v>
      </c>
      <c r="M694" t="n">
        <v>0</v>
      </c>
      <c r="N694" t="n">
        <v>0</v>
      </c>
      <c r="O694" t="n">
        <v>0</v>
      </c>
      <c r="P694" t="n">
        <v>0</v>
      </c>
      <c r="Q694" t="n">
        <v>0</v>
      </c>
      <c r="R694" s="2" t="inlineStr"/>
    </row>
    <row r="695" ht="15" customHeight="1">
      <c r="A695" t="inlineStr">
        <is>
          <t>A 8457-2023</t>
        </is>
      </c>
      <c r="B695" s="1" t="n">
        <v>44977</v>
      </c>
      <c r="C695" s="1" t="n">
        <v>46013</v>
      </c>
      <c r="D695" t="inlineStr">
        <is>
          <t>SÖDERMANLANDS LÄN</t>
        </is>
      </c>
      <c r="E695" t="inlineStr">
        <is>
          <t>KATRINEHOLM</t>
        </is>
      </c>
      <c r="F695" t="inlineStr">
        <is>
          <t>Allmännings- och besparingsskogar</t>
        </is>
      </c>
      <c r="G695" t="n">
        <v>16.1</v>
      </c>
      <c r="H695" t="n">
        <v>0</v>
      </c>
      <c r="I695" t="n">
        <v>0</v>
      </c>
      <c r="J695" t="n">
        <v>0</v>
      </c>
      <c r="K695" t="n">
        <v>0</v>
      </c>
      <c r="L695" t="n">
        <v>0</v>
      </c>
      <c r="M695" t="n">
        <v>0</v>
      </c>
      <c r="N695" t="n">
        <v>0</v>
      </c>
      <c r="O695" t="n">
        <v>0</v>
      </c>
      <c r="P695" t="n">
        <v>0</v>
      </c>
      <c r="Q695" t="n">
        <v>0</v>
      </c>
      <c r="R695" s="2" t="inlineStr"/>
    </row>
    <row r="696" ht="15" customHeight="1">
      <c r="A696" t="inlineStr">
        <is>
          <t>A 7056-2022</t>
        </is>
      </c>
      <c r="B696" s="1" t="n">
        <v>44603</v>
      </c>
      <c r="C696" s="1" t="n">
        <v>46013</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32786-2022</t>
        </is>
      </c>
      <c r="B697" s="1" t="n">
        <v>44784</v>
      </c>
      <c r="C697" s="1" t="n">
        <v>46013</v>
      </c>
      <c r="D697" t="inlineStr">
        <is>
          <t>SÖDERMANLANDS LÄN</t>
        </is>
      </c>
      <c r="E697" t="inlineStr">
        <is>
          <t>KATRINEHOLM</t>
        </is>
      </c>
      <c r="G697" t="n">
        <v>7</v>
      </c>
      <c r="H697" t="n">
        <v>0</v>
      </c>
      <c r="I697" t="n">
        <v>0</v>
      </c>
      <c r="J697" t="n">
        <v>0</v>
      </c>
      <c r="K697" t="n">
        <v>0</v>
      </c>
      <c r="L697" t="n">
        <v>0</v>
      </c>
      <c r="M697" t="n">
        <v>0</v>
      </c>
      <c r="N697" t="n">
        <v>0</v>
      </c>
      <c r="O697" t="n">
        <v>0</v>
      </c>
      <c r="P697" t="n">
        <v>0</v>
      </c>
      <c r="Q697" t="n">
        <v>0</v>
      </c>
      <c r="R697" s="2" t="inlineStr"/>
    </row>
    <row r="698" ht="15" customHeight="1">
      <c r="A698" t="inlineStr">
        <is>
          <t>A 7223-2022</t>
        </is>
      </c>
      <c r="B698" s="1" t="n">
        <v>44603</v>
      </c>
      <c r="C698" s="1" t="n">
        <v>46013</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7459-2022</t>
        </is>
      </c>
      <c r="B699" s="1" t="n">
        <v>44607.35009259259</v>
      </c>
      <c r="C699" s="1" t="n">
        <v>46013</v>
      </c>
      <c r="D699" t="inlineStr">
        <is>
          <t>SÖDERMANLANDS LÄN</t>
        </is>
      </c>
      <c r="E699" t="inlineStr">
        <is>
          <t>KATRINEHOLM</t>
        </is>
      </c>
      <c r="G699" t="n">
        <v>2</v>
      </c>
      <c r="H699" t="n">
        <v>0</v>
      </c>
      <c r="I699" t="n">
        <v>0</v>
      </c>
      <c r="J699" t="n">
        <v>0</v>
      </c>
      <c r="K699" t="n">
        <v>0</v>
      </c>
      <c r="L699" t="n">
        <v>0</v>
      </c>
      <c r="M699" t="n">
        <v>0</v>
      </c>
      <c r="N699" t="n">
        <v>0</v>
      </c>
      <c r="O699" t="n">
        <v>0</v>
      </c>
      <c r="P699" t="n">
        <v>0</v>
      </c>
      <c r="Q699" t="n">
        <v>0</v>
      </c>
      <c r="R699" s="2" t="inlineStr"/>
    </row>
    <row r="700" ht="15" customHeight="1">
      <c r="A700" t="inlineStr">
        <is>
          <t>A 27375-2024</t>
        </is>
      </c>
      <c r="B700" s="1" t="n">
        <v>45473.87645833333</v>
      </c>
      <c r="C700" s="1" t="n">
        <v>46013</v>
      </c>
      <c r="D700" t="inlineStr">
        <is>
          <t>SÖDERMANLANDS LÄN</t>
        </is>
      </c>
      <c r="E700" t="inlineStr">
        <is>
          <t>KATRINEHOLM</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20768-2022</t>
        </is>
      </c>
      <c r="B701" s="1" t="n">
        <v>44701.36431712963</v>
      </c>
      <c r="C701" s="1" t="n">
        <v>46013</v>
      </c>
      <c r="D701" t="inlineStr">
        <is>
          <t>SÖDERMANLANDS LÄN</t>
        </is>
      </c>
      <c r="E701" t="inlineStr">
        <is>
          <t>KATRINEHOLM</t>
        </is>
      </c>
      <c r="G701" t="n">
        <v>3.5</v>
      </c>
      <c r="H701" t="n">
        <v>0</v>
      </c>
      <c r="I701" t="n">
        <v>0</v>
      </c>
      <c r="J701" t="n">
        <v>0</v>
      </c>
      <c r="K701" t="n">
        <v>0</v>
      </c>
      <c r="L701" t="n">
        <v>0</v>
      </c>
      <c r="M701" t="n">
        <v>0</v>
      </c>
      <c r="N701" t="n">
        <v>0</v>
      </c>
      <c r="O701" t="n">
        <v>0</v>
      </c>
      <c r="P701" t="n">
        <v>0</v>
      </c>
      <c r="Q701" t="n">
        <v>0</v>
      </c>
      <c r="R701" s="2" t="inlineStr"/>
    </row>
    <row r="702" ht="15" customHeight="1">
      <c r="A702" t="inlineStr">
        <is>
          <t>A 15284-2023</t>
        </is>
      </c>
      <c r="B702" s="1" t="n">
        <v>45019</v>
      </c>
      <c r="C702" s="1" t="n">
        <v>46013</v>
      </c>
      <c r="D702" t="inlineStr">
        <is>
          <t>SÖDERMANLANDS LÄN</t>
        </is>
      </c>
      <c r="E702" t="inlineStr">
        <is>
          <t>KATRINEHOLM</t>
        </is>
      </c>
      <c r="F702" t="inlineStr">
        <is>
          <t>Allmännings- och besparingsskogar</t>
        </is>
      </c>
      <c r="G702" t="n">
        <v>17.4</v>
      </c>
      <c r="H702" t="n">
        <v>0</v>
      </c>
      <c r="I702" t="n">
        <v>0</v>
      </c>
      <c r="J702" t="n">
        <v>0</v>
      </c>
      <c r="K702" t="n">
        <v>0</v>
      </c>
      <c r="L702" t="n">
        <v>0</v>
      </c>
      <c r="M702" t="n">
        <v>0</v>
      </c>
      <c r="N702" t="n">
        <v>0</v>
      </c>
      <c r="O702" t="n">
        <v>0</v>
      </c>
      <c r="P702" t="n">
        <v>0</v>
      </c>
      <c r="Q702" t="n">
        <v>0</v>
      </c>
      <c r="R702" s="2" t="inlineStr"/>
    </row>
    <row r="703" ht="15" customHeight="1">
      <c r="A703" t="inlineStr">
        <is>
          <t>A 51613-2022</t>
        </is>
      </c>
      <c r="B703" s="1" t="n">
        <v>44871</v>
      </c>
      <c r="C703" s="1" t="n">
        <v>46013</v>
      </c>
      <c r="D703" t="inlineStr">
        <is>
          <t>SÖDERMANLANDS LÄN</t>
        </is>
      </c>
      <c r="E703" t="inlineStr">
        <is>
          <t>KATRINEHOLM</t>
        </is>
      </c>
      <c r="G703" t="n">
        <v>3</v>
      </c>
      <c r="H703" t="n">
        <v>0</v>
      </c>
      <c r="I703" t="n">
        <v>0</v>
      </c>
      <c r="J703" t="n">
        <v>0</v>
      </c>
      <c r="K703" t="n">
        <v>0</v>
      </c>
      <c r="L703" t="n">
        <v>0</v>
      </c>
      <c r="M703" t="n">
        <v>0</v>
      </c>
      <c r="N703" t="n">
        <v>0</v>
      </c>
      <c r="O703" t="n">
        <v>0</v>
      </c>
      <c r="P703" t="n">
        <v>0</v>
      </c>
      <c r="Q703" t="n">
        <v>0</v>
      </c>
      <c r="R703" s="2" t="inlineStr"/>
    </row>
    <row r="704" ht="15" customHeight="1">
      <c r="A704" t="inlineStr">
        <is>
          <t>A 37834-2023</t>
        </is>
      </c>
      <c r="B704" s="1" t="n">
        <v>45160</v>
      </c>
      <c r="C704" s="1" t="n">
        <v>46013</v>
      </c>
      <c r="D704" t="inlineStr">
        <is>
          <t>SÖDERMANLANDS LÄN</t>
        </is>
      </c>
      <c r="E704" t="inlineStr">
        <is>
          <t>KATRINEHOLM</t>
        </is>
      </c>
      <c r="F704" t="inlineStr">
        <is>
          <t>Kyrkan</t>
        </is>
      </c>
      <c r="G704" t="n">
        <v>2.8</v>
      </c>
      <c r="H704" t="n">
        <v>0</v>
      </c>
      <c r="I704" t="n">
        <v>0</v>
      </c>
      <c r="J704" t="n">
        <v>0</v>
      </c>
      <c r="K704" t="n">
        <v>0</v>
      </c>
      <c r="L704" t="n">
        <v>0</v>
      </c>
      <c r="M704" t="n">
        <v>0</v>
      </c>
      <c r="N704" t="n">
        <v>0</v>
      </c>
      <c r="O704" t="n">
        <v>0</v>
      </c>
      <c r="P704" t="n">
        <v>0</v>
      </c>
      <c r="Q704" t="n">
        <v>0</v>
      </c>
      <c r="R704" s="2" t="inlineStr"/>
    </row>
    <row r="705" ht="15" customHeight="1">
      <c r="A705" t="inlineStr">
        <is>
          <t>A 8475-2023</t>
        </is>
      </c>
      <c r="B705" s="1" t="n">
        <v>44977</v>
      </c>
      <c r="C705" s="1" t="n">
        <v>46013</v>
      </c>
      <c r="D705" t="inlineStr">
        <is>
          <t>SÖDERMANLANDS LÄN</t>
        </is>
      </c>
      <c r="E705" t="inlineStr">
        <is>
          <t>KATRINEHOLM</t>
        </is>
      </c>
      <c r="F705" t="inlineStr">
        <is>
          <t>Allmännings- och besparingsskogar</t>
        </is>
      </c>
      <c r="G705" t="n">
        <v>8.1</v>
      </c>
      <c r="H705" t="n">
        <v>0</v>
      </c>
      <c r="I705" t="n">
        <v>0</v>
      </c>
      <c r="J705" t="n">
        <v>0</v>
      </c>
      <c r="K705" t="n">
        <v>0</v>
      </c>
      <c r="L705" t="n">
        <v>0</v>
      </c>
      <c r="M705" t="n">
        <v>0</v>
      </c>
      <c r="N705" t="n">
        <v>0</v>
      </c>
      <c r="O705" t="n">
        <v>0</v>
      </c>
      <c r="P705" t="n">
        <v>0</v>
      </c>
      <c r="Q705" t="n">
        <v>0</v>
      </c>
      <c r="R705" s="2" t="inlineStr"/>
    </row>
    <row r="706" ht="15" customHeight="1">
      <c r="A706" t="inlineStr">
        <is>
          <t>A 32890-2024</t>
        </is>
      </c>
      <c r="B706" s="1" t="n">
        <v>45516</v>
      </c>
      <c r="C706" s="1" t="n">
        <v>46013</v>
      </c>
      <c r="D706" t="inlineStr">
        <is>
          <t>SÖDERMANLANDS LÄN</t>
        </is>
      </c>
      <c r="E706" t="inlineStr">
        <is>
          <t>KATRINEHOLM</t>
        </is>
      </c>
      <c r="G706" t="n">
        <v>2.6</v>
      </c>
      <c r="H706" t="n">
        <v>0</v>
      </c>
      <c r="I706" t="n">
        <v>0</v>
      </c>
      <c r="J706" t="n">
        <v>0</v>
      </c>
      <c r="K706" t="n">
        <v>0</v>
      </c>
      <c r="L706" t="n">
        <v>0</v>
      </c>
      <c r="M706" t="n">
        <v>0</v>
      </c>
      <c r="N706" t="n">
        <v>0</v>
      </c>
      <c r="O706" t="n">
        <v>0</v>
      </c>
      <c r="P706" t="n">
        <v>0</v>
      </c>
      <c r="Q706" t="n">
        <v>0</v>
      </c>
      <c r="R706" s="2" t="inlineStr"/>
    </row>
    <row r="707" ht="15" customHeight="1">
      <c r="A707" t="inlineStr">
        <is>
          <t>A 2320-2023</t>
        </is>
      </c>
      <c r="B707" s="1" t="n">
        <v>44942.58850694444</v>
      </c>
      <c r="C707" s="1" t="n">
        <v>46013</v>
      </c>
      <c r="D707" t="inlineStr">
        <is>
          <t>SÖDERMANLANDS LÄN</t>
        </is>
      </c>
      <c r="E707" t="inlineStr">
        <is>
          <t>KATRINEHOLM</t>
        </is>
      </c>
      <c r="G707" t="n">
        <v>1.9</v>
      </c>
      <c r="H707" t="n">
        <v>0</v>
      </c>
      <c r="I707" t="n">
        <v>0</v>
      </c>
      <c r="J707" t="n">
        <v>0</v>
      </c>
      <c r="K707" t="n">
        <v>0</v>
      </c>
      <c r="L707" t="n">
        <v>0</v>
      </c>
      <c r="M707" t="n">
        <v>0</v>
      </c>
      <c r="N707" t="n">
        <v>0</v>
      </c>
      <c r="O707" t="n">
        <v>0</v>
      </c>
      <c r="P707" t="n">
        <v>0</v>
      </c>
      <c r="Q707" t="n">
        <v>0</v>
      </c>
      <c r="R707" s="2" t="inlineStr"/>
    </row>
    <row r="708" ht="15" customHeight="1">
      <c r="A708" t="inlineStr">
        <is>
          <t>A 59898-2022</t>
        </is>
      </c>
      <c r="B708" s="1" t="n">
        <v>44908</v>
      </c>
      <c r="C708" s="1" t="n">
        <v>46013</v>
      </c>
      <c r="D708" t="inlineStr">
        <is>
          <t>SÖDERMANLANDS LÄN</t>
        </is>
      </c>
      <c r="E708" t="inlineStr">
        <is>
          <t>KATRINEHOLM</t>
        </is>
      </c>
      <c r="G708" t="n">
        <v>4.8</v>
      </c>
      <c r="H708" t="n">
        <v>0</v>
      </c>
      <c r="I708" t="n">
        <v>0</v>
      </c>
      <c r="J708" t="n">
        <v>0</v>
      </c>
      <c r="K708" t="n">
        <v>0</v>
      </c>
      <c r="L708" t="n">
        <v>0</v>
      </c>
      <c r="M708" t="n">
        <v>0</v>
      </c>
      <c r="N708" t="n">
        <v>0</v>
      </c>
      <c r="O708" t="n">
        <v>0</v>
      </c>
      <c r="P708" t="n">
        <v>0</v>
      </c>
      <c r="Q708" t="n">
        <v>0</v>
      </c>
      <c r="R708" s="2" t="inlineStr"/>
    </row>
    <row r="709" ht="15" customHeight="1">
      <c r="A709" t="inlineStr">
        <is>
          <t>A 20326-2023</t>
        </is>
      </c>
      <c r="B709" s="1" t="n">
        <v>45056.46821759259</v>
      </c>
      <c r="C709" s="1" t="n">
        <v>46013</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15392-2023</t>
        </is>
      </c>
      <c r="B710" s="1" t="n">
        <v>45016</v>
      </c>
      <c r="C710" s="1" t="n">
        <v>46013</v>
      </c>
      <c r="D710" t="inlineStr">
        <is>
          <t>SÖDERMANLANDS LÄN</t>
        </is>
      </c>
      <c r="E710" t="inlineStr">
        <is>
          <t>KATRINEHOLM</t>
        </is>
      </c>
      <c r="F710" t="inlineStr">
        <is>
          <t>Övriga Aktiebolag</t>
        </is>
      </c>
      <c r="G710" t="n">
        <v>2.7</v>
      </c>
      <c r="H710" t="n">
        <v>0</v>
      </c>
      <c r="I710" t="n">
        <v>0</v>
      </c>
      <c r="J710" t="n">
        <v>0</v>
      </c>
      <c r="K710" t="n">
        <v>0</v>
      </c>
      <c r="L710" t="n">
        <v>0</v>
      </c>
      <c r="M710" t="n">
        <v>0</v>
      </c>
      <c r="N710" t="n">
        <v>0</v>
      </c>
      <c r="O710" t="n">
        <v>0</v>
      </c>
      <c r="P710" t="n">
        <v>0</v>
      </c>
      <c r="Q710" t="n">
        <v>0</v>
      </c>
      <c r="R710" s="2" t="inlineStr"/>
    </row>
    <row r="711" ht="15" customHeight="1">
      <c r="A711" t="inlineStr">
        <is>
          <t>A 45246-2023</t>
        </is>
      </c>
      <c r="B711" s="1" t="n">
        <v>45191</v>
      </c>
      <c r="C711" s="1" t="n">
        <v>46013</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2735-2025</t>
        </is>
      </c>
      <c r="B712" s="1" t="n">
        <v>45677</v>
      </c>
      <c r="C712" s="1" t="n">
        <v>46013</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49914-2023</t>
        </is>
      </c>
      <c r="B713" s="1" t="n">
        <v>45214</v>
      </c>
      <c r="C713" s="1" t="n">
        <v>46013</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17335-2023</t>
        </is>
      </c>
      <c r="B714" s="1" t="n">
        <v>45033</v>
      </c>
      <c r="C714" s="1" t="n">
        <v>46013</v>
      </c>
      <c r="D714" t="inlineStr">
        <is>
          <t>SÖDERMANLANDS LÄN</t>
        </is>
      </c>
      <c r="E714" t="inlineStr">
        <is>
          <t>KATRINEHOLM</t>
        </is>
      </c>
      <c r="G714" t="n">
        <v>3.3</v>
      </c>
      <c r="H714" t="n">
        <v>0</v>
      </c>
      <c r="I714" t="n">
        <v>0</v>
      </c>
      <c r="J714" t="n">
        <v>0</v>
      </c>
      <c r="K714" t="n">
        <v>0</v>
      </c>
      <c r="L714" t="n">
        <v>0</v>
      </c>
      <c r="M714" t="n">
        <v>0</v>
      </c>
      <c r="N714" t="n">
        <v>0</v>
      </c>
      <c r="O714" t="n">
        <v>0</v>
      </c>
      <c r="P714" t="n">
        <v>0</v>
      </c>
      <c r="Q714" t="n">
        <v>0</v>
      </c>
      <c r="R714" s="2" t="inlineStr"/>
    </row>
    <row r="715" ht="15" customHeight="1">
      <c r="A715" t="inlineStr">
        <is>
          <t>A 16605-2025</t>
        </is>
      </c>
      <c r="B715" s="1" t="n">
        <v>45753.61614583333</v>
      </c>
      <c r="C715" s="1" t="n">
        <v>46013</v>
      </c>
      <c r="D715" t="inlineStr">
        <is>
          <t>SÖDERMANLANDS LÄN</t>
        </is>
      </c>
      <c r="E715" t="inlineStr">
        <is>
          <t>KATRINEHOLM</t>
        </is>
      </c>
      <c r="G715" t="n">
        <v>5.2</v>
      </c>
      <c r="H715" t="n">
        <v>0</v>
      </c>
      <c r="I715" t="n">
        <v>0</v>
      </c>
      <c r="J715" t="n">
        <v>0</v>
      </c>
      <c r="K715" t="n">
        <v>0</v>
      </c>
      <c r="L715" t="n">
        <v>0</v>
      </c>
      <c r="M715" t="n">
        <v>0</v>
      </c>
      <c r="N715" t="n">
        <v>0</v>
      </c>
      <c r="O715" t="n">
        <v>0</v>
      </c>
      <c r="P715" t="n">
        <v>0</v>
      </c>
      <c r="Q715" t="n">
        <v>0</v>
      </c>
      <c r="R715" s="2" t="inlineStr"/>
    </row>
    <row r="716" ht="15" customHeight="1">
      <c r="A716" t="inlineStr">
        <is>
          <t>A 33141-2023</t>
        </is>
      </c>
      <c r="B716" s="1" t="n">
        <v>45126.65491898148</v>
      </c>
      <c r="C716" s="1" t="n">
        <v>46013</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58528-2024</t>
        </is>
      </c>
      <c r="B717" s="1" t="n">
        <v>45635.44527777778</v>
      </c>
      <c r="C717" s="1" t="n">
        <v>46013</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9899-2023</t>
        </is>
      </c>
      <c r="B718" s="1" t="n">
        <v>44985</v>
      </c>
      <c r="C718" s="1" t="n">
        <v>46013</v>
      </c>
      <c r="D718" t="inlineStr">
        <is>
          <t>SÖDERMANLANDS LÄN</t>
        </is>
      </c>
      <c r="E718" t="inlineStr">
        <is>
          <t>KATRINEHOLM</t>
        </is>
      </c>
      <c r="F718" t="inlineStr">
        <is>
          <t>Allmännings- och besparingsskogar</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8288-2023</t>
        </is>
      </c>
      <c r="B719" s="1" t="n">
        <v>44974</v>
      </c>
      <c r="C719" s="1" t="n">
        <v>46013</v>
      </c>
      <c r="D719" t="inlineStr">
        <is>
          <t>SÖDERMANLANDS LÄN</t>
        </is>
      </c>
      <c r="E719" t="inlineStr">
        <is>
          <t>KATRINEHOLM</t>
        </is>
      </c>
      <c r="F719" t="inlineStr">
        <is>
          <t>Allmännings- och besparingsskogar</t>
        </is>
      </c>
      <c r="G719" t="n">
        <v>5.6</v>
      </c>
      <c r="H719" t="n">
        <v>0</v>
      </c>
      <c r="I719" t="n">
        <v>0</v>
      </c>
      <c r="J719" t="n">
        <v>0</v>
      </c>
      <c r="K719" t="n">
        <v>0</v>
      </c>
      <c r="L719" t="n">
        <v>0</v>
      </c>
      <c r="M719" t="n">
        <v>0</v>
      </c>
      <c r="N719" t="n">
        <v>0</v>
      </c>
      <c r="O719" t="n">
        <v>0</v>
      </c>
      <c r="P719" t="n">
        <v>0</v>
      </c>
      <c r="Q719" t="n">
        <v>0</v>
      </c>
      <c r="R719" s="2" t="inlineStr"/>
    </row>
    <row r="720" ht="15" customHeight="1">
      <c r="A720" t="inlineStr">
        <is>
          <t>A 3317-2023</t>
        </is>
      </c>
      <c r="B720" s="1" t="n">
        <v>44945</v>
      </c>
      <c r="C720" s="1" t="n">
        <v>46013</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37185-2023</t>
        </is>
      </c>
      <c r="B721" s="1" t="n">
        <v>45154</v>
      </c>
      <c r="C721" s="1" t="n">
        <v>46013</v>
      </c>
      <c r="D721" t="inlineStr">
        <is>
          <t>SÖDERMANLANDS LÄN</t>
        </is>
      </c>
      <c r="E721" t="inlineStr">
        <is>
          <t>KATRINEHOLM</t>
        </is>
      </c>
      <c r="G721" t="n">
        <v>3</v>
      </c>
      <c r="H721" t="n">
        <v>0</v>
      </c>
      <c r="I721" t="n">
        <v>0</v>
      </c>
      <c r="J721" t="n">
        <v>0</v>
      </c>
      <c r="K721" t="n">
        <v>0</v>
      </c>
      <c r="L721" t="n">
        <v>0</v>
      </c>
      <c r="M721" t="n">
        <v>0</v>
      </c>
      <c r="N721" t="n">
        <v>0</v>
      </c>
      <c r="O721" t="n">
        <v>0</v>
      </c>
      <c r="P721" t="n">
        <v>0</v>
      </c>
      <c r="Q721" t="n">
        <v>0</v>
      </c>
      <c r="R721" s="2" t="inlineStr"/>
    </row>
    <row r="722" ht="15" customHeight="1">
      <c r="A722" t="inlineStr">
        <is>
          <t>A 51848-2022</t>
        </is>
      </c>
      <c r="B722" s="1" t="n">
        <v>44872.57752314815</v>
      </c>
      <c r="C722" s="1" t="n">
        <v>46013</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49218-2023</t>
        </is>
      </c>
      <c r="B723" s="1" t="n">
        <v>45205</v>
      </c>
      <c r="C723" s="1" t="n">
        <v>46013</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55169-2022</t>
        </is>
      </c>
      <c r="B724" s="1" t="n">
        <v>44886</v>
      </c>
      <c r="C724" s="1" t="n">
        <v>46013</v>
      </c>
      <c r="D724" t="inlineStr">
        <is>
          <t>SÖDERMANLANDS LÄN</t>
        </is>
      </c>
      <c r="E724" t="inlineStr">
        <is>
          <t>KATRINEHOLM</t>
        </is>
      </c>
      <c r="G724" t="n">
        <v>1.3</v>
      </c>
      <c r="H724" t="n">
        <v>0</v>
      </c>
      <c r="I724" t="n">
        <v>0</v>
      </c>
      <c r="J724" t="n">
        <v>0</v>
      </c>
      <c r="K724" t="n">
        <v>0</v>
      </c>
      <c r="L724" t="n">
        <v>0</v>
      </c>
      <c r="M724" t="n">
        <v>0</v>
      </c>
      <c r="N724" t="n">
        <v>0</v>
      </c>
      <c r="O724" t="n">
        <v>0</v>
      </c>
      <c r="P724" t="n">
        <v>0</v>
      </c>
      <c r="Q724" t="n">
        <v>0</v>
      </c>
      <c r="R724" s="2" t="inlineStr"/>
    </row>
    <row r="725" ht="15" customHeight="1">
      <c r="A725" t="inlineStr">
        <is>
          <t>A 1329-2025</t>
        </is>
      </c>
      <c r="B725" s="1" t="n">
        <v>45667</v>
      </c>
      <c r="C725" s="1" t="n">
        <v>46013</v>
      </c>
      <c r="D725" t="inlineStr">
        <is>
          <t>SÖDERMANLANDS LÄN</t>
        </is>
      </c>
      <c r="E725" t="inlineStr">
        <is>
          <t>KATRINEHOLM</t>
        </is>
      </c>
      <c r="G725" t="n">
        <v>2.7</v>
      </c>
      <c r="H725" t="n">
        <v>0</v>
      </c>
      <c r="I725" t="n">
        <v>0</v>
      </c>
      <c r="J725" t="n">
        <v>0</v>
      </c>
      <c r="K725" t="n">
        <v>0</v>
      </c>
      <c r="L725" t="n">
        <v>0</v>
      </c>
      <c r="M725" t="n">
        <v>0</v>
      </c>
      <c r="N725" t="n">
        <v>0</v>
      </c>
      <c r="O725" t="n">
        <v>0</v>
      </c>
      <c r="P725" t="n">
        <v>0</v>
      </c>
      <c r="Q725" t="n">
        <v>0</v>
      </c>
      <c r="R725" s="2" t="inlineStr"/>
    </row>
    <row r="726" ht="15" customHeight="1">
      <c r="A726" t="inlineStr">
        <is>
          <t>A 61398-2024</t>
        </is>
      </c>
      <c r="B726" s="1" t="n">
        <v>45646.42608796297</v>
      </c>
      <c r="C726" s="1" t="n">
        <v>46013</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24287-2024</t>
        </is>
      </c>
      <c r="B727" s="1" t="n">
        <v>45457</v>
      </c>
      <c r="C727" s="1" t="n">
        <v>46013</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8518-2023</t>
        </is>
      </c>
      <c r="B728" s="1" t="n">
        <v>44977</v>
      </c>
      <c r="C728" s="1" t="n">
        <v>46013</v>
      </c>
      <c r="D728" t="inlineStr">
        <is>
          <t>SÖDERMANLANDS LÄN</t>
        </is>
      </c>
      <c r="E728" t="inlineStr">
        <is>
          <t>KATRINEHOLM</t>
        </is>
      </c>
      <c r="F728" t="inlineStr">
        <is>
          <t>Allmännings- och besparingsskogar</t>
        </is>
      </c>
      <c r="G728" t="n">
        <v>35.3</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46013</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948-2023</t>
        </is>
      </c>
      <c r="B730" s="1" t="n">
        <v>44934</v>
      </c>
      <c r="C730" s="1" t="n">
        <v>46013</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37542-2022</t>
        </is>
      </c>
      <c r="B731" s="1" t="n">
        <v>44809</v>
      </c>
      <c r="C731" s="1" t="n">
        <v>46013</v>
      </c>
      <c r="D731" t="inlineStr">
        <is>
          <t>SÖDERMANLANDS LÄN</t>
        </is>
      </c>
      <c r="E731" t="inlineStr">
        <is>
          <t>KATRINEHOLM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41229-2022</t>
        </is>
      </c>
      <c r="B732" s="1" t="n">
        <v>44825</v>
      </c>
      <c r="C732" s="1" t="n">
        <v>46013</v>
      </c>
      <c r="D732" t="inlineStr">
        <is>
          <t>SÖDERMANLANDS LÄN</t>
        </is>
      </c>
      <c r="E732" t="inlineStr">
        <is>
          <t>KATRINEHOLM</t>
        </is>
      </c>
      <c r="G732" t="n">
        <v>3.8</v>
      </c>
      <c r="H732" t="n">
        <v>0</v>
      </c>
      <c r="I732" t="n">
        <v>0</v>
      </c>
      <c r="J732" t="n">
        <v>0</v>
      </c>
      <c r="K732" t="n">
        <v>0</v>
      </c>
      <c r="L732" t="n">
        <v>0</v>
      </c>
      <c r="M732" t="n">
        <v>0</v>
      </c>
      <c r="N732" t="n">
        <v>0</v>
      </c>
      <c r="O732" t="n">
        <v>0</v>
      </c>
      <c r="P732" t="n">
        <v>0</v>
      </c>
      <c r="Q732" t="n">
        <v>0</v>
      </c>
      <c r="R732" s="2" t="inlineStr"/>
    </row>
    <row r="733" ht="15" customHeight="1">
      <c r="A733" t="inlineStr">
        <is>
          <t>A 64652-2023</t>
        </is>
      </c>
      <c r="B733" s="1" t="n">
        <v>45281</v>
      </c>
      <c r="C733" s="1" t="n">
        <v>46013</v>
      </c>
      <c r="D733" t="inlineStr">
        <is>
          <t>SÖDERMANLANDS LÄN</t>
        </is>
      </c>
      <c r="E733" t="inlineStr">
        <is>
          <t>KATRINEHOLM</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51404-2023</t>
        </is>
      </c>
      <c r="B734" s="1" t="n">
        <v>45214</v>
      </c>
      <c r="C734" s="1" t="n">
        <v>46013</v>
      </c>
      <c r="D734" t="inlineStr">
        <is>
          <t>SÖDERMANLANDS LÄN</t>
        </is>
      </c>
      <c r="E734" t="inlineStr">
        <is>
          <t>KATRINEHOLM</t>
        </is>
      </c>
      <c r="G734" t="n">
        <v>9</v>
      </c>
      <c r="H734" t="n">
        <v>0</v>
      </c>
      <c r="I734" t="n">
        <v>0</v>
      </c>
      <c r="J734" t="n">
        <v>0</v>
      </c>
      <c r="K734" t="n">
        <v>0</v>
      </c>
      <c r="L734" t="n">
        <v>0</v>
      </c>
      <c r="M734" t="n">
        <v>0</v>
      </c>
      <c r="N734" t="n">
        <v>0</v>
      </c>
      <c r="O734" t="n">
        <v>0</v>
      </c>
      <c r="P734" t="n">
        <v>0</v>
      </c>
      <c r="Q734" t="n">
        <v>0</v>
      </c>
      <c r="R734" s="2" t="inlineStr"/>
    </row>
    <row r="735" ht="15" customHeight="1">
      <c r="A735" t="inlineStr">
        <is>
          <t>A 41946-2022</t>
        </is>
      </c>
      <c r="B735" s="1" t="n">
        <v>44830.38502314815</v>
      </c>
      <c r="C735" s="1" t="n">
        <v>46013</v>
      </c>
      <c r="D735" t="inlineStr">
        <is>
          <t>SÖDERMANLANDS LÄN</t>
        </is>
      </c>
      <c r="E735" t="inlineStr">
        <is>
          <t>KATRINEHOLM</t>
        </is>
      </c>
      <c r="G735" t="n">
        <v>1</v>
      </c>
      <c r="H735" t="n">
        <v>0</v>
      </c>
      <c r="I735" t="n">
        <v>0</v>
      </c>
      <c r="J735" t="n">
        <v>0</v>
      </c>
      <c r="K735" t="n">
        <v>0</v>
      </c>
      <c r="L735" t="n">
        <v>0</v>
      </c>
      <c r="M735" t="n">
        <v>0</v>
      </c>
      <c r="N735" t="n">
        <v>0</v>
      </c>
      <c r="O735" t="n">
        <v>0</v>
      </c>
      <c r="P735" t="n">
        <v>0</v>
      </c>
      <c r="Q735" t="n">
        <v>0</v>
      </c>
      <c r="R735" s="2" t="inlineStr"/>
    </row>
    <row r="736" ht="15" customHeight="1">
      <c r="A736" t="inlineStr">
        <is>
          <t>A 3115-2024</t>
        </is>
      </c>
      <c r="B736" s="1" t="n">
        <v>45316.49630787037</v>
      </c>
      <c r="C736" s="1" t="n">
        <v>46013</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61431-2024</t>
        </is>
      </c>
      <c r="B737" s="1" t="n">
        <v>45646.45950231481</v>
      </c>
      <c r="C737" s="1" t="n">
        <v>46013</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44659-2023</t>
        </is>
      </c>
      <c r="B738" s="1" t="n">
        <v>45189</v>
      </c>
      <c r="C738" s="1" t="n">
        <v>46013</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51446-2023</t>
        </is>
      </c>
      <c r="B739" s="1" t="n">
        <v>45220.48068287037</v>
      </c>
      <c r="C739" s="1" t="n">
        <v>46013</v>
      </c>
      <c r="D739" t="inlineStr">
        <is>
          <t>SÖDERMANLANDS LÄN</t>
        </is>
      </c>
      <c r="E739" t="inlineStr">
        <is>
          <t>KATRINEHOLM</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27955-2023</t>
        </is>
      </c>
      <c r="B740" s="1" t="n">
        <v>45098</v>
      </c>
      <c r="C740" s="1" t="n">
        <v>46013</v>
      </c>
      <c r="D740" t="inlineStr">
        <is>
          <t>SÖDERMANLANDS LÄN</t>
        </is>
      </c>
      <c r="E740" t="inlineStr">
        <is>
          <t>KATRINEHOLM</t>
        </is>
      </c>
      <c r="G740" t="n">
        <v>5.9</v>
      </c>
      <c r="H740" t="n">
        <v>0</v>
      </c>
      <c r="I740" t="n">
        <v>0</v>
      </c>
      <c r="J740" t="n">
        <v>0</v>
      </c>
      <c r="K740" t="n">
        <v>0</v>
      </c>
      <c r="L740" t="n">
        <v>0</v>
      </c>
      <c r="M740" t="n">
        <v>0</v>
      </c>
      <c r="N740" t="n">
        <v>0</v>
      </c>
      <c r="O740" t="n">
        <v>0</v>
      </c>
      <c r="P740" t="n">
        <v>0</v>
      </c>
      <c r="Q740" t="n">
        <v>0</v>
      </c>
      <c r="R740" s="2" t="inlineStr"/>
    </row>
    <row r="741" ht="15" customHeight="1">
      <c r="A741" t="inlineStr">
        <is>
          <t>A 4669-2023</t>
        </is>
      </c>
      <c r="B741" s="1" t="n">
        <v>44957</v>
      </c>
      <c r="C741" s="1" t="n">
        <v>46013</v>
      </c>
      <c r="D741" t="inlineStr">
        <is>
          <t>SÖDERMANLANDS LÄN</t>
        </is>
      </c>
      <c r="E741" t="inlineStr">
        <is>
          <t>KATRINEHOLM</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4724-2023</t>
        </is>
      </c>
      <c r="B742" s="1" t="n">
        <v>44957</v>
      </c>
      <c r="C742" s="1" t="n">
        <v>46013</v>
      </c>
      <c r="D742" t="inlineStr">
        <is>
          <t>SÖDERMANLANDS LÄN</t>
        </is>
      </c>
      <c r="E742" t="inlineStr">
        <is>
          <t>KATRINEHOLM</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7197-2023</t>
        </is>
      </c>
      <c r="B743" s="1" t="n">
        <v>44965</v>
      </c>
      <c r="C743" s="1" t="n">
        <v>46013</v>
      </c>
      <c r="D743" t="inlineStr">
        <is>
          <t>SÖDERMANLANDS LÄN</t>
        </is>
      </c>
      <c r="E743" t="inlineStr">
        <is>
          <t>KATRINEHOLM</t>
        </is>
      </c>
      <c r="G743" t="n">
        <v>5.3</v>
      </c>
      <c r="H743" t="n">
        <v>0</v>
      </c>
      <c r="I743" t="n">
        <v>0</v>
      </c>
      <c r="J743" t="n">
        <v>0</v>
      </c>
      <c r="K743" t="n">
        <v>0</v>
      </c>
      <c r="L743" t="n">
        <v>0</v>
      </c>
      <c r="M743" t="n">
        <v>0</v>
      </c>
      <c r="N743" t="n">
        <v>0</v>
      </c>
      <c r="O743" t="n">
        <v>0</v>
      </c>
      <c r="P743" t="n">
        <v>0</v>
      </c>
      <c r="Q743" t="n">
        <v>0</v>
      </c>
      <c r="R743" s="2" t="inlineStr"/>
    </row>
    <row r="744" ht="15" customHeight="1">
      <c r="A744" t="inlineStr">
        <is>
          <t>A 6092-2025</t>
        </is>
      </c>
      <c r="B744" s="1" t="n">
        <v>45697</v>
      </c>
      <c r="C744" s="1" t="n">
        <v>46013</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5327-2025</t>
        </is>
      </c>
      <c r="B745" s="1" t="n">
        <v>45692</v>
      </c>
      <c r="C745" s="1" t="n">
        <v>46013</v>
      </c>
      <c r="D745" t="inlineStr">
        <is>
          <t>SÖDERMANLANDS LÄN</t>
        </is>
      </c>
      <c r="E745" t="inlineStr">
        <is>
          <t>KATRINEHOLM</t>
        </is>
      </c>
      <c r="F745" t="inlineStr">
        <is>
          <t>Kommuner</t>
        </is>
      </c>
      <c r="G745" t="n">
        <v>0.5</v>
      </c>
      <c r="H745" t="n">
        <v>0</v>
      </c>
      <c r="I745" t="n">
        <v>0</v>
      </c>
      <c r="J745" t="n">
        <v>0</v>
      </c>
      <c r="K745" t="n">
        <v>0</v>
      </c>
      <c r="L745" t="n">
        <v>0</v>
      </c>
      <c r="M745" t="n">
        <v>0</v>
      </c>
      <c r="N745" t="n">
        <v>0</v>
      </c>
      <c r="O745" t="n">
        <v>0</v>
      </c>
      <c r="P745" t="n">
        <v>0</v>
      </c>
      <c r="Q745" t="n">
        <v>0</v>
      </c>
      <c r="R745" s="2" t="inlineStr"/>
    </row>
    <row r="746" ht="15" customHeight="1">
      <c r="A746" t="inlineStr">
        <is>
          <t>A 12929-2023</t>
        </is>
      </c>
      <c r="B746" s="1" t="n">
        <v>45001</v>
      </c>
      <c r="C746" s="1" t="n">
        <v>46013</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12932-2023</t>
        </is>
      </c>
      <c r="B747" s="1" t="n">
        <v>45001</v>
      </c>
      <c r="C747" s="1" t="n">
        <v>46013</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50626-2024</t>
        </is>
      </c>
      <c r="B748" s="1" t="n">
        <v>45601</v>
      </c>
      <c r="C748" s="1" t="n">
        <v>46013</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7398-2024</t>
        </is>
      </c>
      <c r="B749" s="1" t="n">
        <v>45345</v>
      </c>
      <c r="C749" s="1" t="n">
        <v>46013</v>
      </c>
      <c r="D749" t="inlineStr">
        <is>
          <t>SÖDERMANLANDS LÄN</t>
        </is>
      </c>
      <c r="E749" t="inlineStr">
        <is>
          <t>KATRINEHOLM</t>
        </is>
      </c>
      <c r="G749" t="n">
        <v>4.4</v>
      </c>
      <c r="H749" t="n">
        <v>0</v>
      </c>
      <c r="I749" t="n">
        <v>0</v>
      </c>
      <c r="J749" t="n">
        <v>0</v>
      </c>
      <c r="K749" t="n">
        <v>0</v>
      </c>
      <c r="L749" t="n">
        <v>0</v>
      </c>
      <c r="M749" t="n">
        <v>0</v>
      </c>
      <c r="N749" t="n">
        <v>0</v>
      </c>
      <c r="O749" t="n">
        <v>0</v>
      </c>
      <c r="P749" t="n">
        <v>0</v>
      </c>
      <c r="Q749" t="n">
        <v>0</v>
      </c>
      <c r="R749" s="2" t="inlineStr"/>
    </row>
    <row r="750" ht="15" customHeight="1">
      <c r="A750" t="inlineStr">
        <is>
          <t>A 14629-2023</t>
        </is>
      </c>
      <c r="B750" s="1" t="n">
        <v>45013</v>
      </c>
      <c r="C750" s="1" t="n">
        <v>46013</v>
      </c>
      <c r="D750" t="inlineStr">
        <is>
          <t>SÖDERMANLANDS LÄN</t>
        </is>
      </c>
      <c r="E750" t="inlineStr">
        <is>
          <t>KATRINEHOLM</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49116-2024</t>
        </is>
      </c>
      <c r="B751" s="1" t="n">
        <v>45594.6605787037</v>
      </c>
      <c r="C751" s="1" t="n">
        <v>46013</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2683-2025</t>
        </is>
      </c>
      <c r="B752" s="1" t="n">
        <v>45677</v>
      </c>
      <c r="C752" s="1" t="n">
        <v>46013</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61410-2024</t>
        </is>
      </c>
      <c r="B753" s="1" t="n">
        <v>45646.43950231482</v>
      </c>
      <c r="C753" s="1" t="n">
        <v>46013</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3315-2023</t>
        </is>
      </c>
      <c r="B754" s="1" t="n">
        <v>44945</v>
      </c>
      <c r="C754" s="1" t="n">
        <v>46013</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7867-2024</t>
        </is>
      </c>
      <c r="B755" s="1" t="n">
        <v>45350.32991898148</v>
      </c>
      <c r="C755" s="1" t="n">
        <v>46013</v>
      </c>
      <c r="D755" t="inlineStr">
        <is>
          <t>SÖDERMANLANDS LÄN</t>
        </is>
      </c>
      <c r="E755" t="inlineStr">
        <is>
          <t>KATRINEHOLM</t>
        </is>
      </c>
      <c r="F755" t="inlineStr">
        <is>
          <t>Kyrkan</t>
        </is>
      </c>
      <c r="G755" t="n">
        <v>3.3</v>
      </c>
      <c r="H755" t="n">
        <v>0</v>
      </c>
      <c r="I755" t="n">
        <v>0</v>
      </c>
      <c r="J755" t="n">
        <v>0</v>
      </c>
      <c r="K755" t="n">
        <v>0</v>
      </c>
      <c r="L755" t="n">
        <v>0</v>
      </c>
      <c r="M755" t="n">
        <v>0</v>
      </c>
      <c r="N755" t="n">
        <v>0</v>
      </c>
      <c r="O755" t="n">
        <v>0</v>
      </c>
      <c r="P755" t="n">
        <v>0</v>
      </c>
      <c r="Q755" t="n">
        <v>0</v>
      </c>
      <c r="R755" s="2" t="inlineStr"/>
    </row>
    <row r="756" ht="15" customHeight="1">
      <c r="A756" t="inlineStr">
        <is>
          <t>A 38869-2024</t>
        </is>
      </c>
      <c r="B756" s="1" t="n">
        <v>45547</v>
      </c>
      <c r="C756" s="1" t="n">
        <v>46013</v>
      </c>
      <c r="D756" t="inlineStr">
        <is>
          <t>SÖDERMANLANDS LÄN</t>
        </is>
      </c>
      <c r="E756" t="inlineStr">
        <is>
          <t>KATRINEHOLM</t>
        </is>
      </c>
      <c r="G756" t="n">
        <v>2.2</v>
      </c>
      <c r="H756" t="n">
        <v>0</v>
      </c>
      <c r="I756" t="n">
        <v>0</v>
      </c>
      <c r="J756" t="n">
        <v>0</v>
      </c>
      <c r="K756" t="n">
        <v>0</v>
      </c>
      <c r="L756" t="n">
        <v>0</v>
      </c>
      <c r="M756" t="n">
        <v>0</v>
      </c>
      <c r="N756" t="n">
        <v>0</v>
      </c>
      <c r="O756" t="n">
        <v>0</v>
      </c>
      <c r="P756" t="n">
        <v>0</v>
      </c>
      <c r="Q756" t="n">
        <v>0</v>
      </c>
      <c r="R756" s="2" t="inlineStr"/>
    </row>
    <row r="757" ht="15" customHeight="1">
      <c r="A757" t="inlineStr">
        <is>
          <t>A 39010-2021</t>
        </is>
      </c>
      <c r="B757" s="1" t="n">
        <v>44412</v>
      </c>
      <c r="C757" s="1" t="n">
        <v>46013</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1091-2025</t>
        </is>
      </c>
      <c r="B758" s="1" t="n">
        <v>45666</v>
      </c>
      <c r="C758" s="1" t="n">
        <v>46013</v>
      </c>
      <c r="D758" t="inlineStr">
        <is>
          <t>SÖDERMANLANDS LÄN</t>
        </is>
      </c>
      <c r="E758" t="inlineStr">
        <is>
          <t>KATRINEHOLM</t>
        </is>
      </c>
      <c r="F758" t="inlineStr">
        <is>
          <t>Övriga Aktiebolag</t>
        </is>
      </c>
      <c r="G758" t="n">
        <v>0.8</v>
      </c>
      <c r="H758" t="n">
        <v>0</v>
      </c>
      <c r="I758" t="n">
        <v>0</v>
      </c>
      <c r="J758" t="n">
        <v>0</v>
      </c>
      <c r="K758" t="n">
        <v>0</v>
      </c>
      <c r="L758" t="n">
        <v>0</v>
      </c>
      <c r="M758" t="n">
        <v>0</v>
      </c>
      <c r="N758" t="n">
        <v>0</v>
      </c>
      <c r="O758" t="n">
        <v>0</v>
      </c>
      <c r="P758" t="n">
        <v>0</v>
      </c>
      <c r="Q758" t="n">
        <v>0</v>
      </c>
      <c r="R758" s="2" t="inlineStr"/>
    </row>
    <row r="759" ht="15" customHeight="1">
      <c r="A759" t="inlineStr">
        <is>
          <t>A 6311-2025</t>
        </is>
      </c>
      <c r="B759" s="1" t="n">
        <v>45698</v>
      </c>
      <c r="C759" s="1" t="n">
        <v>46013</v>
      </c>
      <c r="D759" t="inlineStr">
        <is>
          <t>SÖDERMANLANDS LÄN</t>
        </is>
      </c>
      <c r="E759" t="inlineStr">
        <is>
          <t>KATRINEHOLM</t>
        </is>
      </c>
      <c r="G759" t="n">
        <v>0.3</v>
      </c>
      <c r="H759" t="n">
        <v>0</v>
      </c>
      <c r="I759" t="n">
        <v>0</v>
      </c>
      <c r="J759" t="n">
        <v>0</v>
      </c>
      <c r="K759" t="n">
        <v>0</v>
      </c>
      <c r="L759" t="n">
        <v>0</v>
      </c>
      <c r="M759" t="n">
        <v>0</v>
      </c>
      <c r="N759" t="n">
        <v>0</v>
      </c>
      <c r="O759" t="n">
        <v>0</v>
      </c>
      <c r="P759" t="n">
        <v>0</v>
      </c>
      <c r="Q759" t="n">
        <v>0</v>
      </c>
      <c r="R759" s="2" t="inlineStr"/>
    </row>
    <row r="760" ht="15" customHeight="1">
      <c r="A760" t="inlineStr">
        <is>
          <t>A 23838-2021</t>
        </is>
      </c>
      <c r="B760" s="1" t="n">
        <v>44335</v>
      </c>
      <c r="C760" s="1" t="n">
        <v>46013</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32943-2024</t>
        </is>
      </c>
      <c r="B761" s="1" t="n">
        <v>45517</v>
      </c>
      <c r="C761" s="1" t="n">
        <v>46013</v>
      </c>
      <c r="D761" t="inlineStr">
        <is>
          <t>SÖDERMANLANDS LÄN</t>
        </is>
      </c>
      <c r="E761" t="inlineStr">
        <is>
          <t>KATRINEHOLM</t>
        </is>
      </c>
      <c r="G761" t="n">
        <v>1.8</v>
      </c>
      <c r="H761" t="n">
        <v>0</v>
      </c>
      <c r="I761" t="n">
        <v>0</v>
      </c>
      <c r="J761" t="n">
        <v>0</v>
      </c>
      <c r="K761" t="n">
        <v>0</v>
      </c>
      <c r="L761" t="n">
        <v>0</v>
      </c>
      <c r="M761" t="n">
        <v>0</v>
      </c>
      <c r="N761" t="n">
        <v>0</v>
      </c>
      <c r="O761" t="n">
        <v>0</v>
      </c>
      <c r="P761" t="n">
        <v>0</v>
      </c>
      <c r="Q761" t="n">
        <v>0</v>
      </c>
      <c r="R761" s="2" t="inlineStr"/>
    </row>
    <row r="762" ht="15" customHeight="1">
      <c r="A762" t="inlineStr">
        <is>
          <t>A 22119-2025</t>
        </is>
      </c>
      <c r="B762" s="1" t="n">
        <v>45785</v>
      </c>
      <c r="C762" s="1" t="n">
        <v>46013</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22113-2025</t>
        </is>
      </c>
      <c r="B763" s="1" t="n">
        <v>45785</v>
      </c>
      <c r="C763" s="1" t="n">
        <v>46013</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24983-2024</t>
        </is>
      </c>
      <c r="B764" s="1" t="n">
        <v>45461</v>
      </c>
      <c r="C764" s="1" t="n">
        <v>46013</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22476-2025</t>
        </is>
      </c>
      <c r="B765" s="1" t="n">
        <v>45786</v>
      </c>
      <c r="C765" s="1" t="n">
        <v>46013</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22336-2025</t>
        </is>
      </c>
      <c r="B766" s="1" t="n">
        <v>45786.44217592593</v>
      </c>
      <c r="C766" s="1" t="n">
        <v>46013</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23050-2025</t>
        </is>
      </c>
      <c r="B767" s="1" t="n">
        <v>45790.69971064815</v>
      </c>
      <c r="C767" s="1" t="n">
        <v>46013</v>
      </c>
      <c r="D767" t="inlineStr">
        <is>
          <t>SÖDERMANLANDS LÄN</t>
        </is>
      </c>
      <c r="E767" t="inlineStr">
        <is>
          <t>KATRINEHOLM</t>
        </is>
      </c>
      <c r="G767" t="n">
        <v>3.7</v>
      </c>
      <c r="H767" t="n">
        <v>0</v>
      </c>
      <c r="I767" t="n">
        <v>0</v>
      </c>
      <c r="J767" t="n">
        <v>0</v>
      </c>
      <c r="K767" t="n">
        <v>0</v>
      </c>
      <c r="L767" t="n">
        <v>0</v>
      </c>
      <c r="M767" t="n">
        <v>0</v>
      </c>
      <c r="N767" t="n">
        <v>0</v>
      </c>
      <c r="O767" t="n">
        <v>0</v>
      </c>
      <c r="P767" t="n">
        <v>0</v>
      </c>
      <c r="Q767" t="n">
        <v>0</v>
      </c>
      <c r="R767" s="2" t="inlineStr"/>
    </row>
    <row r="768">
      <c r="A768" t="inlineStr">
        <is>
          <t>A 24902-2024</t>
        </is>
      </c>
      <c r="B768" s="1" t="n">
        <v>45461</v>
      </c>
      <c r="C768" s="1" t="n">
        <v>46013</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2025-12-22T10:29:23Z</dcterms:created>
  <dcterms:modified xmlns:dcterms="http://purl.org/dc/terms/" xmlns:xsi="http://www.w3.org/2001/XMLSchema-instance" xsi:type="dcterms:W3CDTF">2025-12-22T10:29:24Z</dcterms:modified>
</cp:coreProperties>
</file>