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46173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46173</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46173</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46173</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46173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46173</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46173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46173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46173</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46173</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46173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46173</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61384-2021</t>
        </is>
      </c>
      <c r="B18" s="1" t="n">
        <v>44500</v>
      </c>
      <c r="C18" s="1" t="n">
        <v>46173</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37537-2022</t>
        </is>
      </c>
      <c r="B19" s="1" t="n">
        <v>44809</v>
      </c>
      <c r="C19" s="1" t="n">
        <v>46173</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53471-2024</t>
        </is>
      </c>
      <c r="B20" s="1" t="n">
        <v>45614.55686342593</v>
      </c>
      <c r="C20" s="1" t="n">
        <v>46173</v>
      </c>
      <c r="D20" t="inlineStr">
        <is>
          <t>SÖDERMANLANDS LÄN</t>
        </is>
      </c>
      <c r="E20" t="inlineStr">
        <is>
          <t>KATRINEHOLM</t>
        </is>
      </c>
      <c r="G20" t="n">
        <v>12.7</v>
      </c>
      <c r="H20" t="n">
        <v>1</v>
      </c>
      <c r="I20" t="n">
        <v>2</v>
      </c>
      <c r="J20" t="n">
        <v>0</v>
      </c>
      <c r="K20" t="n">
        <v>0</v>
      </c>
      <c r="L20" t="n">
        <v>0</v>
      </c>
      <c r="M20" t="n">
        <v>0</v>
      </c>
      <c r="N20" t="n">
        <v>0</v>
      </c>
      <c r="O20" t="n">
        <v>0</v>
      </c>
      <c r="P20" t="n">
        <v>0</v>
      </c>
      <c r="Q20" t="n">
        <v>2</v>
      </c>
      <c r="R20" s="2" t="inlineStr">
        <is>
          <t>Grönpyrola
Plattlummer</t>
        </is>
      </c>
      <c r="S20">
        <f>HYPERLINK("https://klasma.github.io/Logging_0483/artfynd/A 53471-2024 artfynd.xlsx", "A 53471-2024")</f>
        <v/>
      </c>
      <c r="T20">
        <f>HYPERLINK("https://klasma.github.io/Logging_0483/kartor/A 53471-2024 karta.png", "A 53471-2024")</f>
        <v/>
      </c>
      <c r="V20">
        <f>HYPERLINK("https://klasma.github.io/Logging_0483/klagomål/A 53471-2024 FSC-klagomål.docx", "A 53471-2024")</f>
        <v/>
      </c>
      <c r="W20">
        <f>HYPERLINK("https://klasma.github.io/Logging_0483/klagomålsmail/A 53471-2024 FSC-klagomål mail.docx", "A 53471-2024")</f>
        <v/>
      </c>
      <c r="X20">
        <f>HYPERLINK("https://klasma.github.io/Logging_0483/tillsyn/A 53471-2024 tillsynsbegäran.docx", "A 53471-2024")</f>
        <v/>
      </c>
      <c r="Y20">
        <f>HYPERLINK("https://klasma.github.io/Logging_0483/tillsynsmail/A 53471-2024 tillsynsbegäran mail.docx", "A 53471-2024")</f>
        <v/>
      </c>
    </row>
    <row r="21" ht="15" customHeight="1">
      <c r="A21" t="inlineStr">
        <is>
          <t>A 1150-2025</t>
        </is>
      </c>
      <c r="B21" s="1" t="n">
        <v>45666</v>
      </c>
      <c r="C21" s="1" t="n">
        <v>46173</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30229-2023</t>
        </is>
      </c>
      <c r="B22" s="1" t="n">
        <v>45099</v>
      </c>
      <c r="C22" s="1" t="n">
        <v>46173</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14858-2023</t>
        </is>
      </c>
      <c r="B23" s="1" t="n">
        <v>45014</v>
      </c>
      <c r="C23" s="1" t="n">
        <v>46173</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14655-2023</t>
        </is>
      </c>
      <c r="B24" s="1" t="n">
        <v>45013</v>
      </c>
      <c r="C24" s="1" t="n">
        <v>46173</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56897-2021</t>
        </is>
      </c>
      <c r="B25" s="1" t="n">
        <v>44481</v>
      </c>
      <c r="C25" s="1" t="n">
        <v>46173</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46173</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24718-2025</t>
        </is>
      </c>
      <c r="B27" s="1" t="n">
        <v>45799</v>
      </c>
      <c r="C27" s="1" t="n">
        <v>46173</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13873-2026</t>
        </is>
      </c>
      <c r="B28" s="1" t="n">
        <v>46098.42672453704</v>
      </c>
      <c r="C28" s="1" t="n">
        <v>46173</v>
      </c>
      <c r="D28" t="inlineStr">
        <is>
          <t>SÖDERMANLANDS LÄN</t>
        </is>
      </c>
      <c r="E28" t="inlineStr">
        <is>
          <t>KATRINEHOLM</t>
        </is>
      </c>
      <c r="G28" t="n">
        <v>8.199999999999999</v>
      </c>
      <c r="H28" t="n">
        <v>0</v>
      </c>
      <c r="I28" t="n">
        <v>1</v>
      </c>
      <c r="J28" t="n">
        <v>1</v>
      </c>
      <c r="K28" t="n">
        <v>0</v>
      </c>
      <c r="L28" t="n">
        <v>0</v>
      </c>
      <c r="M28" t="n">
        <v>0</v>
      </c>
      <c r="N28" t="n">
        <v>0</v>
      </c>
      <c r="O28" t="n">
        <v>1</v>
      </c>
      <c r="P28" t="n">
        <v>0</v>
      </c>
      <c r="Q28" t="n">
        <v>2</v>
      </c>
      <c r="R28" s="2" t="inlineStr">
        <is>
          <t>Vedskivlav
Blåmossa</t>
        </is>
      </c>
      <c r="S28">
        <f>HYPERLINK("https://klasma.github.io/Logging_0483/artfynd/A 13873-2026 artfynd.xlsx", "A 13873-2026")</f>
        <v/>
      </c>
      <c r="T28">
        <f>HYPERLINK("https://klasma.github.io/Logging_0483/kartor/A 13873-2026 karta.png", "A 13873-2026")</f>
        <v/>
      </c>
      <c r="V28">
        <f>HYPERLINK("https://klasma.github.io/Logging_0483/klagomål/A 13873-2026 FSC-klagomål.docx", "A 13873-2026")</f>
        <v/>
      </c>
      <c r="W28">
        <f>HYPERLINK("https://klasma.github.io/Logging_0483/klagomålsmail/A 13873-2026 FSC-klagomål mail.docx", "A 13873-2026")</f>
        <v/>
      </c>
      <c r="X28">
        <f>HYPERLINK("https://klasma.github.io/Logging_0483/tillsyn/A 13873-2026 tillsynsbegäran.docx", "A 13873-2026")</f>
        <v/>
      </c>
      <c r="Y28">
        <f>HYPERLINK("https://klasma.github.io/Logging_0483/tillsynsmail/A 13873-2026 tillsynsbegäran mail.docx", "A 13873-2026")</f>
        <v/>
      </c>
    </row>
    <row r="29" ht="15" customHeight="1">
      <c r="A29" t="inlineStr">
        <is>
          <t>A 16435-2026</t>
        </is>
      </c>
      <c r="B29" s="1" t="n">
        <v>46111.82163194445</v>
      </c>
      <c r="C29" s="1" t="n">
        <v>46173</v>
      </c>
      <c r="D29" t="inlineStr">
        <is>
          <t>SÖDERMANLANDS LÄN</t>
        </is>
      </c>
      <c r="E29" t="inlineStr">
        <is>
          <t>KATRINEHOLM</t>
        </is>
      </c>
      <c r="G29" t="n">
        <v>5.7</v>
      </c>
      <c r="H29" t="n">
        <v>1</v>
      </c>
      <c r="I29" t="n">
        <v>1</v>
      </c>
      <c r="J29" t="n">
        <v>0</v>
      </c>
      <c r="K29" t="n">
        <v>0</v>
      </c>
      <c r="L29" t="n">
        <v>0</v>
      </c>
      <c r="M29" t="n">
        <v>0</v>
      </c>
      <c r="N29" t="n">
        <v>0</v>
      </c>
      <c r="O29" t="n">
        <v>0</v>
      </c>
      <c r="P29" t="n">
        <v>0</v>
      </c>
      <c r="Q29" t="n">
        <v>2</v>
      </c>
      <c r="R29" s="2" t="inlineStr">
        <is>
          <t>Dropptaggsvamp
Mattlummer</t>
        </is>
      </c>
      <c r="S29">
        <f>HYPERLINK("https://klasma.github.io/Logging_0483/artfynd/A 16435-2026 artfynd.xlsx", "A 16435-2026")</f>
        <v/>
      </c>
      <c r="T29">
        <f>HYPERLINK("https://klasma.github.io/Logging_0483/kartor/A 16435-2026 karta.png", "A 16435-2026")</f>
        <v/>
      </c>
      <c r="V29">
        <f>HYPERLINK("https://klasma.github.io/Logging_0483/klagomål/A 16435-2026 FSC-klagomål.docx", "A 16435-2026")</f>
        <v/>
      </c>
      <c r="W29">
        <f>HYPERLINK("https://klasma.github.io/Logging_0483/klagomålsmail/A 16435-2026 FSC-klagomål mail.docx", "A 16435-2026")</f>
        <v/>
      </c>
      <c r="X29">
        <f>HYPERLINK("https://klasma.github.io/Logging_0483/tillsyn/A 16435-2026 tillsynsbegäran.docx", "A 16435-2026")</f>
        <v/>
      </c>
      <c r="Y29">
        <f>HYPERLINK("https://klasma.github.io/Logging_0483/tillsynsmail/A 16435-2026 tillsynsbegäran mail.docx", "A 16435-2026")</f>
        <v/>
      </c>
    </row>
    <row r="30" ht="15" customHeight="1">
      <c r="A30" t="inlineStr">
        <is>
          <t>A 23804-2026</t>
        </is>
      </c>
      <c r="B30" s="1" t="n">
        <v>46164.63459490741</v>
      </c>
      <c r="C30" s="1" t="n">
        <v>46173</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46173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46173</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28985-2022</t>
        </is>
      </c>
      <c r="B36" s="1" t="n">
        <v>44749</v>
      </c>
      <c r="C36" s="1" t="n">
        <v>46173</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16458-2022</t>
        </is>
      </c>
      <c r="B37" s="1" t="n">
        <v>44671</v>
      </c>
      <c r="C37" s="1" t="n">
        <v>46173</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42745-2022</t>
        </is>
      </c>
      <c r="B38" s="1" t="n">
        <v>44831</v>
      </c>
      <c r="C38" s="1" t="n">
        <v>46173</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44632-2023</t>
        </is>
      </c>
      <c r="B39" s="1" t="n">
        <v>45184</v>
      </c>
      <c r="C39" s="1" t="n">
        <v>46173</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44486-2023</t>
        </is>
      </c>
      <c r="B40" s="1" t="n">
        <v>45183</v>
      </c>
      <c r="C40" s="1" t="n">
        <v>46173</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8917-2024</t>
        </is>
      </c>
      <c r="B41" s="1" t="n">
        <v>45357.37618055556</v>
      </c>
      <c r="C41" s="1" t="n">
        <v>46173</v>
      </c>
      <c r="D41" t="inlineStr">
        <is>
          <t>SÖDERMANLANDS LÄN</t>
        </is>
      </c>
      <c r="E41" t="inlineStr">
        <is>
          <t>KATRINEHOLM</t>
        </is>
      </c>
      <c r="G41" t="n">
        <v>3</v>
      </c>
      <c r="H41" t="n">
        <v>1</v>
      </c>
      <c r="I41" t="n">
        <v>0</v>
      </c>
      <c r="J41" t="n">
        <v>0</v>
      </c>
      <c r="K41" t="n">
        <v>0</v>
      </c>
      <c r="L41" t="n">
        <v>0</v>
      </c>
      <c r="M41" t="n">
        <v>0</v>
      </c>
      <c r="N41" t="n">
        <v>0</v>
      </c>
      <c r="O41" t="n">
        <v>0</v>
      </c>
      <c r="P41" t="n">
        <v>0</v>
      </c>
      <c r="Q41" t="n">
        <v>1</v>
      </c>
      <c r="R41" s="2" t="inlineStr">
        <is>
          <t>Gröngöling</t>
        </is>
      </c>
      <c r="S41">
        <f>HYPERLINK("https://klasma.github.io/Logging_0483/artfynd/A 8917-2024 artfynd.xlsx", "A 8917-2024")</f>
        <v/>
      </c>
      <c r="T41">
        <f>HYPERLINK("https://klasma.github.io/Logging_0483/kartor/A 8917-2024 karta.png", "A 8917-2024")</f>
        <v/>
      </c>
      <c r="V41">
        <f>HYPERLINK("https://klasma.github.io/Logging_0483/klagomål/A 8917-2024 FSC-klagomål.docx", "A 8917-2024")</f>
        <v/>
      </c>
      <c r="W41">
        <f>HYPERLINK("https://klasma.github.io/Logging_0483/klagomålsmail/A 8917-2024 FSC-klagomål mail.docx", "A 8917-2024")</f>
        <v/>
      </c>
      <c r="X41">
        <f>HYPERLINK("https://klasma.github.io/Logging_0483/tillsyn/A 8917-2024 tillsynsbegäran.docx", "A 8917-2024")</f>
        <v/>
      </c>
      <c r="Y41">
        <f>HYPERLINK("https://klasma.github.io/Logging_0483/tillsynsmail/A 8917-2024 tillsynsbegäran mail.docx", "A 8917-2024")</f>
        <v/>
      </c>
      <c r="Z41">
        <f>HYPERLINK("https://klasma.github.io/Logging_0483/fåglar/A 8917-2024 prioriterade fågelarter.docx", "A 8917-2024")</f>
        <v/>
      </c>
    </row>
    <row r="42" ht="15" customHeight="1">
      <c r="A42" t="inlineStr">
        <is>
          <t>A 23568-2023</t>
        </is>
      </c>
      <c r="B42" s="1" t="n">
        <v>45077</v>
      </c>
      <c r="C42" s="1" t="n">
        <v>46173</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6076-2022</t>
        </is>
      </c>
      <c r="B43" s="1" t="n">
        <v>44599</v>
      </c>
      <c r="C43" s="1" t="n">
        <v>46173</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7305-2024</t>
        </is>
      </c>
      <c r="B44" s="1" t="n">
        <v>45344</v>
      </c>
      <c r="C44" s="1" t="n">
        <v>46173</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46173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27375-2024</t>
        </is>
      </c>
      <c r="B46" s="1" t="n">
        <v>45473.87645833333</v>
      </c>
      <c r="C46" s="1" t="n">
        <v>46173</v>
      </c>
      <c r="D46" t="inlineStr">
        <is>
          <t>SÖDERMANLANDS LÄN</t>
        </is>
      </c>
      <c r="E46" t="inlineStr">
        <is>
          <t>KATRINEHOLM</t>
        </is>
      </c>
      <c r="F46" t="inlineStr">
        <is>
          <t>Kommuner</t>
        </is>
      </c>
      <c r="G46" t="n">
        <v>1.9</v>
      </c>
      <c r="H46" t="n">
        <v>1</v>
      </c>
      <c r="I46" t="n">
        <v>0</v>
      </c>
      <c r="J46" t="n">
        <v>0</v>
      </c>
      <c r="K46" t="n">
        <v>1</v>
      </c>
      <c r="L46" t="n">
        <v>0</v>
      </c>
      <c r="M46" t="n">
        <v>0</v>
      </c>
      <c r="N46" t="n">
        <v>0</v>
      </c>
      <c r="O46" t="n">
        <v>1</v>
      </c>
      <c r="P46" t="n">
        <v>1</v>
      </c>
      <c r="Q46" t="n">
        <v>1</v>
      </c>
      <c r="R46" s="2" t="inlineStr">
        <is>
          <t>Kricka</t>
        </is>
      </c>
      <c r="S46">
        <f>HYPERLINK("https://klasma.github.io/Logging_0483/artfynd/A 27375-2024 artfynd.xlsx", "A 27375-2024")</f>
        <v/>
      </c>
      <c r="T46">
        <f>HYPERLINK("https://klasma.github.io/Logging_0483/kartor/A 27375-2024 karta.png", "A 27375-2024")</f>
        <v/>
      </c>
      <c r="V46">
        <f>HYPERLINK("https://klasma.github.io/Logging_0483/klagomål/A 27375-2024 FSC-klagomål.docx", "A 27375-2024")</f>
        <v/>
      </c>
      <c r="W46">
        <f>HYPERLINK("https://klasma.github.io/Logging_0483/klagomålsmail/A 27375-2024 FSC-klagomål mail.docx", "A 27375-2024")</f>
        <v/>
      </c>
      <c r="X46">
        <f>HYPERLINK("https://klasma.github.io/Logging_0483/tillsyn/A 27375-2024 tillsynsbegäran.docx", "A 27375-2024")</f>
        <v/>
      </c>
      <c r="Y46">
        <f>HYPERLINK("https://klasma.github.io/Logging_0483/tillsynsmail/A 27375-2024 tillsynsbegäran mail.docx", "A 27375-2024")</f>
        <v/>
      </c>
      <c r="Z46">
        <f>HYPERLINK("https://klasma.github.io/Logging_0483/fåglar/A 27375-2024 prioriterade fågelarter.docx", "A 27375-2024")</f>
        <v/>
      </c>
    </row>
    <row r="47" ht="15" customHeight="1">
      <c r="A47" t="inlineStr">
        <is>
          <t>A 12238-2023</t>
        </is>
      </c>
      <c r="B47" s="1" t="n">
        <v>44995</v>
      </c>
      <c r="C47" s="1" t="n">
        <v>46173</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36220-2022</t>
        </is>
      </c>
      <c r="B48" s="1" t="n">
        <v>44803</v>
      </c>
      <c r="C48" s="1" t="n">
        <v>46173</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53990-2023</t>
        </is>
      </c>
      <c r="B49" s="1" t="n">
        <v>45231</v>
      </c>
      <c r="C49" s="1" t="n">
        <v>46173</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42055-2025</t>
        </is>
      </c>
      <c r="B50" s="1" t="n">
        <v>45903</v>
      </c>
      <c r="C50" s="1" t="n">
        <v>46173</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41980-2025</t>
        </is>
      </c>
      <c r="B51" s="1" t="n">
        <v>45903</v>
      </c>
      <c r="C51" s="1" t="n">
        <v>46173</v>
      </c>
      <c r="D51" t="inlineStr">
        <is>
          <t>SÖDERMANLANDS LÄN</t>
        </is>
      </c>
      <c r="E51" t="inlineStr">
        <is>
          <t>KATRINEHOLM</t>
        </is>
      </c>
      <c r="F51" t="inlineStr">
        <is>
          <t>Allmännings- och besparingsskogar</t>
        </is>
      </c>
      <c r="G51" t="n">
        <v>18.4</v>
      </c>
      <c r="H51" t="n">
        <v>0</v>
      </c>
      <c r="I51" t="n">
        <v>1</v>
      </c>
      <c r="J51" t="n">
        <v>0</v>
      </c>
      <c r="K51" t="n">
        <v>0</v>
      </c>
      <c r="L51" t="n">
        <v>0</v>
      </c>
      <c r="M51" t="n">
        <v>0</v>
      </c>
      <c r="N51" t="n">
        <v>0</v>
      </c>
      <c r="O51" t="n">
        <v>0</v>
      </c>
      <c r="P51" t="n">
        <v>0</v>
      </c>
      <c r="Q51" t="n">
        <v>1</v>
      </c>
      <c r="R51" s="2" t="inlineStr">
        <is>
          <t>Vätteros</t>
        </is>
      </c>
      <c r="S51">
        <f>HYPERLINK("https://klasma.github.io/Logging_0483/artfynd/A 41980-2025 artfynd.xlsx", "A 41980-2025")</f>
        <v/>
      </c>
      <c r="T51">
        <f>HYPERLINK("https://klasma.github.io/Logging_0483/kartor/A 41980-2025 karta.png", "A 41980-2025")</f>
        <v/>
      </c>
      <c r="V51">
        <f>HYPERLINK("https://klasma.github.io/Logging_0483/klagomål/A 41980-2025 FSC-klagomål.docx", "A 41980-2025")</f>
        <v/>
      </c>
      <c r="W51">
        <f>HYPERLINK("https://klasma.github.io/Logging_0483/klagomålsmail/A 41980-2025 FSC-klagomål mail.docx", "A 41980-2025")</f>
        <v/>
      </c>
      <c r="X51">
        <f>HYPERLINK("https://klasma.github.io/Logging_0483/tillsyn/A 41980-2025 tillsynsbegäran.docx", "A 41980-2025")</f>
        <v/>
      </c>
      <c r="Y51">
        <f>HYPERLINK("https://klasma.github.io/Logging_0483/tillsynsmail/A 41980-2025 tillsynsbegäran mail.docx", "A 41980-2025")</f>
        <v/>
      </c>
    </row>
    <row r="52" ht="15" customHeight="1">
      <c r="A52" t="inlineStr">
        <is>
          <t>A 33801-2023</t>
        </is>
      </c>
      <c r="B52" s="1" t="n">
        <v>45133</v>
      </c>
      <c r="C52" s="1" t="n">
        <v>46173</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48199-2025</t>
        </is>
      </c>
      <c r="B53" s="1" t="n">
        <v>45933.47856481482</v>
      </c>
      <c r="C53" s="1" t="n">
        <v>46173</v>
      </c>
      <c r="D53" t="inlineStr">
        <is>
          <t>SÖDERMANLANDS LÄN</t>
        </is>
      </c>
      <c r="E53" t="inlineStr">
        <is>
          <t>KATRINEHOLM</t>
        </is>
      </c>
      <c r="G53" t="n">
        <v>4.4</v>
      </c>
      <c r="H53" t="n">
        <v>1</v>
      </c>
      <c r="I53" t="n">
        <v>0</v>
      </c>
      <c r="J53" t="n">
        <v>0</v>
      </c>
      <c r="K53" t="n">
        <v>0</v>
      </c>
      <c r="L53" t="n">
        <v>0</v>
      </c>
      <c r="M53" t="n">
        <v>0</v>
      </c>
      <c r="N53" t="n">
        <v>0</v>
      </c>
      <c r="O53" t="n">
        <v>0</v>
      </c>
      <c r="P53" t="n">
        <v>0</v>
      </c>
      <c r="Q53" t="n">
        <v>1</v>
      </c>
      <c r="R53" s="2" t="inlineStr">
        <is>
          <t>Gröngöling</t>
        </is>
      </c>
      <c r="S53">
        <f>HYPERLINK("https://klasma.github.io/Logging_0483/artfynd/A 48199-2025 artfynd.xlsx", "A 48199-2025")</f>
        <v/>
      </c>
      <c r="T53">
        <f>HYPERLINK("https://klasma.github.io/Logging_0483/kartor/A 48199-2025 karta.png", "A 48199-2025")</f>
        <v/>
      </c>
      <c r="V53">
        <f>HYPERLINK("https://klasma.github.io/Logging_0483/klagomål/A 48199-2025 FSC-klagomål.docx", "A 48199-2025")</f>
        <v/>
      </c>
      <c r="W53">
        <f>HYPERLINK("https://klasma.github.io/Logging_0483/klagomålsmail/A 48199-2025 FSC-klagomål mail.docx", "A 48199-2025")</f>
        <v/>
      </c>
      <c r="X53">
        <f>HYPERLINK("https://klasma.github.io/Logging_0483/tillsyn/A 48199-2025 tillsynsbegäran.docx", "A 48199-2025")</f>
        <v/>
      </c>
      <c r="Y53">
        <f>HYPERLINK("https://klasma.github.io/Logging_0483/tillsynsmail/A 48199-2025 tillsynsbegäran mail.docx", "A 48199-2025")</f>
        <v/>
      </c>
      <c r="Z53">
        <f>HYPERLINK("https://klasma.github.io/Logging_0483/fåglar/A 48199-2025 prioriterade fågelarter.docx", "A 48199-2025")</f>
        <v/>
      </c>
    </row>
    <row r="54" ht="15" customHeight="1">
      <c r="A54" t="inlineStr">
        <is>
          <t>A 56074-2022</t>
        </is>
      </c>
      <c r="B54" s="1" t="n">
        <v>44889</v>
      </c>
      <c r="C54" s="1" t="n">
        <v>46173</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44413-2024</t>
        </is>
      </c>
      <c r="B55" s="1" t="n">
        <v>45573.77701388889</v>
      </c>
      <c r="C55" s="1" t="n">
        <v>46173</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45530-2023</t>
        </is>
      </c>
      <c r="B56" s="1" t="n">
        <v>45188</v>
      </c>
      <c r="C56" s="1" t="n">
        <v>46173</v>
      </c>
      <c r="D56" t="inlineStr">
        <is>
          <t>SÖDERMANLANDS LÄN</t>
        </is>
      </c>
      <c r="E56" t="inlineStr">
        <is>
          <t>KATRINEHOLM</t>
        </is>
      </c>
      <c r="F56" t="inlineStr">
        <is>
          <t>Allmännings- och besparingsskogar</t>
        </is>
      </c>
      <c r="G56" t="n">
        <v>37</v>
      </c>
      <c r="H56" t="n">
        <v>1</v>
      </c>
      <c r="I56" t="n">
        <v>0</v>
      </c>
      <c r="J56" t="n">
        <v>0</v>
      </c>
      <c r="K56" t="n">
        <v>0</v>
      </c>
      <c r="L56" t="n">
        <v>0</v>
      </c>
      <c r="M56" t="n">
        <v>0</v>
      </c>
      <c r="N56" t="n">
        <v>0</v>
      </c>
      <c r="O56" t="n">
        <v>0</v>
      </c>
      <c r="P56" t="n">
        <v>0</v>
      </c>
      <c r="Q56" t="n">
        <v>1</v>
      </c>
      <c r="R56" s="2" t="inlineStr">
        <is>
          <t>Fläcknycklar</t>
        </is>
      </c>
      <c r="S56">
        <f>HYPERLINK("https://klasma.github.io/Logging_0483/artfynd/A 45530-2023 artfynd.xlsx", "A 45530-2023")</f>
        <v/>
      </c>
      <c r="T56">
        <f>HYPERLINK("https://klasma.github.io/Logging_0483/kartor/A 45530-2023 karta.png", "A 45530-2023")</f>
        <v/>
      </c>
      <c r="V56">
        <f>HYPERLINK("https://klasma.github.io/Logging_0483/klagomål/A 45530-2023 FSC-klagomål.docx", "A 45530-2023")</f>
        <v/>
      </c>
      <c r="W56">
        <f>HYPERLINK("https://klasma.github.io/Logging_0483/klagomålsmail/A 45530-2023 FSC-klagomål mail.docx", "A 45530-2023")</f>
        <v/>
      </c>
      <c r="X56">
        <f>HYPERLINK("https://klasma.github.io/Logging_0483/tillsyn/A 45530-2023 tillsynsbegäran.docx", "A 45530-2023")</f>
        <v/>
      </c>
      <c r="Y56">
        <f>HYPERLINK("https://klasma.github.io/Logging_0483/tillsynsmail/A 45530-2023 tillsynsbegäran mail.docx", "A 45530-2023")</f>
        <v/>
      </c>
    </row>
    <row r="57" ht="15" customHeight="1">
      <c r="A57" t="inlineStr">
        <is>
          <t>A 57519-2021</t>
        </is>
      </c>
      <c r="B57" s="1" t="n">
        <v>44483</v>
      </c>
      <c r="C57" s="1" t="n">
        <v>46173</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22474-2025</t>
        </is>
      </c>
      <c r="B58" s="1" t="n">
        <v>45786.62152777778</v>
      </c>
      <c r="C58" s="1" t="n">
        <v>46173</v>
      </c>
      <c r="D58" t="inlineStr">
        <is>
          <t>SÖDERMANLANDS LÄN</t>
        </is>
      </c>
      <c r="E58" t="inlineStr">
        <is>
          <t>KATRINEHOLM</t>
        </is>
      </c>
      <c r="F58" t="inlineStr">
        <is>
          <t>Övriga Aktiebolag</t>
        </is>
      </c>
      <c r="G58" t="n">
        <v>7.6</v>
      </c>
      <c r="H58" t="n">
        <v>1</v>
      </c>
      <c r="I58" t="n">
        <v>0</v>
      </c>
      <c r="J58" t="n">
        <v>0</v>
      </c>
      <c r="K58" t="n">
        <v>0</v>
      </c>
      <c r="L58" t="n">
        <v>0</v>
      </c>
      <c r="M58" t="n">
        <v>0</v>
      </c>
      <c r="N58" t="n">
        <v>0</v>
      </c>
      <c r="O58" t="n">
        <v>0</v>
      </c>
      <c r="P58" t="n">
        <v>0</v>
      </c>
      <c r="Q58" t="n">
        <v>1</v>
      </c>
      <c r="R58" s="2" t="inlineStr">
        <is>
          <t>Mattlummer</t>
        </is>
      </c>
      <c r="S58">
        <f>HYPERLINK("https://klasma.github.io/Logging_0483/artfynd/A 22474-2025 artfynd.xlsx", "A 22474-2025")</f>
        <v/>
      </c>
      <c r="T58">
        <f>HYPERLINK("https://klasma.github.io/Logging_0483/kartor/A 22474-2025 karta.png", "A 22474-2025")</f>
        <v/>
      </c>
      <c r="V58">
        <f>HYPERLINK("https://klasma.github.io/Logging_0483/klagomål/A 22474-2025 FSC-klagomål.docx", "A 22474-2025")</f>
        <v/>
      </c>
      <c r="W58">
        <f>HYPERLINK("https://klasma.github.io/Logging_0483/klagomålsmail/A 22474-2025 FSC-klagomål mail.docx", "A 22474-2025")</f>
        <v/>
      </c>
      <c r="X58">
        <f>HYPERLINK("https://klasma.github.io/Logging_0483/tillsyn/A 22474-2025 tillsynsbegäran.docx", "A 22474-2025")</f>
        <v/>
      </c>
      <c r="Y58">
        <f>HYPERLINK("https://klasma.github.io/Logging_0483/tillsynsmail/A 22474-2025 tillsynsbegäran mail.docx", "A 22474-2025")</f>
        <v/>
      </c>
    </row>
    <row r="59" ht="15" customHeight="1">
      <c r="A59" t="inlineStr">
        <is>
          <t>A 55700-2025</t>
        </is>
      </c>
      <c r="B59" s="1" t="n">
        <v>45972.45605324074</v>
      </c>
      <c r="C59" s="1" t="n">
        <v>46173</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11890-2023</t>
        </is>
      </c>
      <c r="B60" s="1" t="n">
        <v>44995</v>
      </c>
      <c r="C60" s="1" t="n">
        <v>46173</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11890-2023</t>
        </is>
      </c>
      <c r="B61" s="1" t="n">
        <v>44995</v>
      </c>
      <c r="C61" s="1" t="n">
        <v>46173</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63946-2025</t>
        </is>
      </c>
      <c r="B62" s="1" t="n">
        <v>46010</v>
      </c>
      <c r="C62" s="1" t="n">
        <v>46173</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62957-2025</t>
        </is>
      </c>
      <c r="B63" s="1" t="n">
        <v>46009</v>
      </c>
      <c r="C63" s="1" t="n">
        <v>46173</v>
      </c>
      <c r="D63" t="inlineStr">
        <is>
          <t>SÖDERMANLANDS LÄN</t>
        </is>
      </c>
      <c r="E63" t="inlineStr">
        <is>
          <t>KATRINEHOLM</t>
        </is>
      </c>
      <c r="F63" t="inlineStr">
        <is>
          <t>Allmännings- och besparingsskogar</t>
        </is>
      </c>
      <c r="G63" t="n">
        <v>1.7</v>
      </c>
      <c r="H63" t="n">
        <v>1</v>
      </c>
      <c r="I63" t="n">
        <v>0</v>
      </c>
      <c r="J63" t="n">
        <v>1</v>
      </c>
      <c r="K63" t="n">
        <v>0</v>
      </c>
      <c r="L63" t="n">
        <v>0</v>
      </c>
      <c r="M63" t="n">
        <v>0</v>
      </c>
      <c r="N63" t="n">
        <v>0</v>
      </c>
      <c r="O63" t="n">
        <v>1</v>
      </c>
      <c r="P63" t="n">
        <v>0</v>
      </c>
      <c r="Q63" t="n">
        <v>1</v>
      </c>
      <c r="R63" s="2" t="inlineStr">
        <is>
          <t>Utter</t>
        </is>
      </c>
      <c r="S63">
        <f>HYPERLINK("https://klasma.github.io/Logging_0483/artfynd/A 62957-2025 artfynd.xlsx", "A 62957-2025")</f>
        <v/>
      </c>
      <c r="T63">
        <f>HYPERLINK("https://klasma.github.io/Logging_0483/kartor/A 62957-2025 karta.png", "A 62957-2025")</f>
        <v/>
      </c>
      <c r="V63">
        <f>HYPERLINK("https://klasma.github.io/Logging_0483/klagomål/A 62957-2025 FSC-klagomål.docx", "A 62957-2025")</f>
        <v/>
      </c>
      <c r="W63">
        <f>HYPERLINK("https://klasma.github.io/Logging_0483/klagomålsmail/A 62957-2025 FSC-klagomål mail.docx", "A 62957-2025")</f>
        <v/>
      </c>
      <c r="X63">
        <f>HYPERLINK("https://klasma.github.io/Logging_0483/tillsyn/A 62957-2025 tillsynsbegäran.docx", "A 62957-2025")</f>
        <v/>
      </c>
      <c r="Y63">
        <f>HYPERLINK("https://klasma.github.io/Logging_0483/tillsynsmail/A 62957-2025 tillsynsbegäran mail.docx", "A 62957-2025")</f>
        <v/>
      </c>
    </row>
    <row r="64" ht="15" customHeight="1">
      <c r="A64" t="inlineStr">
        <is>
          <t>A 27926-2025</t>
        </is>
      </c>
      <c r="B64" s="1" t="n">
        <v>45814</v>
      </c>
      <c r="C64" s="1" t="n">
        <v>46173</v>
      </c>
      <c r="D64" t="inlineStr">
        <is>
          <t>SÖDERMANLANDS LÄN</t>
        </is>
      </c>
      <c r="E64" t="inlineStr">
        <is>
          <t>KATRINEHOLM</t>
        </is>
      </c>
      <c r="F64" t="inlineStr">
        <is>
          <t>Allmännings- och besparingsskogar</t>
        </is>
      </c>
      <c r="G64" t="n">
        <v>10.7</v>
      </c>
      <c r="H64" t="n">
        <v>1</v>
      </c>
      <c r="I64" t="n">
        <v>0</v>
      </c>
      <c r="J64" t="n">
        <v>0</v>
      </c>
      <c r="K64" t="n">
        <v>0</v>
      </c>
      <c r="L64" t="n">
        <v>0</v>
      </c>
      <c r="M64" t="n">
        <v>0</v>
      </c>
      <c r="N64" t="n">
        <v>0</v>
      </c>
      <c r="O64" t="n">
        <v>0</v>
      </c>
      <c r="P64" t="n">
        <v>0</v>
      </c>
      <c r="Q64" t="n">
        <v>1</v>
      </c>
      <c r="R64" s="2" t="inlineStr">
        <is>
          <t>Revlummer</t>
        </is>
      </c>
      <c r="S64">
        <f>HYPERLINK("https://klasma.github.io/Logging_0483/artfynd/A 27926-2025 artfynd.xlsx", "A 27926-2025")</f>
        <v/>
      </c>
      <c r="T64">
        <f>HYPERLINK("https://klasma.github.io/Logging_0483/kartor/A 27926-2025 karta.png", "A 27926-2025")</f>
        <v/>
      </c>
      <c r="V64">
        <f>HYPERLINK("https://klasma.github.io/Logging_0483/klagomål/A 27926-2025 FSC-klagomål.docx", "A 27926-2025")</f>
        <v/>
      </c>
      <c r="W64">
        <f>HYPERLINK("https://klasma.github.io/Logging_0483/klagomålsmail/A 27926-2025 FSC-klagomål mail.docx", "A 27926-2025")</f>
        <v/>
      </c>
      <c r="X64">
        <f>HYPERLINK("https://klasma.github.io/Logging_0483/tillsyn/A 27926-2025 tillsynsbegäran.docx", "A 27926-2025")</f>
        <v/>
      </c>
      <c r="Y64">
        <f>HYPERLINK("https://klasma.github.io/Logging_0483/tillsynsmail/A 27926-2025 tillsynsbegäran mail.docx", "A 27926-2025")</f>
        <v/>
      </c>
    </row>
    <row r="65" ht="15" customHeight="1">
      <c r="A65" t="inlineStr">
        <is>
          <t>A 1260-2026</t>
        </is>
      </c>
      <c r="B65" s="1" t="n">
        <v>46031.45652777778</v>
      </c>
      <c r="C65" s="1" t="n">
        <v>46173</v>
      </c>
      <c r="D65" t="inlineStr">
        <is>
          <t>SÖDERMANLANDS LÄN</t>
        </is>
      </c>
      <c r="E65" t="inlineStr">
        <is>
          <t>KATRINEHOLM</t>
        </is>
      </c>
      <c r="G65" t="n">
        <v>9.1</v>
      </c>
      <c r="H65" t="n">
        <v>1</v>
      </c>
      <c r="I65" t="n">
        <v>0</v>
      </c>
      <c r="J65" t="n">
        <v>1</v>
      </c>
      <c r="K65" t="n">
        <v>0</v>
      </c>
      <c r="L65" t="n">
        <v>0</v>
      </c>
      <c r="M65" t="n">
        <v>0</v>
      </c>
      <c r="N65" t="n">
        <v>0</v>
      </c>
      <c r="O65" t="n">
        <v>1</v>
      </c>
      <c r="P65" t="n">
        <v>0</v>
      </c>
      <c r="Q65" t="n">
        <v>1</v>
      </c>
      <c r="R65" s="2" t="inlineStr">
        <is>
          <t>Spillkråka</t>
        </is>
      </c>
      <c r="S65">
        <f>HYPERLINK("https://klasma.github.io/Logging_0483/artfynd/A 1260-2026 artfynd.xlsx", "A 1260-2026")</f>
        <v/>
      </c>
      <c r="T65">
        <f>HYPERLINK("https://klasma.github.io/Logging_0483/kartor/A 1260-2026 karta.png", "A 1260-2026")</f>
        <v/>
      </c>
      <c r="V65">
        <f>HYPERLINK("https://klasma.github.io/Logging_0483/klagomål/A 1260-2026 FSC-klagomål.docx", "A 1260-2026")</f>
        <v/>
      </c>
      <c r="W65">
        <f>HYPERLINK("https://klasma.github.io/Logging_0483/klagomålsmail/A 1260-2026 FSC-klagomål mail.docx", "A 1260-2026")</f>
        <v/>
      </c>
      <c r="X65">
        <f>HYPERLINK("https://klasma.github.io/Logging_0483/tillsyn/A 1260-2026 tillsynsbegäran.docx", "A 1260-2026")</f>
        <v/>
      </c>
      <c r="Y65">
        <f>HYPERLINK("https://klasma.github.io/Logging_0483/tillsynsmail/A 1260-2026 tillsynsbegäran mail.docx", "A 1260-2026")</f>
        <v/>
      </c>
      <c r="Z65">
        <f>HYPERLINK("https://klasma.github.io/Logging_0483/fåglar/A 1260-2026 prioriterade fågelarter.docx", "A 1260-2026")</f>
        <v/>
      </c>
    </row>
    <row r="66" ht="15" customHeight="1">
      <c r="A66" t="inlineStr">
        <is>
          <t>A 35163-2025</t>
        </is>
      </c>
      <c r="B66" s="1" t="n">
        <v>45852.71136574074</v>
      </c>
      <c r="C66" s="1" t="n">
        <v>46173</v>
      </c>
      <c r="D66" t="inlineStr">
        <is>
          <t>SÖDERMANLANDS LÄN</t>
        </is>
      </c>
      <c r="E66" t="inlineStr">
        <is>
          <t>KATRINEHOLM</t>
        </is>
      </c>
      <c r="F66" t="inlineStr">
        <is>
          <t>Övriga Aktiebolag</t>
        </is>
      </c>
      <c r="G66" t="n">
        <v>1.1</v>
      </c>
      <c r="H66" t="n">
        <v>0</v>
      </c>
      <c r="I66" t="n">
        <v>1</v>
      </c>
      <c r="J66" t="n">
        <v>0</v>
      </c>
      <c r="K66" t="n">
        <v>0</v>
      </c>
      <c r="L66" t="n">
        <v>0</v>
      </c>
      <c r="M66" t="n">
        <v>0</v>
      </c>
      <c r="N66" t="n">
        <v>0</v>
      </c>
      <c r="O66" t="n">
        <v>0</v>
      </c>
      <c r="P66" t="n">
        <v>0</v>
      </c>
      <c r="Q66" t="n">
        <v>1</v>
      </c>
      <c r="R66" s="2" t="inlineStr">
        <is>
          <t>Kattfotslav</t>
        </is>
      </c>
      <c r="S66">
        <f>HYPERLINK("https://klasma.github.io/Logging_0483/artfynd/A 35163-2025 artfynd.xlsx", "A 35163-2025")</f>
        <v/>
      </c>
      <c r="T66">
        <f>HYPERLINK("https://klasma.github.io/Logging_0483/kartor/A 35163-2025 karta.png", "A 35163-2025")</f>
        <v/>
      </c>
      <c r="V66">
        <f>HYPERLINK("https://klasma.github.io/Logging_0483/klagomål/A 35163-2025 FSC-klagomål.docx", "A 35163-2025")</f>
        <v/>
      </c>
      <c r="W66">
        <f>HYPERLINK("https://klasma.github.io/Logging_0483/klagomålsmail/A 35163-2025 FSC-klagomål mail.docx", "A 35163-2025")</f>
        <v/>
      </c>
      <c r="X66">
        <f>HYPERLINK("https://klasma.github.io/Logging_0483/tillsyn/A 35163-2025 tillsynsbegäran.docx", "A 35163-2025")</f>
        <v/>
      </c>
      <c r="Y66">
        <f>HYPERLINK("https://klasma.github.io/Logging_0483/tillsynsmail/A 35163-2025 tillsynsbegäran mail.docx", "A 35163-2025")</f>
        <v/>
      </c>
    </row>
    <row r="67" ht="15" customHeight="1">
      <c r="A67" t="inlineStr">
        <is>
          <t>A 36856-2021</t>
        </is>
      </c>
      <c r="B67" s="1" t="n">
        <v>44393</v>
      </c>
      <c r="C67" s="1" t="n">
        <v>46173</v>
      </c>
      <c r="D67" t="inlineStr">
        <is>
          <t>SÖDERMANLANDS LÄN</t>
        </is>
      </c>
      <c r="E67" t="inlineStr">
        <is>
          <t>KATRINEHOLM</t>
        </is>
      </c>
      <c r="G67" t="n">
        <v>3.1</v>
      </c>
      <c r="H67" t="n">
        <v>0</v>
      </c>
      <c r="I67" t="n">
        <v>0</v>
      </c>
      <c r="J67" t="n">
        <v>0</v>
      </c>
      <c r="K67" t="n">
        <v>0</v>
      </c>
      <c r="L67" t="n">
        <v>0</v>
      </c>
      <c r="M67" t="n">
        <v>0</v>
      </c>
      <c r="N67" t="n">
        <v>0</v>
      </c>
      <c r="O67" t="n">
        <v>0</v>
      </c>
      <c r="P67" t="n">
        <v>0</v>
      </c>
      <c r="Q67" t="n">
        <v>0</v>
      </c>
      <c r="R67" s="2" t="inlineStr"/>
    </row>
    <row r="68" ht="15" customHeight="1">
      <c r="A68" t="inlineStr">
        <is>
          <t>A 40289-2021</t>
        </is>
      </c>
      <c r="B68" s="1" t="n">
        <v>44419</v>
      </c>
      <c r="C68" s="1" t="n">
        <v>46173</v>
      </c>
      <c r="D68" t="inlineStr">
        <is>
          <t>SÖDERMANLANDS LÄN</t>
        </is>
      </c>
      <c r="E68" t="inlineStr">
        <is>
          <t>KATRINEHOLM</t>
        </is>
      </c>
      <c r="G68" t="n">
        <v>4.7</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46173</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46173</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46173</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48166-2022</t>
        </is>
      </c>
      <c r="B72" s="1" t="n">
        <v>44853</v>
      </c>
      <c r="C72" s="1" t="n">
        <v>46173</v>
      </c>
      <c r="D72" t="inlineStr">
        <is>
          <t>SÖDERMANLANDS LÄN</t>
        </is>
      </c>
      <c r="E72" t="inlineStr">
        <is>
          <t>KATRINEHOLM</t>
        </is>
      </c>
      <c r="F72" t="inlineStr">
        <is>
          <t>Övriga statliga verk och myndigheter</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46173</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73929-2021</t>
        </is>
      </c>
      <c r="B74" s="1" t="n">
        <v>44553</v>
      </c>
      <c r="C74" s="1" t="n">
        <v>46173</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46173</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46173</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46173</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46173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46173</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46173</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46173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46173</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46173</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46173</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46173</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46173</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46173</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46173</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46173</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46173</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46173</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46173</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46173</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46173</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46173</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46173</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46173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46173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46173</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46173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46173</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46173</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46173</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46173</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46173</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46173</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46173</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46173</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46173</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46173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46173</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46173</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46173</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46173</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46173</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46173</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46173</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46173</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33753-2022</t>
        </is>
      </c>
      <c r="B122" s="1" t="n">
        <v>44789</v>
      </c>
      <c r="C122" s="1" t="n">
        <v>46173</v>
      </c>
      <c r="D122" t="inlineStr">
        <is>
          <t>SÖDERMANLANDS LÄN</t>
        </is>
      </c>
      <c r="E122" t="inlineStr">
        <is>
          <t>KATRINEHOLM</t>
        </is>
      </c>
      <c r="G122" t="n">
        <v>4.9</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46173</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60596-2021</t>
        </is>
      </c>
      <c r="B124" s="1" t="n">
        <v>44496.58033564815</v>
      </c>
      <c r="C124" s="1" t="n">
        <v>46173</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46173</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53791-2021</t>
        </is>
      </c>
      <c r="B126" s="1" t="n">
        <v>44467</v>
      </c>
      <c r="C126" s="1" t="n">
        <v>46173</v>
      </c>
      <c r="D126" t="inlineStr">
        <is>
          <t>SÖDERMANLANDS LÄN</t>
        </is>
      </c>
      <c r="E126" t="inlineStr">
        <is>
          <t>KATRINEHOLM</t>
        </is>
      </c>
      <c r="G126" t="n">
        <v>2.7</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46173</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46173</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46173</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46173</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52044-2021</t>
        </is>
      </c>
      <c r="B131" s="1" t="n">
        <v>44463</v>
      </c>
      <c r="C131" s="1" t="n">
        <v>46173</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34794-2021</t>
        </is>
      </c>
      <c r="B132" s="1" t="n">
        <v>44383.23978009259</v>
      </c>
      <c r="C132" s="1" t="n">
        <v>46173</v>
      </c>
      <c r="D132" t="inlineStr">
        <is>
          <t>SÖDERMANLANDS LÄN</t>
        </is>
      </c>
      <c r="E132" t="inlineStr">
        <is>
          <t>KATRINEHOLM</t>
        </is>
      </c>
      <c r="G132" t="n">
        <v>4.1</v>
      </c>
      <c r="H132" t="n">
        <v>0</v>
      </c>
      <c r="I132" t="n">
        <v>0</v>
      </c>
      <c r="J132" t="n">
        <v>0</v>
      </c>
      <c r="K132" t="n">
        <v>0</v>
      </c>
      <c r="L132" t="n">
        <v>0</v>
      </c>
      <c r="M132" t="n">
        <v>0</v>
      </c>
      <c r="N132" t="n">
        <v>0</v>
      </c>
      <c r="O132" t="n">
        <v>0</v>
      </c>
      <c r="P132" t="n">
        <v>0</v>
      </c>
      <c r="Q132" t="n">
        <v>0</v>
      </c>
      <c r="R132" s="2" t="inlineStr"/>
    </row>
    <row r="133" ht="15" customHeight="1">
      <c r="A133" t="inlineStr">
        <is>
          <t>A 39527-2021</t>
        </is>
      </c>
      <c r="B133" s="1" t="n">
        <v>44415</v>
      </c>
      <c r="C133" s="1" t="n">
        <v>46173</v>
      </c>
      <c r="D133" t="inlineStr">
        <is>
          <t>SÖDERMANLANDS LÄN</t>
        </is>
      </c>
      <c r="E133" t="inlineStr">
        <is>
          <t>KATRINEHOLM</t>
        </is>
      </c>
      <c r="G133" t="n">
        <v>0.9</v>
      </c>
      <c r="H133" t="n">
        <v>0</v>
      </c>
      <c r="I133" t="n">
        <v>0</v>
      </c>
      <c r="J133" t="n">
        <v>0</v>
      </c>
      <c r="K133" t="n">
        <v>0</v>
      </c>
      <c r="L133" t="n">
        <v>0</v>
      </c>
      <c r="M133" t="n">
        <v>0</v>
      </c>
      <c r="N133" t="n">
        <v>0</v>
      </c>
      <c r="O133" t="n">
        <v>0</v>
      </c>
      <c r="P133" t="n">
        <v>0</v>
      </c>
      <c r="Q133" t="n">
        <v>0</v>
      </c>
      <c r="R133" s="2" t="inlineStr"/>
    </row>
    <row r="134" ht="15" customHeight="1">
      <c r="A134" t="inlineStr">
        <is>
          <t>A 912-2022</t>
        </is>
      </c>
      <c r="B134" s="1" t="n">
        <v>44571</v>
      </c>
      <c r="C134" s="1" t="n">
        <v>46173</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7189-2022</t>
        </is>
      </c>
      <c r="B135" s="1" t="n">
        <v>44605</v>
      </c>
      <c r="C135" s="1" t="n">
        <v>46173</v>
      </c>
      <c r="D135" t="inlineStr">
        <is>
          <t>SÖDERMANLANDS LÄN</t>
        </is>
      </c>
      <c r="E135" t="inlineStr">
        <is>
          <t>KATRINEHOLM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54698-2021</t>
        </is>
      </c>
      <c r="B136" s="1" t="n">
        <v>44473</v>
      </c>
      <c r="C136" s="1" t="n">
        <v>46173</v>
      </c>
      <c r="D136" t="inlineStr">
        <is>
          <t>SÖDERMANLANDS LÄN</t>
        </is>
      </c>
      <c r="E136" t="inlineStr">
        <is>
          <t>KATRINEHOLM</t>
        </is>
      </c>
      <c r="F136" t="inlineStr">
        <is>
          <t>Holmen skog AB</t>
        </is>
      </c>
      <c r="G136" t="n">
        <v>1.7</v>
      </c>
      <c r="H136" t="n">
        <v>0</v>
      </c>
      <c r="I136" t="n">
        <v>0</v>
      </c>
      <c r="J136" t="n">
        <v>0</v>
      </c>
      <c r="K136" t="n">
        <v>0</v>
      </c>
      <c r="L136" t="n">
        <v>0</v>
      </c>
      <c r="M136" t="n">
        <v>0</v>
      </c>
      <c r="N136" t="n">
        <v>0</v>
      </c>
      <c r="O136" t="n">
        <v>0</v>
      </c>
      <c r="P136" t="n">
        <v>0</v>
      </c>
      <c r="Q136" t="n">
        <v>0</v>
      </c>
      <c r="R136" s="2" t="inlineStr"/>
    </row>
    <row r="137" ht="15" customHeight="1">
      <c r="A137" t="inlineStr">
        <is>
          <t>A 49784-2021</t>
        </is>
      </c>
      <c r="B137" s="1" t="n">
        <v>44455</v>
      </c>
      <c r="C137" s="1" t="n">
        <v>46173</v>
      </c>
      <c r="D137" t="inlineStr">
        <is>
          <t>SÖDERMANLANDS LÄN</t>
        </is>
      </c>
      <c r="E137" t="inlineStr">
        <is>
          <t>KATRINEHOLM</t>
        </is>
      </c>
      <c r="G137" t="n">
        <v>2.2</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46173</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36964-2021</t>
        </is>
      </c>
      <c r="B139" s="1" t="n">
        <v>44393</v>
      </c>
      <c r="C139" s="1" t="n">
        <v>46173</v>
      </c>
      <c r="D139" t="inlineStr">
        <is>
          <t>SÖDERMANLANDS LÄN</t>
        </is>
      </c>
      <c r="E139" t="inlineStr">
        <is>
          <t>KATRINEHOLM</t>
        </is>
      </c>
      <c r="G139" t="n">
        <v>3.5</v>
      </c>
      <c r="H139" t="n">
        <v>0</v>
      </c>
      <c r="I139" t="n">
        <v>0</v>
      </c>
      <c r="J139" t="n">
        <v>0</v>
      </c>
      <c r="K139" t="n">
        <v>0</v>
      </c>
      <c r="L139" t="n">
        <v>0</v>
      </c>
      <c r="M139" t="n">
        <v>0</v>
      </c>
      <c r="N139" t="n">
        <v>0</v>
      </c>
      <c r="O139" t="n">
        <v>0</v>
      </c>
      <c r="P139" t="n">
        <v>0</v>
      </c>
      <c r="Q139" t="n">
        <v>0</v>
      </c>
      <c r="R139" s="2" t="inlineStr"/>
    </row>
    <row r="140" ht="15" customHeight="1">
      <c r="A140" t="inlineStr">
        <is>
          <t>A 30981-2022</t>
        </is>
      </c>
      <c r="B140" s="1" t="n">
        <v>44768</v>
      </c>
      <c r="C140" s="1" t="n">
        <v>46173</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53822-2023</t>
        </is>
      </c>
      <c r="B141" s="1" t="n">
        <v>45231.40846064815</v>
      </c>
      <c r="C141" s="1" t="n">
        <v>46173</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46173</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46173</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46173</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12658-2022</t>
        </is>
      </c>
      <c r="B145" s="1" t="n">
        <v>44641</v>
      </c>
      <c r="C145" s="1" t="n">
        <v>46173</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46412-2022</t>
        </is>
      </c>
      <c r="B146" s="1" t="n">
        <v>44848.42216435185</v>
      </c>
      <c r="C146" s="1" t="n">
        <v>46173</v>
      </c>
      <c r="D146" t="inlineStr">
        <is>
          <t>SÖDERMANLANDS LÄN</t>
        </is>
      </c>
      <c r="E146" t="inlineStr">
        <is>
          <t>KATRINEHOLM</t>
        </is>
      </c>
      <c r="G146" t="n">
        <v>0.8</v>
      </c>
      <c r="H146" t="n">
        <v>0</v>
      </c>
      <c r="I146" t="n">
        <v>0</v>
      </c>
      <c r="J146" t="n">
        <v>0</v>
      </c>
      <c r="K146" t="n">
        <v>0</v>
      </c>
      <c r="L146" t="n">
        <v>0</v>
      </c>
      <c r="M146" t="n">
        <v>0</v>
      </c>
      <c r="N146" t="n">
        <v>0</v>
      </c>
      <c r="O146" t="n">
        <v>0</v>
      </c>
      <c r="P146" t="n">
        <v>0</v>
      </c>
      <c r="Q146" t="n">
        <v>0</v>
      </c>
      <c r="R146" s="2" t="inlineStr"/>
    </row>
    <row r="147" ht="15" customHeight="1">
      <c r="A147" t="inlineStr">
        <is>
          <t>A 6789-2022</t>
        </is>
      </c>
      <c r="B147" s="1" t="n">
        <v>44602</v>
      </c>
      <c r="C147" s="1" t="n">
        <v>46173</v>
      </c>
      <c r="D147" t="inlineStr">
        <is>
          <t>SÖDERMANLANDS LÄN</t>
        </is>
      </c>
      <c r="E147" t="inlineStr">
        <is>
          <t>KATRINEHOLM</t>
        </is>
      </c>
      <c r="G147" t="n">
        <v>4.6</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46173</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46173</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46173</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46173</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46173</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56572-2021</t>
        </is>
      </c>
      <c r="B153" s="1" t="n">
        <v>44480</v>
      </c>
      <c r="C153" s="1" t="n">
        <v>46173</v>
      </c>
      <c r="D153" t="inlineStr">
        <is>
          <t>SÖDERMANLANDS LÄN</t>
        </is>
      </c>
      <c r="E153" t="inlineStr">
        <is>
          <t>KATRINEHOLM</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46173</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46173</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46173</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46173</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9419-2022</t>
        </is>
      </c>
      <c r="B158" s="1" t="n">
        <v>44616</v>
      </c>
      <c r="C158" s="1" t="n">
        <v>46173</v>
      </c>
      <c r="D158" t="inlineStr">
        <is>
          <t>SÖDERMANLANDS LÄN</t>
        </is>
      </c>
      <c r="E158" t="inlineStr">
        <is>
          <t>KATRINEHOLM</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46173</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46173</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46173</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46173</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46173</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46173</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46173</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46173</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46173</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45038-2022</t>
        </is>
      </c>
      <c r="B168" s="1" t="n">
        <v>44840</v>
      </c>
      <c r="C168" s="1" t="n">
        <v>46173</v>
      </c>
      <c r="D168" t="inlineStr">
        <is>
          <t>SÖDERMANLANDS LÄN</t>
        </is>
      </c>
      <c r="E168" t="inlineStr">
        <is>
          <t>KATRINEHOLM</t>
        </is>
      </c>
      <c r="G168" t="n">
        <v>3.6</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46173</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46173</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34625-2022</t>
        </is>
      </c>
      <c r="B171" s="1" t="n">
        <v>44795.44392361111</v>
      </c>
      <c r="C171" s="1" t="n">
        <v>46173</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32733-2021</t>
        </is>
      </c>
      <c r="B172" s="1" t="n">
        <v>44375</v>
      </c>
      <c r="C172" s="1" t="n">
        <v>46173</v>
      </c>
      <c r="D172" t="inlineStr">
        <is>
          <t>SÖDERMANLANDS LÄN</t>
        </is>
      </c>
      <c r="E172" t="inlineStr">
        <is>
          <t>KATRINEHOLM</t>
        </is>
      </c>
      <c r="G172" t="n">
        <v>9</v>
      </c>
      <c r="H172" t="n">
        <v>0</v>
      </c>
      <c r="I172" t="n">
        <v>0</v>
      </c>
      <c r="J172" t="n">
        <v>0</v>
      </c>
      <c r="K172" t="n">
        <v>0</v>
      </c>
      <c r="L172" t="n">
        <v>0</v>
      </c>
      <c r="M172" t="n">
        <v>0</v>
      </c>
      <c r="N172" t="n">
        <v>0</v>
      </c>
      <c r="O172" t="n">
        <v>0</v>
      </c>
      <c r="P172" t="n">
        <v>0</v>
      </c>
      <c r="Q172" t="n">
        <v>0</v>
      </c>
      <c r="R172" s="2" t="inlineStr"/>
      <c r="U172">
        <f>HYPERLINK("https://klasma.github.io/Logging_0483/knärot/A 32733-2021 karta knärot.png", "A 32733-2021")</f>
        <v/>
      </c>
      <c r="V172">
        <f>HYPERLINK("https://klasma.github.io/Logging_0483/klagomål/A 32733-2021 FSC-klagomål.docx", "A 32733-2021")</f>
        <v/>
      </c>
      <c r="W172">
        <f>HYPERLINK("https://klasma.github.io/Logging_0483/klagomålsmail/A 32733-2021 FSC-klagomål mail.docx", "A 32733-2021")</f>
        <v/>
      </c>
      <c r="X172">
        <f>HYPERLINK("https://klasma.github.io/Logging_0483/tillsyn/A 32733-2021 tillsynsbegäran.docx", "A 32733-2021")</f>
        <v/>
      </c>
      <c r="Y172">
        <f>HYPERLINK("https://klasma.github.io/Logging_0483/tillsynsmail/A 32733-2021 tillsynsbegäran mail.docx", "A 32733-2021")</f>
        <v/>
      </c>
    </row>
    <row r="173" ht="15" customHeight="1">
      <c r="A173" t="inlineStr">
        <is>
          <t>A 41642-2022</t>
        </is>
      </c>
      <c r="B173" s="1" t="n">
        <v>44827</v>
      </c>
      <c r="C173" s="1" t="n">
        <v>46173</v>
      </c>
      <c r="D173" t="inlineStr">
        <is>
          <t>SÖDERMANLANDS LÄN</t>
        </is>
      </c>
      <c r="E173" t="inlineStr">
        <is>
          <t>KATRINEHOLM</t>
        </is>
      </c>
      <c r="G173" t="n">
        <v>2.4</v>
      </c>
      <c r="H173" t="n">
        <v>0</v>
      </c>
      <c r="I173" t="n">
        <v>0</v>
      </c>
      <c r="J173" t="n">
        <v>0</v>
      </c>
      <c r="K173" t="n">
        <v>0</v>
      </c>
      <c r="L173" t="n">
        <v>0</v>
      </c>
      <c r="M173" t="n">
        <v>0</v>
      </c>
      <c r="N173" t="n">
        <v>0</v>
      </c>
      <c r="O173" t="n">
        <v>0</v>
      </c>
      <c r="P173" t="n">
        <v>0</v>
      </c>
      <c r="Q173" t="n">
        <v>0</v>
      </c>
      <c r="R173" s="2" t="inlineStr"/>
    </row>
    <row r="174" ht="15" customHeight="1">
      <c r="A174" t="inlineStr">
        <is>
          <t>A 45793-2022</t>
        </is>
      </c>
      <c r="B174" s="1" t="n">
        <v>44844</v>
      </c>
      <c r="C174" s="1" t="n">
        <v>46173</v>
      </c>
      <c r="D174" t="inlineStr">
        <is>
          <t>SÖDERMANLANDS LÄN</t>
        </is>
      </c>
      <c r="E174" t="inlineStr">
        <is>
          <t>KATRINEHOLM</t>
        </is>
      </c>
      <c r="G174" t="n">
        <v>2.3</v>
      </c>
      <c r="H174" t="n">
        <v>0</v>
      </c>
      <c r="I174" t="n">
        <v>0</v>
      </c>
      <c r="J174" t="n">
        <v>0</v>
      </c>
      <c r="K174" t="n">
        <v>0</v>
      </c>
      <c r="L174" t="n">
        <v>0</v>
      </c>
      <c r="M174" t="n">
        <v>0</v>
      </c>
      <c r="N174" t="n">
        <v>0</v>
      </c>
      <c r="O174" t="n">
        <v>0</v>
      </c>
      <c r="P174" t="n">
        <v>0</v>
      </c>
      <c r="Q174" t="n">
        <v>0</v>
      </c>
      <c r="R174" s="2" t="inlineStr"/>
    </row>
    <row r="175" ht="15" customHeight="1">
      <c r="A175" t="inlineStr">
        <is>
          <t>A 24098-2022</t>
        </is>
      </c>
      <c r="B175" s="1" t="n">
        <v>44725</v>
      </c>
      <c r="C175" s="1" t="n">
        <v>46173</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46173</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46173</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29702-2021</t>
        </is>
      </c>
      <c r="B178" s="1" t="n">
        <v>44362</v>
      </c>
      <c r="C178" s="1" t="n">
        <v>46173</v>
      </c>
      <c r="D178" t="inlineStr">
        <is>
          <t>SÖDERMANLANDS LÄN</t>
        </is>
      </c>
      <c r="E178" t="inlineStr">
        <is>
          <t>KATRINEHOLM</t>
        </is>
      </c>
      <c r="F178" t="inlineStr">
        <is>
          <t>Holmen skog AB</t>
        </is>
      </c>
      <c r="G178" t="n">
        <v>0.3</v>
      </c>
      <c r="H178" t="n">
        <v>0</v>
      </c>
      <c r="I178" t="n">
        <v>0</v>
      </c>
      <c r="J178" t="n">
        <v>0</v>
      </c>
      <c r="K178" t="n">
        <v>0</v>
      </c>
      <c r="L178" t="n">
        <v>0</v>
      </c>
      <c r="M178" t="n">
        <v>0</v>
      </c>
      <c r="N178" t="n">
        <v>0</v>
      </c>
      <c r="O178" t="n">
        <v>0</v>
      </c>
      <c r="P178" t="n">
        <v>0</v>
      </c>
      <c r="Q178" t="n">
        <v>0</v>
      </c>
      <c r="R178" s="2" t="inlineStr"/>
    </row>
    <row r="179" ht="15" customHeight="1">
      <c r="A179" t="inlineStr">
        <is>
          <t>A 4662-2023</t>
        </is>
      </c>
      <c r="B179" s="1" t="n">
        <v>44957</v>
      </c>
      <c r="C179" s="1" t="n">
        <v>46173</v>
      </c>
      <c r="D179" t="inlineStr">
        <is>
          <t>SÖDERMANLANDS LÄN</t>
        </is>
      </c>
      <c r="E179" t="inlineStr">
        <is>
          <t>KATRINEHOLM</t>
        </is>
      </c>
      <c r="F179" t="inlineStr">
        <is>
          <t>Holmen skog AB</t>
        </is>
      </c>
      <c r="G179" t="n">
        <v>0.4</v>
      </c>
      <c r="H179" t="n">
        <v>0</v>
      </c>
      <c r="I179" t="n">
        <v>0</v>
      </c>
      <c r="J179" t="n">
        <v>0</v>
      </c>
      <c r="K179" t="n">
        <v>0</v>
      </c>
      <c r="L179" t="n">
        <v>0</v>
      </c>
      <c r="M179" t="n">
        <v>0</v>
      </c>
      <c r="N179" t="n">
        <v>0</v>
      </c>
      <c r="O179" t="n">
        <v>0</v>
      </c>
      <c r="P179" t="n">
        <v>0</v>
      </c>
      <c r="Q179" t="n">
        <v>0</v>
      </c>
      <c r="R179" s="2" t="inlineStr"/>
    </row>
    <row r="180" ht="15" customHeight="1">
      <c r="A180" t="inlineStr">
        <is>
          <t>A 45438-2021</t>
        </is>
      </c>
      <c r="B180" s="1" t="n">
        <v>44440</v>
      </c>
      <c r="C180" s="1" t="n">
        <v>46173</v>
      </c>
      <c r="D180" t="inlineStr">
        <is>
          <t>SÖDERMANLANDS LÄN</t>
        </is>
      </c>
      <c r="E180" t="inlineStr">
        <is>
          <t>KATRINEHOLM</t>
        </is>
      </c>
      <c r="F180" t="inlineStr">
        <is>
          <t>Kommuner</t>
        </is>
      </c>
      <c r="G180" t="n">
        <v>1.5</v>
      </c>
      <c r="H180" t="n">
        <v>0</v>
      </c>
      <c r="I180" t="n">
        <v>0</v>
      </c>
      <c r="J180" t="n">
        <v>0</v>
      </c>
      <c r="K180" t="n">
        <v>0</v>
      </c>
      <c r="L180" t="n">
        <v>0</v>
      </c>
      <c r="M180" t="n">
        <v>0</v>
      </c>
      <c r="N180" t="n">
        <v>0</v>
      </c>
      <c r="O180" t="n">
        <v>0</v>
      </c>
      <c r="P180" t="n">
        <v>0</v>
      </c>
      <c r="Q180" t="n">
        <v>0</v>
      </c>
      <c r="R180" s="2" t="inlineStr"/>
    </row>
    <row r="181" ht="15" customHeight="1">
      <c r="A181" t="inlineStr">
        <is>
          <t>A 22304-2024</t>
        </is>
      </c>
      <c r="B181" s="1" t="n">
        <v>45446.56626157407</v>
      </c>
      <c r="C181" s="1" t="n">
        <v>46173</v>
      </c>
      <c r="D181" t="inlineStr">
        <is>
          <t>SÖDERMANLANDS LÄN</t>
        </is>
      </c>
      <c r="E181" t="inlineStr">
        <is>
          <t>KATRINEHOLM</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46173</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13171-2024</t>
        </is>
      </c>
      <c r="B183" s="1" t="n">
        <v>45386</v>
      </c>
      <c r="C183" s="1" t="n">
        <v>46173</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15184-2023</t>
        </is>
      </c>
      <c r="B184" s="1" t="n">
        <v>45016</v>
      </c>
      <c r="C184" s="1" t="n">
        <v>46173</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46173</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33752-2023</t>
        </is>
      </c>
      <c r="B186" s="1" t="n">
        <v>45120</v>
      </c>
      <c r="C186" s="1" t="n">
        <v>46173</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45147-2021</t>
        </is>
      </c>
      <c r="B187" s="1" t="n">
        <v>44439</v>
      </c>
      <c r="C187" s="1" t="n">
        <v>46173</v>
      </c>
      <c r="D187" t="inlineStr">
        <is>
          <t>SÖDERMANLANDS LÄN</t>
        </is>
      </c>
      <c r="E187" t="inlineStr">
        <is>
          <t>KATRINEHOLM</t>
        </is>
      </c>
      <c r="G187" t="n">
        <v>3.2</v>
      </c>
      <c r="H187" t="n">
        <v>0</v>
      </c>
      <c r="I187" t="n">
        <v>0</v>
      </c>
      <c r="J187" t="n">
        <v>0</v>
      </c>
      <c r="K187" t="n">
        <v>0</v>
      </c>
      <c r="L187" t="n">
        <v>0</v>
      </c>
      <c r="M187" t="n">
        <v>0</v>
      </c>
      <c r="N187" t="n">
        <v>0</v>
      </c>
      <c r="O187" t="n">
        <v>0</v>
      </c>
      <c r="P187" t="n">
        <v>0</v>
      </c>
      <c r="Q187" t="n">
        <v>0</v>
      </c>
      <c r="R187" s="2" t="inlineStr"/>
    </row>
    <row r="188" ht="15" customHeight="1">
      <c r="A188" t="inlineStr">
        <is>
          <t>A 28652-2024</t>
        </is>
      </c>
      <c r="B188" s="1" t="n">
        <v>45478</v>
      </c>
      <c r="C188" s="1" t="n">
        <v>46173</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9936-2023</t>
        </is>
      </c>
      <c r="B189" s="1" t="n">
        <v>44985.47086805556</v>
      </c>
      <c r="C189" s="1" t="n">
        <v>46173</v>
      </c>
      <c r="D189" t="inlineStr">
        <is>
          <t>SÖDERMANLANDS LÄN</t>
        </is>
      </c>
      <c r="E189" t="inlineStr">
        <is>
          <t>KATRINEHOLM</t>
        </is>
      </c>
      <c r="G189" t="n">
        <v>0.4</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46173</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4387-2024</t>
        </is>
      </c>
      <c r="B191" s="1" t="n">
        <v>45327.35068287037</v>
      </c>
      <c r="C191" s="1" t="n">
        <v>46173</v>
      </c>
      <c r="D191" t="inlineStr">
        <is>
          <t>SÖDERMANLANDS LÄN</t>
        </is>
      </c>
      <c r="E191" t="inlineStr">
        <is>
          <t>KATRINEHOLM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9192-2023</t>
        </is>
      </c>
      <c r="B192" s="1" t="n">
        <v>44980</v>
      </c>
      <c r="C192" s="1" t="n">
        <v>46173</v>
      </c>
      <c r="D192" t="inlineStr">
        <is>
          <t>SÖDERMANLANDS LÄN</t>
        </is>
      </c>
      <c r="E192" t="inlineStr">
        <is>
          <t>KATRINEHOLM</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72984-2021</t>
        </is>
      </c>
      <c r="B193" s="1" t="n">
        <v>44549.74741898148</v>
      </c>
      <c r="C193" s="1" t="n">
        <v>46173</v>
      </c>
      <c r="D193" t="inlineStr">
        <is>
          <t>SÖDERMANLANDS LÄN</t>
        </is>
      </c>
      <c r="E193" t="inlineStr">
        <is>
          <t>KATRINEHOLM</t>
        </is>
      </c>
      <c r="G193" t="n">
        <v>4.9</v>
      </c>
      <c r="H193" t="n">
        <v>0</v>
      </c>
      <c r="I193" t="n">
        <v>0</v>
      </c>
      <c r="J193" t="n">
        <v>0</v>
      </c>
      <c r="K193" t="n">
        <v>0</v>
      </c>
      <c r="L193" t="n">
        <v>0</v>
      </c>
      <c r="M193" t="n">
        <v>0</v>
      </c>
      <c r="N193" t="n">
        <v>0</v>
      </c>
      <c r="O193" t="n">
        <v>0</v>
      </c>
      <c r="P193" t="n">
        <v>0</v>
      </c>
      <c r="Q193" t="n">
        <v>0</v>
      </c>
      <c r="R193" s="2" t="inlineStr"/>
    </row>
    <row r="194" ht="15" customHeight="1">
      <c r="A194" t="inlineStr">
        <is>
          <t>A 50061-2022</t>
        </is>
      </c>
      <c r="B194" s="1" t="n">
        <v>44865</v>
      </c>
      <c r="C194" s="1" t="n">
        <v>46173</v>
      </c>
      <c r="D194" t="inlineStr">
        <is>
          <t>SÖDERMANLANDS LÄN</t>
        </is>
      </c>
      <c r="E194" t="inlineStr">
        <is>
          <t>KATRINEHOLM</t>
        </is>
      </c>
      <c r="G194" t="n">
        <v>4.9</v>
      </c>
      <c r="H194" t="n">
        <v>0</v>
      </c>
      <c r="I194" t="n">
        <v>0</v>
      </c>
      <c r="J194" t="n">
        <v>0</v>
      </c>
      <c r="K194" t="n">
        <v>0</v>
      </c>
      <c r="L194" t="n">
        <v>0</v>
      </c>
      <c r="M194" t="n">
        <v>0</v>
      </c>
      <c r="N194" t="n">
        <v>0</v>
      </c>
      <c r="O194" t="n">
        <v>0</v>
      </c>
      <c r="P194" t="n">
        <v>0</v>
      </c>
      <c r="Q194" t="n">
        <v>0</v>
      </c>
      <c r="R194" s="2" t="inlineStr"/>
    </row>
    <row r="195" ht="15" customHeight="1">
      <c r="A195" t="inlineStr">
        <is>
          <t>A 18386-2025</t>
        </is>
      </c>
      <c r="B195" s="1" t="n">
        <v>45762</v>
      </c>
      <c r="C195" s="1" t="n">
        <v>46173</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33712-2022</t>
        </is>
      </c>
      <c r="B196" s="1" t="n">
        <v>44789</v>
      </c>
      <c r="C196" s="1" t="n">
        <v>46173</v>
      </c>
      <c r="D196" t="inlineStr">
        <is>
          <t>SÖDERMANLANDS LÄN</t>
        </is>
      </c>
      <c r="E196" t="inlineStr">
        <is>
          <t>KATRINEHOLM</t>
        </is>
      </c>
      <c r="G196" t="n">
        <v>4.3</v>
      </c>
      <c r="H196" t="n">
        <v>0</v>
      </c>
      <c r="I196" t="n">
        <v>0</v>
      </c>
      <c r="J196" t="n">
        <v>0</v>
      </c>
      <c r="K196" t="n">
        <v>0</v>
      </c>
      <c r="L196" t="n">
        <v>0</v>
      </c>
      <c r="M196" t="n">
        <v>0</v>
      </c>
      <c r="N196" t="n">
        <v>0</v>
      </c>
      <c r="O196" t="n">
        <v>0</v>
      </c>
      <c r="P196" t="n">
        <v>0</v>
      </c>
      <c r="Q196" t="n">
        <v>0</v>
      </c>
      <c r="R196" s="2" t="inlineStr"/>
    </row>
    <row r="197" ht="15" customHeight="1">
      <c r="A197" t="inlineStr">
        <is>
          <t>A 33717-2022</t>
        </is>
      </c>
      <c r="B197" s="1" t="n">
        <v>44789</v>
      </c>
      <c r="C197" s="1" t="n">
        <v>46173</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51440-2024</t>
        </is>
      </c>
      <c r="B198" s="1" t="n">
        <v>45604</v>
      </c>
      <c r="C198" s="1" t="n">
        <v>46173</v>
      </c>
      <c r="D198" t="inlineStr">
        <is>
          <t>SÖDERMANLANDS LÄN</t>
        </is>
      </c>
      <c r="E198" t="inlineStr">
        <is>
          <t>KATRINEHOLM</t>
        </is>
      </c>
      <c r="G198" t="n">
        <v>4.7</v>
      </c>
      <c r="H198" t="n">
        <v>0</v>
      </c>
      <c r="I198" t="n">
        <v>0</v>
      </c>
      <c r="J198" t="n">
        <v>0</v>
      </c>
      <c r="K198" t="n">
        <v>0</v>
      </c>
      <c r="L198" t="n">
        <v>0</v>
      </c>
      <c r="M198" t="n">
        <v>0</v>
      </c>
      <c r="N198" t="n">
        <v>0</v>
      </c>
      <c r="O198" t="n">
        <v>0</v>
      </c>
      <c r="P198" t="n">
        <v>0</v>
      </c>
      <c r="Q198" t="n">
        <v>0</v>
      </c>
      <c r="R198" s="2" t="inlineStr"/>
    </row>
    <row r="199" ht="15" customHeight="1">
      <c r="A199" t="inlineStr">
        <is>
          <t>A 14313-2024</t>
        </is>
      </c>
      <c r="B199" s="1" t="n">
        <v>45393</v>
      </c>
      <c r="C199" s="1" t="n">
        <v>46173</v>
      </c>
      <c r="D199" t="inlineStr">
        <is>
          <t>SÖDERMANLANDS LÄN</t>
        </is>
      </c>
      <c r="E199" t="inlineStr">
        <is>
          <t>KATRINEHOLM</t>
        </is>
      </c>
      <c r="G199" t="n">
        <v>3.1</v>
      </c>
      <c r="H199" t="n">
        <v>0</v>
      </c>
      <c r="I199" t="n">
        <v>0</v>
      </c>
      <c r="J199" t="n">
        <v>0</v>
      </c>
      <c r="K199" t="n">
        <v>0</v>
      </c>
      <c r="L199" t="n">
        <v>0</v>
      </c>
      <c r="M199" t="n">
        <v>0</v>
      </c>
      <c r="N199" t="n">
        <v>0</v>
      </c>
      <c r="O199" t="n">
        <v>0</v>
      </c>
      <c r="P199" t="n">
        <v>0</v>
      </c>
      <c r="Q199" t="n">
        <v>0</v>
      </c>
      <c r="R199" s="2" t="inlineStr"/>
    </row>
    <row r="200" ht="15" customHeight="1">
      <c r="A200" t="inlineStr">
        <is>
          <t>A 12938-2023</t>
        </is>
      </c>
      <c r="B200" s="1" t="n">
        <v>45001</v>
      </c>
      <c r="C200" s="1" t="n">
        <v>46173</v>
      </c>
      <c r="D200" t="inlineStr">
        <is>
          <t>SÖDERMANLANDS LÄN</t>
        </is>
      </c>
      <c r="E200" t="inlineStr">
        <is>
          <t>KATRINEHOLM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51260-2021</t>
        </is>
      </c>
      <c r="B201" s="1" t="n">
        <v>44461</v>
      </c>
      <c r="C201" s="1" t="n">
        <v>46173</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38879-2024</t>
        </is>
      </c>
      <c r="B202" s="1" t="n">
        <v>45547</v>
      </c>
      <c r="C202" s="1" t="n">
        <v>46173</v>
      </c>
      <c r="D202" t="inlineStr">
        <is>
          <t>SÖDERMANLANDS LÄN</t>
        </is>
      </c>
      <c r="E202" t="inlineStr">
        <is>
          <t>KATRINEHOLM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7398-2024</t>
        </is>
      </c>
      <c r="B203" s="1" t="n">
        <v>45345</v>
      </c>
      <c r="C203" s="1" t="n">
        <v>46173</v>
      </c>
      <c r="D203" t="inlineStr">
        <is>
          <t>SÖDERMANLANDS LÄN</t>
        </is>
      </c>
      <c r="E203" t="inlineStr">
        <is>
          <t>KATRINEHOLM</t>
        </is>
      </c>
      <c r="G203" t="n">
        <v>4.4</v>
      </c>
      <c r="H203" t="n">
        <v>0</v>
      </c>
      <c r="I203" t="n">
        <v>0</v>
      </c>
      <c r="J203" t="n">
        <v>0</v>
      </c>
      <c r="K203" t="n">
        <v>0</v>
      </c>
      <c r="L203" t="n">
        <v>0</v>
      </c>
      <c r="M203" t="n">
        <v>0</v>
      </c>
      <c r="N203" t="n">
        <v>0</v>
      </c>
      <c r="O203" t="n">
        <v>0</v>
      </c>
      <c r="P203" t="n">
        <v>0</v>
      </c>
      <c r="Q203" t="n">
        <v>0</v>
      </c>
      <c r="R203" s="2" t="inlineStr"/>
    </row>
    <row r="204" ht="15" customHeight="1">
      <c r="A204" t="inlineStr">
        <is>
          <t>A 42945-2023</t>
        </is>
      </c>
      <c r="B204" s="1" t="n">
        <v>45182.5793287037</v>
      </c>
      <c r="C204" s="1" t="n">
        <v>46173</v>
      </c>
      <c r="D204" t="inlineStr">
        <is>
          <t>SÖDERMANLANDS LÄN</t>
        </is>
      </c>
      <c r="E204" t="inlineStr">
        <is>
          <t>KATRINEHOLM</t>
        </is>
      </c>
      <c r="F204" t="inlineStr">
        <is>
          <t>Övriga Aktiebolag</t>
        </is>
      </c>
      <c r="G204" t="n">
        <v>2.2</v>
      </c>
      <c r="H204" t="n">
        <v>0</v>
      </c>
      <c r="I204" t="n">
        <v>0</v>
      </c>
      <c r="J204" t="n">
        <v>0</v>
      </c>
      <c r="K204" t="n">
        <v>0</v>
      </c>
      <c r="L204" t="n">
        <v>0</v>
      </c>
      <c r="M204" t="n">
        <v>0</v>
      </c>
      <c r="N204" t="n">
        <v>0</v>
      </c>
      <c r="O204" t="n">
        <v>0</v>
      </c>
      <c r="P204" t="n">
        <v>0</v>
      </c>
      <c r="Q204" t="n">
        <v>0</v>
      </c>
      <c r="R204" s="2" t="inlineStr"/>
    </row>
    <row r="205" ht="15" customHeight="1">
      <c r="A205" t="inlineStr">
        <is>
          <t>A 42962-2023</t>
        </is>
      </c>
      <c r="B205" s="1" t="n">
        <v>45182</v>
      </c>
      <c r="C205" s="1" t="n">
        <v>46173</v>
      </c>
      <c r="D205" t="inlineStr">
        <is>
          <t>SÖDERMANLANDS LÄN</t>
        </is>
      </c>
      <c r="E205" t="inlineStr">
        <is>
          <t>KATRINEHOLM</t>
        </is>
      </c>
      <c r="F205" t="inlineStr">
        <is>
          <t>Övriga Aktiebolag</t>
        </is>
      </c>
      <c r="G205" t="n">
        <v>10.6</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46173</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30333-2023</t>
        </is>
      </c>
      <c r="B207" s="1" t="n">
        <v>45111</v>
      </c>
      <c r="C207" s="1" t="n">
        <v>46173</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6628-2022</t>
        </is>
      </c>
      <c r="B208" s="1" t="n">
        <v>44601.78850694445</v>
      </c>
      <c r="C208" s="1" t="n">
        <v>46173</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39120-2023</t>
        </is>
      </c>
      <c r="B209" s="1" t="n">
        <v>45165</v>
      </c>
      <c r="C209" s="1" t="n">
        <v>46173</v>
      </c>
      <c r="D209" t="inlineStr">
        <is>
          <t>SÖDERMANLANDS LÄN</t>
        </is>
      </c>
      <c r="E209" t="inlineStr">
        <is>
          <t>KATRINEHOLM</t>
        </is>
      </c>
      <c r="G209" t="n">
        <v>4.4</v>
      </c>
      <c r="H209" t="n">
        <v>0</v>
      </c>
      <c r="I209" t="n">
        <v>0</v>
      </c>
      <c r="J209" t="n">
        <v>0</v>
      </c>
      <c r="K209" t="n">
        <v>0</v>
      </c>
      <c r="L209" t="n">
        <v>0</v>
      </c>
      <c r="M209" t="n">
        <v>0</v>
      </c>
      <c r="N209" t="n">
        <v>0</v>
      </c>
      <c r="O209" t="n">
        <v>0</v>
      </c>
      <c r="P209" t="n">
        <v>0</v>
      </c>
      <c r="Q209" t="n">
        <v>0</v>
      </c>
      <c r="R209" s="2" t="inlineStr"/>
    </row>
    <row r="210" ht="15" customHeight="1">
      <c r="A210" t="inlineStr">
        <is>
          <t>A 8955-2024</t>
        </is>
      </c>
      <c r="B210" s="1" t="n">
        <v>45357.44873842593</v>
      </c>
      <c r="C210" s="1" t="n">
        <v>46173</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38607-2021</t>
        </is>
      </c>
      <c r="B211" s="1" t="n">
        <v>44409.41428240741</v>
      </c>
      <c r="C211" s="1" t="n">
        <v>46173</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24287-2024</t>
        </is>
      </c>
      <c r="B212" s="1" t="n">
        <v>45457</v>
      </c>
      <c r="C212" s="1" t="n">
        <v>46173</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38606-2021</t>
        </is>
      </c>
      <c r="B213" s="1" t="n">
        <v>44409.40363425926</v>
      </c>
      <c r="C213" s="1" t="n">
        <v>46173</v>
      </c>
      <c r="D213" t="inlineStr">
        <is>
          <t>SÖDERMANLANDS LÄN</t>
        </is>
      </c>
      <c r="E213" t="inlineStr">
        <is>
          <t>KATRINEHOLM</t>
        </is>
      </c>
      <c r="G213" t="n">
        <v>2.2</v>
      </c>
      <c r="H213" t="n">
        <v>0</v>
      </c>
      <c r="I213" t="n">
        <v>0</v>
      </c>
      <c r="J213" t="n">
        <v>0</v>
      </c>
      <c r="K213" t="n">
        <v>0</v>
      </c>
      <c r="L213" t="n">
        <v>0</v>
      </c>
      <c r="M213" t="n">
        <v>0</v>
      </c>
      <c r="N213" t="n">
        <v>0</v>
      </c>
      <c r="O213" t="n">
        <v>0</v>
      </c>
      <c r="P213" t="n">
        <v>0</v>
      </c>
      <c r="Q213" t="n">
        <v>0</v>
      </c>
      <c r="R213" s="2" t="inlineStr"/>
    </row>
    <row r="214" ht="15" customHeight="1">
      <c r="A214" t="inlineStr">
        <is>
          <t>A 36001-2024</t>
        </is>
      </c>
      <c r="B214" s="1" t="n">
        <v>45533.54609953704</v>
      </c>
      <c r="C214" s="1" t="n">
        <v>46173</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36-2023</t>
        </is>
      </c>
      <c r="B215" s="1" t="n">
        <v>44928.36578703704</v>
      </c>
      <c r="C215" s="1" t="n">
        <v>46173</v>
      </c>
      <c r="D215" t="inlineStr">
        <is>
          <t>SÖDERMANLANDS LÄN</t>
        </is>
      </c>
      <c r="E215" t="inlineStr">
        <is>
          <t>KATRINEHOLM</t>
        </is>
      </c>
      <c r="G215" t="n">
        <v>3.7</v>
      </c>
      <c r="H215" t="n">
        <v>0</v>
      </c>
      <c r="I215" t="n">
        <v>0</v>
      </c>
      <c r="J215" t="n">
        <v>0</v>
      </c>
      <c r="K215" t="n">
        <v>0</v>
      </c>
      <c r="L215" t="n">
        <v>0</v>
      </c>
      <c r="M215" t="n">
        <v>0</v>
      </c>
      <c r="N215" t="n">
        <v>0</v>
      </c>
      <c r="O215" t="n">
        <v>0</v>
      </c>
      <c r="P215" t="n">
        <v>0</v>
      </c>
      <c r="Q215" t="n">
        <v>0</v>
      </c>
      <c r="R215" s="2" t="inlineStr"/>
    </row>
    <row r="216" ht="15" customHeight="1">
      <c r="A216" t="inlineStr">
        <is>
          <t>A 16605-2025</t>
        </is>
      </c>
      <c r="B216" s="1" t="n">
        <v>45753.61614583333</v>
      </c>
      <c r="C216" s="1" t="n">
        <v>46173</v>
      </c>
      <c r="D216" t="inlineStr">
        <is>
          <t>SÖDERMANLANDS LÄN</t>
        </is>
      </c>
      <c r="E216" t="inlineStr">
        <is>
          <t>KATRINEHOLM</t>
        </is>
      </c>
      <c r="G216" t="n">
        <v>5.2</v>
      </c>
      <c r="H216" t="n">
        <v>0</v>
      </c>
      <c r="I216" t="n">
        <v>0</v>
      </c>
      <c r="J216" t="n">
        <v>0</v>
      </c>
      <c r="K216" t="n">
        <v>0</v>
      </c>
      <c r="L216" t="n">
        <v>0</v>
      </c>
      <c r="M216" t="n">
        <v>0</v>
      </c>
      <c r="N216" t="n">
        <v>0</v>
      </c>
      <c r="O216" t="n">
        <v>0</v>
      </c>
      <c r="P216" t="n">
        <v>0</v>
      </c>
      <c r="Q216" t="n">
        <v>0</v>
      </c>
      <c r="R216" s="2" t="inlineStr"/>
    </row>
    <row r="217" ht="15" customHeight="1">
      <c r="A217" t="inlineStr">
        <is>
          <t>A 40393-2022</t>
        </is>
      </c>
      <c r="B217" s="1" t="n">
        <v>44823</v>
      </c>
      <c r="C217" s="1" t="n">
        <v>46173</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33934-2022</t>
        </is>
      </c>
      <c r="B218" s="1" t="n">
        <v>44790</v>
      </c>
      <c r="C218" s="1" t="n">
        <v>46173</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73409-2021</t>
        </is>
      </c>
      <c r="B219" s="1" t="n">
        <v>44551</v>
      </c>
      <c r="C219" s="1" t="n">
        <v>46173</v>
      </c>
      <c r="D219" t="inlineStr">
        <is>
          <t>SÖDERMANLANDS LÄN</t>
        </is>
      </c>
      <c r="E219" t="inlineStr">
        <is>
          <t>KATRINEHOLM</t>
        </is>
      </c>
      <c r="G219" t="n">
        <v>1.7</v>
      </c>
      <c r="H219" t="n">
        <v>0</v>
      </c>
      <c r="I219" t="n">
        <v>0</v>
      </c>
      <c r="J219" t="n">
        <v>0</v>
      </c>
      <c r="K219" t="n">
        <v>0</v>
      </c>
      <c r="L219" t="n">
        <v>0</v>
      </c>
      <c r="M219" t="n">
        <v>0</v>
      </c>
      <c r="N219" t="n">
        <v>0</v>
      </c>
      <c r="O219" t="n">
        <v>0</v>
      </c>
      <c r="P219" t="n">
        <v>0</v>
      </c>
      <c r="Q219" t="n">
        <v>0</v>
      </c>
      <c r="R219" s="2" t="inlineStr"/>
    </row>
    <row r="220" ht="15" customHeight="1">
      <c r="A220" t="inlineStr">
        <is>
          <t>A 73415-2021</t>
        </is>
      </c>
      <c r="B220" s="1" t="n">
        <v>44551</v>
      </c>
      <c r="C220" s="1" t="n">
        <v>46173</v>
      </c>
      <c r="D220" t="inlineStr">
        <is>
          <t>SÖDERMANLANDS LÄN</t>
        </is>
      </c>
      <c r="E220" t="inlineStr">
        <is>
          <t>KATRINEHOLM</t>
        </is>
      </c>
      <c r="G220" t="n">
        <v>3.2</v>
      </c>
      <c r="H220" t="n">
        <v>0</v>
      </c>
      <c r="I220" t="n">
        <v>0</v>
      </c>
      <c r="J220" t="n">
        <v>0</v>
      </c>
      <c r="K220" t="n">
        <v>0</v>
      </c>
      <c r="L220" t="n">
        <v>0</v>
      </c>
      <c r="M220" t="n">
        <v>0</v>
      </c>
      <c r="N220" t="n">
        <v>0</v>
      </c>
      <c r="O220" t="n">
        <v>0</v>
      </c>
      <c r="P220" t="n">
        <v>0</v>
      </c>
      <c r="Q220" t="n">
        <v>0</v>
      </c>
      <c r="R220" s="2" t="inlineStr"/>
    </row>
    <row r="221" ht="15" customHeight="1">
      <c r="A221" t="inlineStr">
        <is>
          <t>A 74354-2021</t>
        </is>
      </c>
      <c r="B221" s="1" t="n">
        <v>44559.57041666667</v>
      </c>
      <c r="C221" s="1" t="n">
        <v>46173</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9699-2024</t>
        </is>
      </c>
      <c r="B222" s="1" t="n">
        <v>45362</v>
      </c>
      <c r="C222" s="1" t="n">
        <v>46173</v>
      </c>
      <c r="D222" t="inlineStr">
        <is>
          <t>SÖDERMANLANDS LÄN</t>
        </is>
      </c>
      <c r="E222" t="inlineStr">
        <is>
          <t>KATRINEHOLM</t>
        </is>
      </c>
      <c r="G222" t="n">
        <v>7.7</v>
      </c>
      <c r="H222" t="n">
        <v>0</v>
      </c>
      <c r="I222" t="n">
        <v>0</v>
      </c>
      <c r="J222" t="n">
        <v>0</v>
      </c>
      <c r="K222" t="n">
        <v>0</v>
      </c>
      <c r="L222" t="n">
        <v>0</v>
      </c>
      <c r="M222" t="n">
        <v>0</v>
      </c>
      <c r="N222" t="n">
        <v>0</v>
      </c>
      <c r="O222" t="n">
        <v>0</v>
      </c>
      <c r="P222" t="n">
        <v>0</v>
      </c>
      <c r="Q222" t="n">
        <v>0</v>
      </c>
      <c r="R222" s="2" t="inlineStr"/>
    </row>
    <row r="223" ht="15" customHeight="1">
      <c r="A223" t="inlineStr">
        <is>
          <t>A 63188-2021</t>
        </is>
      </c>
      <c r="B223" s="1" t="n">
        <v>44507.56865740741</v>
      </c>
      <c r="C223" s="1" t="n">
        <v>46173</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46569-2022</t>
        </is>
      </c>
      <c r="B224" s="1" t="n">
        <v>44847</v>
      </c>
      <c r="C224" s="1" t="n">
        <v>46173</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19098-2022</t>
        </is>
      </c>
      <c r="B225" s="1" t="n">
        <v>44691.52616898148</v>
      </c>
      <c r="C225" s="1" t="n">
        <v>46173</v>
      </c>
      <c r="D225" t="inlineStr">
        <is>
          <t>SÖDERMANLANDS LÄN</t>
        </is>
      </c>
      <c r="E225" t="inlineStr">
        <is>
          <t>KATRINEHOLM</t>
        </is>
      </c>
      <c r="G225" t="n">
        <v>5.5</v>
      </c>
      <c r="H225" t="n">
        <v>0</v>
      </c>
      <c r="I225" t="n">
        <v>0</v>
      </c>
      <c r="J225" t="n">
        <v>0</v>
      </c>
      <c r="K225" t="n">
        <v>0</v>
      </c>
      <c r="L225" t="n">
        <v>0</v>
      </c>
      <c r="M225" t="n">
        <v>0</v>
      </c>
      <c r="N225" t="n">
        <v>0</v>
      </c>
      <c r="O225" t="n">
        <v>0</v>
      </c>
      <c r="P225" t="n">
        <v>0</v>
      </c>
      <c r="Q225" t="n">
        <v>0</v>
      </c>
      <c r="R225" s="2" t="inlineStr"/>
    </row>
    <row r="226" ht="15" customHeight="1">
      <c r="A226" t="inlineStr">
        <is>
          <t>A 33001-2024</t>
        </is>
      </c>
      <c r="B226" s="1" t="n">
        <v>45517</v>
      </c>
      <c r="C226" s="1" t="n">
        <v>46173</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64713-2023</t>
        </is>
      </c>
      <c r="B227" s="1" t="n">
        <v>45281</v>
      </c>
      <c r="C227" s="1" t="n">
        <v>46173</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51530-2023</t>
        </is>
      </c>
      <c r="B228" s="1" t="n">
        <v>45222</v>
      </c>
      <c r="C228" s="1" t="n">
        <v>46173</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10732-2022</t>
        </is>
      </c>
      <c r="B229" s="1" t="n">
        <v>44627.34033564815</v>
      </c>
      <c r="C229" s="1" t="n">
        <v>46173</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28304-2024</t>
        </is>
      </c>
      <c r="B230" s="1" t="n">
        <v>45477</v>
      </c>
      <c r="C230" s="1" t="n">
        <v>46173</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8457-2023</t>
        </is>
      </c>
      <c r="B231" s="1" t="n">
        <v>44977</v>
      </c>
      <c r="C231" s="1" t="n">
        <v>46173</v>
      </c>
      <c r="D231" t="inlineStr">
        <is>
          <t>SÖDERMANLANDS LÄN</t>
        </is>
      </c>
      <c r="E231" t="inlineStr">
        <is>
          <t>KATRINEHOLM</t>
        </is>
      </c>
      <c r="F231" t="inlineStr">
        <is>
          <t>Allmännings- och besparingsskogar</t>
        </is>
      </c>
      <c r="G231" t="n">
        <v>16.1</v>
      </c>
      <c r="H231" t="n">
        <v>0</v>
      </c>
      <c r="I231" t="n">
        <v>0</v>
      </c>
      <c r="J231" t="n">
        <v>0</v>
      </c>
      <c r="K231" t="n">
        <v>0</v>
      </c>
      <c r="L231" t="n">
        <v>0</v>
      </c>
      <c r="M231" t="n">
        <v>0</v>
      </c>
      <c r="N231" t="n">
        <v>0</v>
      </c>
      <c r="O231" t="n">
        <v>0</v>
      </c>
      <c r="P231" t="n">
        <v>0</v>
      </c>
      <c r="Q231" t="n">
        <v>0</v>
      </c>
      <c r="R231" s="2" t="inlineStr"/>
    </row>
    <row r="232" ht="15" customHeight="1">
      <c r="A232" t="inlineStr">
        <is>
          <t>A 3315-2023</t>
        </is>
      </c>
      <c r="B232" s="1" t="n">
        <v>44945</v>
      </c>
      <c r="C232" s="1" t="n">
        <v>46173</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2093-2025</t>
        </is>
      </c>
      <c r="B233" s="1" t="n">
        <v>45672</v>
      </c>
      <c r="C233" s="1" t="n">
        <v>46173</v>
      </c>
      <c r="D233" t="inlineStr">
        <is>
          <t>SÖDERMANLANDS LÄN</t>
        </is>
      </c>
      <c r="E233" t="inlineStr">
        <is>
          <t>KATRINEHOLM</t>
        </is>
      </c>
      <c r="G233" t="n">
        <v>1.4</v>
      </c>
      <c r="H233" t="n">
        <v>0</v>
      </c>
      <c r="I233" t="n">
        <v>0</v>
      </c>
      <c r="J233" t="n">
        <v>0</v>
      </c>
      <c r="K233" t="n">
        <v>0</v>
      </c>
      <c r="L233" t="n">
        <v>0</v>
      </c>
      <c r="M233" t="n">
        <v>0</v>
      </c>
      <c r="N233" t="n">
        <v>0</v>
      </c>
      <c r="O233" t="n">
        <v>0</v>
      </c>
      <c r="P233" t="n">
        <v>0</v>
      </c>
      <c r="Q233" t="n">
        <v>0</v>
      </c>
      <c r="R233" s="2" t="inlineStr"/>
    </row>
    <row r="234" ht="15" customHeight="1">
      <c r="A234" t="inlineStr">
        <is>
          <t>A 48259-2022</t>
        </is>
      </c>
      <c r="B234" s="1" t="n">
        <v>44858</v>
      </c>
      <c r="C234" s="1" t="n">
        <v>46173</v>
      </c>
      <c r="D234" t="inlineStr">
        <is>
          <t>SÖDERMANLANDS LÄN</t>
        </is>
      </c>
      <c r="E234" t="inlineStr">
        <is>
          <t>KATRINEHOLM</t>
        </is>
      </c>
      <c r="G234" t="n">
        <v>3.5</v>
      </c>
      <c r="H234" t="n">
        <v>0</v>
      </c>
      <c r="I234" t="n">
        <v>0</v>
      </c>
      <c r="J234" t="n">
        <v>0</v>
      </c>
      <c r="K234" t="n">
        <v>0</v>
      </c>
      <c r="L234" t="n">
        <v>0</v>
      </c>
      <c r="M234" t="n">
        <v>0</v>
      </c>
      <c r="N234" t="n">
        <v>0</v>
      </c>
      <c r="O234" t="n">
        <v>0</v>
      </c>
      <c r="P234" t="n">
        <v>0</v>
      </c>
      <c r="Q234" t="n">
        <v>0</v>
      </c>
      <c r="R234" s="2" t="inlineStr"/>
    </row>
    <row r="235" ht="15" customHeight="1">
      <c r="A235" t="inlineStr">
        <is>
          <t>A 7322-2023</t>
        </is>
      </c>
      <c r="B235" s="1" t="n">
        <v>44970</v>
      </c>
      <c r="C235" s="1" t="n">
        <v>46173</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60160-2022</t>
        </is>
      </c>
      <c r="B236" s="1" t="n">
        <v>44909</v>
      </c>
      <c r="C236" s="1" t="n">
        <v>46173</v>
      </c>
      <c r="D236" t="inlineStr">
        <is>
          <t>SÖDERMANLANDS LÄN</t>
        </is>
      </c>
      <c r="E236" t="inlineStr">
        <is>
          <t>KATRINEHOLM</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55034-2021</t>
        </is>
      </c>
      <c r="B237" s="1" t="n">
        <v>44474</v>
      </c>
      <c r="C237" s="1" t="n">
        <v>46173</v>
      </c>
      <c r="D237" t="inlineStr">
        <is>
          <t>SÖDERMANLANDS LÄN</t>
        </is>
      </c>
      <c r="E237" t="inlineStr">
        <is>
          <t>KATRINEHOLM</t>
        </is>
      </c>
      <c r="G237" t="n">
        <v>5</v>
      </c>
      <c r="H237" t="n">
        <v>0</v>
      </c>
      <c r="I237" t="n">
        <v>0</v>
      </c>
      <c r="J237" t="n">
        <v>0</v>
      </c>
      <c r="K237" t="n">
        <v>0</v>
      </c>
      <c r="L237" t="n">
        <v>0</v>
      </c>
      <c r="M237" t="n">
        <v>0</v>
      </c>
      <c r="N237" t="n">
        <v>0</v>
      </c>
      <c r="O237" t="n">
        <v>0</v>
      </c>
      <c r="P237" t="n">
        <v>0</v>
      </c>
      <c r="Q237" t="n">
        <v>0</v>
      </c>
      <c r="R237" s="2" t="inlineStr"/>
    </row>
    <row r="238" ht="15" customHeight="1">
      <c r="A238" t="inlineStr">
        <is>
          <t>A 29397-2024</t>
        </is>
      </c>
      <c r="B238" s="1" t="n">
        <v>45483</v>
      </c>
      <c r="C238" s="1" t="n">
        <v>46173</v>
      </c>
      <c r="D238" t="inlineStr">
        <is>
          <t>SÖDERMANLANDS LÄN</t>
        </is>
      </c>
      <c r="E238" t="inlineStr">
        <is>
          <t>KATRINEHOLM</t>
        </is>
      </c>
      <c r="G238" t="n">
        <v>3.4</v>
      </c>
      <c r="H238" t="n">
        <v>0</v>
      </c>
      <c r="I238" t="n">
        <v>0</v>
      </c>
      <c r="J238" t="n">
        <v>0</v>
      </c>
      <c r="K238" t="n">
        <v>0</v>
      </c>
      <c r="L238" t="n">
        <v>0</v>
      </c>
      <c r="M238" t="n">
        <v>0</v>
      </c>
      <c r="N238" t="n">
        <v>0</v>
      </c>
      <c r="O238" t="n">
        <v>0</v>
      </c>
      <c r="P238" t="n">
        <v>0</v>
      </c>
      <c r="Q238" t="n">
        <v>0</v>
      </c>
      <c r="R238" s="2" t="inlineStr"/>
    </row>
    <row r="239" ht="15" customHeight="1">
      <c r="A239" t="inlineStr">
        <is>
          <t>A 20826-2022</t>
        </is>
      </c>
      <c r="B239" s="1" t="n">
        <v>44701.44754629629</v>
      </c>
      <c r="C239" s="1" t="n">
        <v>46173</v>
      </c>
      <c r="D239" t="inlineStr">
        <is>
          <t>SÖDERMANLANDS LÄN</t>
        </is>
      </c>
      <c r="E239" t="inlineStr">
        <is>
          <t>KATRINEHOLM</t>
        </is>
      </c>
      <c r="G239" t="n">
        <v>6.8</v>
      </c>
      <c r="H239" t="n">
        <v>0</v>
      </c>
      <c r="I239" t="n">
        <v>0</v>
      </c>
      <c r="J239" t="n">
        <v>0</v>
      </c>
      <c r="K239" t="n">
        <v>0</v>
      </c>
      <c r="L239" t="n">
        <v>0</v>
      </c>
      <c r="M239" t="n">
        <v>0</v>
      </c>
      <c r="N239" t="n">
        <v>0</v>
      </c>
      <c r="O239" t="n">
        <v>0</v>
      </c>
      <c r="P239" t="n">
        <v>0</v>
      </c>
      <c r="Q239" t="n">
        <v>0</v>
      </c>
      <c r="R239" s="2" t="inlineStr"/>
    </row>
    <row r="240" ht="15" customHeight="1">
      <c r="A240" t="inlineStr">
        <is>
          <t>A 20846-2022</t>
        </is>
      </c>
      <c r="B240" s="1" t="n">
        <v>44701.4744212963</v>
      </c>
      <c r="C240" s="1" t="n">
        <v>46173</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48685-2022</t>
        </is>
      </c>
      <c r="B241" s="1" t="n">
        <v>44859</v>
      </c>
      <c r="C241" s="1" t="n">
        <v>46173</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42519-2024</t>
        </is>
      </c>
      <c r="B242" s="1" t="n">
        <v>45565</v>
      </c>
      <c r="C242" s="1" t="n">
        <v>46173</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17246-2024</t>
        </is>
      </c>
      <c r="B243" s="1" t="n">
        <v>45414</v>
      </c>
      <c r="C243" s="1" t="n">
        <v>46173</v>
      </c>
      <c r="D243" t="inlineStr">
        <is>
          <t>SÖDERMANLANDS LÄN</t>
        </is>
      </c>
      <c r="E243" t="inlineStr">
        <is>
          <t>KATRINEHOLM</t>
        </is>
      </c>
      <c r="F243" t="inlineStr">
        <is>
          <t>Allmännings- och besparingsskogar</t>
        </is>
      </c>
      <c r="G243" t="n">
        <v>13.7</v>
      </c>
      <c r="H243" t="n">
        <v>0</v>
      </c>
      <c r="I243" t="n">
        <v>0</v>
      </c>
      <c r="J243" t="n">
        <v>0</v>
      </c>
      <c r="K243" t="n">
        <v>0</v>
      </c>
      <c r="L243" t="n">
        <v>0</v>
      </c>
      <c r="M243" t="n">
        <v>0</v>
      </c>
      <c r="N243" t="n">
        <v>0</v>
      </c>
      <c r="O243" t="n">
        <v>0</v>
      </c>
      <c r="P243" t="n">
        <v>0</v>
      </c>
      <c r="Q243" t="n">
        <v>0</v>
      </c>
      <c r="R243" s="2" t="inlineStr"/>
    </row>
    <row r="244" ht="15" customHeight="1">
      <c r="A244" t="inlineStr">
        <is>
          <t>A 6807-2023</t>
        </is>
      </c>
      <c r="B244" s="1" t="n">
        <v>44964</v>
      </c>
      <c r="C244" s="1" t="n">
        <v>46173</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6091-2025</t>
        </is>
      </c>
      <c r="B245" s="1" t="n">
        <v>45697</v>
      </c>
      <c r="C245" s="1" t="n">
        <v>46173</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6093-2025</t>
        </is>
      </c>
      <c r="B246" s="1" t="n">
        <v>45697</v>
      </c>
      <c r="C246" s="1" t="n">
        <v>46173</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24179-2024</t>
        </is>
      </c>
      <c r="B247" s="1" t="n">
        <v>45456.83059027778</v>
      </c>
      <c r="C247" s="1" t="n">
        <v>46173</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43499-2021</t>
        </is>
      </c>
      <c r="B248" s="1" t="n">
        <v>44433</v>
      </c>
      <c r="C248" s="1" t="n">
        <v>46173</v>
      </c>
      <c r="D248" t="inlineStr">
        <is>
          <t>SÖDERMANLANDS LÄN</t>
        </is>
      </c>
      <c r="E248" t="inlineStr">
        <is>
          <t>KATRINEHOLM</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32169-2022</t>
        </is>
      </c>
      <c r="B249" s="1" t="n">
        <v>44781</v>
      </c>
      <c r="C249" s="1" t="n">
        <v>46173</v>
      </c>
      <c r="D249" t="inlineStr">
        <is>
          <t>SÖDERMANLANDS LÄN</t>
        </is>
      </c>
      <c r="E249" t="inlineStr">
        <is>
          <t>KATRINEHOLM</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55122-2022</t>
        </is>
      </c>
      <c r="B250" s="1" t="n">
        <v>44886.65092592593</v>
      </c>
      <c r="C250" s="1" t="n">
        <v>46173</v>
      </c>
      <c r="D250" t="inlineStr">
        <is>
          <t>SÖDERMANLANDS LÄN</t>
        </is>
      </c>
      <c r="E250" t="inlineStr">
        <is>
          <t>KATRINEHOLM</t>
        </is>
      </c>
      <c r="G250" t="n">
        <v>6.5</v>
      </c>
      <c r="H250" t="n">
        <v>0</v>
      </c>
      <c r="I250" t="n">
        <v>0</v>
      </c>
      <c r="J250" t="n">
        <v>0</v>
      </c>
      <c r="K250" t="n">
        <v>0</v>
      </c>
      <c r="L250" t="n">
        <v>0</v>
      </c>
      <c r="M250" t="n">
        <v>0</v>
      </c>
      <c r="N250" t="n">
        <v>0</v>
      </c>
      <c r="O250" t="n">
        <v>0</v>
      </c>
      <c r="P250" t="n">
        <v>0</v>
      </c>
      <c r="Q250" t="n">
        <v>0</v>
      </c>
      <c r="R250" s="2" t="inlineStr"/>
    </row>
    <row r="251" ht="15" customHeight="1">
      <c r="A251" t="inlineStr">
        <is>
          <t>A 11875-2023</t>
        </is>
      </c>
      <c r="B251" s="1" t="n">
        <v>44995</v>
      </c>
      <c r="C251" s="1" t="n">
        <v>46173</v>
      </c>
      <c r="D251" t="inlineStr">
        <is>
          <t>SÖDERMANLANDS LÄN</t>
        </is>
      </c>
      <c r="E251" t="inlineStr">
        <is>
          <t>KATRINEHOLM</t>
        </is>
      </c>
      <c r="F251" t="inlineStr">
        <is>
          <t>Kommuner</t>
        </is>
      </c>
      <c r="G251" t="n">
        <v>1.1</v>
      </c>
      <c r="H251" t="n">
        <v>0</v>
      </c>
      <c r="I251" t="n">
        <v>0</v>
      </c>
      <c r="J251" t="n">
        <v>0</v>
      </c>
      <c r="K251" t="n">
        <v>0</v>
      </c>
      <c r="L251" t="n">
        <v>0</v>
      </c>
      <c r="M251" t="n">
        <v>0</v>
      </c>
      <c r="N251" t="n">
        <v>0</v>
      </c>
      <c r="O251" t="n">
        <v>0</v>
      </c>
      <c r="P251" t="n">
        <v>0</v>
      </c>
      <c r="Q251" t="n">
        <v>0</v>
      </c>
      <c r="R251" s="2" t="inlineStr"/>
    </row>
    <row r="252" ht="15" customHeight="1">
      <c r="A252" t="inlineStr">
        <is>
          <t>A 30276-2023</t>
        </is>
      </c>
      <c r="B252" s="1" t="n">
        <v>45110</v>
      </c>
      <c r="C252" s="1" t="n">
        <v>46173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12930-2023</t>
        </is>
      </c>
      <c r="B253" s="1" t="n">
        <v>45001</v>
      </c>
      <c r="C253" s="1" t="n">
        <v>46173</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46173</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43964-2022</t>
        </is>
      </c>
      <c r="B255" s="1" t="n">
        <v>44837</v>
      </c>
      <c r="C255" s="1" t="n">
        <v>46173</v>
      </c>
      <c r="D255" t="inlineStr">
        <is>
          <t>SÖDERMANLANDS LÄN</t>
        </is>
      </c>
      <c r="E255" t="inlineStr">
        <is>
          <t>KATRINEHOLM</t>
        </is>
      </c>
      <c r="G255" t="n">
        <v>3.6</v>
      </c>
      <c r="H255" t="n">
        <v>0</v>
      </c>
      <c r="I255" t="n">
        <v>0</v>
      </c>
      <c r="J255" t="n">
        <v>0</v>
      </c>
      <c r="K255" t="n">
        <v>0</v>
      </c>
      <c r="L255" t="n">
        <v>0</v>
      </c>
      <c r="M255" t="n">
        <v>0</v>
      </c>
      <c r="N255" t="n">
        <v>0</v>
      </c>
      <c r="O255" t="n">
        <v>0</v>
      </c>
      <c r="P255" t="n">
        <v>0</v>
      </c>
      <c r="Q255" t="n">
        <v>0</v>
      </c>
      <c r="R255" s="2" t="inlineStr"/>
    </row>
    <row r="256" ht="15" customHeight="1">
      <c r="A256" t="inlineStr">
        <is>
          <t>A 42791-2023</t>
        </is>
      </c>
      <c r="B256" s="1" t="n">
        <v>45181.92876157408</v>
      </c>
      <c r="C256" s="1" t="n">
        <v>46173</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42792-2023</t>
        </is>
      </c>
      <c r="B257" s="1" t="n">
        <v>45181.95491898148</v>
      </c>
      <c r="C257" s="1" t="n">
        <v>46173</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23031-2024</t>
        </is>
      </c>
      <c r="B258" s="1" t="n">
        <v>45450.38120370371</v>
      </c>
      <c r="C258" s="1" t="n">
        <v>46173</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32786-2022</t>
        </is>
      </c>
      <c r="B259" s="1" t="n">
        <v>44784</v>
      </c>
      <c r="C259" s="1" t="n">
        <v>46173</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46075-2023</t>
        </is>
      </c>
      <c r="B260" s="1" t="n">
        <v>45196</v>
      </c>
      <c r="C260" s="1" t="n">
        <v>46173</v>
      </c>
      <c r="D260" t="inlineStr">
        <is>
          <t>SÖDERMANLANDS LÄN</t>
        </is>
      </c>
      <c r="E260" t="inlineStr">
        <is>
          <t>KATRINEHOLM</t>
        </is>
      </c>
      <c r="F260" t="inlineStr">
        <is>
          <t>Övriga Aktiebolag</t>
        </is>
      </c>
      <c r="G260" t="n">
        <v>9.5</v>
      </c>
      <c r="H260" t="n">
        <v>0</v>
      </c>
      <c r="I260" t="n">
        <v>0</v>
      </c>
      <c r="J260" t="n">
        <v>0</v>
      </c>
      <c r="K260" t="n">
        <v>0</v>
      </c>
      <c r="L260" t="n">
        <v>0</v>
      </c>
      <c r="M260" t="n">
        <v>0</v>
      </c>
      <c r="N260" t="n">
        <v>0</v>
      </c>
      <c r="O260" t="n">
        <v>0</v>
      </c>
      <c r="P260" t="n">
        <v>0</v>
      </c>
      <c r="Q260" t="n">
        <v>0</v>
      </c>
      <c r="R260" s="2" t="inlineStr"/>
    </row>
    <row r="261" ht="15" customHeight="1">
      <c r="A261" t="inlineStr">
        <is>
          <t>A 9992-2022</t>
        </is>
      </c>
      <c r="B261" s="1" t="n">
        <v>44621</v>
      </c>
      <c r="C261" s="1" t="n">
        <v>46173</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46173</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42025-2022</t>
        </is>
      </c>
      <c r="B263" s="1" t="n">
        <v>44830.47399305556</v>
      </c>
      <c r="C263" s="1" t="n">
        <v>46173</v>
      </c>
      <c r="D263" t="inlineStr">
        <is>
          <t>SÖDERMANLANDS LÄN</t>
        </is>
      </c>
      <c r="E263" t="inlineStr">
        <is>
          <t>KATRINEHOLM</t>
        </is>
      </c>
      <c r="G263" t="n">
        <v>1.5</v>
      </c>
      <c r="H263" t="n">
        <v>0</v>
      </c>
      <c r="I263" t="n">
        <v>0</v>
      </c>
      <c r="J263" t="n">
        <v>0</v>
      </c>
      <c r="K263" t="n">
        <v>0</v>
      </c>
      <c r="L263" t="n">
        <v>0</v>
      </c>
      <c r="M263" t="n">
        <v>0</v>
      </c>
      <c r="N263" t="n">
        <v>0</v>
      </c>
      <c r="O263" t="n">
        <v>0</v>
      </c>
      <c r="P263" t="n">
        <v>0</v>
      </c>
      <c r="Q263" t="n">
        <v>0</v>
      </c>
      <c r="R263" s="2" t="inlineStr"/>
    </row>
    <row r="264" ht="15" customHeight="1">
      <c r="A264" t="inlineStr">
        <is>
          <t>A 44659-2023</t>
        </is>
      </c>
      <c r="B264" s="1" t="n">
        <v>45189</v>
      </c>
      <c r="C264" s="1" t="n">
        <v>46173</v>
      </c>
      <c r="D264" t="inlineStr">
        <is>
          <t>SÖDERMANLANDS LÄN</t>
        </is>
      </c>
      <c r="E264" t="inlineStr">
        <is>
          <t>KATRINEHOLM</t>
        </is>
      </c>
      <c r="G264" t="n">
        <v>3.5</v>
      </c>
      <c r="H264" t="n">
        <v>0</v>
      </c>
      <c r="I264" t="n">
        <v>0</v>
      </c>
      <c r="J264" t="n">
        <v>0</v>
      </c>
      <c r="K264" t="n">
        <v>0</v>
      </c>
      <c r="L264" t="n">
        <v>0</v>
      </c>
      <c r="M264" t="n">
        <v>0</v>
      </c>
      <c r="N264" t="n">
        <v>0</v>
      </c>
      <c r="O264" t="n">
        <v>0</v>
      </c>
      <c r="P264" t="n">
        <v>0</v>
      </c>
      <c r="Q264" t="n">
        <v>0</v>
      </c>
      <c r="R264" s="2" t="inlineStr"/>
    </row>
    <row r="265" ht="15" customHeight="1">
      <c r="A265" t="inlineStr">
        <is>
          <t>A 13658-2023</t>
        </is>
      </c>
      <c r="B265" s="1" t="n">
        <v>45006</v>
      </c>
      <c r="C265" s="1" t="n">
        <v>46173</v>
      </c>
      <c r="D265" t="inlineStr">
        <is>
          <t>SÖDERMANLANDS LÄN</t>
        </is>
      </c>
      <c r="E265" t="inlineStr">
        <is>
          <t>KATRINEHOLM</t>
        </is>
      </c>
      <c r="F265" t="inlineStr">
        <is>
          <t>Kyrkan</t>
        </is>
      </c>
      <c r="G265" t="n">
        <v>24.3</v>
      </c>
      <c r="H265" t="n">
        <v>0</v>
      </c>
      <c r="I265" t="n">
        <v>0</v>
      </c>
      <c r="J265" t="n">
        <v>0</v>
      </c>
      <c r="K265" t="n">
        <v>0</v>
      </c>
      <c r="L265" t="n">
        <v>0</v>
      </c>
      <c r="M265" t="n">
        <v>0</v>
      </c>
      <c r="N265" t="n">
        <v>0</v>
      </c>
      <c r="O265" t="n">
        <v>0</v>
      </c>
      <c r="P265" t="n">
        <v>0</v>
      </c>
      <c r="Q265" t="n">
        <v>0</v>
      </c>
      <c r="R265" s="2" t="inlineStr"/>
    </row>
    <row r="266" ht="15" customHeight="1">
      <c r="A266" t="inlineStr">
        <is>
          <t>A 55856-2022</t>
        </is>
      </c>
      <c r="B266" s="1" t="n">
        <v>44888</v>
      </c>
      <c r="C266" s="1" t="n">
        <v>46173</v>
      </c>
      <c r="D266" t="inlineStr">
        <is>
          <t>SÖDERMANLANDS LÄN</t>
        </is>
      </c>
      <c r="E266" t="inlineStr">
        <is>
          <t>KATRINEHOLM</t>
        </is>
      </c>
      <c r="G266" t="n">
        <v>5.6</v>
      </c>
      <c r="H266" t="n">
        <v>0</v>
      </c>
      <c r="I266" t="n">
        <v>0</v>
      </c>
      <c r="J266" t="n">
        <v>0</v>
      </c>
      <c r="K266" t="n">
        <v>0</v>
      </c>
      <c r="L266" t="n">
        <v>0</v>
      </c>
      <c r="M266" t="n">
        <v>0</v>
      </c>
      <c r="N266" t="n">
        <v>0</v>
      </c>
      <c r="O266" t="n">
        <v>0</v>
      </c>
      <c r="P266" t="n">
        <v>0</v>
      </c>
      <c r="Q266" t="n">
        <v>0</v>
      </c>
      <c r="R266" s="2" t="inlineStr"/>
    </row>
    <row r="267" ht="15" customHeight="1">
      <c r="A267" t="inlineStr">
        <is>
          <t>A 37542-2022</t>
        </is>
      </c>
      <c r="B267" s="1" t="n">
        <v>44809</v>
      </c>
      <c r="C267" s="1" t="n">
        <v>46173</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48682-2022</t>
        </is>
      </c>
      <c r="B268" s="1" t="n">
        <v>44859</v>
      </c>
      <c r="C268" s="1" t="n">
        <v>46173</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34739-2023</t>
        </is>
      </c>
      <c r="B269" s="1" t="n">
        <v>45141</v>
      </c>
      <c r="C269" s="1" t="n">
        <v>46173</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7459-2022</t>
        </is>
      </c>
      <c r="B270" s="1" t="n">
        <v>44607.35009259259</v>
      </c>
      <c r="C270" s="1" t="n">
        <v>46173</v>
      </c>
      <c r="D270" t="inlineStr">
        <is>
          <t>SÖDERMANLANDS LÄN</t>
        </is>
      </c>
      <c r="E270" t="inlineStr">
        <is>
          <t>KATRINEHOLM</t>
        </is>
      </c>
      <c r="G270" t="n">
        <v>2</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46173</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6808-2023</t>
        </is>
      </c>
      <c r="B272" s="1" t="n">
        <v>44964</v>
      </c>
      <c r="C272" s="1" t="n">
        <v>46173</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14629-2023</t>
        </is>
      </c>
      <c r="B273" s="1" t="n">
        <v>45013</v>
      </c>
      <c r="C273" s="1" t="n">
        <v>46173</v>
      </c>
      <c r="D273" t="inlineStr">
        <is>
          <t>SÖDERMANLANDS LÄN</t>
        </is>
      </c>
      <c r="E273" t="inlineStr">
        <is>
          <t>KATRINEHOLM</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51128-2021</t>
        </is>
      </c>
      <c r="B274" s="1" t="n">
        <v>44460</v>
      </c>
      <c r="C274" s="1" t="n">
        <v>46173</v>
      </c>
      <c r="D274" t="inlineStr">
        <is>
          <t>SÖDERMANLANDS LÄN</t>
        </is>
      </c>
      <c r="E274" t="inlineStr">
        <is>
          <t>KATRINEHOLM</t>
        </is>
      </c>
      <c r="G274" t="n">
        <v>7.8</v>
      </c>
      <c r="H274" t="n">
        <v>0</v>
      </c>
      <c r="I274" t="n">
        <v>0</v>
      </c>
      <c r="J274" t="n">
        <v>0</v>
      </c>
      <c r="K274" t="n">
        <v>0</v>
      </c>
      <c r="L274" t="n">
        <v>0</v>
      </c>
      <c r="M274" t="n">
        <v>0</v>
      </c>
      <c r="N274" t="n">
        <v>0</v>
      </c>
      <c r="O274" t="n">
        <v>0</v>
      </c>
      <c r="P274" t="n">
        <v>0</v>
      </c>
      <c r="Q274" t="n">
        <v>0</v>
      </c>
      <c r="R274" s="2" t="inlineStr"/>
    </row>
    <row r="275" ht="15" customHeight="1">
      <c r="A275" t="inlineStr">
        <is>
          <t>A 51264-2021</t>
        </is>
      </c>
      <c r="B275" s="1" t="n">
        <v>44461</v>
      </c>
      <c r="C275" s="1" t="n">
        <v>46173</v>
      </c>
      <c r="D275" t="inlineStr">
        <is>
          <t>SÖDERMANLANDS LÄN</t>
        </is>
      </c>
      <c r="E275" t="inlineStr">
        <is>
          <t>KATRINEHOLM</t>
        </is>
      </c>
      <c r="G275" t="n">
        <v>3.1</v>
      </c>
      <c r="H275" t="n">
        <v>0</v>
      </c>
      <c r="I275" t="n">
        <v>0</v>
      </c>
      <c r="J275" t="n">
        <v>0</v>
      </c>
      <c r="K275" t="n">
        <v>0</v>
      </c>
      <c r="L275" t="n">
        <v>0</v>
      </c>
      <c r="M275" t="n">
        <v>0</v>
      </c>
      <c r="N275" t="n">
        <v>0</v>
      </c>
      <c r="O275" t="n">
        <v>0</v>
      </c>
      <c r="P275" t="n">
        <v>0</v>
      </c>
      <c r="Q275" t="n">
        <v>0</v>
      </c>
      <c r="R275" s="2" t="inlineStr"/>
    </row>
    <row r="276" ht="15" customHeight="1">
      <c r="A276" t="inlineStr">
        <is>
          <t>A 23207-2023</t>
        </is>
      </c>
      <c r="B276" s="1" t="n">
        <v>45071</v>
      </c>
      <c r="C276" s="1" t="n">
        <v>46173</v>
      </c>
      <c r="D276" t="inlineStr">
        <is>
          <t>SÖDERMANLANDS LÄN</t>
        </is>
      </c>
      <c r="E276" t="inlineStr">
        <is>
          <t>KATRINEHOLM</t>
        </is>
      </c>
      <c r="G276" t="n">
        <v>0.6</v>
      </c>
      <c r="H276" t="n">
        <v>0</v>
      </c>
      <c r="I276" t="n">
        <v>0</v>
      </c>
      <c r="J276" t="n">
        <v>0</v>
      </c>
      <c r="K276" t="n">
        <v>0</v>
      </c>
      <c r="L276" t="n">
        <v>0</v>
      </c>
      <c r="M276" t="n">
        <v>0</v>
      </c>
      <c r="N276" t="n">
        <v>0</v>
      </c>
      <c r="O276" t="n">
        <v>0</v>
      </c>
      <c r="P276" t="n">
        <v>0</v>
      </c>
      <c r="Q276" t="n">
        <v>0</v>
      </c>
      <c r="R276" s="2" t="inlineStr"/>
    </row>
    <row r="277" ht="15" customHeight="1">
      <c r="A277" t="inlineStr">
        <is>
          <t>A 57524-2021</t>
        </is>
      </c>
      <c r="B277" s="1" t="n">
        <v>44483</v>
      </c>
      <c r="C277" s="1" t="n">
        <v>46173</v>
      </c>
      <c r="D277" t="inlineStr">
        <is>
          <t>SÖDERMANLANDS LÄN</t>
        </is>
      </c>
      <c r="E277" t="inlineStr">
        <is>
          <t>KATRINEHOLM</t>
        </is>
      </c>
      <c r="G277" t="n">
        <v>0.4</v>
      </c>
      <c r="H277" t="n">
        <v>0</v>
      </c>
      <c r="I277" t="n">
        <v>0</v>
      </c>
      <c r="J277" t="n">
        <v>0</v>
      </c>
      <c r="K277" t="n">
        <v>0</v>
      </c>
      <c r="L277" t="n">
        <v>0</v>
      </c>
      <c r="M277" t="n">
        <v>0</v>
      </c>
      <c r="N277" t="n">
        <v>0</v>
      </c>
      <c r="O277" t="n">
        <v>0</v>
      </c>
      <c r="P277" t="n">
        <v>0</v>
      </c>
      <c r="Q277" t="n">
        <v>0</v>
      </c>
      <c r="R277" s="2" t="inlineStr"/>
    </row>
    <row r="278" ht="15" customHeight="1">
      <c r="A278" t="inlineStr">
        <is>
          <t>A 32890-2024</t>
        </is>
      </c>
      <c r="B278" s="1" t="n">
        <v>45516</v>
      </c>
      <c r="C278" s="1" t="n">
        <v>46173</v>
      </c>
      <c r="D278" t="inlineStr">
        <is>
          <t>SÖDERMANLANDS LÄN</t>
        </is>
      </c>
      <c r="E278" t="inlineStr">
        <is>
          <t>KATRINEHOLM</t>
        </is>
      </c>
      <c r="G278" t="n">
        <v>2.6</v>
      </c>
      <c r="H278" t="n">
        <v>0</v>
      </c>
      <c r="I278" t="n">
        <v>0</v>
      </c>
      <c r="J278" t="n">
        <v>0</v>
      </c>
      <c r="K278" t="n">
        <v>0</v>
      </c>
      <c r="L278" t="n">
        <v>0</v>
      </c>
      <c r="M278" t="n">
        <v>0</v>
      </c>
      <c r="N278" t="n">
        <v>0</v>
      </c>
      <c r="O278" t="n">
        <v>0</v>
      </c>
      <c r="P278" t="n">
        <v>0</v>
      </c>
      <c r="Q278" t="n">
        <v>0</v>
      </c>
      <c r="R278" s="2" t="inlineStr"/>
    </row>
    <row r="279" ht="15" customHeight="1">
      <c r="A279" t="inlineStr">
        <is>
          <t>A 39704-2023</t>
        </is>
      </c>
      <c r="B279" s="1" t="n">
        <v>45167</v>
      </c>
      <c r="C279" s="1" t="n">
        <v>46173</v>
      </c>
      <c r="D279" t="inlineStr">
        <is>
          <t>SÖDERMANLANDS LÄN</t>
        </is>
      </c>
      <c r="E279" t="inlineStr">
        <is>
          <t>KATRINEHOLM</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27345-2023</t>
        </is>
      </c>
      <c r="B280" s="1" t="n">
        <v>45096</v>
      </c>
      <c r="C280" s="1" t="n">
        <v>46173</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53996-2023</t>
        </is>
      </c>
      <c r="B281" s="1" t="n">
        <v>45231</v>
      </c>
      <c r="C281" s="1" t="n">
        <v>46173</v>
      </c>
      <c r="D281" t="inlineStr">
        <is>
          <t>SÖDERMANLANDS LÄN</t>
        </is>
      </c>
      <c r="E281" t="inlineStr">
        <is>
          <t>KATRINEHOLM</t>
        </is>
      </c>
      <c r="G281" t="n">
        <v>4.9</v>
      </c>
      <c r="H281" t="n">
        <v>0</v>
      </c>
      <c r="I281" t="n">
        <v>0</v>
      </c>
      <c r="J281" t="n">
        <v>0</v>
      </c>
      <c r="K281" t="n">
        <v>0</v>
      </c>
      <c r="L281" t="n">
        <v>0</v>
      </c>
      <c r="M281" t="n">
        <v>0</v>
      </c>
      <c r="N281" t="n">
        <v>0</v>
      </c>
      <c r="O281" t="n">
        <v>0</v>
      </c>
      <c r="P281" t="n">
        <v>0</v>
      </c>
      <c r="Q281" t="n">
        <v>0</v>
      </c>
      <c r="R281" s="2" t="inlineStr"/>
    </row>
    <row r="282" ht="15" customHeight="1">
      <c r="A282" t="inlineStr">
        <is>
          <t>A 15235-2023</t>
        </is>
      </c>
      <c r="B282" s="1" t="n">
        <v>45019</v>
      </c>
      <c r="C282" s="1" t="n">
        <v>46173</v>
      </c>
      <c r="D282" t="inlineStr">
        <is>
          <t>SÖDERMANLANDS LÄN</t>
        </is>
      </c>
      <c r="E282" t="inlineStr">
        <is>
          <t>KATRINEHOLM</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41205-2021</t>
        </is>
      </c>
      <c r="B283" s="1" t="n">
        <v>44424.38577546296</v>
      </c>
      <c r="C283" s="1" t="n">
        <v>46173</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55296-2022</t>
        </is>
      </c>
      <c r="B284" s="1" t="n">
        <v>44887</v>
      </c>
      <c r="C284" s="1" t="n">
        <v>46173</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9932-2023</t>
        </is>
      </c>
      <c r="B285" s="1" t="n">
        <v>44985.46709490741</v>
      </c>
      <c r="C285" s="1" t="n">
        <v>46173</v>
      </c>
      <c r="D285" t="inlineStr">
        <is>
          <t>SÖDERMANLANDS LÄN</t>
        </is>
      </c>
      <c r="E285" t="inlineStr">
        <is>
          <t>KATRINEHOLM</t>
        </is>
      </c>
      <c r="G285" t="n">
        <v>0.3</v>
      </c>
      <c r="H285" t="n">
        <v>0</v>
      </c>
      <c r="I285" t="n">
        <v>0</v>
      </c>
      <c r="J285" t="n">
        <v>0</v>
      </c>
      <c r="K285" t="n">
        <v>0</v>
      </c>
      <c r="L285" t="n">
        <v>0</v>
      </c>
      <c r="M285" t="n">
        <v>0</v>
      </c>
      <c r="N285" t="n">
        <v>0</v>
      </c>
      <c r="O285" t="n">
        <v>0</v>
      </c>
      <c r="P285" t="n">
        <v>0</v>
      </c>
      <c r="Q285" t="n">
        <v>0</v>
      </c>
      <c r="R285" s="2" t="inlineStr"/>
    </row>
    <row r="286" ht="15" customHeight="1">
      <c r="A286" t="inlineStr">
        <is>
          <t>A 11127-2023</t>
        </is>
      </c>
      <c r="B286" s="1" t="n">
        <v>44987</v>
      </c>
      <c r="C286" s="1" t="n">
        <v>46173</v>
      </c>
      <c r="D286" t="inlineStr">
        <is>
          <t>SÖDERMANLANDS LÄN</t>
        </is>
      </c>
      <c r="E286" t="inlineStr">
        <is>
          <t>KATRINEHOLM</t>
        </is>
      </c>
      <c r="G286" t="n">
        <v>4.3</v>
      </c>
      <c r="H286" t="n">
        <v>0</v>
      </c>
      <c r="I286" t="n">
        <v>0</v>
      </c>
      <c r="J286" t="n">
        <v>0</v>
      </c>
      <c r="K286" t="n">
        <v>0</v>
      </c>
      <c r="L286" t="n">
        <v>0</v>
      </c>
      <c r="M286" t="n">
        <v>0</v>
      </c>
      <c r="N286" t="n">
        <v>0</v>
      </c>
      <c r="O286" t="n">
        <v>0</v>
      </c>
      <c r="P286" t="n">
        <v>0</v>
      </c>
      <c r="Q286" t="n">
        <v>0</v>
      </c>
      <c r="R286" s="2" t="inlineStr"/>
    </row>
    <row r="287" ht="15" customHeight="1">
      <c r="A287" t="inlineStr">
        <is>
          <t>A 24748-2024</t>
        </is>
      </c>
      <c r="B287" s="1" t="n">
        <v>45460.66567129629</v>
      </c>
      <c r="C287" s="1" t="n">
        <v>46173</v>
      </c>
      <c r="D287" t="inlineStr">
        <is>
          <t>SÖDERMANLANDS LÄN</t>
        </is>
      </c>
      <c r="E287" t="inlineStr">
        <is>
          <t>KATRINEHOLM</t>
        </is>
      </c>
      <c r="G287" t="n">
        <v>3.3</v>
      </c>
      <c r="H287" t="n">
        <v>0</v>
      </c>
      <c r="I287" t="n">
        <v>0</v>
      </c>
      <c r="J287" t="n">
        <v>0</v>
      </c>
      <c r="K287" t="n">
        <v>0</v>
      </c>
      <c r="L287" t="n">
        <v>0</v>
      </c>
      <c r="M287" t="n">
        <v>0</v>
      </c>
      <c r="N287" t="n">
        <v>0</v>
      </c>
      <c r="O287" t="n">
        <v>0</v>
      </c>
      <c r="P287" t="n">
        <v>0</v>
      </c>
      <c r="Q287" t="n">
        <v>0</v>
      </c>
      <c r="R287" s="2" t="inlineStr"/>
    </row>
    <row r="288" ht="15" customHeight="1">
      <c r="A288" t="inlineStr">
        <is>
          <t>A 42590-2022</t>
        </is>
      </c>
      <c r="B288" s="1" t="n">
        <v>44831</v>
      </c>
      <c r="C288" s="1" t="n">
        <v>46173</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37185-2023</t>
        </is>
      </c>
      <c r="B289" s="1" t="n">
        <v>45154</v>
      </c>
      <c r="C289" s="1" t="n">
        <v>46173</v>
      </c>
      <c r="D289" t="inlineStr">
        <is>
          <t>SÖDERMANLANDS LÄN</t>
        </is>
      </c>
      <c r="E289" t="inlineStr">
        <is>
          <t>KATRINEHOLM</t>
        </is>
      </c>
      <c r="G289" t="n">
        <v>3</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46173</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46173</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46173</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9693-2024</t>
        </is>
      </c>
      <c r="B293" s="1" t="n">
        <v>45362</v>
      </c>
      <c r="C293" s="1" t="n">
        <v>46173</v>
      </c>
      <c r="D293" t="inlineStr">
        <is>
          <t>SÖDERMANLANDS LÄN</t>
        </is>
      </c>
      <c r="E293" t="inlineStr">
        <is>
          <t>KATRINEHOLM</t>
        </is>
      </c>
      <c r="G293" t="n">
        <v>5.9</v>
      </c>
      <c r="H293" t="n">
        <v>0</v>
      </c>
      <c r="I293" t="n">
        <v>0</v>
      </c>
      <c r="J293" t="n">
        <v>0</v>
      </c>
      <c r="K293" t="n">
        <v>0</v>
      </c>
      <c r="L293" t="n">
        <v>0</v>
      </c>
      <c r="M293" t="n">
        <v>0</v>
      </c>
      <c r="N293" t="n">
        <v>0</v>
      </c>
      <c r="O293" t="n">
        <v>0</v>
      </c>
      <c r="P293" t="n">
        <v>0</v>
      </c>
      <c r="Q293" t="n">
        <v>0</v>
      </c>
      <c r="R293" s="2" t="inlineStr"/>
    </row>
    <row r="294" ht="15" customHeight="1">
      <c r="A294" t="inlineStr">
        <is>
          <t>A 5935-2023</t>
        </is>
      </c>
      <c r="B294" s="1" t="n">
        <v>44963</v>
      </c>
      <c r="C294" s="1" t="n">
        <v>46173</v>
      </c>
      <c r="D294" t="inlineStr">
        <is>
          <t>SÖDERMANLANDS LÄN</t>
        </is>
      </c>
      <c r="E294" t="inlineStr">
        <is>
          <t>KATRINEHOLM</t>
        </is>
      </c>
      <c r="G294" t="n">
        <v>1.5</v>
      </c>
      <c r="H294" t="n">
        <v>0</v>
      </c>
      <c r="I294" t="n">
        <v>0</v>
      </c>
      <c r="J294" t="n">
        <v>0</v>
      </c>
      <c r="K294" t="n">
        <v>0</v>
      </c>
      <c r="L294" t="n">
        <v>0</v>
      </c>
      <c r="M294" t="n">
        <v>0</v>
      </c>
      <c r="N294" t="n">
        <v>0</v>
      </c>
      <c r="O294" t="n">
        <v>0</v>
      </c>
      <c r="P294" t="n">
        <v>0</v>
      </c>
      <c r="Q294" t="n">
        <v>0</v>
      </c>
      <c r="R294" s="2" t="inlineStr"/>
    </row>
    <row r="295" ht="15" customHeight="1">
      <c r="A295" t="inlineStr">
        <is>
          <t>A 32818-2023</t>
        </is>
      </c>
      <c r="B295" s="1" t="n">
        <v>45124.55633101852</v>
      </c>
      <c r="C295" s="1" t="n">
        <v>46173</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11104-2023</t>
        </is>
      </c>
      <c r="B296" s="1" t="n">
        <v>44992</v>
      </c>
      <c r="C296" s="1" t="n">
        <v>46173</v>
      </c>
      <c r="D296" t="inlineStr">
        <is>
          <t>SÖDERMANLANDS LÄN</t>
        </is>
      </c>
      <c r="E296" t="inlineStr">
        <is>
          <t>KATRINEHOLM</t>
        </is>
      </c>
      <c r="F296" t="inlineStr">
        <is>
          <t>Allmännings- och besparingsskogar</t>
        </is>
      </c>
      <c r="G296" t="n">
        <v>7.8</v>
      </c>
      <c r="H296" t="n">
        <v>0</v>
      </c>
      <c r="I296" t="n">
        <v>0</v>
      </c>
      <c r="J296" t="n">
        <v>0</v>
      </c>
      <c r="K296" t="n">
        <v>0</v>
      </c>
      <c r="L296" t="n">
        <v>0</v>
      </c>
      <c r="M296" t="n">
        <v>0</v>
      </c>
      <c r="N296" t="n">
        <v>0</v>
      </c>
      <c r="O296" t="n">
        <v>0</v>
      </c>
      <c r="P296" t="n">
        <v>0</v>
      </c>
      <c r="Q296" t="n">
        <v>0</v>
      </c>
      <c r="R296" s="2" t="inlineStr"/>
    </row>
    <row r="297" ht="15" customHeight="1">
      <c r="A297" t="inlineStr">
        <is>
          <t>A 35864-2023</t>
        </is>
      </c>
      <c r="B297" s="1" t="n">
        <v>45147</v>
      </c>
      <c r="C297" s="1" t="n">
        <v>46173</v>
      </c>
      <c r="D297" t="inlineStr">
        <is>
          <t>SÖDERMANLANDS LÄN</t>
        </is>
      </c>
      <c r="E297" t="inlineStr">
        <is>
          <t>KATRINEHOLM</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24284-2024</t>
        </is>
      </c>
      <c r="B298" s="1" t="n">
        <v>45457</v>
      </c>
      <c r="C298" s="1" t="n">
        <v>46173</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40159-2023</t>
        </is>
      </c>
      <c r="B299" s="1" t="n">
        <v>45169</v>
      </c>
      <c r="C299" s="1" t="n">
        <v>46173</v>
      </c>
      <c r="D299" t="inlineStr">
        <is>
          <t>SÖDERMANLANDS LÄN</t>
        </is>
      </c>
      <c r="E299" t="inlineStr">
        <is>
          <t>KATRINEHOLM</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36562-2023</t>
        </is>
      </c>
      <c r="B300" s="1" t="n">
        <v>45153</v>
      </c>
      <c r="C300" s="1" t="n">
        <v>46173</v>
      </c>
      <c r="D300" t="inlineStr">
        <is>
          <t>SÖDERMANLANDS LÄN</t>
        </is>
      </c>
      <c r="E300" t="inlineStr">
        <is>
          <t>KATRINEHOLM</t>
        </is>
      </c>
      <c r="G300" t="n">
        <v>5.8</v>
      </c>
      <c r="H300" t="n">
        <v>0</v>
      </c>
      <c r="I300" t="n">
        <v>0</v>
      </c>
      <c r="J300" t="n">
        <v>0</v>
      </c>
      <c r="K300" t="n">
        <v>0</v>
      </c>
      <c r="L300" t="n">
        <v>0</v>
      </c>
      <c r="M300" t="n">
        <v>0</v>
      </c>
      <c r="N300" t="n">
        <v>0</v>
      </c>
      <c r="O300" t="n">
        <v>0</v>
      </c>
      <c r="P300" t="n">
        <v>0</v>
      </c>
      <c r="Q300" t="n">
        <v>0</v>
      </c>
      <c r="R300" s="2" t="inlineStr"/>
    </row>
    <row r="301" ht="15" customHeight="1">
      <c r="A301" t="inlineStr">
        <is>
          <t>A 4872-2024</t>
        </is>
      </c>
      <c r="B301" s="1" t="n">
        <v>45329</v>
      </c>
      <c r="C301" s="1" t="n">
        <v>46173</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66393-2021</t>
        </is>
      </c>
      <c r="B302" s="1" t="n">
        <v>44518</v>
      </c>
      <c r="C302" s="1" t="n">
        <v>46173</v>
      </c>
      <c r="D302" t="inlineStr">
        <is>
          <t>SÖDERMANLANDS LÄN</t>
        </is>
      </c>
      <c r="E302" t="inlineStr">
        <is>
          <t>KATRINEHOLM</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50840-2022</t>
        </is>
      </c>
      <c r="B303" s="1" t="n">
        <v>44862</v>
      </c>
      <c r="C303" s="1" t="n">
        <v>46173</v>
      </c>
      <c r="D303" t="inlineStr">
        <is>
          <t>SÖDERMANLANDS LÄN</t>
        </is>
      </c>
      <c r="E303" t="inlineStr">
        <is>
          <t>KATRINEHOLM</t>
        </is>
      </c>
      <c r="G303" t="n">
        <v>4.2</v>
      </c>
      <c r="H303" t="n">
        <v>0</v>
      </c>
      <c r="I303" t="n">
        <v>0</v>
      </c>
      <c r="J303" t="n">
        <v>0</v>
      </c>
      <c r="K303" t="n">
        <v>0</v>
      </c>
      <c r="L303" t="n">
        <v>0</v>
      </c>
      <c r="M303" t="n">
        <v>0</v>
      </c>
      <c r="N303" t="n">
        <v>0</v>
      </c>
      <c r="O303" t="n">
        <v>0</v>
      </c>
      <c r="P303" t="n">
        <v>0</v>
      </c>
      <c r="Q303" t="n">
        <v>0</v>
      </c>
      <c r="R303" s="2" t="inlineStr"/>
    </row>
    <row r="304" ht="15" customHeight="1">
      <c r="A304" t="inlineStr">
        <is>
          <t>A 6611-2023</t>
        </is>
      </c>
      <c r="B304" s="1" t="n">
        <v>44963</v>
      </c>
      <c r="C304" s="1" t="n">
        <v>46173</v>
      </c>
      <c r="D304" t="inlineStr">
        <is>
          <t>SÖDERMANLANDS LÄN</t>
        </is>
      </c>
      <c r="E304" t="inlineStr">
        <is>
          <t>KATRINEHOLM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13113-2023</t>
        </is>
      </c>
      <c r="B305" s="1" t="n">
        <v>45002</v>
      </c>
      <c r="C305" s="1" t="n">
        <v>46173</v>
      </c>
      <c r="D305" t="inlineStr">
        <is>
          <t>SÖDERMANLANDS LÄN</t>
        </is>
      </c>
      <c r="E305" t="inlineStr">
        <is>
          <t>KATRINEHOLM</t>
        </is>
      </c>
      <c r="F305" t="inlineStr">
        <is>
          <t>Allmännings- och besparingsskogar</t>
        </is>
      </c>
      <c r="G305" t="n">
        <v>3.6</v>
      </c>
      <c r="H305" t="n">
        <v>0</v>
      </c>
      <c r="I305" t="n">
        <v>0</v>
      </c>
      <c r="J305" t="n">
        <v>0</v>
      </c>
      <c r="K305" t="n">
        <v>0</v>
      </c>
      <c r="L305" t="n">
        <v>0</v>
      </c>
      <c r="M305" t="n">
        <v>0</v>
      </c>
      <c r="N305" t="n">
        <v>0</v>
      </c>
      <c r="O305" t="n">
        <v>0</v>
      </c>
      <c r="P305" t="n">
        <v>0</v>
      </c>
      <c r="Q305" t="n">
        <v>0</v>
      </c>
      <c r="R305" s="2" t="inlineStr"/>
    </row>
    <row r="306" ht="15" customHeight="1">
      <c r="A306" t="inlineStr">
        <is>
          <t>A 25823-2023</t>
        </is>
      </c>
      <c r="B306" s="1" t="n">
        <v>45090.55078703703</v>
      </c>
      <c r="C306" s="1" t="n">
        <v>46173</v>
      </c>
      <c r="D306" t="inlineStr">
        <is>
          <t>SÖDERMANLANDS LÄN</t>
        </is>
      </c>
      <c r="E306" t="inlineStr">
        <is>
          <t>KATRINEHOLM</t>
        </is>
      </c>
      <c r="F306" t="inlineStr">
        <is>
          <t>Kyrkan</t>
        </is>
      </c>
      <c r="G306" t="n">
        <v>10.2</v>
      </c>
      <c r="H306" t="n">
        <v>0</v>
      </c>
      <c r="I306" t="n">
        <v>0</v>
      </c>
      <c r="J306" t="n">
        <v>0</v>
      </c>
      <c r="K306" t="n">
        <v>0</v>
      </c>
      <c r="L306" t="n">
        <v>0</v>
      </c>
      <c r="M306" t="n">
        <v>0</v>
      </c>
      <c r="N306" t="n">
        <v>0</v>
      </c>
      <c r="O306" t="n">
        <v>0</v>
      </c>
      <c r="P306" t="n">
        <v>0</v>
      </c>
      <c r="Q306" t="n">
        <v>0</v>
      </c>
      <c r="R306" s="2" t="inlineStr"/>
    </row>
    <row r="307" ht="15" customHeight="1">
      <c r="A307" t="inlineStr">
        <is>
          <t>A 61398-2024</t>
        </is>
      </c>
      <c r="B307" s="1" t="n">
        <v>45646.42608796297</v>
      </c>
      <c r="C307" s="1" t="n">
        <v>46173</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20480-2022</t>
        </is>
      </c>
      <c r="B308" s="1" t="n">
        <v>44699</v>
      </c>
      <c r="C308" s="1" t="n">
        <v>46173</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14245-2024</t>
        </is>
      </c>
      <c r="B309" s="1" t="n">
        <v>45393</v>
      </c>
      <c r="C309" s="1" t="n">
        <v>46173</v>
      </c>
      <c r="D309" t="inlineStr">
        <is>
          <t>SÖDERMANLANDS LÄN</t>
        </is>
      </c>
      <c r="E309" t="inlineStr">
        <is>
          <t>KATRINEHOLM</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6810-2023</t>
        </is>
      </c>
      <c r="B310" s="1" t="n">
        <v>44964</v>
      </c>
      <c r="C310" s="1" t="n">
        <v>46173</v>
      </c>
      <c r="D310" t="inlineStr">
        <is>
          <t>SÖDERMANLANDS LÄN</t>
        </is>
      </c>
      <c r="E310" t="inlineStr">
        <is>
          <t>KATRINEHOLM</t>
        </is>
      </c>
      <c r="G310" t="n">
        <v>0.6</v>
      </c>
      <c r="H310" t="n">
        <v>0</v>
      </c>
      <c r="I310" t="n">
        <v>0</v>
      </c>
      <c r="J310" t="n">
        <v>0</v>
      </c>
      <c r="K310" t="n">
        <v>0</v>
      </c>
      <c r="L310" t="n">
        <v>0</v>
      </c>
      <c r="M310" t="n">
        <v>0</v>
      </c>
      <c r="N310" t="n">
        <v>0</v>
      </c>
      <c r="O310" t="n">
        <v>0</v>
      </c>
      <c r="P310" t="n">
        <v>0</v>
      </c>
      <c r="Q310" t="n">
        <v>0</v>
      </c>
      <c r="R310" s="2" t="inlineStr"/>
    </row>
    <row r="311" ht="15" customHeight="1">
      <c r="A311" t="inlineStr">
        <is>
          <t>A 11635-2023</t>
        </is>
      </c>
      <c r="B311" s="1" t="n">
        <v>44994</v>
      </c>
      <c r="C311" s="1" t="n">
        <v>46173</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34732-2022</t>
        </is>
      </c>
      <c r="B312" s="1" t="n">
        <v>44795</v>
      </c>
      <c r="C312" s="1" t="n">
        <v>46173</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3060-2022</t>
        </is>
      </c>
      <c r="B313" s="1" t="n">
        <v>44582.40109953703</v>
      </c>
      <c r="C313" s="1" t="n">
        <v>46173</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36832-2023</t>
        </is>
      </c>
      <c r="B314" s="1" t="n">
        <v>45153</v>
      </c>
      <c r="C314" s="1" t="n">
        <v>46173</v>
      </c>
      <c r="D314" t="inlineStr">
        <is>
          <t>SÖDERMANLANDS LÄN</t>
        </is>
      </c>
      <c r="E314" t="inlineStr">
        <is>
          <t>KATRINEHOLM</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3982-2024</t>
        </is>
      </c>
      <c r="B315" s="1" t="n">
        <v>45322</v>
      </c>
      <c r="C315" s="1" t="n">
        <v>46173</v>
      </c>
      <c r="D315" t="inlineStr">
        <is>
          <t>SÖDERMANLANDS LÄN</t>
        </is>
      </c>
      <c r="E315" t="inlineStr">
        <is>
          <t>KATRINEHOLM</t>
        </is>
      </c>
      <c r="G315" t="n">
        <v>3.7</v>
      </c>
      <c r="H315" t="n">
        <v>0</v>
      </c>
      <c r="I315" t="n">
        <v>0</v>
      </c>
      <c r="J315" t="n">
        <v>0</v>
      </c>
      <c r="K315" t="n">
        <v>0</v>
      </c>
      <c r="L315" t="n">
        <v>0</v>
      </c>
      <c r="M315" t="n">
        <v>0</v>
      </c>
      <c r="N315" t="n">
        <v>0</v>
      </c>
      <c r="O315" t="n">
        <v>0</v>
      </c>
      <c r="P315" t="n">
        <v>0</v>
      </c>
      <c r="Q315" t="n">
        <v>0</v>
      </c>
      <c r="R315" s="2" t="inlineStr"/>
    </row>
    <row r="316" ht="15" customHeight="1">
      <c r="A316" t="inlineStr">
        <is>
          <t>A 13086-2023</t>
        </is>
      </c>
      <c r="B316" s="1" t="n">
        <v>45002.42188657408</v>
      </c>
      <c r="C316" s="1" t="n">
        <v>46173</v>
      </c>
      <c r="D316" t="inlineStr">
        <is>
          <t>SÖDERMANLANDS LÄN</t>
        </is>
      </c>
      <c r="E316" t="inlineStr">
        <is>
          <t>KATRINEHOLM</t>
        </is>
      </c>
      <c r="G316" t="n">
        <v>2.2</v>
      </c>
      <c r="H316" t="n">
        <v>0</v>
      </c>
      <c r="I316" t="n">
        <v>0</v>
      </c>
      <c r="J316" t="n">
        <v>0</v>
      </c>
      <c r="K316" t="n">
        <v>0</v>
      </c>
      <c r="L316" t="n">
        <v>0</v>
      </c>
      <c r="M316" t="n">
        <v>0</v>
      </c>
      <c r="N316" t="n">
        <v>0</v>
      </c>
      <c r="O316" t="n">
        <v>0</v>
      </c>
      <c r="P316" t="n">
        <v>0</v>
      </c>
      <c r="Q316" t="n">
        <v>0</v>
      </c>
      <c r="R316" s="2" t="inlineStr"/>
    </row>
    <row r="317" ht="15" customHeight="1">
      <c r="A317" t="inlineStr">
        <is>
          <t>A 39052-2023</t>
        </is>
      </c>
      <c r="B317" s="1" t="n">
        <v>45163</v>
      </c>
      <c r="C317" s="1" t="n">
        <v>46173</v>
      </c>
      <c r="D317" t="inlineStr">
        <is>
          <t>SÖDERMANLANDS LÄN</t>
        </is>
      </c>
      <c r="E317" t="inlineStr">
        <is>
          <t>KATRINEHOLM</t>
        </is>
      </c>
      <c r="G317" t="n">
        <v>3</v>
      </c>
      <c r="H317" t="n">
        <v>0</v>
      </c>
      <c r="I317" t="n">
        <v>0</v>
      </c>
      <c r="J317" t="n">
        <v>0</v>
      </c>
      <c r="K317" t="n">
        <v>0</v>
      </c>
      <c r="L317" t="n">
        <v>0</v>
      </c>
      <c r="M317" t="n">
        <v>0</v>
      </c>
      <c r="N317" t="n">
        <v>0</v>
      </c>
      <c r="O317" t="n">
        <v>0</v>
      </c>
      <c r="P317" t="n">
        <v>0</v>
      </c>
      <c r="Q317" t="n">
        <v>0</v>
      </c>
      <c r="R317" s="2" t="inlineStr"/>
    </row>
    <row r="318" ht="15" customHeight="1">
      <c r="A318" t="inlineStr">
        <is>
          <t>A 41946-2022</t>
        </is>
      </c>
      <c r="B318" s="1" t="n">
        <v>44830.38502314815</v>
      </c>
      <c r="C318" s="1" t="n">
        <v>46173</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17820-2025</t>
        </is>
      </c>
      <c r="B319" s="1" t="n">
        <v>45758</v>
      </c>
      <c r="C319" s="1" t="n">
        <v>46173</v>
      </c>
      <c r="D319" t="inlineStr">
        <is>
          <t>SÖDERMANLANDS LÄN</t>
        </is>
      </c>
      <c r="E319" t="inlineStr">
        <is>
          <t>KATRINEHOLM</t>
        </is>
      </c>
      <c r="G319" t="n">
        <v>5.9</v>
      </c>
      <c r="H319" t="n">
        <v>0</v>
      </c>
      <c r="I319" t="n">
        <v>0</v>
      </c>
      <c r="J319" t="n">
        <v>0</v>
      </c>
      <c r="K319" t="n">
        <v>0</v>
      </c>
      <c r="L319" t="n">
        <v>0</v>
      </c>
      <c r="M319" t="n">
        <v>0</v>
      </c>
      <c r="N319" t="n">
        <v>0</v>
      </c>
      <c r="O319" t="n">
        <v>0</v>
      </c>
      <c r="P319" t="n">
        <v>0</v>
      </c>
      <c r="Q319" t="n">
        <v>0</v>
      </c>
      <c r="R319" s="2" t="inlineStr"/>
    </row>
    <row r="320" ht="15" customHeight="1">
      <c r="A320" t="inlineStr">
        <is>
          <t>A 57154-2023</t>
        </is>
      </c>
      <c r="B320" s="1" t="n">
        <v>45245</v>
      </c>
      <c r="C320" s="1" t="n">
        <v>46173</v>
      </c>
      <c r="D320" t="inlineStr">
        <is>
          <t>SÖDERMANLANDS LÄN</t>
        </is>
      </c>
      <c r="E320" t="inlineStr">
        <is>
          <t>KATRINEHOLM</t>
        </is>
      </c>
      <c r="F320" t="inlineStr">
        <is>
          <t>Allmännings- och besparingsskogar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28427-2024</t>
        </is>
      </c>
      <c r="B321" s="1" t="n">
        <v>45477.64910879629</v>
      </c>
      <c r="C321" s="1" t="n">
        <v>46173</v>
      </c>
      <c r="D321" t="inlineStr">
        <is>
          <t>SÖDERMANLANDS LÄN</t>
        </is>
      </c>
      <c r="E321" t="inlineStr">
        <is>
          <t>KATRINEHOLM</t>
        </is>
      </c>
      <c r="G321" t="n">
        <v>5.9</v>
      </c>
      <c r="H321" t="n">
        <v>0</v>
      </c>
      <c r="I321" t="n">
        <v>0</v>
      </c>
      <c r="J321" t="n">
        <v>0</v>
      </c>
      <c r="K321" t="n">
        <v>0</v>
      </c>
      <c r="L321" t="n">
        <v>0</v>
      </c>
      <c r="M321" t="n">
        <v>0</v>
      </c>
      <c r="N321" t="n">
        <v>0</v>
      </c>
      <c r="O321" t="n">
        <v>0</v>
      </c>
      <c r="P321" t="n">
        <v>0</v>
      </c>
      <c r="Q321" t="n">
        <v>0</v>
      </c>
      <c r="R321" s="2" t="inlineStr"/>
    </row>
    <row r="322" ht="15" customHeight="1">
      <c r="A322" t="inlineStr">
        <is>
          <t>A 51613-2022</t>
        </is>
      </c>
      <c r="B322" s="1" t="n">
        <v>44871</v>
      </c>
      <c r="C322" s="1" t="n">
        <v>46173</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27886-2024</t>
        </is>
      </c>
      <c r="B323" s="1" t="n">
        <v>45475</v>
      </c>
      <c r="C323" s="1" t="n">
        <v>46173</v>
      </c>
      <c r="D323" t="inlineStr">
        <is>
          <t>SÖDERMANLANDS LÄN</t>
        </is>
      </c>
      <c r="E323" t="inlineStr">
        <is>
          <t>KATRINEHOLM</t>
        </is>
      </c>
      <c r="G323" t="n">
        <v>10.3</v>
      </c>
      <c r="H323" t="n">
        <v>0</v>
      </c>
      <c r="I323" t="n">
        <v>0</v>
      </c>
      <c r="J323" t="n">
        <v>0</v>
      </c>
      <c r="K323" t="n">
        <v>0</v>
      </c>
      <c r="L323" t="n">
        <v>0</v>
      </c>
      <c r="M323" t="n">
        <v>0</v>
      </c>
      <c r="N323" t="n">
        <v>0</v>
      </c>
      <c r="O323" t="n">
        <v>0</v>
      </c>
      <c r="P323" t="n">
        <v>0</v>
      </c>
      <c r="Q323" t="n">
        <v>0</v>
      </c>
      <c r="R323" s="2" t="inlineStr"/>
    </row>
    <row r="324" ht="15" customHeight="1">
      <c r="A324" t="inlineStr">
        <is>
          <t>A 3075-2022</t>
        </is>
      </c>
      <c r="B324" s="1" t="n">
        <v>44582</v>
      </c>
      <c r="C324" s="1" t="n">
        <v>46173</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19868-2022</t>
        </is>
      </c>
      <c r="B325" s="1" t="n">
        <v>44696</v>
      </c>
      <c r="C325" s="1" t="n">
        <v>46173</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58651-2023</t>
        </is>
      </c>
      <c r="B326" s="1" t="n">
        <v>45247</v>
      </c>
      <c r="C326" s="1" t="n">
        <v>46173</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46173</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8765-2023</t>
        </is>
      </c>
      <c r="B328" s="1" t="n">
        <v>44978.52131944444</v>
      </c>
      <c r="C328" s="1" t="n">
        <v>46173</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57265-2022</t>
        </is>
      </c>
      <c r="B329" s="1" t="n">
        <v>44895</v>
      </c>
      <c r="C329" s="1" t="n">
        <v>46173</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28992-2024</t>
        </is>
      </c>
      <c r="B330" s="1" t="n">
        <v>45481.49289351852</v>
      </c>
      <c r="C330" s="1" t="n">
        <v>46173</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25433-2024</t>
        </is>
      </c>
      <c r="B331" s="1" t="n">
        <v>45463</v>
      </c>
      <c r="C331" s="1" t="n">
        <v>46173</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6298-2024</t>
        </is>
      </c>
      <c r="B332" s="1" t="n">
        <v>45338.34245370371</v>
      </c>
      <c r="C332" s="1" t="n">
        <v>46173</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42111-2022</t>
        </is>
      </c>
      <c r="B333" s="1" t="n">
        <v>44830</v>
      </c>
      <c r="C333" s="1" t="n">
        <v>46173</v>
      </c>
      <c r="D333" t="inlineStr">
        <is>
          <t>SÖDERMANLANDS LÄN</t>
        </is>
      </c>
      <c r="E333" t="inlineStr">
        <is>
          <t>KATRINEHOLM</t>
        </is>
      </c>
      <c r="G333" t="n">
        <v>2.5</v>
      </c>
      <c r="H333" t="n">
        <v>0</v>
      </c>
      <c r="I333" t="n">
        <v>0</v>
      </c>
      <c r="J333" t="n">
        <v>0</v>
      </c>
      <c r="K333" t="n">
        <v>0</v>
      </c>
      <c r="L333" t="n">
        <v>0</v>
      </c>
      <c r="M333" t="n">
        <v>0</v>
      </c>
      <c r="N333" t="n">
        <v>0</v>
      </c>
      <c r="O333" t="n">
        <v>0</v>
      </c>
      <c r="P333" t="n">
        <v>0</v>
      </c>
      <c r="Q333" t="n">
        <v>0</v>
      </c>
      <c r="R333" s="2" t="inlineStr"/>
    </row>
    <row r="334" ht="15" customHeight="1">
      <c r="A334" t="inlineStr">
        <is>
          <t>A 48877-2022</t>
        </is>
      </c>
      <c r="B334" s="1" t="n">
        <v>44859</v>
      </c>
      <c r="C334" s="1" t="n">
        <v>46173</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34539-2022</t>
        </is>
      </c>
      <c r="B335" s="1" t="n">
        <v>44793.50563657407</v>
      </c>
      <c r="C335" s="1" t="n">
        <v>46173</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38708-2025</t>
        </is>
      </c>
      <c r="B336" s="1" t="n">
        <v>45885</v>
      </c>
      <c r="C336" s="1" t="n">
        <v>46173</v>
      </c>
      <c r="D336" t="inlineStr">
        <is>
          <t>SÖDERMANLANDS LÄN</t>
        </is>
      </c>
      <c r="E336" t="inlineStr">
        <is>
          <t>KATRINEHOLM</t>
        </is>
      </c>
      <c r="G336" t="n">
        <v>1.9</v>
      </c>
      <c r="H336" t="n">
        <v>0</v>
      </c>
      <c r="I336" t="n">
        <v>0</v>
      </c>
      <c r="J336" t="n">
        <v>0</v>
      </c>
      <c r="K336" t="n">
        <v>0</v>
      </c>
      <c r="L336" t="n">
        <v>0</v>
      </c>
      <c r="M336" t="n">
        <v>0</v>
      </c>
      <c r="N336" t="n">
        <v>0</v>
      </c>
      <c r="O336" t="n">
        <v>0</v>
      </c>
      <c r="P336" t="n">
        <v>0</v>
      </c>
      <c r="Q336" t="n">
        <v>0</v>
      </c>
      <c r="R336" s="2" t="inlineStr"/>
    </row>
    <row r="337" ht="15" customHeight="1">
      <c r="A337" t="inlineStr">
        <is>
          <t>A 3115-2024</t>
        </is>
      </c>
      <c r="B337" s="1" t="n">
        <v>45316.49630787037</v>
      </c>
      <c r="C337" s="1" t="n">
        <v>46173</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23705-2023</t>
        </is>
      </c>
      <c r="B338" s="1" t="n">
        <v>45077</v>
      </c>
      <c r="C338" s="1" t="n">
        <v>46173</v>
      </c>
      <c r="D338" t="inlineStr">
        <is>
          <t>SÖDERMANLANDS LÄN</t>
        </is>
      </c>
      <c r="E338" t="inlineStr">
        <is>
          <t>KATRINEHOLM</t>
        </is>
      </c>
      <c r="F338" t="inlineStr">
        <is>
          <t>Kyrkan</t>
        </is>
      </c>
      <c r="G338" t="n">
        <v>11.9</v>
      </c>
      <c r="H338" t="n">
        <v>0</v>
      </c>
      <c r="I338" t="n">
        <v>0</v>
      </c>
      <c r="J338" t="n">
        <v>0</v>
      </c>
      <c r="K338" t="n">
        <v>0</v>
      </c>
      <c r="L338" t="n">
        <v>0</v>
      </c>
      <c r="M338" t="n">
        <v>0</v>
      </c>
      <c r="N338" t="n">
        <v>0</v>
      </c>
      <c r="O338" t="n">
        <v>0</v>
      </c>
      <c r="P338" t="n">
        <v>0</v>
      </c>
      <c r="Q338" t="n">
        <v>0</v>
      </c>
      <c r="R338" s="2" t="inlineStr"/>
    </row>
    <row r="339" ht="15" customHeight="1">
      <c r="A339" t="inlineStr">
        <is>
          <t>A 36021-2023</t>
        </is>
      </c>
      <c r="B339" s="1" t="n">
        <v>45148</v>
      </c>
      <c r="C339" s="1" t="n">
        <v>46173</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13175-2024</t>
        </is>
      </c>
      <c r="B340" s="1" t="n">
        <v>45386</v>
      </c>
      <c r="C340" s="1" t="n">
        <v>46173</v>
      </c>
      <c r="D340" t="inlineStr">
        <is>
          <t>SÖDERMANLANDS LÄN</t>
        </is>
      </c>
      <c r="E340" t="inlineStr">
        <is>
          <t>KATRINEHOLM</t>
        </is>
      </c>
      <c r="G340" t="n">
        <v>0.7</v>
      </c>
      <c r="H340" t="n">
        <v>0</v>
      </c>
      <c r="I340" t="n">
        <v>0</v>
      </c>
      <c r="J340" t="n">
        <v>0</v>
      </c>
      <c r="K340" t="n">
        <v>0</v>
      </c>
      <c r="L340" t="n">
        <v>0</v>
      </c>
      <c r="M340" t="n">
        <v>0</v>
      </c>
      <c r="N340" t="n">
        <v>0</v>
      </c>
      <c r="O340" t="n">
        <v>0</v>
      </c>
      <c r="P340" t="n">
        <v>0</v>
      </c>
      <c r="Q340" t="n">
        <v>0</v>
      </c>
      <c r="R340" s="2" t="inlineStr"/>
    </row>
    <row r="341" ht="15" customHeight="1">
      <c r="A341" t="inlineStr">
        <is>
          <t>A 52769-2023</t>
        </is>
      </c>
      <c r="B341" s="1" t="n">
        <v>45226</v>
      </c>
      <c r="C341" s="1" t="n">
        <v>46173</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7223-2022</t>
        </is>
      </c>
      <c r="B342" s="1" t="n">
        <v>44603</v>
      </c>
      <c r="C342" s="1" t="n">
        <v>46173</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26081-2024</t>
        </is>
      </c>
      <c r="B343" s="1" t="n">
        <v>45462</v>
      </c>
      <c r="C343" s="1" t="n">
        <v>46173</v>
      </c>
      <c r="D343" t="inlineStr">
        <is>
          <t>SÖDERMANLANDS LÄN</t>
        </is>
      </c>
      <c r="E343" t="inlineStr">
        <is>
          <t>KATRINEHOLM</t>
        </is>
      </c>
      <c r="G343" t="n">
        <v>4.1</v>
      </c>
      <c r="H343" t="n">
        <v>0</v>
      </c>
      <c r="I343" t="n">
        <v>0</v>
      </c>
      <c r="J343" t="n">
        <v>0</v>
      </c>
      <c r="K343" t="n">
        <v>0</v>
      </c>
      <c r="L343" t="n">
        <v>0</v>
      </c>
      <c r="M343" t="n">
        <v>0</v>
      </c>
      <c r="N343" t="n">
        <v>0</v>
      </c>
      <c r="O343" t="n">
        <v>0</v>
      </c>
      <c r="P343" t="n">
        <v>0</v>
      </c>
      <c r="Q343" t="n">
        <v>0</v>
      </c>
      <c r="R343" s="2" t="inlineStr"/>
    </row>
    <row r="344" ht="15" customHeight="1">
      <c r="A344" t="inlineStr">
        <is>
          <t>A 4667-2024</t>
        </is>
      </c>
      <c r="B344" s="1" t="n">
        <v>45328.47</v>
      </c>
      <c r="C344" s="1" t="n">
        <v>46173</v>
      </c>
      <c r="D344" t="inlineStr">
        <is>
          <t>SÖDERMANLANDS LÄN</t>
        </is>
      </c>
      <c r="E344" t="inlineStr">
        <is>
          <t>KATRINEHOLM</t>
        </is>
      </c>
      <c r="F344" t="inlineStr">
        <is>
          <t>Övriga Aktiebolag</t>
        </is>
      </c>
      <c r="G344" t="n">
        <v>10.2</v>
      </c>
      <c r="H344" t="n">
        <v>0</v>
      </c>
      <c r="I344" t="n">
        <v>0</v>
      </c>
      <c r="J344" t="n">
        <v>0</v>
      </c>
      <c r="K344" t="n">
        <v>0</v>
      </c>
      <c r="L344" t="n">
        <v>0</v>
      </c>
      <c r="M344" t="n">
        <v>0</v>
      </c>
      <c r="N344" t="n">
        <v>0</v>
      </c>
      <c r="O344" t="n">
        <v>0</v>
      </c>
      <c r="P344" t="n">
        <v>0</v>
      </c>
      <c r="Q344" t="n">
        <v>0</v>
      </c>
      <c r="R344" s="2" t="inlineStr"/>
    </row>
    <row r="345" ht="15" customHeight="1">
      <c r="A345" t="inlineStr">
        <is>
          <t>A 51446-2023</t>
        </is>
      </c>
      <c r="B345" s="1" t="n">
        <v>45220.48068287037</v>
      </c>
      <c r="C345" s="1" t="n">
        <v>46173</v>
      </c>
      <c r="D345" t="inlineStr">
        <is>
          <t>SÖDERMANLANDS LÄN</t>
        </is>
      </c>
      <c r="E345" t="inlineStr">
        <is>
          <t>KATRINEHOLM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19107-2022</t>
        </is>
      </c>
      <c r="B346" s="1" t="n">
        <v>44691.54077546296</v>
      </c>
      <c r="C346" s="1" t="n">
        <v>46173</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40402-2022</t>
        </is>
      </c>
      <c r="B347" s="1" t="n">
        <v>44823.44353009259</v>
      </c>
      <c r="C347" s="1" t="n">
        <v>46173</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28931-2024</t>
        </is>
      </c>
      <c r="B348" s="1" t="n">
        <v>45479</v>
      </c>
      <c r="C348" s="1" t="n">
        <v>46173</v>
      </c>
      <c r="D348" t="inlineStr">
        <is>
          <t>SÖDERMANLANDS LÄN</t>
        </is>
      </c>
      <c r="E348" t="inlineStr">
        <is>
          <t>KATRINEHOLM</t>
        </is>
      </c>
      <c r="G348" t="n">
        <v>7.4</v>
      </c>
      <c r="H348" t="n">
        <v>0</v>
      </c>
      <c r="I348" t="n">
        <v>0</v>
      </c>
      <c r="J348" t="n">
        <v>0</v>
      </c>
      <c r="K348" t="n">
        <v>0</v>
      </c>
      <c r="L348" t="n">
        <v>0</v>
      </c>
      <c r="M348" t="n">
        <v>0</v>
      </c>
      <c r="N348" t="n">
        <v>0</v>
      </c>
      <c r="O348" t="n">
        <v>0</v>
      </c>
      <c r="P348" t="n">
        <v>0</v>
      </c>
      <c r="Q348" t="n">
        <v>0</v>
      </c>
      <c r="R348" s="2" t="inlineStr"/>
    </row>
    <row r="349" ht="15" customHeight="1">
      <c r="A349" t="inlineStr">
        <is>
          <t>A 27646-2023</t>
        </is>
      </c>
      <c r="B349" s="1" t="n">
        <v>45097</v>
      </c>
      <c r="C349" s="1" t="n">
        <v>46173</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50626-2024</t>
        </is>
      </c>
      <c r="B350" s="1" t="n">
        <v>45601</v>
      </c>
      <c r="C350" s="1" t="n">
        <v>46173</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35183-2022</t>
        </is>
      </c>
      <c r="B351" s="1" t="n">
        <v>44797</v>
      </c>
      <c r="C351" s="1" t="n">
        <v>46173</v>
      </c>
      <c r="D351" t="inlineStr">
        <is>
          <t>SÖDERMANLANDS LÄN</t>
        </is>
      </c>
      <c r="E351" t="inlineStr">
        <is>
          <t>KATRINEHOLM</t>
        </is>
      </c>
      <c r="G351" t="n">
        <v>4.6</v>
      </c>
      <c r="H351" t="n">
        <v>0</v>
      </c>
      <c r="I351" t="n">
        <v>0</v>
      </c>
      <c r="J351" t="n">
        <v>0</v>
      </c>
      <c r="K351" t="n">
        <v>0</v>
      </c>
      <c r="L351" t="n">
        <v>0</v>
      </c>
      <c r="M351" t="n">
        <v>0</v>
      </c>
      <c r="N351" t="n">
        <v>0</v>
      </c>
      <c r="O351" t="n">
        <v>0</v>
      </c>
      <c r="P351" t="n">
        <v>0</v>
      </c>
      <c r="Q351" t="n">
        <v>0</v>
      </c>
      <c r="R351" s="2" t="inlineStr"/>
    </row>
    <row r="352" ht="15" customHeight="1">
      <c r="A352" t="inlineStr">
        <is>
          <t>A 27334-2023</t>
        </is>
      </c>
      <c r="B352" s="1" t="n">
        <v>45096</v>
      </c>
      <c r="C352" s="1" t="n">
        <v>46173</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12888-2025</t>
        </is>
      </c>
      <c r="B353" s="1" t="n">
        <v>45733</v>
      </c>
      <c r="C353" s="1" t="n">
        <v>46173</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7197-2023</t>
        </is>
      </c>
      <c r="B354" s="1" t="n">
        <v>44965</v>
      </c>
      <c r="C354" s="1" t="n">
        <v>46173</v>
      </c>
      <c r="D354" t="inlineStr">
        <is>
          <t>SÖDERMANLANDS LÄN</t>
        </is>
      </c>
      <c r="E354" t="inlineStr">
        <is>
          <t>KATRINEHOLM</t>
        </is>
      </c>
      <c r="G354" t="n">
        <v>5.3</v>
      </c>
      <c r="H354" t="n">
        <v>0</v>
      </c>
      <c r="I354" t="n">
        <v>0</v>
      </c>
      <c r="J354" t="n">
        <v>0</v>
      </c>
      <c r="K354" t="n">
        <v>0</v>
      </c>
      <c r="L354" t="n">
        <v>0</v>
      </c>
      <c r="M354" t="n">
        <v>0</v>
      </c>
      <c r="N354" t="n">
        <v>0</v>
      </c>
      <c r="O354" t="n">
        <v>0</v>
      </c>
      <c r="P354" t="n">
        <v>0</v>
      </c>
      <c r="Q354" t="n">
        <v>0</v>
      </c>
      <c r="R354" s="2" t="inlineStr"/>
    </row>
    <row r="355" ht="15" customHeight="1">
      <c r="A355" t="inlineStr">
        <is>
          <t>A 7704-2023</t>
        </is>
      </c>
      <c r="B355" s="1" t="n">
        <v>44968</v>
      </c>
      <c r="C355" s="1" t="n">
        <v>46173</v>
      </c>
      <c r="D355" t="inlineStr">
        <is>
          <t>SÖDERMANLANDS LÄN</t>
        </is>
      </c>
      <c r="E355" t="inlineStr">
        <is>
          <t>KATRINEHOLM</t>
        </is>
      </c>
      <c r="G355" t="n">
        <v>7.3</v>
      </c>
      <c r="H355" t="n">
        <v>0</v>
      </c>
      <c r="I355" t="n">
        <v>0</v>
      </c>
      <c r="J355" t="n">
        <v>0</v>
      </c>
      <c r="K355" t="n">
        <v>0</v>
      </c>
      <c r="L355" t="n">
        <v>0</v>
      </c>
      <c r="M355" t="n">
        <v>0</v>
      </c>
      <c r="N355" t="n">
        <v>0</v>
      </c>
      <c r="O355" t="n">
        <v>0</v>
      </c>
      <c r="P355" t="n">
        <v>0</v>
      </c>
      <c r="Q355" t="n">
        <v>0</v>
      </c>
      <c r="R355" s="2" t="inlineStr"/>
    </row>
    <row r="356" ht="15" customHeight="1">
      <c r="A356" t="inlineStr">
        <is>
          <t>A 28394-2023</t>
        </is>
      </c>
      <c r="B356" s="1" t="n">
        <v>45100</v>
      </c>
      <c r="C356" s="1" t="n">
        <v>46173</v>
      </c>
      <c r="D356" t="inlineStr">
        <is>
          <t>SÖDERMANLANDS LÄN</t>
        </is>
      </c>
      <c r="E356" t="inlineStr">
        <is>
          <t>KATRINEHOLM</t>
        </is>
      </c>
      <c r="G356" t="n">
        <v>4.2</v>
      </c>
      <c r="H356" t="n">
        <v>0</v>
      </c>
      <c r="I356" t="n">
        <v>0</v>
      </c>
      <c r="J356" t="n">
        <v>0</v>
      </c>
      <c r="K356" t="n">
        <v>0</v>
      </c>
      <c r="L356" t="n">
        <v>0</v>
      </c>
      <c r="M356" t="n">
        <v>0</v>
      </c>
      <c r="N356" t="n">
        <v>0</v>
      </c>
      <c r="O356" t="n">
        <v>0</v>
      </c>
      <c r="P356" t="n">
        <v>0</v>
      </c>
      <c r="Q356" t="n">
        <v>0</v>
      </c>
      <c r="R356" s="2" t="inlineStr"/>
    </row>
    <row r="357" ht="15" customHeight="1">
      <c r="A357" t="inlineStr">
        <is>
          <t>A 58528-2024</t>
        </is>
      </c>
      <c r="B357" s="1" t="n">
        <v>45635.44527777778</v>
      </c>
      <c r="C357" s="1" t="n">
        <v>46173</v>
      </c>
      <c r="D357" t="inlineStr">
        <is>
          <t>SÖDERMANLANDS LÄN</t>
        </is>
      </c>
      <c r="E357" t="inlineStr">
        <is>
          <t>KATRINEHOLM</t>
        </is>
      </c>
      <c r="G357" t="n">
        <v>2.4</v>
      </c>
      <c r="H357" t="n">
        <v>0</v>
      </c>
      <c r="I357" t="n">
        <v>0</v>
      </c>
      <c r="J357" t="n">
        <v>0</v>
      </c>
      <c r="K357" t="n">
        <v>0</v>
      </c>
      <c r="L357" t="n">
        <v>0</v>
      </c>
      <c r="M357" t="n">
        <v>0</v>
      </c>
      <c r="N357" t="n">
        <v>0</v>
      </c>
      <c r="O357" t="n">
        <v>0</v>
      </c>
      <c r="P357" t="n">
        <v>0</v>
      </c>
      <c r="Q357" t="n">
        <v>0</v>
      </c>
      <c r="R357" s="2" t="inlineStr"/>
    </row>
    <row r="358" ht="15" customHeight="1">
      <c r="A358" t="inlineStr">
        <is>
          <t>A 39668-2025</t>
        </is>
      </c>
      <c r="B358" s="1" t="n">
        <v>45890</v>
      </c>
      <c r="C358" s="1" t="n">
        <v>46173</v>
      </c>
      <c r="D358" t="inlineStr">
        <is>
          <t>SÖDERMANLANDS LÄN</t>
        </is>
      </c>
      <c r="E358" t="inlineStr">
        <is>
          <t>KATRINEHOLM</t>
        </is>
      </c>
      <c r="G358" t="n">
        <v>2.9</v>
      </c>
      <c r="H358" t="n">
        <v>0</v>
      </c>
      <c r="I358" t="n">
        <v>0</v>
      </c>
      <c r="J358" t="n">
        <v>0</v>
      </c>
      <c r="K358" t="n">
        <v>0</v>
      </c>
      <c r="L358" t="n">
        <v>0</v>
      </c>
      <c r="M358" t="n">
        <v>0</v>
      </c>
      <c r="N358" t="n">
        <v>0</v>
      </c>
      <c r="O358" t="n">
        <v>0</v>
      </c>
      <c r="P358" t="n">
        <v>0</v>
      </c>
      <c r="Q358" t="n">
        <v>0</v>
      </c>
      <c r="R358" s="2" t="inlineStr"/>
    </row>
    <row r="359" ht="15" customHeight="1">
      <c r="A359" t="inlineStr">
        <is>
          <t>A 14478-2023</t>
        </is>
      </c>
      <c r="B359" s="1" t="n">
        <v>45012.66421296296</v>
      </c>
      <c r="C359" s="1" t="n">
        <v>46173</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39737-2025</t>
        </is>
      </c>
      <c r="B360" s="1" t="n">
        <v>45891</v>
      </c>
      <c r="C360" s="1" t="n">
        <v>46173</v>
      </c>
      <c r="D360" t="inlineStr">
        <is>
          <t>SÖDERMANLANDS LÄN</t>
        </is>
      </c>
      <c r="E360" t="inlineStr">
        <is>
          <t>KATRINEHOLM</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25362-2023</t>
        </is>
      </c>
      <c r="B361" s="1" t="n">
        <v>45088.83430555555</v>
      </c>
      <c r="C361" s="1" t="n">
        <v>46173</v>
      </c>
      <c r="D361" t="inlineStr">
        <is>
          <t>SÖDERMANLANDS LÄN</t>
        </is>
      </c>
      <c r="E361" t="inlineStr">
        <is>
          <t>KATRINEHOLM</t>
        </is>
      </c>
      <c r="G361" t="n">
        <v>1.5</v>
      </c>
      <c r="H361" t="n">
        <v>0</v>
      </c>
      <c r="I361" t="n">
        <v>0</v>
      </c>
      <c r="J361" t="n">
        <v>0</v>
      </c>
      <c r="K361" t="n">
        <v>0</v>
      </c>
      <c r="L361" t="n">
        <v>0</v>
      </c>
      <c r="M361" t="n">
        <v>0</v>
      </c>
      <c r="N361" t="n">
        <v>0</v>
      </c>
      <c r="O361" t="n">
        <v>0</v>
      </c>
      <c r="P361" t="n">
        <v>0</v>
      </c>
      <c r="Q361" t="n">
        <v>0</v>
      </c>
      <c r="R361" s="2" t="inlineStr"/>
    </row>
    <row r="362" ht="15" customHeight="1">
      <c r="A362" t="inlineStr">
        <is>
          <t>A 39055-2022</t>
        </is>
      </c>
      <c r="B362" s="1" t="n">
        <v>44817</v>
      </c>
      <c r="C362" s="1" t="n">
        <v>46173</v>
      </c>
      <c r="D362" t="inlineStr">
        <is>
          <t>SÖDERMANLANDS LÄN</t>
        </is>
      </c>
      <c r="E362" t="inlineStr">
        <is>
          <t>KATRINEHOLM</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7056-2022</t>
        </is>
      </c>
      <c r="B363" s="1" t="n">
        <v>44603</v>
      </c>
      <c r="C363" s="1" t="n">
        <v>46173</v>
      </c>
      <c r="D363" t="inlineStr">
        <is>
          <t>SÖDERMANLANDS LÄN</t>
        </is>
      </c>
      <c r="E363" t="inlineStr">
        <is>
          <t>KATRINEHOLM</t>
        </is>
      </c>
      <c r="G363" t="n">
        <v>0.5</v>
      </c>
      <c r="H363" t="n">
        <v>0</v>
      </c>
      <c r="I363" t="n">
        <v>0</v>
      </c>
      <c r="J363" t="n">
        <v>0</v>
      </c>
      <c r="K363" t="n">
        <v>0</v>
      </c>
      <c r="L363" t="n">
        <v>0</v>
      </c>
      <c r="M363" t="n">
        <v>0</v>
      </c>
      <c r="N363" t="n">
        <v>0</v>
      </c>
      <c r="O363" t="n">
        <v>0</v>
      </c>
      <c r="P363" t="n">
        <v>0</v>
      </c>
      <c r="Q363" t="n">
        <v>0</v>
      </c>
      <c r="R363" s="2" t="inlineStr"/>
    </row>
    <row r="364" ht="15" customHeight="1">
      <c r="A364" t="inlineStr">
        <is>
          <t>A 39847-2025</t>
        </is>
      </c>
      <c r="B364" s="1" t="n">
        <v>45891.58381944444</v>
      </c>
      <c r="C364" s="1" t="n">
        <v>46173</v>
      </c>
      <c r="D364" t="inlineStr">
        <is>
          <t>SÖDERMANLANDS LÄN</t>
        </is>
      </c>
      <c r="E364" t="inlineStr">
        <is>
          <t>KATRINEHOLM</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39663-2025</t>
        </is>
      </c>
      <c r="B365" s="1" t="n">
        <v>45890</v>
      </c>
      <c r="C365" s="1" t="n">
        <v>46173</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12937-2023</t>
        </is>
      </c>
      <c r="B366" s="1" t="n">
        <v>45001</v>
      </c>
      <c r="C366" s="1" t="n">
        <v>46173</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47456-2022</t>
        </is>
      </c>
      <c r="B367" s="1" t="n">
        <v>44852</v>
      </c>
      <c r="C367" s="1" t="n">
        <v>46173</v>
      </c>
      <c r="D367" t="inlineStr">
        <is>
          <t>SÖDERMANLANDS LÄN</t>
        </is>
      </c>
      <c r="E367" t="inlineStr">
        <is>
          <t>KATRINEHOLM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39645-2025</t>
        </is>
      </c>
      <c r="B368" s="1" t="n">
        <v>45890</v>
      </c>
      <c r="C368" s="1" t="n">
        <v>46173</v>
      </c>
      <c r="D368" t="inlineStr">
        <is>
          <t>SÖDERMANLANDS LÄN</t>
        </is>
      </c>
      <c r="E368" t="inlineStr">
        <is>
          <t>KATRINEHOLM</t>
        </is>
      </c>
      <c r="G368" t="n">
        <v>0.2</v>
      </c>
      <c r="H368" t="n">
        <v>0</v>
      </c>
      <c r="I368" t="n">
        <v>0</v>
      </c>
      <c r="J368" t="n">
        <v>0</v>
      </c>
      <c r="K368" t="n">
        <v>0</v>
      </c>
      <c r="L368" t="n">
        <v>0</v>
      </c>
      <c r="M368" t="n">
        <v>0</v>
      </c>
      <c r="N368" t="n">
        <v>0</v>
      </c>
      <c r="O368" t="n">
        <v>0</v>
      </c>
      <c r="P368" t="n">
        <v>0</v>
      </c>
      <c r="Q368" t="n">
        <v>0</v>
      </c>
      <c r="R368" s="2" t="inlineStr"/>
    </row>
    <row r="369" ht="15" customHeight="1">
      <c r="A369" t="inlineStr">
        <is>
          <t>A 4656-2023</t>
        </is>
      </c>
      <c r="B369" s="1" t="n">
        <v>44957</v>
      </c>
      <c r="C369" s="1" t="n">
        <v>46173</v>
      </c>
      <c r="D369" t="inlineStr">
        <is>
          <t>SÖDERMANLANDS LÄN</t>
        </is>
      </c>
      <c r="E369" t="inlineStr">
        <is>
          <t>KATRINEHOLM</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49078-2024</t>
        </is>
      </c>
      <c r="B370" s="1" t="n">
        <v>45594.62556712963</v>
      </c>
      <c r="C370" s="1" t="n">
        <v>46173</v>
      </c>
      <c r="D370" t="inlineStr">
        <is>
          <t>SÖDERMANLANDS LÄN</t>
        </is>
      </c>
      <c r="E370" t="inlineStr">
        <is>
          <t>KATRINEHOLM</t>
        </is>
      </c>
      <c r="F370" t="inlineStr">
        <is>
          <t>Övriga Aktiebolag</t>
        </is>
      </c>
      <c r="G370" t="n">
        <v>0.4</v>
      </c>
      <c r="H370" t="n">
        <v>0</v>
      </c>
      <c r="I370" t="n">
        <v>0</v>
      </c>
      <c r="J370" t="n">
        <v>0</v>
      </c>
      <c r="K370" t="n">
        <v>0</v>
      </c>
      <c r="L370" t="n">
        <v>0</v>
      </c>
      <c r="M370" t="n">
        <v>0</v>
      </c>
      <c r="N370" t="n">
        <v>0</v>
      </c>
      <c r="O370" t="n">
        <v>0</v>
      </c>
      <c r="P370" t="n">
        <v>0</v>
      </c>
      <c r="Q370" t="n">
        <v>0</v>
      </c>
      <c r="R370" s="2" t="inlineStr"/>
    </row>
    <row r="371" ht="15" customHeight="1">
      <c r="A371" t="inlineStr">
        <is>
          <t>A 42896-2024</t>
        </is>
      </c>
      <c r="B371" s="1" t="n">
        <v>45566.82973379629</v>
      </c>
      <c r="C371" s="1" t="n">
        <v>46173</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35188-2022</t>
        </is>
      </c>
      <c r="B372" s="1" t="n">
        <v>44797</v>
      </c>
      <c r="C372" s="1" t="n">
        <v>46173</v>
      </c>
      <c r="D372" t="inlineStr">
        <is>
          <t>SÖDERMANLANDS LÄN</t>
        </is>
      </c>
      <c r="E372" t="inlineStr">
        <is>
          <t>KATRINEHOLM</t>
        </is>
      </c>
      <c r="G372" t="n">
        <v>3</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46173</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62419-2023</t>
        </is>
      </c>
      <c r="B374" s="1" t="n">
        <v>45268</v>
      </c>
      <c r="C374" s="1" t="n">
        <v>46173</v>
      </c>
      <c r="D374" t="inlineStr">
        <is>
          <t>SÖDERMANLANDS LÄN</t>
        </is>
      </c>
      <c r="E374" t="inlineStr">
        <is>
          <t>KATRINEHOLM</t>
        </is>
      </c>
      <c r="G374" t="n">
        <v>9</v>
      </c>
      <c r="H374" t="n">
        <v>0</v>
      </c>
      <c r="I374" t="n">
        <v>0</v>
      </c>
      <c r="J374" t="n">
        <v>0</v>
      </c>
      <c r="K374" t="n">
        <v>0</v>
      </c>
      <c r="L374" t="n">
        <v>0</v>
      </c>
      <c r="M374" t="n">
        <v>0</v>
      </c>
      <c r="N374" t="n">
        <v>0</v>
      </c>
      <c r="O374" t="n">
        <v>0</v>
      </c>
      <c r="P374" t="n">
        <v>0</v>
      </c>
      <c r="Q374" t="n">
        <v>0</v>
      </c>
      <c r="R374" s="2" t="inlineStr"/>
    </row>
    <row r="375" ht="15" customHeight="1">
      <c r="A375" t="inlineStr">
        <is>
          <t>A 5327-2025</t>
        </is>
      </c>
      <c r="B375" s="1" t="n">
        <v>45692</v>
      </c>
      <c r="C375" s="1" t="n">
        <v>46173</v>
      </c>
      <c r="D375" t="inlineStr">
        <is>
          <t>SÖDERMANLANDS LÄN</t>
        </is>
      </c>
      <c r="E375" t="inlineStr">
        <is>
          <t>KATRINEHOLM</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53722-2023</t>
        </is>
      </c>
      <c r="B376" s="1" t="n">
        <v>45230</v>
      </c>
      <c r="C376" s="1" t="n">
        <v>46173</v>
      </c>
      <c r="D376" t="inlineStr">
        <is>
          <t>SÖDERMANLANDS LÄN</t>
        </is>
      </c>
      <c r="E376" t="inlineStr">
        <is>
          <t>KATRINEHOLM</t>
        </is>
      </c>
      <c r="F376" t="inlineStr">
        <is>
          <t>Allmännings- och besparingsskogar</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38869-2024</t>
        </is>
      </c>
      <c r="B377" s="1" t="n">
        <v>45547</v>
      </c>
      <c r="C377" s="1" t="n">
        <v>46173</v>
      </c>
      <c r="D377" t="inlineStr">
        <is>
          <t>SÖDERMANLANDS LÄN</t>
        </is>
      </c>
      <c r="E377" t="inlineStr">
        <is>
          <t>KATRINEHOLM</t>
        </is>
      </c>
      <c r="G377" t="n">
        <v>2.2</v>
      </c>
      <c r="H377" t="n">
        <v>0</v>
      </c>
      <c r="I377" t="n">
        <v>0</v>
      </c>
      <c r="J377" t="n">
        <v>0</v>
      </c>
      <c r="K377" t="n">
        <v>0</v>
      </c>
      <c r="L377" t="n">
        <v>0</v>
      </c>
      <c r="M377" t="n">
        <v>0</v>
      </c>
      <c r="N377" t="n">
        <v>0</v>
      </c>
      <c r="O377" t="n">
        <v>0</v>
      </c>
      <c r="P377" t="n">
        <v>0</v>
      </c>
      <c r="Q377" t="n">
        <v>0</v>
      </c>
      <c r="R377" s="2" t="inlineStr"/>
    </row>
    <row r="378" ht="15" customHeight="1">
      <c r="A378" t="inlineStr">
        <is>
          <t>A 20214-2025</t>
        </is>
      </c>
      <c r="B378" s="1" t="n">
        <v>45772.63540509259</v>
      </c>
      <c r="C378" s="1" t="n">
        <v>46173</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62140-2022</t>
        </is>
      </c>
      <c r="B379" s="1" t="n">
        <v>44922</v>
      </c>
      <c r="C379" s="1" t="n">
        <v>46173</v>
      </c>
      <c r="D379" t="inlineStr">
        <is>
          <t>SÖDERMANLANDS LÄN</t>
        </is>
      </c>
      <c r="E379" t="inlineStr">
        <is>
          <t>KATRINEHOLM</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19442-2023</t>
        </is>
      </c>
      <c r="B380" s="1" t="n">
        <v>45050</v>
      </c>
      <c r="C380" s="1" t="n">
        <v>46173</v>
      </c>
      <c r="D380" t="inlineStr">
        <is>
          <t>SÖDERMANLANDS LÄN</t>
        </is>
      </c>
      <c r="E380" t="inlineStr">
        <is>
          <t>KATRINEHOLM</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59093-2024</t>
        </is>
      </c>
      <c r="B381" s="1" t="n">
        <v>45636</v>
      </c>
      <c r="C381" s="1" t="n">
        <v>46173</v>
      </c>
      <c r="D381" t="inlineStr">
        <is>
          <t>SÖDERMANLANDS LÄN</t>
        </is>
      </c>
      <c r="E381" t="inlineStr">
        <is>
          <t>KATRINEHOLM</t>
        </is>
      </c>
      <c r="G381" t="n">
        <v>2.8</v>
      </c>
      <c r="H381" t="n">
        <v>0</v>
      </c>
      <c r="I381" t="n">
        <v>0</v>
      </c>
      <c r="J381" t="n">
        <v>0</v>
      </c>
      <c r="K381" t="n">
        <v>0</v>
      </c>
      <c r="L381" t="n">
        <v>0</v>
      </c>
      <c r="M381" t="n">
        <v>0</v>
      </c>
      <c r="N381" t="n">
        <v>0</v>
      </c>
      <c r="O381" t="n">
        <v>0</v>
      </c>
      <c r="P381" t="n">
        <v>0</v>
      </c>
      <c r="Q381" t="n">
        <v>0</v>
      </c>
      <c r="R381" s="2" t="inlineStr"/>
    </row>
    <row r="382" ht="15" customHeight="1">
      <c r="A382" t="inlineStr">
        <is>
          <t>A 6175-2023</t>
        </is>
      </c>
      <c r="B382" s="1" t="n">
        <v>44964</v>
      </c>
      <c r="C382" s="1" t="n">
        <v>46173</v>
      </c>
      <c r="D382" t="inlineStr">
        <is>
          <t>SÖDERMANLANDS LÄN</t>
        </is>
      </c>
      <c r="E382" t="inlineStr">
        <is>
          <t>KATRINEHOLM</t>
        </is>
      </c>
      <c r="G382" t="n">
        <v>11.2</v>
      </c>
      <c r="H382" t="n">
        <v>0</v>
      </c>
      <c r="I382" t="n">
        <v>0</v>
      </c>
      <c r="J382" t="n">
        <v>0</v>
      </c>
      <c r="K382" t="n">
        <v>0</v>
      </c>
      <c r="L382" t="n">
        <v>0</v>
      </c>
      <c r="M382" t="n">
        <v>0</v>
      </c>
      <c r="N382" t="n">
        <v>0</v>
      </c>
      <c r="O382" t="n">
        <v>0</v>
      </c>
      <c r="P382" t="n">
        <v>0</v>
      </c>
      <c r="Q382" t="n">
        <v>0</v>
      </c>
      <c r="R382" s="2" t="inlineStr"/>
    </row>
    <row r="383" ht="15" customHeight="1">
      <c r="A383" t="inlineStr">
        <is>
          <t>A 7867-2024</t>
        </is>
      </c>
      <c r="B383" s="1" t="n">
        <v>45350.32991898148</v>
      </c>
      <c r="C383" s="1" t="n">
        <v>46173</v>
      </c>
      <c r="D383" t="inlineStr">
        <is>
          <t>SÖDERMANLANDS LÄN</t>
        </is>
      </c>
      <c r="E383" t="inlineStr">
        <is>
          <t>KATRINEHOLM</t>
        </is>
      </c>
      <c r="F383" t="inlineStr">
        <is>
          <t>Kyrkan</t>
        </is>
      </c>
      <c r="G383" t="n">
        <v>3.3</v>
      </c>
      <c r="H383" t="n">
        <v>0</v>
      </c>
      <c r="I383" t="n">
        <v>0</v>
      </c>
      <c r="J383" t="n">
        <v>0</v>
      </c>
      <c r="K383" t="n">
        <v>0</v>
      </c>
      <c r="L383" t="n">
        <v>0</v>
      </c>
      <c r="M383" t="n">
        <v>0</v>
      </c>
      <c r="N383" t="n">
        <v>0</v>
      </c>
      <c r="O383" t="n">
        <v>0</v>
      </c>
      <c r="P383" t="n">
        <v>0</v>
      </c>
      <c r="Q383" t="n">
        <v>0</v>
      </c>
      <c r="R383" s="2" t="inlineStr"/>
    </row>
    <row r="384" ht="15" customHeight="1">
      <c r="A384" t="inlineStr">
        <is>
          <t>A 8957-2024</t>
        </is>
      </c>
      <c r="B384" s="1" t="n">
        <v>45357.45089120371</v>
      </c>
      <c r="C384" s="1" t="n">
        <v>46173</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4655-2024</t>
        </is>
      </c>
      <c r="B385" s="1" t="n">
        <v>45328</v>
      </c>
      <c r="C385" s="1" t="n">
        <v>46173</v>
      </c>
      <c r="D385" t="inlineStr">
        <is>
          <t>SÖDERMANLANDS LÄN</t>
        </is>
      </c>
      <c r="E385" t="inlineStr">
        <is>
          <t>KATRINEHOLM</t>
        </is>
      </c>
      <c r="G385" t="n">
        <v>17.7</v>
      </c>
      <c r="H385" t="n">
        <v>0</v>
      </c>
      <c r="I385" t="n">
        <v>0</v>
      </c>
      <c r="J385" t="n">
        <v>0</v>
      </c>
      <c r="K385" t="n">
        <v>0</v>
      </c>
      <c r="L385" t="n">
        <v>0</v>
      </c>
      <c r="M385" t="n">
        <v>0</v>
      </c>
      <c r="N385" t="n">
        <v>0</v>
      </c>
      <c r="O385" t="n">
        <v>0</v>
      </c>
      <c r="P385" t="n">
        <v>0</v>
      </c>
      <c r="Q385" t="n">
        <v>0</v>
      </c>
      <c r="R385" s="2" t="inlineStr"/>
    </row>
    <row r="386" ht="15" customHeight="1">
      <c r="A386" t="inlineStr">
        <is>
          <t>A 50316-2023</t>
        </is>
      </c>
      <c r="B386" s="1" t="n">
        <v>45209</v>
      </c>
      <c r="C386" s="1" t="n">
        <v>46173</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51404-2023</t>
        </is>
      </c>
      <c r="B387" s="1" t="n">
        <v>45214</v>
      </c>
      <c r="C387" s="1" t="n">
        <v>46173</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row>
    <row r="388" ht="15" customHeight="1">
      <c r="A388" t="inlineStr">
        <is>
          <t>A 23341-2023</t>
        </is>
      </c>
      <c r="B388" s="1" t="n">
        <v>45076</v>
      </c>
      <c r="C388" s="1" t="n">
        <v>46173</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row>
    <row r="389" ht="15" customHeight="1">
      <c r="A389" t="inlineStr">
        <is>
          <t>A 15898-2022</t>
        </is>
      </c>
      <c r="B389" s="1" t="n">
        <v>44664.55688657407</v>
      </c>
      <c r="C389" s="1" t="n">
        <v>46173</v>
      </c>
      <c r="D389" t="inlineStr">
        <is>
          <t>SÖDERMANLANDS LÄN</t>
        </is>
      </c>
      <c r="E389" t="inlineStr">
        <is>
          <t>KATRINEHOLM</t>
        </is>
      </c>
      <c r="G389" t="n">
        <v>6.5</v>
      </c>
      <c r="H389" t="n">
        <v>0</v>
      </c>
      <c r="I389" t="n">
        <v>0</v>
      </c>
      <c r="J389" t="n">
        <v>0</v>
      </c>
      <c r="K389" t="n">
        <v>0</v>
      </c>
      <c r="L389" t="n">
        <v>0</v>
      </c>
      <c r="M389" t="n">
        <v>0</v>
      </c>
      <c r="N389" t="n">
        <v>0</v>
      </c>
      <c r="O389" t="n">
        <v>0</v>
      </c>
      <c r="P389" t="n">
        <v>0</v>
      </c>
      <c r="Q389" t="n">
        <v>0</v>
      </c>
      <c r="R389" s="2" t="inlineStr"/>
    </row>
    <row r="390" ht="15" customHeight="1">
      <c r="A390" t="inlineStr">
        <is>
          <t>A 15910-2022</t>
        </is>
      </c>
      <c r="B390" s="1" t="n">
        <v>44664</v>
      </c>
      <c r="C390" s="1" t="n">
        <v>46173</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64605-2023</t>
        </is>
      </c>
      <c r="B391" s="1" t="n">
        <v>45281</v>
      </c>
      <c r="C391" s="1" t="n">
        <v>46173</v>
      </c>
      <c r="D391" t="inlineStr">
        <is>
          <t>SÖDERMANLANDS LÄN</t>
        </is>
      </c>
      <c r="E391" t="inlineStr">
        <is>
          <t>KATRINEHOLM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64652-2023</t>
        </is>
      </c>
      <c r="B392" s="1" t="n">
        <v>45281</v>
      </c>
      <c r="C392" s="1" t="n">
        <v>46173</v>
      </c>
      <c r="D392" t="inlineStr">
        <is>
          <t>SÖDERMANLANDS LÄN</t>
        </is>
      </c>
      <c r="E392" t="inlineStr">
        <is>
          <t>KATRINEHOLM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41074-2025</t>
        </is>
      </c>
      <c r="B393" s="1" t="n">
        <v>45898</v>
      </c>
      <c r="C393" s="1" t="n">
        <v>46173</v>
      </c>
      <c r="D393" t="inlineStr">
        <is>
          <t>SÖDERMANLANDS LÄN</t>
        </is>
      </c>
      <c r="E393" t="inlineStr">
        <is>
          <t>KATRINEHOLM</t>
        </is>
      </c>
      <c r="F393" t="inlineStr">
        <is>
          <t>Allmännings- och besparingsskogar</t>
        </is>
      </c>
      <c r="G393" t="n">
        <v>4.8</v>
      </c>
      <c r="H393" t="n">
        <v>0</v>
      </c>
      <c r="I393" t="n">
        <v>0</v>
      </c>
      <c r="J393" t="n">
        <v>0</v>
      </c>
      <c r="K393" t="n">
        <v>0</v>
      </c>
      <c r="L393" t="n">
        <v>0</v>
      </c>
      <c r="M393" t="n">
        <v>0</v>
      </c>
      <c r="N393" t="n">
        <v>0</v>
      </c>
      <c r="O393" t="n">
        <v>0</v>
      </c>
      <c r="P393" t="n">
        <v>0</v>
      </c>
      <c r="Q393" t="n">
        <v>0</v>
      </c>
      <c r="R393" s="2" t="inlineStr"/>
    </row>
    <row r="394" ht="15" customHeight="1">
      <c r="A394" t="inlineStr">
        <is>
          <t>A 60677-2021</t>
        </is>
      </c>
      <c r="B394" s="1" t="n">
        <v>44495</v>
      </c>
      <c r="C394" s="1" t="n">
        <v>46173</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3986-2024</t>
        </is>
      </c>
      <c r="B395" s="1" t="n">
        <v>45322</v>
      </c>
      <c r="C395" s="1" t="n">
        <v>46173</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29830-2023</t>
        </is>
      </c>
      <c r="B396" s="1" t="n">
        <v>45107</v>
      </c>
      <c r="C396" s="1" t="n">
        <v>46173</v>
      </c>
      <c r="D396" t="inlineStr">
        <is>
          <t>SÖDERMANLANDS LÄN</t>
        </is>
      </c>
      <c r="E396" t="inlineStr">
        <is>
          <t>KATRINEHOLM</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41633-2025</t>
        </is>
      </c>
      <c r="B397" s="1" t="n">
        <v>45901</v>
      </c>
      <c r="C397" s="1" t="n">
        <v>46173</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28582-2024</t>
        </is>
      </c>
      <c r="B398" s="1" t="n">
        <v>45478.40751157407</v>
      </c>
      <c r="C398" s="1" t="n">
        <v>46173</v>
      </c>
      <c r="D398" t="inlineStr">
        <is>
          <t>SÖDERMANLANDS LÄN</t>
        </is>
      </c>
      <c r="E398" t="inlineStr">
        <is>
          <t>KATRINEHOLM</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29394-2024</t>
        </is>
      </c>
      <c r="B399" s="1" t="n">
        <v>45483</v>
      </c>
      <c r="C399" s="1" t="n">
        <v>46173</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2606-2025</t>
        </is>
      </c>
      <c r="B400" s="1" t="n">
        <v>45674</v>
      </c>
      <c r="C400" s="1" t="n">
        <v>46173</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46011-2021</t>
        </is>
      </c>
      <c r="B401" s="1" t="n">
        <v>44441.88092592593</v>
      </c>
      <c r="C401" s="1" t="n">
        <v>46173</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41632-2025</t>
        </is>
      </c>
      <c r="B402" s="1" t="n">
        <v>45901</v>
      </c>
      <c r="C402" s="1" t="n">
        <v>46173</v>
      </c>
      <c r="D402" t="inlineStr">
        <is>
          <t>SÖDERMANLANDS LÄN</t>
        </is>
      </c>
      <c r="E402" t="inlineStr">
        <is>
          <t>KATRINEHOLM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3939-2022</t>
        </is>
      </c>
      <c r="B403" s="1" t="n">
        <v>44587</v>
      </c>
      <c r="C403" s="1" t="n">
        <v>46173</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2683-2025</t>
        </is>
      </c>
      <c r="B404" s="1" t="n">
        <v>45677</v>
      </c>
      <c r="C404" s="1" t="n">
        <v>46173</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48763-2024</t>
        </is>
      </c>
      <c r="B405" s="1" t="n">
        <v>45593.60288194445</v>
      </c>
      <c r="C405" s="1" t="n">
        <v>46173</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41498-2025</t>
        </is>
      </c>
      <c r="B406" s="1" t="n">
        <v>45901.49755787037</v>
      </c>
      <c r="C406" s="1" t="n">
        <v>46173</v>
      </c>
      <c r="D406" t="inlineStr">
        <is>
          <t>SÖDERMANLANDS LÄN</t>
        </is>
      </c>
      <c r="E406" t="inlineStr">
        <is>
          <t>KATRINEHOLM</t>
        </is>
      </c>
      <c r="G406" t="n">
        <v>1.6</v>
      </c>
      <c r="H406" t="n">
        <v>0</v>
      </c>
      <c r="I406" t="n">
        <v>0</v>
      </c>
      <c r="J406" t="n">
        <v>0</v>
      </c>
      <c r="K406" t="n">
        <v>0</v>
      </c>
      <c r="L406" t="n">
        <v>0</v>
      </c>
      <c r="M406" t="n">
        <v>0</v>
      </c>
      <c r="N406" t="n">
        <v>0</v>
      </c>
      <c r="O406" t="n">
        <v>0</v>
      </c>
      <c r="P406" t="n">
        <v>0</v>
      </c>
      <c r="Q406" t="n">
        <v>0</v>
      </c>
      <c r="R406" s="2" t="inlineStr"/>
    </row>
    <row r="407" ht="15" customHeight="1">
      <c r="A407" t="inlineStr">
        <is>
          <t>A 30387-2022</t>
        </is>
      </c>
      <c r="B407" s="1" t="n">
        <v>44760</v>
      </c>
      <c r="C407" s="1" t="n">
        <v>46173</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3317-2023</t>
        </is>
      </c>
      <c r="B408" s="1" t="n">
        <v>44945</v>
      </c>
      <c r="C408" s="1" t="n">
        <v>46173</v>
      </c>
      <c r="D408" t="inlineStr">
        <is>
          <t>SÖDERMANLANDS LÄN</t>
        </is>
      </c>
      <c r="E408" t="inlineStr">
        <is>
          <t>KATRINEHOLM</t>
        </is>
      </c>
      <c r="G408" t="n">
        <v>3.2</v>
      </c>
      <c r="H408" t="n">
        <v>0</v>
      </c>
      <c r="I408" t="n">
        <v>0</v>
      </c>
      <c r="J408" t="n">
        <v>0</v>
      </c>
      <c r="K408" t="n">
        <v>0</v>
      </c>
      <c r="L408" t="n">
        <v>0</v>
      </c>
      <c r="M408" t="n">
        <v>0</v>
      </c>
      <c r="N408" t="n">
        <v>0</v>
      </c>
      <c r="O408" t="n">
        <v>0</v>
      </c>
      <c r="P408" t="n">
        <v>0</v>
      </c>
      <c r="Q408" t="n">
        <v>0</v>
      </c>
      <c r="R408" s="2" t="inlineStr"/>
    </row>
    <row r="409" ht="15" customHeight="1">
      <c r="A409" t="inlineStr">
        <is>
          <t>A 41648-2025</t>
        </is>
      </c>
      <c r="B409" s="1" t="n">
        <v>45902.32601851852</v>
      </c>
      <c r="C409" s="1" t="n">
        <v>46173</v>
      </c>
      <c r="D409" t="inlineStr">
        <is>
          <t>SÖDERMANLANDS LÄN</t>
        </is>
      </c>
      <c r="E409" t="inlineStr">
        <is>
          <t>KATRINEHOLM</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38872-2024</t>
        </is>
      </c>
      <c r="B410" s="1" t="n">
        <v>45547</v>
      </c>
      <c r="C410" s="1" t="n">
        <v>46173</v>
      </c>
      <c r="D410" t="inlineStr">
        <is>
          <t>SÖDERMANLANDS LÄN</t>
        </is>
      </c>
      <c r="E410" t="inlineStr">
        <is>
          <t>KATRINEHOLM</t>
        </is>
      </c>
      <c r="G410" t="n">
        <v>5.7</v>
      </c>
      <c r="H410" t="n">
        <v>0</v>
      </c>
      <c r="I410" t="n">
        <v>0</v>
      </c>
      <c r="J410" t="n">
        <v>0</v>
      </c>
      <c r="K410" t="n">
        <v>0</v>
      </c>
      <c r="L410" t="n">
        <v>0</v>
      </c>
      <c r="M410" t="n">
        <v>0</v>
      </c>
      <c r="N410" t="n">
        <v>0</v>
      </c>
      <c r="O410" t="n">
        <v>0</v>
      </c>
      <c r="P410" t="n">
        <v>0</v>
      </c>
      <c r="Q410" t="n">
        <v>0</v>
      </c>
      <c r="R410" s="2" t="inlineStr"/>
    </row>
    <row r="411" ht="15" customHeight="1">
      <c r="A411" t="inlineStr">
        <is>
          <t>A 61394-2024</t>
        </is>
      </c>
      <c r="B411" s="1" t="n">
        <v>45646.42061342593</v>
      </c>
      <c r="C411" s="1" t="n">
        <v>46173</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49341-2024</t>
        </is>
      </c>
      <c r="B412" s="1" t="n">
        <v>45595</v>
      </c>
      <c r="C412" s="1" t="n">
        <v>46173</v>
      </c>
      <c r="D412" t="inlineStr">
        <is>
          <t>SÖDERMANLANDS LÄN</t>
        </is>
      </c>
      <c r="E412" t="inlineStr">
        <is>
          <t>KATRINEHOLM</t>
        </is>
      </c>
      <c r="G412" t="n">
        <v>10</v>
      </c>
      <c r="H412" t="n">
        <v>0</v>
      </c>
      <c r="I412" t="n">
        <v>0</v>
      </c>
      <c r="J412" t="n">
        <v>0</v>
      </c>
      <c r="K412" t="n">
        <v>0</v>
      </c>
      <c r="L412" t="n">
        <v>0</v>
      </c>
      <c r="M412" t="n">
        <v>0</v>
      </c>
      <c r="N412" t="n">
        <v>0</v>
      </c>
      <c r="O412" t="n">
        <v>0</v>
      </c>
      <c r="P412" t="n">
        <v>0</v>
      </c>
      <c r="Q412" t="n">
        <v>0</v>
      </c>
      <c r="R412" s="2" t="inlineStr"/>
    </row>
    <row r="413" ht="15" customHeight="1">
      <c r="A413" t="inlineStr">
        <is>
          <t>A 41793-2025</t>
        </is>
      </c>
      <c r="B413" s="1" t="n">
        <v>45902</v>
      </c>
      <c r="C413" s="1" t="n">
        <v>46173</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32944-2023</t>
        </is>
      </c>
      <c r="B414" s="1" t="n">
        <v>45125</v>
      </c>
      <c r="C414" s="1" t="n">
        <v>46173</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29198-2023</t>
        </is>
      </c>
      <c r="B415" s="1" t="n">
        <v>45105</v>
      </c>
      <c r="C415" s="1" t="n">
        <v>46173</v>
      </c>
      <c r="D415" t="inlineStr">
        <is>
          <t>SÖDERMANLANDS LÄN</t>
        </is>
      </c>
      <c r="E415" t="inlineStr">
        <is>
          <t>KATRINEHOLM</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56661-2021</t>
        </is>
      </c>
      <c r="B416" s="1" t="n">
        <v>44481.24327546296</v>
      </c>
      <c r="C416" s="1" t="n">
        <v>46173</v>
      </c>
      <c r="D416" t="inlineStr">
        <is>
          <t>SÖDERMANLANDS LÄN</t>
        </is>
      </c>
      <c r="E416" t="inlineStr">
        <is>
          <t>KATRINEHOLM</t>
        </is>
      </c>
      <c r="G416" t="n">
        <v>5.8</v>
      </c>
      <c r="H416" t="n">
        <v>0</v>
      </c>
      <c r="I416" t="n">
        <v>0</v>
      </c>
      <c r="J416" t="n">
        <v>0</v>
      </c>
      <c r="K416" t="n">
        <v>0</v>
      </c>
      <c r="L416" t="n">
        <v>0</v>
      </c>
      <c r="M416" t="n">
        <v>0</v>
      </c>
      <c r="N416" t="n">
        <v>0</v>
      </c>
      <c r="O416" t="n">
        <v>0</v>
      </c>
      <c r="P416" t="n">
        <v>0</v>
      </c>
      <c r="Q416" t="n">
        <v>0</v>
      </c>
      <c r="R416" s="2" t="inlineStr"/>
    </row>
    <row r="417" ht="15" customHeight="1">
      <c r="A417" t="inlineStr">
        <is>
          <t>A 931-2023</t>
        </is>
      </c>
      <c r="B417" s="1" t="n">
        <v>44932.74261574074</v>
      </c>
      <c r="C417" s="1" t="n">
        <v>46173</v>
      </c>
      <c r="D417" t="inlineStr">
        <is>
          <t>SÖDERMANLANDS LÄN</t>
        </is>
      </c>
      <c r="E417" t="inlineStr">
        <is>
          <t>KATRINEHOLM</t>
        </is>
      </c>
      <c r="G417" t="n">
        <v>4</v>
      </c>
      <c r="H417" t="n">
        <v>0</v>
      </c>
      <c r="I417" t="n">
        <v>0</v>
      </c>
      <c r="J417" t="n">
        <v>0</v>
      </c>
      <c r="K417" t="n">
        <v>0</v>
      </c>
      <c r="L417" t="n">
        <v>0</v>
      </c>
      <c r="M417" t="n">
        <v>0</v>
      </c>
      <c r="N417" t="n">
        <v>0</v>
      </c>
      <c r="O417" t="n">
        <v>0</v>
      </c>
      <c r="P417" t="n">
        <v>0</v>
      </c>
      <c r="Q417" t="n">
        <v>0</v>
      </c>
      <c r="R417" s="2" t="inlineStr"/>
    </row>
    <row r="418" ht="15" customHeight="1">
      <c r="A418" t="inlineStr">
        <is>
          <t>A 45246-2023</t>
        </is>
      </c>
      <c r="B418" s="1" t="n">
        <v>45191</v>
      </c>
      <c r="C418" s="1" t="n">
        <v>46173</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55171-2023</t>
        </is>
      </c>
      <c r="B419" s="1" t="n">
        <v>45231</v>
      </c>
      <c r="C419" s="1" t="n">
        <v>46173</v>
      </c>
      <c r="D419" t="inlineStr">
        <is>
          <t>SÖDERMANLANDS LÄN</t>
        </is>
      </c>
      <c r="E419" t="inlineStr">
        <is>
          <t>KATRINEHOLM</t>
        </is>
      </c>
      <c r="G419" t="n">
        <v>4.2</v>
      </c>
      <c r="H419" t="n">
        <v>0</v>
      </c>
      <c r="I419" t="n">
        <v>0</v>
      </c>
      <c r="J419" t="n">
        <v>0</v>
      </c>
      <c r="K419" t="n">
        <v>0</v>
      </c>
      <c r="L419" t="n">
        <v>0</v>
      </c>
      <c r="M419" t="n">
        <v>0</v>
      </c>
      <c r="N419" t="n">
        <v>0</v>
      </c>
      <c r="O419" t="n">
        <v>0</v>
      </c>
      <c r="P419" t="n">
        <v>0</v>
      </c>
      <c r="Q419" t="n">
        <v>0</v>
      </c>
      <c r="R419" s="2" t="inlineStr"/>
    </row>
    <row r="420" ht="15" customHeight="1">
      <c r="A420" t="inlineStr">
        <is>
          <t>A 38883-2024</t>
        </is>
      </c>
      <c r="B420" s="1" t="n">
        <v>45547</v>
      </c>
      <c r="C420" s="1" t="n">
        <v>46173</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6796-2022</t>
        </is>
      </c>
      <c r="B421" s="1" t="n">
        <v>44602</v>
      </c>
      <c r="C421" s="1" t="n">
        <v>46173</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27376-2024</t>
        </is>
      </c>
      <c r="B422" s="1" t="n">
        <v>45473.88313657408</v>
      </c>
      <c r="C422" s="1" t="n">
        <v>46173</v>
      </c>
      <c r="D422" t="inlineStr">
        <is>
          <t>SÖDERMANLANDS LÄN</t>
        </is>
      </c>
      <c r="E422" t="inlineStr">
        <is>
          <t>KATRINEHOLM</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42474-2025</t>
        </is>
      </c>
      <c r="B423" s="1" t="n">
        <v>45905.46659722222</v>
      </c>
      <c r="C423" s="1" t="n">
        <v>46173</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48097-2023</t>
        </is>
      </c>
      <c r="B424" s="1" t="n">
        <v>45205.31987268518</v>
      </c>
      <c r="C424" s="1" t="n">
        <v>46173</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52857-2021</t>
        </is>
      </c>
      <c r="B425" s="1" t="n">
        <v>44466</v>
      </c>
      <c r="C425" s="1" t="n">
        <v>46173</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7753-2024</t>
        </is>
      </c>
      <c r="B426" s="1" t="n">
        <v>45348</v>
      </c>
      <c r="C426" s="1" t="n">
        <v>46173</v>
      </c>
      <c r="D426" t="inlineStr">
        <is>
          <t>SÖDERMANLANDS LÄN</t>
        </is>
      </c>
      <c r="E426" t="inlineStr">
        <is>
          <t>KATRINEHOLM</t>
        </is>
      </c>
      <c r="G426" t="n">
        <v>13.4</v>
      </c>
      <c r="H426" t="n">
        <v>0</v>
      </c>
      <c r="I426" t="n">
        <v>0</v>
      </c>
      <c r="J426" t="n">
        <v>0</v>
      </c>
      <c r="K426" t="n">
        <v>0</v>
      </c>
      <c r="L426" t="n">
        <v>0</v>
      </c>
      <c r="M426" t="n">
        <v>0</v>
      </c>
      <c r="N426" t="n">
        <v>0</v>
      </c>
      <c r="O426" t="n">
        <v>0</v>
      </c>
      <c r="P426" t="n">
        <v>0</v>
      </c>
      <c r="Q426" t="n">
        <v>0</v>
      </c>
      <c r="R426" s="2" t="inlineStr"/>
    </row>
    <row r="427" ht="15" customHeight="1">
      <c r="A427" t="inlineStr">
        <is>
          <t>A 42799-2025</t>
        </is>
      </c>
      <c r="B427" s="1" t="n">
        <v>45907</v>
      </c>
      <c r="C427" s="1" t="n">
        <v>46173</v>
      </c>
      <c r="D427" t="inlineStr">
        <is>
          <t>SÖDERMANLANDS LÄN</t>
        </is>
      </c>
      <c r="E427" t="inlineStr">
        <is>
          <t>KATRINEHOLM</t>
        </is>
      </c>
      <c r="G427" t="n">
        <v>3.9</v>
      </c>
      <c r="H427" t="n">
        <v>0</v>
      </c>
      <c r="I427" t="n">
        <v>0</v>
      </c>
      <c r="J427" t="n">
        <v>0</v>
      </c>
      <c r="K427" t="n">
        <v>0</v>
      </c>
      <c r="L427" t="n">
        <v>0</v>
      </c>
      <c r="M427" t="n">
        <v>0</v>
      </c>
      <c r="N427" t="n">
        <v>0</v>
      </c>
      <c r="O427" t="n">
        <v>0</v>
      </c>
      <c r="P427" t="n">
        <v>0</v>
      </c>
      <c r="Q427" t="n">
        <v>0</v>
      </c>
      <c r="R427" s="2" t="inlineStr"/>
    </row>
    <row r="428" ht="15" customHeight="1">
      <c r="A428" t="inlineStr">
        <is>
          <t>A 42015-2022</t>
        </is>
      </c>
      <c r="B428" s="1" t="n">
        <v>44830.4649074074</v>
      </c>
      <c r="C428" s="1" t="n">
        <v>46173</v>
      </c>
      <c r="D428" t="inlineStr">
        <is>
          <t>SÖDERMANLANDS LÄN</t>
        </is>
      </c>
      <c r="E428" t="inlineStr">
        <is>
          <t>KATRINEHOLM</t>
        </is>
      </c>
      <c r="G428" t="n">
        <v>3.8</v>
      </c>
      <c r="H428" t="n">
        <v>0</v>
      </c>
      <c r="I428" t="n">
        <v>0</v>
      </c>
      <c r="J428" t="n">
        <v>0</v>
      </c>
      <c r="K428" t="n">
        <v>0</v>
      </c>
      <c r="L428" t="n">
        <v>0</v>
      </c>
      <c r="M428" t="n">
        <v>0</v>
      </c>
      <c r="N428" t="n">
        <v>0</v>
      </c>
      <c r="O428" t="n">
        <v>0</v>
      </c>
      <c r="P428" t="n">
        <v>0</v>
      </c>
      <c r="Q428" t="n">
        <v>0</v>
      </c>
      <c r="R428" s="2" t="inlineStr"/>
    </row>
    <row r="429" ht="15" customHeight="1">
      <c r="A429" t="inlineStr">
        <is>
          <t>A 42020-2022</t>
        </is>
      </c>
      <c r="B429" s="1" t="n">
        <v>44830.46849537037</v>
      </c>
      <c r="C429" s="1" t="n">
        <v>46173</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8394-2024</t>
        </is>
      </c>
      <c r="B430" s="1" t="n">
        <v>45352</v>
      </c>
      <c r="C430" s="1" t="n">
        <v>46173</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14239-2024</t>
        </is>
      </c>
      <c r="B431" s="1" t="n">
        <v>45393</v>
      </c>
      <c r="C431" s="1" t="n">
        <v>46173</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14248-2024</t>
        </is>
      </c>
      <c r="B432" s="1" t="n">
        <v>45393</v>
      </c>
      <c r="C432" s="1" t="n">
        <v>46173</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25716-2022</t>
        </is>
      </c>
      <c r="B433" s="1" t="n">
        <v>44733.39600694444</v>
      </c>
      <c r="C433" s="1" t="n">
        <v>46173</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23842-2023</t>
        </is>
      </c>
      <c r="B434" s="1" t="n">
        <v>45075</v>
      </c>
      <c r="C434" s="1" t="n">
        <v>46173</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46700-2023</t>
        </is>
      </c>
      <c r="B435" s="1" t="n">
        <v>45194</v>
      </c>
      <c r="C435" s="1" t="n">
        <v>46173</v>
      </c>
      <c r="D435" t="inlineStr">
        <is>
          <t>SÖDERMANLANDS LÄN</t>
        </is>
      </c>
      <c r="E435" t="inlineStr">
        <is>
          <t>KATRINEHOLM</t>
        </is>
      </c>
      <c r="G435" t="n">
        <v>3</v>
      </c>
      <c r="H435" t="n">
        <v>0</v>
      </c>
      <c r="I435" t="n">
        <v>0</v>
      </c>
      <c r="J435" t="n">
        <v>0</v>
      </c>
      <c r="K435" t="n">
        <v>0</v>
      </c>
      <c r="L435" t="n">
        <v>0</v>
      </c>
      <c r="M435" t="n">
        <v>0</v>
      </c>
      <c r="N435" t="n">
        <v>0</v>
      </c>
      <c r="O435" t="n">
        <v>0</v>
      </c>
      <c r="P435" t="n">
        <v>0</v>
      </c>
      <c r="Q435" t="n">
        <v>0</v>
      </c>
      <c r="R435" s="2" t="inlineStr"/>
    </row>
    <row r="436" ht="15" customHeight="1">
      <c r="A436" t="inlineStr">
        <is>
          <t>A 61915-2021</t>
        </is>
      </c>
      <c r="B436" s="1" t="n">
        <v>44502.36780092592</v>
      </c>
      <c r="C436" s="1" t="n">
        <v>46173</v>
      </c>
      <c r="D436" t="inlineStr">
        <is>
          <t>SÖDERMANLANDS LÄN</t>
        </is>
      </c>
      <c r="E436" t="inlineStr">
        <is>
          <t>KATRINEHOLM</t>
        </is>
      </c>
      <c r="G436" t="n">
        <v>2.6</v>
      </c>
      <c r="H436" t="n">
        <v>0</v>
      </c>
      <c r="I436" t="n">
        <v>0</v>
      </c>
      <c r="J436" t="n">
        <v>0</v>
      </c>
      <c r="K436" t="n">
        <v>0</v>
      </c>
      <c r="L436" t="n">
        <v>0</v>
      </c>
      <c r="M436" t="n">
        <v>0</v>
      </c>
      <c r="N436" t="n">
        <v>0</v>
      </c>
      <c r="O436" t="n">
        <v>0</v>
      </c>
      <c r="P436" t="n">
        <v>0</v>
      </c>
      <c r="Q436" t="n">
        <v>0</v>
      </c>
      <c r="R436" s="2" t="inlineStr"/>
    </row>
    <row r="437" ht="15" customHeight="1">
      <c r="A437" t="inlineStr">
        <is>
          <t>A 55795-2023</t>
        </is>
      </c>
      <c r="B437" s="1" t="n">
        <v>45239.54861111111</v>
      </c>
      <c r="C437" s="1" t="n">
        <v>46173</v>
      </c>
      <c r="D437" t="inlineStr">
        <is>
          <t>SÖDERMANLANDS LÄN</t>
        </is>
      </c>
      <c r="E437" t="inlineStr">
        <is>
          <t>KATRINEHOLM</t>
        </is>
      </c>
      <c r="G437" t="n">
        <v>7</v>
      </c>
      <c r="H437" t="n">
        <v>0</v>
      </c>
      <c r="I437" t="n">
        <v>0</v>
      </c>
      <c r="J437" t="n">
        <v>0</v>
      </c>
      <c r="K437" t="n">
        <v>0</v>
      </c>
      <c r="L437" t="n">
        <v>0</v>
      </c>
      <c r="M437" t="n">
        <v>0</v>
      </c>
      <c r="N437" t="n">
        <v>0</v>
      </c>
      <c r="O437" t="n">
        <v>0</v>
      </c>
      <c r="P437" t="n">
        <v>0</v>
      </c>
      <c r="Q437" t="n">
        <v>0</v>
      </c>
      <c r="R437" s="2" t="inlineStr"/>
    </row>
    <row r="438" ht="15" customHeight="1">
      <c r="A438" t="inlineStr">
        <is>
          <t>A 20768-2022</t>
        </is>
      </c>
      <c r="B438" s="1" t="n">
        <v>44701.36431712963</v>
      </c>
      <c r="C438" s="1" t="n">
        <v>46173</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row>
    <row r="439" ht="15" customHeight="1">
      <c r="A439" t="inlineStr">
        <is>
          <t>A 41229-2022</t>
        </is>
      </c>
      <c r="B439" s="1" t="n">
        <v>44825</v>
      </c>
      <c r="C439" s="1" t="n">
        <v>46173</v>
      </c>
      <c r="D439" t="inlineStr">
        <is>
          <t>SÖDERMANLANDS LÄN</t>
        </is>
      </c>
      <c r="E439" t="inlineStr">
        <is>
          <t>KATRINEHOLM</t>
        </is>
      </c>
      <c r="G439" t="n">
        <v>3.8</v>
      </c>
      <c r="H439" t="n">
        <v>0</v>
      </c>
      <c r="I439" t="n">
        <v>0</v>
      </c>
      <c r="J439" t="n">
        <v>0</v>
      </c>
      <c r="K439" t="n">
        <v>0</v>
      </c>
      <c r="L439" t="n">
        <v>0</v>
      </c>
      <c r="M439" t="n">
        <v>0</v>
      </c>
      <c r="N439" t="n">
        <v>0</v>
      </c>
      <c r="O439" t="n">
        <v>0</v>
      </c>
      <c r="P439" t="n">
        <v>0</v>
      </c>
      <c r="Q439" t="n">
        <v>0</v>
      </c>
      <c r="R439" s="2" t="inlineStr"/>
    </row>
    <row r="440" ht="15" customHeight="1">
      <c r="A440" t="inlineStr">
        <is>
          <t>A 55846-2022</t>
        </is>
      </c>
      <c r="B440" s="1" t="n">
        <v>44888</v>
      </c>
      <c r="C440" s="1" t="n">
        <v>46173</v>
      </c>
      <c r="D440" t="inlineStr">
        <is>
          <t>SÖDERMANLANDS LÄN</t>
        </is>
      </c>
      <c r="E440" t="inlineStr">
        <is>
          <t>KATRINEHOLM</t>
        </is>
      </c>
      <c r="G440" t="n">
        <v>6.5</v>
      </c>
      <c r="H440" t="n">
        <v>0</v>
      </c>
      <c r="I440" t="n">
        <v>0</v>
      </c>
      <c r="J440" t="n">
        <v>0</v>
      </c>
      <c r="K440" t="n">
        <v>0</v>
      </c>
      <c r="L440" t="n">
        <v>0</v>
      </c>
      <c r="M440" t="n">
        <v>0</v>
      </c>
      <c r="N440" t="n">
        <v>0</v>
      </c>
      <c r="O440" t="n">
        <v>0</v>
      </c>
      <c r="P440" t="n">
        <v>0</v>
      </c>
      <c r="Q440" t="n">
        <v>0</v>
      </c>
      <c r="R440" s="2" t="inlineStr"/>
    </row>
    <row r="441" ht="15" customHeight="1">
      <c r="A441" t="inlineStr">
        <is>
          <t>A 42686-2025</t>
        </is>
      </c>
      <c r="B441" s="1" t="n">
        <v>45908.35550925926</v>
      </c>
      <c r="C441" s="1" t="n">
        <v>46173</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19452-2023</t>
        </is>
      </c>
      <c r="B442" s="1" t="n">
        <v>45050</v>
      </c>
      <c r="C442" s="1" t="n">
        <v>46173</v>
      </c>
      <c r="D442" t="inlineStr">
        <is>
          <t>SÖDERMANLANDS LÄN</t>
        </is>
      </c>
      <c r="E442" t="inlineStr">
        <is>
          <t>KATRINEHOLM</t>
        </is>
      </c>
      <c r="F442" t="inlineStr">
        <is>
          <t>Holmen skog AB</t>
        </is>
      </c>
      <c r="G442" t="n">
        <v>4.7</v>
      </c>
      <c r="H442" t="n">
        <v>0</v>
      </c>
      <c r="I442" t="n">
        <v>0</v>
      </c>
      <c r="J442" t="n">
        <v>0</v>
      </c>
      <c r="K442" t="n">
        <v>0</v>
      </c>
      <c r="L442" t="n">
        <v>0</v>
      </c>
      <c r="M442" t="n">
        <v>0</v>
      </c>
      <c r="N442" t="n">
        <v>0</v>
      </c>
      <c r="O442" t="n">
        <v>0</v>
      </c>
      <c r="P442" t="n">
        <v>0</v>
      </c>
      <c r="Q442" t="n">
        <v>0</v>
      </c>
      <c r="R442" s="2" t="inlineStr"/>
    </row>
    <row r="443" ht="15" customHeight="1">
      <c r="A443" t="inlineStr">
        <is>
          <t>A 31719-2024</t>
        </is>
      </c>
      <c r="B443" s="1" t="n">
        <v>45509</v>
      </c>
      <c r="C443" s="1" t="n">
        <v>46173</v>
      </c>
      <c r="D443" t="inlineStr">
        <is>
          <t>SÖDERMANLANDS LÄN</t>
        </is>
      </c>
      <c r="E443" t="inlineStr">
        <is>
          <t>KATRINEHOLM</t>
        </is>
      </c>
      <c r="F443" t="inlineStr">
        <is>
          <t>Kyrkan</t>
        </is>
      </c>
      <c r="G443" t="n">
        <v>11.9</v>
      </c>
      <c r="H443" t="n">
        <v>0</v>
      </c>
      <c r="I443" t="n">
        <v>0</v>
      </c>
      <c r="J443" t="n">
        <v>0</v>
      </c>
      <c r="K443" t="n">
        <v>0</v>
      </c>
      <c r="L443" t="n">
        <v>0</v>
      </c>
      <c r="M443" t="n">
        <v>0</v>
      </c>
      <c r="N443" t="n">
        <v>0</v>
      </c>
      <c r="O443" t="n">
        <v>0</v>
      </c>
      <c r="P443" t="n">
        <v>0</v>
      </c>
      <c r="Q443" t="n">
        <v>0</v>
      </c>
      <c r="R443" s="2" t="inlineStr"/>
    </row>
    <row r="444" ht="15" customHeight="1">
      <c r="A444" t="inlineStr">
        <is>
          <t>A 43837-2022</t>
        </is>
      </c>
      <c r="B444" s="1" t="n">
        <v>44838</v>
      </c>
      <c r="C444" s="1" t="n">
        <v>46173</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51397-2023</t>
        </is>
      </c>
      <c r="B445" s="1" t="n">
        <v>45214</v>
      </c>
      <c r="C445" s="1" t="n">
        <v>46173</v>
      </c>
      <c r="D445" t="inlineStr">
        <is>
          <t>SÖDERMANLANDS LÄN</t>
        </is>
      </c>
      <c r="E445" t="inlineStr">
        <is>
          <t>KATRINEHOLM</t>
        </is>
      </c>
      <c r="G445" t="n">
        <v>4.9</v>
      </c>
      <c r="H445" t="n">
        <v>0</v>
      </c>
      <c r="I445" t="n">
        <v>0</v>
      </c>
      <c r="J445" t="n">
        <v>0</v>
      </c>
      <c r="K445" t="n">
        <v>0</v>
      </c>
      <c r="L445" t="n">
        <v>0</v>
      </c>
      <c r="M445" t="n">
        <v>0</v>
      </c>
      <c r="N445" t="n">
        <v>0</v>
      </c>
      <c r="O445" t="n">
        <v>0</v>
      </c>
      <c r="P445" t="n">
        <v>0</v>
      </c>
      <c r="Q445" t="n">
        <v>0</v>
      </c>
      <c r="R445" s="2" t="inlineStr"/>
    </row>
    <row r="446" ht="15" customHeight="1">
      <c r="A446" t="inlineStr">
        <is>
          <t>A 50032-2022</t>
        </is>
      </c>
      <c r="B446" s="1" t="n">
        <v>44860</v>
      </c>
      <c r="C446" s="1" t="n">
        <v>46173</v>
      </c>
      <c r="D446" t="inlineStr">
        <is>
          <t>SÖDERMANLANDS LÄN</t>
        </is>
      </c>
      <c r="E446" t="inlineStr">
        <is>
          <t>KATRINEHOLM</t>
        </is>
      </c>
      <c r="G446" t="n">
        <v>7.5</v>
      </c>
      <c r="H446" t="n">
        <v>0</v>
      </c>
      <c r="I446" t="n">
        <v>0</v>
      </c>
      <c r="J446" t="n">
        <v>0</v>
      </c>
      <c r="K446" t="n">
        <v>0</v>
      </c>
      <c r="L446" t="n">
        <v>0</v>
      </c>
      <c r="M446" t="n">
        <v>0</v>
      </c>
      <c r="N446" t="n">
        <v>0</v>
      </c>
      <c r="O446" t="n">
        <v>0</v>
      </c>
      <c r="P446" t="n">
        <v>0</v>
      </c>
      <c r="Q446" t="n">
        <v>0</v>
      </c>
      <c r="R446" s="2" t="inlineStr"/>
    </row>
    <row r="447" ht="15" customHeight="1">
      <c r="A447" t="inlineStr">
        <is>
          <t>A 50804-2023</t>
        </is>
      </c>
      <c r="B447" s="1" t="n">
        <v>45211</v>
      </c>
      <c r="C447" s="1" t="n">
        <v>46173</v>
      </c>
      <c r="D447" t="inlineStr">
        <is>
          <t>SÖDERMANLANDS LÄN</t>
        </is>
      </c>
      <c r="E447" t="inlineStr">
        <is>
          <t>KATRINEHOLM</t>
        </is>
      </c>
      <c r="G447" t="n">
        <v>4</v>
      </c>
      <c r="H447" t="n">
        <v>0</v>
      </c>
      <c r="I447" t="n">
        <v>0</v>
      </c>
      <c r="J447" t="n">
        <v>0</v>
      </c>
      <c r="K447" t="n">
        <v>0</v>
      </c>
      <c r="L447" t="n">
        <v>0</v>
      </c>
      <c r="M447" t="n">
        <v>0</v>
      </c>
      <c r="N447" t="n">
        <v>0</v>
      </c>
      <c r="O447" t="n">
        <v>0</v>
      </c>
      <c r="P447" t="n">
        <v>0</v>
      </c>
      <c r="Q447" t="n">
        <v>0</v>
      </c>
      <c r="R447" s="2" t="inlineStr"/>
    </row>
    <row r="448" ht="15" customHeight="1">
      <c r="A448" t="inlineStr">
        <is>
          <t>A 29502-2023</t>
        </is>
      </c>
      <c r="B448" s="1" t="n">
        <v>45106</v>
      </c>
      <c r="C448" s="1" t="n">
        <v>46173</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56074-2022</t>
        </is>
      </c>
      <c r="B449" s="1" t="n">
        <v>44889</v>
      </c>
      <c r="C449" s="1" t="n">
        <v>46173</v>
      </c>
      <c r="D449" t="inlineStr">
        <is>
          <t>SÖDERMANLANDS LÄN</t>
        </is>
      </c>
      <c r="E449" t="inlineStr">
        <is>
          <t>KATRINEHOLM</t>
        </is>
      </c>
      <c r="G449" t="n">
        <v>1</v>
      </c>
      <c r="H449" t="n">
        <v>0</v>
      </c>
      <c r="I449" t="n">
        <v>0</v>
      </c>
      <c r="J449" t="n">
        <v>0</v>
      </c>
      <c r="K449" t="n">
        <v>0</v>
      </c>
      <c r="L449" t="n">
        <v>0</v>
      </c>
      <c r="M449" t="n">
        <v>0</v>
      </c>
      <c r="N449" t="n">
        <v>0</v>
      </c>
      <c r="O449" t="n">
        <v>0</v>
      </c>
      <c r="P449" t="n">
        <v>0</v>
      </c>
      <c r="Q449" t="n">
        <v>0</v>
      </c>
      <c r="R449" s="2" t="inlineStr"/>
      <c r="T449">
        <f>HYPERLINK("https://klasma.github.io/Logging_0483/kartor/A 56074-2022 karta.png", "A 56074-2022")</f>
        <v/>
      </c>
      <c r="V449">
        <f>HYPERLINK("https://klasma.github.io/Logging_0483/klagomål/A 56074-2022 FSC-klagomål.docx", "A 56074-2022")</f>
        <v/>
      </c>
      <c r="W449">
        <f>HYPERLINK("https://klasma.github.io/Logging_0483/klagomålsmail/A 56074-2022 FSC-klagomål mail.docx", "A 56074-2022")</f>
        <v/>
      </c>
      <c r="X449">
        <f>HYPERLINK("https://klasma.github.io/Logging_0483/tillsyn/A 56074-2022 tillsynsbegäran.docx", "A 56074-2022")</f>
        <v/>
      </c>
      <c r="Y449">
        <f>HYPERLINK("https://klasma.github.io/Logging_0483/tillsynsmail/A 56074-2022 tillsynsbegäran mail.docx", "A 56074-2022")</f>
        <v/>
      </c>
    </row>
    <row r="450" ht="15" customHeight="1">
      <c r="A450" t="inlineStr">
        <is>
          <t>A 19670-2022</t>
        </is>
      </c>
      <c r="B450" s="1" t="n">
        <v>44694</v>
      </c>
      <c r="C450" s="1" t="n">
        <v>46173</v>
      </c>
      <c r="D450" t="inlineStr">
        <is>
          <t>SÖDERMANLANDS LÄN</t>
        </is>
      </c>
      <c r="E450" t="inlineStr">
        <is>
          <t>KATRINEHOLM</t>
        </is>
      </c>
      <c r="G450" t="n">
        <v>13.6</v>
      </c>
      <c r="H450" t="n">
        <v>0</v>
      </c>
      <c r="I450" t="n">
        <v>0</v>
      </c>
      <c r="J450" t="n">
        <v>0</v>
      </c>
      <c r="K450" t="n">
        <v>0</v>
      </c>
      <c r="L450" t="n">
        <v>0</v>
      </c>
      <c r="M450" t="n">
        <v>0</v>
      </c>
      <c r="N450" t="n">
        <v>0</v>
      </c>
      <c r="O450" t="n">
        <v>0</v>
      </c>
      <c r="P450" t="n">
        <v>0</v>
      </c>
      <c r="Q450" t="n">
        <v>0</v>
      </c>
      <c r="R450" s="2" t="inlineStr"/>
    </row>
    <row r="451" ht="15" customHeight="1">
      <c r="A451" t="inlineStr">
        <is>
          <t>A 6606-2022</t>
        </is>
      </c>
      <c r="B451" s="1" t="n">
        <v>44601</v>
      </c>
      <c r="C451" s="1" t="n">
        <v>46173</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4122-2023</t>
        </is>
      </c>
      <c r="B452" s="1" t="n">
        <v>44952</v>
      </c>
      <c r="C452" s="1" t="n">
        <v>46173</v>
      </c>
      <c r="D452" t="inlineStr">
        <is>
          <t>SÖDERMANLANDS LÄN</t>
        </is>
      </c>
      <c r="E452" t="inlineStr">
        <is>
          <t>KATRINEHOLM</t>
        </is>
      </c>
      <c r="G452" t="n">
        <v>9</v>
      </c>
      <c r="H452" t="n">
        <v>0</v>
      </c>
      <c r="I452" t="n">
        <v>0</v>
      </c>
      <c r="J452" t="n">
        <v>0</v>
      </c>
      <c r="K452" t="n">
        <v>0</v>
      </c>
      <c r="L452" t="n">
        <v>0</v>
      </c>
      <c r="M452" t="n">
        <v>0</v>
      </c>
      <c r="N452" t="n">
        <v>0</v>
      </c>
      <c r="O452" t="n">
        <v>0</v>
      </c>
      <c r="P452" t="n">
        <v>0</v>
      </c>
      <c r="Q452" t="n">
        <v>0</v>
      </c>
      <c r="R452" s="2" t="inlineStr"/>
    </row>
    <row r="453" ht="15" customHeight="1">
      <c r="A453" t="inlineStr">
        <is>
          <t>A 8922-2024</t>
        </is>
      </c>
      <c r="B453" s="1" t="n">
        <v>45357.38601851852</v>
      </c>
      <c r="C453" s="1" t="n">
        <v>46173</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43975-2025</t>
        </is>
      </c>
      <c r="B454" s="1" t="n">
        <v>45915.41148148148</v>
      </c>
      <c r="C454" s="1" t="n">
        <v>46173</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23347-2023</t>
        </is>
      </c>
      <c r="B455" s="1" t="n">
        <v>45076</v>
      </c>
      <c r="C455" s="1" t="n">
        <v>46173</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45376-2022</t>
        </is>
      </c>
      <c r="B456" s="1" t="n">
        <v>44844</v>
      </c>
      <c r="C456" s="1" t="n">
        <v>46173</v>
      </c>
      <c r="D456" t="inlineStr">
        <is>
          <t>SÖDERMANLANDS LÄN</t>
        </is>
      </c>
      <c r="E456" t="inlineStr">
        <is>
          <t>KATRINEHOLM</t>
        </is>
      </c>
      <c r="G456" t="n">
        <v>4.7</v>
      </c>
      <c r="H456" t="n">
        <v>0</v>
      </c>
      <c r="I456" t="n">
        <v>0</v>
      </c>
      <c r="J456" t="n">
        <v>0</v>
      </c>
      <c r="K456" t="n">
        <v>0</v>
      </c>
      <c r="L456" t="n">
        <v>0</v>
      </c>
      <c r="M456" t="n">
        <v>0</v>
      </c>
      <c r="N456" t="n">
        <v>0</v>
      </c>
      <c r="O456" t="n">
        <v>0</v>
      </c>
      <c r="P456" t="n">
        <v>0</v>
      </c>
      <c r="Q456" t="n">
        <v>0</v>
      </c>
      <c r="R456" s="2" t="inlineStr"/>
    </row>
    <row r="457" ht="15" customHeight="1">
      <c r="A457" t="inlineStr">
        <is>
          <t>A 23916-2023</t>
        </is>
      </c>
      <c r="B457" s="1" t="n">
        <v>45075</v>
      </c>
      <c r="C457" s="1" t="n">
        <v>46173</v>
      </c>
      <c r="D457" t="inlineStr">
        <is>
          <t>SÖDERMANLANDS LÄN</t>
        </is>
      </c>
      <c r="E457" t="inlineStr">
        <is>
          <t>KATRINEHOLM</t>
        </is>
      </c>
      <c r="G457" t="n">
        <v>8</v>
      </c>
      <c r="H457" t="n">
        <v>0</v>
      </c>
      <c r="I457" t="n">
        <v>0</v>
      </c>
      <c r="J457" t="n">
        <v>0</v>
      </c>
      <c r="K457" t="n">
        <v>0</v>
      </c>
      <c r="L457" t="n">
        <v>0</v>
      </c>
      <c r="M457" t="n">
        <v>0</v>
      </c>
      <c r="N457" t="n">
        <v>0</v>
      </c>
      <c r="O457" t="n">
        <v>0</v>
      </c>
      <c r="P457" t="n">
        <v>0</v>
      </c>
      <c r="Q457" t="n">
        <v>0</v>
      </c>
      <c r="R457" s="2" t="inlineStr"/>
    </row>
    <row r="458" ht="15" customHeight="1">
      <c r="A458" t="inlineStr">
        <is>
          <t>A 33278-2024</t>
        </is>
      </c>
      <c r="B458" s="1" t="n">
        <v>45518</v>
      </c>
      <c r="C458" s="1" t="n">
        <v>46173</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39748-2022</t>
        </is>
      </c>
      <c r="B459" s="1" t="n">
        <v>44817</v>
      </c>
      <c r="C459" s="1" t="n">
        <v>46173</v>
      </c>
      <c r="D459" t="inlineStr">
        <is>
          <t>SÖDERMANLANDS LÄN</t>
        </is>
      </c>
      <c r="E459" t="inlineStr">
        <is>
          <t>KATRINEHOLM</t>
        </is>
      </c>
      <c r="G459" t="n">
        <v>10.2</v>
      </c>
      <c r="H459" t="n">
        <v>0</v>
      </c>
      <c r="I459" t="n">
        <v>0</v>
      </c>
      <c r="J459" t="n">
        <v>0</v>
      </c>
      <c r="K459" t="n">
        <v>0</v>
      </c>
      <c r="L459" t="n">
        <v>0</v>
      </c>
      <c r="M459" t="n">
        <v>0</v>
      </c>
      <c r="N459" t="n">
        <v>0</v>
      </c>
      <c r="O459" t="n">
        <v>0</v>
      </c>
      <c r="P459" t="n">
        <v>0</v>
      </c>
      <c r="Q459" t="n">
        <v>0</v>
      </c>
      <c r="R459" s="2" t="inlineStr"/>
    </row>
    <row r="460" ht="15" customHeight="1">
      <c r="A460" t="inlineStr">
        <is>
          <t>A 1091-2025</t>
        </is>
      </c>
      <c r="B460" s="1" t="n">
        <v>45666</v>
      </c>
      <c r="C460" s="1" t="n">
        <v>46173</v>
      </c>
      <c r="D460" t="inlineStr">
        <is>
          <t>SÖDERMANLANDS LÄN</t>
        </is>
      </c>
      <c r="E460" t="inlineStr">
        <is>
          <t>KATRINEHOLM</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44071-2025</t>
        </is>
      </c>
      <c r="B461" s="1" t="n">
        <v>45915</v>
      </c>
      <c r="C461" s="1" t="n">
        <v>46173</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3090-2025</t>
        </is>
      </c>
      <c r="B462" s="1" t="n">
        <v>45678</v>
      </c>
      <c r="C462" s="1" t="n">
        <v>46173</v>
      </c>
      <c r="D462" t="inlineStr">
        <is>
          <t>SÖDERMANLANDS LÄN</t>
        </is>
      </c>
      <c r="E462" t="inlineStr">
        <is>
          <t>KATRINEHOLM</t>
        </is>
      </c>
      <c r="F462" t="inlineStr">
        <is>
          <t>Kyrkan</t>
        </is>
      </c>
      <c r="G462" t="n">
        <v>6.9</v>
      </c>
      <c r="H462" t="n">
        <v>0</v>
      </c>
      <c r="I462" t="n">
        <v>0</v>
      </c>
      <c r="J462" t="n">
        <v>0</v>
      </c>
      <c r="K462" t="n">
        <v>0</v>
      </c>
      <c r="L462" t="n">
        <v>0</v>
      </c>
      <c r="M462" t="n">
        <v>0</v>
      </c>
      <c r="N462" t="n">
        <v>0</v>
      </c>
      <c r="O462" t="n">
        <v>0</v>
      </c>
      <c r="P462" t="n">
        <v>0</v>
      </c>
      <c r="Q462" t="n">
        <v>0</v>
      </c>
      <c r="R462" s="2" t="inlineStr"/>
    </row>
    <row r="463" ht="15" customHeight="1">
      <c r="A463" t="inlineStr">
        <is>
          <t>A 40186-2023</t>
        </is>
      </c>
      <c r="B463" s="1" t="n">
        <v>45169</v>
      </c>
      <c r="C463" s="1" t="n">
        <v>46173</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28431-2024</t>
        </is>
      </c>
      <c r="B464" s="1" t="n">
        <v>45477.65216435185</v>
      </c>
      <c r="C464" s="1" t="n">
        <v>46173</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49700-2022</t>
        </is>
      </c>
      <c r="B465" s="1" t="n">
        <v>44862</v>
      </c>
      <c r="C465" s="1" t="n">
        <v>46173</v>
      </c>
      <c r="D465" t="inlineStr">
        <is>
          <t>SÖDERMANLANDS LÄN</t>
        </is>
      </c>
      <c r="E465" t="inlineStr">
        <is>
          <t>KATRINEHOLM</t>
        </is>
      </c>
      <c r="G465" t="n">
        <v>19.5</v>
      </c>
      <c r="H465" t="n">
        <v>0</v>
      </c>
      <c r="I465" t="n">
        <v>0</v>
      </c>
      <c r="J465" t="n">
        <v>0</v>
      </c>
      <c r="K465" t="n">
        <v>0</v>
      </c>
      <c r="L465" t="n">
        <v>0</v>
      </c>
      <c r="M465" t="n">
        <v>0</v>
      </c>
      <c r="N465" t="n">
        <v>0</v>
      </c>
      <c r="O465" t="n">
        <v>0</v>
      </c>
      <c r="P465" t="n">
        <v>0</v>
      </c>
      <c r="Q465" t="n">
        <v>0</v>
      </c>
      <c r="R465" s="2" t="inlineStr"/>
    </row>
    <row r="466" ht="15" customHeight="1">
      <c r="A466" t="inlineStr">
        <is>
          <t>A 27955-2023</t>
        </is>
      </c>
      <c r="B466" s="1" t="n">
        <v>45098</v>
      </c>
      <c r="C466" s="1" t="n">
        <v>46173</v>
      </c>
      <c r="D466" t="inlineStr">
        <is>
          <t>SÖDERMANLANDS LÄN</t>
        </is>
      </c>
      <c r="E466" t="inlineStr">
        <is>
          <t>KATRINEHOLM</t>
        </is>
      </c>
      <c r="G466" t="n">
        <v>5.9</v>
      </c>
      <c r="H466" t="n">
        <v>0</v>
      </c>
      <c r="I466" t="n">
        <v>0</v>
      </c>
      <c r="J466" t="n">
        <v>0</v>
      </c>
      <c r="K466" t="n">
        <v>0</v>
      </c>
      <c r="L466" t="n">
        <v>0</v>
      </c>
      <c r="M466" t="n">
        <v>0</v>
      </c>
      <c r="N466" t="n">
        <v>0</v>
      </c>
      <c r="O466" t="n">
        <v>0</v>
      </c>
      <c r="P466" t="n">
        <v>0</v>
      </c>
      <c r="Q466" t="n">
        <v>0</v>
      </c>
      <c r="R466" s="2" t="inlineStr"/>
    </row>
    <row r="467" ht="15" customHeight="1">
      <c r="A467" t="inlineStr">
        <is>
          <t>A 33141-2023</t>
        </is>
      </c>
      <c r="B467" s="1" t="n">
        <v>45126.65491898148</v>
      </c>
      <c r="C467" s="1" t="n">
        <v>46173</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46899-2022</t>
        </is>
      </c>
      <c r="B468" s="1" t="n">
        <v>44848</v>
      </c>
      <c r="C468" s="1" t="n">
        <v>46173</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34981-2023</t>
        </is>
      </c>
      <c r="B469" s="1" t="n">
        <v>45142</v>
      </c>
      <c r="C469" s="1" t="n">
        <v>46173</v>
      </c>
      <c r="D469" t="inlineStr">
        <is>
          <t>SÖDERMANLANDS LÄN</t>
        </is>
      </c>
      <c r="E469" t="inlineStr">
        <is>
          <t>KATRINEHOLM</t>
        </is>
      </c>
      <c r="G469" t="n">
        <v>10</v>
      </c>
      <c r="H469" t="n">
        <v>0</v>
      </c>
      <c r="I469" t="n">
        <v>0</v>
      </c>
      <c r="J469" t="n">
        <v>0</v>
      </c>
      <c r="K469" t="n">
        <v>0</v>
      </c>
      <c r="L469" t="n">
        <v>0</v>
      </c>
      <c r="M469" t="n">
        <v>0</v>
      </c>
      <c r="N469" t="n">
        <v>0</v>
      </c>
      <c r="O469" t="n">
        <v>0</v>
      </c>
      <c r="P469" t="n">
        <v>0</v>
      </c>
      <c r="Q469" t="n">
        <v>0</v>
      </c>
      <c r="R469" s="2" t="inlineStr"/>
    </row>
    <row r="470" ht="15" customHeight="1">
      <c r="A470" t="inlineStr">
        <is>
          <t>A 9714-2024</t>
        </is>
      </c>
      <c r="B470" s="1" t="n">
        <v>45362</v>
      </c>
      <c r="C470" s="1" t="n">
        <v>46173</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39897-2023</t>
        </is>
      </c>
      <c r="B471" s="1" t="n">
        <v>45168</v>
      </c>
      <c r="C471" s="1" t="n">
        <v>46173</v>
      </c>
      <c r="D471" t="inlineStr">
        <is>
          <t>SÖDERMANLANDS LÄN</t>
        </is>
      </c>
      <c r="E471" t="inlineStr">
        <is>
          <t>KATRINEHOLM</t>
        </is>
      </c>
      <c r="G471" t="n">
        <v>15.6</v>
      </c>
      <c r="H471" t="n">
        <v>0</v>
      </c>
      <c r="I471" t="n">
        <v>0</v>
      </c>
      <c r="J471" t="n">
        <v>0</v>
      </c>
      <c r="K471" t="n">
        <v>0</v>
      </c>
      <c r="L471" t="n">
        <v>0</v>
      </c>
      <c r="M471" t="n">
        <v>0</v>
      </c>
      <c r="N471" t="n">
        <v>0</v>
      </c>
      <c r="O471" t="n">
        <v>0</v>
      </c>
      <c r="P471" t="n">
        <v>0</v>
      </c>
      <c r="Q471" t="n">
        <v>0</v>
      </c>
      <c r="R471" s="2" t="inlineStr"/>
    </row>
    <row r="472" ht="15" customHeight="1">
      <c r="A472" t="inlineStr">
        <is>
          <t>A 2735-2025</t>
        </is>
      </c>
      <c r="B472" s="1" t="n">
        <v>45677</v>
      </c>
      <c r="C472" s="1" t="n">
        <v>46173</v>
      </c>
      <c r="D472" t="inlineStr">
        <is>
          <t>SÖDERMANLANDS LÄN</t>
        </is>
      </c>
      <c r="E472" t="inlineStr">
        <is>
          <t>KATRINEHOLM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20326-2023</t>
        </is>
      </c>
      <c r="B473" s="1" t="n">
        <v>45056.46821759259</v>
      </c>
      <c r="C473" s="1" t="n">
        <v>46173</v>
      </c>
      <c r="D473" t="inlineStr">
        <is>
          <t>SÖDERMANLANDS LÄN</t>
        </is>
      </c>
      <c r="E473" t="inlineStr">
        <is>
          <t>KATRINEHOLM</t>
        </is>
      </c>
      <c r="G473" t="n">
        <v>0.9</v>
      </c>
      <c r="H473" t="n">
        <v>0</v>
      </c>
      <c r="I473" t="n">
        <v>0</v>
      </c>
      <c r="J473" t="n">
        <v>0</v>
      </c>
      <c r="K473" t="n">
        <v>0</v>
      </c>
      <c r="L473" t="n">
        <v>0</v>
      </c>
      <c r="M473" t="n">
        <v>0</v>
      </c>
      <c r="N473" t="n">
        <v>0</v>
      </c>
      <c r="O473" t="n">
        <v>0</v>
      </c>
      <c r="P473" t="n">
        <v>0</v>
      </c>
      <c r="Q473" t="n">
        <v>0</v>
      </c>
      <c r="R473" s="2" t="inlineStr"/>
    </row>
    <row r="474" ht="15" customHeight="1">
      <c r="A474" t="inlineStr">
        <is>
          <t>A 67337-2021</t>
        </is>
      </c>
      <c r="B474" s="1" t="n">
        <v>44523</v>
      </c>
      <c r="C474" s="1" t="n">
        <v>46173</v>
      </c>
      <c r="D474" t="inlineStr">
        <is>
          <t>SÖDERMANLANDS LÄN</t>
        </is>
      </c>
      <c r="E474" t="inlineStr">
        <is>
          <t>KATRINEHOLM</t>
        </is>
      </c>
      <c r="G474" t="n">
        <v>5.2</v>
      </c>
      <c r="H474" t="n">
        <v>0</v>
      </c>
      <c r="I474" t="n">
        <v>0</v>
      </c>
      <c r="J474" t="n">
        <v>0</v>
      </c>
      <c r="K474" t="n">
        <v>0</v>
      </c>
      <c r="L474" t="n">
        <v>0</v>
      </c>
      <c r="M474" t="n">
        <v>0</v>
      </c>
      <c r="N474" t="n">
        <v>0</v>
      </c>
      <c r="O474" t="n">
        <v>0</v>
      </c>
      <c r="P474" t="n">
        <v>0</v>
      </c>
      <c r="Q474" t="n">
        <v>0</v>
      </c>
      <c r="R474" s="2" t="inlineStr"/>
    </row>
    <row r="475" ht="15" customHeight="1">
      <c r="A475" t="inlineStr">
        <is>
          <t>A 31740-2022</t>
        </is>
      </c>
      <c r="B475" s="1" t="n">
        <v>44776</v>
      </c>
      <c r="C475" s="1" t="n">
        <v>46173</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53750-2022</t>
        </is>
      </c>
      <c r="B476" s="1" t="n">
        <v>44875</v>
      </c>
      <c r="C476" s="1" t="n">
        <v>46173</v>
      </c>
      <c r="D476" t="inlineStr">
        <is>
          <t>SÖDERMANLANDS LÄN</t>
        </is>
      </c>
      <c r="E476" t="inlineStr">
        <is>
          <t>KATRINEHOLM</t>
        </is>
      </c>
      <c r="F476" t="inlineStr">
        <is>
          <t>Övriga Aktiebolag</t>
        </is>
      </c>
      <c r="G476" t="n">
        <v>12.6</v>
      </c>
      <c r="H476" t="n">
        <v>0</v>
      </c>
      <c r="I476" t="n">
        <v>0</v>
      </c>
      <c r="J476" t="n">
        <v>0</v>
      </c>
      <c r="K476" t="n">
        <v>0</v>
      </c>
      <c r="L476" t="n">
        <v>0</v>
      </c>
      <c r="M476" t="n">
        <v>0</v>
      </c>
      <c r="N476" t="n">
        <v>0</v>
      </c>
      <c r="O476" t="n">
        <v>0</v>
      </c>
      <c r="P476" t="n">
        <v>0</v>
      </c>
      <c r="Q476" t="n">
        <v>0</v>
      </c>
      <c r="R476" s="2" t="inlineStr"/>
    </row>
    <row r="477" ht="15" customHeight="1">
      <c r="A477" t="inlineStr">
        <is>
          <t>A 9044-2022</t>
        </is>
      </c>
      <c r="B477" s="1" t="n">
        <v>44602</v>
      </c>
      <c r="C477" s="1" t="n">
        <v>46173</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3125-2024</t>
        </is>
      </c>
      <c r="B478" s="1" t="n">
        <v>45316</v>
      </c>
      <c r="C478" s="1" t="n">
        <v>46173</v>
      </c>
      <c r="D478" t="inlineStr">
        <is>
          <t>SÖDERMANLANDS LÄN</t>
        </is>
      </c>
      <c r="E478" t="inlineStr">
        <is>
          <t>KATRINEHOLM</t>
        </is>
      </c>
      <c r="G478" t="n">
        <v>3.4</v>
      </c>
      <c r="H478" t="n">
        <v>0</v>
      </c>
      <c r="I478" t="n">
        <v>0</v>
      </c>
      <c r="J478" t="n">
        <v>0</v>
      </c>
      <c r="K478" t="n">
        <v>0</v>
      </c>
      <c r="L478" t="n">
        <v>0</v>
      </c>
      <c r="M478" t="n">
        <v>0</v>
      </c>
      <c r="N478" t="n">
        <v>0</v>
      </c>
      <c r="O478" t="n">
        <v>0</v>
      </c>
      <c r="P478" t="n">
        <v>0</v>
      </c>
      <c r="Q478" t="n">
        <v>0</v>
      </c>
      <c r="R478" s="2" t="inlineStr"/>
    </row>
    <row r="479" ht="15" customHeight="1">
      <c r="A479" t="inlineStr">
        <is>
          <t>A 69117-2021</t>
        </is>
      </c>
      <c r="B479" s="1" t="n">
        <v>44530.82445601852</v>
      </c>
      <c r="C479" s="1" t="n">
        <v>46173</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8087-2022</t>
        </is>
      </c>
      <c r="B480" s="1" t="n">
        <v>44609.53502314815</v>
      </c>
      <c r="C480" s="1" t="n">
        <v>46173</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12559-2023</t>
        </is>
      </c>
      <c r="B481" s="1" t="n">
        <v>45000.36373842593</v>
      </c>
      <c r="C481" s="1" t="n">
        <v>46173</v>
      </c>
      <c r="D481" t="inlineStr">
        <is>
          <t>SÖDERMANLANDS LÄN</t>
        </is>
      </c>
      <c r="E481" t="inlineStr">
        <is>
          <t>KATRINEHOLM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6722-2022</t>
        </is>
      </c>
      <c r="B482" s="1" t="n">
        <v>44602</v>
      </c>
      <c r="C482" s="1" t="n">
        <v>46173</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11872-2023</t>
        </is>
      </c>
      <c r="B483" s="1" t="n">
        <v>44995</v>
      </c>
      <c r="C483" s="1" t="n">
        <v>46173</v>
      </c>
      <c r="D483" t="inlineStr">
        <is>
          <t>SÖDERMANLANDS LÄN</t>
        </is>
      </c>
      <c r="E483" t="inlineStr">
        <is>
          <t>KATRINEHOLM</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27852-2023</t>
        </is>
      </c>
      <c r="B484" s="1" t="n">
        <v>45098</v>
      </c>
      <c r="C484" s="1" t="n">
        <v>46173</v>
      </c>
      <c r="D484" t="inlineStr">
        <is>
          <t>SÖDERMANLANDS LÄN</t>
        </is>
      </c>
      <c r="E484" t="inlineStr">
        <is>
          <t>KATRINEHOLM</t>
        </is>
      </c>
      <c r="G484" t="n">
        <v>7.4</v>
      </c>
      <c r="H484" t="n">
        <v>0</v>
      </c>
      <c r="I484" t="n">
        <v>0</v>
      </c>
      <c r="J484" t="n">
        <v>0</v>
      </c>
      <c r="K484" t="n">
        <v>0</v>
      </c>
      <c r="L484" t="n">
        <v>0</v>
      </c>
      <c r="M484" t="n">
        <v>0</v>
      </c>
      <c r="N484" t="n">
        <v>0</v>
      </c>
      <c r="O484" t="n">
        <v>0</v>
      </c>
      <c r="P484" t="n">
        <v>0</v>
      </c>
      <c r="Q484" t="n">
        <v>0</v>
      </c>
      <c r="R484" s="2" t="inlineStr"/>
    </row>
    <row r="485" ht="15" customHeight="1">
      <c r="A485" t="inlineStr">
        <is>
          <t>A 51848-2022</t>
        </is>
      </c>
      <c r="B485" s="1" t="n">
        <v>44872.57752314815</v>
      </c>
      <c r="C485" s="1" t="n">
        <v>46173</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1143-2024</t>
        </is>
      </c>
      <c r="B486" s="1" t="n">
        <v>45302</v>
      </c>
      <c r="C486" s="1" t="n">
        <v>46173</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16087-2023</t>
        </is>
      </c>
      <c r="B487" s="1" t="n">
        <v>45026</v>
      </c>
      <c r="C487" s="1" t="n">
        <v>46173</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46288-2025</t>
        </is>
      </c>
      <c r="B488" s="1" t="n">
        <v>45925.38545138889</v>
      </c>
      <c r="C488" s="1" t="n">
        <v>46173</v>
      </c>
      <c r="D488" t="inlineStr">
        <is>
          <t>SÖDERMANLANDS LÄN</t>
        </is>
      </c>
      <c r="E488" t="inlineStr">
        <is>
          <t>KATRINEHOLM</t>
        </is>
      </c>
      <c r="G488" t="n">
        <v>0.4</v>
      </c>
      <c r="H488" t="n">
        <v>0</v>
      </c>
      <c r="I488" t="n">
        <v>0</v>
      </c>
      <c r="J488" t="n">
        <v>0</v>
      </c>
      <c r="K488" t="n">
        <v>0</v>
      </c>
      <c r="L488" t="n">
        <v>0</v>
      </c>
      <c r="M488" t="n">
        <v>0</v>
      </c>
      <c r="N488" t="n">
        <v>0</v>
      </c>
      <c r="O488" t="n">
        <v>0</v>
      </c>
      <c r="P488" t="n">
        <v>0</v>
      </c>
      <c r="Q488" t="n">
        <v>0</v>
      </c>
      <c r="R488" s="2" t="inlineStr"/>
    </row>
    <row r="489" ht="15" customHeight="1">
      <c r="A489" t="inlineStr">
        <is>
          <t>A 3980-2024</t>
        </is>
      </c>
      <c r="B489" s="1" t="n">
        <v>45322</v>
      </c>
      <c r="C489" s="1" t="n">
        <v>46173</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17335-2023</t>
        </is>
      </c>
      <c r="B490" s="1" t="n">
        <v>45033</v>
      </c>
      <c r="C490" s="1" t="n">
        <v>46173</v>
      </c>
      <c r="D490" t="inlineStr">
        <is>
          <t>SÖDERMANLANDS LÄN</t>
        </is>
      </c>
      <c r="E490" t="inlineStr">
        <is>
          <t>KATRINEHOLM</t>
        </is>
      </c>
      <c r="G490" t="n">
        <v>3.3</v>
      </c>
      <c r="H490" t="n">
        <v>0</v>
      </c>
      <c r="I490" t="n">
        <v>0</v>
      </c>
      <c r="J490" t="n">
        <v>0</v>
      </c>
      <c r="K490" t="n">
        <v>0</v>
      </c>
      <c r="L490" t="n">
        <v>0</v>
      </c>
      <c r="M490" t="n">
        <v>0</v>
      </c>
      <c r="N490" t="n">
        <v>0</v>
      </c>
      <c r="O490" t="n">
        <v>0</v>
      </c>
      <c r="P490" t="n">
        <v>0</v>
      </c>
      <c r="Q490" t="n">
        <v>0</v>
      </c>
      <c r="R490" s="2" t="inlineStr"/>
    </row>
    <row r="491" ht="15" customHeight="1">
      <c r="A491" t="inlineStr">
        <is>
          <t>A 59898-2022</t>
        </is>
      </c>
      <c r="B491" s="1" t="n">
        <v>44908</v>
      </c>
      <c r="C491" s="1" t="n">
        <v>46173</v>
      </c>
      <c r="D491" t="inlineStr">
        <is>
          <t>SÖDERMANLANDS LÄN</t>
        </is>
      </c>
      <c r="E491" t="inlineStr">
        <is>
          <t>KATRINEHOLM</t>
        </is>
      </c>
      <c r="G491" t="n">
        <v>4.8</v>
      </c>
      <c r="H491" t="n">
        <v>0</v>
      </c>
      <c r="I491" t="n">
        <v>0</v>
      </c>
      <c r="J491" t="n">
        <v>0</v>
      </c>
      <c r="K491" t="n">
        <v>0</v>
      </c>
      <c r="L491" t="n">
        <v>0</v>
      </c>
      <c r="M491" t="n">
        <v>0</v>
      </c>
      <c r="N491" t="n">
        <v>0</v>
      </c>
      <c r="O491" t="n">
        <v>0</v>
      </c>
      <c r="P491" t="n">
        <v>0</v>
      </c>
      <c r="Q491" t="n">
        <v>0</v>
      </c>
      <c r="R491" s="2" t="inlineStr"/>
    </row>
    <row r="492" ht="15" customHeight="1">
      <c r="A492" t="inlineStr">
        <is>
          <t>A 21959-2022</t>
        </is>
      </c>
      <c r="B492" s="1" t="n">
        <v>44708</v>
      </c>
      <c r="C492" s="1" t="n">
        <v>46173</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42451-2023</t>
        </is>
      </c>
      <c r="B493" s="1" t="n">
        <v>45180</v>
      </c>
      <c r="C493" s="1" t="n">
        <v>46173</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22506-2023</t>
        </is>
      </c>
      <c r="B494" s="1" t="n">
        <v>45071.37393518518</v>
      </c>
      <c r="C494" s="1" t="n">
        <v>46173</v>
      </c>
      <c r="D494" t="inlineStr">
        <is>
          <t>SÖDERMANLANDS LÄN</t>
        </is>
      </c>
      <c r="E494" t="inlineStr">
        <is>
          <t>KATRINEHOLM</t>
        </is>
      </c>
      <c r="F494" t="inlineStr">
        <is>
          <t>Kyrkan</t>
        </is>
      </c>
      <c r="G494" t="n">
        <v>5.9</v>
      </c>
      <c r="H494" t="n">
        <v>0</v>
      </c>
      <c r="I494" t="n">
        <v>0</v>
      </c>
      <c r="J494" t="n">
        <v>0</v>
      </c>
      <c r="K494" t="n">
        <v>0</v>
      </c>
      <c r="L494" t="n">
        <v>0</v>
      </c>
      <c r="M494" t="n">
        <v>0</v>
      </c>
      <c r="N494" t="n">
        <v>0</v>
      </c>
      <c r="O494" t="n">
        <v>0</v>
      </c>
      <c r="P494" t="n">
        <v>0</v>
      </c>
      <c r="Q494" t="n">
        <v>0</v>
      </c>
      <c r="R494" s="2" t="inlineStr"/>
    </row>
    <row r="495" ht="15" customHeight="1">
      <c r="A495" t="inlineStr">
        <is>
          <t>A 73412-2021</t>
        </is>
      </c>
      <c r="B495" s="1" t="n">
        <v>44551</v>
      </c>
      <c r="C495" s="1" t="n">
        <v>46173</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26713-2024</t>
        </is>
      </c>
      <c r="B496" s="1" t="n">
        <v>45470</v>
      </c>
      <c r="C496" s="1" t="n">
        <v>46173</v>
      </c>
      <c r="D496" t="inlineStr">
        <is>
          <t>SÖDERMANLANDS LÄN</t>
        </is>
      </c>
      <c r="E496" t="inlineStr">
        <is>
          <t>KATRINEHOLM</t>
        </is>
      </c>
      <c r="G496" t="n">
        <v>0.7</v>
      </c>
      <c r="H496" t="n">
        <v>0</v>
      </c>
      <c r="I496" t="n">
        <v>0</v>
      </c>
      <c r="J496" t="n">
        <v>0</v>
      </c>
      <c r="K496" t="n">
        <v>0</v>
      </c>
      <c r="L496" t="n">
        <v>0</v>
      </c>
      <c r="M496" t="n">
        <v>0</v>
      </c>
      <c r="N496" t="n">
        <v>0</v>
      </c>
      <c r="O496" t="n">
        <v>0</v>
      </c>
      <c r="P496" t="n">
        <v>0</v>
      </c>
      <c r="Q496" t="n">
        <v>0</v>
      </c>
      <c r="R496" s="2" t="inlineStr"/>
    </row>
    <row r="497" ht="15" customHeight="1">
      <c r="A497" t="inlineStr">
        <is>
          <t>A 28995-2024</t>
        </is>
      </c>
      <c r="B497" s="1" t="n">
        <v>45481.49899305555</v>
      </c>
      <c r="C497" s="1" t="n">
        <v>46173</v>
      </c>
      <c r="D497" t="inlineStr">
        <is>
          <t>SÖDERMANLANDS LÄN</t>
        </is>
      </c>
      <c r="E497" t="inlineStr">
        <is>
          <t>KATRINEHOLM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28597-2024</t>
        </is>
      </c>
      <c r="B498" s="1" t="n">
        <v>45478</v>
      </c>
      <c r="C498" s="1" t="n">
        <v>46173</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1151-2025</t>
        </is>
      </c>
      <c r="B499" s="1" t="n">
        <v>45666</v>
      </c>
      <c r="C499" s="1" t="n">
        <v>46173</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39010-2021</t>
        </is>
      </c>
      <c r="B500" s="1" t="n">
        <v>44412</v>
      </c>
      <c r="C500" s="1" t="n">
        <v>46173</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36133-2021</t>
        </is>
      </c>
      <c r="B501" s="1" t="n">
        <v>44386</v>
      </c>
      <c r="C501" s="1" t="n">
        <v>46173</v>
      </c>
      <c r="D501" t="inlineStr">
        <is>
          <t>SÖDERMANLANDS LÄN</t>
        </is>
      </c>
      <c r="E501" t="inlineStr">
        <is>
          <t>KATRINEHOLM</t>
        </is>
      </c>
      <c r="F501" t="inlineStr">
        <is>
          <t>Övriga Aktiebolag</t>
        </is>
      </c>
      <c r="G501" t="n">
        <v>8.9</v>
      </c>
      <c r="H501" t="n">
        <v>0</v>
      </c>
      <c r="I501" t="n">
        <v>0</v>
      </c>
      <c r="J501" t="n">
        <v>0</v>
      </c>
      <c r="K501" t="n">
        <v>0</v>
      </c>
      <c r="L501" t="n">
        <v>0</v>
      </c>
      <c r="M501" t="n">
        <v>0</v>
      </c>
      <c r="N501" t="n">
        <v>0</v>
      </c>
      <c r="O501" t="n">
        <v>0</v>
      </c>
      <c r="P501" t="n">
        <v>0</v>
      </c>
      <c r="Q501" t="n">
        <v>0</v>
      </c>
      <c r="R501" s="2" t="inlineStr"/>
    </row>
    <row r="502" ht="15" customHeight="1">
      <c r="A502" t="inlineStr">
        <is>
          <t>A 50017-2023</t>
        </is>
      </c>
      <c r="B502" s="1" t="n">
        <v>45215</v>
      </c>
      <c r="C502" s="1" t="n">
        <v>46173</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50018-2023</t>
        </is>
      </c>
      <c r="B503" s="1" t="n">
        <v>45215</v>
      </c>
      <c r="C503" s="1" t="n">
        <v>46173</v>
      </c>
      <c r="D503" t="inlineStr">
        <is>
          <t>SÖDERMANLANDS LÄN</t>
        </is>
      </c>
      <c r="E503" t="inlineStr">
        <is>
          <t>KATRINEHOLM</t>
        </is>
      </c>
      <c r="G503" t="n">
        <v>2.4</v>
      </c>
      <c r="H503" t="n">
        <v>0</v>
      </c>
      <c r="I503" t="n">
        <v>0</v>
      </c>
      <c r="J503" t="n">
        <v>0</v>
      </c>
      <c r="K503" t="n">
        <v>0</v>
      </c>
      <c r="L503" t="n">
        <v>0</v>
      </c>
      <c r="M503" t="n">
        <v>0</v>
      </c>
      <c r="N503" t="n">
        <v>0</v>
      </c>
      <c r="O503" t="n">
        <v>0</v>
      </c>
      <c r="P503" t="n">
        <v>0</v>
      </c>
      <c r="Q503" t="n">
        <v>0</v>
      </c>
      <c r="R503" s="2" t="inlineStr"/>
    </row>
    <row r="504" ht="15" customHeight="1">
      <c r="A504" t="inlineStr">
        <is>
          <t>A 46524-2025</t>
        </is>
      </c>
      <c r="B504" s="1" t="n">
        <v>45926</v>
      </c>
      <c r="C504" s="1" t="n">
        <v>46173</v>
      </c>
      <c r="D504" t="inlineStr">
        <is>
          <t>SÖDERMANLANDS LÄN</t>
        </is>
      </c>
      <c r="E504" t="inlineStr">
        <is>
          <t>KATRINEHOLM</t>
        </is>
      </c>
      <c r="G504" t="n">
        <v>5.7</v>
      </c>
      <c r="H504" t="n">
        <v>0</v>
      </c>
      <c r="I504" t="n">
        <v>0</v>
      </c>
      <c r="J504" t="n">
        <v>0</v>
      </c>
      <c r="K504" t="n">
        <v>0</v>
      </c>
      <c r="L504" t="n">
        <v>0</v>
      </c>
      <c r="M504" t="n">
        <v>0</v>
      </c>
      <c r="N504" t="n">
        <v>0</v>
      </c>
      <c r="O504" t="n">
        <v>0</v>
      </c>
      <c r="P504" t="n">
        <v>0</v>
      </c>
      <c r="Q504" t="n">
        <v>0</v>
      </c>
      <c r="R504" s="2" t="inlineStr"/>
    </row>
    <row r="505" ht="15" customHeight="1">
      <c r="A505" t="inlineStr">
        <is>
          <t>A 29843-2023</t>
        </is>
      </c>
      <c r="B505" s="1" t="n">
        <v>45107</v>
      </c>
      <c r="C505" s="1" t="n">
        <v>46173</v>
      </c>
      <c r="D505" t="inlineStr">
        <is>
          <t>SÖDERMANLANDS LÄN</t>
        </is>
      </c>
      <c r="E505" t="inlineStr">
        <is>
          <t>KATRINEHOLM</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56628-2021</t>
        </is>
      </c>
      <c r="B506" s="1" t="n">
        <v>44480</v>
      </c>
      <c r="C506" s="1" t="n">
        <v>46173</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62418-2023</t>
        </is>
      </c>
      <c r="B507" s="1" t="n">
        <v>45268</v>
      </c>
      <c r="C507" s="1" t="n">
        <v>46173</v>
      </c>
      <c r="D507" t="inlineStr">
        <is>
          <t>SÖDERMANLANDS LÄN</t>
        </is>
      </c>
      <c r="E507" t="inlineStr">
        <is>
          <t>KATRINEHOLM</t>
        </is>
      </c>
      <c r="G507" t="n">
        <v>3</v>
      </c>
      <c r="H507" t="n">
        <v>0</v>
      </c>
      <c r="I507" t="n">
        <v>0</v>
      </c>
      <c r="J507" t="n">
        <v>0</v>
      </c>
      <c r="K507" t="n">
        <v>0</v>
      </c>
      <c r="L507" t="n">
        <v>0</v>
      </c>
      <c r="M507" t="n">
        <v>0</v>
      </c>
      <c r="N507" t="n">
        <v>0</v>
      </c>
      <c r="O507" t="n">
        <v>0</v>
      </c>
      <c r="P507" t="n">
        <v>0</v>
      </c>
      <c r="Q507" t="n">
        <v>0</v>
      </c>
      <c r="R507" s="2" t="inlineStr"/>
    </row>
    <row r="508" ht="15" customHeight="1">
      <c r="A508" t="inlineStr">
        <is>
          <t>A 41966-2023</t>
        </is>
      </c>
      <c r="B508" s="1" t="n">
        <v>45177</v>
      </c>
      <c r="C508" s="1" t="n">
        <v>46173</v>
      </c>
      <c r="D508" t="inlineStr">
        <is>
          <t>SÖDERMANLANDS LÄN</t>
        </is>
      </c>
      <c r="E508" t="inlineStr">
        <is>
          <t>KATRINEHOLM</t>
        </is>
      </c>
      <c r="G508" t="n">
        <v>36.9</v>
      </c>
      <c r="H508" t="n">
        <v>0</v>
      </c>
      <c r="I508" t="n">
        <v>0</v>
      </c>
      <c r="J508" t="n">
        <v>0</v>
      </c>
      <c r="K508" t="n">
        <v>0</v>
      </c>
      <c r="L508" t="n">
        <v>0</v>
      </c>
      <c r="M508" t="n">
        <v>0</v>
      </c>
      <c r="N508" t="n">
        <v>0</v>
      </c>
      <c r="O508" t="n">
        <v>0</v>
      </c>
      <c r="P508" t="n">
        <v>0</v>
      </c>
      <c r="Q508" t="n">
        <v>0</v>
      </c>
      <c r="R508" s="2" t="inlineStr"/>
    </row>
    <row r="509" ht="15" customHeight="1">
      <c r="A509" t="inlineStr">
        <is>
          <t>A 10446-2024</t>
        </is>
      </c>
      <c r="B509" s="1" t="n">
        <v>45366</v>
      </c>
      <c r="C509" s="1" t="n">
        <v>46173</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8761-2023</t>
        </is>
      </c>
      <c r="B510" s="1" t="n">
        <v>44978.49685185185</v>
      </c>
      <c r="C510" s="1" t="n">
        <v>46173</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8778-2023</t>
        </is>
      </c>
      <c r="B511" s="1" t="n">
        <v>44978.5737037037</v>
      </c>
      <c r="C511" s="1" t="n">
        <v>46173</v>
      </c>
      <c r="D511" t="inlineStr">
        <is>
          <t>SÖDERMANLANDS LÄN</t>
        </is>
      </c>
      <c r="E511" t="inlineStr">
        <is>
          <t>KATRINEHOLM</t>
        </is>
      </c>
      <c r="G511" t="n">
        <v>4.5</v>
      </c>
      <c r="H511" t="n">
        <v>0</v>
      </c>
      <c r="I511" t="n">
        <v>0</v>
      </c>
      <c r="J511" t="n">
        <v>0</v>
      </c>
      <c r="K511" t="n">
        <v>0</v>
      </c>
      <c r="L511" t="n">
        <v>0</v>
      </c>
      <c r="M511" t="n">
        <v>0</v>
      </c>
      <c r="N511" t="n">
        <v>0</v>
      </c>
      <c r="O511" t="n">
        <v>0</v>
      </c>
      <c r="P511" t="n">
        <v>0</v>
      </c>
      <c r="Q511" t="n">
        <v>0</v>
      </c>
      <c r="R511" s="2" t="inlineStr"/>
    </row>
    <row r="512" ht="15" customHeight="1">
      <c r="A512" t="inlineStr">
        <is>
          <t>A 15399-2022</t>
        </is>
      </c>
      <c r="B512" s="1" t="n">
        <v>44659</v>
      </c>
      <c r="C512" s="1" t="n">
        <v>46173</v>
      </c>
      <c r="D512" t="inlineStr">
        <is>
          <t>SÖDERMANLANDS LÄN</t>
        </is>
      </c>
      <c r="E512" t="inlineStr">
        <is>
          <t>KATRINEHOLM</t>
        </is>
      </c>
      <c r="G512" t="n">
        <v>5.6</v>
      </c>
      <c r="H512" t="n">
        <v>0</v>
      </c>
      <c r="I512" t="n">
        <v>0</v>
      </c>
      <c r="J512" t="n">
        <v>0</v>
      </c>
      <c r="K512" t="n">
        <v>0</v>
      </c>
      <c r="L512" t="n">
        <v>0</v>
      </c>
      <c r="M512" t="n">
        <v>0</v>
      </c>
      <c r="N512" t="n">
        <v>0</v>
      </c>
      <c r="O512" t="n">
        <v>0</v>
      </c>
      <c r="P512" t="n">
        <v>0</v>
      </c>
      <c r="Q512" t="n">
        <v>0</v>
      </c>
      <c r="R512" s="2" t="inlineStr"/>
    </row>
    <row r="513" ht="15" customHeight="1">
      <c r="A513" t="inlineStr">
        <is>
          <t>A 49116-2024</t>
        </is>
      </c>
      <c r="B513" s="1" t="n">
        <v>45594.6605787037</v>
      </c>
      <c r="C513" s="1" t="n">
        <v>46173</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48091-2024</t>
        </is>
      </c>
      <c r="B514" s="1" t="n">
        <v>45590</v>
      </c>
      <c r="C514" s="1" t="n">
        <v>46173</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6753-2022</t>
        </is>
      </c>
      <c r="B515" s="1" t="n">
        <v>44602</v>
      </c>
      <c r="C515" s="1" t="n">
        <v>46173</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6763-2022</t>
        </is>
      </c>
      <c r="B516" s="1" t="n">
        <v>44602</v>
      </c>
      <c r="C516" s="1" t="n">
        <v>46173</v>
      </c>
      <c r="D516" t="inlineStr">
        <is>
          <t>SÖDERMANLANDS LÄN</t>
        </is>
      </c>
      <c r="E516" t="inlineStr">
        <is>
          <t>KATRINEHOLM</t>
        </is>
      </c>
      <c r="G516" t="n">
        <v>6.7</v>
      </c>
      <c r="H516" t="n">
        <v>0</v>
      </c>
      <c r="I516" t="n">
        <v>0</v>
      </c>
      <c r="J516" t="n">
        <v>0</v>
      </c>
      <c r="K516" t="n">
        <v>0</v>
      </c>
      <c r="L516" t="n">
        <v>0</v>
      </c>
      <c r="M516" t="n">
        <v>0</v>
      </c>
      <c r="N516" t="n">
        <v>0</v>
      </c>
      <c r="O516" t="n">
        <v>0</v>
      </c>
      <c r="P516" t="n">
        <v>0</v>
      </c>
      <c r="Q516" t="n">
        <v>0</v>
      </c>
      <c r="R516" s="2" t="inlineStr"/>
    </row>
    <row r="517" ht="15" customHeight="1">
      <c r="A517" t="inlineStr">
        <is>
          <t>A 48160-2022</t>
        </is>
      </c>
      <c r="B517" s="1" t="n">
        <v>44853</v>
      </c>
      <c r="C517" s="1" t="n">
        <v>46173</v>
      </c>
      <c r="D517" t="inlineStr">
        <is>
          <t>SÖDERMANLANDS LÄN</t>
        </is>
      </c>
      <c r="E517" t="inlineStr">
        <is>
          <t>KATRINEHOLM</t>
        </is>
      </c>
      <c r="F517" t="inlineStr">
        <is>
          <t>Övriga statliga verk och myndigheter</t>
        </is>
      </c>
      <c r="G517" t="n">
        <v>2.2</v>
      </c>
      <c r="H517" t="n">
        <v>0</v>
      </c>
      <c r="I517" t="n">
        <v>0</v>
      </c>
      <c r="J517" t="n">
        <v>0</v>
      </c>
      <c r="K517" t="n">
        <v>0</v>
      </c>
      <c r="L517" t="n">
        <v>0</v>
      </c>
      <c r="M517" t="n">
        <v>0</v>
      </c>
      <c r="N517" t="n">
        <v>0</v>
      </c>
      <c r="O517" t="n">
        <v>0</v>
      </c>
      <c r="P517" t="n">
        <v>0</v>
      </c>
      <c r="Q517" t="n">
        <v>0</v>
      </c>
      <c r="R517" s="2" t="inlineStr"/>
    </row>
    <row r="518" ht="15" customHeight="1">
      <c r="A518" t="inlineStr">
        <is>
          <t>A 39068-2022</t>
        </is>
      </c>
      <c r="B518" s="1" t="n">
        <v>44816</v>
      </c>
      <c r="C518" s="1" t="n">
        <v>46173</v>
      </c>
      <c r="D518" t="inlineStr">
        <is>
          <t>SÖDERMANLANDS LÄN</t>
        </is>
      </c>
      <c r="E518" t="inlineStr">
        <is>
          <t>KATRINEHOLM</t>
        </is>
      </c>
      <c r="G518" t="n">
        <v>3.6</v>
      </c>
      <c r="H518" t="n">
        <v>0</v>
      </c>
      <c r="I518" t="n">
        <v>0</v>
      </c>
      <c r="J518" t="n">
        <v>0</v>
      </c>
      <c r="K518" t="n">
        <v>0</v>
      </c>
      <c r="L518" t="n">
        <v>0</v>
      </c>
      <c r="M518" t="n">
        <v>0</v>
      </c>
      <c r="N518" t="n">
        <v>0</v>
      </c>
      <c r="O518" t="n">
        <v>0</v>
      </c>
      <c r="P518" t="n">
        <v>0</v>
      </c>
      <c r="Q518" t="n">
        <v>0</v>
      </c>
      <c r="R518" s="2" t="inlineStr"/>
    </row>
    <row r="519" ht="15" customHeight="1">
      <c r="A519" t="inlineStr">
        <is>
          <t>A 18339-2023</t>
        </is>
      </c>
      <c r="B519" s="1" t="n">
        <v>45041</v>
      </c>
      <c r="C519" s="1" t="n">
        <v>46173</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20460-2025</t>
        </is>
      </c>
      <c r="B520" s="1" t="n">
        <v>45775.52854166667</v>
      </c>
      <c r="C520" s="1" t="n">
        <v>46173</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66540-2021</t>
        </is>
      </c>
      <c r="B521" s="1" t="n">
        <v>44519</v>
      </c>
      <c r="C521" s="1" t="n">
        <v>46173</v>
      </c>
      <c r="D521" t="inlineStr">
        <is>
          <t>SÖDERMANLANDS LÄN</t>
        </is>
      </c>
      <c r="E521" t="inlineStr">
        <is>
          <t>KATRINEHOLM</t>
        </is>
      </c>
      <c r="F521" t="inlineStr">
        <is>
          <t>Holmen skog AB</t>
        </is>
      </c>
      <c r="G521" t="n">
        <v>0.4</v>
      </c>
      <c r="H521" t="n">
        <v>0</v>
      </c>
      <c r="I521" t="n">
        <v>0</v>
      </c>
      <c r="J521" t="n">
        <v>0</v>
      </c>
      <c r="K521" t="n">
        <v>0</v>
      </c>
      <c r="L521" t="n">
        <v>0</v>
      </c>
      <c r="M521" t="n">
        <v>0</v>
      </c>
      <c r="N521" t="n">
        <v>0</v>
      </c>
      <c r="O521" t="n">
        <v>0</v>
      </c>
      <c r="P521" t="n">
        <v>0</v>
      </c>
      <c r="Q521" t="n">
        <v>0</v>
      </c>
      <c r="R521" s="2" t="inlineStr"/>
    </row>
    <row r="522" ht="15" customHeight="1">
      <c r="A522" t="inlineStr">
        <is>
          <t>A 49092-2024</t>
        </is>
      </c>
      <c r="B522" s="1" t="n">
        <v>45594.63619212963</v>
      </c>
      <c r="C522" s="1" t="n">
        <v>46173</v>
      </c>
      <c r="D522" t="inlineStr">
        <is>
          <t>SÖDERMANLANDS LÄN</t>
        </is>
      </c>
      <c r="E522" t="inlineStr">
        <is>
          <t>KATRINEHOLM</t>
        </is>
      </c>
      <c r="F522" t="inlineStr">
        <is>
          <t>Övriga Aktiebolag</t>
        </is>
      </c>
      <c r="G522" t="n">
        <v>0.4</v>
      </c>
      <c r="H522" t="n">
        <v>0</v>
      </c>
      <c r="I522" t="n">
        <v>0</v>
      </c>
      <c r="J522" t="n">
        <v>0</v>
      </c>
      <c r="K522" t="n">
        <v>0</v>
      </c>
      <c r="L522" t="n">
        <v>0</v>
      </c>
      <c r="M522" t="n">
        <v>0</v>
      </c>
      <c r="N522" t="n">
        <v>0</v>
      </c>
      <c r="O522" t="n">
        <v>0</v>
      </c>
      <c r="P522" t="n">
        <v>0</v>
      </c>
      <c r="Q522" t="n">
        <v>0</v>
      </c>
      <c r="R522" s="2" t="inlineStr"/>
    </row>
    <row r="523" ht="15" customHeight="1">
      <c r="A523" t="inlineStr">
        <is>
          <t>A 49095-2024</t>
        </is>
      </c>
      <c r="B523" s="1" t="n">
        <v>45594.63828703704</v>
      </c>
      <c r="C523" s="1" t="n">
        <v>46173</v>
      </c>
      <c r="D523" t="inlineStr">
        <is>
          <t>SÖDERMANLANDS LÄN</t>
        </is>
      </c>
      <c r="E523" t="inlineStr">
        <is>
          <t>KATRINEHOLM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55172-2022</t>
        </is>
      </c>
      <c r="B524" s="1" t="n">
        <v>44886</v>
      </c>
      <c r="C524" s="1" t="n">
        <v>46173</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50935-2023</t>
        </is>
      </c>
      <c r="B525" s="1" t="n">
        <v>45211</v>
      </c>
      <c r="C525" s="1" t="n">
        <v>46173</v>
      </c>
      <c r="D525" t="inlineStr">
        <is>
          <t>SÖDERMANLANDS LÄN</t>
        </is>
      </c>
      <c r="E525" t="inlineStr">
        <is>
          <t>KATRINEHOLM</t>
        </is>
      </c>
      <c r="G525" t="n">
        <v>0.7</v>
      </c>
      <c r="H525" t="n">
        <v>0</v>
      </c>
      <c r="I525" t="n">
        <v>0</v>
      </c>
      <c r="J525" t="n">
        <v>0</v>
      </c>
      <c r="K525" t="n">
        <v>0</v>
      </c>
      <c r="L525" t="n">
        <v>0</v>
      </c>
      <c r="M525" t="n">
        <v>0</v>
      </c>
      <c r="N525" t="n">
        <v>0</v>
      </c>
      <c r="O525" t="n">
        <v>0</v>
      </c>
      <c r="P525" t="n">
        <v>0</v>
      </c>
      <c r="Q525" t="n">
        <v>0</v>
      </c>
      <c r="R525" s="2" t="inlineStr"/>
    </row>
    <row r="526" ht="15" customHeight="1">
      <c r="A526" t="inlineStr">
        <is>
          <t>A 6311-2025</t>
        </is>
      </c>
      <c r="B526" s="1" t="n">
        <v>45698</v>
      </c>
      <c r="C526" s="1" t="n">
        <v>46173</v>
      </c>
      <c r="D526" t="inlineStr">
        <is>
          <t>SÖDERMANLANDS LÄN</t>
        </is>
      </c>
      <c r="E526" t="inlineStr">
        <is>
          <t>KATRINEHOLM</t>
        </is>
      </c>
      <c r="G526" t="n">
        <v>0.3</v>
      </c>
      <c r="H526" t="n">
        <v>0</v>
      </c>
      <c r="I526" t="n">
        <v>0</v>
      </c>
      <c r="J526" t="n">
        <v>0</v>
      </c>
      <c r="K526" t="n">
        <v>0</v>
      </c>
      <c r="L526" t="n">
        <v>0</v>
      </c>
      <c r="M526" t="n">
        <v>0</v>
      </c>
      <c r="N526" t="n">
        <v>0</v>
      </c>
      <c r="O526" t="n">
        <v>0</v>
      </c>
      <c r="P526" t="n">
        <v>0</v>
      </c>
      <c r="Q526" t="n">
        <v>0</v>
      </c>
      <c r="R526" s="2" t="inlineStr"/>
    </row>
    <row r="527" ht="15" customHeight="1">
      <c r="A527" t="inlineStr">
        <is>
          <t>A 24619-2024</t>
        </is>
      </c>
      <c r="B527" s="1" t="n">
        <v>45460</v>
      </c>
      <c r="C527" s="1" t="n">
        <v>46173</v>
      </c>
      <c r="D527" t="inlineStr">
        <is>
          <t>SÖDERMANLANDS LÄN</t>
        </is>
      </c>
      <c r="E527" t="inlineStr">
        <is>
          <t>KATRINEHOLM</t>
        </is>
      </c>
      <c r="G527" t="n">
        <v>4.7</v>
      </c>
      <c r="H527" t="n">
        <v>0</v>
      </c>
      <c r="I527" t="n">
        <v>0</v>
      </c>
      <c r="J527" t="n">
        <v>0</v>
      </c>
      <c r="K527" t="n">
        <v>0</v>
      </c>
      <c r="L527" t="n">
        <v>0</v>
      </c>
      <c r="M527" t="n">
        <v>0</v>
      </c>
      <c r="N527" t="n">
        <v>0</v>
      </c>
      <c r="O527" t="n">
        <v>0</v>
      </c>
      <c r="P527" t="n">
        <v>0</v>
      </c>
      <c r="Q527" t="n">
        <v>0</v>
      </c>
      <c r="R527" s="2" t="inlineStr"/>
    </row>
    <row r="528" ht="15" customHeight="1">
      <c r="A528" t="inlineStr">
        <is>
          <t>A 53843-2023</t>
        </is>
      </c>
      <c r="B528" s="1" t="n">
        <v>45230</v>
      </c>
      <c r="C528" s="1" t="n">
        <v>46173</v>
      </c>
      <c r="D528" t="inlineStr">
        <is>
          <t>SÖDERMANLANDS LÄN</t>
        </is>
      </c>
      <c r="E528" t="inlineStr">
        <is>
          <t>KATRINEHOLM</t>
        </is>
      </c>
      <c r="G528" t="n">
        <v>14.2</v>
      </c>
      <c r="H528" t="n">
        <v>0</v>
      </c>
      <c r="I528" t="n">
        <v>0</v>
      </c>
      <c r="J528" t="n">
        <v>0</v>
      </c>
      <c r="K528" t="n">
        <v>0</v>
      </c>
      <c r="L528" t="n">
        <v>0</v>
      </c>
      <c r="M528" t="n">
        <v>0</v>
      </c>
      <c r="N528" t="n">
        <v>0</v>
      </c>
      <c r="O528" t="n">
        <v>0</v>
      </c>
      <c r="P528" t="n">
        <v>0</v>
      </c>
      <c r="Q528" t="n">
        <v>0</v>
      </c>
      <c r="R528" s="2" t="inlineStr"/>
    </row>
    <row r="529" ht="15" customHeight="1">
      <c r="A529" t="inlineStr">
        <is>
          <t>A 8288-2023</t>
        </is>
      </c>
      <c r="B529" s="1" t="n">
        <v>44974</v>
      </c>
      <c r="C529" s="1" t="n">
        <v>46173</v>
      </c>
      <c r="D529" t="inlineStr">
        <is>
          <t>SÖDERMANLANDS LÄN</t>
        </is>
      </c>
      <c r="E529" t="inlineStr">
        <is>
          <t>KATRINEHOLM</t>
        </is>
      </c>
      <c r="F529" t="inlineStr">
        <is>
          <t>Allmännings- och besparingsskogar</t>
        </is>
      </c>
      <c r="G529" t="n">
        <v>5.6</v>
      </c>
      <c r="H529" t="n">
        <v>0</v>
      </c>
      <c r="I529" t="n">
        <v>0</v>
      </c>
      <c r="J529" t="n">
        <v>0</v>
      </c>
      <c r="K529" t="n">
        <v>0</v>
      </c>
      <c r="L529" t="n">
        <v>0</v>
      </c>
      <c r="M529" t="n">
        <v>0</v>
      </c>
      <c r="N529" t="n">
        <v>0</v>
      </c>
      <c r="O529" t="n">
        <v>0</v>
      </c>
      <c r="P529" t="n">
        <v>0</v>
      </c>
      <c r="Q529" t="n">
        <v>0</v>
      </c>
      <c r="R529" s="2" t="inlineStr"/>
    </row>
    <row r="530" ht="15" customHeight="1">
      <c r="A530" t="inlineStr">
        <is>
          <t>A 45142-2021</t>
        </is>
      </c>
      <c r="B530" s="1" t="n">
        <v>44439</v>
      </c>
      <c r="C530" s="1" t="n">
        <v>46173</v>
      </c>
      <c r="D530" t="inlineStr">
        <is>
          <t>SÖDERMANLANDS LÄN</t>
        </is>
      </c>
      <c r="E530" t="inlineStr">
        <is>
          <t>KATRINEHOLM</t>
        </is>
      </c>
      <c r="G530" t="n">
        <v>1.8</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44596.54990740741</v>
      </c>
      <c r="C531" s="1" t="n">
        <v>46173</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22295-2024</t>
        </is>
      </c>
      <c r="B532" s="1" t="n">
        <v>45446.56141203704</v>
      </c>
      <c r="C532" s="1" t="n">
        <v>46173</v>
      </c>
      <c r="D532" t="inlineStr">
        <is>
          <t>SÖDERMANLANDS LÄN</t>
        </is>
      </c>
      <c r="E532" t="inlineStr">
        <is>
          <t>KATRINEHOLM</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5790-2022</t>
        </is>
      </c>
      <c r="B533" s="1" t="n">
        <v>44596.55368055555</v>
      </c>
      <c r="C533" s="1" t="n">
        <v>46173</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53387-2023</t>
        </is>
      </c>
      <c r="B534" s="1" t="n">
        <v>45229</v>
      </c>
      <c r="C534" s="1" t="n">
        <v>46173</v>
      </c>
      <c r="D534" t="inlineStr">
        <is>
          <t>SÖDERMANLANDS LÄN</t>
        </is>
      </c>
      <c r="E534" t="inlineStr">
        <is>
          <t>KATRINEHOLM</t>
        </is>
      </c>
      <c r="F534" t="inlineStr">
        <is>
          <t>Kyrkan</t>
        </is>
      </c>
      <c r="G534" t="n">
        <v>7.4</v>
      </c>
      <c r="H534" t="n">
        <v>0</v>
      </c>
      <c r="I534" t="n">
        <v>0</v>
      </c>
      <c r="J534" t="n">
        <v>0</v>
      </c>
      <c r="K534" t="n">
        <v>0</v>
      </c>
      <c r="L534" t="n">
        <v>0</v>
      </c>
      <c r="M534" t="n">
        <v>0</v>
      </c>
      <c r="N534" t="n">
        <v>0</v>
      </c>
      <c r="O534" t="n">
        <v>0</v>
      </c>
      <c r="P534" t="n">
        <v>0</v>
      </c>
      <c r="Q534" t="n">
        <v>0</v>
      </c>
      <c r="R534" s="2" t="inlineStr"/>
    </row>
    <row r="535" ht="15" customHeight="1">
      <c r="A535" t="inlineStr">
        <is>
          <t>A 55169-2022</t>
        </is>
      </c>
      <c r="B535" s="1" t="n">
        <v>44886</v>
      </c>
      <c r="C535" s="1" t="n">
        <v>46173</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22272-2022</t>
        </is>
      </c>
      <c r="B536" s="1" t="n">
        <v>44712</v>
      </c>
      <c r="C536" s="1" t="n">
        <v>46173</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13612-2023</t>
        </is>
      </c>
      <c r="B537" s="1" t="n">
        <v>45006</v>
      </c>
      <c r="C537" s="1" t="n">
        <v>46173</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53715-2023</t>
        </is>
      </c>
      <c r="B538" s="1" t="n">
        <v>45230</v>
      </c>
      <c r="C538" s="1" t="n">
        <v>46173</v>
      </c>
      <c r="D538" t="inlineStr">
        <is>
          <t>SÖDERMANLANDS LÄN</t>
        </is>
      </c>
      <c r="E538" t="inlineStr">
        <is>
          <t>KATRINEHOLM</t>
        </is>
      </c>
      <c r="F538" t="inlineStr">
        <is>
          <t>Allmännings- och besparingsskogar</t>
        </is>
      </c>
      <c r="G538" t="n">
        <v>5.6</v>
      </c>
      <c r="H538" t="n">
        <v>0</v>
      </c>
      <c r="I538" t="n">
        <v>0</v>
      </c>
      <c r="J538" t="n">
        <v>0</v>
      </c>
      <c r="K538" t="n">
        <v>0</v>
      </c>
      <c r="L538" t="n">
        <v>0</v>
      </c>
      <c r="M538" t="n">
        <v>0</v>
      </c>
      <c r="N538" t="n">
        <v>0</v>
      </c>
      <c r="O538" t="n">
        <v>0</v>
      </c>
      <c r="P538" t="n">
        <v>0</v>
      </c>
      <c r="Q538" t="n">
        <v>0</v>
      </c>
      <c r="R538" s="2" t="inlineStr"/>
    </row>
    <row r="539" ht="15" customHeight="1">
      <c r="A539" t="inlineStr">
        <is>
          <t>A 58175-2024</t>
        </is>
      </c>
      <c r="B539" s="1" t="n">
        <v>45632.46648148148</v>
      </c>
      <c r="C539" s="1" t="n">
        <v>46173</v>
      </c>
      <c r="D539" t="inlineStr">
        <is>
          <t>SÖDERMANLANDS LÄN</t>
        </is>
      </c>
      <c r="E539" t="inlineStr">
        <is>
          <t>KATRINEHOLM</t>
        </is>
      </c>
      <c r="G539" t="n">
        <v>1.3</v>
      </c>
      <c r="H539" t="n">
        <v>0</v>
      </c>
      <c r="I539" t="n">
        <v>0</v>
      </c>
      <c r="J539" t="n">
        <v>0</v>
      </c>
      <c r="K539" t="n">
        <v>0</v>
      </c>
      <c r="L539" t="n">
        <v>0</v>
      </c>
      <c r="M539" t="n">
        <v>0</v>
      </c>
      <c r="N539" t="n">
        <v>0</v>
      </c>
      <c r="O539" t="n">
        <v>0</v>
      </c>
      <c r="P539" t="n">
        <v>0</v>
      </c>
      <c r="Q539" t="n">
        <v>0</v>
      </c>
      <c r="R539" s="2" t="inlineStr"/>
    </row>
    <row r="540" ht="15" customHeight="1">
      <c r="A540" t="inlineStr">
        <is>
          <t>A 59474-2021</t>
        </is>
      </c>
      <c r="B540" s="1" t="n">
        <v>44491</v>
      </c>
      <c r="C540" s="1" t="n">
        <v>46173</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7747-2024</t>
        </is>
      </c>
      <c r="B541" s="1" t="n">
        <v>45348</v>
      </c>
      <c r="C541" s="1" t="n">
        <v>46173</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51923-2023</t>
        </is>
      </c>
      <c r="B542" s="1" t="n">
        <v>45223</v>
      </c>
      <c r="C542" s="1" t="n">
        <v>46173</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27875-2024</t>
        </is>
      </c>
      <c r="B543" s="1" t="n">
        <v>45475</v>
      </c>
      <c r="C543" s="1" t="n">
        <v>46173</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4650-2024</t>
        </is>
      </c>
      <c r="B544" s="1" t="n">
        <v>45328</v>
      </c>
      <c r="C544" s="1" t="n">
        <v>46173</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4652-2024</t>
        </is>
      </c>
      <c r="B545" s="1" t="n">
        <v>45328</v>
      </c>
      <c r="C545" s="1" t="n">
        <v>46173</v>
      </c>
      <c r="D545" t="inlineStr">
        <is>
          <t>SÖDERMANLANDS LÄN</t>
        </is>
      </c>
      <c r="E545" t="inlineStr">
        <is>
          <t>KATRINEHOLM</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48253-2022</t>
        </is>
      </c>
      <c r="B546" s="1" t="n">
        <v>44858</v>
      </c>
      <c r="C546" s="1" t="n">
        <v>46173</v>
      </c>
      <c r="D546" t="inlineStr">
        <is>
          <t>SÖDERMANLANDS LÄN</t>
        </is>
      </c>
      <c r="E546" t="inlineStr">
        <is>
          <t>KATRINEHOLM</t>
        </is>
      </c>
      <c r="G546" t="n">
        <v>4.7</v>
      </c>
      <c r="H546" t="n">
        <v>0</v>
      </c>
      <c r="I546" t="n">
        <v>0</v>
      </c>
      <c r="J546" t="n">
        <v>0</v>
      </c>
      <c r="K546" t="n">
        <v>0</v>
      </c>
      <c r="L546" t="n">
        <v>0</v>
      </c>
      <c r="M546" t="n">
        <v>0</v>
      </c>
      <c r="N546" t="n">
        <v>0</v>
      </c>
      <c r="O546" t="n">
        <v>0</v>
      </c>
      <c r="P546" t="n">
        <v>0</v>
      </c>
      <c r="Q546" t="n">
        <v>0</v>
      </c>
      <c r="R546" s="2" t="inlineStr"/>
    </row>
    <row r="547" ht="15" customHeight="1">
      <c r="A547" t="inlineStr">
        <is>
          <t>A 43088-2022</t>
        </is>
      </c>
      <c r="B547" s="1" t="n">
        <v>44833</v>
      </c>
      <c r="C547" s="1" t="n">
        <v>46173</v>
      </c>
      <c r="D547" t="inlineStr">
        <is>
          <t>SÖDERMANLANDS LÄN</t>
        </is>
      </c>
      <c r="E547" t="inlineStr">
        <is>
          <t>KATRINEHOLM</t>
        </is>
      </c>
      <c r="G547" t="n">
        <v>6.6</v>
      </c>
      <c r="H547" t="n">
        <v>0</v>
      </c>
      <c r="I547" t="n">
        <v>0</v>
      </c>
      <c r="J547" t="n">
        <v>0</v>
      </c>
      <c r="K547" t="n">
        <v>0</v>
      </c>
      <c r="L547" t="n">
        <v>0</v>
      </c>
      <c r="M547" t="n">
        <v>0</v>
      </c>
      <c r="N547" t="n">
        <v>0</v>
      </c>
      <c r="O547" t="n">
        <v>0</v>
      </c>
      <c r="P547" t="n">
        <v>0</v>
      </c>
      <c r="Q547" t="n">
        <v>0</v>
      </c>
      <c r="R547" s="2" t="inlineStr"/>
    </row>
    <row r="548" ht="15" customHeight="1">
      <c r="A548" t="inlineStr">
        <is>
          <t>A 32166-2022</t>
        </is>
      </c>
      <c r="B548" s="1" t="n">
        <v>44781</v>
      </c>
      <c r="C548" s="1" t="n">
        <v>46173</v>
      </c>
      <c r="D548" t="inlineStr">
        <is>
          <t>SÖDERMANLANDS LÄN</t>
        </is>
      </c>
      <c r="E548" t="inlineStr">
        <is>
          <t>KATRINEHOLM</t>
        </is>
      </c>
      <c r="F548" t="inlineStr">
        <is>
          <t>Kommuner</t>
        </is>
      </c>
      <c r="G548" t="n">
        <v>0.5</v>
      </c>
      <c r="H548" t="n">
        <v>0</v>
      </c>
      <c r="I548" t="n">
        <v>0</v>
      </c>
      <c r="J548" t="n">
        <v>0</v>
      </c>
      <c r="K548" t="n">
        <v>0</v>
      </c>
      <c r="L548" t="n">
        <v>0</v>
      </c>
      <c r="M548" t="n">
        <v>0</v>
      </c>
      <c r="N548" t="n">
        <v>0</v>
      </c>
      <c r="O548" t="n">
        <v>0</v>
      </c>
      <c r="P548" t="n">
        <v>0</v>
      </c>
      <c r="Q548" t="n">
        <v>0</v>
      </c>
      <c r="R548" s="2" t="inlineStr"/>
    </row>
    <row r="549" ht="15" customHeight="1">
      <c r="A549" t="inlineStr">
        <is>
          <t>A 52658-2023</t>
        </is>
      </c>
      <c r="B549" s="1" t="n">
        <v>45225</v>
      </c>
      <c r="C549" s="1" t="n">
        <v>46173</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59384-2022</t>
        </is>
      </c>
      <c r="B550" s="1" t="n">
        <v>44905</v>
      </c>
      <c r="C550" s="1" t="n">
        <v>46173</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10996-2022</t>
        </is>
      </c>
      <c r="B551" s="1" t="n">
        <v>44628</v>
      </c>
      <c r="C551" s="1" t="n">
        <v>46173</v>
      </c>
      <c r="D551" t="inlineStr">
        <is>
          <t>SÖDERMANLANDS LÄN</t>
        </is>
      </c>
      <c r="E551" t="inlineStr">
        <is>
          <t>KATRINEHOLM</t>
        </is>
      </c>
      <c r="G551" t="n">
        <v>0.3</v>
      </c>
      <c r="H551" t="n">
        <v>0</v>
      </c>
      <c r="I551" t="n">
        <v>0</v>
      </c>
      <c r="J551" t="n">
        <v>0</v>
      </c>
      <c r="K551" t="n">
        <v>0</v>
      </c>
      <c r="L551" t="n">
        <v>0</v>
      </c>
      <c r="M551" t="n">
        <v>0</v>
      </c>
      <c r="N551" t="n">
        <v>0</v>
      </c>
      <c r="O551" t="n">
        <v>0</v>
      </c>
      <c r="P551" t="n">
        <v>0</v>
      </c>
      <c r="Q551" t="n">
        <v>0</v>
      </c>
      <c r="R551" s="2" t="inlineStr"/>
    </row>
    <row r="552" ht="15" customHeight="1">
      <c r="A552" t="inlineStr">
        <is>
          <t>A 61385-2023</t>
        </is>
      </c>
      <c r="B552" s="1" t="n">
        <v>45264.64241898148</v>
      </c>
      <c r="C552" s="1" t="n">
        <v>46173</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25363-2023</t>
        </is>
      </c>
      <c r="B553" s="1" t="n">
        <v>45088.83840277778</v>
      </c>
      <c r="C553" s="1" t="n">
        <v>46173</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48030-2022</t>
        </is>
      </c>
      <c r="B554" s="1" t="n">
        <v>44855</v>
      </c>
      <c r="C554" s="1" t="n">
        <v>46173</v>
      </c>
      <c r="D554" t="inlineStr">
        <is>
          <t>SÖDERMANLANDS LÄN</t>
        </is>
      </c>
      <c r="E554" t="inlineStr">
        <is>
          <t>KATRINEHOLM</t>
        </is>
      </c>
      <c r="F554" t="inlineStr">
        <is>
          <t>Allmännings- och besparingsskogar</t>
        </is>
      </c>
      <c r="G554" t="n">
        <v>1.5</v>
      </c>
      <c r="H554" t="n">
        <v>0</v>
      </c>
      <c r="I554" t="n">
        <v>0</v>
      </c>
      <c r="J554" t="n">
        <v>0</v>
      </c>
      <c r="K554" t="n">
        <v>0</v>
      </c>
      <c r="L554" t="n">
        <v>0</v>
      </c>
      <c r="M554" t="n">
        <v>0</v>
      </c>
      <c r="N554" t="n">
        <v>0</v>
      </c>
      <c r="O554" t="n">
        <v>0</v>
      </c>
      <c r="P554" t="n">
        <v>0</v>
      </c>
      <c r="Q554" t="n">
        <v>0</v>
      </c>
      <c r="R554" s="2" t="inlineStr"/>
    </row>
    <row r="555" ht="15" customHeight="1">
      <c r="A555" t="inlineStr">
        <is>
          <t>A 10932-2023</t>
        </is>
      </c>
      <c r="B555" s="1" t="n">
        <v>44985</v>
      </c>
      <c r="C555" s="1" t="n">
        <v>46173</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36767-2022</t>
        </is>
      </c>
      <c r="B556" s="1" t="n">
        <v>44805</v>
      </c>
      <c r="C556" s="1" t="n">
        <v>46173</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5834-2025</t>
        </is>
      </c>
      <c r="B557" s="1" t="n">
        <v>45694</v>
      </c>
      <c r="C557" s="1" t="n">
        <v>46173</v>
      </c>
      <c r="D557" t="inlineStr">
        <is>
          <t>SÖDERMANLANDS LÄN</t>
        </is>
      </c>
      <c r="E557" t="inlineStr">
        <is>
          <t>KATRINEHOLM</t>
        </is>
      </c>
      <c r="G557" t="n">
        <v>3.3</v>
      </c>
      <c r="H557" t="n">
        <v>0</v>
      </c>
      <c r="I557" t="n">
        <v>0</v>
      </c>
      <c r="J557" t="n">
        <v>0</v>
      </c>
      <c r="K557" t="n">
        <v>0</v>
      </c>
      <c r="L557" t="n">
        <v>0</v>
      </c>
      <c r="M557" t="n">
        <v>0</v>
      </c>
      <c r="N557" t="n">
        <v>0</v>
      </c>
      <c r="O557" t="n">
        <v>0</v>
      </c>
      <c r="P557" t="n">
        <v>0</v>
      </c>
      <c r="Q557" t="n">
        <v>0</v>
      </c>
      <c r="R557" s="2" t="inlineStr"/>
    </row>
    <row r="558" ht="15" customHeight="1">
      <c r="A558" t="inlineStr">
        <is>
          <t>A 48398-2022</t>
        </is>
      </c>
      <c r="B558" s="1" t="n">
        <v>44858.60809027778</v>
      </c>
      <c r="C558" s="1" t="n">
        <v>46173</v>
      </c>
      <c r="D558" t="inlineStr">
        <is>
          <t>SÖDERMANLANDS LÄN</t>
        </is>
      </c>
      <c r="E558" t="inlineStr">
        <is>
          <t>KATRINEHOLM</t>
        </is>
      </c>
      <c r="G558" t="n">
        <v>1.9</v>
      </c>
      <c r="H558" t="n">
        <v>0</v>
      </c>
      <c r="I558" t="n">
        <v>0</v>
      </c>
      <c r="J558" t="n">
        <v>0</v>
      </c>
      <c r="K558" t="n">
        <v>0</v>
      </c>
      <c r="L558" t="n">
        <v>0</v>
      </c>
      <c r="M558" t="n">
        <v>0</v>
      </c>
      <c r="N558" t="n">
        <v>0</v>
      </c>
      <c r="O558" t="n">
        <v>0</v>
      </c>
      <c r="P558" t="n">
        <v>0</v>
      </c>
      <c r="Q558" t="n">
        <v>0</v>
      </c>
      <c r="R558" s="2" t="inlineStr"/>
    </row>
    <row r="559" ht="15" customHeight="1">
      <c r="A559" t="inlineStr">
        <is>
          <t>A 15945-2024</t>
        </is>
      </c>
      <c r="B559" s="1" t="n">
        <v>45405.48912037037</v>
      </c>
      <c r="C559" s="1" t="n">
        <v>46173</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1329-2025</t>
        </is>
      </c>
      <c r="B560" s="1" t="n">
        <v>45667</v>
      </c>
      <c r="C560" s="1" t="n">
        <v>46173</v>
      </c>
      <c r="D560" t="inlineStr">
        <is>
          <t>SÖDERMANLANDS LÄN</t>
        </is>
      </c>
      <c r="E560" t="inlineStr">
        <is>
          <t>KATRINEHOLM</t>
        </is>
      </c>
      <c r="G560" t="n">
        <v>2.7</v>
      </c>
      <c r="H560" t="n">
        <v>0</v>
      </c>
      <c r="I560" t="n">
        <v>0</v>
      </c>
      <c r="J560" t="n">
        <v>0</v>
      </c>
      <c r="K560" t="n">
        <v>0</v>
      </c>
      <c r="L560" t="n">
        <v>0</v>
      </c>
      <c r="M560" t="n">
        <v>0</v>
      </c>
      <c r="N560" t="n">
        <v>0</v>
      </c>
      <c r="O560" t="n">
        <v>0</v>
      </c>
      <c r="P560" t="n">
        <v>0</v>
      </c>
      <c r="Q560" t="n">
        <v>0</v>
      </c>
      <c r="R560" s="2" t="inlineStr"/>
    </row>
    <row r="561" ht="15" customHeight="1">
      <c r="A561" t="inlineStr">
        <is>
          <t>A 9899-2023</t>
        </is>
      </c>
      <c r="B561" s="1" t="n">
        <v>44985</v>
      </c>
      <c r="C561" s="1" t="n">
        <v>46173</v>
      </c>
      <c r="D561" t="inlineStr">
        <is>
          <t>SÖDERMANLANDS LÄN</t>
        </is>
      </c>
      <c r="E561" t="inlineStr">
        <is>
          <t>KATRINEHOLM</t>
        </is>
      </c>
      <c r="F561" t="inlineStr">
        <is>
          <t>Allmännings- och besparingsskogar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34263-2023</t>
        </is>
      </c>
      <c r="B562" s="1" t="n">
        <v>45138.60248842592</v>
      </c>
      <c r="C562" s="1" t="n">
        <v>46173</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8475-2023</t>
        </is>
      </c>
      <c r="B563" s="1" t="n">
        <v>44977</v>
      </c>
      <c r="C563" s="1" t="n">
        <v>46173</v>
      </c>
      <c r="D563" t="inlineStr">
        <is>
          <t>SÖDERMANLANDS LÄN</t>
        </is>
      </c>
      <c r="E563" t="inlineStr">
        <is>
          <t>KATRINEHOLM</t>
        </is>
      </c>
      <c r="F563" t="inlineStr">
        <is>
          <t>Allmännings- och besparingsskogar</t>
        </is>
      </c>
      <c r="G563" t="n">
        <v>8.1</v>
      </c>
      <c r="H563" t="n">
        <v>0</v>
      </c>
      <c r="I563" t="n">
        <v>0</v>
      </c>
      <c r="J563" t="n">
        <v>0</v>
      </c>
      <c r="K563" t="n">
        <v>0</v>
      </c>
      <c r="L563" t="n">
        <v>0</v>
      </c>
      <c r="M563" t="n">
        <v>0</v>
      </c>
      <c r="N563" t="n">
        <v>0</v>
      </c>
      <c r="O563" t="n">
        <v>0</v>
      </c>
      <c r="P563" t="n">
        <v>0</v>
      </c>
      <c r="Q563" t="n">
        <v>0</v>
      </c>
      <c r="R563" s="2" t="inlineStr"/>
    </row>
    <row r="564" ht="15" customHeight="1">
      <c r="A564" t="inlineStr">
        <is>
          <t>A 8518-2023</t>
        </is>
      </c>
      <c r="B564" s="1" t="n">
        <v>44977</v>
      </c>
      <c r="C564" s="1" t="n">
        <v>46173</v>
      </c>
      <c r="D564" t="inlineStr">
        <is>
          <t>SÖDERMANLANDS LÄN</t>
        </is>
      </c>
      <c r="E564" t="inlineStr">
        <is>
          <t>KATRINEHOLM</t>
        </is>
      </c>
      <c r="F564" t="inlineStr">
        <is>
          <t>Allmännings- och besparingsskogar</t>
        </is>
      </c>
      <c r="G564" t="n">
        <v>35.3</v>
      </c>
      <c r="H564" t="n">
        <v>0</v>
      </c>
      <c r="I564" t="n">
        <v>0</v>
      </c>
      <c r="J564" t="n">
        <v>0</v>
      </c>
      <c r="K564" t="n">
        <v>0</v>
      </c>
      <c r="L564" t="n">
        <v>0</v>
      </c>
      <c r="M564" t="n">
        <v>0</v>
      </c>
      <c r="N564" t="n">
        <v>0</v>
      </c>
      <c r="O564" t="n">
        <v>0</v>
      </c>
      <c r="P564" t="n">
        <v>0</v>
      </c>
      <c r="Q564" t="n">
        <v>0</v>
      </c>
      <c r="R564" s="2" t="inlineStr"/>
    </row>
    <row r="565" ht="15" customHeight="1">
      <c r="A565" t="inlineStr">
        <is>
          <t>A 6092-2025</t>
        </is>
      </c>
      <c r="B565" s="1" t="n">
        <v>45697</v>
      </c>
      <c r="C565" s="1" t="n">
        <v>46173</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55863-2022</t>
        </is>
      </c>
      <c r="B566" s="1" t="n">
        <v>44888</v>
      </c>
      <c r="C566" s="1" t="n">
        <v>46173</v>
      </c>
      <c r="D566" t="inlineStr">
        <is>
          <t>SÖDERMANLANDS LÄN</t>
        </is>
      </c>
      <c r="E566" t="inlineStr">
        <is>
          <t>KATRINEHOLM</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55865-2022</t>
        </is>
      </c>
      <c r="B567" s="1" t="n">
        <v>44888</v>
      </c>
      <c r="C567" s="1" t="n">
        <v>46173</v>
      </c>
      <c r="D567" t="inlineStr">
        <is>
          <t>SÖDERMANLANDS LÄN</t>
        </is>
      </c>
      <c r="E567" t="inlineStr">
        <is>
          <t>KATRINEHOLM</t>
        </is>
      </c>
      <c r="G567" t="n">
        <v>9.1</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46173</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9437-2022</t>
        </is>
      </c>
      <c r="B569" s="1" t="n">
        <v>44616.69246527777</v>
      </c>
      <c r="C569" s="1" t="n">
        <v>46173</v>
      </c>
      <c r="D569" t="inlineStr">
        <is>
          <t>SÖDERMANLANDS LÄN</t>
        </is>
      </c>
      <c r="E569" t="inlineStr">
        <is>
          <t>KATRINEHOLM</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22345-2023</t>
        </is>
      </c>
      <c r="B570" s="1" t="n">
        <v>45070</v>
      </c>
      <c r="C570" s="1" t="n">
        <v>46173</v>
      </c>
      <c r="D570" t="inlineStr">
        <is>
          <t>SÖDERMANLANDS LÄN</t>
        </is>
      </c>
      <c r="E570" t="inlineStr">
        <is>
          <t>KATRINEHOLM</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46670-2021</t>
        </is>
      </c>
      <c r="B571" s="1" t="n">
        <v>44445</v>
      </c>
      <c r="C571" s="1" t="n">
        <v>46173</v>
      </c>
      <c r="D571" t="inlineStr">
        <is>
          <t>SÖDERMANLANDS LÄN</t>
        </is>
      </c>
      <c r="E571" t="inlineStr">
        <is>
          <t>KATRINEHOLM</t>
        </is>
      </c>
      <c r="G571" t="n">
        <v>4.4</v>
      </c>
      <c r="H571" t="n">
        <v>0</v>
      </c>
      <c r="I571" t="n">
        <v>0</v>
      </c>
      <c r="J571" t="n">
        <v>0</v>
      </c>
      <c r="K571" t="n">
        <v>0</v>
      </c>
      <c r="L571" t="n">
        <v>0</v>
      </c>
      <c r="M571" t="n">
        <v>0</v>
      </c>
      <c r="N571" t="n">
        <v>0</v>
      </c>
      <c r="O571" t="n">
        <v>0</v>
      </c>
      <c r="P571" t="n">
        <v>0</v>
      </c>
      <c r="Q571" t="n">
        <v>0</v>
      </c>
      <c r="R571" s="2" t="inlineStr"/>
    </row>
    <row r="572" ht="15" customHeight="1">
      <c r="A572" t="inlineStr">
        <is>
          <t>A 50934-2025</t>
        </is>
      </c>
      <c r="B572" s="1" t="n">
        <v>45946.69195601852</v>
      </c>
      <c r="C572" s="1" t="n">
        <v>46173</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48528-2021</t>
        </is>
      </c>
      <c r="B573" s="1" t="n">
        <v>44449</v>
      </c>
      <c r="C573" s="1" t="n">
        <v>46173</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28675-2024</t>
        </is>
      </c>
      <c r="B574" s="1" t="n">
        <v>45478</v>
      </c>
      <c r="C574" s="1" t="n">
        <v>46173</v>
      </c>
      <c r="D574" t="inlineStr">
        <is>
          <t>SÖDERMANLANDS LÄN</t>
        </is>
      </c>
      <c r="E574" t="inlineStr">
        <is>
          <t>KATRINEHOLM</t>
        </is>
      </c>
      <c r="F574" t="inlineStr">
        <is>
          <t>Övriga Aktiebolag</t>
        </is>
      </c>
      <c r="G574" t="n">
        <v>3.5</v>
      </c>
      <c r="H574" t="n">
        <v>0</v>
      </c>
      <c r="I574" t="n">
        <v>0</v>
      </c>
      <c r="J574" t="n">
        <v>0</v>
      </c>
      <c r="K574" t="n">
        <v>0</v>
      </c>
      <c r="L574" t="n">
        <v>0</v>
      </c>
      <c r="M574" t="n">
        <v>0</v>
      </c>
      <c r="N574" t="n">
        <v>0</v>
      </c>
      <c r="O574" t="n">
        <v>0</v>
      </c>
      <c r="P574" t="n">
        <v>0</v>
      </c>
      <c r="Q574" t="n">
        <v>0</v>
      </c>
      <c r="R574" s="2" t="inlineStr"/>
    </row>
    <row r="575" ht="15" customHeight="1">
      <c r="A575" t="inlineStr">
        <is>
          <t>A 51774-2025</t>
        </is>
      </c>
      <c r="B575" s="1" t="n">
        <v>45951.65359953704</v>
      </c>
      <c r="C575" s="1" t="n">
        <v>46173</v>
      </c>
      <c r="D575" t="inlineStr">
        <is>
          <t>SÖDERMANLANDS LÄN</t>
        </is>
      </c>
      <c r="E575" t="inlineStr">
        <is>
          <t>KATRINEHOLM</t>
        </is>
      </c>
      <c r="F575" t="inlineStr">
        <is>
          <t>Allmännings- och besparingsskogar</t>
        </is>
      </c>
      <c r="G575" t="n">
        <v>3.7</v>
      </c>
      <c r="H575" t="n">
        <v>0</v>
      </c>
      <c r="I575" t="n">
        <v>0</v>
      </c>
      <c r="J575" t="n">
        <v>0</v>
      </c>
      <c r="K575" t="n">
        <v>0</v>
      </c>
      <c r="L575" t="n">
        <v>0</v>
      </c>
      <c r="M575" t="n">
        <v>0</v>
      </c>
      <c r="N575" t="n">
        <v>0</v>
      </c>
      <c r="O575" t="n">
        <v>0</v>
      </c>
      <c r="P575" t="n">
        <v>0</v>
      </c>
      <c r="Q575" t="n">
        <v>0</v>
      </c>
      <c r="R575" s="2" t="inlineStr"/>
    </row>
    <row r="576" ht="15" customHeight="1">
      <c r="A576" t="inlineStr">
        <is>
          <t>A 51783-2025</t>
        </is>
      </c>
      <c r="B576" s="1" t="n">
        <v>45951.67546296296</v>
      </c>
      <c r="C576" s="1" t="n">
        <v>46173</v>
      </c>
      <c r="D576" t="inlineStr">
        <is>
          <t>SÖDERMANLANDS LÄN</t>
        </is>
      </c>
      <c r="E576" t="inlineStr">
        <is>
          <t>KATRINEHOLM</t>
        </is>
      </c>
      <c r="F576" t="inlineStr">
        <is>
          <t>Allmännings- och besparingsskogar</t>
        </is>
      </c>
      <c r="G576" t="n">
        <v>5.8</v>
      </c>
      <c r="H576" t="n">
        <v>0</v>
      </c>
      <c r="I576" t="n">
        <v>0</v>
      </c>
      <c r="J576" t="n">
        <v>0</v>
      </c>
      <c r="K576" t="n">
        <v>0</v>
      </c>
      <c r="L576" t="n">
        <v>0</v>
      </c>
      <c r="M576" t="n">
        <v>0</v>
      </c>
      <c r="N576" t="n">
        <v>0</v>
      </c>
      <c r="O576" t="n">
        <v>0</v>
      </c>
      <c r="P576" t="n">
        <v>0</v>
      </c>
      <c r="Q576" t="n">
        <v>0</v>
      </c>
      <c r="R576" s="2" t="inlineStr"/>
    </row>
    <row r="577" ht="15" customHeight="1">
      <c r="A577" t="inlineStr">
        <is>
          <t>A 51367-2025</t>
        </is>
      </c>
      <c r="B577" s="1" t="n">
        <v>45950.44700231482</v>
      </c>
      <c r="C577" s="1" t="n">
        <v>46173</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33790-2024</t>
        </is>
      </c>
      <c r="B578" s="1" t="n">
        <v>45520.59179398148</v>
      </c>
      <c r="C578" s="1" t="n">
        <v>46173</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51780-2025</t>
        </is>
      </c>
      <c r="B579" s="1" t="n">
        <v>45951.65725694445</v>
      </c>
      <c r="C579" s="1" t="n">
        <v>46173</v>
      </c>
      <c r="D579" t="inlineStr">
        <is>
          <t>SÖDERMANLANDS LÄN</t>
        </is>
      </c>
      <c r="E579" t="inlineStr">
        <is>
          <t>KATRINEHOLM</t>
        </is>
      </c>
      <c r="F579" t="inlineStr">
        <is>
          <t>Allmännings- och besparingsskogar</t>
        </is>
      </c>
      <c r="G579" t="n">
        <v>1.3</v>
      </c>
      <c r="H579" t="n">
        <v>0</v>
      </c>
      <c r="I579" t="n">
        <v>0</v>
      </c>
      <c r="J579" t="n">
        <v>0</v>
      </c>
      <c r="K579" t="n">
        <v>0</v>
      </c>
      <c r="L579" t="n">
        <v>0</v>
      </c>
      <c r="M579" t="n">
        <v>0</v>
      </c>
      <c r="N579" t="n">
        <v>0</v>
      </c>
      <c r="O579" t="n">
        <v>0</v>
      </c>
      <c r="P579" t="n">
        <v>0</v>
      </c>
      <c r="Q579" t="n">
        <v>0</v>
      </c>
      <c r="R579" s="2" t="inlineStr"/>
    </row>
    <row r="580" ht="15" customHeight="1">
      <c r="A580" t="inlineStr">
        <is>
          <t>A 41267-2023</t>
        </is>
      </c>
      <c r="B580" s="1" t="n">
        <v>45174</v>
      </c>
      <c r="C580" s="1" t="n">
        <v>46173</v>
      </c>
      <c r="D580" t="inlineStr">
        <is>
          <t>SÖDERMANLANDS LÄN</t>
        </is>
      </c>
      <c r="E580" t="inlineStr">
        <is>
          <t>KATRINEHOLM</t>
        </is>
      </c>
      <c r="F580" t="inlineStr">
        <is>
          <t>Holmen skog AB</t>
        </is>
      </c>
      <c r="G580" t="n">
        <v>4.5</v>
      </c>
      <c r="H580" t="n">
        <v>0</v>
      </c>
      <c r="I580" t="n">
        <v>0</v>
      </c>
      <c r="J580" t="n">
        <v>0</v>
      </c>
      <c r="K580" t="n">
        <v>0</v>
      </c>
      <c r="L580" t="n">
        <v>0</v>
      </c>
      <c r="M580" t="n">
        <v>0</v>
      </c>
      <c r="N580" t="n">
        <v>0</v>
      </c>
      <c r="O580" t="n">
        <v>0</v>
      </c>
      <c r="P580" t="n">
        <v>0</v>
      </c>
      <c r="Q580" t="n">
        <v>0</v>
      </c>
      <c r="R580" s="2" t="inlineStr"/>
    </row>
    <row r="581" ht="15" customHeight="1">
      <c r="A581" t="inlineStr">
        <is>
          <t>A 61911-2021</t>
        </is>
      </c>
      <c r="B581" s="1" t="n">
        <v>44502.35746527778</v>
      </c>
      <c r="C581" s="1" t="n">
        <v>46173</v>
      </c>
      <c r="D581" t="inlineStr">
        <is>
          <t>SÖDERMANLANDS LÄN</t>
        </is>
      </c>
      <c r="E581" t="inlineStr">
        <is>
          <t>KATRINEHOLM</t>
        </is>
      </c>
      <c r="G581" t="n">
        <v>3.8</v>
      </c>
      <c r="H581" t="n">
        <v>0</v>
      </c>
      <c r="I581" t="n">
        <v>0</v>
      </c>
      <c r="J581" t="n">
        <v>0</v>
      </c>
      <c r="K581" t="n">
        <v>0</v>
      </c>
      <c r="L581" t="n">
        <v>0</v>
      </c>
      <c r="M581" t="n">
        <v>0</v>
      </c>
      <c r="N581" t="n">
        <v>0</v>
      </c>
      <c r="O581" t="n">
        <v>0</v>
      </c>
      <c r="P581" t="n">
        <v>0</v>
      </c>
      <c r="Q581" t="n">
        <v>0</v>
      </c>
      <c r="R581" s="2" t="inlineStr"/>
    </row>
    <row r="582" ht="15" customHeight="1">
      <c r="A582" t="inlineStr">
        <is>
          <t>A 43513-2023</t>
        </is>
      </c>
      <c r="B582" s="1" t="n">
        <v>45184</v>
      </c>
      <c r="C582" s="1" t="n">
        <v>46173</v>
      </c>
      <c r="D582" t="inlineStr">
        <is>
          <t>SÖDERMANLANDS LÄN</t>
        </is>
      </c>
      <c r="E582" t="inlineStr">
        <is>
          <t>KATRINEHOLM</t>
        </is>
      </c>
      <c r="G582" t="n">
        <v>3.8</v>
      </c>
      <c r="H582" t="n">
        <v>0</v>
      </c>
      <c r="I582" t="n">
        <v>0</v>
      </c>
      <c r="J582" t="n">
        <v>0</v>
      </c>
      <c r="K582" t="n">
        <v>0</v>
      </c>
      <c r="L582" t="n">
        <v>0</v>
      </c>
      <c r="M582" t="n">
        <v>0</v>
      </c>
      <c r="N582" t="n">
        <v>0</v>
      </c>
      <c r="O582" t="n">
        <v>0</v>
      </c>
      <c r="P582" t="n">
        <v>0</v>
      </c>
      <c r="Q582" t="n">
        <v>0</v>
      </c>
      <c r="R582" s="2" t="inlineStr"/>
    </row>
    <row r="583" ht="15" customHeight="1">
      <c r="A583" t="inlineStr">
        <is>
          <t>A 52239-2025</t>
        </is>
      </c>
      <c r="B583" s="1" t="n">
        <v>45953.46193287037</v>
      </c>
      <c r="C583" s="1" t="n">
        <v>46173</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52242-2025</t>
        </is>
      </c>
      <c r="B584" s="1" t="n">
        <v>45953.46886574074</v>
      </c>
      <c r="C584" s="1" t="n">
        <v>46173</v>
      </c>
      <c r="D584" t="inlineStr">
        <is>
          <t>SÖDERMANLANDS LÄN</t>
        </is>
      </c>
      <c r="E584" t="inlineStr">
        <is>
          <t>KATRINEHOLM</t>
        </is>
      </c>
      <c r="G584" t="n">
        <v>5.3</v>
      </c>
      <c r="H584" t="n">
        <v>0</v>
      </c>
      <c r="I584" t="n">
        <v>0</v>
      </c>
      <c r="J584" t="n">
        <v>0</v>
      </c>
      <c r="K584" t="n">
        <v>0</v>
      </c>
      <c r="L584" t="n">
        <v>0</v>
      </c>
      <c r="M584" t="n">
        <v>0</v>
      </c>
      <c r="N584" t="n">
        <v>0</v>
      </c>
      <c r="O584" t="n">
        <v>0</v>
      </c>
      <c r="P584" t="n">
        <v>0</v>
      </c>
      <c r="Q584" t="n">
        <v>0</v>
      </c>
      <c r="R584" s="2" t="inlineStr"/>
    </row>
    <row r="585" ht="15" customHeight="1">
      <c r="A585" t="inlineStr">
        <is>
          <t>A 53809-2021</t>
        </is>
      </c>
      <c r="B585" s="1" t="n">
        <v>44467</v>
      </c>
      <c r="C585" s="1" t="n">
        <v>46173</v>
      </c>
      <c r="D585" t="inlineStr">
        <is>
          <t>SÖDERMANLANDS LÄN</t>
        </is>
      </c>
      <c r="E585" t="inlineStr">
        <is>
          <t>KATRINEHOLM</t>
        </is>
      </c>
      <c r="G585" t="n">
        <v>7</v>
      </c>
      <c r="H585" t="n">
        <v>0</v>
      </c>
      <c r="I585" t="n">
        <v>0</v>
      </c>
      <c r="J585" t="n">
        <v>0</v>
      </c>
      <c r="K585" t="n">
        <v>0</v>
      </c>
      <c r="L585" t="n">
        <v>0</v>
      </c>
      <c r="M585" t="n">
        <v>0</v>
      </c>
      <c r="N585" t="n">
        <v>0</v>
      </c>
      <c r="O585" t="n">
        <v>0</v>
      </c>
      <c r="P585" t="n">
        <v>0</v>
      </c>
      <c r="Q585" t="n">
        <v>0</v>
      </c>
      <c r="R585" s="2" t="inlineStr"/>
    </row>
    <row r="586" ht="15" customHeight="1">
      <c r="A586" t="inlineStr">
        <is>
          <t>A 52244-2025</t>
        </is>
      </c>
      <c r="B586" s="1" t="n">
        <v>45953</v>
      </c>
      <c r="C586" s="1" t="n">
        <v>46173</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4758-2025</t>
        </is>
      </c>
      <c r="B587" s="1" t="n">
        <v>45688</v>
      </c>
      <c r="C587" s="1" t="n">
        <v>46173</v>
      </c>
      <c r="D587" t="inlineStr">
        <is>
          <t>SÖDERMANLANDS LÄN</t>
        </is>
      </c>
      <c r="E587" t="inlineStr">
        <is>
          <t>KATRINEHOLM</t>
        </is>
      </c>
      <c r="G587" t="n">
        <v>2.3</v>
      </c>
      <c r="H587" t="n">
        <v>0</v>
      </c>
      <c r="I587" t="n">
        <v>0</v>
      </c>
      <c r="J587" t="n">
        <v>0</v>
      </c>
      <c r="K587" t="n">
        <v>0</v>
      </c>
      <c r="L587" t="n">
        <v>0</v>
      </c>
      <c r="M587" t="n">
        <v>0</v>
      </c>
      <c r="N587" t="n">
        <v>0</v>
      </c>
      <c r="O587" t="n">
        <v>0</v>
      </c>
      <c r="P587" t="n">
        <v>0</v>
      </c>
      <c r="Q587" t="n">
        <v>0</v>
      </c>
      <c r="R587" s="2" t="inlineStr"/>
    </row>
    <row r="588" ht="15" customHeight="1">
      <c r="A588" t="inlineStr">
        <is>
          <t>A 49122-2024</t>
        </is>
      </c>
      <c r="B588" s="1" t="n">
        <v>45594</v>
      </c>
      <c r="C588" s="1" t="n">
        <v>46173</v>
      </c>
      <c r="D588" t="inlineStr">
        <is>
          <t>SÖDERMANLANDS LÄN</t>
        </is>
      </c>
      <c r="E588" t="inlineStr">
        <is>
          <t>KATRINEHOLM</t>
        </is>
      </c>
      <c r="G588" t="n">
        <v>19.4</v>
      </c>
      <c r="H588" t="n">
        <v>0</v>
      </c>
      <c r="I588" t="n">
        <v>0</v>
      </c>
      <c r="J588" t="n">
        <v>0</v>
      </c>
      <c r="K588" t="n">
        <v>0</v>
      </c>
      <c r="L588" t="n">
        <v>0</v>
      </c>
      <c r="M588" t="n">
        <v>0</v>
      </c>
      <c r="N588" t="n">
        <v>0</v>
      </c>
      <c r="O588" t="n">
        <v>0</v>
      </c>
      <c r="P588" t="n">
        <v>0</v>
      </c>
      <c r="Q588" t="n">
        <v>0</v>
      </c>
      <c r="R588" s="2" t="inlineStr"/>
    </row>
    <row r="589" ht="15" customHeight="1">
      <c r="A589" t="inlineStr">
        <is>
          <t>A 8791-2023</t>
        </is>
      </c>
      <c r="B589" s="1" t="n">
        <v>44978</v>
      </c>
      <c r="C589" s="1" t="n">
        <v>46173</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55825-2022</t>
        </is>
      </c>
      <c r="B590" s="1" t="n">
        <v>44886</v>
      </c>
      <c r="C590" s="1" t="n">
        <v>46173</v>
      </c>
      <c r="D590" t="inlineStr">
        <is>
          <t>SÖDERMANLANDS LÄN</t>
        </is>
      </c>
      <c r="E590" t="inlineStr">
        <is>
          <t>KATRINEHOLM</t>
        </is>
      </c>
      <c r="G590" t="n">
        <v>1.3</v>
      </c>
      <c r="H590" t="n">
        <v>0</v>
      </c>
      <c r="I590" t="n">
        <v>0</v>
      </c>
      <c r="J590" t="n">
        <v>0</v>
      </c>
      <c r="K590" t="n">
        <v>0</v>
      </c>
      <c r="L590" t="n">
        <v>0</v>
      </c>
      <c r="M590" t="n">
        <v>0</v>
      </c>
      <c r="N590" t="n">
        <v>0</v>
      </c>
      <c r="O590" t="n">
        <v>0</v>
      </c>
      <c r="P590" t="n">
        <v>0</v>
      </c>
      <c r="Q590" t="n">
        <v>0</v>
      </c>
      <c r="R590" s="2" t="inlineStr"/>
    </row>
    <row r="591" ht="15" customHeight="1">
      <c r="A591" t="inlineStr">
        <is>
          <t>A 28317-2024</t>
        </is>
      </c>
      <c r="B591" s="1" t="n">
        <v>45477</v>
      </c>
      <c r="C591" s="1" t="n">
        <v>46173</v>
      </c>
      <c r="D591" t="inlineStr">
        <is>
          <t>SÖDERMANLANDS LÄN</t>
        </is>
      </c>
      <c r="E591" t="inlineStr">
        <is>
          <t>KATRINEHOLM</t>
        </is>
      </c>
      <c r="G591" t="n">
        <v>1.5</v>
      </c>
      <c r="H591" t="n">
        <v>0</v>
      </c>
      <c r="I591" t="n">
        <v>0</v>
      </c>
      <c r="J591" t="n">
        <v>0</v>
      </c>
      <c r="K591" t="n">
        <v>0</v>
      </c>
      <c r="L591" t="n">
        <v>0</v>
      </c>
      <c r="M591" t="n">
        <v>0</v>
      </c>
      <c r="N591" t="n">
        <v>0</v>
      </c>
      <c r="O591" t="n">
        <v>0</v>
      </c>
      <c r="P591" t="n">
        <v>0</v>
      </c>
      <c r="Q591" t="n">
        <v>0</v>
      </c>
      <c r="R591" s="2" t="inlineStr"/>
    </row>
    <row r="592" ht="15" customHeight="1">
      <c r="A592" t="inlineStr">
        <is>
          <t>A 62954-2023</t>
        </is>
      </c>
      <c r="B592" s="1" t="n">
        <v>45272.55362268518</v>
      </c>
      <c r="C592" s="1" t="n">
        <v>46173</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7191-2023</t>
        </is>
      </c>
      <c r="B593" s="1" t="n">
        <v>44965</v>
      </c>
      <c r="C593" s="1" t="n">
        <v>46173</v>
      </c>
      <c r="D593" t="inlineStr">
        <is>
          <t>SÖDERMANLANDS LÄN</t>
        </is>
      </c>
      <c r="E593" t="inlineStr">
        <is>
          <t>KATRINEHOLM</t>
        </is>
      </c>
      <c r="G593" t="n">
        <v>14.1</v>
      </c>
      <c r="H593" t="n">
        <v>0</v>
      </c>
      <c r="I593" t="n">
        <v>0</v>
      </c>
      <c r="J593" t="n">
        <v>0</v>
      </c>
      <c r="K593" t="n">
        <v>0</v>
      </c>
      <c r="L593" t="n">
        <v>0</v>
      </c>
      <c r="M593" t="n">
        <v>0</v>
      </c>
      <c r="N593" t="n">
        <v>0</v>
      </c>
      <c r="O593" t="n">
        <v>0</v>
      </c>
      <c r="P593" t="n">
        <v>0</v>
      </c>
      <c r="Q593" t="n">
        <v>0</v>
      </c>
      <c r="R593" s="2" t="inlineStr"/>
    </row>
    <row r="594" ht="15" customHeight="1">
      <c r="A594" t="inlineStr">
        <is>
          <t>A 52744-2025</t>
        </is>
      </c>
      <c r="B594" s="1" t="n">
        <v>45957.38387731482</v>
      </c>
      <c r="C594" s="1" t="n">
        <v>46173</v>
      </c>
      <c r="D594" t="inlineStr">
        <is>
          <t>SÖDERMANLANDS LÄN</t>
        </is>
      </c>
      <c r="E594" t="inlineStr">
        <is>
          <t>KATRINEHOLM</t>
        </is>
      </c>
      <c r="G594" t="n">
        <v>4</v>
      </c>
      <c r="H594" t="n">
        <v>0</v>
      </c>
      <c r="I594" t="n">
        <v>0</v>
      </c>
      <c r="J594" t="n">
        <v>0</v>
      </c>
      <c r="K594" t="n">
        <v>0</v>
      </c>
      <c r="L594" t="n">
        <v>0</v>
      </c>
      <c r="M594" t="n">
        <v>0</v>
      </c>
      <c r="N594" t="n">
        <v>0</v>
      </c>
      <c r="O594" t="n">
        <v>0</v>
      </c>
      <c r="P594" t="n">
        <v>0</v>
      </c>
      <c r="Q594" t="n">
        <v>0</v>
      </c>
      <c r="R594" s="2" t="inlineStr"/>
    </row>
    <row r="595" ht="15" customHeight="1">
      <c r="A595" t="inlineStr">
        <is>
          <t>A 37834-2023</t>
        </is>
      </c>
      <c r="B595" s="1" t="n">
        <v>45160</v>
      </c>
      <c r="C595" s="1" t="n">
        <v>46173</v>
      </c>
      <c r="D595" t="inlineStr">
        <is>
          <t>SÖDERMANLANDS LÄN</t>
        </is>
      </c>
      <c r="E595" t="inlineStr">
        <is>
          <t>KATRINEHOLM</t>
        </is>
      </c>
      <c r="F595" t="inlineStr">
        <is>
          <t>Kyrkan</t>
        </is>
      </c>
      <c r="G595" t="n">
        <v>2.8</v>
      </c>
      <c r="H595" t="n">
        <v>0</v>
      </c>
      <c r="I595" t="n">
        <v>0</v>
      </c>
      <c r="J595" t="n">
        <v>0</v>
      </c>
      <c r="K595" t="n">
        <v>0</v>
      </c>
      <c r="L595" t="n">
        <v>0</v>
      </c>
      <c r="M595" t="n">
        <v>0</v>
      </c>
      <c r="N595" t="n">
        <v>0</v>
      </c>
      <c r="O595" t="n">
        <v>0</v>
      </c>
      <c r="P595" t="n">
        <v>0</v>
      </c>
      <c r="Q595" t="n">
        <v>0</v>
      </c>
      <c r="R595" s="2" t="inlineStr"/>
    </row>
    <row r="596" ht="15" customHeight="1">
      <c r="A596" t="inlineStr">
        <is>
          <t>A 36210-2022</t>
        </is>
      </c>
      <c r="B596" s="1" t="n">
        <v>44803.47950231482</v>
      </c>
      <c r="C596" s="1" t="n">
        <v>46173</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19685-2022</t>
        </is>
      </c>
      <c r="B597" s="1" t="n">
        <v>44694</v>
      </c>
      <c r="C597" s="1" t="n">
        <v>46173</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52348-2021</t>
        </is>
      </c>
      <c r="B598" s="1" t="n">
        <v>44464.49756944444</v>
      </c>
      <c r="C598" s="1" t="n">
        <v>46173</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5795-2022</t>
        </is>
      </c>
      <c r="B599" s="1" t="n">
        <v>44596</v>
      </c>
      <c r="C599" s="1" t="n">
        <v>46173</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55590-2023</t>
        </is>
      </c>
      <c r="B600" s="1" t="n">
        <v>45238</v>
      </c>
      <c r="C600" s="1" t="n">
        <v>46173</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8951-2024</t>
        </is>
      </c>
      <c r="B601" s="1" t="n">
        <v>45357.44695601852</v>
      </c>
      <c r="C601" s="1" t="n">
        <v>46173</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46257-2021</t>
        </is>
      </c>
      <c r="B602" s="1" t="n">
        <v>44442</v>
      </c>
      <c r="C602" s="1" t="n">
        <v>46173</v>
      </c>
      <c r="D602" t="inlineStr">
        <is>
          <t>SÖDERMANLANDS LÄN</t>
        </is>
      </c>
      <c r="E602" t="inlineStr">
        <is>
          <t>KATRINEHOLM</t>
        </is>
      </c>
      <c r="G602" t="n">
        <v>2.3</v>
      </c>
      <c r="H602" t="n">
        <v>0</v>
      </c>
      <c r="I602" t="n">
        <v>0</v>
      </c>
      <c r="J602" t="n">
        <v>0</v>
      </c>
      <c r="K602" t="n">
        <v>0</v>
      </c>
      <c r="L602" t="n">
        <v>0</v>
      </c>
      <c r="M602" t="n">
        <v>0</v>
      </c>
      <c r="N602" t="n">
        <v>0</v>
      </c>
      <c r="O602" t="n">
        <v>0</v>
      </c>
      <c r="P602" t="n">
        <v>0</v>
      </c>
      <c r="Q602" t="n">
        <v>0</v>
      </c>
      <c r="R602" s="2" t="inlineStr"/>
    </row>
    <row r="603" ht="15" customHeight="1">
      <c r="A603" t="inlineStr">
        <is>
          <t>A 5320-2025</t>
        </is>
      </c>
      <c r="B603" s="1" t="n">
        <v>45692</v>
      </c>
      <c r="C603" s="1" t="n">
        <v>46173</v>
      </c>
      <c r="D603" t="inlineStr">
        <is>
          <t>SÖDERMANLANDS LÄN</t>
        </is>
      </c>
      <c r="E603" t="inlineStr">
        <is>
          <t>KATRINEHOLM</t>
        </is>
      </c>
      <c r="F603" t="inlineStr">
        <is>
          <t>Kommuner</t>
        </is>
      </c>
      <c r="G603" t="n">
        <v>0.9</v>
      </c>
      <c r="H603" t="n">
        <v>0</v>
      </c>
      <c r="I603" t="n">
        <v>0</v>
      </c>
      <c r="J603" t="n">
        <v>0</v>
      </c>
      <c r="K603" t="n">
        <v>0</v>
      </c>
      <c r="L603" t="n">
        <v>0</v>
      </c>
      <c r="M603" t="n">
        <v>0</v>
      </c>
      <c r="N603" t="n">
        <v>0</v>
      </c>
      <c r="O603" t="n">
        <v>0</v>
      </c>
      <c r="P603" t="n">
        <v>0</v>
      </c>
      <c r="Q603" t="n">
        <v>0</v>
      </c>
      <c r="R603" s="2" t="inlineStr"/>
    </row>
    <row r="604" ht="15" customHeight="1">
      <c r="A604" t="inlineStr">
        <is>
          <t>A 49914-2023</t>
        </is>
      </c>
      <c r="B604" s="1" t="n">
        <v>45214</v>
      </c>
      <c r="C604" s="1" t="n">
        <v>46173</v>
      </c>
      <c r="D604" t="inlineStr">
        <is>
          <t>SÖDERMANLANDS LÄN</t>
        </is>
      </c>
      <c r="E604" t="inlineStr">
        <is>
          <t>KATRINEHOLM</t>
        </is>
      </c>
      <c r="G604" t="n">
        <v>1.4</v>
      </c>
      <c r="H604" t="n">
        <v>0</v>
      </c>
      <c r="I604" t="n">
        <v>0</v>
      </c>
      <c r="J604" t="n">
        <v>0</v>
      </c>
      <c r="K604" t="n">
        <v>0</v>
      </c>
      <c r="L604" t="n">
        <v>0</v>
      </c>
      <c r="M604" t="n">
        <v>0</v>
      </c>
      <c r="N604" t="n">
        <v>0</v>
      </c>
      <c r="O604" t="n">
        <v>0</v>
      </c>
      <c r="P604" t="n">
        <v>0</v>
      </c>
      <c r="Q604" t="n">
        <v>0</v>
      </c>
      <c r="R604" s="2" t="inlineStr"/>
    </row>
    <row r="605" ht="15" customHeight="1">
      <c r="A605" t="inlineStr">
        <is>
          <t>A 14224-2024</t>
        </is>
      </c>
      <c r="B605" s="1" t="n">
        <v>45393</v>
      </c>
      <c r="C605" s="1" t="n">
        <v>46173</v>
      </c>
      <c r="D605" t="inlineStr">
        <is>
          <t>SÖDERMANLANDS LÄN</t>
        </is>
      </c>
      <c r="E605" t="inlineStr">
        <is>
          <t>KATRINEHOLM</t>
        </is>
      </c>
      <c r="F605" t="inlineStr">
        <is>
          <t>Sveaskog</t>
        </is>
      </c>
      <c r="G605" t="n">
        <v>7.6</v>
      </c>
      <c r="H605" t="n">
        <v>0</v>
      </c>
      <c r="I605" t="n">
        <v>0</v>
      </c>
      <c r="J605" t="n">
        <v>0</v>
      </c>
      <c r="K605" t="n">
        <v>0</v>
      </c>
      <c r="L605" t="n">
        <v>0</v>
      </c>
      <c r="M605" t="n">
        <v>0</v>
      </c>
      <c r="N605" t="n">
        <v>0</v>
      </c>
      <c r="O605" t="n">
        <v>0</v>
      </c>
      <c r="P605" t="n">
        <v>0</v>
      </c>
      <c r="Q605" t="n">
        <v>0</v>
      </c>
      <c r="R605" s="2" t="inlineStr"/>
    </row>
    <row r="606" ht="15" customHeight="1">
      <c r="A606" t="inlineStr">
        <is>
          <t>A 44989-2022</t>
        </is>
      </c>
      <c r="B606" s="1" t="n">
        <v>44840</v>
      </c>
      <c r="C606" s="1" t="n">
        <v>46173</v>
      </c>
      <c r="D606" t="inlineStr">
        <is>
          <t>SÖDERMANLANDS LÄN</t>
        </is>
      </c>
      <c r="E606" t="inlineStr">
        <is>
          <t>KATRINEHOLM</t>
        </is>
      </c>
      <c r="G606" t="n">
        <v>6</v>
      </c>
      <c r="H606" t="n">
        <v>0</v>
      </c>
      <c r="I606" t="n">
        <v>0</v>
      </c>
      <c r="J606" t="n">
        <v>0</v>
      </c>
      <c r="K606" t="n">
        <v>0</v>
      </c>
      <c r="L606" t="n">
        <v>0</v>
      </c>
      <c r="M606" t="n">
        <v>0</v>
      </c>
      <c r="N606" t="n">
        <v>0</v>
      </c>
      <c r="O606" t="n">
        <v>0</v>
      </c>
      <c r="P606" t="n">
        <v>0</v>
      </c>
      <c r="Q606" t="n">
        <v>0</v>
      </c>
      <c r="R606" s="2" t="inlineStr"/>
    </row>
    <row r="607" ht="15" customHeight="1">
      <c r="A607" t="inlineStr">
        <is>
          <t>A 57263-2022</t>
        </is>
      </c>
      <c r="B607" s="1" t="n">
        <v>44895</v>
      </c>
      <c r="C607" s="1" t="n">
        <v>46173</v>
      </c>
      <c r="D607" t="inlineStr">
        <is>
          <t>SÖDERMANLANDS LÄN</t>
        </is>
      </c>
      <c r="E607" t="inlineStr">
        <is>
          <t>KATRINEHOLM</t>
        </is>
      </c>
      <c r="G607" t="n">
        <v>0.6</v>
      </c>
      <c r="H607" t="n">
        <v>0</v>
      </c>
      <c r="I607" t="n">
        <v>0</v>
      </c>
      <c r="J607" t="n">
        <v>0</v>
      </c>
      <c r="K607" t="n">
        <v>0</v>
      </c>
      <c r="L607" t="n">
        <v>0</v>
      </c>
      <c r="M607" t="n">
        <v>0</v>
      </c>
      <c r="N607" t="n">
        <v>0</v>
      </c>
      <c r="O607" t="n">
        <v>0</v>
      </c>
      <c r="P607" t="n">
        <v>0</v>
      </c>
      <c r="Q607" t="n">
        <v>0</v>
      </c>
      <c r="R607" s="2" t="inlineStr"/>
    </row>
    <row r="608" ht="15" customHeight="1">
      <c r="A608" t="inlineStr">
        <is>
          <t>A 44637-2023</t>
        </is>
      </c>
      <c r="B608" s="1" t="n">
        <v>45189</v>
      </c>
      <c r="C608" s="1" t="n">
        <v>46173</v>
      </c>
      <c r="D608" t="inlineStr">
        <is>
          <t>SÖDERMANLANDS LÄN</t>
        </is>
      </c>
      <c r="E608" t="inlineStr">
        <is>
          <t>KATRINEHOLM</t>
        </is>
      </c>
      <c r="G608" t="n">
        <v>5.1</v>
      </c>
      <c r="H608" t="n">
        <v>0</v>
      </c>
      <c r="I608" t="n">
        <v>0</v>
      </c>
      <c r="J608" t="n">
        <v>0</v>
      </c>
      <c r="K608" t="n">
        <v>0</v>
      </c>
      <c r="L608" t="n">
        <v>0</v>
      </c>
      <c r="M608" t="n">
        <v>0</v>
      </c>
      <c r="N608" t="n">
        <v>0</v>
      </c>
      <c r="O608" t="n">
        <v>0</v>
      </c>
      <c r="P608" t="n">
        <v>0</v>
      </c>
      <c r="Q608" t="n">
        <v>0</v>
      </c>
      <c r="R608" s="2" t="inlineStr"/>
    </row>
    <row r="609" ht="15" customHeight="1">
      <c r="A609" t="inlineStr">
        <is>
          <t>A 58522-2024</t>
        </is>
      </c>
      <c r="B609" s="1" t="n">
        <v>45635.43770833333</v>
      </c>
      <c r="C609" s="1" t="n">
        <v>46173</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49218-2023</t>
        </is>
      </c>
      <c r="B610" s="1" t="n">
        <v>45205</v>
      </c>
      <c r="C610" s="1" t="n">
        <v>46173</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20921-2023</t>
        </is>
      </c>
      <c r="B611" s="1" t="n">
        <v>45061</v>
      </c>
      <c r="C611" s="1" t="n">
        <v>46173</v>
      </c>
      <c r="D611" t="inlineStr">
        <is>
          <t>SÖDERMANLANDS LÄN</t>
        </is>
      </c>
      <c r="E611" t="inlineStr">
        <is>
          <t>KATRINEHOLM</t>
        </is>
      </c>
      <c r="G611" t="n">
        <v>8.9</v>
      </c>
      <c r="H611" t="n">
        <v>0</v>
      </c>
      <c r="I611" t="n">
        <v>0</v>
      </c>
      <c r="J611" t="n">
        <v>0</v>
      </c>
      <c r="K611" t="n">
        <v>0</v>
      </c>
      <c r="L611" t="n">
        <v>0</v>
      </c>
      <c r="M611" t="n">
        <v>0</v>
      </c>
      <c r="N611" t="n">
        <v>0</v>
      </c>
      <c r="O611" t="n">
        <v>0</v>
      </c>
      <c r="P611" t="n">
        <v>0</v>
      </c>
      <c r="Q611" t="n">
        <v>0</v>
      </c>
      <c r="R611" s="2" t="inlineStr"/>
    </row>
    <row r="612" ht="15" customHeight="1">
      <c r="A612" t="inlineStr">
        <is>
          <t>A 12929-2023</t>
        </is>
      </c>
      <c r="B612" s="1" t="n">
        <v>45001</v>
      </c>
      <c r="C612" s="1" t="n">
        <v>46173</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12932-2023</t>
        </is>
      </c>
      <c r="B613" s="1" t="n">
        <v>45001</v>
      </c>
      <c r="C613" s="1" t="n">
        <v>46173</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53338-2025</t>
        </is>
      </c>
      <c r="B614" s="1" t="n">
        <v>45959.40447916667</v>
      </c>
      <c r="C614" s="1" t="n">
        <v>46173</v>
      </c>
      <c r="D614" t="inlineStr">
        <is>
          <t>SÖDERMANLANDS LÄN</t>
        </is>
      </c>
      <c r="E614" t="inlineStr">
        <is>
          <t>KATRINEHOLM</t>
        </is>
      </c>
      <c r="G614" t="n">
        <v>2.9</v>
      </c>
      <c r="H614" t="n">
        <v>0</v>
      </c>
      <c r="I614" t="n">
        <v>0</v>
      </c>
      <c r="J614" t="n">
        <v>0</v>
      </c>
      <c r="K614" t="n">
        <v>0</v>
      </c>
      <c r="L614" t="n">
        <v>0</v>
      </c>
      <c r="M614" t="n">
        <v>0</v>
      </c>
      <c r="N614" t="n">
        <v>0</v>
      </c>
      <c r="O614" t="n">
        <v>0</v>
      </c>
      <c r="P614" t="n">
        <v>0</v>
      </c>
      <c r="Q614" t="n">
        <v>0</v>
      </c>
      <c r="R614" s="2" t="inlineStr"/>
    </row>
    <row r="615" ht="15" customHeight="1">
      <c r="A615" t="inlineStr">
        <is>
          <t>A 4679-2023</t>
        </is>
      </c>
      <c r="B615" s="1" t="n">
        <v>44957.44885416667</v>
      </c>
      <c r="C615" s="1" t="n">
        <v>46173</v>
      </c>
      <c r="D615" t="inlineStr">
        <is>
          <t>SÖDERMANLANDS LÄN</t>
        </is>
      </c>
      <c r="E615" t="inlineStr">
        <is>
          <t>KATRINEHOLM</t>
        </is>
      </c>
      <c r="G615" t="n">
        <v>5.3</v>
      </c>
      <c r="H615" t="n">
        <v>0</v>
      </c>
      <c r="I615" t="n">
        <v>0</v>
      </c>
      <c r="J615" t="n">
        <v>0</v>
      </c>
      <c r="K615" t="n">
        <v>0</v>
      </c>
      <c r="L615" t="n">
        <v>0</v>
      </c>
      <c r="M615" t="n">
        <v>0</v>
      </c>
      <c r="N615" t="n">
        <v>0</v>
      </c>
      <c r="O615" t="n">
        <v>0</v>
      </c>
      <c r="P615" t="n">
        <v>0</v>
      </c>
      <c r="Q615" t="n">
        <v>0</v>
      </c>
      <c r="R615" s="2" t="inlineStr"/>
    </row>
    <row r="616" ht="15" customHeight="1">
      <c r="A616" t="inlineStr">
        <is>
          <t>A 6446-2022</t>
        </is>
      </c>
      <c r="B616" s="1" t="n">
        <v>44600</v>
      </c>
      <c r="C616" s="1" t="n">
        <v>46173</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22113-2025</t>
        </is>
      </c>
      <c r="B617" s="1" t="n">
        <v>45785</v>
      </c>
      <c r="C617" s="1" t="n">
        <v>46173</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4724-2023</t>
        </is>
      </c>
      <c r="B618" s="1" t="n">
        <v>44957</v>
      </c>
      <c r="C618" s="1" t="n">
        <v>46173</v>
      </c>
      <c r="D618" t="inlineStr">
        <is>
          <t>SÖDERMANLANDS LÄN</t>
        </is>
      </c>
      <c r="E618" t="inlineStr">
        <is>
          <t>KATRINEHOLM</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61431-2024</t>
        </is>
      </c>
      <c r="B619" s="1" t="n">
        <v>45646.45950231481</v>
      </c>
      <c r="C619" s="1" t="n">
        <v>46173</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24097-2022</t>
        </is>
      </c>
      <c r="B620" s="1" t="n">
        <v>44725.39371527778</v>
      </c>
      <c r="C620" s="1" t="n">
        <v>46173</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33469-2025</t>
        </is>
      </c>
      <c r="B621" s="1" t="n">
        <v>45841.48686342593</v>
      </c>
      <c r="C621" s="1" t="n">
        <v>46173</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53393-2023</t>
        </is>
      </c>
      <c r="B622" s="1" t="n">
        <v>45229</v>
      </c>
      <c r="C622" s="1" t="n">
        <v>46173</v>
      </c>
      <c r="D622" t="inlineStr">
        <is>
          <t>SÖDERMANLANDS LÄN</t>
        </is>
      </c>
      <c r="E622" t="inlineStr">
        <is>
          <t>KATRINEHOLM</t>
        </is>
      </c>
      <c r="F622" t="inlineStr">
        <is>
          <t>Kyrkan</t>
        </is>
      </c>
      <c r="G622" t="n">
        <v>5.6</v>
      </c>
      <c r="H622" t="n">
        <v>0</v>
      </c>
      <c r="I622" t="n">
        <v>0</v>
      </c>
      <c r="J622" t="n">
        <v>0</v>
      </c>
      <c r="K622" t="n">
        <v>0</v>
      </c>
      <c r="L622" t="n">
        <v>0</v>
      </c>
      <c r="M622" t="n">
        <v>0</v>
      </c>
      <c r="N622" t="n">
        <v>0</v>
      </c>
      <c r="O622" t="n">
        <v>0</v>
      </c>
      <c r="P622" t="n">
        <v>0</v>
      </c>
      <c r="Q622" t="n">
        <v>0</v>
      </c>
      <c r="R622" s="2" t="inlineStr"/>
    </row>
    <row r="623" ht="15" customHeight="1">
      <c r="A623" t="inlineStr">
        <is>
          <t>A 54395-2025</t>
        </is>
      </c>
      <c r="B623" s="1" t="n">
        <v>45964</v>
      </c>
      <c r="C623" s="1" t="n">
        <v>46173</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2320-2023</t>
        </is>
      </c>
      <c r="B624" s="1" t="n">
        <v>44942.58850694444</v>
      </c>
      <c r="C624" s="1" t="n">
        <v>46173</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2325-2023</t>
        </is>
      </c>
      <c r="B625" s="1" t="n">
        <v>44942</v>
      </c>
      <c r="C625" s="1" t="n">
        <v>46173</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40744-2022</t>
        </is>
      </c>
      <c r="B626" s="1" t="n">
        <v>44824.55655092592</v>
      </c>
      <c r="C626" s="1" t="n">
        <v>46173</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41548-2025</t>
        </is>
      </c>
      <c r="B627" s="1" t="n">
        <v>45901</v>
      </c>
      <c r="C627" s="1" t="n">
        <v>46173</v>
      </c>
      <c r="D627" t="inlineStr">
        <is>
          <t>SÖDERMANLANDS LÄN</t>
        </is>
      </c>
      <c r="E627" t="inlineStr">
        <is>
          <t>KATRINEHOLM</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33101-2025</t>
        </is>
      </c>
      <c r="B628" s="1" t="n">
        <v>45840.47953703703</v>
      </c>
      <c r="C628" s="1" t="n">
        <v>46173</v>
      </c>
      <c r="D628" t="inlineStr">
        <is>
          <t>SÖDERMANLANDS LÄN</t>
        </is>
      </c>
      <c r="E628" t="inlineStr">
        <is>
          <t>KATRINEHOLM</t>
        </is>
      </c>
      <c r="G628" t="n">
        <v>4.4</v>
      </c>
      <c r="H628" t="n">
        <v>0</v>
      </c>
      <c r="I628" t="n">
        <v>0</v>
      </c>
      <c r="J628" t="n">
        <v>0</v>
      </c>
      <c r="K628" t="n">
        <v>0</v>
      </c>
      <c r="L628" t="n">
        <v>0</v>
      </c>
      <c r="M628" t="n">
        <v>0</v>
      </c>
      <c r="N628" t="n">
        <v>0</v>
      </c>
      <c r="O628" t="n">
        <v>0</v>
      </c>
      <c r="P628" t="n">
        <v>0</v>
      </c>
      <c r="Q628" t="n">
        <v>0</v>
      </c>
      <c r="R628" s="2" t="inlineStr"/>
    </row>
    <row r="629" ht="15" customHeight="1">
      <c r="A629" t="inlineStr">
        <is>
          <t>A 54359-2025</t>
        </is>
      </c>
      <c r="B629" s="1" t="n">
        <v>45964</v>
      </c>
      <c r="C629" s="1" t="n">
        <v>46173</v>
      </c>
      <c r="D629" t="inlineStr">
        <is>
          <t>SÖDERMANLANDS LÄN</t>
        </is>
      </c>
      <c r="E629" t="inlineStr">
        <is>
          <t>KATRINEHOLM</t>
        </is>
      </c>
      <c r="G629" t="n">
        <v>2.5</v>
      </c>
      <c r="H629" t="n">
        <v>0</v>
      </c>
      <c r="I629" t="n">
        <v>0</v>
      </c>
      <c r="J629" t="n">
        <v>0</v>
      </c>
      <c r="K629" t="n">
        <v>0</v>
      </c>
      <c r="L629" t="n">
        <v>0</v>
      </c>
      <c r="M629" t="n">
        <v>0</v>
      </c>
      <c r="N629" t="n">
        <v>0</v>
      </c>
      <c r="O629" t="n">
        <v>0</v>
      </c>
      <c r="P629" t="n">
        <v>0</v>
      </c>
      <c r="Q629" t="n">
        <v>0</v>
      </c>
      <c r="R629" s="2" t="inlineStr"/>
    </row>
    <row r="630" ht="15" customHeight="1">
      <c r="A630" t="inlineStr">
        <is>
          <t>A 20803-2024</t>
        </is>
      </c>
      <c r="B630" s="1" t="n">
        <v>45438</v>
      </c>
      <c r="C630" s="1" t="n">
        <v>46173</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15392-2023</t>
        </is>
      </c>
      <c r="B631" s="1" t="n">
        <v>45016</v>
      </c>
      <c r="C631" s="1" t="n">
        <v>46173</v>
      </c>
      <c r="D631" t="inlineStr">
        <is>
          <t>SÖDERMANLANDS LÄN</t>
        </is>
      </c>
      <c r="E631" t="inlineStr">
        <is>
          <t>KATRINEHOLM</t>
        </is>
      </c>
      <c r="F631" t="inlineStr">
        <is>
          <t>Övriga Aktiebolag</t>
        </is>
      </c>
      <c r="G631" t="n">
        <v>2.7</v>
      </c>
      <c r="H631" t="n">
        <v>0</v>
      </c>
      <c r="I631" t="n">
        <v>0</v>
      </c>
      <c r="J631" t="n">
        <v>0</v>
      </c>
      <c r="K631" t="n">
        <v>0</v>
      </c>
      <c r="L631" t="n">
        <v>0</v>
      </c>
      <c r="M631" t="n">
        <v>0</v>
      </c>
      <c r="N631" t="n">
        <v>0</v>
      </c>
      <c r="O631" t="n">
        <v>0</v>
      </c>
      <c r="P631" t="n">
        <v>0</v>
      </c>
      <c r="Q631" t="n">
        <v>0</v>
      </c>
      <c r="R631" s="2" t="inlineStr"/>
    </row>
    <row r="632" ht="15" customHeight="1">
      <c r="A632" t="inlineStr">
        <is>
          <t>A 4645-2024</t>
        </is>
      </c>
      <c r="B632" s="1" t="n">
        <v>45328</v>
      </c>
      <c r="C632" s="1" t="n">
        <v>46173</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33096-2025</t>
        </is>
      </c>
      <c r="B633" s="1" t="n">
        <v>45840.47563657408</v>
      </c>
      <c r="C633" s="1" t="n">
        <v>46173</v>
      </c>
      <c r="D633" t="inlineStr">
        <is>
          <t>SÖDERMANLANDS LÄN</t>
        </is>
      </c>
      <c r="E633" t="inlineStr">
        <is>
          <t>KATRINEHOLM</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28508-2023</t>
        </is>
      </c>
      <c r="B634" s="1" t="n">
        <v>45103.46788194445</v>
      </c>
      <c r="C634" s="1" t="n">
        <v>46173</v>
      </c>
      <c r="D634" t="inlineStr">
        <is>
          <t>SÖDERMANLANDS LÄN</t>
        </is>
      </c>
      <c r="E634" t="inlineStr">
        <is>
          <t>KATRINEHOLM</t>
        </is>
      </c>
      <c r="F634" t="inlineStr">
        <is>
          <t>Kyrkan</t>
        </is>
      </c>
      <c r="G634" t="n">
        <v>20.5</v>
      </c>
      <c r="H634" t="n">
        <v>0</v>
      </c>
      <c r="I634" t="n">
        <v>0</v>
      </c>
      <c r="J634" t="n">
        <v>0</v>
      </c>
      <c r="K634" t="n">
        <v>0</v>
      </c>
      <c r="L634" t="n">
        <v>0</v>
      </c>
      <c r="M634" t="n">
        <v>0</v>
      </c>
      <c r="N634" t="n">
        <v>0</v>
      </c>
      <c r="O634" t="n">
        <v>0</v>
      </c>
      <c r="P634" t="n">
        <v>0</v>
      </c>
      <c r="Q634" t="n">
        <v>0</v>
      </c>
      <c r="R634" s="2" t="inlineStr"/>
    </row>
    <row r="635" ht="15" customHeight="1">
      <c r="A635" t="inlineStr">
        <is>
          <t>A 55732-2023</t>
        </is>
      </c>
      <c r="B635" s="1" t="n">
        <v>45239</v>
      </c>
      <c r="C635" s="1" t="n">
        <v>46173</v>
      </c>
      <c r="D635" t="inlineStr">
        <is>
          <t>SÖDERMANLANDS LÄN</t>
        </is>
      </c>
      <c r="E635" t="inlineStr">
        <is>
          <t>KATRINEHOLM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33077-2025</t>
        </is>
      </c>
      <c r="B636" s="1" t="n">
        <v>45840.45864583334</v>
      </c>
      <c r="C636" s="1" t="n">
        <v>46173</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33129-2025</t>
        </is>
      </c>
      <c r="B637" s="1" t="n">
        <v>45840.50141203704</v>
      </c>
      <c r="C637" s="1" t="n">
        <v>46173</v>
      </c>
      <c r="D637" t="inlineStr">
        <is>
          <t>SÖDERMANLANDS LÄN</t>
        </is>
      </c>
      <c r="E637" t="inlineStr">
        <is>
          <t>KATRINEHOLM</t>
        </is>
      </c>
      <c r="G637" t="n">
        <v>2.6</v>
      </c>
      <c r="H637" t="n">
        <v>0</v>
      </c>
      <c r="I637" t="n">
        <v>0</v>
      </c>
      <c r="J637" t="n">
        <v>0</v>
      </c>
      <c r="K637" t="n">
        <v>0</v>
      </c>
      <c r="L637" t="n">
        <v>0</v>
      </c>
      <c r="M637" t="n">
        <v>0</v>
      </c>
      <c r="N637" t="n">
        <v>0</v>
      </c>
      <c r="O637" t="n">
        <v>0</v>
      </c>
      <c r="P637" t="n">
        <v>0</v>
      </c>
      <c r="Q637" t="n">
        <v>0</v>
      </c>
      <c r="R637" s="2" t="inlineStr"/>
    </row>
    <row r="638" ht="15" customHeight="1">
      <c r="A638" t="inlineStr">
        <is>
          <t>A 47889-2023</t>
        </is>
      </c>
      <c r="B638" s="1" t="n">
        <v>45204</v>
      </c>
      <c r="C638" s="1" t="n">
        <v>46173</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54999-2025</t>
        </is>
      </c>
      <c r="B639" s="1" t="n">
        <v>45967.59880787037</v>
      </c>
      <c r="C639" s="1" t="n">
        <v>46173</v>
      </c>
      <c r="D639" t="inlineStr">
        <is>
          <t>SÖDERMANLANDS LÄN</t>
        </is>
      </c>
      <c r="E639" t="inlineStr">
        <is>
          <t>KATRINEHOLM</t>
        </is>
      </c>
      <c r="G639" t="n">
        <v>8.5</v>
      </c>
      <c r="H639" t="n">
        <v>0</v>
      </c>
      <c r="I639" t="n">
        <v>0</v>
      </c>
      <c r="J639" t="n">
        <v>0</v>
      </c>
      <c r="K639" t="n">
        <v>0</v>
      </c>
      <c r="L639" t="n">
        <v>0</v>
      </c>
      <c r="M639" t="n">
        <v>0</v>
      </c>
      <c r="N639" t="n">
        <v>0</v>
      </c>
      <c r="O639" t="n">
        <v>0</v>
      </c>
      <c r="P639" t="n">
        <v>0</v>
      </c>
      <c r="Q639" t="n">
        <v>0</v>
      </c>
      <c r="R639" s="2" t="inlineStr"/>
    </row>
    <row r="640" ht="15" customHeight="1">
      <c r="A640" t="inlineStr">
        <is>
          <t>A 12975-2022</t>
        </is>
      </c>
      <c r="B640" s="1" t="n">
        <v>44643</v>
      </c>
      <c r="C640" s="1" t="n">
        <v>46173</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9668-2023</t>
        </is>
      </c>
      <c r="B641" s="1" t="n">
        <v>44984.41238425926</v>
      </c>
      <c r="C641" s="1" t="n">
        <v>46173</v>
      </c>
      <c r="D641" t="inlineStr">
        <is>
          <t>SÖDERMANLANDS LÄN</t>
        </is>
      </c>
      <c r="E641" t="inlineStr">
        <is>
          <t>KATRINEHOLM</t>
        </is>
      </c>
      <c r="G641" t="n">
        <v>4.8</v>
      </c>
      <c r="H641" t="n">
        <v>0</v>
      </c>
      <c r="I641" t="n">
        <v>0</v>
      </c>
      <c r="J641" t="n">
        <v>0</v>
      </c>
      <c r="K641" t="n">
        <v>0</v>
      </c>
      <c r="L641" t="n">
        <v>0</v>
      </c>
      <c r="M641" t="n">
        <v>0</v>
      </c>
      <c r="N641" t="n">
        <v>0</v>
      </c>
      <c r="O641" t="n">
        <v>0</v>
      </c>
      <c r="P641" t="n">
        <v>0</v>
      </c>
      <c r="Q641" t="n">
        <v>0</v>
      </c>
      <c r="R641" s="2" t="inlineStr"/>
    </row>
    <row r="642" ht="15" customHeight="1">
      <c r="A642" t="inlineStr">
        <is>
          <t>A 17792-2025</t>
        </is>
      </c>
      <c r="B642" s="1" t="n">
        <v>45758</v>
      </c>
      <c r="C642" s="1" t="n">
        <v>46173</v>
      </c>
      <c r="D642" t="inlineStr">
        <is>
          <t>SÖDERMANLANDS LÄN</t>
        </is>
      </c>
      <c r="E642" t="inlineStr">
        <is>
          <t>KATRINEHOLM</t>
        </is>
      </c>
      <c r="G642" t="n">
        <v>4.2</v>
      </c>
      <c r="H642" t="n">
        <v>0</v>
      </c>
      <c r="I642" t="n">
        <v>0</v>
      </c>
      <c r="J642" t="n">
        <v>0</v>
      </c>
      <c r="K642" t="n">
        <v>0</v>
      </c>
      <c r="L642" t="n">
        <v>0</v>
      </c>
      <c r="M642" t="n">
        <v>0</v>
      </c>
      <c r="N642" t="n">
        <v>0</v>
      </c>
      <c r="O642" t="n">
        <v>0</v>
      </c>
      <c r="P642" t="n">
        <v>0</v>
      </c>
      <c r="Q642" t="n">
        <v>0</v>
      </c>
      <c r="R642" s="2" t="inlineStr"/>
    </row>
    <row r="643" ht="15" customHeight="1">
      <c r="A643" t="inlineStr">
        <is>
          <t>A 22119-2025</t>
        </is>
      </c>
      <c r="B643" s="1" t="n">
        <v>45785</v>
      </c>
      <c r="C643" s="1" t="n">
        <v>46173</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29977-2023</t>
        </is>
      </c>
      <c r="B644" s="1" t="n">
        <v>45108</v>
      </c>
      <c r="C644" s="1" t="n">
        <v>46173</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58473-2021</t>
        </is>
      </c>
      <c r="B645" s="1" t="n">
        <v>44488</v>
      </c>
      <c r="C645" s="1" t="n">
        <v>46173</v>
      </c>
      <c r="D645" t="inlineStr">
        <is>
          <t>SÖDERMANLANDS LÄN</t>
        </is>
      </c>
      <c r="E645" t="inlineStr">
        <is>
          <t>KATRINEHOLM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55029-2025</t>
        </is>
      </c>
      <c r="B646" s="1" t="n">
        <v>45967.63784722222</v>
      </c>
      <c r="C646" s="1" t="n">
        <v>46173</v>
      </c>
      <c r="D646" t="inlineStr">
        <is>
          <t>SÖDERMANLANDS LÄN</t>
        </is>
      </c>
      <c r="E646" t="inlineStr">
        <is>
          <t>KATRINEHOLM</t>
        </is>
      </c>
      <c r="G646" t="n">
        <v>10.1</v>
      </c>
      <c r="H646" t="n">
        <v>0</v>
      </c>
      <c r="I646" t="n">
        <v>0</v>
      </c>
      <c r="J646" t="n">
        <v>0</v>
      </c>
      <c r="K646" t="n">
        <v>0</v>
      </c>
      <c r="L646" t="n">
        <v>0</v>
      </c>
      <c r="M646" t="n">
        <v>0</v>
      </c>
      <c r="N646" t="n">
        <v>0</v>
      </c>
      <c r="O646" t="n">
        <v>0</v>
      </c>
      <c r="P646" t="n">
        <v>0</v>
      </c>
      <c r="Q646" t="n">
        <v>0</v>
      </c>
      <c r="R646" s="2" t="inlineStr"/>
    </row>
    <row r="647" ht="15" customHeight="1">
      <c r="A647" t="inlineStr">
        <is>
          <t>A 4669-2023</t>
        </is>
      </c>
      <c r="B647" s="1" t="n">
        <v>44957</v>
      </c>
      <c r="C647" s="1" t="n">
        <v>46173</v>
      </c>
      <c r="D647" t="inlineStr">
        <is>
          <t>SÖDERMANLANDS LÄN</t>
        </is>
      </c>
      <c r="E647" t="inlineStr">
        <is>
          <t>KATRINEHOLM</t>
        </is>
      </c>
      <c r="F647" t="inlineStr">
        <is>
          <t>Holmen skog AB</t>
        </is>
      </c>
      <c r="G647" t="n">
        <v>2.2</v>
      </c>
      <c r="H647" t="n">
        <v>0</v>
      </c>
      <c r="I647" t="n">
        <v>0</v>
      </c>
      <c r="J647" t="n">
        <v>0</v>
      </c>
      <c r="K647" t="n">
        <v>0</v>
      </c>
      <c r="L647" t="n">
        <v>0</v>
      </c>
      <c r="M647" t="n">
        <v>0</v>
      </c>
      <c r="N647" t="n">
        <v>0</v>
      </c>
      <c r="O647" t="n">
        <v>0</v>
      </c>
      <c r="P647" t="n">
        <v>0</v>
      </c>
      <c r="Q647" t="n">
        <v>0</v>
      </c>
      <c r="R647" s="2" t="inlineStr"/>
    </row>
    <row r="648" ht="15" customHeight="1">
      <c r="A648" t="inlineStr">
        <is>
          <t>A 53860-2021</t>
        </is>
      </c>
      <c r="B648" s="1" t="n">
        <v>44467</v>
      </c>
      <c r="C648" s="1" t="n">
        <v>46173</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948-2023</t>
        </is>
      </c>
      <c r="B649" s="1" t="n">
        <v>44934</v>
      </c>
      <c r="C649" s="1" t="n">
        <v>46173</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6087-2022</t>
        </is>
      </c>
      <c r="B650" s="1" t="n">
        <v>44599.61034722222</v>
      </c>
      <c r="C650" s="1" t="n">
        <v>46173</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47134-2022</t>
        </is>
      </c>
      <c r="B651" s="1" t="n">
        <v>44851</v>
      </c>
      <c r="C651" s="1" t="n">
        <v>46173</v>
      </c>
      <c r="D651" t="inlineStr">
        <is>
          <t>SÖDERMANLANDS LÄN</t>
        </is>
      </c>
      <c r="E651" t="inlineStr">
        <is>
          <t>KATRINEHOLM</t>
        </is>
      </c>
      <c r="F651" t="inlineStr">
        <is>
          <t>Övriga statliga verk och myndigheter</t>
        </is>
      </c>
      <c r="G651" t="n">
        <v>1.5</v>
      </c>
      <c r="H651" t="n">
        <v>0</v>
      </c>
      <c r="I651" t="n">
        <v>0</v>
      </c>
      <c r="J651" t="n">
        <v>0</v>
      </c>
      <c r="K651" t="n">
        <v>0</v>
      </c>
      <c r="L651" t="n">
        <v>0</v>
      </c>
      <c r="M651" t="n">
        <v>0</v>
      </c>
      <c r="N651" t="n">
        <v>0</v>
      </c>
      <c r="O651" t="n">
        <v>0</v>
      </c>
      <c r="P651" t="n">
        <v>0</v>
      </c>
      <c r="Q651" t="n">
        <v>0</v>
      </c>
      <c r="R651" s="2" t="inlineStr"/>
    </row>
    <row r="652" ht="15" customHeight="1">
      <c r="A652" t="inlineStr">
        <is>
          <t>A 20533-2023</t>
        </is>
      </c>
      <c r="B652" s="1" t="n">
        <v>45057</v>
      </c>
      <c r="C652" s="1" t="n">
        <v>46173</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c r="T652">
        <f>HYPERLINK("https://klasma.github.io/Logging_0483/kartor/A 20533-2023 karta.png", "A 20533-2023")</f>
        <v/>
      </c>
      <c r="V652">
        <f>HYPERLINK("https://klasma.github.io/Logging_0483/klagomål/A 20533-2023 FSC-klagomål.docx", "A 20533-2023")</f>
        <v/>
      </c>
      <c r="W652">
        <f>HYPERLINK("https://klasma.github.io/Logging_0483/klagomålsmail/A 20533-2023 FSC-klagomål mail.docx", "A 20533-2023")</f>
        <v/>
      </c>
      <c r="X652">
        <f>HYPERLINK("https://klasma.github.io/Logging_0483/tillsyn/A 20533-2023 tillsynsbegäran.docx", "A 20533-2023")</f>
        <v/>
      </c>
      <c r="Y652">
        <f>HYPERLINK("https://klasma.github.io/Logging_0483/tillsynsmail/A 20533-2023 tillsynsbegäran mail.docx", "A 20533-2023")</f>
        <v/>
      </c>
      <c r="Z652">
        <f>HYPERLINK("https://klasma.github.io/Logging_0483/fåglar/A 20533-2023 prioriterade fågelarter.docx", "A 20533-2023")</f>
        <v/>
      </c>
    </row>
    <row r="653" ht="15" customHeight="1">
      <c r="A653" t="inlineStr">
        <is>
          <t>A 18383-2026</t>
        </is>
      </c>
      <c r="B653" s="1" t="n">
        <v>46126.64174768519</v>
      </c>
      <c r="C653" s="1" t="n">
        <v>46173</v>
      </c>
      <c r="D653" t="inlineStr">
        <is>
          <t>SÖDERMANLANDS LÄN</t>
        </is>
      </c>
      <c r="E653" t="inlineStr">
        <is>
          <t>KATRINEHOLM</t>
        </is>
      </c>
      <c r="G653" t="n">
        <v>2.4</v>
      </c>
      <c r="H653" t="n">
        <v>0</v>
      </c>
      <c r="I653" t="n">
        <v>0</v>
      </c>
      <c r="J653" t="n">
        <v>0</v>
      </c>
      <c r="K653" t="n">
        <v>0</v>
      </c>
      <c r="L653" t="n">
        <v>0</v>
      </c>
      <c r="M653" t="n">
        <v>0</v>
      </c>
      <c r="N653" t="n">
        <v>0</v>
      </c>
      <c r="O653" t="n">
        <v>0</v>
      </c>
      <c r="P653" t="n">
        <v>0</v>
      </c>
      <c r="Q653" t="n">
        <v>0</v>
      </c>
      <c r="R653" s="2" t="inlineStr"/>
    </row>
    <row r="654" ht="15" customHeight="1">
      <c r="A654" t="inlineStr">
        <is>
          <t>A 18314-2026</t>
        </is>
      </c>
      <c r="B654" s="1" t="n">
        <v>46126.47289351852</v>
      </c>
      <c r="C654" s="1" t="n">
        <v>46173</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18306-2026</t>
        </is>
      </c>
      <c r="B655" s="1" t="n">
        <v>46126.46039351852</v>
      </c>
      <c r="C655" s="1" t="n">
        <v>46173</v>
      </c>
      <c r="D655" t="inlineStr">
        <is>
          <t>SÖDERMANLANDS LÄN</t>
        </is>
      </c>
      <c r="E655" t="inlineStr">
        <is>
          <t>KATRINEHOLM</t>
        </is>
      </c>
      <c r="G655" t="n">
        <v>0.8</v>
      </c>
      <c r="H655" t="n">
        <v>0</v>
      </c>
      <c r="I655" t="n">
        <v>0</v>
      </c>
      <c r="J655" t="n">
        <v>0</v>
      </c>
      <c r="K655" t="n">
        <v>0</v>
      </c>
      <c r="L655" t="n">
        <v>0</v>
      </c>
      <c r="M655" t="n">
        <v>0</v>
      </c>
      <c r="N655" t="n">
        <v>0</v>
      </c>
      <c r="O655" t="n">
        <v>0</v>
      </c>
      <c r="P655" t="n">
        <v>0</v>
      </c>
      <c r="Q655" t="n">
        <v>0</v>
      </c>
      <c r="R655" s="2" t="inlineStr"/>
    </row>
    <row r="656" ht="15" customHeight="1">
      <c r="A656" t="inlineStr">
        <is>
          <t>A 18309-2026</t>
        </is>
      </c>
      <c r="B656" s="1" t="n">
        <v>46126.46756944444</v>
      </c>
      <c r="C656" s="1" t="n">
        <v>46173</v>
      </c>
      <c r="D656" t="inlineStr">
        <is>
          <t>SÖDERMANLANDS LÄN</t>
        </is>
      </c>
      <c r="E656" t="inlineStr">
        <is>
          <t>KATRINEHOLM</t>
        </is>
      </c>
      <c r="G656" t="n">
        <v>1.9</v>
      </c>
      <c r="H656" t="n">
        <v>0</v>
      </c>
      <c r="I656" t="n">
        <v>0</v>
      </c>
      <c r="J656" t="n">
        <v>0</v>
      </c>
      <c r="K656" t="n">
        <v>0</v>
      </c>
      <c r="L656" t="n">
        <v>0</v>
      </c>
      <c r="M656" t="n">
        <v>0</v>
      </c>
      <c r="N656" t="n">
        <v>0</v>
      </c>
      <c r="O656" t="n">
        <v>0</v>
      </c>
      <c r="P656" t="n">
        <v>0</v>
      </c>
      <c r="Q656" t="n">
        <v>0</v>
      </c>
      <c r="R656" s="2" t="inlineStr"/>
    </row>
    <row r="657" ht="15" customHeight="1">
      <c r="A657" t="inlineStr">
        <is>
          <t>A 55829-2025</t>
        </is>
      </c>
      <c r="B657" s="1" t="n">
        <v>45972.79274305556</v>
      </c>
      <c r="C657" s="1" t="n">
        <v>46173</v>
      </c>
      <c r="D657" t="inlineStr">
        <is>
          <t>SÖDERMANLANDS LÄN</t>
        </is>
      </c>
      <c r="E657" t="inlineStr">
        <is>
          <t>KATRINEHOLM</t>
        </is>
      </c>
      <c r="G657" t="n">
        <v>3.2</v>
      </c>
      <c r="H657" t="n">
        <v>0</v>
      </c>
      <c r="I657" t="n">
        <v>0</v>
      </c>
      <c r="J657" t="n">
        <v>0</v>
      </c>
      <c r="K657" t="n">
        <v>0</v>
      </c>
      <c r="L657" t="n">
        <v>0</v>
      </c>
      <c r="M657" t="n">
        <v>0</v>
      </c>
      <c r="N657" t="n">
        <v>0</v>
      </c>
      <c r="O657" t="n">
        <v>0</v>
      </c>
      <c r="P657" t="n">
        <v>0</v>
      </c>
      <c r="Q657" t="n">
        <v>0</v>
      </c>
      <c r="R657" s="2" t="inlineStr"/>
    </row>
    <row r="658" ht="15" customHeight="1">
      <c r="A658" t="inlineStr">
        <is>
          <t>A 55832-2025</t>
        </is>
      </c>
      <c r="B658" s="1" t="n">
        <v>45972.81768518518</v>
      </c>
      <c r="C658" s="1" t="n">
        <v>46173</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18300-2026</t>
        </is>
      </c>
      <c r="B659" s="1" t="n">
        <v>46126.45106481481</v>
      </c>
      <c r="C659" s="1" t="n">
        <v>46173</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18301-2026</t>
        </is>
      </c>
      <c r="B660" s="1" t="n">
        <v>46126.45259259259</v>
      </c>
      <c r="C660" s="1" t="n">
        <v>46173</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18316-2026</t>
        </is>
      </c>
      <c r="B661" s="1" t="n">
        <v>46126.47670138889</v>
      </c>
      <c r="C661" s="1" t="n">
        <v>46173</v>
      </c>
      <c r="D661" t="inlineStr">
        <is>
          <t>SÖDERMANLANDS LÄN</t>
        </is>
      </c>
      <c r="E661" t="inlineStr">
        <is>
          <t>KATRINEHOLM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12835-2024</t>
        </is>
      </c>
      <c r="B662" s="1" t="n">
        <v>45384</v>
      </c>
      <c r="C662" s="1" t="n">
        <v>46173</v>
      </c>
      <c r="D662" t="inlineStr">
        <is>
          <t>SÖDERMANLANDS LÄN</t>
        </is>
      </c>
      <c r="E662" t="inlineStr">
        <is>
          <t>KATRINEHOLM</t>
        </is>
      </c>
      <c r="F662" t="inlineStr">
        <is>
          <t>Allmännings- och besparingsskogar</t>
        </is>
      </c>
      <c r="G662" t="n">
        <v>0.5</v>
      </c>
      <c r="H662" t="n">
        <v>0</v>
      </c>
      <c r="I662" t="n">
        <v>0</v>
      </c>
      <c r="J662" t="n">
        <v>0</v>
      </c>
      <c r="K662" t="n">
        <v>0</v>
      </c>
      <c r="L662" t="n">
        <v>0</v>
      </c>
      <c r="M662" t="n">
        <v>0</v>
      </c>
      <c r="N662" t="n">
        <v>0</v>
      </c>
      <c r="O662" t="n">
        <v>0</v>
      </c>
      <c r="P662" t="n">
        <v>0</v>
      </c>
      <c r="Q662" t="n">
        <v>0</v>
      </c>
      <c r="R662" s="2" t="inlineStr"/>
    </row>
    <row r="663" ht="15" customHeight="1">
      <c r="A663" t="inlineStr">
        <is>
          <t>A 24983-2024</t>
        </is>
      </c>
      <c r="B663" s="1" t="n">
        <v>45461</v>
      </c>
      <c r="C663" s="1" t="n">
        <v>46173</v>
      </c>
      <c r="D663" t="inlineStr">
        <is>
          <t>SÖDERMANLANDS LÄN</t>
        </is>
      </c>
      <c r="E663" t="inlineStr">
        <is>
          <t>KATRINEHOLM</t>
        </is>
      </c>
      <c r="G663" t="n">
        <v>2.6</v>
      </c>
      <c r="H663" t="n">
        <v>0</v>
      </c>
      <c r="I663" t="n">
        <v>0</v>
      </c>
      <c r="J663" t="n">
        <v>0</v>
      </c>
      <c r="K663" t="n">
        <v>0</v>
      </c>
      <c r="L663" t="n">
        <v>0</v>
      </c>
      <c r="M663" t="n">
        <v>0</v>
      </c>
      <c r="N663" t="n">
        <v>0</v>
      </c>
      <c r="O663" t="n">
        <v>0</v>
      </c>
      <c r="P663" t="n">
        <v>0</v>
      </c>
      <c r="Q663" t="n">
        <v>0</v>
      </c>
      <c r="R663" s="2" t="inlineStr"/>
    </row>
    <row r="664" ht="15" customHeight="1">
      <c r="A664" t="inlineStr">
        <is>
          <t>A 55831-2025</t>
        </is>
      </c>
      <c r="B664" s="1" t="n">
        <v>45972.81034722222</v>
      </c>
      <c r="C664" s="1" t="n">
        <v>46173</v>
      </c>
      <c r="D664" t="inlineStr">
        <is>
          <t>SÖDERMANLANDS LÄN</t>
        </is>
      </c>
      <c r="E664" t="inlineStr">
        <is>
          <t>KATRINEHOLM</t>
        </is>
      </c>
      <c r="G664" t="n">
        <v>6.2</v>
      </c>
      <c r="H664" t="n">
        <v>0</v>
      </c>
      <c r="I664" t="n">
        <v>0</v>
      </c>
      <c r="J664" t="n">
        <v>0</v>
      </c>
      <c r="K664" t="n">
        <v>0</v>
      </c>
      <c r="L664" t="n">
        <v>0</v>
      </c>
      <c r="M664" t="n">
        <v>0</v>
      </c>
      <c r="N664" t="n">
        <v>0</v>
      </c>
      <c r="O664" t="n">
        <v>0</v>
      </c>
      <c r="P664" t="n">
        <v>0</v>
      </c>
      <c r="Q664" t="n">
        <v>0</v>
      </c>
      <c r="R664" s="2" t="inlineStr"/>
    </row>
    <row r="665" ht="15" customHeight="1">
      <c r="A665" t="inlineStr">
        <is>
          <t>A 22509-2026</t>
        </is>
      </c>
      <c r="B665" s="1" t="n">
        <v>46155</v>
      </c>
      <c r="C665" s="1" t="n">
        <v>46173</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22336-2025</t>
        </is>
      </c>
      <c r="B666" s="1" t="n">
        <v>45786.44217592593</v>
      </c>
      <c r="C666" s="1" t="n">
        <v>46173</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56330-2025</t>
        </is>
      </c>
      <c r="B667" s="1" t="n">
        <v>45974.64094907408</v>
      </c>
      <c r="C667" s="1" t="n">
        <v>46173</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47879-2023</t>
        </is>
      </c>
      <c r="B668" s="1" t="n">
        <v>45204</v>
      </c>
      <c r="C668" s="1" t="n">
        <v>46173</v>
      </c>
      <c r="D668" t="inlineStr">
        <is>
          <t>SÖDERMANLANDS LÄN</t>
        </is>
      </c>
      <c r="E668" t="inlineStr">
        <is>
          <t>KATRINEHOLM</t>
        </is>
      </c>
      <c r="F668" t="inlineStr">
        <is>
          <t>Övriga Aktiebolag</t>
        </is>
      </c>
      <c r="G668" t="n">
        <v>2.3</v>
      </c>
      <c r="H668" t="n">
        <v>0</v>
      </c>
      <c r="I668" t="n">
        <v>0</v>
      </c>
      <c r="J668" t="n">
        <v>0</v>
      </c>
      <c r="K668" t="n">
        <v>0</v>
      </c>
      <c r="L668" t="n">
        <v>0</v>
      </c>
      <c r="M668" t="n">
        <v>0</v>
      </c>
      <c r="N668" t="n">
        <v>0</v>
      </c>
      <c r="O668" t="n">
        <v>0</v>
      </c>
      <c r="P668" t="n">
        <v>0</v>
      </c>
      <c r="Q668" t="n">
        <v>0</v>
      </c>
      <c r="R668" s="2" t="inlineStr"/>
    </row>
    <row r="669" ht="15" customHeight="1">
      <c r="A669" t="inlineStr">
        <is>
          <t>A 32943-2024</t>
        </is>
      </c>
      <c r="B669" s="1" t="n">
        <v>45517</v>
      </c>
      <c r="C669" s="1" t="n">
        <v>46173</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61410-2024</t>
        </is>
      </c>
      <c r="B670" s="1" t="n">
        <v>45646.43950231482</v>
      </c>
      <c r="C670" s="1" t="n">
        <v>46173</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56597-2025</t>
        </is>
      </c>
      <c r="B671" s="1" t="n">
        <v>45975.57271990741</v>
      </c>
      <c r="C671" s="1" t="n">
        <v>46173</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18302-2026</t>
        </is>
      </c>
      <c r="B672" s="1" t="n">
        <v>46126.45408564815</v>
      </c>
      <c r="C672" s="1" t="n">
        <v>46173</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18308-2026</t>
        </is>
      </c>
      <c r="B673" s="1" t="n">
        <v>46126.46175925926</v>
      </c>
      <c r="C673" s="1" t="n">
        <v>46173</v>
      </c>
      <c r="D673" t="inlineStr">
        <is>
          <t>SÖDERMANLANDS LÄN</t>
        </is>
      </c>
      <c r="E673" t="inlineStr">
        <is>
          <t>KATRINEHOLM</t>
        </is>
      </c>
      <c r="G673" t="n">
        <v>4.2</v>
      </c>
      <c r="H673" t="n">
        <v>0</v>
      </c>
      <c r="I673" t="n">
        <v>0</v>
      </c>
      <c r="J673" t="n">
        <v>0</v>
      </c>
      <c r="K673" t="n">
        <v>0</v>
      </c>
      <c r="L673" t="n">
        <v>0</v>
      </c>
      <c r="M673" t="n">
        <v>0</v>
      </c>
      <c r="N673" t="n">
        <v>0</v>
      </c>
      <c r="O673" t="n">
        <v>0</v>
      </c>
      <c r="P673" t="n">
        <v>0</v>
      </c>
      <c r="Q673" t="n">
        <v>0</v>
      </c>
      <c r="R673" s="2" t="inlineStr"/>
    </row>
    <row r="674" ht="15" customHeight="1">
      <c r="A674" t="inlineStr">
        <is>
          <t>A 18384-2026</t>
        </is>
      </c>
      <c r="B674" s="1" t="n">
        <v>46126.64513888889</v>
      </c>
      <c r="C674" s="1" t="n">
        <v>46173</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17746-2024</t>
        </is>
      </c>
      <c r="B675" s="1" t="n">
        <v>45415</v>
      </c>
      <c r="C675" s="1" t="n">
        <v>46173</v>
      </c>
      <c r="D675" t="inlineStr">
        <is>
          <t>SÖDERMANLANDS LÄN</t>
        </is>
      </c>
      <c r="E675" t="inlineStr">
        <is>
          <t>KATRINEHOLM</t>
        </is>
      </c>
      <c r="G675" t="n">
        <v>7.8</v>
      </c>
      <c r="H675" t="n">
        <v>0</v>
      </c>
      <c r="I675" t="n">
        <v>0</v>
      </c>
      <c r="J675" t="n">
        <v>0</v>
      </c>
      <c r="K675" t="n">
        <v>0</v>
      </c>
      <c r="L675" t="n">
        <v>0</v>
      </c>
      <c r="M675" t="n">
        <v>0</v>
      </c>
      <c r="N675" t="n">
        <v>0</v>
      </c>
      <c r="O675" t="n">
        <v>0</v>
      </c>
      <c r="P675" t="n">
        <v>0</v>
      </c>
      <c r="Q675" t="n">
        <v>0</v>
      </c>
      <c r="R675" s="2" t="inlineStr"/>
    </row>
    <row r="676" ht="15" customHeight="1">
      <c r="A676" t="inlineStr">
        <is>
          <t>A 57510-2021</t>
        </is>
      </c>
      <c r="B676" s="1" t="n">
        <v>44483</v>
      </c>
      <c r="C676" s="1" t="n">
        <v>46173</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34731-2023</t>
        </is>
      </c>
      <c r="B677" s="1" t="n">
        <v>45141</v>
      </c>
      <c r="C677" s="1" t="n">
        <v>46173</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46173</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57323-2025</t>
        </is>
      </c>
      <c r="B679" s="1" t="n">
        <v>45980.32501157407</v>
      </c>
      <c r="C679" s="1" t="n">
        <v>46173</v>
      </c>
      <c r="D679" t="inlineStr">
        <is>
          <t>SÖDERMANLANDS LÄN</t>
        </is>
      </c>
      <c r="E679" t="inlineStr">
        <is>
          <t>KATRINEHOLM</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57975-2025</t>
        </is>
      </c>
      <c r="B680" s="1" t="n">
        <v>45981</v>
      </c>
      <c r="C680" s="1" t="n">
        <v>46173</v>
      </c>
      <c r="D680" t="inlineStr">
        <is>
          <t>SÖDERMANLANDS LÄN</t>
        </is>
      </c>
      <c r="E680" t="inlineStr">
        <is>
          <t>KATRINEHOLM</t>
        </is>
      </c>
      <c r="G680" t="n">
        <v>3.1</v>
      </c>
      <c r="H680" t="n">
        <v>0</v>
      </c>
      <c r="I680" t="n">
        <v>0</v>
      </c>
      <c r="J680" t="n">
        <v>0</v>
      </c>
      <c r="K680" t="n">
        <v>0</v>
      </c>
      <c r="L680" t="n">
        <v>0</v>
      </c>
      <c r="M680" t="n">
        <v>0</v>
      </c>
      <c r="N680" t="n">
        <v>0</v>
      </c>
      <c r="O680" t="n">
        <v>0</v>
      </c>
      <c r="P680" t="n">
        <v>0</v>
      </c>
      <c r="Q680" t="n">
        <v>0</v>
      </c>
      <c r="R680" s="2" t="inlineStr"/>
    </row>
    <row r="681" ht="15" customHeight="1">
      <c r="A681" t="inlineStr">
        <is>
          <t>A 22476-2025</t>
        </is>
      </c>
      <c r="B681" s="1" t="n">
        <v>45786</v>
      </c>
      <c r="C681" s="1" t="n">
        <v>46173</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18966-2026</t>
        </is>
      </c>
      <c r="B682" s="1" t="n">
        <v>46129.60259259259</v>
      </c>
      <c r="C682" s="1" t="n">
        <v>46173</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24362-2026</t>
        </is>
      </c>
      <c r="B683" s="1" t="n">
        <v>46169</v>
      </c>
      <c r="C683" s="1" t="n">
        <v>46173</v>
      </c>
      <c r="D683" t="inlineStr">
        <is>
          <t>SÖDERMANLANDS LÄN</t>
        </is>
      </c>
      <c r="E683" t="inlineStr">
        <is>
          <t>KATRINEHOLM</t>
        </is>
      </c>
      <c r="G683" t="n">
        <v>13.5</v>
      </c>
      <c r="H683" t="n">
        <v>0</v>
      </c>
      <c r="I683" t="n">
        <v>0</v>
      </c>
      <c r="J683" t="n">
        <v>0</v>
      </c>
      <c r="K683" t="n">
        <v>0</v>
      </c>
      <c r="L683" t="n">
        <v>0</v>
      </c>
      <c r="M683" t="n">
        <v>0</v>
      </c>
      <c r="N683" t="n">
        <v>0</v>
      </c>
      <c r="O683" t="n">
        <v>0</v>
      </c>
      <c r="P683" t="n">
        <v>0</v>
      </c>
      <c r="Q683" t="n">
        <v>0</v>
      </c>
      <c r="R683" s="2" t="inlineStr"/>
    </row>
    <row r="684" ht="15" customHeight="1">
      <c r="A684" t="inlineStr">
        <is>
          <t>A 23050-2025</t>
        </is>
      </c>
      <c r="B684" s="1" t="n">
        <v>45790.69971064815</v>
      </c>
      <c r="C684" s="1" t="n">
        <v>46173</v>
      </c>
      <c r="D684" t="inlineStr">
        <is>
          <t>SÖDERMANLANDS LÄN</t>
        </is>
      </c>
      <c r="E684" t="inlineStr">
        <is>
          <t>KATRINEHOLM</t>
        </is>
      </c>
      <c r="G684" t="n">
        <v>3.7</v>
      </c>
      <c r="H684" t="n">
        <v>0</v>
      </c>
      <c r="I684" t="n">
        <v>0</v>
      </c>
      <c r="J684" t="n">
        <v>0</v>
      </c>
      <c r="K684" t="n">
        <v>0</v>
      </c>
      <c r="L684" t="n">
        <v>0</v>
      </c>
      <c r="M684" t="n">
        <v>0</v>
      </c>
      <c r="N684" t="n">
        <v>0</v>
      </c>
      <c r="O684" t="n">
        <v>0</v>
      </c>
      <c r="P684" t="n">
        <v>0</v>
      </c>
      <c r="Q684" t="n">
        <v>0</v>
      </c>
      <c r="R684" s="2" t="inlineStr"/>
    </row>
    <row r="685" ht="15" customHeight="1">
      <c r="A685" t="inlineStr">
        <is>
          <t>A 24902-2024</t>
        </is>
      </c>
      <c r="B685" s="1" t="n">
        <v>45461</v>
      </c>
      <c r="C685" s="1" t="n">
        <v>46173</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59967-2025</t>
        </is>
      </c>
      <c r="B686" s="1" t="n">
        <v>45993.48525462963</v>
      </c>
      <c r="C686" s="1" t="n">
        <v>46173</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2603-2025</t>
        </is>
      </c>
      <c r="B687" s="1" t="n">
        <v>45674</v>
      </c>
      <c r="C687" s="1" t="n">
        <v>46173</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61423-2024</t>
        </is>
      </c>
      <c r="B688" s="1" t="n">
        <v>45646.45209490741</v>
      </c>
      <c r="C688" s="1" t="n">
        <v>46173</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24605-2025</t>
        </is>
      </c>
      <c r="B689" s="1" t="n">
        <v>45798.57403935185</v>
      </c>
      <c r="C689" s="1" t="n">
        <v>46173</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53999-2023</t>
        </is>
      </c>
      <c r="B690" s="1" t="n">
        <v>45231</v>
      </c>
      <c r="C690" s="1" t="n">
        <v>46173</v>
      </c>
      <c r="D690" t="inlineStr">
        <is>
          <t>SÖDERMANLANDS LÄN</t>
        </is>
      </c>
      <c r="E690" t="inlineStr">
        <is>
          <t>KATRINEHOLM</t>
        </is>
      </c>
      <c r="G690" t="n">
        <v>5.4</v>
      </c>
      <c r="H690" t="n">
        <v>0</v>
      </c>
      <c r="I690" t="n">
        <v>0</v>
      </c>
      <c r="J690" t="n">
        <v>0</v>
      </c>
      <c r="K690" t="n">
        <v>0</v>
      </c>
      <c r="L690" t="n">
        <v>0</v>
      </c>
      <c r="M690" t="n">
        <v>0</v>
      </c>
      <c r="N690" t="n">
        <v>0</v>
      </c>
      <c r="O690" t="n">
        <v>0</v>
      </c>
      <c r="P690" t="n">
        <v>0</v>
      </c>
      <c r="Q690" t="n">
        <v>0</v>
      </c>
      <c r="R690" s="2" t="inlineStr"/>
    </row>
    <row r="691" ht="15" customHeight="1">
      <c r="A691" t="inlineStr">
        <is>
          <t>A 41727-2024</t>
        </is>
      </c>
      <c r="B691" s="1" t="n">
        <v>45560</v>
      </c>
      <c r="C691" s="1" t="n">
        <v>46173</v>
      </c>
      <c r="D691" t="inlineStr">
        <is>
          <t>SÖDERMANLANDS LÄN</t>
        </is>
      </c>
      <c r="E691" t="inlineStr">
        <is>
          <t>KATRINEHOLM</t>
        </is>
      </c>
      <c r="G691" t="n">
        <v>3.9</v>
      </c>
      <c r="H691" t="n">
        <v>0</v>
      </c>
      <c r="I691" t="n">
        <v>0</v>
      </c>
      <c r="J691" t="n">
        <v>0</v>
      </c>
      <c r="K691" t="n">
        <v>0</v>
      </c>
      <c r="L691" t="n">
        <v>0</v>
      </c>
      <c r="M691" t="n">
        <v>0</v>
      </c>
      <c r="N691" t="n">
        <v>0</v>
      </c>
      <c r="O691" t="n">
        <v>0</v>
      </c>
      <c r="P691" t="n">
        <v>0</v>
      </c>
      <c r="Q691" t="n">
        <v>0</v>
      </c>
      <c r="R691" s="2" t="inlineStr"/>
    </row>
    <row r="692" ht="15" customHeight="1">
      <c r="A692" t="inlineStr">
        <is>
          <t>A 24566-2025</t>
        </is>
      </c>
      <c r="B692" s="1" t="n">
        <v>45798.46452546296</v>
      </c>
      <c r="C692" s="1" t="n">
        <v>46173</v>
      </c>
      <c r="D692" t="inlineStr">
        <is>
          <t>SÖDERMANLANDS LÄN</t>
        </is>
      </c>
      <c r="E692" t="inlineStr">
        <is>
          <t>KATRINEHOLM</t>
        </is>
      </c>
      <c r="G692" t="n">
        <v>6.3</v>
      </c>
      <c r="H692" t="n">
        <v>0</v>
      </c>
      <c r="I692" t="n">
        <v>0</v>
      </c>
      <c r="J692" t="n">
        <v>0</v>
      </c>
      <c r="K692" t="n">
        <v>0</v>
      </c>
      <c r="L692" t="n">
        <v>0</v>
      </c>
      <c r="M692" t="n">
        <v>0</v>
      </c>
      <c r="N692" t="n">
        <v>0</v>
      </c>
      <c r="O692" t="n">
        <v>0</v>
      </c>
      <c r="P692" t="n">
        <v>0</v>
      </c>
      <c r="Q692" t="n">
        <v>0</v>
      </c>
      <c r="R692" s="2" t="inlineStr"/>
    </row>
    <row r="693" ht="15" customHeight="1">
      <c r="A693" t="inlineStr">
        <is>
          <t>A 60678-2025</t>
        </is>
      </c>
      <c r="B693" s="1" t="n">
        <v>45996.56251157408</v>
      </c>
      <c r="C693" s="1" t="n">
        <v>46173</v>
      </c>
      <c r="D693" t="inlineStr">
        <is>
          <t>SÖDERMANLANDS LÄN</t>
        </is>
      </c>
      <c r="E693" t="inlineStr">
        <is>
          <t>KATRINEHOLM</t>
        </is>
      </c>
      <c r="G693" t="n">
        <v>2</v>
      </c>
      <c r="H693" t="n">
        <v>0</v>
      </c>
      <c r="I693" t="n">
        <v>0</v>
      </c>
      <c r="J693" t="n">
        <v>0</v>
      </c>
      <c r="K693" t="n">
        <v>0</v>
      </c>
      <c r="L693" t="n">
        <v>0</v>
      </c>
      <c r="M693" t="n">
        <v>0</v>
      </c>
      <c r="N693" t="n">
        <v>0</v>
      </c>
      <c r="O693" t="n">
        <v>0</v>
      </c>
      <c r="P693" t="n">
        <v>0</v>
      </c>
      <c r="Q693" t="n">
        <v>0</v>
      </c>
      <c r="R693" s="2" t="inlineStr"/>
    </row>
    <row r="694" ht="15" customHeight="1">
      <c r="A694" t="inlineStr">
        <is>
          <t>A 56086-2023</t>
        </is>
      </c>
      <c r="B694" s="1" t="n">
        <v>45240</v>
      </c>
      <c r="C694" s="1" t="n">
        <v>46173</v>
      </c>
      <c r="D694" t="inlineStr">
        <is>
          <t>SÖDERMANLANDS LÄN</t>
        </is>
      </c>
      <c r="E694" t="inlineStr">
        <is>
          <t>KATRINEHOLM</t>
        </is>
      </c>
      <c r="F694" t="inlineStr">
        <is>
          <t>Kyrkan</t>
        </is>
      </c>
      <c r="G694" t="n">
        <v>17</v>
      </c>
      <c r="H694" t="n">
        <v>0</v>
      </c>
      <c r="I694" t="n">
        <v>0</v>
      </c>
      <c r="J694" t="n">
        <v>0</v>
      </c>
      <c r="K694" t="n">
        <v>0</v>
      </c>
      <c r="L694" t="n">
        <v>0</v>
      </c>
      <c r="M694" t="n">
        <v>0</v>
      </c>
      <c r="N694" t="n">
        <v>0</v>
      </c>
      <c r="O694" t="n">
        <v>0</v>
      </c>
      <c r="P694" t="n">
        <v>0</v>
      </c>
      <c r="Q694" t="n">
        <v>0</v>
      </c>
      <c r="R694" s="2" t="inlineStr"/>
    </row>
    <row r="695" ht="15" customHeight="1">
      <c r="A695" t="inlineStr">
        <is>
          <t>A 24719-2025</t>
        </is>
      </c>
      <c r="B695" s="1" t="n">
        <v>45799</v>
      </c>
      <c r="C695" s="1" t="n">
        <v>46173</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61066-2025</t>
        </is>
      </c>
      <c r="B696" s="1" t="n">
        <v>46000.37695601852</v>
      </c>
      <c r="C696" s="1" t="n">
        <v>46173</v>
      </c>
      <c r="D696" t="inlineStr">
        <is>
          <t>SÖDERMANLANDS LÄN</t>
        </is>
      </c>
      <c r="E696" t="inlineStr">
        <is>
          <t>KATRINEHOLM</t>
        </is>
      </c>
      <c r="F696" t="inlineStr">
        <is>
          <t>Kyrkan</t>
        </is>
      </c>
      <c r="G696" t="n">
        <v>5</v>
      </c>
      <c r="H696" t="n">
        <v>0</v>
      </c>
      <c r="I696" t="n">
        <v>0</v>
      </c>
      <c r="J696" t="n">
        <v>0</v>
      </c>
      <c r="K696" t="n">
        <v>0</v>
      </c>
      <c r="L696" t="n">
        <v>0</v>
      </c>
      <c r="M696" t="n">
        <v>0</v>
      </c>
      <c r="N696" t="n">
        <v>0</v>
      </c>
      <c r="O696" t="n">
        <v>0</v>
      </c>
      <c r="P696" t="n">
        <v>0</v>
      </c>
      <c r="Q696" t="n">
        <v>0</v>
      </c>
      <c r="R696" s="2" t="inlineStr"/>
    </row>
    <row r="697" ht="15" customHeight="1">
      <c r="A697" t="inlineStr">
        <is>
          <t>A 24717-2025</t>
        </is>
      </c>
      <c r="B697" s="1" t="n">
        <v>45799.27168981481</v>
      </c>
      <c r="C697" s="1" t="n">
        <v>46173</v>
      </c>
      <c r="D697" t="inlineStr">
        <is>
          <t>SÖDERMANLANDS LÄN</t>
        </is>
      </c>
      <c r="E697" t="inlineStr">
        <is>
          <t>KATRINEHOLM</t>
        </is>
      </c>
      <c r="G697" t="n">
        <v>24.5</v>
      </c>
      <c r="H697" t="n">
        <v>0</v>
      </c>
      <c r="I697" t="n">
        <v>0</v>
      </c>
      <c r="J697" t="n">
        <v>0</v>
      </c>
      <c r="K697" t="n">
        <v>0</v>
      </c>
      <c r="L697" t="n">
        <v>0</v>
      </c>
      <c r="M697" t="n">
        <v>0</v>
      </c>
      <c r="N697" t="n">
        <v>0</v>
      </c>
      <c r="O697" t="n">
        <v>0</v>
      </c>
      <c r="P697" t="n">
        <v>0</v>
      </c>
      <c r="Q697" t="n">
        <v>0</v>
      </c>
      <c r="R697" s="2" t="inlineStr"/>
    </row>
    <row r="698" ht="15" customHeight="1">
      <c r="A698" t="inlineStr">
        <is>
          <t>A 61121-2025</t>
        </is>
      </c>
      <c r="B698" s="1" t="n">
        <v>46000.46746527778</v>
      </c>
      <c r="C698" s="1" t="n">
        <v>46173</v>
      </c>
      <c r="D698" t="inlineStr">
        <is>
          <t>SÖDERMANLANDS LÄN</t>
        </is>
      </c>
      <c r="E698" t="inlineStr">
        <is>
          <t>KATRINEHOLM</t>
        </is>
      </c>
      <c r="G698" t="n">
        <v>0.2</v>
      </c>
      <c r="H698" t="n">
        <v>0</v>
      </c>
      <c r="I698" t="n">
        <v>0</v>
      </c>
      <c r="J698" t="n">
        <v>0</v>
      </c>
      <c r="K698" t="n">
        <v>0</v>
      </c>
      <c r="L698" t="n">
        <v>0</v>
      </c>
      <c r="M698" t="n">
        <v>0</v>
      </c>
      <c r="N698" t="n">
        <v>0</v>
      </c>
      <c r="O698" t="n">
        <v>0</v>
      </c>
      <c r="P698" t="n">
        <v>0</v>
      </c>
      <c r="Q698" t="n">
        <v>0</v>
      </c>
      <c r="R698" s="2" t="inlineStr"/>
    </row>
    <row r="699" ht="15" customHeight="1">
      <c r="A699" t="inlineStr">
        <is>
          <t>A 61721-2025</t>
        </is>
      </c>
      <c r="B699" s="1" t="n">
        <v>46002.57778935185</v>
      </c>
      <c r="C699" s="1" t="n">
        <v>46173</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25786-2025</t>
        </is>
      </c>
      <c r="B700" s="1" t="n">
        <v>45804.37456018518</v>
      </c>
      <c r="C700" s="1" t="n">
        <v>46173</v>
      </c>
      <c r="D700" t="inlineStr">
        <is>
          <t>SÖDERMANLANDS LÄN</t>
        </is>
      </c>
      <c r="E700" t="inlineStr">
        <is>
          <t>KATRINEHOLM</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26154-2025</t>
        </is>
      </c>
      <c r="B701" s="1" t="n">
        <v>45805.43341435185</v>
      </c>
      <c r="C701" s="1" t="n">
        <v>46173</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26156-2025</t>
        </is>
      </c>
      <c r="B702" s="1" t="n">
        <v>45805.43864583333</v>
      </c>
      <c r="C702" s="1" t="n">
        <v>46173</v>
      </c>
      <c r="D702" t="inlineStr">
        <is>
          <t>SÖDERMANLANDS LÄN</t>
        </is>
      </c>
      <c r="E702" t="inlineStr">
        <is>
          <t>KATRINEHOLM</t>
        </is>
      </c>
      <c r="G702" t="n">
        <v>4.1</v>
      </c>
      <c r="H702" t="n">
        <v>0</v>
      </c>
      <c r="I702" t="n">
        <v>0</v>
      </c>
      <c r="J702" t="n">
        <v>0</v>
      </c>
      <c r="K702" t="n">
        <v>0</v>
      </c>
      <c r="L702" t="n">
        <v>0</v>
      </c>
      <c r="M702" t="n">
        <v>0</v>
      </c>
      <c r="N702" t="n">
        <v>0</v>
      </c>
      <c r="O702" t="n">
        <v>0</v>
      </c>
      <c r="P702" t="n">
        <v>0</v>
      </c>
      <c r="Q702" t="n">
        <v>0</v>
      </c>
      <c r="R702" s="2" t="inlineStr"/>
    </row>
    <row r="703" ht="15" customHeight="1">
      <c r="A703" t="inlineStr">
        <is>
          <t>A 63945-2025</t>
        </is>
      </c>
      <c r="B703" s="1" t="n">
        <v>46010</v>
      </c>
      <c r="C703" s="1" t="n">
        <v>46173</v>
      </c>
      <c r="D703" t="inlineStr">
        <is>
          <t>SÖDERMANLANDS LÄN</t>
        </is>
      </c>
      <c r="E703" t="inlineStr">
        <is>
          <t>KATRINEHOLM</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63947-2025</t>
        </is>
      </c>
      <c r="B704" s="1" t="n">
        <v>46010</v>
      </c>
      <c r="C704" s="1" t="n">
        <v>46173</v>
      </c>
      <c r="D704" t="inlineStr">
        <is>
          <t>SÖDERMANLANDS LÄN</t>
        </is>
      </c>
      <c r="E704" t="inlineStr">
        <is>
          <t>KATRINEHOLM</t>
        </is>
      </c>
      <c r="F704" t="inlineStr">
        <is>
          <t>Allmännings- och besparingsskogar</t>
        </is>
      </c>
      <c r="G704" t="n">
        <v>4.8</v>
      </c>
      <c r="H704" t="n">
        <v>0</v>
      </c>
      <c r="I704" t="n">
        <v>0</v>
      </c>
      <c r="J704" t="n">
        <v>0</v>
      </c>
      <c r="K704" t="n">
        <v>0</v>
      </c>
      <c r="L704" t="n">
        <v>0</v>
      </c>
      <c r="M704" t="n">
        <v>0</v>
      </c>
      <c r="N704" t="n">
        <v>0</v>
      </c>
      <c r="O704" t="n">
        <v>0</v>
      </c>
      <c r="P704" t="n">
        <v>0</v>
      </c>
      <c r="Q704" t="n">
        <v>0</v>
      </c>
      <c r="R704" s="2" t="inlineStr"/>
    </row>
    <row r="705" ht="15" customHeight="1">
      <c r="A705" t="inlineStr">
        <is>
          <t>A 63949-2025</t>
        </is>
      </c>
      <c r="B705" s="1" t="n">
        <v>46010</v>
      </c>
      <c r="C705" s="1" t="n">
        <v>46173</v>
      </c>
      <c r="D705" t="inlineStr">
        <is>
          <t>SÖDERMANLANDS LÄN</t>
        </is>
      </c>
      <c r="E705" t="inlineStr">
        <is>
          <t>KATRINEHOLM</t>
        </is>
      </c>
      <c r="F705" t="inlineStr">
        <is>
          <t>Allmännings- och besparingsskogar</t>
        </is>
      </c>
      <c r="G705" t="n">
        <v>5.1</v>
      </c>
      <c r="H705" t="n">
        <v>0</v>
      </c>
      <c r="I705" t="n">
        <v>0</v>
      </c>
      <c r="J705" t="n">
        <v>0</v>
      </c>
      <c r="K705" t="n">
        <v>0</v>
      </c>
      <c r="L705" t="n">
        <v>0</v>
      </c>
      <c r="M705" t="n">
        <v>0</v>
      </c>
      <c r="N705" t="n">
        <v>0</v>
      </c>
      <c r="O705" t="n">
        <v>0</v>
      </c>
      <c r="P705" t="n">
        <v>0</v>
      </c>
      <c r="Q705" t="n">
        <v>0</v>
      </c>
      <c r="R705" s="2" t="inlineStr"/>
    </row>
    <row r="706" ht="15" customHeight="1">
      <c r="A706" t="inlineStr">
        <is>
          <t>A 63948-2025</t>
        </is>
      </c>
      <c r="B706" s="1" t="n">
        <v>46010</v>
      </c>
      <c r="C706" s="1" t="n">
        <v>46173</v>
      </c>
      <c r="D706" t="inlineStr">
        <is>
          <t>SÖDERMANLANDS LÄN</t>
        </is>
      </c>
      <c r="E706" t="inlineStr">
        <is>
          <t>KATRINEHOLM</t>
        </is>
      </c>
      <c r="F706" t="inlineStr">
        <is>
          <t>Allmännings- och besparingsskogar</t>
        </is>
      </c>
      <c r="G706" t="n">
        <v>4.9</v>
      </c>
      <c r="H706" t="n">
        <v>0</v>
      </c>
      <c r="I706" t="n">
        <v>0</v>
      </c>
      <c r="J706" t="n">
        <v>0</v>
      </c>
      <c r="K706" t="n">
        <v>0</v>
      </c>
      <c r="L706" t="n">
        <v>0</v>
      </c>
      <c r="M706" t="n">
        <v>0</v>
      </c>
      <c r="N706" t="n">
        <v>0</v>
      </c>
      <c r="O706" t="n">
        <v>0</v>
      </c>
      <c r="P706" t="n">
        <v>0</v>
      </c>
      <c r="Q706" t="n">
        <v>0</v>
      </c>
      <c r="R706" s="2" t="inlineStr"/>
    </row>
    <row r="707" ht="15" customHeight="1">
      <c r="A707" t="inlineStr">
        <is>
          <t>A 27552-2025</t>
        </is>
      </c>
      <c r="B707" s="1" t="n">
        <v>45813</v>
      </c>
      <c r="C707" s="1" t="n">
        <v>46173</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27534-2025</t>
        </is>
      </c>
      <c r="B708" s="1" t="n">
        <v>45813</v>
      </c>
      <c r="C708" s="1" t="n">
        <v>46173</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63895-2025</t>
        </is>
      </c>
      <c r="B709" s="1" t="n">
        <v>46020</v>
      </c>
      <c r="C709" s="1" t="n">
        <v>46173</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27636-2025</t>
        </is>
      </c>
      <c r="B710" s="1" t="n">
        <v>45813.57603009259</v>
      </c>
      <c r="C710" s="1" t="n">
        <v>46173</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54873-2025</t>
        </is>
      </c>
      <c r="B711" s="1" t="n">
        <v>45967</v>
      </c>
      <c r="C711" s="1" t="n">
        <v>46173</v>
      </c>
      <c r="D711" t="inlineStr">
        <is>
          <t>SÖDERMANLANDS LÄN</t>
        </is>
      </c>
      <c r="E711" t="inlineStr">
        <is>
          <t>KATRINEHOLM</t>
        </is>
      </c>
      <c r="G711" t="n">
        <v>2.7</v>
      </c>
      <c r="H711" t="n">
        <v>0</v>
      </c>
      <c r="I711" t="n">
        <v>0</v>
      </c>
      <c r="J711" t="n">
        <v>0</v>
      </c>
      <c r="K711" t="n">
        <v>0</v>
      </c>
      <c r="L711" t="n">
        <v>0</v>
      </c>
      <c r="M711" t="n">
        <v>0</v>
      </c>
      <c r="N711" t="n">
        <v>0</v>
      </c>
      <c r="O711" t="n">
        <v>0</v>
      </c>
      <c r="P711" t="n">
        <v>0</v>
      </c>
      <c r="Q711" t="n">
        <v>0</v>
      </c>
      <c r="R711" s="2" t="inlineStr"/>
    </row>
    <row r="712" ht="15" customHeight="1">
      <c r="A712" t="inlineStr">
        <is>
          <t>A 24600-2025</t>
        </is>
      </c>
      <c r="B712" s="1" t="n">
        <v>45798.56348379629</v>
      </c>
      <c r="C712" s="1" t="n">
        <v>46173</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1114-2026</t>
        </is>
      </c>
      <c r="B713" s="1" t="n">
        <v>46030.684375</v>
      </c>
      <c r="C713" s="1" t="n">
        <v>46173</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1112-2026</t>
        </is>
      </c>
      <c r="B714" s="1" t="n">
        <v>46030.68107638889</v>
      </c>
      <c r="C714" s="1" t="n">
        <v>46173</v>
      </c>
      <c r="D714" t="inlineStr">
        <is>
          <t>SÖDERMANLANDS LÄN</t>
        </is>
      </c>
      <c r="E714" t="inlineStr">
        <is>
          <t>KATRINEHOLM</t>
        </is>
      </c>
      <c r="G714" t="n">
        <v>3.2</v>
      </c>
      <c r="H714" t="n">
        <v>0</v>
      </c>
      <c r="I714" t="n">
        <v>0</v>
      </c>
      <c r="J714" t="n">
        <v>0</v>
      </c>
      <c r="K714" t="n">
        <v>0</v>
      </c>
      <c r="L714" t="n">
        <v>0</v>
      </c>
      <c r="M714" t="n">
        <v>0</v>
      </c>
      <c r="N714" t="n">
        <v>0</v>
      </c>
      <c r="O714" t="n">
        <v>0</v>
      </c>
      <c r="P714" t="n">
        <v>0</v>
      </c>
      <c r="Q714" t="n">
        <v>0</v>
      </c>
      <c r="R714" s="2" t="inlineStr"/>
    </row>
    <row r="715" ht="15" customHeight="1">
      <c r="A715" t="inlineStr">
        <is>
          <t>A 35608-2024</t>
        </is>
      </c>
      <c r="B715" s="1" t="n">
        <v>45531</v>
      </c>
      <c r="C715" s="1" t="n">
        <v>46173</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12633-2022</t>
        </is>
      </c>
      <c r="B716" s="1" t="n">
        <v>44638</v>
      </c>
      <c r="C716" s="1" t="n">
        <v>46173</v>
      </c>
      <c r="D716" t="inlineStr">
        <is>
          <t>SÖDERMANLANDS LÄN</t>
        </is>
      </c>
      <c r="E716" t="inlineStr">
        <is>
          <t>KATRINEHOLM</t>
        </is>
      </c>
      <c r="G716" t="n">
        <v>6.4</v>
      </c>
      <c r="H716" t="n">
        <v>0</v>
      </c>
      <c r="I716" t="n">
        <v>0</v>
      </c>
      <c r="J716" t="n">
        <v>0</v>
      </c>
      <c r="K716" t="n">
        <v>0</v>
      </c>
      <c r="L716" t="n">
        <v>0</v>
      </c>
      <c r="M716" t="n">
        <v>0</v>
      </c>
      <c r="N716" t="n">
        <v>0</v>
      </c>
      <c r="O716" t="n">
        <v>0</v>
      </c>
      <c r="P716" t="n">
        <v>0</v>
      </c>
      <c r="Q716" t="n">
        <v>0</v>
      </c>
      <c r="R716" s="2" t="inlineStr"/>
    </row>
    <row r="717" ht="15" customHeight="1">
      <c r="A717" t="inlineStr">
        <is>
          <t>A 1098-2026</t>
        </is>
      </c>
      <c r="B717" s="1" t="n">
        <v>46030.66519675926</v>
      </c>
      <c r="C717" s="1" t="n">
        <v>46173</v>
      </c>
      <c r="D717" t="inlineStr">
        <is>
          <t>SÖDERMANLANDS LÄN</t>
        </is>
      </c>
      <c r="E717" t="inlineStr">
        <is>
          <t>KATRINEHOLM</t>
        </is>
      </c>
      <c r="G717" t="n">
        <v>3.4</v>
      </c>
      <c r="H717" t="n">
        <v>0</v>
      </c>
      <c r="I717" t="n">
        <v>0</v>
      </c>
      <c r="J717" t="n">
        <v>0</v>
      </c>
      <c r="K717" t="n">
        <v>0</v>
      </c>
      <c r="L717" t="n">
        <v>0</v>
      </c>
      <c r="M717" t="n">
        <v>0</v>
      </c>
      <c r="N717" t="n">
        <v>0</v>
      </c>
      <c r="O717" t="n">
        <v>0</v>
      </c>
      <c r="P717" t="n">
        <v>0</v>
      </c>
      <c r="Q717" t="n">
        <v>0</v>
      </c>
      <c r="R717" s="2" t="inlineStr"/>
    </row>
    <row r="718" ht="15" customHeight="1">
      <c r="A718" t="inlineStr">
        <is>
          <t>A 1106-2026</t>
        </is>
      </c>
      <c r="B718" s="1" t="n">
        <v>46030.67123842592</v>
      </c>
      <c r="C718" s="1" t="n">
        <v>46173</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1668-2026</t>
        </is>
      </c>
      <c r="B719" s="1" t="n">
        <v>46034.55986111111</v>
      </c>
      <c r="C719" s="1" t="n">
        <v>46173</v>
      </c>
      <c r="D719" t="inlineStr">
        <is>
          <t>SÖDERMANLANDS LÄN</t>
        </is>
      </c>
      <c r="E719" t="inlineStr">
        <is>
          <t>KATRINEHOLM</t>
        </is>
      </c>
      <c r="G719" t="n">
        <v>4.1</v>
      </c>
      <c r="H719" t="n">
        <v>0</v>
      </c>
      <c r="I719" t="n">
        <v>0</v>
      </c>
      <c r="J719" t="n">
        <v>0</v>
      </c>
      <c r="K719" t="n">
        <v>0</v>
      </c>
      <c r="L719" t="n">
        <v>0</v>
      </c>
      <c r="M719" t="n">
        <v>0</v>
      </c>
      <c r="N719" t="n">
        <v>0</v>
      </c>
      <c r="O719" t="n">
        <v>0</v>
      </c>
      <c r="P719" t="n">
        <v>0</v>
      </c>
      <c r="Q719" t="n">
        <v>0</v>
      </c>
      <c r="R719" s="2" t="inlineStr"/>
    </row>
    <row r="720" ht="15" customHeight="1">
      <c r="A720" t="inlineStr">
        <is>
          <t>A 29189-2025</t>
        </is>
      </c>
      <c r="B720" s="1" t="n">
        <v>45822</v>
      </c>
      <c r="C720" s="1" t="n">
        <v>46173</v>
      </c>
      <c r="D720" t="inlineStr">
        <is>
          <t>SÖDERMANLANDS LÄN</t>
        </is>
      </c>
      <c r="E720" t="inlineStr">
        <is>
          <t>KATRINEHOLM</t>
        </is>
      </c>
      <c r="G720" t="n">
        <v>3.5</v>
      </c>
      <c r="H720" t="n">
        <v>0</v>
      </c>
      <c r="I720" t="n">
        <v>0</v>
      </c>
      <c r="J720" t="n">
        <v>0</v>
      </c>
      <c r="K720" t="n">
        <v>0</v>
      </c>
      <c r="L720" t="n">
        <v>0</v>
      </c>
      <c r="M720" t="n">
        <v>0</v>
      </c>
      <c r="N720" t="n">
        <v>0</v>
      </c>
      <c r="O720" t="n">
        <v>0</v>
      </c>
      <c r="P720" t="n">
        <v>0</v>
      </c>
      <c r="Q720" t="n">
        <v>0</v>
      </c>
      <c r="R720" s="2" t="inlineStr"/>
    </row>
    <row r="721" ht="15" customHeight="1">
      <c r="A721" t="inlineStr">
        <is>
          <t>A 2473-2026</t>
        </is>
      </c>
      <c r="B721" s="1" t="n">
        <v>46037.37704861111</v>
      </c>
      <c r="C721" s="1" t="n">
        <v>46173</v>
      </c>
      <c r="D721" t="inlineStr">
        <is>
          <t>SÖDERMANLANDS LÄN</t>
        </is>
      </c>
      <c r="E721" t="inlineStr">
        <is>
          <t>KATRINEHOLM</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2645-2026</t>
        </is>
      </c>
      <c r="B722" s="1" t="n">
        <v>46037.62321759259</v>
      </c>
      <c r="C722" s="1" t="n">
        <v>46173</v>
      </c>
      <c r="D722" t="inlineStr">
        <is>
          <t>SÖDERMANLANDS LÄN</t>
        </is>
      </c>
      <c r="E722" t="inlineStr">
        <is>
          <t>KATRINEHOLM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2672-2026</t>
        </is>
      </c>
      <c r="B723" s="1" t="n">
        <v>46037</v>
      </c>
      <c r="C723" s="1" t="n">
        <v>46173</v>
      </c>
      <c r="D723" t="inlineStr">
        <is>
          <t>SÖDERMANLANDS LÄN</t>
        </is>
      </c>
      <c r="E723" t="inlineStr">
        <is>
          <t>KATRINEHOLM</t>
        </is>
      </c>
      <c r="G723" t="n">
        <v>2.1</v>
      </c>
      <c r="H723" t="n">
        <v>0</v>
      </c>
      <c r="I723" t="n">
        <v>0</v>
      </c>
      <c r="J723" t="n">
        <v>0</v>
      </c>
      <c r="K723" t="n">
        <v>0</v>
      </c>
      <c r="L723" t="n">
        <v>0</v>
      </c>
      <c r="M723" t="n">
        <v>0</v>
      </c>
      <c r="N723" t="n">
        <v>0</v>
      </c>
      <c r="O723" t="n">
        <v>0</v>
      </c>
      <c r="P723" t="n">
        <v>0</v>
      </c>
      <c r="Q723" t="n">
        <v>0</v>
      </c>
      <c r="R723" s="2" t="inlineStr"/>
    </row>
    <row r="724" ht="15" customHeight="1">
      <c r="A724" t="inlineStr">
        <is>
          <t>A 2913-2026</t>
        </is>
      </c>
      <c r="B724" s="1" t="n">
        <v>46038.56913194444</v>
      </c>
      <c r="C724" s="1" t="n">
        <v>46173</v>
      </c>
      <c r="D724" t="inlineStr">
        <is>
          <t>SÖDERMANLANDS LÄN</t>
        </is>
      </c>
      <c r="E724" t="inlineStr">
        <is>
          <t>KATRINEHOLM</t>
        </is>
      </c>
      <c r="F724" t="inlineStr">
        <is>
          <t>Övriga Aktiebolag</t>
        </is>
      </c>
      <c r="G724" t="n">
        <v>6.2</v>
      </c>
      <c r="H724" t="n">
        <v>0</v>
      </c>
      <c r="I724" t="n">
        <v>0</v>
      </c>
      <c r="J724" t="n">
        <v>0</v>
      </c>
      <c r="K724" t="n">
        <v>0</v>
      </c>
      <c r="L724" t="n">
        <v>0</v>
      </c>
      <c r="M724" t="n">
        <v>0</v>
      </c>
      <c r="N724" t="n">
        <v>0</v>
      </c>
      <c r="O724" t="n">
        <v>0</v>
      </c>
      <c r="P724" t="n">
        <v>0</v>
      </c>
      <c r="Q724" t="n">
        <v>0</v>
      </c>
      <c r="R724" s="2" t="inlineStr"/>
    </row>
    <row r="725" ht="15" customHeight="1">
      <c r="A725" t="inlineStr">
        <is>
          <t>A 30287-2025</t>
        </is>
      </c>
      <c r="B725" s="1" t="n">
        <v>45827</v>
      </c>
      <c r="C725" s="1" t="n">
        <v>46173</v>
      </c>
      <c r="D725" t="inlineStr">
        <is>
          <t>SÖDERMANLANDS LÄN</t>
        </is>
      </c>
      <c r="E725" t="inlineStr">
        <is>
          <t>KATRINEHOLM</t>
        </is>
      </c>
      <c r="G725" t="n">
        <v>10.2</v>
      </c>
      <c r="H725" t="n">
        <v>0</v>
      </c>
      <c r="I725" t="n">
        <v>0</v>
      </c>
      <c r="J725" t="n">
        <v>0</v>
      </c>
      <c r="K725" t="n">
        <v>0</v>
      </c>
      <c r="L725" t="n">
        <v>0</v>
      </c>
      <c r="M725" t="n">
        <v>0</v>
      </c>
      <c r="N725" t="n">
        <v>0</v>
      </c>
      <c r="O725" t="n">
        <v>0</v>
      </c>
      <c r="P725" t="n">
        <v>0</v>
      </c>
      <c r="Q725" t="n">
        <v>0</v>
      </c>
      <c r="R725" s="2" t="inlineStr"/>
    </row>
    <row r="726" ht="15" customHeight="1">
      <c r="A726" t="inlineStr">
        <is>
          <t>A 30352-2025</t>
        </is>
      </c>
      <c r="B726" s="1" t="n">
        <v>45827</v>
      </c>
      <c r="C726" s="1" t="n">
        <v>46173</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30050-2025</t>
        </is>
      </c>
      <c r="B727" s="1" t="n">
        <v>45826.59151620371</v>
      </c>
      <c r="C727" s="1" t="n">
        <v>46173</v>
      </c>
      <c r="D727" t="inlineStr">
        <is>
          <t>SÖDERMANLANDS LÄN</t>
        </is>
      </c>
      <c r="E727" t="inlineStr">
        <is>
          <t>KATRINEHOLM</t>
        </is>
      </c>
      <c r="G727" t="n">
        <v>7.9</v>
      </c>
      <c r="H727" t="n">
        <v>0</v>
      </c>
      <c r="I727" t="n">
        <v>0</v>
      </c>
      <c r="J727" t="n">
        <v>0</v>
      </c>
      <c r="K727" t="n">
        <v>0</v>
      </c>
      <c r="L727" t="n">
        <v>0</v>
      </c>
      <c r="M727" t="n">
        <v>0</v>
      </c>
      <c r="N727" t="n">
        <v>0</v>
      </c>
      <c r="O727" t="n">
        <v>0</v>
      </c>
      <c r="P727" t="n">
        <v>0</v>
      </c>
      <c r="Q727" t="n">
        <v>0</v>
      </c>
      <c r="R727" s="2" t="inlineStr"/>
    </row>
    <row r="728" ht="15" customHeight="1">
      <c r="A728" t="inlineStr">
        <is>
          <t>A 30350-2025</t>
        </is>
      </c>
      <c r="B728" s="1" t="n">
        <v>45827.53319444445</v>
      </c>
      <c r="C728" s="1" t="n">
        <v>46173</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30386-2025</t>
        </is>
      </c>
      <c r="B729" s="1" t="n">
        <v>45827</v>
      </c>
      <c r="C729" s="1" t="n">
        <v>46173</v>
      </c>
      <c r="D729" t="inlineStr">
        <is>
          <t>SÖDERMANLANDS LÄN</t>
        </is>
      </c>
      <c r="E729" t="inlineStr">
        <is>
          <t>KATRINEHOLM</t>
        </is>
      </c>
      <c r="G729" t="n">
        <v>5.6</v>
      </c>
      <c r="H729" t="n">
        <v>0</v>
      </c>
      <c r="I729" t="n">
        <v>0</v>
      </c>
      <c r="J729" t="n">
        <v>0</v>
      </c>
      <c r="K729" t="n">
        <v>0</v>
      </c>
      <c r="L729" t="n">
        <v>0</v>
      </c>
      <c r="M729" t="n">
        <v>0</v>
      </c>
      <c r="N729" t="n">
        <v>0</v>
      </c>
      <c r="O729" t="n">
        <v>0</v>
      </c>
      <c r="P729" t="n">
        <v>0</v>
      </c>
      <c r="Q729" t="n">
        <v>0</v>
      </c>
      <c r="R729" s="2" t="inlineStr"/>
    </row>
    <row r="730" ht="15" customHeight="1">
      <c r="A730" t="inlineStr">
        <is>
          <t>A 30070-2025</t>
        </is>
      </c>
      <c r="B730" s="1" t="n">
        <v>45826.63324074074</v>
      </c>
      <c r="C730" s="1" t="n">
        <v>46173</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30402-2025</t>
        </is>
      </c>
      <c r="B731" s="1" t="n">
        <v>45827</v>
      </c>
      <c r="C731" s="1" t="n">
        <v>46173</v>
      </c>
      <c r="D731" t="inlineStr">
        <is>
          <t>SÖDERMANLANDS LÄN</t>
        </is>
      </c>
      <c r="E731" t="inlineStr">
        <is>
          <t>KATRINEHOLM</t>
        </is>
      </c>
      <c r="G731" t="n">
        <v>7.1</v>
      </c>
      <c r="H731" t="n">
        <v>0</v>
      </c>
      <c r="I731" t="n">
        <v>0</v>
      </c>
      <c r="J731" t="n">
        <v>0</v>
      </c>
      <c r="K731" t="n">
        <v>0</v>
      </c>
      <c r="L731" t="n">
        <v>0</v>
      </c>
      <c r="M731" t="n">
        <v>0</v>
      </c>
      <c r="N731" t="n">
        <v>0</v>
      </c>
      <c r="O731" t="n">
        <v>0</v>
      </c>
      <c r="P731" t="n">
        <v>0</v>
      </c>
      <c r="Q731" t="n">
        <v>0</v>
      </c>
      <c r="R731" s="2" t="inlineStr"/>
    </row>
    <row r="732" ht="15" customHeight="1">
      <c r="A732" t="inlineStr">
        <is>
          <t>A 31392-2025</t>
        </is>
      </c>
      <c r="B732" s="1" t="n">
        <v>45833</v>
      </c>
      <c r="C732" s="1" t="n">
        <v>46173</v>
      </c>
      <c r="D732" t="inlineStr">
        <is>
          <t>SÖDERMANLANDS LÄN</t>
        </is>
      </c>
      <c r="E732" t="inlineStr">
        <is>
          <t>KATRINEHOLM</t>
        </is>
      </c>
      <c r="G732" t="n">
        <v>5</v>
      </c>
      <c r="H732" t="n">
        <v>0</v>
      </c>
      <c r="I732" t="n">
        <v>0</v>
      </c>
      <c r="J732" t="n">
        <v>0</v>
      </c>
      <c r="K732" t="n">
        <v>0</v>
      </c>
      <c r="L732" t="n">
        <v>0</v>
      </c>
      <c r="M732" t="n">
        <v>0</v>
      </c>
      <c r="N732" t="n">
        <v>0</v>
      </c>
      <c r="O732" t="n">
        <v>0</v>
      </c>
      <c r="P732" t="n">
        <v>0</v>
      </c>
      <c r="Q732" t="n">
        <v>0</v>
      </c>
      <c r="R732" s="2" t="inlineStr"/>
    </row>
    <row r="733" ht="15" customHeight="1">
      <c r="A733" t="inlineStr">
        <is>
          <t>A 31376-2025</t>
        </is>
      </c>
      <c r="B733" s="1" t="n">
        <v>45833</v>
      </c>
      <c r="C733" s="1" t="n">
        <v>46173</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31386-2025</t>
        </is>
      </c>
      <c r="B734" s="1" t="n">
        <v>45833.45259259259</v>
      </c>
      <c r="C734" s="1" t="n">
        <v>46173</v>
      </c>
      <c r="D734" t="inlineStr">
        <is>
          <t>SÖDERMANLANDS LÄN</t>
        </is>
      </c>
      <c r="E734" t="inlineStr">
        <is>
          <t>KATRINEHOLM</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4889-2026</t>
        </is>
      </c>
      <c r="B735" s="1" t="n">
        <v>46048.66766203703</v>
      </c>
      <c r="C735" s="1" t="n">
        <v>46173</v>
      </c>
      <c r="D735" t="inlineStr">
        <is>
          <t>SÖDERMANLANDS LÄN</t>
        </is>
      </c>
      <c r="E735" t="inlineStr">
        <is>
          <t>KATRINEHOLM</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5703-2026</t>
        </is>
      </c>
      <c r="B736" s="1" t="n">
        <v>46051.50774305555</v>
      </c>
      <c r="C736" s="1" t="n">
        <v>46173</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31990-2025</t>
        </is>
      </c>
      <c r="B737" s="1" t="n">
        <v>45835.36697916667</v>
      </c>
      <c r="C737" s="1" t="n">
        <v>46173</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33084-2025</t>
        </is>
      </c>
      <c r="B738" s="1" t="n">
        <v>45840.46559027778</v>
      </c>
      <c r="C738" s="1" t="n">
        <v>46173</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33577-2025</t>
        </is>
      </c>
      <c r="B739" s="1" t="n">
        <v>45841.59056712963</v>
      </c>
      <c r="C739" s="1" t="n">
        <v>46173</v>
      </c>
      <c r="D739" t="inlineStr">
        <is>
          <t>SÖDERMANLANDS LÄN</t>
        </is>
      </c>
      <c r="E739" t="inlineStr">
        <is>
          <t>KATRINEHOLM</t>
        </is>
      </c>
      <c r="F739" t="inlineStr">
        <is>
          <t>Holmen skog AB</t>
        </is>
      </c>
      <c r="G739" t="n">
        <v>0.3</v>
      </c>
      <c r="H739" t="n">
        <v>0</v>
      </c>
      <c r="I739" t="n">
        <v>0</v>
      </c>
      <c r="J739" t="n">
        <v>0</v>
      </c>
      <c r="K739" t="n">
        <v>0</v>
      </c>
      <c r="L739" t="n">
        <v>0</v>
      </c>
      <c r="M739" t="n">
        <v>0</v>
      </c>
      <c r="N739" t="n">
        <v>0</v>
      </c>
      <c r="O739" t="n">
        <v>0</v>
      </c>
      <c r="P739" t="n">
        <v>0</v>
      </c>
      <c r="Q739" t="n">
        <v>0</v>
      </c>
      <c r="R739" s="2" t="inlineStr"/>
    </row>
    <row r="740" ht="15" customHeight="1">
      <c r="A740" t="inlineStr">
        <is>
          <t>A 33090-2025</t>
        </is>
      </c>
      <c r="B740" s="1" t="n">
        <v>45840.46840277778</v>
      </c>
      <c r="C740" s="1" t="n">
        <v>46173</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7513-2026</t>
        </is>
      </c>
      <c r="B741" s="1" t="n">
        <v>46059.59083333334</v>
      </c>
      <c r="C741" s="1" t="n">
        <v>46173</v>
      </c>
      <c r="D741" t="inlineStr">
        <is>
          <t>SÖDERMANLANDS LÄN</t>
        </is>
      </c>
      <c r="E741" t="inlineStr">
        <is>
          <t>KATRINEHOLM</t>
        </is>
      </c>
      <c r="F741" t="inlineStr">
        <is>
          <t>Övriga Aktiebolag</t>
        </is>
      </c>
      <c r="G741" t="n">
        <v>5</v>
      </c>
      <c r="H741" t="n">
        <v>0</v>
      </c>
      <c r="I741" t="n">
        <v>0</v>
      </c>
      <c r="J741" t="n">
        <v>0</v>
      </c>
      <c r="K741" t="n">
        <v>0</v>
      </c>
      <c r="L741" t="n">
        <v>0</v>
      </c>
      <c r="M741" t="n">
        <v>0</v>
      </c>
      <c r="N741" t="n">
        <v>0</v>
      </c>
      <c r="O741" t="n">
        <v>0</v>
      </c>
      <c r="P741" t="n">
        <v>0</v>
      </c>
      <c r="Q741" t="n">
        <v>0</v>
      </c>
      <c r="R741" s="2" t="inlineStr"/>
    </row>
    <row r="742" ht="15" customHeight="1">
      <c r="A742" t="inlineStr">
        <is>
          <t>A 33812-2025</t>
        </is>
      </c>
      <c r="B742" s="1" t="n">
        <v>45842</v>
      </c>
      <c r="C742" s="1" t="n">
        <v>46173</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6762-2025</t>
        </is>
      </c>
      <c r="B743" s="1" t="n">
        <v>45700</v>
      </c>
      <c r="C743" s="1" t="n">
        <v>46173</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33815-2025</t>
        </is>
      </c>
      <c r="B744" s="1" t="n">
        <v>45842</v>
      </c>
      <c r="C744" s="1" t="n">
        <v>46173</v>
      </c>
      <c r="D744" t="inlineStr">
        <is>
          <t>SÖDERMANLANDS LÄN</t>
        </is>
      </c>
      <c r="E744" t="inlineStr">
        <is>
          <t>KATRINEHOLM</t>
        </is>
      </c>
      <c r="G744" t="n">
        <v>3.4</v>
      </c>
      <c r="H744" t="n">
        <v>0</v>
      </c>
      <c r="I744" t="n">
        <v>0</v>
      </c>
      <c r="J744" t="n">
        <v>0</v>
      </c>
      <c r="K744" t="n">
        <v>0</v>
      </c>
      <c r="L744" t="n">
        <v>0</v>
      </c>
      <c r="M744" t="n">
        <v>0</v>
      </c>
      <c r="N744" t="n">
        <v>0</v>
      </c>
      <c r="O744" t="n">
        <v>0</v>
      </c>
      <c r="P744" t="n">
        <v>0</v>
      </c>
      <c r="Q744" t="n">
        <v>0</v>
      </c>
      <c r="R744" s="2" t="inlineStr"/>
    </row>
    <row r="745" ht="15" customHeight="1">
      <c r="A745" t="inlineStr">
        <is>
          <t>A 20213-2025</t>
        </is>
      </c>
      <c r="B745" s="1" t="n">
        <v>45772.63453703704</v>
      </c>
      <c r="C745" s="1" t="n">
        <v>46173</v>
      </c>
      <c r="D745" t="inlineStr">
        <is>
          <t>SÖDERMANLANDS LÄN</t>
        </is>
      </c>
      <c r="E745" t="inlineStr">
        <is>
          <t>KATRINEHOLM</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35156-2025</t>
        </is>
      </c>
      <c r="B746" s="1" t="n">
        <v>45852</v>
      </c>
      <c r="C746" s="1" t="n">
        <v>46173</v>
      </c>
      <c r="D746" t="inlineStr">
        <is>
          <t>SÖDERMANLANDS LÄN</t>
        </is>
      </c>
      <c r="E746" t="inlineStr">
        <is>
          <t>KATRINEHOLM</t>
        </is>
      </c>
      <c r="G746" t="n">
        <v>5.7</v>
      </c>
      <c r="H746" t="n">
        <v>0</v>
      </c>
      <c r="I746" t="n">
        <v>0</v>
      </c>
      <c r="J746" t="n">
        <v>0</v>
      </c>
      <c r="K746" t="n">
        <v>0</v>
      </c>
      <c r="L746" t="n">
        <v>0</v>
      </c>
      <c r="M746" t="n">
        <v>0</v>
      </c>
      <c r="N746" t="n">
        <v>0</v>
      </c>
      <c r="O746" t="n">
        <v>0</v>
      </c>
      <c r="P746" t="n">
        <v>0</v>
      </c>
      <c r="Q746" t="n">
        <v>0</v>
      </c>
      <c r="R746" s="2" t="inlineStr"/>
    </row>
    <row r="747" ht="15" customHeight="1">
      <c r="A747" t="inlineStr">
        <is>
          <t>A 35145-2025</t>
        </is>
      </c>
      <c r="B747" s="1" t="n">
        <v>45852</v>
      </c>
      <c r="C747" s="1" t="n">
        <v>46173</v>
      </c>
      <c r="D747" t="inlineStr">
        <is>
          <t>SÖDERMANLANDS LÄN</t>
        </is>
      </c>
      <c r="E747" t="inlineStr">
        <is>
          <t>KATRINEHOLM</t>
        </is>
      </c>
      <c r="G747" t="n">
        <v>3.1</v>
      </c>
      <c r="H747" t="n">
        <v>0</v>
      </c>
      <c r="I747" t="n">
        <v>0</v>
      </c>
      <c r="J747" t="n">
        <v>0</v>
      </c>
      <c r="K747" t="n">
        <v>0</v>
      </c>
      <c r="L747" t="n">
        <v>0</v>
      </c>
      <c r="M747" t="n">
        <v>0</v>
      </c>
      <c r="N747" t="n">
        <v>0</v>
      </c>
      <c r="O747" t="n">
        <v>0</v>
      </c>
      <c r="P747" t="n">
        <v>0</v>
      </c>
      <c r="Q747" t="n">
        <v>0</v>
      </c>
      <c r="R747" s="2" t="inlineStr"/>
    </row>
    <row r="748" ht="15" customHeight="1">
      <c r="A748" t="inlineStr">
        <is>
          <t>A 35157-2025</t>
        </is>
      </c>
      <c r="B748" s="1" t="n">
        <v>45852</v>
      </c>
      <c r="C748" s="1" t="n">
        <v>46173</v>
      </c>
      <c r="D748" t="inlineStr">
        <is>
          <t>SÖDERMANLANDS LÄN</t>
        </is>
      </c>
      <c r="E748" t="inlineStr">
        <is>
          <t>KATRINEHOLM</t>
        </is>
      </c>
      <c r="G748" t="n">
        <v>3.7</v>
      </c>
      <c r="H748" t="n">
        <v>0</v>
      </c>
      <c r="I748" t="n">
        <v>0</v>
      </c>
      <c r="J748" t="n">
        <v>0</v>
      </c>
      <c r="K748" t="n">
        <v>0</v>
      </c>
      <c r="L748" t="n">
        <v>0</v>
      </c>
      <c r="M748" t="n">
        <v>0</v>
      </c>
      <c r="N748" t="n">
        <v>0</v>
      </c>
      <c r="O748" t="n">
        <v>0</v>
      </c>
      <c r="P748" t="n">
        <v>0</v>
      </c>
      <c r="Q748" t="n">
        <v>0</v>
      </c>
      <c r="R748" s="2" t="inlineStr"/>
    </row>
    <row r="749" ht="15" customHeight="1">
      <c r="A749" t="inlineStr">
        <is>
          <t>A 35084-2025</t>
        </is>
      </c>
      <c r="B749" s="1" t="n">
        <v>45852</v>
      </c>
      <c r="C749" s="1" t="n">
        <v>46173</v>
      </c>
      <c r="D749" t="inlineStr">
        <is>
          <t>SÖDERMANLANDS LÄN</t>
        </is>
      </c>
      <c r="E749" t="inlineStr">
        <is>
          <t>KATRINEHOLM</t>
        </is>
      </c>
      <c r="G749" t="n">
        <v>3.2</v>
      </c>
      <c r="H749" t="n">
        <v>0</v>
      </c>
      <c r="I749" t="n">
        <v>0</v>
      </c>
      <c r="J749" t="n">
        <v>0</v>
      </c>
      <c r="K749" t="n">
        <v>0</v>
      </c>
      <c r="L749" t="n">
        <v>0</v>
      </c>
      <c r="M749" t="n">
        <v>0</v>
      </c>
      <c r="N749" t="n">
        <v>0</v>
      </c>
      <c r="O749" t="n">
        <v>0</v>
      </c>
      <c r="P749" t="n">
        <v>0</v>
      </c>
      <c r="Q749" t="n">
        <v>0</v>
      </c>
      <c r="R749" s="2" t="inlineStr"/>
    </row>
    <row r="750" ht="15" customHeight="1">
      <c r="A750" t="inlineStr">
        <is>
          <t>A 35149-2025</t>
        </is>
      </c>
      <c r="B750" s="1" t="n">
        <v>45852</v>
      </c>
      <c r="C750" s="1" t="n">
        <v>46173</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35161-2025</t>
        </is>
      </c>
      <c r="B751" s="1" t="n">
        <v>45852.70716435185</v>
      </c>
      <c r="C751" s="1" t="n">
        <v>46173</v>
      </c>
      <c r="D751" t="inlineStr">
        <is>
          <t>SÖDERMANLANDS LÄN</t>
        </is>
      </c>
      <c r="E751" t="inlineStr">
        <is>
          <t>KATRINEHOLM</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35152-2025</t>
        </is>
      </c>
      <c r="B752" s="1" t="n">
        <v>45852</v>
      </c>
      <c r="C752" s="1" t="n">
        <v>46173</v>
      </c>
      <c r="D752" t="inlineStr">
        <is>
          <t>SÖDERMANLANDS LÄN</t>
        </is>
      </c>
      <c r="E752" t="inlineStr">
        <is>
          <t>KATRINEHOLM</t>
        </is>
      </c>
      <c r="G752" t="n">
        <v>4.6</v>
      </c>
      <c r="H752" t="n">
        <v>0</v>
      </c>
      <c r="I752" t="n">
        <v>0</v>
      </c>
      <c r="J752" t="n">
        <v>0</v>
      </c>
      <c r="K752" t="n">
        <v>0</v>
      </c>
      <c r="L752" t="n">
        <v>0</v>
      </c>
      <c r="M752" t="n">
        <v>0</v>
      </c>
      <c r="N752" t="n">
        <v>0</v>
      </c>
      <c r="O752" t="n">
        <v>0</v>
      </c>
      <c r="P752" t="n">
        <v>0</v>
      </c>
      <c r="Q752" t="n">
        <v>0</v>
      </c>
      <c r="R752" s="2" t="inlineStr"/>
    </row>
    <row r="753" ht="15" customHeight="1">
      <c r="A753" t="inlineStr">
        <is>
          <t>A 35165-2025</t>
        </is>
      </c>
      <c r="B753" s="1" t="n">
        <v>45852.72320601852</v>
      </c>
      <c r="C753" s="1" t="n">
        <v>46173</v>
      </c>
      <c r="D753" t="inlineStr">
        <is>
          <t>SÖDERMANLANDS LÄN</t>
        </is>
      </c>
      <c r="E753" t="inlineStr">
        <is>
          <t>KATRINEHOLM</t>
        </is>
      </c>
      <c r="F753" t="inlineStr">
        <is>
          <t>Övriga Aktiebolag</t>
        </is>
      </c>
      <c r="G753" t="n">
        <v>20.7</v>
      </c>
      <c r="H753" t="n">
        <v>0</v>
      </c>
      <c r="I753" t="n">
        <v>0</v>
      </c>
      <c r="J753" t="n">
        <v>0</v>
      </c>
      <c r="K753" t="n">
        <v>0</v>
      </c>
      <c r="L753" t="n">
        <v>0</v>
      </c>
      <c r="M753" t="n">
        <v>0</v>
      </c>
      <c r="N753" t="n">
        <v>0</v>
      </c>
      <c r="O753" t="n">
        <v>0</v>
      </c>
      <c r="P753" t="n">
        <v>0</v>
      </c>
      <c r="Q753" t="n">
        <v>0</v>
      </c>
      <c r="R753" s="2" t="inlineStr"/>
    </row>
    <row r="754" ht="15" customHeight="1">
      <c r="A754" t="inlineStr">
        <is>
          <t>A 35158-2025</t>
        </is>
      </c>
      <c r="B754" s="1" t="n">
        <v>45852</v>
      </c>
      <c r="C754" s="1" t="n">
        <v>46173</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34439-2025</t>
        </is>
      </c>
      <c r="B755" s="1" t="n">
        <v>45845</v>
      </c>
      <c r="C755" s="1" t="n">
        <v>46173</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10086-2026</t>
        </is>
      </c>
      <c r="B756" s="1" t="n">
        <v>46073.68959490741</v>
      </c>
      <c r="C756" s="1" t="n">
        <v>46173</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34176-2025</t>
        </is>
      </c>
      <c r="B757" s="1" t="n">
        <v>45845</v>
      </c>
      <c r="C757" s="1" t="n">
        <v>46173</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10892-2026</t>
        </is>
      </c>
      <c r="B758" s="1" t="n">
        <v>46078.8040625</v>
      </c>
      <c r="C758" s="1" t="n">
        <v>46173</v>
      </c>
      <c r="D758" t="inlineStr">
        <is>
          <t>SÖDERMANLANDS LÄN</t>
        </is>
      </c>
      <c r="E758" t="inlineStr">
        <is>
          <t>KATRINEHOLM</t>
        </is>
      </c>
      <c r="F758" t="inlineStr">
        <is>
          <t>Allmännings- och besparingsskogar</t>
        </is>
      </c>
      <c r="G758" t="n">
        <v>3</v>
      </c>
      <c r="H758" t="n">
        <v>0</v>
      </c>
      <c r="I758" t="n">
        <v>0</v>
      </c>
      <c r="J758" t="n">
        <v>0</v>
      </c>
      <c r="K758" t="n">
        <v>0</v>
      </c>
      <c r="L758" t="n">
        <v>0</v>
      </c>
      <c r="M758" t="n">
        <v>0</v>
      </c>
      <c r="N758" t="n">
        <v>0</v>
      </c>
      <c r="O758" t="n">
        <v>0</v>
      </c>
      <c r="P758" t="n">
        <v>0</v>
      </c>
      <c r="Q758" t="n">
        <v>0</v>
      </c>
      <c r="R758" s="2" t="inlineStr"/>
    </row>
    <row r="759" ht="15" customHeight="1">
      <c r="A759" t="inlineStr">
        <is>
          <t>A 13848-2026</t>
        </is>
      </c>
      <c r="B759" s="1" t="n">
        <v>46098.38704861111</v>
      </c>
      <c r="C759" s="1" t="n">
        <v>46173</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11130-2026</t>
        </is>
      </c>
      <c r="B760" s="1" t="n">
        <v>46079.70384259259</v>
      </c>
      <c r="C760" s="1" t="n">
        <v>46173</v>
      </c>
      <c r="D760" t="inlineStr">
        <is>
          <t>SÖDERMANLANDS LÄN</t>
        </is>
      </c>
      <c r="E760" t="inlineStr">
        <is>
          <t>KATRINEHOLM</t>
        </is>
      </c>
      <c r="F760" t="inlineStr">
        <is>
          <t>Kommuner</t>
        </is>
      </c>
      <c r="G760" t="n">
        <v>1.5</v>
      </c>
      <c r="H760" t="n">
        <v>0</v>
      </c>
      <c r="I760" t="n">
        <v>0</v>
      </c>
      <c r="J760" t="n">
        <v>0</v>
      </c>
      <c r="K760" t="n">
        <v>0</v>
      </c>
      <c r="L760" t="n">
        <v>0</v>
      </c>
      <c r="M760" t="n">
        <v>0</v>
      </c>
      <c r="N760" t="n">
        <v>0</v>
      </c>
      <c r="O760" t="n">
        <v>0</v>
      </c>
      <c r="P760" t="n">
        <v>0</v>
      </c>
      <c r="Q760" t="n">
        <v>0</v>
      </c>
      <c r="R760" s="2" t="inlineStr"/>
    </row>
    <row r="761" ht="15" customHeight="1">
      <c r="A761" t="inlineStr">
        <is>
          <t>A 10891-2026</t>
        </is>
      </c>
      <c r="B761" s="1" t="n">
        <v>46078.78545138889</v>
      </c>
      <c r="C761" s="1" t="n">
        <v>46173</v>
      </c>
      <c r="D761" t="inlineStr">
        <is>
          <t>SÖDERMANLANDS LÄN</t>
        </is>
      </c>
      <c r="E761" t="inlineStr">
        <is>
          <t>KATRINEHOLM</t>
        </is>
      </c>
      <c r="F761" t="inlineStr">
        <is>
          <t>Allmännings- och besparingsskogar</t>
        </is>
      </c>
      <c r="G761" t="n">
        <v>1.6</v>
      </c>
      <c r="H761" t="n">
        <v>0</v>
      </c>
      <c r="I761" t="n">
        <v>0</v>
      </c>
      <c r="J761" t="n">
        <v>0</v>
      </c>
      <c r="K761" t="n">
        <v>0</v>
      </c>
      <c r="L761" t="n">
        <v>0</v>
      </c>
      <c r="M761" t="n">
        <v>0</v>
      </c>
      <c r="N761" t="n">
        <v>0</v>
      </c>
      <c r="O761" t="n">
        <v>0</v>
      </c>
      <c r="P761" t="n">
        <v>0</v>
      </c>
      <c r="Q761" t="n">
        <v>0</v>
      </c>
      <c r="R761" s="2" t="inlineStr"/>
    </row>
    <row r="762" ht="15" customHeight="1">
      <c r="A762" t="inlineStr">
        <is>
          <t>A 10893-2026</t>
        </is>
      </c>
      <c r="B762" s="1" t="n">
        <v>46078.81072916667</v>
      </c>
      <c r="C762" s="1" t="n">
        <v>46173</v>
      </c>
      <c r="D762" t="inlineStr">
        <is>
          <t>SÖDERMANLANDS LÄN</t>
        </is>
      </c>
      <c r="E762" t="inlineStr">
        <is>
          <t>KATRINEHOLM</t>
        </is>
      </c>
      <c r="F762" t="inlineStr">
        <is>
          <t>Allmännings- och besparingsskogar</t>
        </is>
      </c>
      <c r="G762" t="n">
        <v>2</v>
      </c>
      <c r="H762" t="n">
        <v>0</v>
      </c>
      <c r="I762" t="n">
        <v>0</v>
      </c>
      <c r="J762" t="n">
        <v>0</v>
      </c>
      <c r="K762" t="n">
        <v>0</v>
      </c>
      <c r="L762" t="n">
        <v>0</v>
      </c>
      <c r="M762" t="n">
        <v>0</v>
      </c>
      <c r="N762" t="n">
        <v>0</v>
      </c>
      <c r="O762" t="n">
        <v>0</v>
      </c>
      <c r="P762" t="n">
        <v>0</v>
      </c>
      <c r="Q762" t="n">
        <v>0</v>
      </c>
      <c r="R762" s="2" t="inlineStr"/>
    </row>
    <row r="763" ht="15" customHeight="1">
      <c r="A763" t="inlineStr">
        <is>
          <t>A 10721-2026</t>
        </is>
      </c>
      <c r="B763" s="1" t="n">
        <v>46078.46894675926</v>
      </c>
      <c r="C763" s="1" t="n">
        <v>46173</v>
      </c>
      <c r="D763" t="inlineStr">
        <is>
          <t>SÖDERMANLANDS LÄN</t>
        </is>
      </c>
      <c r="E763" t="inlineStr">
        <is>
          <t>KATRINEHOLM</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14622-2026</t>
        </is>
      </c>
      <c r="B764" s="1" t="n">
        <v>46101.38826388889</v>
      </c>
      <c r="C764" s="1" t="n">
        <v>46173</v>
      </c>
      <c r="D764" t="inlineStr">
        <is>
          <t>SÖDERMANLANDS LÄN</t>
        </is>
      </c>
      <c r="E764" t="inlineStr">
        <is>
          <t>KATRINEHOLM</t>
        </is>
      </c>
      <c r="G764" t="n">
        <v>2.5</v>
      </c>
      <c r="H764" t="n">
        <v>0</v>
      </c>
      <c r="I764" t="n">
        <v>0</v>
      </c>
      <c r="J764" t="n">
        <v>0</v>
      </c>
      <c r="K764" t="n">
        <v>0</v>
      </c>
      <c r="L764" t="n">
        <v>0</v>
      </c>
      <c r="M764" t="n">
        <v>0</v>
      </c>
      <c r="N764" t="n">
        <v>0</v>
      </c>
      <c r="O764" t="n">
        <v>0</v>
      </c>
      <c r="P764" t="n">
        <v>0</v>
      </c>
      <c r="Q764" t="n">
        <v>0</v>
      </c>
      <c r="R764" s="2" t="inlineStr"/>
    </row>
    <row r="765" ht="15" customHeight="1">
      <c r="A765" t="inlineStr">
        <is>
          <t>A 44024-2021</t>
        </is>
      </c>
      <c r="B765" s="1" t="n">
        <v>44434</v>
      </c>
      <c r="C765" s="1" t="n">
        <v>46173</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11677-2026</t>
        </is>
      </c>
      <c r="B766" s="1" t="n">
        <v>46084.56711805556</v>
      </c>
      <c r="C766" s="1" t="n">
        <v>46173</v>
      </c>
      <c r="D766" t="inlineStr">
        <is>
          <t>SÖDERMANLANDS LÄN</t>
        </is>
      </c>
      <c r="E766" t="inlineStr">
        <is>
          <t>KATRINEHOLM</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11666-2026</t>
        </is>
      </c>
      <c r="B767" s="1" t="n">
        <v>46084.55381944445</v>
      </c>
      <c r="C767" s="1" t="n">
        <v>46173</v>
      </c>
      <c r="D767" t="inlineStr">
        <is>
          <t>SÖDERMANLANDS LÄN</t>
        </is>
      </c>
      <c r="E767" t="inlineStr">
        <is>
          <t>KATRINEHOLM</t>
        </is>
      </c>
      <c r="F767" t="inlineStr">
        <is>
          <t>Holmen skog AB</t>
        </is>
      </c>
      <c r="G767" t="n">
        <v>0.5</v>
      </c>
      <c r="H767" t="n">
        <v>0</v>
      </c>
      <c r="I767" t="n">
        <v>0</v>
      </c>
      <c r="J767" t="n">
        <v>0</v>
      </c>
      <c r="K767" t="n">
        <v>0</v>
      </c>
      <c r="L767" t="n">
        <v>0</v>
      </c>
      <c r="M767" t="n">
        <v>0</v>
      </c>
      <c r="N767" t="n">
        <v>0</v>
      </c>
      <c r="O767" t="n">
        <v>0</v>
      </c>
      <c r="P767" t="n">
        <v>0</v>
      </c>
      <c r="Q767" t="n">
        <v>0</v>
      </c>
      <c r="R767" s="2" t="inlineStr"/>
    </row>
    <row r="768" ht="15" customHeight="1">
      <c r="A768" t="inlineStr">
        <is>
          <t>A 11621-2026</t>
        </is>
      </c>
      <c r="B768" s="1" t="n">
        <v>46084.46734953704</v>
      </c>
      <c r="C768" s="1" t="n">
        <v>46173</v>
      </c>
      <c r="D768" t="inlineStr">
        <is>
          <t>SÖDERMANLANDS LÄN</t>
        </is>
      </c>
      <c r="E768" t="inlineStr">
        <is>
          <t>KATRINEHOLM</t>
        </is>
      </c>
      <c r="F768" t="inlineStr">
        <is>
          <t>Holmen skog AB</t>
        </is>
      </c>
      <c r="G768" t="n">
        <v>0.5</v>
      </c>
      <c r="H768" t="n">
        <v>0</v>
      </c>
      <c r="I768" t="n">
        <v>0</v>
      </c>
      <c r="J768" t="n">
        <v>0</v>
      </c>
      <c r="K768" t="n">
        <v>0</v>
      </c>
      <c r="L768" t="n">
        <v>0</v>
      </c>
      <c r="M768" t="n">
        <v>0</v>
      </c>
      <c r="N768" t="n">
        <v>0</v>
      </c>
      <c r="O768" t="n">
        <v>0</v>
      </c>
      <c r="P768" t="n">
        <v>0</v>
      </c>
      <c r="Q768" t="n">
        <v>0</v>
      </c>
      <c r="R768" s="2" t="inlineStr"/>
    </row>
    <row r="769" ht="15" customHeight="1">
      <c r="A769" t="inlineStr">
        <is>
          <t>A 12227-2025</t>
        </is>
      </c>
      <c r="B769" s="1" t="n">
        <v>45729.56836805555</v>
      </c>
      <c r="C769" s="1" t="n">
        <v>46173</v>
      </c>
      <c r="D769" t="inlineStr">
        <is>
          <t>SÖDERMANLANDS LÄN</t>
        </is>
      </c>
      <c r="E769" t="inlineStr">
        <is>
          <t>KATRINEHOLM</t>
        </is>
      </c>
      <c r="G769" t="n">
        <v>7</v>
      </c>
      <c r="H769" t="n">
        <v>0</v>
      </c>
      <c r="I769" t="n">
        <v>0</v>
      </c>
      <c r="J769" t="n">
        <v>0</v>
      </c>
      <c r="K769" t="n">
        <v>0</v>
      </c>
      <c r="L769" t="n">
        <v>0</v>
      </c>
      <c r="M769" t="n">
        <v>0</v>
      </c>
      <c r="N769" t="n">
        <v>0</v>
      </c>
      <c r="O769" t="n">
        <v>0</v>
      </c>
      <c r="P769" t="n">
        <v>0</v>
      </c>
      <c r="Q769" t="n">
        <v>0</v>
      </c>
      <c r="R769" s="2" t="inlineStr"/>
    </row>
    <row r="770" ht="15" customHeight="1">
      <c r="A770" t="inlineStr">
        <is>
          <t>A 36590-2025</t>
        </is>
      </c>
      <c r="B770" s="1" t="n">
        <v>45870</v>
      </c>
      <c r="C770" s="1" t="n">
        <v>46173</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50021-2023</t>
        </is>
      </c>
      <c r="B771" s="1" t="n">
        <v>45215</v>
      </c>
      <c r="C771" s="1" t="n">
        <v>46173</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26684-2025</t>
        </is>
      </c>
      <c r="B772" s="1" t="n">
        <v>45810</v>
      </c>
      <c r="C772" s="1" t="n">
        <v>46173</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37043-2025</t>
        </is>
      </c>
      <c r="B773" s="1" t="n">
        <v>45875.3396412037</v>
      </c>
      <c r="C773" s="1" t="n">
        <v>46173</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19098-2026</t>
        </is>
      </c>
      <c r="B774" s="1" t="n">
        <v>46132.42950231482</v>
      </c>
      <c r="C774" s="1" t="n">
        <v>46173</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19187-2026</t>
        </is>
      </c>
      <c r="B775" s="1" t="n">
        <v>46132.59921296296</v>
      </c>
      <c r="C775" s="1" t="n">
        <v>46173</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12831-2026</t>
        </is>
      </c>
      <c r="B776" s="1" t="n">
        <v>46092.42416666666</v>
      </c>
      <c r="C776" s="1" t="n">
        <v>46173</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37827-2025</t>
        </is>
      </c>
      <c r="B777" s="1" t="n">
        <v>45881.40907407407</v>
      </c>
      <c r="C777" s="1" t="n">
        <v>46173</v>
      </c>
      <c r="D777" t="inlineStr">
        <is>
          <t>SÖDERMANLANDS LÄN</t>
        </is>
      </c>
      <c r="E777" t="inlineStr">
        <is>
          <t>KATRINEHOLM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19813-2026</t>
        </is>
      </c>
      <c r="B778" s="1" t="n">
        <v>46135.56923611111</v>
      </c>
      <c r="C778" s="1" t="n">
        <v>46173</v>
      </c>
      <c r="D778" t="inlineStr">
        <is>
          <t>SÖDERMANLANDS LÄN</t>
        </is>
      </c>
      <c r="E778" t="inlineStr">
        <is>
          <t>KATRINEHOLM</t>
        </is>
      </c>
      <c r="G778" t="n">
        <v>4.7</v>
      </c>
      <c r="H778" t="n">
        <v>0</v>
      </c>
      <c r="I778" t="n">
        <v>0</v>
      </c>
      <c r="J778" t="n">
        <v>0</v>
      </c>
      <c r="K778" t="n">
        <v>0</v>
      </c>
      <c r="L778" t="n">
        <v>0</v>
      </c>
      <c r="M778" t="n">
        <v>0</v>
      </c>
      <c r="N778" t="n">
        <v>0</v>
      </c>
      <c r="O778" t="n">
        <v>0</v>
      </c>
      <c r="P778" t="n">
        <v>0</v>
      </c>
      <c r="Q778" t="n">
        <v>0</v>
      </c>
      <c r="R778" s="2" t="inlineStr"/>
    </row>
    <row r="779" ht="15" customHeight="1">
      <c r="A779" t="inlineStr">
        <is>
          <t>A 11543-2025</t>
        </is>
      </c>
      <c r="B779" s="1" t="n">
        <v>45727.34248842593</v>
      </c>
      <c r="C779" s="1" t="n">
        <v>46173</v>
      </c>
      <c r="D779" t="inlineStr">
        <is>
          <t>SÖDERMANLANDS LÄN</t>
        </is>
      </c>
      <c r="E779" t="inlineStr">
        <is>
          <t>KATRINEHOLM</t>
        </is>
      </c>
      <c r="G779" t="n">
        <v>3.6</v>
      </c>
      <c r="H779" t="n">
        <v>0</v>
      </c>
      <c r="I779" t="n">
        <v>0</v>
      </c>
      <c r="J779" t="n">
        <v>0</v>
      </c>
      <c r="K779" t="n">
        <v>0</v>
      </c>
      <c r="L779" t="n">
        <v>0</v>
      </c>
      <c r="M779" t="n">
        <v>0</v>
      </c>
      <c r="N779" t="n">
        <v>0</v>
      </c>
      <c r="O779" t="n">
        <v>0</v>
      </c>
      <c r="P779" t="n">
        <v>0</v>
      </c>
      <c r="Q779" t="n">
        <v>0</v>
      </c>
      <c r="R779" s="2" t="inlineStr"/>
    </row>
    <row r="780" ht="15" customHeight="1">
      <c r="A780" t="inlineStr">
        <is>
          <t>A 35228-2025</t>
        </is>
      </c>
      <c r="B780" s="1" t="n">
        <v>45853</v>
      </c>
      <c r="C780" s="1" t="n">
        <v>46173</v>
      </c>
      <c r="D780" t="inlineStr">
        <is>
          <t>SÖDERMANLANDS LÄN</t>
        </is>
      </c>
      <c r="E780" t="inlineStr">
        <is>
          <t>KATRINEHOLM</t>
        </is>
      </c>
      <c r="G780" t="n">
        <v>1.1</v>
      </c>
      <c r="H780" t="n">
        <v>0</v>
      </c>
      <c r="I780" t="n">
        <v>0</v>
      </c>
      <c r="J780" t="n">
        <v>0</v>
      </c>
      <c r="K780" t="n">
        <v>0</v>
      </c>
      <c r="L780" t="n">
        <v>0</v>
      </c>
      <c r="M780" t="n">
        <v>0</v>
      </c>
      <c r="N780" t="n">
        <v>0</v>
      </c>
      <c r="O780" t="n">
        <v>0</v>
      </c>
      <c r="P780" t="n">
        <v>0</v>
      </c>
      <c r="Q780" t="n">
        <v>0</v>
      </c>
      <c r="R780" s="2" t="inlineStr"/>
    </row>
    <row r="781" ht="15" customHeight="1">
      <c r="A781" t="inlineStr">
        <is>
          <t>A 20185-2026</t>
        </is>
      </c>
      <c r="B781" s="1" t="n">
        <v>46136</v>
      </c>
      <c r="C781" s="1" t="n">
        <v>46173</v>
      </c>
      <c r="D781" t="inlineStr">
        <is>
          <t>SÖDERMANLANDS LÄN</t>
        </is>
      </c>
      <c r="E781" t="inlineStr">
        <is>
          <t>KATRINEHOLM</t>
        </is>
      </c>
      <c r="G781" t="n">
        <v>2.7</v>
      </c>
      <c r="H781" t="n">
        <v>0</v>
      </c>
      <c r="I781" t="n">
        <v>0</v>
      </c>
      <c r="J781" t="n">
        <v>0</v>
      </c>
      <c r="K781" t="n">
        <v>0</v>
      </c>
      <c r="L781" t="n">
        <v>0</v>
      </c>
      <c r="M781" t="n">
        <v>0</v>
      </c>
      <c r="N781" t="n">
        <v>0</v>
      </c>
      <c r="O781" t="n">
        <v>0</v>
      </c>
      <c r="P781" t="n">
        <v>0</v>
      </c>
      <c r="Q781" t="n">
        <v>0</v>
      </c>
      <c r="R781" s="2" t="inlineStr"/>
    </row>
    <row r="782" ht="15" customHeight="1">
      <c r="A782" t="inlineStr">
        <is>
          <t>A 20464-2026</t>
        </is>
      </c>
      <c r="B782" s="1" t="n">
        <v>46140.44986111111</v>
      </c>
      <c r="C782" s="1" t="n">
        <v>46173</v>
      </c>
      <c r="D782" t="inlineStr">
        <is>
          <t>SÖDERMANLANDS LÄN</t>
        </is>
      </c>
      <c r="E782" t="inlineStr">
        <is>
          <t>KATRINEHOLM</t>
        </is>
      </c>
      <c r="G782" t="n">
        <v>9.1</v>
      </c>
      <c r="H782" t="n">
        <v>0</v>
      </c>
      <c r="I782" t="n">
        <v>0</v>
      </c>
      <c r="J782" t="n">
        <v>0</v>
      </c>
      <c r="K782" t="n">
        <v>0</v>
      </c>
      <c r="L782" t="n">
        <v>0</v>
      </c>
      <c r="M782" t="n">
        <v>0</v>
      </c>
      <c r="N782" t="n">
        <v>0</v>
      </c>
      <c r="O782" t="n">
        <v>0</v>
      </c>
      <c r="P782" t="n">
        <v>0</v>
      </c>
      <c r="Q782" t="n">
        <v>0</v>
      </c>
      <c r="R782" s="2" t="inlineStr"/>
    </row>
    <row r="783" ht="15" customHeight="1">
      <c r="A783" t="inlineStr">
        <is>
          <t>A 13633-2026</t>
        </is>
      </c>
      <c r="B783" s="1" t="n">
        <v>46097.38148148148</v>
      </c>
      <c r="C783" s="1" t="n">
        <v>46173</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13841-2026</t>
        </is>
      </c>
      <c r="B784" s="1" t="n">
        <v>46098.37181712963</v>
      </c>
      <c r="C784" s="1" t="n">
        <v>46173</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20221-2026</t>
        </is>
      </c>
      <c r="B785" s="1" t="n">
        <v>46139.43833333333</v>
      </c>
      <c r="C785" s="1" t="n">
        <v>46173</v>
      </c>
      <c r="D785" t="inlineStr">
        <is>
          <t>SÖDERMANLANDS LÄN</t>
        </is>
      </c>
      <c r="E785" t="inlineStr">
        <is>
          <t>KATRINEHOLM</t>
        </is>
      </c>
      <c r="G785" t="n">
        <v>4.2</v>
      </c>
      <c r="H785" t="n">
        <v>0</v>
      </c>
      <c r="I785" t="n">
        <v>0</v>
      </c>
      <c r="J785" t="n">
        <v>0</v>
      </c>
      <c r="K785" t="n">
        <v>0</v>
      </c>
      <c r="L785" t="n">
        <v>0</v>
      </c>
      <c r="M785" t="n">
        <v>0</v>
      </c>
      <c r="N785" t="n">
        <v>0</v>
      </c>
      <c r="O785" t="n">
        <v>0</v>
      </c>
      <c r="P785" t="n">
        <v>0</v>
      </c>
      <c r="Q785" t="n">
        <v>0</v>
      </c>
      <c r="R785" s="2" t="inlineStr"/>
    </row>
    <row r="786" ht="15" customHeight="1">
      <c r="A786" t="inlineStr">
        <is>
          <t>A 20202-2026</t>
        </is>
      </c>
      <c r="B786" s="1" t="n">
        <v>46136</v>
      </c>
      <c r="C786" s="1" t="n">
        <v>46173</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20200-2026</t>
        </is>
      </c>
      <c r="B787" s="1" t="n">
        <v>46136</v>
      </c>
      <c r="C787" s="1" t="n">
        <v>46173</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13630-2026</t>
        </is>
      </c>
      <c r="B788" s="1" t="n">
        <v>46097.37490740741</v>
      </c>
      <c r="C788" s="1" t="n">
        <v>46173</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13632-2026</t>
        </is>
      </c>
      <c r="B789" s="1" t="n">
        <v>46097.37996527777</v>
      </c>
      <c r="C789" s="1" t="n">
        <v>46173</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13631-2026</t>
        </is>
      </c>
      <c r="B790" s="1" t="n">
        <v>46095</v>
      </c>
      <c r="C790" s="1" t="n">
        <v>46173</v>
      </c>
      <c r="D790" t="inlineStr">
        <is>
          <t>SÖDERMANLANDS LÄN</t>
        </is>
      </c>
      <c r="E790" t="inlineStr">
        <is>
          <t>KATRINEHOLM</t>
        </is>
      </c>
      <c r="G790" t="n">
        <v>2.1</v>
      </c>
      <c r="H790" t="n">
        <v>0</v>
      </c>
      <c r="I790" t="n">
        <v>0</v>
      </c>
      <c r="J790" t="n">
        <v>0</v>
      </c>
      <c r="K790" t="n">
        <v>0</v>
      </c>
      <c r="L790" t="n">
        <v>0</v>
      </c>
      <c r="M790" t="n">
        <v>0</v>
      </c>
      <c r="N790" t="n">
        <v>0</v>
      </c>
      <c r="O790" t="n">
        <v>0</v>
      </c>
      <c r="P790" t="n">
        <v>0</v>
      </c>
      <c r="Q790" t="n">
        <v>0</v>
      </c>
      <c r="R790" s="2" t="inlineStr"/>
    </row>
    <row r="791" ht="15" customHeight="1">
      <c r="A791" t="inlineStr">
        <is>
          <t>A 13655-2026</t>
        </is>
      </c>
      <c r="B791" s="1" t="n">
        <v>46097.45415509259</v>
      </c>
      <c r="C791" s="1" t="n">
        <v>46173</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20956-2026</t>
        </is>
      </c>
      <c r="B792" s="1" t="n">
        <v>46142.54052083333</v>
      </c>
      <c r="C792" s="1" t="n">
        <v>46173</v>
      </c>
      <c r="D792" t="inlineStr">
        <is>
          <t>SÖDERMANLANDS LÄN</t>
        </is>
      </c>
      <c r="E792" t="inlineStr">
        <is>
          <t>KATRINEHOLM</t>
        </is>
      </c>
      <c r="G792" t="n">
        <v>3.6</v>
      </c>
      <c r="H792" t="n">
        <v>0</v>
      </c>
      <c r="I792" t="n">
        <v>0</v>
      </c>
      <c r="J792" t="n">
        <v>0</v>
      </c>
      <c r="K792" t="n">
        <v>0</v>
      </c>
      <c r="L792" t="n">
        <v>0</v>
      </c>
      <c r="M792" t="n">
        <v>0</v>
      </c>
      <c r="N792" t="n">
        <v>0</v>
      </c>
      <c r="O792" t="n">
        <v>0</v>
      </c>
      <c r="P792" t="n">
        <v>0</v>
      </c>
      <c r="Q792" t="n">
        <v>0</v>
      </c>
      <c r="R792" s="2" t="inlineStr"/>
    </row>
    <row r="793" ht="15" customHeight="1">
      <c r="A793" t="inlineStr">
        <is>
          <t>A 20987-2026</t>
        </is>
      </c>
      <c r="B793" s="1" t="n">
        <v>46142.59466435185</v>
      </c>
      <c r="C793" s="1" t="n">
        <v>46173</v>
      </c>
      <c r="D793" t="inlineStr">
        <is>
          <t>SÖDERMANLANDS LÄN</t>
        </is>
      </c>
      <c r="E793" t="inlineStr">
        <is>
          <t>KATRINEHOLM</t>
        </is>
      </c>
      <c r="G793" t="n">
        <v>2.8</v>
      </c>
      <c r="H793" t="n">
        <v>0</v>
      </c>
      <c r="I793" t="n">
        <v>0</v>
      </c>
      <c r="J793" t="n">
        <v>0</v>
      </c>
      <c r="K793" t="n">
        <v>0</v>
      </c>
      <c r="L793" t="n">
        <v>0</v>
      </c>
      <c r="M793" t="n">
        <v>0</v>
      </c>
      <c r="N793" t="n">
        <v>0</v>
      </c>
      <c r="O793" t="n">
        <v>0</v>
      </c>
      <c r="P793" t="n">
        <v>0</v>
      </c>
      <c r="Q793" t="n">
        <v>0</v>
      </c>
      <c r="R793" s="2" t="inlineStr"/>
    </row>
    <row r="794" ht="15" customHeight="1">
      <c r="A794" t="inlineStr">
        <is>
          <t>A 21087-2026</t>
        </is>
      </c>
      <c r="B794" s="1" t="n">
        <v>46146.44090277778</v>
      </c>
      <c r="C794" s="1" t="n">
        <v>46173</v>
      </c>
      <c r="D794" t="inlineStr">
        <is>
          <t>SÖDERMANLANDS LÄN</t>
        </is>
      </c>
      <c r="E794" t="inlineStr">
        <is>
          <t>KATRINEHOLM</t>
        </is>
      </c>
      <c r="G794" t="n">
        <v>1.4</v>
      </c>
      <c r="H794" t="n">
        <v>0</v>
      </c>
      <c r="I794" t="n">
        <v>0</v>
      </c>
      <c r="J794" t="n">
        <v>0</v>
      </c>
      <c r="K794" t="n">
        <v>0</v>
      </c>
      <c r="L794" t="n">
        <v>0</v>
      </c>
      <c r="M794" t="n">
        <v>0</v>
      </c>
      <c r="N794" t="n">
        <v>0</v>
      </c>
      <c r="O794" t="n">
        <v>0</v>
      </c>
      <c r="P794" t="n">
        <v>0</v>
      </c>
      <c r="Q794" t="n">
        <v>0</v>
      </c>
      <c r="R794" s="2" t="inlineStr"/>
    </row>
    <row r="795" ht="15" customHeight="1">
      <c r="A795" t="inlineStr">
        <is>
          <t>A 14770-2026</t>
        </is>
      </c>
      <c r="B795" s="1" t="n">
        <v>46101.63951388889</v>
      </c>
      <c r="C795" s="1" t="n">
        <v>46173</v>
      </c>
      <c r="D795" t="inlineStr">
        <is>
          <t>SÖDERMANLANDS LÄN</t>
        </is>
      </c>
      <c r="E795" t="inlineStr">
        <is>
          <t>KATRINEHOLM</t>
        </is>
      </c>
      <c r="G795" t="n">
        <v>7.5</v>
      </c>
      <c r="H795" t="n">
        <v>0</v>
      </c>
      <c r="I795" t="n">
        <v>0</v>
      </c>
      <c r="J795" t="n">
        <v>0</v>
      </c>
      <c r="K795" t="n">
        <v>0</v>
      </c>
      <c r="L795" t="n">
        <v>0</v>
      </c>
      <c r="M795" t="n">
        <v>0</v>
      </c>
      <c r="N795" t="n">
        <v>0</v>
      </c>
      <c r="O795" t="n">
        <v>0</v>
      </c>
      <c r="P795" t="n">
        <v>0</v>
      </c>
      <c r="Q795" t="n">
        <v>0</v>
      </c>
      <c r="R795" s="2" t="inlineStr"/>
    </row>
    <row r="796" ht="15" customHeight="1">
      <c r="A796" t="inlineStr">
        <is>
          <t>A 14750-2026</t>
        </is>
      </c>
      <c r="B796" s="1" t="n">
        <v>46101.6208912037</v>
      </c>
      <c r="C796" s="1" t="n">
        <v>46173</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14751-2026</t>
        </is>
      </c>
      <c r="B797" s="1" t="n">
        <v>46101.6220949074</v>
      </c>
      <c r="C797" s="1" t="n">
        <v>46173</v>
      </c>
      <c r="D797" t="inlineStr">
        <is>
          <t>SÖDERMANLANDS LÄN</t>
        </is>
      </c>
      <c r="E797" t="inlineStr">
        <is>
          <t>KATRINEHOLM</t>
        </is>
      </c>
      <c r="G797" t="n">
        <v>2.1</v>
      </c>
      <c r="H797" t="n">
        <v>0</v>
      </c>
      <c r="I797" t="n">
        <v>0</v>
      </c>
      <c r="J797" t="n">
        <v>0</v>
      </c>
      <c r="K797" t="n">
        <v>0</v>
      </c>
      <c r="L797" t="n">
        <v>0</v>
      </c>
      <c r="M797" t="n">
        <v>0</v>
      </c>
      <c r="N797" t="n">
        <v>0</v>
      </c>
      <c r="O797" t="n">
        <v>0</v>
      </c>
      <c r="P797" t="n">
        <v>0</v>
      </c>
      <c r="Q797" t="n">
        <v>0</v>
      </c>
      <c r="R797" s="2" t="inlineStr"/>
    </row>
    <row r="798" ht="15" customHeight="1">
      <c r="A798" t="inlineStr">
        <is>
          <t>A 14754-2026</t>
        </is>
      </c>
      <c r="B798" s="1" t="n">
        <v>46101.62297453704</v>
      </c>
      <c r="C798" s="1" t="n">
        <v>46173</v>
      </c>
      <c r="D798" t="inlineStr">
        <is>
          <t>SÖDERMANLANDS LÄN</t>
        </is>
      </c>
      <c r="E798" t="inlineStr">
        <is>
          <t>KATRINEHOLM</t>
        </is>
      </c>
      <c r="G798" t="n">
        <v>4.5</v>
      </c>
      <c r="H798" t="n">
        <v>0</v>
      </c>
      <c r="I798" t="n">
        <v>0</v>
      </c>
      <c r="J798" t="n">
        <v>0</v>
      </c>
      <c r="K798" t="n">
        <v>0</v>
      </c>
      <c r="L798" t="n">
        <v>0</v>
      </c>
      <c r="M798" t="n">
        <v>0</v>
      </c>
      <c r="N798" t="n">
        <v>0</v>
      </c>
      <c r="O798" t="n">
        <v>0</v>
      </c>
      <c r="P798" t="n">
        <v>0</v>
      </c>
      <c r="Q798" t="n">
        <v>0</v>
      </c>
      <c r="R798" s="2" t="inlineStr"/>
    </row>
    <row r="799" ht="15" customHeight="1">
      <c r="A799" t="inlineStr">
        <is>
          <t>A 15701-2026</t>
        </is>
      </c>
      <c r="B799" s="1" t="n">
        <v>46106</v>
      </c>
      <c r="C799" s="1" t="n">
        <v>46173</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15191-2026</t>
        </is>
      </c>
      <c r="B800" s="1" t="n">
        <v>46105.46846064815</v>
      </c>
      <c r="C800" s="1" t="n">
        <v>46173</v>
      </c>
      <c r="D800" t="inlineStr">
        <is>
          <t>SÖDERMANLANDS LÄN</t>
        </is>
      </c>
      <c r="E800" t="inlineStr">
        <is>
          <t>KATRINEHOLM</t>
        </is>
      </c>
      <c r="G800" t="n">
        <v>3.6</v>
      </c>
      <c r="H800" t="n">
        <v>0</v>
      </c>
      <c r="I800" t="n">
        <v>0</v>
      </c>
      <c r="J800" t="n">
        <v>0</v>
      </c>
      <c r="K800" t="n">
        <v>0</v>
      </c>
      <c r="L800" t="n">
        <v>0</v>
      </c>
      <c r="M800" t="n">
        <v>0</v>
      </c>
      <c r="N800" t="n">
        <v>0</v>
      </c>
      <c r="O800" t="n">
        <v>0</v>
      </c>
      <c r="P800" t="n">
        <v>0</v>
      </c>
      <c r="Q800" t="n">
        <v>0</v>
      </c>
      <c r="R800" s="2" t="inlineStr"/>
    </row>
    <row r="801" ht="15" customHeight="1">
      <c r="A801" t="inlineStr">
        <is>
          <t>A 21863-2026</t>
        </is>
      </c>
      <c r="B801" s="1" t="n">
        <v>46150.56342592592</v>
      </c>
      <c r="C801" s="1" t="n">
        <v>46173</v>
      </c>
      <c r="D801" t="inlineStr">
        <is>
          <t>SÖDERMANLANDS LÄN</t>
        </is>
      </c>
      <c r="E801" t="inlineStr">
        <is>
          <t>KATRINEHOLM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16113-2026</t>
        </is>
      </c>
      <c r="B802" s="1" t="n">
        <v>46108</v>
      </c>
      <c r="C802" s="1" t="n">
        <v>46173</v>
      </c>
      <c r="D802" t="inlineStr">
        <is>
          <t>SÖDERMANLANDS LÄN</t>
        </is>
      </c>
      <c r="E802" t="inlineStr">
        <is>
          <t>KATRINEHOLM</t>
        </is>
      </c>
      <c r="G802" t="n">
        <v>4</v>
      </c>
      <c r="H802" t="n">
        <v>0</v>
      </c>
      <c r="I802" t="n">
        <v>0</v>
      </c>
      <c r="J802" t="n">
        <v>0</v>
      </c>
      <c r="K802" t="n">
        <v>0</v>
      </c>
      <c r="L802" t="n">
        <v>0</v>
      </c>
      <c r="M802" t="n">
        <v>0</v>
      </c>
      <c r="N802" t="n">
        <v>0</v>
      </c>
      <c r="O802" t="n">
        <v>0</v>
      </c>
      <c r="P802" t="n">
        <v>0</v>
      </c>
      <c r="Q802" t="n">
        <v>0</v>
      </c>
      <c r="R802" s="2" t="inlineStr"/>
    </row>
    <row r="803" ht="15" customHeight="1">
      <c r="A803" t="inlineStr">
        <is>
          <t>A 15819-2026</t>
        </is>
      </c>
      <c r="B803" s="1" t="n">
        <v>46107.53678240741</v>
      </c>
      <c r="C803" s="1" t="n">
        <v>46173</v>
      </c>
      <c r="D803" t="inlineStr">
        <is>
          <t>SÖDERMANLANDS LÄN</t>
        </is>
      </c>
      <c r="E803" t="inlineStr">
        <is>
          <t>KATRINEHOLM</t>
        </is>
      </c>
      <c r="G803" t="n">
        <v>2</v>
      </c>
      <c r="H803" t="n">
        <v>0</v>
      </c>
      <c r="I803" t="n">
        <v>0</v>
      </c>
      <c r="J803" t="n">
        <v>0</v>
      </c>
      <c r="K803" t="n">
        <v>0</v>
      </c>
      <c r="L803" t="n">
        <v>0</v>
      </c>
      <c r="M803" t="n">
        <v>0</v>
      </c>
      <c r="N803" t="n">
        <v>0</v>
      </c>
      <c r="O803" t="n">
        <v>0</v>
      </c>
      <c r="P803" t="n">
        <v>0</v>
      </c>
      <c r="Q803" t="n">
        <v>0</v>
      </c>
      <c r="R803" s="2" t="inlineStr"/>
    </row>
    <row r="804" ht="15" customHeight="1">
      <c r="A804" t="inlineStr">
        <is>
          <t>A 16432-2026</t>
        </is>
      </c>
      <c r="B804" s="1" t="n">
        <v>46111.81027777777</v>
      </c>
      <c r="C804" s="1" t="n">
        <v>46173</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23077-2026</t>
        </is>
      </c>
      <c r="B805" s="1" t="n">
        <v>46161.52135416667</v>
      </c>
      <c r="C805" s="1" t="n">
        <v>46173</v>
      </c>
      <c r="D805" t="inlineStr">
        <is>
          <t>SÖDERMANLANDS LÄN</t>
        </is>
      </c>
      <c r="E805" t="inlineStr">
        <is>
          <t>KATRINEHOLM</t>
        </is>
      </c>
      <c r="F805" t="inlineStr">
        <is>
          <t>Kommuner</t>
        </is>
      </c>
      <c r="G805" t="n">
        <v>1.3</v>
      </c>
      <c r="H805" t="n">
        <v>0</v>
      </c>
      <c r="I805" t="n">
        <v>0</v>
      </c>
      <c r="J805" t="n">
        <v>0</v>
      </c>
      <c r="K805" t="n">
        <v>0</v>
      </c>
      <c r="L805" t="n">
        <v>0</v>
      </c>
      <c r="M805" t="n">
        <v>0</v>
      </c>
      <c r="N805" t="n">
        <v>0</v>
      </c>
      <c r="O805" t="n">
        <v>0</v>
      </c>
      <c r="P805" t="n">
        <v>0</v>
      </c>
      <c r="Q805" t="n">
        <v>0</v>
      </c>
      <c r="R805" s="2" t="inlineStr"/>
    </row>
    <row r="806" ht="15" customHeight="1">
      <c r="A806" t="inlineStr">
        <is>
          <t>A 49743-2025</t>
        </is>
      </c>
      <c r="B806" s="1" t="n">
        <v>45940</v>
      </c>
      <c r="C806" s="1" t="n">
        <v>46173</v>
      </c>
      <c r="D806" t="inlineStr">
        <is>
          <t>SÖDERMANLANDS LÄN</t>
        </is>
      </c>
      <c r="E806" t="inlineStr">
        <is>
          <t>KATRINEHOLM</t>
        </is>
      </c>
      <c r="G806" t="n">
        <v>1.1</v>
      </c>
      <c r="H806" t="n">
        <v>0</v>
      </c>
      <c r="I806" t="n">
        <v>0</v>
      </c>
      <c r="J806" t="n">
        <v>0</v>
      </c>
      <c r="K806" t="n">
        <v>0</v>
      </c>
      <c r="L806" t="n">
        <v>0</v>
      </c>
      <c r="M806" t="n">
        <v>0</v>
      </c>
      <c r="N806" t="n">
        <v>0</v>
      </c>
      <c r="O806" t="n">
        <v>0</v>
      </c>
      <c r="P806" t="n">
        <v>0</v>
      </c>
      <c r="Q806" t="n">
        <v>0</v>
      </c>
      <c r="R806" s="2" t="inlineStr"/>
    </row>
    <row r="807" ht="15" customHeight="1">
      <c r="A807" t="inlineStr">
        <is>
          <t>A 23753-2026</t>
        </is>
      </c>
      <c r="B807" s="1" t="n">
        <v>46164.54834490741</v>
      </c>
      <c r="C807" s="1" t="n">
        <v>46173</v>
      </c>
      <c r="D807" t="inlineStr">
        <is>
          <t>SÖDERMANLANDS LÄN</t>
        </is>
      </c>
      <c r="E807" t="inlineStr">
        <is>
          <t>KATRINEHOLM</t>
        </is>
      </c>
      <c r="G807" t="n">
        <v>24.4</v>
      </c>
      <c r="H807" t="n">
        <v>0</v>
      </c>
      <c r="I807" t="n">
        <v>0</v>
      </c>
      <c r="J807" t="n">
        <v>0</v>
      </c>
      <c r="K807" t="n">
        <v>0</v>
      </c>
      <c r="L807" t="n">
        <v>0</v>
      </c>
      <c r="M807" t="n">
        <v>0</v>
      </c>
      <c r="N807" t="n">
        <v>0</v>
      </c>
      <c r="O807" t="n">
        <v>0</v>
      </c>
      <c r="P807" t="n">
        <v>0</v>
      </c>
      <c r="Q807" t="n">
        <v>0</v>
      </c>
      <c r="R807" s="2" t="inlineStr"/>
    </row>
    <row r="808">
      <c r="A808" t="inlineStr">
        <is>
          <t>A 23806-2026</t>
        </is>
      </c>
      <c r="B808" s="1" t="n">
        <v>46164.63711805556</v>
      </c>
      <c r="C808" s="1" t="n">
        <v>46173</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2026-05-31T10:54:54Z</dcterms:created>
  <dcterms:modified xmlns:dcterms="http://purl.org/dc/terms/" xmlns:xsi="http://www.w3.org/2001/XMLSchema-instance" xsi:type="dcterms:W3CDTF">2026-05-31T10:54:55Z</dcterms:modified>
</cp:coreProperties>
</file>