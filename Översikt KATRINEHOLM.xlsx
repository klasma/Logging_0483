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45904</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45904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45904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45904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45904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45904</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45904</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7585-2023</t>
        </is>
      </c>
      <c r="B17" s="1" t="n">
        <v>44972</v>
      </c>
      <c r="C17" s="1" t="n">
        <v>45904</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45904</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45904</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53471-2024</t>
        </is>
      </c>
      <c r="B21" s="1" t="n">
        <v>45614.55686342593</v>
      </c>
      <c r="C21" s="1" t="n">
        <v>45904</v>
      </c>
      <c r="D21" t="inlineStr">
        <is>
          <t>SÖDERMANLANDS LÄN</t>
        </is>
      </c>
      <c r="E21" t="inlineStr">
        <is>
          <t>KATRINEHOLM</t>
        </is>
      </c>
      <c r="G21" t="n">
        <v>12.7</v>
      </c>
      <c r="H21" t="n">
        <v>1</v>
      </c>
      <c r="I21" t="n">
        <v>2</v>
      </c>
      <c r="J21" t="n">
        <v>0</v>
      </c>
      <c r="K21" t="n">
        <v>0</v>
      </c>
      <c r="L21" t="n">
        <v>0</v>
      </c>
      <c r="M21" t="n">
        <v>0</v>
      </c>
      <c r="N21" t="n">
        <v>0</v>
      </c>
      <c r="O21" t="n">
        <v>0</v>
      </c>
      <c r="P21" t="n">
        <v>0</v>
      </c>
      <c r="Q21" t="n">
        <v>2</v>
      </c>
      <c r="R21" s="2" t="inlineStr">
        <is>
          <t>Grönpyrola
Plattlummer</t>
        </is>
      </c>
      <c r="S21">
        <f>HYPERLINK("https://klasma.github.io/Logging_0483/artfynd/A 53471-2024 artfynd.xlsx", "A 53471-2024")</f>
        <v/>
      </c>
      <c r="T21">
        <f>HYPERLINK("https://klasma.github.io/Logging_0483/kartor/A 53471-2024 karta.png", "A 53471-2024")</f>
        <v/>
      </c>
      <c r="V21">
        <f>HYPERLINK("https://klasma.github.io/Logging_0483/klagomål/A 53471-2024 FSC-klagomål.docx", "A 53471-2024")</f>
        <v/>
      </c>
      <c r="W21">
        <f>HYPERLINK("https://klasma.github.io/Logging_0483/klagomålsmail/A 53471-2024 FSC-klagomål mail.docx", "A 53471-2024")</f>
        <v/>
      </c>
      <c r="X21">
        <f>HYPERLINK("https://klasma.github.io/Logging_0483/tillsyn/A 53471-2024 tillsynsbegäran.docx", "A 53471-2024")</f>
        <v/>
      </c>
      <c r="Y21">
        <f>HYPERLINK("https://klasma.github.io/Logging_0483/tillsynsmail/A 53471-2024 tillsynsbegäran mail.docx", "A 53471-2024")</f>
        <v/>
      </c>
    </row>
    <row r="22" ht="15" customHeight="1">
      <c r="A22" t="inlineStr">
        <is>
          <t>A 1150-2025</t>
        </is>
      </c>
      <c r="B22" s="1" t="n">
        <v>45666</v>
      </c>
      <c r="C22" s="1" t="n">
        <v>45904</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30229-2023</t>
        </is>
      </c>
      <c r="B23" s="1" t="n">
        <v>45099</v>
      </c>
      <c r="C23" s="1" t="n">
        <v>45904</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24718-2025</t>
        </is>
      </c>
      <c r="B24" s="1" t="n">
        <v>45799</v>
      </c>
      <c r="C24" s="1" t="n">
        <v>45904</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37537-2022</t>
        </is>
      </c>
      <c r="B25" s="1" t="n">
        <v>44809</v>
      </c>
      <c r="C25" s="1" t="n">
        <v>45904</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14858-2023</t>
        </is>
      </c>
      <c r="B26" s="1" t="n">
        <v>45014</v>
      </c>
      <c r="C26" s="1" t="n">
        <v>45904</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56897-2021</t>
        </is>
      </c>
      <c r="B27" s="1" t="n">
        <v>44481</v>
      </c>
      <c r="C27" s="1" t="n">
        <v>45904</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45904</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45904</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45904</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45904</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45904</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45904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45904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44632-2023</t>
        </is>
      </c>
      <c r="B35" s="1" t="n">
        <v>45184</v>
      </c>
      <c r="C35" s="1" t="n">
        <v>45904</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16458-2022</t>
        </is>
      </c>
      <c r="B36" s="1" t="n">
        <v>44671</v>
      </c>
      <c r="C36" s="1" t="n">
        <v>45904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22474-2025</t>
        </is>
      </c>
      <c r="B37" s="1" t="n">
        <v>45786.62152777778</v>
      </c>
      <c r="C37" s="1" t="n">
        <v>45904</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44486-2023</t>
        </is>
      </c>
      <c r="B38" s="1" t="n">
        <v>45183</v>
      </c>
      <c r="C38" s="1" t="n">
        <v>45904</v>
      </c>
      <c r="D38" t="inlineStr">
        <is>
          <t>SÖDERMANLANDS LÄN</t>
        </is>
      </c>
      <c r="E38" t="inlineStr">
        <is>
          <t>KATRINEHOLM</t>
        </is>
      </c>
      <c r="G38" t="n">
        <v>1.7</v>
      </c>
      <c r="H38" t="n">
        <v>0</v>
      </c>
      <c r="I38" t="n">
        <v>0</v>
      </c>
      <c r="J38" t="n">
        <v>1</v>
      </c>
      <c r="K38" t="n">
        <v>0</v>
      </c>
      <c r="L38" t="n">
        <v>0</v>
      </c>
      <c r="M38" t="n">
        <v>0</v>
      </c>
      <c r="N38" t="n">
        <v>0</v>
      </c>
      <c r="O38" t="n">
        <v>1</v>
      </c>
      <c r="P38" t="n">
        <v>0</v>
      </c>
      <c r="Q38" t="n">
        <v>1</v>
      </c>
      <c r="R38" s="2" t="inlineStr">
        <is>
          <t>Svedjenäva</t>
        </is>
      </c>
      <c r="S38">
        <f>HYPERLINK("https://klasma.github.io/Logging_0483/artfynd/A 44486-2023 artfynd.xlsx", "A 44486-2023")</f>
        <v/>
      </c>
      <c r="T38">
        <f>HYPERLINK("https://klasma.github.io/Logging_0483/kartor/A 44486-2023 karta.png", "A 44486-2023")</f>
        <v/>
      </c>
      <c r="V38">
        <f>HYPERLINK("https://klasma.github.io/Logging_0483/klagomål/A 44486-2023 FSC-klagomål.docx", "A 44486-2023")</f>
        <v/>
      </c>
      <c r="W38">
        <f>HYPERLINK("https://klasma.github.io/Logging_0483/klagomålsmail/A 44486-2023 FSC-klagomål mail.docx", "A 44486-2023")</f>
        <v/>
      </c>
      <c r="X38">
        <f>HYPERLINK("https://klasma.github.io/Logging_0483/tillsyn/A 44486-2023 tillsynsbegäran.docx", "A 44486-2023")</f>
        <v/>
      </c>
      <c r="Y38">
        <f>HYPERLINK("https://klasma.github.io/Logging_0483/tillsynsmail/A 44486-2023 tillsynsbegäran mail.docx", "A 44486-2023")</f>
        <v/>
      </c>
    </row>
    <row r="39" ht="15" customHeight="1">
      <c r="A39" t="inlineStr">
        <is>
          <t>A 28985-2022</t>
        </is>
      </c>
      <c r="B39" s="1" t="n">
        <v>44749</v>
      </c>
      <c r="C39" s="1" t="n">
        <v>45904</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45904</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6076-2022</t>
        </is>
      </c>
      <c r="B41" s="1" t="n">
        <v>44599</v>
      </c>
      <c r="C41" s="1" t="n">
        <v>45904</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45904</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53154-2023</t>
        </is>
      </c>
      <c r="B43" s="1" t="n">
        <v>45229</v>
      </c>
      <c r="C43" s="1" t="n">
        <v>45904</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36220-2022</t>
        </is>
      </c>
      <c r="B44" s="1" t="n">
        <v>44803</v>
      </c>
      <c r="C44" s="1" t="n">
        <v>45904</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12238-2023</t>
        </is>
      </c>
      <c r="B45" s="1" t="n">
        <v>44995</v>
      </c>
      <c r="C45" s="1" t="n">
        <v>45904</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45904</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35163-2025</t>
        </is>
      </c>
      <c r="B47" s="1" t="n">
        <v>45852.71136574074</v>
      </c>
      <c r="C47" s="1" t="n">
        <v>45904</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11890-2023</t>
        </is>
      </c>
      <c r="B48" s="1" t="n">
        <v>44995</v>
      </c>
      <c r="C48" s="1" t="n">
        <v>45904</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41980-2025</t>
        </is>
      </c>
      <c r="B49" s="1" t="n">
        <v>45903</v>
      </c>
      <c r="C49" s="1" t="n">
        <v>45904</v>
      </c>
      <c r="D49" t="inlineStr">
        <is>
          <t>SÖDERMANLANDS LÄN</t>
        </is>
      </c>
      <c r="E49" t="inlineStr">
        <is>
          <t>KATRINEHOLM</t>
        </is>
      </c>
      <c r="F49" t="inlineStr">
        <is>
          <t>Allmännings- och besparingsskogar</t>
        </is>
      </c>
      <c r="G49" t="n">
        <v>18.4</v>
      </c>
      <c r="H49" t="n">
        <v>0</v>
      </c>
      <c r="I49" t="n">
        <v>1</v>
      </c>
      <c r="J49" t="n">
        <v>0</v>
      </c>
      <c r="K49" t="n">
        <v>0</v>
      </c>
      <c r="L49" t="n">
        <v>0</v>
      </c>
      <c r="M49" t="n">
        <v>0</v>
      </c>
      <c r="N49" t="n">
        <v>0</v>
      </c>
      <c r="O49" t="n">
        <v>0</v>
      </c>
      <c r="P49" t="n">
        <v>0</v>
      </c>
      <c r="Q49" t="n">
        <v>1</v>
      </c>
      <c r="R49" s="2" t="inlineStr">
        <is>
          <t>Vätteros</t>
        </is>
      </c>
      <c r="S49">
        <f>HYPERLINK("https://klasma.github.io/Logging_0483/artfynd/A 41980-2025 artfynd.xlsx", "A 41980-2025")</f>
        <v/>
      </c>
      <c r="T49">
        <f>HYPERLINK("https://klasma.github.io/Logging_0483/kartor/A 41980-2025 karta.png", "A 41980-2025")</f>
        <v/>
      </c>
      <c r="V49">
        <f>HYPERLINK("https://klasma.github.io/Logging_0483/klagomål/A 41980-2025 FSC-klagomål.docx", "A 41980-2025")</f>
        <v/>
      </c>
      <c r="W49">
        <f>HYPERLINK("https://klasma.github.io/Logging_0483/klagomålsmail/A 41980-2025 FSC-klagomål mail.docx", "A 41980-2025")</f>
        <v/>
      </c>
      <c r="X49">
        <f>HYPERLINK("https://klasma.github.io/Logging_0483/tillsyn/A 41980-2025 tillsynsbegäran.docx", "A 41980-2025")</f>
        <v/>
      </c>
      <c r="Y49">
        <f>HYPERLINK("https://klasma.github.io/Logging_0483/tillsynsmail/A 41980-2025 tillsynsbegäran mail.docx", "A 41980-2025")</f>
        <v/>
      </c>
    </row>
    <row r="50" ht="15" customHeight="1">
      <c r="A50" t="inlineStr">
        <is>
          <t>A 42055-2025</t>
        </is>
      </c>
      <c r="B50" s="1" t="n">
        <v>45903.64179398148</v>
      </c>
      <c r="C50" s="1" t="n">
        <v>45904</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56074-2022</t>
        </is>
      </c>
      <c r="B51" s="1" t="n">
        <v>44889</v>
      </c>
      <c r="C51" s="1" t="n">
        <v>45904</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33801-2023</t>
        </is>
      </c>
      <c r="B52" s="1" t="n">
        <v>45133</v>
      </c>
      <c r="C52" s="1" t="n">
        <v>45904</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44413-2024</t>
        </is>
      </c>
      <c r="B53" s="1" t="n">
        <v>45573.77701388889</v>
      </c>
      <c r="C53" s="1" t="n">
        <v>45904</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45904</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45904</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57519-2021</t>
        </is>
      </c>
      <c r="B56" s="1" t="n">
        <v>44483</v>
      </c>
      <c r="C56" s="1" t="n">
        <v>45904</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36856-2021</t>
        </is>
      </c>
      <c r="B57" s="1" t="n">
        <v>44393</v>
      </c>
      <c r="C57" s="1" t="n">
        <v>45904</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45904</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45904</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45904</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45904</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45904</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45904</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45904</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45904</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45904</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45904</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45904</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45904</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45904</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45904</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45904</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45904</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45904</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45904</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45904</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45904</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45904</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45904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45904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11024-2022</t>
        </is>
      </c>
      <c r="B81" s="1" t="n">
        <v>44628</v>
      </c>
      <c r="C81" s="1" t="n">
        <v>45904</v>
      </c>
      <c r="D81" t="inlineStr">
        <is>
          <t>SÖDERMANLANDS LÄN</t>
        </is>
      </c>
      <c r="E81" t="inlineStr">
        <is>
          <t>KATRINEHOLM</t>
        </is>
      </c>
      <c r="G81" t="n">
        <v>0.4</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45904</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45904</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45904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45904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45904</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45904</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45904</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45904</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45904</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45904</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45904</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45904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45904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45904</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45904</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45904</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45904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45904</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45904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45904</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45904</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45904</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45904</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45904</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45904</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45904</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45904</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45904</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45904</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45904</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45904</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45904</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45904</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45904</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45904</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45904</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45904</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45904</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45904</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45904</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45904</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45904</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45904</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45904</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45904</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45904</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45904</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45904</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45904</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45904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45904</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45904</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45904</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45904</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45904</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45904</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45904</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45904</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45904</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45904</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44691-2020</t>
        </is>
      </c>
      <c r="B142" s="1" t="n">
        <v>44085</v>
      </c>
      <c r="C142" s="1" t="n">
        <v>45904</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67957-2020</t>
        </is>
      </c>
      <c r="B143" s="1" t="n">
        <v>44182</v>
      </c>
      <c r="C143" s="1" t="n">
        <v>45904</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67959-2020</t>
        </is>
      </c>
      <c r="B144" s="1" t="n">
        <v>44182</v>
      </c>
      <c r="C144" s="1" t="n">
        <v>45904</v>
      </c>
      <c r="D144" t="inlineStr">
        <is>
          <t>SÖDERMANLANDS LÄN</t>
        </is>
      </c>
      <c r="E144" t="inlineStr">
        <is>
          <t>KATRINEHOLM</t>
        </is>
      </c>
      <c r="G144" t="n">
        <v>11.5</v>
      </c>
      <c r="H144" t="n">
        <v>0</v>
      </c>
      <c r="I144" t="n">
        <v>0</v>
      </c>
      <c r="J144" t="n">
        <v>0</v>
      </c>
      <c r="K144" t="n">
        <v>0</v>
      </c>
      <c r="L144" t="n">
        <v>0</v>
      </c>
      <c r="M144" t="n">
        <v>0</v>
      </c>
      <c r="N144" t="n">
        <v>0</v>
      </c>
      <c r="O144" t="n">
        <v>0</v>
      </c>
      <c r="P144" t="n">
        <v>0</v>
      </c>
      <c r="Q144" t="n">
        <v>0</v>
      </c>
      <c r="R144" s="2" t="inlineStr"/>
    </row>
    <row r="145" ht="15" customHeight="1">
      <c r="A145" t="inlineStr">
        <is>
          <t>A 34794-2021</t>
        </is>
      </c>
      <c r="B145" s="1" t="n">
        <v>44383.23978009259</v>
      </c>
      <c r="C145" s="1" t="n">
        <v>45904</v>
      </c>
      <c r="D145" t="inlineStr">
        <is>
          <t>SÖDERMANLANDS LÄN</t>
        </is>
      </c>
      <c r="E145" t="inlineStr">
        <is>
          <t>KATRINEHOLM</t>
        </is>
      </c>
      <c r="G145" t="n">
        <v>4.1</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45904</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912-2022</t>
        </is>
      </c>
      <c r="B147" s="1" t="n">
        <v>44571</v>
      </c>
      <c r="C147" s="1" t="n">
        <v>45904</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45904</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45904</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45904</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45904</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45904</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45904</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45904</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45904</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45904</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45904</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7550-2022</t>
        </is>
      </c>
      <c r="B158" s="1" t="n">
        <v>44607</v>
      </c>
      <c r="C158" s="1" t="n">
        <v>45904</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44872.57288194444</v>
      </c>
      <c r="C159" s="1" t="n">
        <v>45904</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51602-2022</t>
        </is>
      </c>
      <c r="B160" s="1" t="n">
        <v>44871.69347222222</v>
      </c>
      <c r="C160" s="1" t="n">
        <v>45904</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11070-2021</t>
        </is>
      </c>
      <c r="B161" s="1" t="n">
        <v>44260</v>
      </c>
      <c r="C161" s="1" t="n">
        <v>45904</v>
      </c>
      <c r="D161" t="inlineStr">
        <is>
          <t>SÖDERMANLANDS LÄN</t>
        </is>
      </c>
      <c r="E161" t="inlineStr">
        <is>
          <t>KATRINEHOLM</t>
        </is>
      </c>
      <c r="F161" t="inlineStr">
        <is>
          <t>Allmännings- och besparingsskogar</t>
        </is>
      </c>
      <c r="G161" t="n">
        <v>2.9</v>
      </c>
      <c r="H161" t="n">
        <v>0</v>
      </c>
      <c r="I161" t="n">
        <v>0</v>
      </c>
      <c r="J161" t="n">
        <v>0</v>
      </c>
      <c r="K161" t="n">
        <v>0</v>
      </c>
      <c r="L161" t="n">
        <v>0</v>
      </c>
      <c r="M161" t="n">
        <v>0</v>
      </c>
      <c r="N161" t="n">
        <v>0</v>
      </c>
      <c r="O161" t="n">
        <v>0</v>
      </c>
      <c r="P161" t="n">
        <v>0</v>
      </c>
      <c r="Q161" t="n">
        <v>0</v>
      </c>
      <c r="R161" s="2" t="inlineStr"/>
    </row>
    <row r="162" ht="15" customHeight="1">
      <c r="A162" t="inlineStr">
        <is>
          <t>A 25893-2022</t>
        </is>
      </c>
      <c r="B162" s="1" t="n">
        <v>44733.77543981482</v>
      </c>
      <c r="C162" s="1" t="n">
        <v>45904</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45904</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45904</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45904</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45904</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45904</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45904</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24199-2022</t>
        </is>
      </c>
      <c r="B169" s="1" t="n">
        <v>44725</v>
      </c>
      <c r="C169" s="1" t="n">
        <v>45904</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38835-2021</t>
        </is>
      </c>
      <c r="B170" s="1" t="n">
        <v>44411</v>
      </c>
      <c r="C170" s="1" t="n">
        <v>45904</v>
      </c>
      <c r="D170" t="inlineStr">
        <is>
          <t>SÖDERMANLANDS LÄN</t>
        </is>
      </c>
      <c r="E170" t="inlineStr">
        <is>
          <t>KATRINEHOLM</t>
        </is>
      </c>
      <c r="G170" t="n">
        <v>10.2</v>
      </c>
      <c r="H170" t="n">
        <v>0</v>
      </c>
      <c r="I170" t="n">
        <v>0</v>
      </c>
      <c r="J170" t="n">
        <v>0</v>
      </c>
      <c r="K170" t="n">
        <v>0</v>
      </c>
      <c r="L170" t="n">
        <v>0</v>
      </c>
      <c r="M170" t="n">
        <v>0</v>
      </c>
      <c r="N170" t="n">
        <v>0</v>
      </c>
      <c r="O170" t="n">
        <v>0</v>
      </c>
      <c r="P170" t="n">
        <v>0</v>
      </c>
      <c r="Q170" t="n">
        <v>0</v>
      </c>
      <c r="R170" s="2" t="inlineStr"/>
    </row>
    <row r="171" ht="15" customHeight="1">
      <c r="A171" t="inlineStr">
        <is>
          <t>A 68206-2021</t>
        </is>
      </c>
      <c r="B171" s="1" t="n">
        <v>44526</v>
      </c>
      <c r="C171" s="1" t="n">
        <v>45904</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2877-2022</t>
        </is>
      </c>
      <c r="B172" s="1" t="n">
        <v>44581</v>
      </c>
      <c r="C172" s="1" t="n">
        <v>45904</v>
      </c>
      <c r="D172" t="inlineStr">
        <is>
          <t>SÖDERMANLANDS LÄN</t>
        </is>
      </c>
      <c r="E172" t="inlineStr">
        <is>
          <t>KATRINEHOLM</t>
        </is>
      </c>
      <c r="G172" t="n">
        <v>10.3</v>
      </c>
      <c r="H172" t="n">
        <v>0</v>
      </c>
      <c r="I172" t="n">
        <v>0</v>
      </c>
      <c r="J172" t="n">
        <v>0</v>
      </c>
      <c r="K172" t="n">
        <v>0</v>
      </c>
      <c r="L172" t="n">
        <v>0</v>
      </c>
      <c r="M172" t="n">
        <v>0</v>
      </c>
      <c r="N172" t="n">
        <v>0</v>
      </c>
      <c r="O172" t="n">
        <v>0</v>
      </c>
      <c r="P172" t="n">
        <v>0</v>
      </c>
      <c r="Q172" t="n">
        <v>0</v>
      </c>
      <c r="R172" s="2" t="inlineStr"/>
    </row>
    <row r="173" ht="15" customHeight="1">
      <c r="A173" t="inlineStr">
        <is>
          <t>A 69429-2021</t>
        </is>
      </c>
      <c r="B173" s="1" t="n">
        <v>44531</v>
      </c>
      <c r="C173" s="1" t="n">
        <v>45904</v>
      </c>
      <c r="D173" t="inlineStr">
        <is>
          <t>SÖDERMANLANDS LÄN</t>
        </is>
      </c>
      <c r="E173" t="inlineStr">
        <is>
          <t>KATRINEHOLM</t>
        </is>
      </c>
      <c r="G173" t="n">
        <v>1.2</v>
      </c>
      <c r="H173" t="n">
        <v>0</v>
      </c>
      <c r="I173" t="n">
        <v>0</v>
      </c>
      <c r="J173" t="n">
        <v>0</v>
      </c>
      <c r="K173" t="n">
        <v>0</v>
      </c>
      <c r="L173" t="n">
        <v>0</v>
      </c>
      <c r="M173" t="n">
        <v>0</v>
      </c>
      <c r="N173" t="n">
        <v>0</v>
      </c>
      <c r="O173" t="n">
        <v>0</v>
      </c>
      <c r="P173" t="n">
        <v>0</v>
      </c>
      <c r="Q173" t="n">
        <v>0</v>
      </c>
      <c r="R173" s="2" t="inlineStr"/>
    </row>
    <row r="174" ht="15" customHeight="1">
      <c r="A174" t="inlineStr">
        <is>
          <t>A 33753-2022</t>
        </is>
      </c>
      <c r="B174" s="1" t="n">
        <v>44789</v>
      </c>
      <c r="C174" s="1" t="n">
        <v>45904</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45904</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53791-2021</t>
        </is>
      </c>
      <c r="B176" s="1" t="n">
        <v>44467</v>
      </c>
      <c r="C176" s="1" t="n">
        <v>45904</v>
      </c>
      <c r="D176" t="inlineStr">
        <is>
          <t>SÖDERMANLANDS LÄN</t>
        </is>
      </c>
      <c r="E176" t="inlineStr">
        <is>
          <t>KATRINEHOLM</t>
        </is>
      </c>
      <c r="G176" t="n">
        <v>2.7</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45904</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45904</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45904</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45904</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34625-2022</t>
        </is>
      </c>
      <c r="B181" s="1" t="n">
        <v>44795.44392361111</v>
      </c>
      <c r="C181" s="1" t="n">
        <v>45904</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45904</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45904</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41642-2022</t>
        </is>
      </c>
      <c r="B184" s="1" t="n">
        <v>44827</v>
      </c>
      <c r="C184" s="1" t="n">
        <v>45904</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64633-2020</t>
        </is>
      </c>
      <c r="B185" s="1" t="n">
        <v>44169</v>
      </c>
      <c r="C185" s="1" t="n">
        <v>45904</v>
      </c>
      <c r="D185" t="inlineStr">
        <is>
          <t>SÖDERMANLANDS LÄN</t>
        </is>
      </c>
      <c r="E185" t="inlineStr">
        <is>
          <t>KATRINEHOLM</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45904</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45904</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57745-2020</t>
        </is>
      </c>
      <c r="B188" s="1" t="n">
        <v>44141</v>
      </c>
      <c r="C188" s="1" t="n">
        <v>45904</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24098-2022</t>
        </is>
      </c>
      <c r="B189" s="1" t="n">
        <v>44725</v>
      </c>
      <c r="C189" s="1" t="n">
        <v>45904</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52044-2021</t>
        </is>
      </c>
      <c r="B190" s="1" t="n">
        <v>44463</v>
      </c>
      <c r="C190" s="1" t="n">
        <v>45904</v>
      </c>
      <c r="D190" t="inlineStr">
        <is>
          <t>SÖDERMANLANDS LÄN</t>
        </is>
      </c>
      <c r="E190" t="inlineStr">
        <is>
          <t>KATRINEHOLM</t>
        </is>
      </c>
      <c r="G190" t="n">
        <v>1.1</v>
      </c>
      <c r="H190" t="n">
        <v>0</v>
      </c>
      <c r="I190" t="n">
        <v>0</v>
      </c>
      <c r="J190" t="n">
        <v>0</v>
      </c>
      <c r="K190" t="n">
        <v>0</v>
      </c>
      <c r="L190" t="n">
        <v>0</v>
      </c>
      <c r="M190" t="n">
        <v>0</v>
      </c>
      <c r="N190" t="n">
        <v>0</v>
      </c>
      <c r="O190" t="n">
        <v>0</v>
      </c>
      <c r="P190" t="n">
        <v>0</v>
      </c>
      <c r="Q190" t="n">
        <v>0</v>
      </c>
      <c r="R190" s="2" t="inlineStr"/>
    </row>
    <row r="191" ht="15" customHeight="1">
      <c r="A191" t="inlineStr">
        <is>
          <t>A 7189-2022</t>
        </is>
      </c>
      <c r="B191" s="1" t="n">
        <v>44605</v>
      </c>
      <c r="C191" s="1" t="n">
        <v>45904</v>
      </c>
      <c r="D191" t="inlineStr">
        <is>
          <t>SÖDERMANLANDS LÄN</t>
        </is>
      </c>
      <c r="E191" t="inlineStr">
        <is>
          <t>KATRINEHOLM</t>
        </is>
      </c>
      <c r="G191" t="n">
        <v>1.8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45904</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54698-2021</t>
        </is>
      </c>
      <c r="B193" s="1" t="n">
        <v>44473</v>
      </c>
      <c r="C193" s="1" t="n">
        <v>45904</v>
      </c>
      <c r="D193" t="inlineStr">
        <is>
          <t>SÖDERMANLANDS LÄN</t>
        </is>
      </c>
      <c r="E193" t="inlineStr">
        <is>
          <t>KATRINEHOLM</t>
        </is>
      </c>
      <c r="F193" t="inlineStr">
        <is>
          <t>Holmen skog AB</t>
        </is>
      </c>
      <c r="G193" t="n">
        <v>1.7</v>
      </c>
      <c r="H193" t="n">
        <v>0</v>
      </c>
      <c r="I193" t="n">
        <v>0</v>
      </c>
      <c r="J193" t="n">
        <v>0</v>
      </c>
      <c r="K193" t="n">
        <v>0</v>
      </c>
      <c r="L193" t="n">
        <v>0</v>
      </c>
      <c r="M193" t="n">
        <v>0</v>
      </c>
      <c r="N193" t="n">
        <v>0</v>
      </c>
      <c r="O193" t="n">
        <v>0</v>
      </c>
      <c r="P193" t="n">
        <v>0</v>
      </c>
      <c r="Q193" t="n">
        <v>0</v>
      </c>
      <c r="R193" s="2" t="inlineStr"/>
    </row>
    <row r="194" ht="15" customHeight="1">
      <c r="A194" t="inlineStr">
        <is>
          <t>A 36964-2021</t>
        </is>
      </c>
      <c r="B194" s="1" t="n">
        <v>44393</v>
      </c>
      <c r="C194" s="1" t="n">
        <v>45904</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30981-2022</t>
        </is>
      </c>
      <c r="B195" s="1" t="n">
        <v>44768</v>
      </c>
      <c r="C195" s="1" t="n">
        <v>45904</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12068-2021</t>
        </is>
      </c>
      <c r="B196" s="1" t="n">
        <v>44266</v>
      </c>
      <c r="C196" s="1" t="n">
        <v>45904</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53822-2023</t>
        </is>
      </c>
      <c r="B197" s="1" t="n">
        <v>45231.40846064815</v>
      </c>
      <c r="C197" s="1" t="n">
        <v>45904</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45904</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45904</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4767-2021</t>
        </is>
      </c>
      <c r="B200" s="1" t="n">
        <v>44225</v>
      </c>
      <c r="C200" s="1" t="n">
        <v>45904</v>
      </c>
      <c r="D200" t="inlineStr">
        <is>
          <t>SÖDERMANLANDS LÄN</t>
        </is>
      </c>
      <c r="E200" t="inlineStr">
        <is>
          <t>KATRINEHOLM</t>
        </is>
      </c>
      <c r="G200" t="n">
        <v>3.8</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45904</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12658-2022</t>
        </is>
      </c>
      <c r="B202" s="1" t="n">
        <v>44641</v>
      </c>
      <c r="C202" s="1" t="n">
        <v>45904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46412-2022</t>
        </is>
      </c>
      <c r="B203" s="1" t="n">
        <v>44848.42216435185</v>
      </c>
      <c r="C203" s="1" t="n">
        <v>45904</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71129-2021</t>
        </is>
      </c>
      <c r="B204" s="1" t="n">
        <v>44539</v>
      </c>
      <c r="C204" s="1" t="n">
        <v>45904</v>
      </c>
      <c r="D204" t="inlineStr">
        <is>
          <t>SÖDERMANLANDS LÄN</t>
        </is>
      </c>
      <c r="E204" t="inlineStr">
        <is>
          <t>KATRINEHOLM</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45147-2021</t>
        </is>
      </c>
      <c r="B205" s="1" t="n">
        <v>44439</v>
      </c>
      <c r="C205" s="1" t="n">
        <v>45904</v>
      </c>
      <c r="D205" t="inlineStr">
        <is>
          <t>SÖDERMANLANDS LÄN</t>
        </is>
      </c>
      <c r="E205" t="inlineStr">
        <is>
          <t>KATRINEHOLM</t>
        </is>
      </c>
      <c r="G205" t="n">
        <v>3.2</v>
      </c>
      <c r="H205" t="n">
        <v>0</v>
      </c>
      <c r="I205" t="n">
        <v>0</v>
      </c>
      <c r="J205" t="n">
        <v>0</v>
      </c>
      <c r="K205" t="n">
        <v>0</v>
      </c>
      <c r="L205" t="n">
        <v>0</v>
      </c>
      <c r="M205" t="n">
        <v>0</v>
      </c>
      <c r="N205" t="n">
        <v>0</v>
      </c>
      <c r="O205" t="n">
        <v>0</v>
      </c>
      <c r="P205" t="n">
        <v>0</v>
      </c>
      <c r="Q205" t="n">
        <v>0</v>
      </c>
      <c r="R205" s="2" t="inlineStr"/>
    </row>
    <row r="206" ht="15" customHeight="1">
      <c r="A206" t="inlineStr">
        <is>
          <t>A 40393-2022</t>
        </is>
      </c>
      <c r="B206" s="1" t="n">
        <v>44823</v>
      </c>
      <c r="C206" s="1" t="n">
        <v>45904</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40749-2022</t>
        </is>
      </c>
      <c r="B207" s="1" t="n">
        <v>44824</v>
      </c>
      <c r="C207" s="1" t="n">
        <v>45904</v>
      </c>
      <c r="D207" t="inlineStr">
        <is>
          <t>SÖDERMANLANDS LÄN</t>
        </is>
      </c>
      <c r="E207" t="inlineStr">
        <is>
          <t>KATRINEHOLM</t>
        </is>
      </c>
      <c r="G207" t="n">
        <v>0.2</v>
      </c>
      <c r="H207" t="n">
        <v>0</v>
      </c>
      <c r="I207" t="n">
        <v>0</v>
      </c>
      <c r="J207" t="n">
        <v>0</v>
      </c>
      <c r="K207" t="n">
        <v>0</v>
      </c>
      <c r="L207" t="n">
        <v>0</v>
      </c>
      <c r="M207" t="n">
        <v>0</v>
      </c>
      <c r="N207" t="n">
        <v>0</v>
      </c>
      <c r="O207" t="n">
        <v>0</v>
      </c>
      <c r="P207" t="n">
        <v>0</v>
      </c>
      <c r="Q207" t="n">
        <v>0</v>
      </c>
      <c r="R207" s="2" t="inlineStr"/>
    </row>
    <row r="208" ht="15" customHeight="1">
      <c r="A208" t="inlineStr">
        <is>
          <t>A 33934-2022</t>
        </is>
      </c>
      <c r="B208" s="1" t="n">
        <v>44790</v>
      </c>
      <c r="C208" s="1" t="n">
        <v>45904</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2606-2025</t>
        </is>
      </c>
      <c r="B209" s="1" t="n">
        <v>45674</v>
      </c>
      <c r="C209" s="1" t="n">
        <v>45904</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74354-2021</t>
        </is>
      </c>
      <c r="B210" s="1" t="n">
        <v>44559.57041666667</v>
      </c>
      <c r="C210" s="1" t="n">
        <v>45904</v>
      </c>
      <c r="D210" t="inlineStr">
        <is>
          <t>SÖDERMANLANDS LÄN</t>
        </is>
      </c>
      <c r="E210" t="inlineStr">
        <is>
          <t>KATRINEHOLM</t>
        </is>
      </c>
      <c r="G210" t="n">
        <v>0.7</v>
      </c>
      <c r="H210" t="n">
        <v>0</v>
      </c>
      <c r="I210" t="n">
        <v>0</v>
      </c>
      <c r="J210" t="n">
        <v>0</v>
      </c>
      <c r="K210" t="n">
        <v>0</v>
      </c>
      <c r="L210" t="n">
        <v>0</v>
      </c>
      <c r="M210" t="n">
        <v>0</v>
      </c>
      <c r="N210" t="n">
        <v>0</v>
      </c>
      <c r="O210" t="n">
        <v>0</v>
      </c>
      <c r="P210" t="n">
        <v>0</v>
      </c>
      <c r="Q210" t="n">
        <v>0</v>
      </c>
      <c r="R210" s="2" t="inlineStr"/>
    </row>
    <row r="211" ht="15" customHeight="1">
      <c r="A211" t="inlineStr">
        <is>
          <t>A 48763-2024</t>
        </is>
      </c>
      <c r="B211" s="1" t="n">
        <v>45593.60288194445</v>
      </c>
      <c r="C211" s="1" t="n">
        <v>45904</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9699-2024</t>
        </is>
      </c>
      <c r="B212" s="1" t="n">
        <v>45362</v>
      </c>
      <c r="C212" s="1" t="n">
        <v>45904</v>
      </c>
      <c r="D212" t="inlineStr">
        <is>
          <t>SÖDERMANLANDS LÄN</t>
        </is>
      </c>
      <c r="E212" t="inlineStr">
        <is>
          <t>KATRINEHOLM</t>
        </is>
      </c>
      <c r="G212" t="n">
        <v>7.7</v>
      </c>
      <c r="H212" t="n">
        <v>0</v>
      </c>
      <c r="I212" t="n">
        <v>0</v>
      </c>
      <c r="J212" t="n">
        <v>0</v>
      </c>
      <c r="K212" t="n">
        <v>0</v>
      </c>
      <c r="L212" t="n">
        <v>0</v>
      </c>
      <c r="M212" t="n">
        <v>0</v>
      </c>
      <c r="N212" t="n">
        <v>0</v>
      </c>
      <c r="O212" t="n">
        <v>0</v>
      </c>
      <c r="P212" t="n">
        <v>0</v>
      </c>
      <c r="Q212" t="n">
        <v>0</v>
      </c>
      <c r="R212" s="2" t="inlineStr"/>
    </row>
    <row r="213" ht="15" customHeight="1">
      <c r="A213" t="inlineStr">
        <is>
          <t>A 29702-2021</t>
        </is>
      </c>
      <c r="B213" s="1" t="n">
        <v>44362</v>
      </c>
      <c r="C213" s="1" t="n">
        <v>45904</v>
      </c>
      <c r="D213" t="inlineStr">
        <is>
          <t>SÖDERMANLANDS LÄN</t>
        </is>
      </c>
      <c r="E213" t="inlineStr">
        <is>
          <t>KATRINEHOLM</t>
        </is>
      </c>
      <c r="F213" t="inlineStr">
        <is>
          <t>Holmen skog AB</t>
        </is>
      </c>
      <c r="G213" t="n">
        <v>0.3</v>
      </c>
      <c r="H213" t="n">
        <v>0</v>
      </c>
      <c r="I213" t="n">
        <v>0</v>
      </c>
      <c r="J213" t="n">
        <v>0</v>
      </c>
      <c r="K213" t="n">
        <v>0</v>
      </c>
      <c r="L213" t="n">
        <v>0</v>
      </c>
      <c r="M213" t="n">
        <v>0</v>
      </c>
      <c r="N213" t="n">
        <v>0</v>
      </c>
      <c r="O213" t="n">
        <v>0</v>
      </c>
      <c r="P213" t="n">
        <v>0</v>
      </c>
      <c r="Q213" t="n">
        <v>0</v>
      </c>
      <c r="R213" s="2" t="inlineStr"/>
    </row>
    <row r="214" ht="15" customHeight="1">
      <c r="A214" t="inlineStr">
        <is>
          <t>A 38872-2024</t>
        </is>
      </c>
      <c r="B214" s="1" t="n">
        <v>45547</v>
      </c>
      <c r="C214" s="1" t="n">
        <v>45904</v>
      </c>
      <c r="D214" t="inlineStr">
        <is>
          <t>SÖDERMANLANDS LÄN</t>
        </is>
      </c>
      <c r="E214" t="inlineStr">
        <is>
          <t>KATRINEHOLM</t>
        </is>
      </c>
      <c r="G214" t="n">
        <v>5.7</v>
      </c>
      <c r="H214" t="n">
        <v>0</v>
      </c>
      <c r="I214" t="n">
        <v>0</v>
      </c>
      <c r="J214" t="n">
        <v>0</v>
      </c>
      <c r="K214" t="n">
        <v>0</v>
      </c>
      <c r="L214" t="n">
        <v>0</v>
      </c>
      <c r="M214" t="n">
        <v>0</v>
      </c>
      <c r="N214" t="n">
        <v>0</v>
      </c>
      <c r="O214" t="n">
        <v>0</v>
      </c>
      <c r="P214" t="n">
        <v>0</v>
      </c>
      <c r="Q214" t="n">
        <v>0</v>
      </c>
      <c r="R214" s="2" t="inlineStr"/>
    </row>
    <row r="215" ht="15" customHeight="1">
      <c r="A215" t="inlineStr">
        <is>
          <t>A 4662-2023</t>
        </is>
      </c>
      <c r="B215" s="1" t="n">
        <v>44957</v>
      </c>
      <c r="C215" s="1" t="n">
        <v>45904</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33001-2024</t>
        </is>
      </c>
      <c r="B216" s="1" t="n">
        <v>45517</v>
      </c>
      <c r="C216" s="1" t="n">
        <v>45904</v>
      </c>
      <c r="D216" t="inlineStr">
        <is>
          <t>SÖDERMANLANDS LÄN</t>
        </is>
      </c>
      <c r="E216" t="inlineStr">
        <is>
          <t>KATRINEHOLM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10732-2022</t>
        </is>
      </c>
      <c r="B217" s="1" t="n">
        <v>44627.34033564815</v>
      </c>
      <c r="C217" s="1" t="n">
        <v>45904</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41229-2022</t>
        </is>
      </c>
      <c r="B218" s="1" t="n">
        <v>44825</v>
      </c>
      <c r="C218" s="1" t="n">
        <v>45904</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50061-2022</t>
        </is>
      </c>
      <c r="B219" s="1" t="n">
        <v>44865</v>
      </c>
      <c r="C219" s="1" t="n">
        <v>45904</v>
      </c>
      <c r="D219" t="inlineStr">
        <is>
          <t>SÖDERMANLANDS LÄN</t>
        </is>
      </c>
      <c r="E219" t="inlineStr">
        <is>
          <t>KATRINEHOLM</t>
        </is>
      </c>
      <c r="G219" t="n">
        <v>4.9</v>
      </c>
      <c r="H219" t="n">
        <v>0</v>
      </c>
      <c r="I219" t="n">
        <v>0</v>
      </c>
      <c r="J219" t="n">
        <v>0</v>
      </c>
      <c r="K219" t="n">
        <v>0</v>
      </c>
      <c r="L219" t="n">
        <v>0</v>
      </c>
      <c r="M219" t="n">
        <v>0</v>
      </c>
      <c r="N219" t="n">
        <v>0</v>
      </c>
      <c r="O219" t="n">
        <v>0</v>
      </c>
      <c r="P219" t="n">
        <v>0</v>
      </c>
      <c r="Q219" t="n">
        <v>0</v>
      </c>
      <c r="R219" s="2" t="inlineStr"/>
    </row>
    <row r="220" ht="15" customHeight="1">
      <c r="A220" t="inlineStr">
        <is>
          <t>A 22304-2024</t>
        </is>
      </c>
      <c r="B220" s="1" t="n">
        <v>45446.56626157407</v>
      </c>
      <c r="C220" s="1" t="n">
        <v>45904</v>
      </c>
      <c r="D220" t="inlineStr">
        <is>
          <t>SÖDERMANLANDS LÄN</t>
        </is>
      </c>
      <c r="E220" t="inlineStr">
        <is>
          <t>KATRINEHOLM</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13171-2024</t>
        </is>
      </c>
      <c r="B221" s="1" t="n">
        <v>45386</v>
      </c>
      <c r="C221" s="1" t="n">
        <v>45904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1091-2025</t>
        </is>
      </c>
      <c r="B222" s="1" t="n">
        <v>45666</v>
      </c>
      <c r="C222" s="1" t="n">
        <v>45904</v>
      </c>
      <c r="D222" t="inlineStr">
        <is>
          <t>SÖDERMANLANDS LÄN</t>
        </is>
      </c>
      <c r="E222" t="inlineStr">
        <is>
          <t>KATRINEHOLM</t>
        </is>
      </c>
      <c r="F222" t="inlineStr">
        <is>
          <t>Övriga Aktiebolag</t>
        </is>
      </c>
      <c r="G222" t="n">
        <v>0.8</v>
      </c>
      <c r="H222" t="n">
        <v>0</v>
      </c>
      <c r="I222" t="n">
        <v>0</v>
      </c>
      <c r="J222" t="n">
        <v>0</v>
      </c>
      <c r="K222" t="n">
        <v>0</v>
      </c>
      <c r="L222" t="n">
        <v>0</v>
      </c>
      <c r="M222" t="n">
        <v>0</v>
      </c>
      <c r="N222" t="n">
        <v>0</v>
      </c>
      <c r="O222" t="n">
        <v>0</v>
      </c>
      <c r="P222" t="n">
        <v>0</v>
      </c>
      <c r="Q222" t="n">
        <v>0</v>
      </c>
      <c r="R222" s="2" t="inlineStr"/>
    </row>
    <row r="223" ht="15" customHeight="1">
      <c r="A223" t="inlineStr">
        <is>
          <t>A 48259-2022</t>
        </is>
      </c>
      <c r="B223" s="1" t="n">
        <v>44858</v>
      </c>
      <c r="C223" s="1" t="n">
        <v>45904</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45904</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30333-2023</t>
        </is>
      </c>
      <c r="B225" s="1" t="n">
        <v>45111</v>
      </c>
      <c r="C225" s="1" t="n">
        <v>45904</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6628-2022</t>
        </is>
      </c>
      <c r="B226" s="1" t="n">
        <v>44601.78850694445</v>
      </c>
      <c r="C226" s="1" t="n">
        <v>45904</v>
      </c>
      <c r="D226" t="inlineStr">
        <is>
          <t>SÖDERMANLANDS LÄN</t>
        </is>
      </c>
      <c r="E226" t="inlineStr">
        <is>
          <t>KATRINEHOLM</t>
        </is>
      </c>
      <c r="G226" t="n">
        <v>0.6</v>
      </c>
      <c r="H226" t="n">
        <v>0</v>
      </c>
      <c r="I226" t="n">
        <v>0</v>
      </c>
      <c r="J226" t="n">
        <v>0</v>
      </c>
      <c r="K226" t="n">
        <v>0</v>
      </c>
      <c r="L226" t="n">
        <v>0</v>
      </c>
      <c r="M226" t="n">
        <v>0</v>
      </c>
      <c r="N226" t="n">
        <v>0</v>
      </c>
      <c r="O226" t="n">
        <v>0</v>
      </c>
      <c r="P226" t="n">
        <v>0</v>
      </c>
      <c r="Q226" t="n">
        <v>0</v>
      </c>
      <c r="R226" s="2" t="inlineStr"/>
    </row>
    <row r="227" ht="15" customHeight="1">
      <c r="A227" t="inlineStr">
        <is>
          <t>A 39120-2023</t>
        </is>
      </c>
      <c r="B227" s="1" t="n">
        <v>45165</v>
      </c>
      <c r="C227" s="1" t="n">
        <v>45904</v>
      </c>
      <c r="D227" t="inlineStr">
        <is>
          <t>SÖDERMANLANDS LÄN</t>
        </is>
      </c>
      <c r="E227" t="inlineStr">
        <is>
          <t>KATRINEHOLM</t>
        </is>
      </c>
      <c r="G227" t="n">
        <v>4.4</v>
      </c>
      <c r="H227" t="n">
        <v>0</v>
      </c>
      <c r="I227" t="n">
        <v>0</v>
      </c>
      <c r="J227" t="n">
        <v>0</v>
      </c>
      <c r="K227" t="n">
        <v>0</v>
      </c>
      <c r="L227" t="n">
        <v>0</v>
      </c>
      <c r="M227" t="n">
        <v>0</v>
      </c>
      <c r="N227" t="n">
        <v>0</v>
      </c>
      <c r="O227" t="n">
        <v>0</v>
      </c>
      <c r="P227" t="n">
        <v>0</v>
      </c>
      <c r="Q227" t="n">
        <v>0</v>
      </c>
      <c r="R227" s="2" t="inlineStr"/>
    </row>
    <row r="228" ht="15" customHeight="1">
      <c r="A228" t="inlineStr">
        <is>
          <t>A 28652-2024</t>
        </is>
      </c>
      <c r="B228" s="1" t="n">
        <v>45478</v>
      </c>
      <c r="C228" s="1" t="n">
        <v>45904</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45904</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9936-2023</t>
        </is>
      </c>
      <c r="B230" s="1" t="n">
        <v>44985.47086805556</v>
      </c>
      <c r="C230" s="1" t="n">
        <v>45904</v>
      </c>
      <c r="D230" t="inlineStr">
        <is>
          <t>SÖDERMANLANDS LÄN</t>
        </is>
      </c>
      <c r="E230" t="inlineStr">
        <is>
          <t>KATRINEHOLM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39010-2021</t>
        </is>
      </c>
      <c r="B231" s="1" t="n">
        <v>44412</v>
      </c>
      <c r="C231" s="1" t="n">
        <v>45904</v>
      </c>
      <c r="D231" t="inlineStr">
        <is>
          <t>SÖDERMANLANDS LÄN</t>
        </is>
      </c>
      <c r="E231" t="inlineStr">
        <is>
          <t>KATRINEHOLM</t>
        </is>
      </c>
      <c r="G231" t="n">
        <v>0.8</v>
      </c>
      <c r="H231" t="n">
        <v>0</v>
      </c>
      <c r="I231" t="n">
        <v>0</v>
      </c>
      <c r="J231" t="n">
        <v>0</v>
      </c>
      <c r="K231" t="n">
        <v>0</v>
      </c>
      <c r="L231" t="n">
        <v>0</v>
      </c>
      <c r="M231" t="n">
        <v>0</v>
      </c>
      <c r="N231" t="n">
        <v>0</v>
      </c>
      <c r="O231" t="n">
        <v>0</v>
      </c>
      <c r="P231" t="n">
        <v>0</v>
      </c>
      <c r="Q231" t="n">
        <v>0</v>
      </c>
      <c r="R231" s="2" t="inlineStr"/>
    </row>
    <row r="232" ht="15" customHeight="1">
      <c r="A232" t="inlineStr">
        <is>
          <t>A 29397-2024</t>
        </is>
      </c>
      <c r="B232" s="1" t="n">
        <v>45483</v>
      </c>
      <c r="C232" s="1" t="n">
        <v>45904</v>
      </c>
      <c r="D232" t="inlineStr">
        <is>
          <t>SÖDERMANLANDS LÄN</t>
        </is>
      </c>
      <c r="E232" t="inlineStr">
        <is>
          <t>KATRINEHOLM</t>
        </is>
      </c>
      <c r="G232" t="n">
        <v>3.4</v>
      </c>
      <c r="H232" t="n">
        <v>0</v>
      </c>
      <c r="I232" t="n">
        <v>0</v>
      </c>
      <c r="J232" t="n">
        <v>0</v>
      </c>
      <c r="K232" t="n">
        <v>0</v>
      </c>
      <c r="L232" t="n">
        <v>0</v>
      </c>
      <c r="M232" t="n">
        <v>0</v>
      </c>
      <c r="N232" t="n">
        <v>0</v>
      </c>
      <c r="O232" t="n">
        <v>0</v>
      </c>
      <c r="P232" t="n">
        <v>0</v>
      </c>
      <c r="Q232" t="n">
        <v>0</v>
      </c>
      <c r="R232" s="2" t="inlineStr"/>
    </row>
    <row r="233" ht="15" customHeight="1">
      <c r="A233" t="inlineStr">
        <is>
          <t>A 24287-2024</t>
        </is>
      </c>
      <c r="B233" s="1" t="n">
        <v>45457</v>
      </c>
      <c r="C233" s="1" t="n">
        <v>45904</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9192-2023</t>
        </is>
      </c>
      <c r="B234" s="1" t="n">
        <v>44980</v>
      </c>
      <c r="C234" s="1" t="n">
        <v>45904</v>
      </c>
      <c r="D234" t="inlineStr">
        <is>
          <t>SÖDERMANLANDS LÄN</t>
        </is>
      </c>
      <c r="E234" t="inlineStr">
        <is>
          <t>KATRINEHOLM</t>
        </is>
      </c>
      <c r="F234" t="inlineStr">
        <is>
          <t>Övriga Aktiebolag</t>
        </is>
      </c>
      <c r="G234" t="n">
        <v>1.6</v>
      </c>
      <c r="H234" t="n">
        <v>0</v>
      </c>
      <c r="I234" t="n">
        <v>0</v>
      </c>
      <c r="J234" t="n">
        <v>0</v>
      </c>
      <c r="K234" t="n">
        <v>0</v>
      </c>
      <c r="L234" t="n">
        <v>0</v>
      </c>
      <c r="M234" t="n">
        <v>0</v>
      </c>
      <c r="N234" t="n">
        <v>0</v>
      </c>
      <c r="O234" t="n">
        <v>0</v>
      </c>
      <c r="P234" t="n">
        <v>0</v>
      </c>
      <c r="Q234" t="n">
        <v>0</v>
      </c>
      <c r="R234" s="2" t="inlineStr"/>
    </row>
    <row r="235" ht="15" customHeight="1">
      <c r="A235" t="inlineStr">
        <is>
          <t>A 6807-2023</t>
        </is>
      </c>
      <c r="B235" s="1" t="n">
        <v>44964</v>
      </c>
      <c r="C235" s="1" t="n">
        <v>45904</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57462-2020</t>
        </is>
      </c>
      <c r="B236" s="1" t="n">
        <v>44140</v>
      </c>
      <c r="C236" s="1" t="n">
        <v>45904</v>
      </c>
      <c r="D236" t="inlineStr">
        <is>
          <t>SÖDERMANLANDS LÄN</t>
        </is>
      </c>
      <c r="E236" t="inlineStr">
        <is>
          <t>KATRINEHOLM</t>
        </is>
      </c>
      <c r="G236" t="n">
        <v>3.1</v>
      </c>
      <c r="H236" t="n">
        <v>0</v>
      </c>
      <c r="I236" t="n">
        <v>0</v>
      </c>
      <c r="J236" t="n">
        <v>0</v>
      </c>
      <c r="K236" t="n">
        <v>0</v>
      </c>
      <c r="L236" t="n">
        <v>0</v>
      </c>
      <c r="M236" t="n">
        <v>0</v>
      </c>
      <c r="N236" t="n">
        <v>0</v>
      </c>
      <c r="O236" t="n">
        <v>0</v>
      </c>
      <c r="P236" t="n">
        <v>0</v>
      </c>
      <c r="Q236" t="n">
        <v>0</v>
      </c>
      <c r="R236" s="2" t="inlineStr"/>
    </row>
    <row r="237" ht="15" customHeight="1">
      <c r="A237" t="inlineStr">
        <is>
          <t>A 72984-2021</t>
        </is>
      </c>
      <c r="B237" s="1" t="n">
        <v>44549.74741898148</v>
      </c>
      <c r="C237" s="1" t="n">
        <v>45904</v>
      </c>
      <c r="D237" t="inlineStr">
        <is>
          <t>SÖDERMANLANDS LÄN</t>
        </is>
      </c>
      <c r="E237" t="inlineStr">
        <is>
          <t>KATRINEHOLM</t>
        </is>
      </c>
      <c r="G237" t="n">
        <v>4.9</v>
      </c>
      <c r="H237" t="n">
        <v>0</v>
      </c>
      <c r="I237" t="n">
        <v>0</v>
      </c>
      <c r="J237" t="n">
        <v>0</v>
      </c>
      <c r="K237" t="n">
        <v>0</v>
      </c>
      <c r="L237" t="n">
        <v>0</v>
      </c>
      <c r="M237" t="n">
        <v>0</v>
      </c>
      <c r="N237" t="n">
        <v>0</v>
      </c>
      <c r="O237" t="n">
        <v>0</v>
      </c>
      <c r="P237" t="n">
        <v>0</v>
      </c>
      <c r="Q237" t="n">
        <v>0</v>
      </c>
      <c r="R237" s="2" t="inlineStr"/>
    </row>
    <row r="238" ht="15" customHeight="1">
      <c r="A238" t="inlineStr">
        <is>
          <t>A 6091-2025</t>
        </is>
      </c>
      <c r="B238" s="1" t="n">
        <v>45697</v>
      </c>
      <c r="C238" s="1" t="n">
        <v>45904</v>
      </c>
      <c r="D238" t="inlineStr">
        <is>
          <t>SÖDERMANLANDS LÄN</t>
        </is>
      </c>
      <c r="E238" t="inlineStr">
        <is>
          <t>KATRINEHOLM</t>
        </is>
      </c>
      <c r="G238" t="n">
        <v>2.4</v>
      </c>
      <c r="H238" t="n">
        <v>0</v>
      </c>
      <c r="I238" t="n">
        <v>0</v>
      </c>
      <c r="J238" t="n">
        <v>0</v>
      </c>
      <c r="K238" t="n">
        <v>0</v>
      </c>
      <c r="L238" t="n">
        <v>0</v>
      </c>
      <c r="M238" t="n">
        <v>0</v>
      </c>
      <c r="N238" t="n">
        <v>0</v>
      </c>
      <c r="O238" t="n">
        <v>0</v>
      </c>
      <c r="P238" t="n">
        <v>0</v>
      </c>
      <c r="Q238" t="n">
        <v>0</v>
      </c>
      <c r="R238" s="2" t="inlineStr"/>
    </row>
    <row r="239" ht="15" customHeight="1">
      <c r="A239" t="inlineStr">
        <is>
          <t>A 6093-2025</t>
        </is>
      </c>
      <c r="B239" s="1" t="n">
        <v>45697</v>
      </c>
      <c r="C239" s="1" t="n">
        <v>45904</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24179-2024</t>
        </is>
      </c>
      <c r="B240" s="1" t="n">
        <v>45456.83059027778</v>
      </c>
      <c r="C240" s="1" t="n">
        <v>45904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6311-2025</t>
        </is>
      </c>
      <c r="B241" s="1" t="n">
        <v>45698</v>
      </c>
      <c r="C241" s="1" t="n">
        <v>45904</v>
      </c>
      <c r="D241" t="inlineStr">
        <is>
          <t>SÖDERMANLANDS LÄN</t>
        </is>
      </c>
      <c r="E241" t="inlineStr">
        <is>
          <t>KATRINEHOLM</t>
        </is>
      </c>
      <c r="G241" t="n">
        <v>0.3</v>
      </c>
      <c r="H241" t="n">
        <v>0</v>
      </c>
      <c r="I241" t="n">
        <v>0</v>
      </c>
      <c r="J241" t="n">
        <v>0</v>
      </c>
      <c r="K241" t="n">
        <v>0</v>
      </c>
      <c r="L241" t="n">
        <v>0</v>
      </c>
      <c r="M241" t="n">
        <v>0</v>
      </c>
      <c r="N241" t="n">
        <v>0</v>
      </c>
      <c r="O241" t="n">
        <v>0</v>
      </c>
      <c r="P241" t="n">
        <v>0</v>
      </c>
      <c r="Q241" t="n">
        <v>0</v>
      </c>
      <c r="R241" s="2" t="inlineStr"/>
    </row>
    <row r="242" ht="15" customHeight="1">
      <c r="A242" t="inlineStr">
        <is>
          <t>A 33712-2022</t>
        </is>
      </c>
      <c r="B242" s="1" t="n">
        <v>44789</v>
      </c>
      <c r="C242" s="1" t="n">
        <v>45904</v>
      </c>
      <c r="D242" t="inlineStr">
        <is>
          <t>SÖDERMANLANDS LÄN</t>
        </is>
      </c>
      <c r="E242" t="inlineStr">
        <is>
          <t>KATRINEHOLM</t>
        </is>
      </c>
      <c r="G242" t="n">
        <v>4.3</v>
      </c>
      <c r="H242" t="n">
        <v>0</v>
      </c>
      <c r="I242" t="n">
        <v>0</v>
      </c>
      <c r="J242" t="n">
        <v>0</v>
      </c>
      <c r="K242" t="n">
        <v>0</v>
      </c>
      <c r="L242" t="n">
        <v>0</v>
      </c>
      <c r="M242" t="n">
        <v>0</v>
      </c>
      <c r="N242" t="n">
        <v>0</v>
      </c>
      <c r="O242" t="n">
        <v>0</v>
      </c>
      <c r="P242" t="n">
        <v>0</v>
      </c>
      <c r="Q242" t="n">
        <v>0</v>
      </c>
      <c r="R242" s="2" t="inlineStr"/>
    </row>
    <row r="243" ht="15" customHeight="1">
      <c r="A243" t="inlineStr">
        <is>
          <t>A 33717-2022</t>
        </is>
      </c>
      <c r="B243" s="1" t="n">
        <v>44789</v>
      </c>
      <c r="C243" s="1" t="n">
        <v>45904</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30276-2023</t>
        </is>
      </c>
      <c r="B244" s="1" t="n">
        <v>45110</v>
      </c>
      <c r="C244" s="1" t="n">
        <v>45904</v>
      </c>
      <c r="D244" t="inlineStr">
        <is>
          <t>SÖDERMANLANDS LÄN</t>
        </is>
      </c>
      <c r="E244" t="inlineStr">
        <is>
          <t>KATRINEHOLM</t>
        </is>
      </c>
      <c r="G244" t="n">
        <v>2.3</v>
      </c>
      <c r="H244" t="n">
        <v>0</v>
      </c>
      <c r="I244" t="n">
        <v>0</v>
      </c>
      <c r="J244" t="n">
        <v>0</v>
      </c>
      <c r="K244" t="n">
        <v>0</v>
      </c>
      <c r="L244" t="n">
        <v>0</v>
      </c>
      <c r="M244" t="n">
        <v>0</v>
      </c>
      <c r="N244" t="n">
        <v>0</v>
      </c>
      <c r="O244" t="n">
        <v>0</v>
      </c>
      <c r="P244" t="n">
        <v>0</v>
      </c>
      <c r="Q244" t="n">
        <v>0</v>
      </c>
      <c r="R244" s="2" t="inlineStr"/>
    </row>
    <row r="245" ht="15" customHeight="1">
      <c r="A245" t="inlineStr">
        <is>
          <t>A 51440-2024</t>
        </is>
      </c>
      <c r="B245" s="1" t="n">
        <v>45604</v>
      </c>
      <c r="C245" s="1" t="n">
        <v>45904</v>
      </c>
      <c r="D245" t="inlineStr">
        <is>
          <t>SÖDERMANLANDS LÄN</t>
        </is>
      </c>
      <c r="E245" t="inlineStr">
        <is>
          <t>KATRINEHOLM</t>
        </is>
      </c>
      <c r="G245" t="n">
        <v>4.7</v>
      </c>
      <c r="H245" t="n">
        <v>0</v>
      </c>
      <c r="I245" t="n">
        <v>0</v>
      </c>
      <c r="J245" t="n">
        <v>0</v>
      </c>
      <c r="K245" t="n">
        <v>0</v>
      </c>
      <c r="L245" t="n">
        <v>0</v>
      </c>
      <c r="M245" t="n">
        <v>0</v>
      </c>
      <c r="N245" t="n">
        <v>0</v>
      </c>
      <c r="O245" t="n">
        <v>0</v>
      </c>
      <c r="P245" t="n">
        <v>0</v>
      </c>
      <c r="Q245" t="n">
        <v>0</v>
      </c>
      <c r="R245" s="2" t="inlineStr"/>
    </row>
    <row r="246" ht="15" customHeight="1">
      <c r="A246" t="inlineStr">
        <is>
          <t>A 2298-2021</t>
        </is>
      </c>
      <c r="B246" s="1" t="n">
        <v>44212</v>
      </c>
      <c r="C246" s="1" t="n">
        <v>45904</v>
      </c>
      <c r="D246" t="inlineStr">
        <is>
          <t>SÖDERMANLANDS LÄN</t>
        </is>
      </c>
      <c r="E246" t="inlineStr">
        <is>
          <t>KATRINEHOLM</t>
        </is>
      </c>
      <c r="G246" t="n">
        <v>3.4</v>
      </c>
      <c r="H246" t="n">
        <v>0</v>
      </c>
      <c r="I246" t="n">
        <v>0</v>
      </c>
      <c r="J246" t="n">
        <v>0</v>
      </c>
      <c r="K246" t="n">
        <v>0</v>
      </c>
      <c r="L246" t="n">
        <v>0</v>
      </c>
      <c r="M246" t="n">
        <v>0</v>
      </c>
      <c r="N246" t="n">
        <v>0</v>
      </c>
      <c r="O246" t="n">
        <v>0</v>
      </c>
      <c r="P246" t="n">
        <v>0</v>
      </c>
      <c r="Q246" t="n">
        <v>0</v>
      </c>
      <c r="R246" s="2" t="inlineStr"/>
    </row>
    <row r="247" ht="15" customHeight="1">
      <c r="A247" t="inlineStr">
        <is>
          <t>A 42791-2023</t>
        </is>
      </c>
      <c r="B247" s="1" t="n">
        <v>45181.92876157408</v>
      </c>
      <c r="C247" s="1" t="n">
        <v>45904</v>
      </c>
      <c r="D247" t="inlineStr">
        <is>
          <t>SÖDERMANLANDS LÄN</t>
        </is>
      </c>
      <c r="E247" t="inlineStr">
        <is>
          <t>KATRINEHOLM</t>
        </is>
      </c>
      <c r="G247" t="n">
        <v>4.1</v>
      </c>
      <c r="H247" t="n">
        <v>0</v>
      </c>
      <c r="I247" t="n">
        <v>0</v>
      </c>
      <c r="J247" t="n">
        <v>0</v>
      </c>
      <c r="K247" t="n">
        <v>0</v>
      </c>
      <c r="L247" t="n">
        <v>0</v>
      </c>
      <c r="M247" t="n">
        <v>0</v>
      </c>
      <c r="N247" t="n">
        <v>0</v>
      </c>
      <c r="O247" t="n">
        <v>0</v>
      </c>
      <c r="P247" t="n">
        <v>0</v>
      </c>
      <c r="Q247" t="n">
        <v>0</v>
      </c>
      <c r="R247" s="2" t="inlineStr"/>
    </row>
    <row r="248" ht="15" customHeight="1">
      <c r="A248" t="inlineStr">
        <is>
          <t>A 42792-2023</t>
        </is>
      </c>
      <c r="B248" s="1" t="n">
        <v>45181.95491898148</v>
      </c>
      <c r="C248" s="1" t="n">
        <v>45904</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32786-2022</t>
        </is>
      </c>
      <c r="B249" s="1" t="n">
        <v>44784</v>
      </c>
      <c r="C249" s="1" t="n">
        <v>45904</v>
      </c>
      <c r="D249" t="inlineStr">
        <is>
          <t>SÖDERMANLANDS LÄN</t>
        </is>
      </c>
      <c r="E249" t="inlineStr">
        <is>
          <t>KATRINEHOLM</t>
        </is>
      </c>
      <c r="G249" t="n">
        <v>7</v>
      </c>
      <c r="H249" t="n">
        <v>0</v>
      </c>
      <c r="I249" t="n">
        <v>0</v>
      </c>
      <c r="J249" t="n">
        <v>0</v>
      </c>
      <c r="K249" t="n">
        <v>0</v>
      </c>
      <c r="L249" t="n">
        <v>0</v>
      </c>
      <c r="M249" t="n">
        <v>0</v>
      </c>
      <c r="N249" t="n">
        <v>0</v>
      </c>
      <c r="O249" t="n">
        <v>0</v>
      </c>
      <c r="P249" t="n">
        <v>0</v>
      </c>
      <c r="Q249" t="n">
        <v>0</v>
      </c>
      <c r="R249" s="2" t="inlineStr"/>
    </row>
    <row r="250" ht="15" customHeight="1">
      <c r="A250" t="inlineStr">
        <is>
          <t>A 51260-2021</t>
        </is>
      </c>
      <c r="B250" s="1" t="n">
        <v>44461</v>
      </c>
      <c r="C250" s="1" t="n">
        <v>45904</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38879-2024</t>
        </is>
      </c>
      <c r="B251" s="1" t="n">
        <v>45547</v>
      </c>
      <c r="C251" s="1" t="n">
        <v>45904</v>
      </c>
      <c r="D251" t="inlineStr">
        <is>
          <t>SÖDERMANLANDS LÄN</t>
        </is>
      </c>
      <c r="E251" t="inlineStr">
        <is>
          <t>KATRINEHOLM</t>
        </is>
      </c>
      <c r="G251" t="n">
        <v>2.6</v>
      </c>
      <c r="H251" t="n">
        <v>0</v>
      </c>
      <c r="I251" t="n">
        <v>0</v>
      </c>
      <c r="J251" t="n">
        <v>0</v>
      </c>
      <c r="K251" t="n">
        <v>0</v>
      </c>
      <c r="L251" t="n">
        <v>0</v>
      </c>
      <c r="M251" t="n">
        <v>0</v>
      </c>
      <c r="N251" t="n">
        <v>0</v>
      </c>
      <c r="O251" t="n">
        <v>0</v>
      </c>
      <c r="P251" t="n">
        <v>0</v>
      </c>
      <c r="Q251" t="n">
        <v>0</v>
      </c>
      <c r="R251" s="2" t="inlineStr"/>
    </row>
    <row r="252" ht="15" customHeight="1">
      <c r="A252" t="inlineStr">
        <is>
          <t>A 42945-2023</t>
        </is>
      </c>
      <c r="B252" s="1" t="n">
        <v>45182.5793287037</v>
      </c>
      <c r="C252" s="1" t="n">
        <v>45904</v>
      </c>
      <c r="D252" t="inlineStr">
        <is>
          <t>SÖDERMANLANDS LÄN</t>
        </is>
      </c>
      <c r="E252" t="inlineStr">
        <is>
          <t>KATRINEHOLM</t>
        </is>
      </c>
      <c r="F252" t="inlineStr">
        <is>
          <t>Övriga Aktiebolag</t>
        </is>
      </c>
      <c r="G252" t="n">
        <v>2.2</v>
      </c>
      <c r="H252" t="n">
        <v>0</v>
      </c>
      <c r="I252" t="n">
        <v>0</v>
      </c>
      <c r="J252" t="n">
        <v>0</v>
      </c>
      <c r="K252" t="n">
        <v>0</v>
      </c>
      <c r="L252" t="n">
        <v>0</v>
      </c>
      <c r="M252" t="n">
        <v>0</v>
      </c>
      <c r="N252" t="n">
        <v>0</v>
      </c>
      <c r="O252" t="n">
        <v>0</v>
      </c>
      <c r="P252" t="n">
        <v>0</v>
      </c>
      <c r="Q252" t="n">
        <v>0</v>
      </c>
      <c r="R252" s="2" t="inlineStr"/>
    </row>
    <row r="253" ht="15" customHeight="1">
      <c r="A253" t="inlineStr">
        <is>
          <t>A 42962-2023</t>
        </is>
      </c>
      <c r="B253" s="1" t="n">
        <v>45182</v>
      </c>
      <c r="C253" s="1" t="n">
        <v>45904</v>
      </c>
      <c r="D253" t="inlineStr">
        <is>
          <t>SÖDERMANLANDS LÄN</t>
        </is>
      </c>
      <c r="E253" t="inlineStr">
        <is>
          <t>KATRINEHOLM</t>
        </is>
      </c>
      <c r="F253" t="inlineStr">
        <is>
          <t>Övriga Aktiebolag</t>
        </is>
      </c>
      <c r="G253" t="n">
        <v>10.6</v>
      </c>
      <c r="H253" t="n">
        <v>0</v>
      </c>
      <c r="I253" t="n">
        <v>0</v>
      </c>
      <c r="J253" t="n">
        <v>0</v>
      </c>
      <c r="K253" t="n">
        <v>0</v>
      </c>
      <c r="L253" t="n">
        <v>0</v>
      </c>
      <c r="M253" t="n">
        <v>0</v>
      </c>
      <c r="N253" t="n">
        <v>0</v>
      </c>
      <c r="O253" t="n">
        <v>0</v>
      </c>
      <c r="P253" t="n">
        <v>0</v>
      </c>
      <c r="Q253" t="n">
        <v>0</v>
      </c>
      <c r="R253" s="2" t="inlineStr"/>
    </row>
    <row r="254" ht="15" customHeight="1">
      <c r="A254" t="inlineStr">
        <is>
          <t>A 33538-2022</t>
        </is>
      </c>
      <c r="B254" s="1" t="n">
        <v>44789</v>
      </c>
      <c r="C254" s="1" t="n">
        <v>45904</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42025-2022</t>
        </is>
      </c>
      <c r="B255" s="1" t="n">
        <v>44830.47399305556</v>
      </c>
      <c r="C255" s="1" t="n">
        <v>45904</v>
      </c>
      <c r="D255" t="inlineStr">
        <is>
          <t>SÖDERMANLANDS LÄN</t>
        </is>
      </c>
      <c r="E255" t="inlineStr">
        <is>
          <t>KATRINEHOLM</t>
        </is>
      </c>
      <c r="G255" t="n">
        <v>1.5</v>
      </c>
      <c r="H255" t="n">
        <v>0</v>
      </c>
      <c r="I255" t="n">
        <v>0</v>
      </c>
      <c r="J255" t="n">
        <v>0</v>
      </c>
      <c r="K255" t="n">
        <v>0</v>
      </c>
      <c r="L255" t="n">
        <v>0</v>
      </c>
      <c r="M255" t="n">
        <v>0</v>
      </c>
      <c r="N255" t="n">
        <v>0</v>
      </c>
      <c r="O255" t="n">
        <v>0</v>
      </c>
      <c r="P255" t="n">
        <v>0</v>
      </c>
      <c r="Q255" t="n">
        <v>0</v>
      </c>
      <c r="R255" s="2" t="inlineStr"/>
    </row>
    <row r="256" ht="15" customHeight="1">
      <c r="A256" t="inlineStr">
        <is>
          <t>A 13658-2023</t>
        </is>
      </c>
      <c r="B256" s="1" t="n">
        <v>45006</v>
      </c>
      <c r="C256" s="1" t="n">
        <v>45904</v>
      </c>
      <c r="D256" t="inlineStr">
        <is>
          <t>SÖDERMANLANDS LÄN</t>
        </is>
      </c>
      <c r="E256" t="inlineStr">
        <is>
          <t>KATRINEHOLM</t>
        </is>
      </c>
      <c r="F256" t="inlineStr">
        <is>
          <t>Kyrkan</t>
        </is>
      </c>
      <c r="G256" t="n">
        <v>24.3</v>
      </c>
      <c r="H256" t="n">
        <v>0</v>
      </c>
      <c r="I256" t="n">
        <v>0</v>
      </c>
      <c r="J256" t="n">
        <v>0</v>
      </c>
      <c r="K256" t="n">
        <v>0</v>
      </c>
      <c r="L256" t="n">
        <v>0</v>
      </c>
      <c r="M256" t="n">
        <v>0</v>
      </c>
      <c r="N256" t="n">
        <v>0</v>
      </c>
      <c r="O256" t="n">
        <v>0</v>
      </c>
      <c r="P256" t="n">
        <v>0</v>
      </c>
      <c r="Q256" t="n">
        <v>0</v>
      </c>
      <c r="R256" s="2" t="inlineStr"/>
    </row>
    <row r="257" ht="15" customHeight="1">
      <c r="A257" t="inlineStr">
        <is>
          <t>A 7459-2022</t>
        </is>
      </c>
      <c r="B257" s="1" t="n">
        <v>44607.35009259259</v>
      </c>
      <c r="C257" s="1" t="n">
        <v>45904</v>
      </c>
      <c r="D257" t="inlineStr">
        <is>
          <t>SÖDERMANLANDS LÄN</t>
        </is>
      </c>
      <c r="E257" t="inlineStr">
        <is>
          <t>KATRINEHOLM</t>
        </is>
      </c>
      <c r="G257" t="n">
        <v>2</v>
      </c>
      <c r="H257" t="n">
        <v>0</v>
      </c>
      <c r="I257" t="n">
        <v>0</v>
      </c>
      <c r="J257" t="n">
        <v>0</v>
      </c>
      <c r="K257" t="n">
        <v>0</v>
      </c>
      <c r="L257" t="n">
        <v>0</v>
      </c>
      <c r="M257" t="n">
        <v>0</v>
      </c>
      <c r="N257" t="n">
        <v>0</v>
      </c>
      <c r="O257" t="n">
        <v>0</v>
      </c>
      <c r="P257" t="n">
        <v>0</v>
      </c>
      <c r="Q257" t="n">
        <v>0</v>
      </c>
      <c r="R257" s="2" t="inlineStr"/>
    </row>
    <row r="258" ht="15" customHeight="1">
      <c r="A258" t="inlineStr">
        <is>
          <t>A 22113-2025</t>
        </is>
      </c>
      <c r="B258" s="1" t="n">
        <v>45785</v>
      </c>
      <c r="C258" s="1" t="n">
        <v>45904</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16605-2025</t>
        </is>
      </c>
      <c r="B259" s="1" t="n">
        <v>45753.61614583333</v>
      </c>
      <c r="C259" s="1" t="n">
        <v>45904</v>
      </c>
      <c r="D259" t="inlineStr">
        <is>
          <t>SÖDERMANLANDS LÄN</t>
        </is>
      </c>
      <c r="E259" t="inlineStr">
        <is>
          <t>KATRINEHOLM</t>
        </is>
      </c>
      <c r="G259" t="n">
        <v>5.2</v>
      </c>
      <c r="H259" t="n">
        <v>0</v>
      </c>
      <c r="I259" t="n">
        <v>0</v>
      </c>
      <c r="J259" t="n">
        <v>0</v>
      </c>
      <c r="K259" t="n">
        <v>0</v>
      </c>
      <c r="L259" t="n">
        <v>0</v>
      </c>
      <c r="M259" t="n">
        <v>0</v>
      </c>
      <c r="N259" t="n">
        <v>0</v>
      </c>
      <c r="O259" t="n">
        <v>0</v>
      </c>
      <c r="P259" t="n">
        <v>0</v>
      </c>
      <c r="Q259" t="n">
        <v>0</v>
      </c>
      <c r="R259" s="2" t="inlineStr"/>
    </row>
    <row r="260" ht="15" customHeight="1">
      <c r="A260" t="inlineStr">
        <is>
          <t>A 22119-2025</t>
        </is>
      </c>
      <c r="B260" s="1" t="n">
        <v>45785</v>
      </c>
      <c r="C260" s="1" t="n">
        <v>45904</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73409-2021</t>
        </is>
      </c>
      <c r="B261" s="1" t="n">
        <v>44551</v>
      </c>
      <c r="C261" s="1" t="n">
        <v>45904</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73415-2021</t>
        </is>
      </c>
      <c r="B262" s="1" t="n">
        <v>44551</v>
      </c>
      <c r="C262" s="1" t="n">
        <v>45904</v>
      </c>
      <c r="D262" t="inlineStr">
        <is>
          <t>SÖDERMANLANDS LÄN</t>
        </is>
      </c>
      <c r="E262" t="inlineStr">
        <is>
          <t>KATRINEHOLM</t>
        </is>
      </c>
      <c r="G262" t="n">
        <v>3.2</v>
      </c>
      <c r="H262" t="n">
        <v>0</v>
      </c>
      <c r="I262" t="n">
        <v>0</v>
      </c>
      <c r="J262" t="n">
        <v>0</v>
      </c>
      <c r="K262" t="n">
        <v>0</v>
      </c>
      <c r="L262" t="n">
        <v>0</v>
      </c>
      <c r="M262" t="n">
        <v>0</v>
      </c>
      <c r="N262" t="n">
        <v>0</v>
      </c>
      <c r="O262" t="n">
        <v>0</v>
      </c>
      <c r="P262" t="n">
        <v>0</v>
      </c>
      <c r="Q262" t="n">
        <v>0</v>
      </c>
      <c r="R262" s="2" t="inlineStr"/>
    </row>
    <row r="263" ht="15" customHeight="1">
      <c r="A263" t="inlineStr">
        <is>
          <t>A 63188-2021</t>
        </is>
      </c>
      <c r="B263" s="1" t="n">
        <v>44507.56865740741</v>
      </c>
      <c r="C263" s="1" t="n">
        <v>45904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64713-2023</t>
        </is>
      </c>
      <c r="B264" s="1" t="n">
        <v>45281</v>
      </c>
      <c r="C264" s="1" t="n">
        <v>45904</v>
      </c>
      <c r="D264" t="inlineStr">
        <is>
          <t>SÖDERMANLANDS LÄN</t>
        </is>
      </c>
      <c r="E264" t="inlineStr">
        <is>
          <t>KATRINEHOLM</t>
        </is>
      </c>
      <c r="G264" t="n">
        <v>4.9</v>
      </c>
      <c r="H264" t="n">
        <v>0</v>
      </c>
      <c r="I264" t="n">
        <v>0</v>
      </c>
      <c r="J264" t="n">
        <v>0</v>
      </c>
      <c r="K264" t="n">
        <v>0</v>
      </c>
      <c r="L264" t="n">
        <v>0</v>
      </c>
      <c r="M264" t="n">
        <v>0</v>
      </c>
      <c r="N264" t="n">
        <v>0</v>
      </c>
      <c r="O264" t="n">
        <v>0</v>
      </c>
      <c r="P264" t="n">
        <v>0</v>
      </c>
      <c r="Q264" t="n">
        <v>0</v>
      </c>
      <c r="R264" s="2" t="inlineStr"/>
    </row>
    <row r="265" ht="15" customHeight="1">
      <c r="A265" t="inlineStr">
        <is>
          <t>A 32890-2024</t>
        </is>
      </c>
      <c r="B265" s="1" t="n">
        <v>45516</v>
      </c>
      <c r="C265" s="1" t="n">
        <v>45904</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28304-2024</t>
        </is>
      </c>
      <c r="B266" s="1" t="n">
        <v>45477</v>
      </c>
      <c r="C266" s="1" t="n">
        <v>45904</v>
      </c>
      <c r="D266" t="inlineStr">
        <is>
          <t>SÖDERMANLANDS LÄN</t>
        </is>
      </c>
      <c r="E266" t="inlineStr">
        <is>
          <t>KATRINEHOLM</t>
        </is>
      </c>
      <c r="G266" t="n">
        <v>3.8</v>
      </c>
      <c r="H266" t="n">
        <v>0</v>
      </c>
      <c r="I266" t="n">
        <v>0</v>
      </c>
      <c r="J266" t="n">
        <v>0</v>
      </c>
      <c r="K266" t="n">
        <v>0</v>
      </c>
      <c r="L266" t="n">
        <v>0</v>
      </c>
      <c r="M266" t="n">
        <v>0</v>
      </c>
      <c r="N266" t="n">
        <v>0</v>
      </c>
      <c r="O266" t="n">
        <v>0</v>
      </c>
      <c r="P266" t="n">
        <v>0</v>
      </c>
      <c r="Q266" t="n">
        <v>0</v>
      </c>
      <c r="R266" s="2" t="inlineStr"/>
    </row>
    <row r="267" ht="15" customHeight="1">
      <c r="A267" t="inlineStr">
        <is>
          <t>A 39704-2023</t>
        </is>
      </c>
      <c r="B267" s="1" t="n">
        <v>45167</v>
      </c>
      <c r="C267" s="1" t="n">
        <v>45904</v>
      </c>
      <c r="D267" t="inlineStr">
        <is>
          <t>SÖDERMANLANDS LÄN</t>
        </is>
      </c>
      <c r="E267" t="inlineStr">
        <is>
          <t>KATRINEHOLM</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8457-2023</t>
        </is>
      </c>
      <c r="B268" s="1" t="n">
        <v>44977</v>
      </c>
      <c r="C268" s="1" t="n">
        <v>45904</v>
      </c>
      <c r="D268" t="inlineStr">
        <is>
          <t>SÖDERMANLANDS LÄN</t>
        </is>
      </c>
      <c r="E268" t="inlineStr">
        <is>
          <t>KATRINEHOLM</t>
        </is>
      </c>
      <c r="F268" t="inlineStr">
        <is>
          <t>Allmännings- och besparingsskogar</t>
        </is>
      </c>
      <c r="G268" t="n">
        <v>16.1</v>
      </c>
      <c r="H268" t="n">
        <v>0</v>
      </c>
      <c r="I268" t="n">
        <v>0</v>
      </c>
      <c r="J268" t="n">
        <v>0</v>
      </c>
      <c r="K268" t="n">
        <v>0</v>
      </c>
      <c r="L268" t="n">
        <v>0</v>
      </c>
      <c r="M268" t="n">
        <v>0</v>
      </c>
      <c r="N268" t="n">
        <v>0</v>
      </c>
      <c r="O268" t="n">
        <v>0</v>
      </c>
      <c r="P268" t="n">
        <v>0</v>
      </c>
      <c r="Q268" t="n">
        <v>0</v>
      </c>
      <c r="R268" s="2" t="inlineStr"/>
    </row>
    <row r="269" ht="15" customHeight="1">
      <c r="A269" t="inlineStr">
        <is>
          <t>A 24983-2024</t>
        </is>
      </c>
      <c r="B269" s="1" t="n">
        <v>45461</v>
      </c>
      <c r="C269" s="1" t="n">
        <v>45904</v>
      </c>
      <c r="D269" t="inlineStr">
        <is>
          <t>SÖDERMANLANDS LÄN</t>
        </is>
      </c>
      <c r="E269" t="inlineStr">
        <is>
          <t>KATRINEHOLM</t>
        </is>
      </c>
      <c r="G269" t="n">
        <v>2.6</v>
      </c>
      <c r="H269" t="n">
        <v>0</v>
      </c>
      <c r="I269" t="n">
        <v>0</v>
      </c>
      <c r="J269" t="n">
        <v>0</v>
      </c>
      <c r="K269" t="n">
        <v>0</v>
      </c>
      <c r="L269" t="n">
        <v>0</v>
      </c>
      <c r="M269" t="n">
        <v>0</v>
      </c>
      <c r="N269" t="n">
        <v>0</v>
      </c>
      <c r="O269" t="n">
        <v>0</v>
      </c>
      <c r="P269" t="n">
        <v>0</v>
      </c>
      <c r="Q269" t="n">
        <v>0</v>
      </c>
      <c r="R269" s="2" t="inlineStr"/>
    </row>
    <row r="270" ht="15" customHeight="1">
      <c r="A270" t="inlineStr">
        <is>
          <t>A 52134-2020</t>
        </is>
      </c>
      <c r="B270" s="1" t="n">
        <v>44110</v>
      </c>
      <c r="C270" s="1" t="n">
        <v>45904</v>
      </c>
      <c r="D270" t="inlineStr">
        <is>
          <t>SÖDERMANLANDS LÄN</t>
        </is>
      </c>
      <c r="E270" t="inlineStr">
        <is>
          <t>KATRINEHOLM</t>
        </is>
      </c>
      <c r="G270" t="n">
        <v>2.2</v>
      </c>
      <c r="H270" t="n">
        <v>0</v>
      </c>
      <c r="I270" t="n">
        <v>0</v>
      </c>
      <c r="J270" t="n">
        <v>0</v>
      </c>
      <c r="K270" t="n">
        <v>0</v>
      </c>
      <c r="L270" t="n">
        <v>0</v>
      </c>
      <c r="M270" t="n">
        <v>0</v>
      </c>
      <c r="N270" t="n">
        <v>0</v>
      </c>
      <c r="O270" t="n">
        <v>0</v>
      </c>
      <c r="P270" t="n">
        <v>0</v>
      </c>
      <c r="Q270" t="n">
        <v>0</v>
      </c>
      <c r="R270" s="2" t="inlineStr"/>
    </row>
    <row r="271" ht="15" customHeight="1">
      <c r="A271" t="inlineStr">
        <is>
          <t>A 22336-2025</t>
        </is>
      </c>
      <c r="B271" s="1" t="n">
        <v>45786.44217592593</v>
      </c>
      <c r="C271" s="1" t="n">
        <v>45904</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32943-2024</t>
        </is>
      </c>
      <c r="B272" s="1" t="n">
        <v>45517</v>
      </c>
      <c r="C272" s="1" t="n">
        <v>45904</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7322-2023</t>
        </is>
      </c>
      <c r="B273" s="1" t="n">
        <v>44970</v>
      </c>
      <c r="C273" s="1" t="n">
        <v>45904</v>
      </c>
      <c r="D273" t="inlineStr">
        <is>
          <t>SÖDERMANLANDS LÄN</t>
        </is>
      </c>
      <c r="E273" t="inlineStr">
        <is>
          <t>KATRINEHOLM</t>
        </is>
      </c>
      <c r="G273" t="n">
        <v>2.1</v>
      </c>
      <c r="H273" t="n">
        <v>0</v>
      </c>
      <c r="I273" t="n">
        <v>0</v>
      </c>
      <c r="J273" t="n">
        <v>0</v>
      </c>
      <c r="K273" t="n">
        <v>0</v>
      </c>
      <c r="L273" t="n">
        <v>0</v>
      </c>
      <c r="M273" t="n">
        <v>0</v>
      </c>
      <c r="N273" t="n">
        <v>0</v>
      </c>
      <c r="O273" t="n">
        <v>0</v>
      </c>
      <c r="P273" t="n">
        <v>0</v>
      </c>
      <c r="Q273" t="n">
        <v>0</v>
      </c>
      <c r="R273" s="2" t="inlineStr"/>
    </row>
    <row r="274" ht="15" customHeight="1">
      <c r="A274" t="inlineStr">
        <is>
          <t>A 60160-2022</t>
        </is>
      </c>
      <c r="B274" s="1" t="n">
        <v>44909</v>
      </c>
      <c r="C274" s="1" t="n">
        <v>45904</v>
      </c>
      <c r="D274" t="inlineStr">
        <is>
          <t>SÖDERMANLANDS LÄN</t>
        </is>
      </c>
      <c r="E274" t="inlineStr">
        <is>
          <t>KATRINEHOLM</t>
        </is>
      </c>
      <c r="F274" t="inlineStr">
        <is>
          <t>Allmännings- och besparingsskogar</t>
        </is>
      </c>
      <c r="G274" t="n">
        <v>2</v>
      </c>
      <c r="H274" t="n">
        <v>0</v>
      </c>
      <c r="I274" t="n">
        <v>0</v>
      </c>
      <c r="J274" t="n">
        <v>0</v>
      </c>
      <c r="K274" t="n">
        <v>0</v>
      </c>
      <c r="L274" t="n">
        <v>0</v>
      </c>
      <c r="M274" t="n">
        <v>0</v>
      </c>
      <c r="N274" t="n">
        <v>0</v>
      </c>
      <c r="O274" t="n">
        <v>0</v>
      </c>
      <c r="P274" t="n">
        <v>0</v>
      </c>
      <c r="Q274" t="n">
        <v>0</v>
      </c>
      <c r="R274" s="2" t="inlineStr"/>
    </row>
    <row r="275" ht="15" customHeight="1">
      <c r="A275" t="inlineStr">
        <is>
          <t>A 12238-2021</t>
        </is>
      </c>
      <c r="B275" s="1" t="n">
        <v>44266</v>
      </c>
      <c r="C275" s="1" t="n">
        <v>45904</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48685-2022</t>
        </is>
      </c>
      <c r="B276" s="1" t="n">
        <v>44859</v>
      </c>
      <c r="C276" s="1" t="n">
        <v>45904</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42519-2024</t>
        </is>
      </c>
      <c r="B277" s="1" t="n">
        <v>45565</v>
      </c>
      <c r="C277" s="1" t="n">
        <v>45904</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22476-2025</t>
        </is>
      </c>
      <c r="B278" s="1" t="n">
        <v>45786</v>
      </c>
      <c r="C278" s="1" t="n">
        <v>45904</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23838-2021</t>
        </is>
      </c>
      <c r="B279" s="1" t="n">
        <v>44335</v>
      </c>
      <c r="C279" s="1" t="n">
        <v>45904</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55031-2020</t>
        </is>
      </c>
      <c r="B280" s="1" t="n">
        <v>44130</v>
      </c>
      <c r="C280" s="1" t="n">
        <v>45904</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43499-2021</t>
        </is>
      </c>
      <c r="B281" s="1" t="n">
        <v>44433</v>
      </c>
      <c r="C281" s="1" t="n">
        <v>45904</v>
      </c>
      <c r="D281" t="inlineStr">
        <is>
          <t>SÖDERMANLANDS LÄN</t>
        </is>
      </c>
      <c r="E281" t="inlineStr">
        <is>
          <t>KATRINEHOLM</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15235-2023</t>
        </is>
      </c>
      <c r="B282" s="1" t="n">
        <v>45019</v>
      </c>
      <c r="C282" s="1" t="n">
        <v>45904</v>
      </c>
      <c r="D282" t="inlineStr">
        <is>
          <t>SÖDERMANLANDS LÄN</t>
        </is>
      </c>
      <c r="E282" t="inlineStr">
        <is>
          <t>KATRINEHOLM</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32169-2022</t>
        </is>
      </c>
      <c r="B283" s="1" t="n">
        <v>44781</v>
      </c>
      <c r="C283" s="1" t="n">
        <v>45904</v>
      </c>
      <c r="D283" t="inlineStr">
        <is>
          <t>SÖDERMANLANDS LÄN</t>
        </is>
      </c>
      <c r="E283" t="inlineStr">
        <is>
          <t>KATRINEHOLM</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24748-2024</t>
        </is>
      </c>
      <c r="B284" s="1" t="n">
        <v>45460.66567129629</v>
      </c>
      <c r="C284" s="1" t="n">
        <v>45904</v>
      </c>
      <c r="D284" t="inlineStr">
        <is>
          <t>SÖDERMANLANDS LÄN</t>
        </is>
      </c>
      <c r="E284" t="inlineStr">
        <is>
          <t>KATRINEHOLM</t>
        </is>
      </c>
      <c r="G284" t="n">
        <v>3.3</v>
      </c>
      <c r="H284" t="n">
        <v>0</v>
      </c>
      <c r="I284" t="n">
        <v>0</v>
      </c>
      <c r="J284" t="n">
        <v>0</v>
      </c>
      <c r="K284" t="n">
        <v>0</v>
      </c>
      <c r="L284" t="n">
        <v>0</v>
      </c>
      <c r="M284" t="n">
        <v>0</v>
      </c>
      <c r="N284" t="n">
        <v>0</v>
      </c>
      <c r="O284" t="n">
        <v>0</v>
      </c>
      <c r="P284" t="n">
        <v>0</v>
      </c>
      <c r="Q284" t="n">
        <v>0</v>
      </c>
      <c r="R284" s="2" t="inlineStr"/>
    </row>
    <row r="285" ht="15" customHeight="1">
      <c r="A285" t="inlineStr">
        <is>
          <t>A 55122-2022</t>
        </is>
      </c>
      <c r="B285" s="1" t="n">
        <v>44886.65092592593</v>
      </c>
      <c r="C285" s="1" t="n">
        <v>45904</v>
      </c>
      <c r="D285" t="inlineStr">
        <is>
          <t>SÖDERMANLANDS LÄN</t>
        </is>
      </c>
      <c r="E285" t="inlineStr">
        <is>
          <t>KATRINEHOLM</t>
        </is>
      </c>
      <c r="G285" t="n">
        <v>6.5</v>
      </c>
      <c r="H285" t="n">
        <v>0</v>
      </c>
      <c r="I285" t="n">
        <v>0</v>
      </c>
      <c r="J285" t="n">
        <v>0</v>
      </c>
      <c r="K285" t="n">
        <v>0</v>
      </c>
      <c r="L285" t="n">
        <v>0</v>
      </c>
      <c r="M285" t="n">
        <v>0</v>
      </c>
      <c r="N285" t="n">
        <v>0</v>
      </c>
      <c r="O285" t="n">
        <v>0</v>
      </c>
      <c r="P285" t="n">
        <v>0</v>
      </c>
      <c r="Q285" t="n">
        <v>0</v>
      </c>
      <c r="R285" s="2" t="inlineStr"/>
    </row>
    <row r="286" ht="15" customHeight="1">
      <c r="A286" t="inlineStr">
        <is>
          <t>A 44915-2022</t>
        </is>
      </c>
      <c r="B286" s="1" t="n">
        <v>44840</v>
      </c>
      <c r="C286" s="1" t="n">
        <v>45904</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43964-2022</t>
        </is>
      </c>
      <c r="B287" s="1" t="n">
        <v>44837</v>
      </c>
      <c r="C287" s="1" t="n">
        <v>45904</v>
      </c>
      <c r="D287" t="inlineStr">
        <is>
          <t>SÖDERMANLANDS LÄN</t>
        </is>
      </c>
      <c r="E287" t="inlineStr">
        <is>
          <t>KATRINEHOLM</t>
        </is>
      </c>
      <c r="G287" t="n">
        <v>3.6</v>
      </c>
      <c r="H287" t="n">
        <v>0</v>
      </c>
      <c r="I287" t="n">
        <v>0</v>
      </c>
      <c r="J287" t="n">
        <v>0</v>
      </c>
      <c r="K287" t="n">
        <v>0</v>
      </c>
      <c r="L287" t="n">
        <v>0</v>
      </c>
      <c r="M287" t="n">
        <v>0</v>
      </c>
      <c r="N287" t="n">
        <v>0</v>
      </c>
      <c r="O287" t="n">
        <v>0</v>
      </c>
      <c r="P287" t="n">
        <v>0</v>
      </c>
      <c r="Q287" t="n">
        <v>0</v>
      </c>
      <c r="R287" s="2" t="inlineStr"/>
    </row>
    <row r="288" ht="15" customHeight="1">
      <c r="A288" t="inlineStr">
        <is>
          <t>A 46075-2023</t>
        </is>
      </c>
      <c r="B288" s="1" t="n">
        <v>45196</v>
      </c>
      <c r="C288" s="1" t="n">
        <v>45904</v>
      </c>
      <c r="D288" t="inlineStr">
        <is>
          <t>SÖDERMANLANDS LÄN</t>
        </is>
      </c>
      <c r="E288" t="inlineStr">
        <is>
          <t>KATRINEHOLM</t>
        </is>
      </c>
      <c r="F288" t="inlineStr">
        <is>
          <t>Övriga Aktiebolag</t>
        </is>
      </c>
      <c r="G288" t="n">
        <v>9.5</v>
      </c>
      <c r="H288" t="n">
        <v>0</v>
      </c>
      <c r="I288" t="n">
        <v>0</v>
      </c>
      <c r="J288" t="n">
        <v>0</v>
      </c>
      <c r="K288" t="n">
        <v>0</v>
      </c>
      <c r="L288" t="n">
        <v>0</v>
      </c>
      <c r="M288" t="n">
        <v>0</v>
      </c>
      <c r="N288" t="n">
        <v>0</v>
      </c>
      <c r="O288" t="n">
        <v>0</v>
      </c>
      <c r="P288" t="n">
        <v>0</v>
      </c>
      <c r="Q288" t="n">
        <v>0</v>
      </c>
      <c r="R288" s="2" t="inlineStr"/>
    </row>
    <row r="289" ht="15" customHeight="1">
      <c r="A289" t="inlineStr">
        <is>
          <t>A 9992-2022</t>
        </is>
      </c>
      <c r="B289" s="1" t="n">
        <v>44621</v>
      </c>
      <c r="C289" s="1" t="n">
        <v>45904</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45793-2022</t>
        </is>
      </c>
      <c r="B290" s="1" t="n">
        <v>44844</v>
      </c>
      <c r="C290" s="1" t="n">
        <v>45904</v>
      </c>
      <c r="D290" t="inlineStr">
        <is>
          <t>SÖDERMANLANDS LÄN</t>
        </is>
      </c>
      <c r="E290" t="inlineStr">
        <is>
          <t>KATRINEHOLM</t>
        </is>
      </c>
      <c r="G290" t="n">
        <v>2.3</v>
      </c>
      <c r="H290" t="n">
        <v>0</v>
      </c>
      <c r="I290" t="n">
        <v>0</v>
      </c>
      <c r="J290" t="n">
        <v>0</v>
      </c>
      <c r="K290" t="n">
        <v>0</v>
      </c>
      <c r="L290" t="n">
        <v>0</v>
      </c>
      <c r="M290" t="n">
        <v>0</v>
      </c>
      <c r="N290" t="n">
        <v>0</v>
      </c>
      <c r="O290" t="n">
        <v>0</v>
      </c>
      <c r="P290" t="n">
        <v>0</v>
      </c>
      <c r="Q290" t="n">
        <v>0</v>
      </c>
      <c r="R290" s="2" t="inlineStr"/>
    </row>
    <row r="291" ht="15" customHeight="1">
      <c r="A291" t="inlineStr">
        <is>
          <t>A 23050-2025</t>
        </is>
      </c>
      <c r="B291" s="1" t="n">
        <v>45790.69971064815</v>
      </c>
      <c r="C291" s="1" t="n">
        <v>45904</v>
      </c>
      <c r="D291" t="inlineStr">
        <is>
          <t>SÖDERMANLANDS LÄN</t>
        </is>
      </c>
      <c r="E291" t="inlineStr">
        <is>
          <t>KATRINEHOLM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44659-2023</t>
        </is>
      </c>
      <c r="B292" s="1" t="n">
        <v>45189</v>
      </c>
      <c r="C292" s="1" t="n">
        <v>45904</v>
      </c>
      <c r="D292" t="inlineStr">
        <is>
          <t>SÖDERMANLANDS LÄN</t>
        </is>
      </c>
      <c r="E292" t="inlineStr">
        <is>
          <t>KATRINEHOLM</t>
        </is>
      </c>
      <c r="G292" t="n">
        <v>3.5</v>
      </c>
      <c r="H292" t="n">
        <v>0</v>
      </c>
      <c r="I292" t="n">
        <v>0</v>
      </c>
      <c r="J292" t="n">
        <v>0</v>
      </c>
      <c r="K292" t="n">
        <v>0</v>
      </c>
      <c r="L292" t="n">
        <v>0</v>
      </c>
      <c r="M292" t="n">
        <v>0</v>
      </c>
      <c r="N292" t="n">
        <v>0</v>
      </c>
      <c r="O292" t="n">
        <v>0</v>
      </c>
      <c r="P292" t="n">
        <v>0</v>
      </c>
      <c r="Q292" t="n">
        <v>0</v>
      </c>
      <c r="R292" s="2" t="inlineStr"/>
    </row>
    <row r="293" ht="15" customHeight="1">
      <c r="A293" t="inlineStr">
        <is>
          <t>A 45438-2021</t>
        </is>
      </c>
      <c r="B293" s="1" t="n">
        <v>44440</v>
      </c>
      <c r="C293" s="1" t="n">
        <v>45904</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15184-2023</t>
        </is>
      </c>
      <c r="B294" s="1" t="n">
        <v>45016</v>
      </c>
      <c r="C294" s="1" t="n">
        <v>45904</v>
      </c>
      <c r="D294" t="inlineStr">
        <is>
          <t>SÖDERMANLANDS LÄN</t>
        </is>
      </c>
      <c r="E294" t="inlineStr">
        <is>
          <t>KATRINEHOLM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48682-2022</t>
        </is>
      </c>
      <c r="B295" s="1" t="n">
        <v>44859</v>
      </c>
      <c r="C295" s="1" t="n">
        <v>45904</v>
      </c>
      <c r="D295" t="inlineStr">
        <is>
          <t>SÖDERMANLANDS LÄN</t>
        </is>
      </c>
      <c r="E295" t="inlineStr">
        <is>
          <t>KATRINEHOLM</t>
        </is>
      </c>
      <c r="G295" t="n">
        <v>2</v>
      </c>
      <c r="H295" t="n">
        <v>0</v>
      </c>
      <c r="I295" t="n">
        <v>0</v>
      </c>
      <c r="J295" t="n">
        <v>0</v>
      </c>
      <c r="K295" t="n">
        <v>0</v>
      </c>
      <c r="L295" t="n">
        <v>0</v>
      </c>
      <c r="M295" t="n">
        <v>0</v>
      </c>
      <c r="N295" t="n">
        <v>0</v>
      </c>
      <c r="O295" t="n">
        <v>0</v>
      </c>
      <c r="P295" t="n">
        <v>0</v>
      </c>
      <c r="Q295" t="n">
        <v>0</v>
      </c>
      <c r="R295" s="2" t="inlineStr"/>
    </row>
    <row r="296" ht="15" customHeight="1">
      <c r="A296" t="inlineStr">
        <is>
          <t>A 4387-2024</t>
        </is>
      </c>
      <c r="B296" s="1" t="n">
        <v>45327.35068287037</v>
      </c>
      <c r="C296" s="1" t="n">
        <v>45904</v>
      </c>
      <c r="D296" t="inlineStr">
        <is>
          <t>SÖDERMANLANDS LÄN</t>
        </is>
      </c>
      <c r="E296" t="inlineStr">
        <is>
          <t>KATRINEHOLM</t>
        </is>
      </c>
      <c r="G296" t="n">
        <v>1.2</v>
      </c>
      <c r="H296" t="n">
        <v>0</v>
      </c>
      <c r="I296" t="n">
        <v>0</v>
      </c>
      <c r="J296" t="n">
        <v>0</v>
      </c>
      <c r="K296" t="n">
        <v>0</v>
      </c>
      <c r="L296" t="n">
        <v>0</v>
      </c>
      <c r="M296" t="n">
        <v>0</v>
      </c>
      <c r="N296" t="n">
        <v>0</v>
      </c>
      <c r="O296" t="n">
        <v>0</v>
      </c>
      <c r="P296" t="n">
        <v>0</v>
      </c>
      <c r="Q296" t="n">
        <v>0</v>
      </c>
      <c r="R296" s="2" t="inlineStr"/>
    </row>
    <row r="297" ht="15" customHeight="1">
      <c r="A297" t="inlineStr">
        <is>
          <t>A 61167-2020</t>
        </is>
      </c>
      <c r="B297" s="1" t="n">
        <v>44155</v>
      </c>
      <c r="C297" s="1" t="n">
        <v>45904</v>
      </c>
      <c r="D297" t="inlineStr">
        <is>
          <t>SÖDERMANLANDS LÄN</t>
        </is>
      </c>
      <c r="E297" t="inlineStr">
        <is>
          <t>KATRINEHOLM</t>
        </is>
      </c>
      <c r="G297" t="n">
        <v>3.8</v>
      </c>
      <c r="H297" t="n">
        <v>0</v>
      </c>
      <c r="I297" t="n">
        <v>0</v>
      </c>
      <c r="J297" t="n">
        <v>0</v>
      </c>
      <c r="K297" t="n">
        <v>0</v>
      </c>
      <c r="L297" t="n">
        <v>0</v>
      </c>
      <c r="M297" t="n">
        <v>0</v>
      </c>
      <c r="N297" t="n">
        <v>0</v>
      </c>
      <c r="O297" t="n">
        <v>0</v>
      </c>
      <c r="P297" t="n">
        <v>0</v>
      </c>
      <c r="Q297" t="n">
        <v>0</v>
      </c>
      <c r="R297" s="2" t="inlineStr"/>
    </row>
    <row r="298" ht="15" customHeight="1">
      <c r="A298" t="inlineStr">
        <is>
          <t>A 24902-2024</t>
        </is>
      </c>
      <c r="B298" s="1" t="n">
        <v>45461</v>
      </c>
      <c r="C298" s="1" t="n">
        <v>45904</v>
      </c>
      <c r="D298" t="inlineStr">
        <is>
          <t>SÖDERMANLANDS LÄN</t>
        </is>
      </c>
      <c r="E298" t="inlineStr">
        <is>
          <t>KATRINEHOLM</t>
        </is>
      </c>
      <c r="G298" t="n">
        <v>3.5</v>
      </c>
      <c r="H298" t="n">
        <v>0</v>
      </c>
      <c r="I298" t="n">
        <v>0</v>
      </c>
      <c r="J298" t="n">
        <v>0</v>
      </c>
      <c r="K298" t="n">
        <v>0</v>
      </c>
      <c r="L298" t="n">
        <v>0</v>
      </c>
      <c r="M298" t="n">
        <v>0</v>
      </c>
      <c r="N298" t="n">
        <v>0</v>
      </c>
      <c r="O298" t="n">
        <v>0</v>
      </c>
      <c r="P298" t="n">
        <v>0</v>
      </c>
      <c r="Q298" t="n">
        <v>0</v>
      </c>
      <c r="R298" s="2" t="inlineStr"/>
    </row>
    <row r="299" ht="15" customHeight="1">
      <c r="A299" t="inlineStr">
        <is>
          <t>A 14629-2023</t>
        </is>
      </c>
      <c r="B299" s="1" t="n">
        <v>45013</v>
      </c>
      <c r="C299" s="1" t="n">
        <v>45904</v>
      </c>
      <c r="D299" t="inlineStr">
        <is>
          <t>SÖDERMANLANDS LÄN</t>
        </is>
      </c>
      <c r="E299" t="inlineStr">
        <is>
          <t>KATRINEHOLM</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18386-2025</t>
        </is>
      </c>
      <c r="B300" s="1" t="n">
        <v>45762</v>
      </c>
      <c r="C300" s="1" t="n">
        <v>45904</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57524-2021</t>
        </is>
      </c>
      <c r="B301" s="1" t="n">
        <v>44483</v>
      </c>
      <c r="C301" s="1" t="n">
        <v>45904</v>
      </c>
      <c r="D301" t="inlineStr">
        <is>
          <t>SÖDERMANLANDS LÄN</t>
        </is>
      </c>
      <c r="E301" t="inlineStr">
        <is>
          <t>KATRINEHOLM</t>
        </is>
      </c>
      <c r="G301" t="n">
        <v>0.4</v>
      </c>
      <c r="H301" t="n">
        <v>0</v>
      </c>
      <c r="I301" t="n">
        <v>0</v>
      </c>
      <c r="J301" t="n">
        <v>0</v>
      </c>
      <c r="K301" t="n">
        <v>0</v>
      </c>
      <c r="L301" t="n">
        <v>0</v>
      </c>
      <c r="M301" t="n">
        <v>0</v>
      </c>
      <c r="N301" t="n">
        <v>0</v>
      </c>
      <c r="O301" t="n">
        <v>0</v>
      </c>
      <c r="P301" t="n">
        <v>0</v>
      </c>
      <c r="Q301" t="n">
        <v>0</v>
      </c>
      <c r="R301" s="2" t="inlineStr"/>
    </row>
    <row r="302" ht="15" customHeight="1">
      <c r="A302" t="inlineStr">
        <is>
          <t>A 14313-2024</t>
        </is>
      </c>
      <c r="B302" s="1" t="n">
        <v>45393</v>
      </c>
      <c r="C302" s="1" t="n">
        <v>45904</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8917-2024</t>
        </is>
      </c>
      <c r="B303" s="1" t="n">
        <v>45357.37618055556</v>
      </c>
      <c r="C303" s="1" t="n">
        <v>45904</v>
      </c>
      <c r="D303" t="inlineStr">
        <is>
          <t>SÖDERMANLANDS LÄN</t>
        </is>
      </c>
      <c r="E303" t="inlineStr">
        <is>
          <t>KATRINEHOLM</t>
        </is>
      </c>
      <c r="G303" t="n">
        <v>3</v>
      </c>
      <c r="H303" t="n">
        <v>0</v>
      </c>
      <c r="I303" t="n">
        <v>0</v>
      </c>
      <c r="J303" t="n">
        <v>0</v>
      </c>
      <c r="K303" t="n">
        <v>0</v>
      </c>
      <c r="L303" t="n">
        <v>0</v>
      </c>
      <c r="M303" t="n">
        <v>0</v>
      </c>
      <c r="N303" t="n">
        <v>0</v>
      </c>
      <c r="O303" t="n">
        <v>0</v>
      </c>
      <c r="P303" t="n">
        <v>0</v>
      </c>
      <c r="Q303" t="n">
        <v>0</v>
      </c>
      <c r="R303" s="2" t="inlineStr"/>
    </row>
    <row r="304" ht="15" customHeight="1">
      <c r="A304" t="inlineStr">
        <is>
          <t>A 12938-2023</t>
        </is>
      </c>
      <c r="B304" s="1" t="n">
        <v>45001</v>
      </c>
      <c r="C304" s="1" t="n">
        <v>45904</v>
      </c>
      <c r="D304" t="inlineStr">
        <is>
          <t>SÖDERMANLANDS LÄN</t>
        </is>
      </c>
      <c r="E304" t="inlineStr">
        <is>
          <t>KATRINEHOLM</t>
        </is>
      </c>
      <c r="G304" t="n">
        <v>0.4</v>
      </c>
      <c r="H304" t="n">
        <v>0</v>
      </c>
      <c r="I304" t="n">
        <v>0</v>
      </c>
      <c r="J304" t="n">
        <v>0</v>
      </c>
      <c r="K304" t="n">
        <v>0</v>
      </c>
      <c r="L304" t="n">
        <v>0</v>
      </c>
      <c r="M304" t="n">
        <v>0</v>
      </c>
      <c r="N304" t="n">
        <v>0</v>
      </c>
      <c r="O304" t="n">
        <v>0</v>
      </c>
      <c r="P304" t="n">
        <v>0</v>
      </c>
      <c r="Q304" t="n">
        <v>0</v>
      </c>
      <c r="R304" s="2" t="inlineStr"/>
    </row>
    <row r="305" ht="15" customHeight="1">
      <c r="A305" t="inlineStr">
        <is>
          <t>A 2603-2025</t>
        </is>
      </c>
      <c r="B305" s="1" t="n">
        <v>45674</v>
      </c>
      <c r="C305" s="1" t="n">
        <v>45904</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27345-2023</t>
        </is>
      </c>
      <c r="B306" s="1" t="n">
        <v>45096</v>
      </c>
      <c r="C306" s="1" t="n">
        <v>45904</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7398-2024</t>
        </is>
      </c>
      <c r="B307" s="1" t="n">
        <v>45345</v>
      </c>
      <c r="C307" s="1" t="n">
        <v>45904</v>
      </c>
      <c r="D307" t="inlineStr">
        <is>
          <t>SÖDERMANLANDS LÄN</t>
        </is>
      </c>
      <c r="E307" t="inlineStr">
        <is>
          <t>KATRINEHOLM</t>
        </is>
      </c>
      <c r="G307" t="n">
        <v>4.4</v>
      </c>
      <c r="H307" t="n">
        <v>0</v>
      </c>
      <c r="I307" t="n">
        <v>0</v>
      </c>
      <c r="J307" t="n">
        <v>0</v>
      </c>
      <c r="K307" t="n">
        <v>0</v>
      </c>
      <c r="L307" t="n">
        <v>0</v>
      </c>
      <c r="M307" t="n">
        <v>0</v>
      </c>
      <c r="N307" t="n">
        <v>0</v>
      </c>
      <c r="O307" t="n">
        <v>0</v>
      </c>
      <c r="P307" t="n">
        <v>0</v>
      </c>
      <c r="Q307" t="n">
        <v>0</v>
      </c>
      <c r="R307" s="2" t="inlineStr"/>
    </row>
    <row r="308" ht="15" customHeight="1">
      <c r="A308" t="inlineStr">
        <is>
          <t>A 53996-2023</t>
        </is>
      </c>
      <c r="B308" s="1" t="n">
        <v>45231</v>
      </c>
      <c r="C308" s="1" t="n">
        <v>45904</v>
      </c>
      <c r="D308" t="inlineStr">
        <is>
          <t>SÖDERMANLANDS LÄN</t>
        </is>
      </c>
      <c r="E308" t="inlineStr">
        <is>
          <t>KATRINEHOLM</t>
        </is>
      </c>
      <c r="G308" t="n">
        <v>4.9</v>
      </c>
      <c r="H308" t="n">
        <v>0</v>
      </c>
      <c r="I308" t="n">
        <v>0</v>
      </c>
      <c r="J308" t="n">
        <v>0</v>
      </c>
      <c r="K308" t="n">
        <v>0</v>
      </c>
      <c r="L308" t="n">
        <v>0</v>
      </c>
      <c r="M308" t="n">
        <v>0</v>
      </c>
      <c r="N308" t="n">
        <v>0</v>
      </c>
      <c r="O308" t="n">
        <v>0</v>
      </c>
      <c r="P308" t="n">
        <v>0</v>
      </c>
      <c r="Q308" t="n">
        <v>0</v>
      </c>
      <c r="R308" s="2" t="inlineStr"/>
    </row>
    <row r="309" ht="15" customHeight="1">
      <c r="A309" t="inlineStr">
        <is>
          <t>A 11127-2023</t>
        </is>
      </c>
      <c r="B309" s="1" t="n">
        <v>44987</v>
      </c>
      <c r="C309" s="1" t="n">
        <v>45904</v>
      </c>
      <c r="D309" t="inlineStr">
        <is>
          <t>SÖDERMANLANDS LÄN</t>
        </is>
      </c>
      <c r="E309" t="inlineStr">
        <is>
          <t>KATRINEHOLM</t>
        </is>
      </c>
      <c r="G309" t="n">
        <v>4.3</v>
      </c>
      <c r="H309" t="n">
        <v>0</v>
      </c>
      <c r="I309" t="n">
        <v>0</v>
      </c>
      <c r="J309" t="n">
        <v>0</v>
      </c>
      <c r="K309" t="n">
        <v>0</v>
      </c>
      <c r="L309" t="n">
        <v>0</v>
      </c>
      <c r="M309" t="n">
        <v>0</v>
      </c>
      <c r="N309" t="n">
        <v>0</v>
      </c>
      <c r="O309" t="n">
        <v>0</v>
      </c>
      <c r="P309" t="n">
        <v>0</v>
      </c>
      <c r="Q309" t="n">
        <v>0</v>
      </c>
      <c r="R309" s="2" t="inlineStr"/>
    </row>
    <row r="310" ht="15" customHeight="1">
      <c r="A310" t="inlineStr">
        <is>
          <t>A 8955-2024</t>
        </is>
      </c>
      <c r="B310" s="1" t="n">
        <v>45357.44873842593</v>
      </c>
      <c r="C310" s="1" t="n">
        <v>45904</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61423-2024</t>
        </is>
      </c>
      <c r="B311" s="1" t="n">
        <v>45646.45209490741</v>
      </c>
      <c r="C311" s="1" t="n">
        <v>45904</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37185-2023</t>
        </is>
      </c>
      <c r="B312" s="1" t="n">
        <v>45154</v>
      </c>
      <c r="C312" s="1" t="n">
        <v>45904</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36001-2024</t>
        </is>
      </c>
      <c r="B313" s="1" t="n">
        <v>45533.54609953704</v>
      </c>
      <c r="C313" s="1" t="n">
        <v>45904</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36-2023</t>
        </is>
      </c>
      <c r="B314" s="1" t="n">
        <v>44928.36578703704</v>
      </c>
      <c r="C314" s="1" t="n">
        <v>45904</v>
      </c>
      <c r="D314" t="inlineStr">
        <is>
          <t>SÖDERMANLANDS LÄN</t>
        </is>
      </c>
      <c r="E314" t="inlineStr">
        <is>
          <t>KATRINEHOLM</t>
        </is>
      </c>
      <c r="G314" t="n">
        <v>3.7</v>
      </c>
      <c r="H314" t="n">
        <v>0</v>
      </c>
      <c r="I314" t="n">
        <v>0</v>
      </c>
      <c r="J314" t="n">
        <v>0</v>
      </c>
      <c r="K314" t="n">
        <v>0</v>
      </c>
      <c r="L314" t="n">
        <v>0</v>
      </c>
      <c r="M314" t="n">
        <v>0</v>
      </c>
      <c r="N314" t="n">
        <v>0</v>
      </c>
      <c r="O314" t="n">
        <v>0</v>
      </c>
      <c r="P314" t="n">
        <v>0</v>
      </c>
      <c r="Q314" t="n">
        <v>0</v>
      </c>
      <c r="R314" s="2" t="inlineStr"/>
    </row>
    <row r="315" ht="15" customHeight="1">
      <c r="A315" t="inlineStr">
        <is>
          <t>A 24596-2025</t>
        </is>
      </c>
      <c r="B315" s="1" t="n">
        <v>45798.5558912037</v>
      </c>
      <c r="C315" s="1" t="n">
        <v>45904</v>
      </c>
      <c r="D315" t="inlineStr">
        <is>
          <t>SÖDERMANLANDS LÄN</t>
        </is>
      </c>
      <c r="E315" t="inlineStr">
        <is>
          <t>KATRINEHOLM</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24605-2025</t>
        </is>
      </c>
      <c r="B316" s="1" t="n">
        <v>45798.57403935185</v>
      </c>
      <c r="C316" s="1" t="n">
        <v>45904</v>
      </c>
      <c r="D316" t="inlineStr">
        <is>
          <t>SÖDERMANLANDS LÄN</t>
        </is>
      </c>
      <c r="E316" t="inlineStr">
        <is>
          <t>KATRINEHOLM</t>
        </is>
      </c>
      <c r="G316" t="n">
        <v>7</v>
      </c>
      <c r="H316" t="n">
        <v>0</v>
      </c>
      <c r="I316" t="n">
        <v>0</v>
      </c>
      <c r="J316" t="n">
        <v>0</v>
      </c>
      <c r="K316" t="n">
        <v>0</v>
      </c>
      <c r="L316" t="n">
        <v>0</v>
      </c>
      <c r="M316" t="n">
        <v>0</v>
      </c>
      <c r="N316" t="n">
        <v>0</v>
      </c>
      <c r="O316" t="n">
        <v>0</v>
      </c>
      <c r="P316" t="n">
        <v>0</v>
      </c>
      <c r="Q316" t="n">
        <v>0</v>
      </c>
      <c r="R316" s="2" t="inlineStr"/>
    </row>
    <row r="317" ht="15" customHeight="1">
      <c r="A317" t="inlineStr">
        <is>
          <t>A 53999-2023</t>
        </is>
      </c>
      <c r="B317" s="1" t="n">
        <v>45231</v>
      </c>
      <c r="C317" s="1" t="n">
        <v>45904</v>
      </c>
      <c r="D317" t="inlineStr">
        <is>
          <t>SÖDERMANLANDS LÄN</t>
        </is>
      </c>
      <c r="E317" t="inlineStr">
        <is>
          <t>KATRINEHOLM</t>
        </is>
      </c>
      <c r="G317" t="n">
        <v>5.4</v>
      </c>
      <c r="H317" t="n">
        <v>0</v>
      </c>
      <c r="I317" t="n">
        <v>0</v>
      </c>
      <c r="J317" t="n">
        <v>0</v>
      </c>
      <c r="K317" t="n">
        <v>0</v>
      </c>
      <c r="L317" t="n">
        <v>0</v>
      </c>
      <c r="M317" t="n">
        <v>0</v>
      </c>
      <c r="N317" t="n">
        <v>0</v>
      </c>
      <c r="O317" t="n">
        <v>0</v>
      </c>
      <c r="P317" t="n">
        <v>0</v>
      </c>
      <c r="Q317" t="n">
        <v>0</v>
      </c>
      <c r="R317" s="2" t="inlineStr"/>
    </row>
    <row r="318" ht="15" customHeight="1">
      <c r="A318" t="inlineStr">
        <is>
          <t>A 41727-2024</t>
        </is>
      </c>
      <c r="B318" s="1" t="n">
        <v>45560</v>
      </c>
      <c r="C318" s="1" t="n">
        <v>45904</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45904</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24566-2025</t>
        </is>
      </c>
      <c r="B320" s="1" t="n">
        <v>45798.46452546296</v>
      </c>
      <c r="C320" s="1" t="n">
        <v>45904</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46569-2022</t>
        </is>
      </c>
      <c r="B321" s="1" t="n">
        <v>44847</v>
      </c>
      <c r="C321" s="1" t="n">
        <v>45904</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19098-2022</t>
        </is>
      </c>
      <c r="B322" s="1" t="n">
        <v>44691.52616898148</v>
      </c>
      <c r="C322" s="1" t="n">
        <v>45904</v>
      </c>
      <c r="D322" t="inlineStr">
        <is>
          <t>SÖDERMANLANDS LÄN</t>
        </is>
      </c>
      <c r="E322" t="inlineStr">
        <is>
          <t>KATRINEHOLM</t>
        </is>
      </c>
      <c r="G322" t="n">
        <v>5.5</v>
      </c>
      <c r="H322" t="n">
        <v>0</v>
      </c>
      <c r="I322" t="n">
        <v>0</v>
      </c>
      <c r="J322" t="n">
        <v>0</v>
      </c>
      <c r="K322" t="n">
        <v>0</v>
      </c>
      <c r="L322" t="n">
        <v>0</v>
      </c>
      <c r="M322" t="n">
        <v>0</v>
      </c>
      <c r="N322" t="n">
        <v>0</v>
      </c>
      <c r="O322" t="n">
        <v>0</v>
      </c>
      <c r="P322" t="n">
        <v>0</v>
      </c>
      <c r="Q322" t="n">
        <v>0</v>
      </c>
      <c r="R322" s="2" t="inlineStr"/>
    </row>
    <row r="323" ht="15" customHeight="1">
      <c r="A323" t="inlineStr">
        <is>
          <t>A 56086-2023</t>
        </is>
      </c>
      <c r="B323" s="1" t="n">
        <v>45240</v>
      </c>
      <c r="C323" s="1" t="n">
        <v>45904</v>
      </c>
      <c r="D323" t="inlineStr">
        <is>
          <t>SÖDERMANLANDS LÄN</t>
        </is>
      </c>
      <c r="E323" t="inlineStr">
        <is>
          <t>KATRINEHOLM</t>
        </is>
      </c>
      <c r="F323" t="inlineStr">
        <is>
          <t>Kyrkan</t>
        </is>
      </c>
      <c r="G323" t="n">
        <v>17</v>
      </c>
      <c r="H323" t="n">
        <v>0</v>
      </c>
      <c r="I323" t="n">
        <v>0</v>
      </c>
      <c r="J323" t="n">
        <v>0</v>
      </c>
      <c r="K323" t="n">
        <v>0</v>
      </c>
      <c r="L323" t="n">
        <v>0</v>
      </c>
      <c r="M323" t="n">
        <v>0</v>
      </c>
      <c r="N323" t="n">
        <v>0</v>
      </c>
      <c r="O323" t="n">
        <v>0</v>
      </c>
      <c r="P323" t="n">
        <v>0</v>
      </c>
      <c r="Q323" t="n">
        <v>0</v>
      </c>
      <c r="R323" s="2" t="inlineStr"/>
    </row>
    <row r="324" ht="15" customHeight="1">
      <c r="A324" t="inlineStr">
        <is>
          <t>A 11543-2025</t>
        </is>
      </c>
      <c r="B324" s="1" t="n">
        <v>45727.34248842593</v>
      </c>
      <c r="C324" s="1" t="n">
        <v>45904</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51530-2023</t>
        </is>
      </c>
      <c r="B325" s="1" t="n">
        <v>45222</v>
      </c>
      <c r="C325" s="1" t="n">
        <v>45904</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24719-2025</t>
        </is>
      </c>
      <c r="B326" s="1" t="n">
        <v>45799</v>
      </c>
      <c r="C326" s="1" t="n">
        <v>45904</v>
      </c>
      <c r="D326" t="inlineStr">
        <is>
          <t>SÖDERMANLANDS LÄN</t>
        </is>
      </c>
      <c r="E326" t="inlineStr">
        <is>
          <t>KATRINEHOLM</t>
        </is>
      </c>
      <c r="G326" t="n">
        <v>1.8</v>
      </c>
      <c r="H326" t="n">
        <v>0</v>
      </c>
      <c r="I326" t="n">
        <v>0</v>
      </c>
      <c r="J326" t="n">
        <v>0</v>
      </c>
      <c r="K326" t="n">
        <v>0</v>
      </c>
      <c r="L326" t="n">
        <v>0</v>
      </c>
      <c r="M326" t="n">
        <v>0</v>
      </c>
      <c r="N326" t="n">
        <v>0</v>
      </c>
      <c r="O326" t="n">
        <v>0</v>
      </c>
      <c r="P326" t="n">
        <v>0</v>
      </c>
      <c r="Q326" t="n">
        <v>0</v>
      </c>
      <c r="R326" s="2" t="inlineStr"/>
    </row>
    <row r="327" ht="15" customHeight="1">
      <c r="A327" t="inlineStr">
        <is>
          <t>A 24717-2025</t>
        </is>
      </c>
      <c r="B327" s="1" t="n">
        <v>45799.27168981481</v>
      </c>
      <c r="C327" s="1" t="n">
        <v>45904</v>
      </c>
      <c r="D327" t="inlineStr">
        <is>
          <t>SÖDERMANLANDS LÄN</t>
        </is>
      </c>
      <c r="E327" t="inlineStr">
        <is>
          <t>KATRINEHOLM</t>
        </is>
      </c>
      <c r="G327" t="n">
        <v>24.5</v>
      </c>
      <c r="H327" t="n">
        <v>0</v>
      </c>
      <c r="I327" t="n">
        <v>0</v>
      </c>
      <c r="J327" t="n">
        <v>0</v>
      </c>
      <c r="K327" t="n">
        <v>0</v>
      </c>
      <c r="L327" t="n">
        <v>0</v>
      </c>
      <c r="M327" t="n">
        <v>0</v>
      </c>
      <c r="N327" t="n">
        <v>0</v>
      </c>
      <c r="O327" t="n">
        <v>0</v>
      </c>
      <c r="P327" t="n">
        <v>0</v>
      </c>
      <c r="Q327" t="n">
        <v>0</v>
      </c>
      <c r="R327" s="2" t="inlineStr"/>
    </row>
    <row r="328" ht="15" customHeight="1">
      <c r="A328" t="inlineStr">
        <is>
          <t>A 3315-2023</t>
        </is>
      </c>
      <c r="B328" s="1" t="n">
        <v>44945</v>
      </c>
      <c r="C328" s="1" t="n">
        <v>45904</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2093-2025</t>
        </is>
      </c>
      <c r="B329" s="1" t="n">
        <v>45672</v>
      </c>
      <c r="C329" s="1" t="n">
        <v>45904</v>
      </c>
      <c r="D329" t="inlineStr">
        <is>
          <t>SÖDERMANLANDS LÄN</t>
        </is>
      </c>
      <c r="E329" t="inlineStr">
        <is>
          <t>KATRINEHOLM</t>
        </is>
      </c>
      <c r="G329" t="n">
        <v>1.4</v>
      </c>
      <c r="H329" t="n">
        <v>0</v>
      </c>
      <c r="I329" t="n">
        <v>0</v>
      </c>
      <c r="J329" t="n">
        <v>0</v>
      </c>
      <c r="K329" t="n">
        <v>0</v>
      </c>
      <c r="L329" t="n">
        <v>0</v>
      </c>
      <c r="M329" t="n">
        <v>0</v>
      </c>
      <c r="N329" t="n">
        <v>0</v>
      </c>
      <c r="O329" t="n">
        <v>0</v>
      </c>
      <c r="P329" t="n">
        <v>0</v>
      </c>
      <c r="Q329" t="n">
        <v>0</v>
      </c>
      <c r="R329" s="2" t="inlineStr"/>
    </row>
    <row r="330" ht="15" customHeight="1">
      <c r="A330" t="inlineStr">
        <is>
          <t>A 64657-2020</t>
        </is>
      </c>
      <c r="B330" s="1" t="n">
        <v>44169</v>
      </c>
      <c r="C330" s="1" t="n">
        <v>45904</v>
      </c>
      <c r="D330" t="inlineStr">
        <is>
          <t>SÖDERMANLANDS LÄN</t>
        </is>
      </c>
      <c r="E330" t="inlineStr">
        <is>
          <t>KATRINEHOLM</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24284-2024</t>
        </is>
      </c>
      <c r="B331" s="1" t="n">
        <v>45457</v>
      </c>
      <c r="C331" s="1" t="n">
        <v>45904</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12227-2025</t>
        </is>
      </c>
      <c r="B332" s="1" t="n">
        <v>45729.56836805555</v>
      </c>
      <c r="C332" s="1" t="n">
        <v>45904</v>
      </c>
      <c r="D332" t="inlineStr">
        <is>
          <t>SÖDERMANLANDS LÄN</t>
        </is>
      </c>
      <c r="E332" t="inlineStr">
        <is>
          <t>KATRINEHOLM</t>
        </is>
      </c>
      <c r="G332" t="n">
        <v>7</v>
      </c>
      <c r="H332" t="n">
        <v>0</v>
      </c>
      <c r="I332" t="n">
        <v>0</v>
      </c>
      <c r="J332" t="n">
        <v>0</v>
      </c>
      <c r="K332" t="n">
        <v>0</v>
      </c>
      <c r="L332" t="n">
        <v>0</v>
      </c>
      <c r="M332" t="n">
        <v>0</v>
      </c>
      <c r="N332" t="n">
        <v>0</v>
      </c>
      <c r="O332" t="n">
        <v>0</v>
      </c>
      <c r="P332" t="n">
        <v>0</v>
      </c>
      <c r="Q332" t="n">
        <v>0</v>
      </c>
      <c r="R332" s="2" t="inlineStr"/>
    </row>
    <row r="333" ht="15" customHeight="1">
      <c r="A333" t="inlineStr">
        <is>
          <t>A 20826-2022</t>
        </is>
      </c>
      <c r="B333" s="1" t="n">
        <v>44701.44754629629</v>
      </c>
      <c r="C333" s="1" t="n">
        <v>45904</v>
      </c>
      <c r="D333" t="inlineStr">
        <is>
          <t>SÖDERMANLANDS LÄN</t>
        </is>
      </c>
      <c r="E333" t="inlineStr">
        <is>
          <t>KATRINEHOLM</t>
        </is>
      </c>
      <c r="G333" t="n">
        <v>6.8</v>
      </c>
      <c r="H333" t="n">
        <v>0</v>
      </c>
      <c r="I333" t="n">
        <v>0</v>
      </c>
      <c r="J333" t="n">
        <v>0</v>
      </c>
      <c r="K333" t="n">
        <v>0</v>
      </c>
      <c r="L333" t="n">
        <v>0</v>
      </c>
      <c r="M333" t="n">
        <v>0</v>
      </c>
      <c r="N333" t="n">
        <v>0</v>
      </c>
      <c r="O333" t="n">
        <v>0</v>
      </c>
      <c r="P333" t="n">
        <v>0</v>
      </c>
      <c r="Q333" t="n">
        <v>0</v>
      </c>
      <c r="R333" s="2" t="inlineStr"/>
    </row>
    <row r="334" ht="15" customHeight="1">
      <c r="A334" t="inlineStr">
        <is>
          <t>A 20846-2022</t>
        </is>
      </c>
      <c r="B334" s="1" t="n">
        <v>44701.4744212963</v>
      </c>
      <c r="C334" s="1" t="n">
        <v>45904</v>
      </c>
      <c r="D334" t="inlineStr">
        <is>
          <t>SÖDERMANLANDS LÄN</t>
        </is>
      </c>
      <c r="E334" t="inlineStr">
        <is>
          <t>KATRINEHOLM</t>
        </is>
      </c>
      <c r="G334" t="n">
        <v>0.8</v>
      </c>
      <c r="H334" t="n">
        <v>0</v>
      </c>
      <c r="I334" t="n">
        <v>0</v>
      </c>
      <c r="J334" t="n">
        <v>0</v>
      </c>
      <c r="K334" t="n">
        <v>0</v>
      </c>
      <c r="L334" t="n">
        <v>0</v>
      </c>
      <c r="M334" t="n">
        <v>0</v>
      </c>
      <c r="N334" t="n">
        <v>0</v>
      </c>
      <c r="O334" t="n">
        <v>0</v>
      </c>
      <c r="P334" t="n">
        <v>0</v>
      </c>
      <c r="Q334" t="n">
        <v>0</v>
      </c>
      <c r="R334" s="2" t="inlineStr"/>
    </row>
    <row r="335" ht="15" customHeight="1">
      <c r="A335" t="inlineStr">
        <is>
          <t>A 66393-2021</t>
        </is>
      </c>
      <c r="B335" s="1" t="n">
        <v>44518</v>
      </c>
      <c r="C335" s="1" t="n">
        <v>45904</v>
      </c>
      <c r="D335" t="inlineStr">
        <is>
          <t>SÖDERMANLANDS LÄN</t>
        </is>
      </c>
      <c r="E335" t="inlineStr">
        <is>
          <t>KATRINEHOLM</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50840-2022</t>
        </is>
      </c>
      <c r="B336" s="1" t="n">
        <v>44862</v>
      </c>
      <c r="C336" s="1" t="n">
        <v>45904</v>
      </c>
      <c r="D336" t="inlineStr">
        <is>
          <t>SÖDERMANLANDS LÄN</t>
        </is>
      </c>
      <c r="E336" t="inlineStr">
        <is>
          <t>KATRINEHOLM</t>
        </is>
      </c>
      <c r="G336" t="n">
        <v>4.2</v>
      </c>
      <c r="H336" t="n">
        <v>0</v>
      </c>
      <c r="I336" t="n">
        <v>0</v>
      </c>
      <c r="J336" t="n">
        <v>0</v>
      </c>
      <c r="K336" t="n">
        <v>0</v>
      </c>
      <c r="L336" t="n">
        <v>0</v>
      </c>
      <c r="M336" t="n">
        <v>0</v>
      </c>
      <c r="N336" t="n">
        <v>0</v>
      </c>
      <c r="O336" t="n">
        <v>0</v>
      </c>
      <c r="P336" t="n">
        <v>0</v>
      </c>
      <c r="Q336" t="n">
        <v>0</v>
      </c>
      <c r="R336" s="2" t="inlineStr"/>
    </row>
    <row r="337" ht="15" customHeight="1">
      <c r="A337" t="inlineStr">
        <is>
          <t>A 13113-2023</t>
        </is>
      </c>
      <c r="B337" s="1" t="n">
        <v>45002</v>
      </c>
      <c r="C337" s="1" t="n">
        <v>45904</v>
      </c>
      <c r="D337" t="inlineStr">
        <is>
          <t>SÖDERMANLANDS LÄN</t>
        </is>
      </c>
      <c r="E337" t="inlineStr">
        <is>
          <t>KATRINEHOLM</t>
        </is>
      </c>
      <c r="F337" t="inlineStr">
        <is>
          <t>Allmännings- och besparingsskogar</t>
        </is>
      </c>
      <c r="G337" t="n">
        <v>3.6</v>
      </c>
      <c r="H337" t="n">
        <v>0</v>
      </c>
      <c r="I337" t="n">
        <v>0</v>
      </c>
      <c r="J337" t="n">
        <v>0</v>
      </c>
      <c r="K337" t="n">
        <v>0</v>
      </c>
      <c r="L337" t="n">
        <v>0</v>
      </c>
      <c r="M337" t="n">
        <v>0</v>
      </c>
      <c r="N337" t="n">
        <v>0</v>
      </c>
      <c r="O337" t="n">
        <v>0</v>
      </c>
      <c r="P337" t="n">
        <v>0</v>
      </c>
      <c r="Q337" t="n">
        <v>0</v>
      </c>
      <c r="R337" s="2" t="inlineStr"/>
    </row>
    <row r="338" ht="15" customHeight="1">
      <c r="A338" t="inlineStr">
        <is>
          <t>A 17246-2024</t>
        </is>
      </c>
      <c r="B338" s="1" t="n">
        <v>45414</v>
      </c>
      <c r="C338" s="1" t="n">
        <v>45904</v>
      </c>
      <c r="D338" t="inlineStr">
        <is>
          <t>SÖDERMANLANDS LÄN</t>
        </is>
      </c>
      <c r="E338" t="inlineStr">
        <is>
          <t>KATRINEHOLM</t>
        </is>
      </c>
      <c r="F338" t="inlineStr">
        <is>
          <t>Allmännings- och besparingsskogar</t>
        </is>
      </c>
      <c r="G338" t="n">
        <v>13.7</v>
      </c>
      <c r="H338" t="n">
        <v>0</v>
      </c>
      <c r="I338" t="n">
        <v>0</v>
      </c>
      <c r="J338" t="n">
        <v>0</v>
      </c>
      <c r="K338" t="n">
        <v>0</v>
      </c>
      <c r="L338" t="n">
        <v>0</v>
      </c>
      <c r="M338" t="n">
        <v>0</v>
      </c>
      <c r="N338" t="n">
        <v>0</v>
      </c>
      <c r="O338" t="n">
        <v>0</v>
      </c>
      <c r="P338" t="n">
        <v>0</v>
      </c>
      <c r="Q338" t="n">
        <v>0</v>
      </c>
      <c r="R338" s="2" t="inlineStr"/>
    </row>
    <row r="339" ht="15" customHeight="1">
      <c r="A339" t="inlineStr">
        <is>
          <t>A 14245-2024</t>
        </is>
      </c>
      <c r="B339" s="1" t="n">
        <v>45393</v>
      </c>
      <c r="C339" s="1" t="n">
        <v>45904</v>
      </c>
      <c r="D339" t="inlineStr">
        <is>
          <t>SÖDERMANLANDS LÄN</t>
        </is>
      </c>
      <c r="E339" t="inlineStr">
        <is>
          <t>KATRINEHOLM</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25786-2025</t>
        </is>
      </c>
      <c r="B340" s="1" t="n">
        <v>45804.37456018518</v>
      </c>
      <c r="C340" s="1" t="n">
        <v>45904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36832-2023</t>
        </is>
      </c>
      <c r="B341" s="1" t="n">
        <v>45153</v>
      </c>
      <c r="C341" s="1" t="n">
        <v>45904</v>
      </c>
      <c r="D341" t="inlineStr">
        <is>
          <t>SÖDERMANLANDS LÄN</t>
        </is>
      </c>
      <c r="E341" t="inlineStr">
        <is>
          <t>KATRINEHOLM</t>
        </is>
      </c>
      <c r="F341" t="inlineStr">
        <is>
          <t>Övriga Aktiebolag</t>
        </is>
      </c>
      <c r="G341" t="n">
        <v>9</v>
      </c>
      <c r="H341" t="n">
        <v>0</v>
      </c>
      <c r="I341" t="n">
        <v>0</v>
      </c>
      <c r="J341" t="n">
        <v>0</v>
      </c>
      <c r="K341" t="n">
        <v>0</v>
      </c>
      <c r="L341" t="n">
        <v>0</v>
      </c>
      <c r="M341" t="n">
        <v>0</v>
      </c>
      <c r="N341" t="n">
        <v>0</v>
      </c>
      <c r="O341" t="n">
        <v>0</v>
      </c>
      <c r="P341" t="n">
        <v>0</v>
      </c>
      <c r="Q341" t="n">
        <v>0</v>
      </c>
      <c r="R341" s="2" t="inlineStr"/>
    </row>
    <row r="342" ht="15" customHeight="1">
      <c r="A342" t="inlineStr">
        <is>
          <t>A 26154-2025</t>
        </is>
      </c>
      <c r="B342" s="1" t="n">
        <v>45805.43341435185</v>
      </c>
      <c r="C342" s="1" t="n">
        <v>45904</v>
      </c>
      <c r="D342" t="inlineStr">
        <is>
          <t>SÖDERMANLANDS LÄN</t>
        </is>
      </c>
      <c r="E342" t="inlineStr">
        <is>
          <t>KATRINEHOLM</t>
        </is>
      </c>
      <c r="G342" t="n">
        <v>4.5</v>
      </c>
      <c r="H342" t="n">
        <v>0</v>
      </c>
      <c r="I342" t="n">
        <v>0</v>
      </c>
      <c r="J342" t="n">
        <v>0</v>
      </c>
      <c r="K342" t="n">
        <v>0</v>
      </c>
      <c r="L342" t="n">
        <v>0</v>
      </c>
      <c r="M342" t="n">
        <v>0</v>
      </c>
      <c r="N342" t="n">
        <v>0</v>
      </c>
      <c r="O342" t="n">
        <v>0</v>
      </c>
      <c r="P342" t="n">
        <v>0</v>
      </c>
      <c r="Q342" t="n">
        <v>0</v>
      </c>
      <c r="R342" s="2" t="inlineStr"/>
    </row>
    <row r="343" ht="15" customHeight="1">
      <c r="A343" t="inlineStr">
        <is>
          <t>A 12930-2023</t>
        </is>
      </c>
      <c r="B343" s="1" t="n">
        <v>45001</v>
      </c>
      <c r="C343" s="1" t="n">
        <v>45904</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38308-2021</t>
        </is>
      </c>
      <c r="B344" s="1" t="n">
        <v>44406</v>
      </c>
      <c r="C344" s="1" t="n">
        <v>45904</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39052-2023</t>
        </is>
      </c>
      <c r="B345" s="1" t="n">
        <v>45163</v>
      </c>
      <c r="C345" s="1" t="n">
        <v>45904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23031-2024</t>
        </is>
      </c>
      <c r="B346" s="1" t="n">
        <v>45450.38120370371</v>
      </c>
      <c r="C346" s="1" t="n">
        <v>45904</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26684-2025</t>
        </is>
      </c>
      <c r="B347" s="1" t="n">
        <v>45810</v>
      </c>
      <c r="C347" s="1" t="n">
        <v>45904</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41946-2022</t>
        </is>
      </c>
      <c r="B348" s="1" t="n">
        <v>44830.38502314815</v>
      </c>
      <c r="C348" s="1" t="n">
        <v>45904</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15284-2023</t>
        </is>
      </c>
      <c r="B349" s="1" t="n">
        <v>45019</v>
      </c>
      <c r="C349" s="1" t="n">
        <v>45904</v>
      </c>
      <c r="D349" t="inlineStr">
        <is>
          <t>SÖDERMANLANDS LÄN</t>
        </is>
      </c>
      <c r="E349" t="inlineStr">
        <is>
          <t>KATRINEHOLM</t>
        </is>
      </c>
      <c r="F349" t="inlineStr">
        <is>
          <t>Allmännings- och besparingsskogar</t>
        </is>
      </c>
      <c r="G349" t="n">
        <v>17.4</v>
      </c>
      <c r="H349" t="n">
        <v>0</v>
      </c>
      <c r="I349" t="n">
        <v>0</v>
      </c>
      <c r="J349" t="n">
        <v>0</v>
      </c>
      <c r="K349" t="n">
        <v>0</v>
      </c>
      <c r="L349" t="n">
        <v>0</v>
      </c>
      <c r="M349" t="n">
        <v>0</v>
      </c>
      <c r="N349" t="n">
        <v>0</v>
      </c>
      <c r="O349" t="n">
        <v>0</v>
      </c>
      <c r="P349" t="n">
        <v>0</v>
      </c>
      <c r="Q349" t="n">
        <v>0</v>
      </c>
      <c r="R349" s="2" t="inlineStr"/>
    </row>
    <row r="350" ht="15" customHeight="1">
      <c r="A350" t="inlineStr">
        <is>
          <t>A 26156-2025</t>
        </is>
      </c>
      <c r="B350" s="1" t="n">
        <v>45805.43864583333</v>
      </c>
      <c r="C350" s="1" t="n">
        <v>45904</v>
      </c>
      <c r="D350" t="inlineStr">
        <is>
          <t>SÖDERMANLANDS LÄN</t>
        </is>
      </c>
      <c r="E350" t="inlineStr">
        <is>
          <t>KATRINEHOLM</t>
        </is>
      </c>
      <c r="G350" t="n">
        <v>4.1</v>
      </c>
      <c r="H350" t="n">
        <v>0</v>
      </c>
      <c r="I350" t="n">
        <v>0</v>
      </c>
      <c r="J350" t="n">
        <v>0</v>
      </c>
      <c r="K350" t="n">
        <v>0</v>
      </c>
      <c r="L350" t="n">
        <v>0</v>
      </c>
      <c r="M350" t="n">
        <v>0</v>
      </c>
      <c r="N350" t="n">
        <v>0</v>
      </c>
      <c r="O350" t="n">
        <v>0</v>
      </c>
      <c r="P350" t="n">
        <v>0</v>
      </c>
      <c r="Q350" t="n">
        <v>0</v>
      </c>
      <c r="R350" s="2" t="inlineStr"/>
    </row>
    <row r="351" ht="15" customHeight="1">
      <c r="A351" t="inlineStr">
        <is>
          <t>A 55856-2022</t>
        </is>
      </c>
      <c r="B351" s="1" t="n">
        <v>44888</v>
      </c>
      <c r="C351" s="1" t="n">
        <v>45904</v>
      </c>
      <c r="D351" t="inlineStr">
        <is>
          <t>SÖDERMANLANDS LÄN</t>
        </is>
      </c>
      <c r="E351" t="inlineStr">
        <is>
          <t>KATRINEHOLM</t>
        </is>
      </c>
      <c r="G351" t="n">
        <v>5.6</v>
      </c>
      <c r="H351" t="n">
        <v>0</v>
      </c>
      <c r="I351" t="n">
        <v>0</v>
      </c>
      <c r="J351" t="n">
        <v>0</v>
      </c>
      <c r="K351" t="n">
        <v>0</v>
      </c>
      <c r="L351" t="n">
        <v>0</v>
      </c>
      <c r="M351" t="n">
        <v>0</v>
      </c>
      <c r="N351" t="n">
        <v>0</v>
      </c>
      <c r="O351" t="n">
        <v>0</v>
      </c>
      <c r="P351" t="n">
        <v>0</v>
      </c>
      <c r="Q351" t="n">
        <v>0</v>
      </c>
      <c r="R351" s="2" t="inlineStr"/>
    </row>
    <row r="352" ht="15" customHeight="1">
      <c r="A352" t="inlineStr">
        <is>
          <t>A 37542-2022</t>
        </is>
      </c>
      <c r="B352" s="1" t="n">
        <v>44809</v>
      </c>
      <c r="C352" s="1" t="n">
        <v>45904</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34739-2023</t>
        </is>
      </c>
      <c r="B353" s="1" t="n">
        <v>45141</v>
      </c>
      <c r="C353" s="1" t="n">
        <v>45904</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51613-2022</t>
        </is>
      </c>
      <c r="B354" s="1" t="n">
        <v>44871</v>
      </c>
      <c r="C354" s="1" t="n">
        <v>45904</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36366-2023</t>
        </is>
      </c>
      <c r="B355" s="1" t="n">
        <v>45152</v>
      </c>
      <c r="C355" s="1" t="n">
        <v>45904</v>
      </c>
      <c r="D355" t="inlineStr">
        <is>
          <t>SÖDERMANLANDS LÄN</t>
        </is>
      </c>
      <c r="E355" t="inlineStr">
        <is>
          <t>KATRINEHOLM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27886-2024</t>
        </is>
      </c>
      <c r="B356" s="1" t="n">
        <v>45475</v>
      </c>
      <c r="C356" s="1" t="n">
        <v>45904</v>
      </c>
      <c r="D356" t="inlineStr">
        <is>
          <t>SÖDERMANLANDS LÄN</t>
        </is>
      </c>
      <c r="E356" t="inlineStr">
        <is>
          <t>KATRINEHOLM</t>
        </is>
      </c>
      <c r="G356" t="n">
        <v>10.3</v>
      </c>
      <c r="H356" t="n">
        <v>0</v>
      </c>
      <c r="I356" t="n">
        <v>0</v>
      </c>
      <c r="J356" t="n">
        <v>0</v>
      </c>
      <c r="K356" t="n">
        <v>0</v>
      </c>
      <c r="L356" t="n">
        <v>0</v>
      </c>
      <c r="M356" t="n">
        <v>0</v>
      </c>
      <c r="N356" t="n">
        <v>0</v>
      </c>
      <c r="O356" t="n">
        <v>0</v>
      </c>
      <c r="P356" t="n">
        <v>0</v>
      </c>
      <c r="Q356" t="n">
        <v>0</v>
      </c>
      <c r="R356" s="2" t="inlineStr"/>
    </row>
    <row r="357" ht="15" customHeight="1">
      <c r="A357" t="inlineStr">
        <is>
          <t>A 19868-2022</t>
        </is>
      </c>
      <c r="B357" s="1" t="n">
        <v>44696</v>
      </c>
      <c r="C357" s="1" t="n">
        <v>45904</v>
      </c>
      <c r="D357" t="inlineStr">
        <is>
          <t>SÖDERMANLANDS LÄN</t>
        </is>
      </c>
      <c r="E357" t="inlineStr">
        <is>
          <t>KATRINEHOLM</t>
        </is>
      </c>
      <c r="G357" t="n">
        <v>13</v>
      </c>
      <c r="H357" t="n">
        <v>0</v>
      </c>
      <c r="I357" t="n">
        <v>0</v>
      </c>
      <c r="J357" t="n">
        <v>0</v>
      </c>
      <c r="K357" t="n">
        <v>0</v>
      </c>
      <c r="L357" t="n">
        <v>0</v>
      </c>
      <c r="M357" t="n">
        <v>0</v>
      </c>
      <c r="N357" t="n">
        <v>0</v>
      </c>
      <c r="O357" t="n">
        <v>0</v>
      </c>
      <c r="P357" t="n">
        <v>0</v>
      </c>
      <c r="Q357" t="n">
        <v>0</v>
      </c>
      <c r="R357" s="2" t="inlineStr"/>
    </row>
    <row r="358" ht="15" customHeight="1">
      <c r="A358" t="inlineStr">
        <is>
          <t>A 58651-2023</t>
        </is>
      </c>
      <c r="B358" s="1" t="n">
        <v>45247</v>
      </c>
      <c r="C358" s="1" t="n">
        <v>45904</v>
      </c>
      <c r="D358" t="inlineStr">
        <is>
          <t>SÖDERMANLANDS LÄN</t>
        </is>
      </c>
      <c r="E358" t="inlineStr">
        <is>
          <t>KATRINEHOLM</t>
        </is>
      </c>
      <c r="G358" t="n">
        <v>2.7</v>
      </c>
      <c r="H358" t="n">
        <v>0</v>
      </c>
      <c r="I358" t="n">
        <v>0</v>
      </c>
      <c r="J358" t="n">
        <v>0</v>
      </c>
      <c r="K358" t="n">
        <v>0</v>
      </c>
      <c r="L358" t="n">
        <v>0</v>
      </c>
      <c r="M358" t="n">
        <v>0</v>
      </c>
      <c r="N358" t="n">
        <v>0</v>
      </c>
      <c r="O358" t="n">
        <v>0</v>
      </c>
      <c r="P358" t="n">
        <v>0</v>
      </c>
      <c r="Q358" t="n">
        <v>0</v>
      </c>
      <c r="R358" s="2" t="inlineStr"/>
    </row>
    <row r="359" ht="15" customHeight="1">
      <c r="A359" t="inlineStr">
        <is>
          <t>A 8765-2023</t>
        </is>
      </c>
      <c r="B359" s="1" t="n">
        <v>44978.52131944444</v>
      </c>
      <c r="C359" s="1" t="n">
        <v>45904</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28992-2024</t>
        </is>
      </c>
      <c r="B360" s="1" t="n">
        <v>45481.49289351852</v>
      </c>
      <c r="C360" s="1" t="n">
        <v>45904</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25433-2024</t>
        </is>
      </c>
      <c r="B361" s="1" t="n">
        <v>45463</v>
      </c>
      <c r="C361" s="1" t="n">
        <v>45904</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61867-2020</t>
        </is>
      </c>
      <c r="B362" s="1" t="n">
        <v>44159</v>
      </c>
      <c r="C362" s="1" t="n">
        <v>45904</v>
      </c>
      <c r="D362" t="inlineStr">
        <is>
          <t>SÖDERMANLANDS LÄN</t>
        </is>
      </c>
      <c r="E362" t="inlineStr">
        <is>
          <t>KATRINEHOLM</t>
        </is>
      </c>
      <c r="G362" t="n">
        <v>2.9</v>
      </c>
      <c r="H362" t="n">
        <v>0</v>
      </c>
      <c r="I362" t="n">
        <v>0</v>
      </c>
      <c r="J362" t="n">
        <v>0</v>
      </c>
      <c r="K362" t="n">
        <v>0</v>
      </c>
      <c r="L362" t="n">
        <v>0</v>
      </c>
      <c r="M362" t="n">
        <v>0</v>
      </c>
      <c r="N362" t="n">
        <v>0</v>
      </c>
      <c r="O362" t="n">
        <v>0</v>
      </c>
      <c r="P362" t="n">
        <v>0</v>
      </c>
      <c r="Q362" t="n">
        <v>0</v>
      </c>
      <c r="R362" s="2" t="inlineStr"/>
    </row>
    <row r="363" ht="15" customHeight="1">
      <c r="A363" t="inlineStr">
        <is>
          <t>A 41205-2021</t>
        </is>
      </c>
      <c r="B363" s="1" t="n">
        <v>44424.38577546296</v>
      </c>
      <c r="C363" s="1" t="n">
        <v>45904</v>
      </c>
      <c r="D363" t="inlineStr">
        <is>
          <t>SÖDERMANLANDS LÄN</t>
        </is>
      </c>
      <c r="E363" t="inlineStr">
        <is>
          <t>KATRINEHOLM</t>
        </is>
      </c>
      <c r="G363" t="n">
        <v>1.6</v>
      </c>
      <c r="H363" t="n">
        <v>0</v>
      </c>
      <c r="I363" t="n">
        <v>0</v>
      </c>
      <c r="J363" t="n">
        <v>0</v>
      </c>
      <c r="K363" t="n">
        <v>0</v>
      </c>
      <c r="L363" t="n">
        <v>0</v>
      </c>
      <c r="M363" t="n">
        <v>0</v>
      </c>
      <c r="N363" t="n">
        <v>0</v>
      </c>
      <c r="O363" t="n">
        <v>0</v>
      </c>
      <c r="P363" t="n">
        <v>0</v>
      </c>
      <c r="Q363" t="n">
        <v>0</v>
      </c>
      <c r="R363" s="2" t="inlineStr"/>
    </row>
    <row r="364" ht="15" customHeight="1">
      <c r="A364" t="inlineStr">
        <is>
          <t>A 55296-2022</t>
        </is>
      </c>
      <c r="B364" s="1" t="n">
        <v>44887</v>
      </c>
      <c r="C364" s="1" t="n">
        <v>45904</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42111-2022</t>
        </is>
      </c>
      <c r="B365" s="1" t="n">
        <v>44830</v>
      </c>
      <c r="C365" s="1" t="n">
        <v>45904</v>
      </c>
      <c r="D365" t="inlineStr">
        <is>
          <t>SÖDERMANLANDS LÄN</t>
        </is>
      </c>
      <c r="E365" t="inlineStr">
        <is>
          <t>KATRINEHOLM</t>
        </is>
      </c>
      <c r="G365" t="n">
        <v>2.5</v>
      </c>
      <c r="H365" t="n">
        <v>0</v>
      </c>
      <c r="I365" t="n">
        <v>0</v>
      </c>
      <c r="J365" t="n">
        <v>0</v>
      </c>
      <c r="K365" t="n">
        <v>0</v>
      </c>
      <c r="L365" t="n">
        <v>0</v>
      </c>
      <c r="M365" t="n">
        <v>0</v>
      </c>
      <c r="N365" t="n">
        <v>0</v>
      </c>
      <c r="O365" t="n">
        <v>0</v>
      </c>
      <c r="P365" t="n">
        <v>0</v>
      </c>
      <c r="Q365" t="n">
        <v>0</v>
      </c>
      <c r="R365" s="2" t="inlineStr"/>
    </row>
    <row r="366" ht="15" customHeight="1">
      <c r="A366" t="inlineStr">
        <is>
          <t>A 9932-2023</t>
        </is>
      </c>
      <c r="B366" s="1" t="n">
        <v>44985.46709490741</v>
      </c>
      <c r="C366" s="1" t="n">
        <v>45904</v>
      </c>
      <c r="D366" t="inlineStr">
        <is>
          <t>SÖDERMANLANDS LÄN</t>
        </is>
      </c>
      <c r="E366" t="inlineStr">
        <is>
          <t>KATRINEHOLM</t>
        </is>
      </c>
      <c r="G366" t="n">
        <v>0.3</v>
      </c>
      <c r="H366" t="n">
        <v>0</v>
      </c>
      <c r="I366" t="n">
        <v>0</v>
      </c>
      <c r="J366" t="n">
        <v>0</v>
      </c>
      <c r="K366" t="n">
        <v>0</v>
      </c>
      <c r="L366" t="n">
        <v>0</v>
      </c>
      <c r="M366" t="n">
        <v>0</v>
      </c>
      <c r="N366" t="n">
        <v>0</v>
      </c>
      <c r="O366" t="n">
        <v>0</v>
      </c>
      <c r="P366" t="n">
        <v>0</v>
      </c>
      <c r="Q366" t="n">
        <v>0</v>
      </c>
      <c r="R366" s="2" t="inlineStr"/>
    </row>
    <row r="367" ht="15" customHeight="1">
      <c r="A367" t="inlineStr">
        <is>
          <t>A 42590-2022</t>
        </is>
      </c>
      <c r="B367" s="1" t="n">
        <v>44831</v>
      </c>
      <c r="C367" s="1" t="n">
        <v>45904</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17360-2022</t>
        </is>
      </c>
      <c r="B368" s="1" t="n">
        <v>44678</v>
      </c>
      <c r="C368" s="1" t="n">
        <v>45904</v>
      </c>
      <c r="D368" t="inlineStr">
        <is>
          <t>SÖDERMANLANDS LÄN</t>
        </is>
      </c>
      <c r="E368" t="inlineStr">
        <is>
          <t>KATRINEHOLM</t>
        </is>
      </c>
      <c r="G368" t="n">
        <v>4.5</v>
      </c>
      <c r="H368" t="n">
        <v>0</v>
      </c>
      <c r="I368" t="n">
        <v>0</v>
      </c>
      <c r="J368" t="n">
        <v>0</v>
      </c>
      <c r="K368" t="n">
        <v>0</v>
      </c>
      <c r="L368" t="n">
        <v>0</v>
      </c>
      <c r="M368" t="n">
        <v>0</v>
      </c>
      <c r="N368" t="n">
        <v>0</v>
      </c>
      <c r="O368" t="n">
        <v>0</v>
      </c>
      <c r="P368" t="n">
        <v>0</v>
      </c>
      <c r="Q368" t="n">
        <v>0</v>
      </c>
      <c r="R368" s="2" t="inlineStr"/>
    </row>
    <row r="369" ht="15" customHeight="1">
      <c r="A369" t="inlineStr">
        <is>
          <t>A 36021-2023</t>
        </is>
      </c>
      <c r="B369" s="1" t="n">
        <v>45148</v>
      </c>
      <c r="C369" s="1" t="n">
        <v>45904</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48520-2023</t>
        </is>
      </c>
      <c r="B370" s="1" t="n">
        <v>45208</v>
      </c>
      <c r="C370" s="1" t="n">
        <v>45904</v>
      </c>
      <c r="D370" t="inlineStr">
        <is>
          <t>SÖDERMANLANDS LÄN</t>
        </is>
      </c>
      <c r="E370" t="inlineStr">
        <is>
          <t>KATRINEHOLM</t>
        </is>
      </c>
      <c r="G370" t="n">
        <v>1</v>
      </c>
      <c r="H370" t="n">
        <v>0</v>
      </c>
      <c r="I370" t="n">
        <v>0</v>
      </c>
      <c r="J370" t="n">
        <v>0</v>
      </c>
      <c r="K370" t="n">
        <v>0</v>
      </c>
      <c r="L370" t="n">
        <v>0</v>
      </c>
      <c r="M370" t="n">
        <v>0</v>
      </c>
      <c r="N370" t="n">
        <v>0</v>
      </c>
      <c r="O370" t="n">
        <v>0</v>
      </c>
      <c r="P370" t="n">
        <v>0</v>
      </c>
      <c r="Q370" t="n">
        <v>0</v>
      </c>
      <c r="R370" s="2" t="inlineStr"/>
    </row>
    <row r="371" ht="15" customHeight="1">
      <c r="A371" t="inlineStr">
        <is>
          <t>A 9693-2024</t>
        </is>
      </c>
      <c r="B371" s="1" t="n">
        <v>45362</v>
      </c>
      <c r="C371" s="1" t="n">
        <v>45904</v>
      </c>
      <c r="D371" t="inlineStr">
        <is>
          <t>SÖDERMANLANDS LÄN</t>
        </is>
      </c>
      <c r="E371" t="inlineStr">
        <is>
          <t>KATRINEHOLM</t>
        </is>
      </c>
      <c r="G371" t="n">
        <v>5.9</v>
      </c>
      <c r="H371" t="n">
        <v>0</v>
      </c>
      <c r="I371" t="n">
        <v>0</v>
      </c>
      <c r="J371" t="n">
        <v>0</v>
      </c>
      <c r="K371" t="n">
        <v>0</v>
      </c>
      <c r="L371" t="n">
        <v>0</v>
      </c>
      <c r="M371" t="n">
        <v>0</v>
      </c>
      <c r="N371" t="n">
        <v>0</v>
      </c>
      <c r="O371" t="n">
        <v>0</v>
      </c>
      <c r="P371" t="n">
        <v>0</v>
      </c>
      <c r="Q371" t="n">
        <v>0</v>
      </c>
      <c r="R371" s="2" t="inlineStr"/>
    </row>
    <row r="372" ht="15" customHeight="1">
      <c r="A372" t="inlineStr">
        <is>
          <t>A 32818-2023</t>
        </is>
      </c>
      <c r="B372" s="1" t="n">
        <v>45124.55633101852</v>
      </c>
      <c r="C372" s="1" t="n">
        <v>45904</v>
      </c>
      <c r="D372" t="inlineStr">
        <is>
          <t>SÖDERMANLANDS LÄN</t>
        </is>
      </c>
      <c r="E372" t="inlineStr">
        <is>
          <t>KATRINEHOLM</t>
        </is>
      </c>
      <c r="G372" t="n">
        <v>3.4</v>
      </c>
      <c r="H372" t="n">
        <v>0</v>
      </c>
      <c r="I372" t="n">
        <v>0</v>
      </c>
      <c r="J372" t="n">
        <v>0</v>
      </c>
      <c r="K372" t="n">
        <v>0</v>
      </c>
      <c r="L372" t="n">
        <v>0</v>
      </c>
      <c r="M372" t="n">
        <v>0</v>
      </c>
      <c r="N372" t="n">
        <v>0</v>
      </c>
      <c r="O372" t="n">
        <v>0</v>
      </c>
      <c r="P372" t="n">
        <v>0</v>
      </c>
      <c r="Q372" t="n">
        <v>0</v>
      </c>
      <c r="R372" s="2" t="inlineStr"/>
    </row>
    <row r="373" ht="15" customHeight="1">
      <c r="A373" t="inlineStr">
        <is>
          <t>A 57132-2020</t>
        </is>
      </c>
      <c r="B373" s="1" t="n">
        <v>44139</v>
      </c>
      <c r="C373" s="1" t="n">
        <v>45904</v>
      </c>
      <c r="D373" t="inlineStr">
        <is>
          <t>SÖDERMANLANDS LÄN</t>
        </is>
      </c>
      <c r="E373" t="inlineStr">
        <is>
          <t>KATRINEHOLM</t>
        </is>
      </c>
      <c r="G373" t="n">
        <v>4</v>
      </c>
      <c r="H373" t="n">
        <v>0</v>
      </c>
      <c r="I373" t="n">
        <v>0</v>
      </c>
      <c r="J373" t="n">
        <v>0</v>
      </c>
      <c r="K373" t="n">
        <v>0</v>
      </c>
      <c r="L373" t="n">
        <v>0</v>
      </c>
      <c r="M373" t="n">
        <v>0</v>
      </c>
      <c r="N373" t="n">
        <v>0</v>
      </c>
      <c r="O373" t="n">
        <v>0</v>
      </c>
      <c r="P373" t="n">
        <v>0</v>
      </c>
      <c r="Q373" t="n">
        <v>0</v>
      </c>
      <c r="R373" s="2" t="inlineStr"/>
    </row>
    <row r="374" ht="15" customHeight="1">
      <c r="A374" t="inlineStr">
        <is>
          <t>A 27552-2025</t>
        </is>
      </c>
      <c r="B374" s="1" t="n">
        <v>45813</v>
      </c>
      <c r="C374" s="1" t="n">
        <v>45904</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27534-2025</t>
        </is>
      </c>
      <c r="B375" s="1" t="n">
        <v>45813</v>
      </c>
      <c r="C375" s="1" t="n">
        <v>45904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35864-2023</t>
        </is>
      </c>
      <c r="B376" s="1" t="n">
        <v>45147</v>
      </c>
      <c r="C376" s="1" t="n">
        <v>45904</v>
      </c>
      <c r="D376" t="inlineStr">
        <is>
          <t>SÖDERMANLANDS LÄN</t>
        </is>
      </c>
      <c r="E376" t="inlineStr">
        <is>
          <t>KATRINEHOLM</t>
        </is>
      </c>
      <c r="F376" t="inlineStr">
        <is>
          <t>Övriga Aktiebolag</t>
        </is>
      </c>
      <c r="G376" t="n">
        <v>4.7</v>
      </c>
      <c r="H376" t="n">
        <v>0</v>
      </c>
      <c r="I376" t="n">
        <v>0</v>
      </c>
      <c r="J376" t="n">
        <v>0</v>
      </c>
      <c r="K376" t="n">
        <v>0</v>
      </c>
      <c r="L376" t="n">
        <v>0</v>
      </c>
      <c r="M376" t="n">
        <v>0</v>
      </c>
      <c r="N376" t="n">
        <v>0</v>
      </c>
      <c r="O376" t="n">
        <v>0</v>
      </c>
      <c r="P376" t="n">
        <v>0</v>
      </c>
      <c r="Q376" t="n">
        <v>0</v>
      </c>
      <c r="R376" s="2" t="inlineStr"/>
    </row>
    <row r="377" ht="15" customHeight="1">
      <c r="A377" t="inlineStr">
        <is>
          <t>A 27636-2025</t>
        </is>
      </c>
      <c r="B377" s="1" t="n">
        <v>45813.57603009259</v>
      </c>
      <c r="C377" s="1" t="n">
        <v>45904</v>
      </c>
      <c r="D377" t="inlineStr">
        <is>
          <t>SÖDERMANLANDS LÄN</t>
        </is>
      </c>
      <c r="E377" t="inlineStr">
        <is>
          <t>KATRINEHOLM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45904</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45904</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57648-2020</t>
        </is>
      </c>
      <c r="B380" s="1" t="n">
        <v>44140.69324074074</v>
      </c>
      <c r="C380" s="1" t="n">
        <v>45904</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34732-2022</t>
        </is>
      </c>
      <c r="B381" s="1" t="n">
        <v>44795</v>
      </c>
      <c r="C381" s="1" t="n">
        <v>45904</v>
      </c>
      <c r="D381" t="inlineStr">
        <is>
          <t>SÖDERMANLANDS LÄN</t>
        </is>
      </c>
      <c r="E381" t="inlineStr">
        <is>
          <t>KATRINEHOLM</t>
        </is>
      </c>
      <c r="G381" t="n">
        <v>3</v>
      </c>
      <c r="H381" t="n">
        <v>0</v>
      </c>
      <c r="I381" t="n">
        <v>0</v>
      </c>
      <c r="J381" t="n">
        <v>0</v>
      </c>
      <c r="K381" t="n">
        <v>0</v>
      </c>
      <c r="L381" t="n">
        <v>0</v>
      </c>
      <c r="M381" t="n">
        <v>0</v>
      </c>
      <c r="N381" t="n">
        <v>0</v>
      </c>
      <c r="O381" t="n">
        <v>0</v>
      </c>
      <c r="P381" t="n">
        <v>0</v>
      </c>
      <c r="Q381" t="n">
        <v>0</v>
      </c>
      <c r="R381" s="2" t="inlineStr"/>
    </row>
    <row r="382" ht="15" customHeight="1">
      <c r="A382" t="inlineStr">
        <is>
          <t>A 40402-2022</t>
        </is>
      </c>
      <c r="B382" s="1" t="n">
        <v>44823.44353009259</v>
      </c>
      <c r="C382" s="1" t="n">
        <v>45904</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3982-2024</t>
        </is>
      </c>
      <c r="B383" s="1" t="n">
        <v>45322</v>
      </c>
      <c r="C383" s="1" t="n">
        <v>45904</v>
      </c>
      <c r="D383" t="inlineStr">
        <is>
          <t>SÖDERMANLANDS LÄN</t>
        </is>
      </c>
      <c r="E383" t="inlineStr">
        <is>
          <t>KATRINEHOLM</t>
        </is>
      </c>
      <c r="G383" t="n">
        <v>3.7</v>
      </c>
      <c r="H383" t="n">
        <v>0</v>
      </c>
      <c r="I383" t="n">
        <v>0</v>
      </c>
      <c r="J383" t="n">
        <v>0</v>
      </c>
      <c r="K383" t="n">
        <v>0</v>
      </c>
      <c r="L383" t="n">
        <v>0</v>
      </c>
      <c r="M383" t="n">
        <v>0</v>
      </c>
      <c r="N383" t="n">
        <v>0</v>
      </c>
      <c r="O383" t="n">
        <v>0</v>
      </c>
      <c r="P383" t="n">
        <v>0</v>
      </c>
      <c r="Q383" t="n">
        <v>0</v>
      </c>
      <c r="R383" s="2" t="inlineStr"/>
    </row>
    <row r="384" ht="15" customHeight="1">
      <c r="A384" t="inlineStr">
        <is>
          <t>A 13086-2023</t>
        </is>
      </c>
      <c r="B384" s="1" t="n">
        <v>45002.42188657408</v>
      </c>
      <c r="C384" s="1" t="n">
        <v>45904</v>
      </c>
      <c r="D384" t="inlineStr">
        <is>
          <t>SÖDERMANLANDS LÄN</t>
        </is>
      </c>
      <c r="E384" t="inlineStr">
        <is>
          <t>KATRINEHOLM</t>
        </is>
      </c>
      <c r="G384" t="n">
        <v>2.2</v>
      </c>
      <c r="H384" t="n">
        <v>0</v>
      </c>
      <c r="I384" t="n">
        <v>0</v>
      </c>
      <c r="J384" t="n">
        <v>0</v>
      </c>
      <c r="K384" t="n">
        <v>0</v>
      </c>
      <c r="L384" t="n">
        <v>0</v>
      </c>
      <c r="M384" t="n">
        <v>0</v>
      </c>
      <c r="N384" t="n">
        <v>0</v>
      </c>
      <c r="O384" t="n">
        <v>0</v>
      </c>
      <c r="P384" t="n">
        <v>0</v>
      </c>
      <c r="Q384" t="n">
        <v>0</v>
      </c>
      <c r="R384" s="2" t="inlineStr"/>
    </row>
    <row r="385" ht="15" customHeight="1">
      <c r="A385" t="inlineStr">
        <is>
          <t>A 24600-2025</t>
        </is>
      </c>
      <c r="B385" s="1" t="n">
        <v>45798.56348379629</v>
      </c>
      <c r="C385" s="1" t="n">
        <v>45904</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27334-2023</t>
        </is>
      </c>
      <c r="B386" s="1" t="n">
        <v>45096</v>
      </c>
      <c r="C386" s="1" t="n">
        <v>45904</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35608-2024</t>
        </is>
      </c>
      <c r="B387" s="1" t="n">
        <v>45531</v>
      </c>
      <c r="C387" s="1" t="n">
        <v>45904</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17820-2025</t>
        </is>
      </c>
      <c r="B388" s="1" t="n">
        <v>45758</v>
      </c>
      <c r="C388" s="1" t="n">
        <v>45904</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7704-2023</t>
        </is>
      </c>
      <c r="B389" s="1" t="n">
        <v>44968</v>
      </c>
      <c r="C389" s="1" t="n">
        <v>45904</v>
      </c>
      <c r="D389" t="inlineStr">
        <is>
          <t>SÖDERMANLANDS LÄN</t>
        </is>
      </c>
      <c r="E389" t="inlineStr">
        <is>
          <t>KATRINEHOLM</t>
        </is>
      </c>
      <c r="G389" t="n">
        <v>7.3</v>
      </c>
      <c r="H389" t="n">
        <v>0</v>
      </c>
      <c r="I389" t="n">
        <v>0</v>
      </c>
      <c r="J389" t="n">
        <v>0</v>
      </c>
      <c r="K389" t="n">
        <v>0</v>
      </c>
      <c r="L389" t="n">
        <v>0</v>
      </c>
      <c r="M389" t="n">
        <v>0</v>
      </c>
      <c r="N389" t="n">
        <v>0</v>
      </c>
      <c r="O389" t="n">
        <v>0</v>
      </c>
      <c r="P389" t="n">
        <v>0</v>
      </c>
      <c r="Q389" t="n">
        <v>0</v>
      </c>
      <c r="R389" s="2" t="inlineStr"/>
    </row>
    <row r="390" ht="15" customHeight="1">
      <c r="A390" t="inlineStr">
        <is>
          <t>A 57154-2023</t>
        </is>
      </c>
      <c r="B390" s="1" t="n">
        <v>45245</v>
      </c>
      <c r="C390" s="1" t="n">
        <v>45904</v>
      </c>
      <c r="D390" t="inlineStr">
        <is>
          <t>SÖDERMANLANDS LÄN</t>
        </is>
      </c>
      <c r="E390" t="inlineStr">
        <is>
          <t>KATRINEHOLM</t>
        </is>
      </c>
      <c r="F390" t="inlineStr">
        <is>
          <t>Allmännings- och besparingsskogar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12633-2022</t>
        </is>
      </c>
      <c r="B391" s="1" t="n">
        <v>44638</v>
      </c>
      <c r="C391" s="1" t="n">
        <v>45904</v>
      </c>
      <c r="D391" t="inlineStr">
        <is>
          <t>SÖDERMANLANDS LÄN</t>
        </is>
      </c>
      <c r="E391" t="inlineStr">
        <is>
          <t>KATRINEHOLM</t>
        </is>
      </c>
      <c r="G391" t="n">
        <v>6.4</v>
      </c>
      <c r="H391" t="n">
        <v>0</v>
      </c>
      <c r="I391" t="n">
        <v>0</v>
      </c>
      <c r="J391" t="n">
        <v>0</v>
      </c>
      <c r="K391" t="n">
        <v>0</v>
      </c>
      <c r="L391" t="n">
        <v>0</v>
      </c>
      <c r="M391" t="n">
        <v>0</v>
      </c>
      <c r="N391" t="n">
        <v>0</v>
      </c>
      <c r="O391" t="n">
        <v>0</v>
      </c>
      <c r="P391" t="n">
        <v>0</v>
      </c>
      <c r="Q391" t="n">
        <v>0</v>
      </c>
      <c r="R391" s="2" t="inlineStr"/>
    </row>
    <row r="392" ht="15" customHeight="1">
      <c r="A392" t="inlineStr">
        <is>
          <t>A 58528-2024</t>
        </is>
      </c>
      <c r="B392" s="1" t="n">
        <v>45635.44527777778</v>
      </c>
      <c r="C392" s="1" t="n">
        <v>45904</v>
      </c>
      <c r="D392" t="inlineStr">
        <is>
          <t>SÖDERMANLANDS LÄN</t>
        </is>
      </c>
      <c r="E392" t="inlineStr">
        <is>
          <t>KATRINEHOLM</t>
        </is>
      </c>
      <c r="G392" t="n">
        <v>2.4</v>
      </c>
      <c r="H392" t="n">
        <v>0</v>
      </c>
      <c r="I392" t="n">
        <v>0</v>
      </c>
      <c r="J392" t="n">
        <v>0</v>
      </c>
      <c r="K392" t="n">
        <v>0</v>
      </c>
      <c r="L392" t="n">
        <v>0</v>
      </c>
      <c r="M392" t="n">
        <v>0</v>
      </c>
      <c r="N392" t="n">
        <v>0</v>
      </c>
      <c r="O392" t="n">
        <v>0</v>
      </c>
      <c r="P392" t="n">
        <v>0</v>
      </c>
      <c r="Q392" t="n">
        <v>0</v>
      </c>
      <c r="R392" s="2" t="inlineStr"/>
    </row>
    <row r="393" ht="15" customHeight="1">
      <c r="A393" t="inlineStr">
        <is>
          <t>A 14478-2023</t>
        </is>
      </c>
      <c r="B393" s="1" t="n">
        <v>45012.66421296296</v>
      </c>
      <c r="C393" s="1" t="n">
        <v>45904</v>
      </c>
      <c r="D393" t="inlineStr">
        <is>
          <t>SÖDERMANLANDS LÄN</t>
        </is>
      </c>
      <c r="E393" t="inlineStr">
        <is>
          <t>KATRINEHOLM</t>
        </is>
      </c>
      <c r="G393" t="n">
        <v>3.9</v>
      </c>
      <c r="H393" t="n">
        <v>0</v>
      </c>
      <c r="I393" t="n">
        <v>0</v>
      </c>
      <c r="J393" t="n">
        <v>0</v>
      </c>
      <c r="K393" t="n">
        <v>0</v>
      </c>
      <c r="L393" t="n">
        <v>0</v>
      </c>
      <c r="M393" t="n">
        <v>0</v>
      </c>
      <c r="N393" t="n">
        <v>0</v>
      </c>
      <c r="O393" t="n">
        <v>0</v>
      </c>
      <c r="P393" t="n">
        <v>0</v>
      </c>
      <c r="Q393" t="n">
        <v>0</v>
      </c>
      <c r="R393" s="2" t="inlineStr"/>
    </row>
    <row r="394" ht="15" customHeight="1">
      <c r="A394" t="inlineStr">
        <is>
          <t>A 30242-2023</t>
        </is>
      </c>
      <c r="B394" s="1" t="n">
        <v>45099</v>
      </c>
      <c r="C394" s="1" t="n">
        <v>45904</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39055-2022</t>
        </is>
      </c>
      <c r="B395" s="1" t="n">
        <v>44817</v>
      </c>
      <c r="C395" s="1" t="n">
        <v>45904</v>
      </c>
      <c r="D395" t="inlineStr">
        <is>
          <t>SÖDERMANLANDS LÄN</t>
        </is>
      </c>
      <c r="E395" t="inlineStr">
        <is>
          <t>KATRINEHOLM</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7056-2022</t>
        </is>
      </c>
      <c r="B396" s="1" t="n">
        <v>44603</v>
      </c>
      <c r="C396" s="1" t="n">
        <v>45904</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50021-2023</t>
        </is>
      </c>
      <c r="B397" s="1" t="n">
        <v>45215</v>
      </c>
      <c r="C397" s="1" t="n">
        <v>45904</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29189-2025</t>
        </is>
      </c>
      <c r="B398" s="1" t="n">
        <v>45822</v>
      </c>
      <c r="C398" s="1" t="n">
        <v>45904</v>
      </c>
      <c r="D398" t="inlineStr">
        <is>
          <t>SÖDERMANLANDS LÄN</t>
        </is>
      </c>
      <c r="E398" t="inlineStr">
        <is>
          <t>KATRINEHOLM</t>
        </is>
      </c>
      <c r="G398" t="n">
        <v>3.5</v>
      </c>
      <c r="H398" t="n">
        <v>0</v>
      </c>
      <c r="I398" t="n">
        <v>0</v>
      </c>
      <c r="J398" t="n">
        <v>0</v>
      </c>
      <c r="K398" t="n">
        <v>0</v>
      </c>
      <c r="L398" t="n">
        <v>0</v>
      </c>
      <c r="M398" t="n">
        <v>0</v>
      </c>
      <c r="N398" t="n">
        <v>0</v>
      </c>
      <c r="O398" t="n">
        <v>0</v>
      </c>
      <c r="P398" t="n">
        <v>0</v>
      </c>
      <c r="Q398" t="n">
        <v>0</v>
      </c>
      <c r="R398" s="2" t="inlineStr"/>
    </row>
    <row r="399" ht="15" customHeight="1">
      <c r="A399" t="inlineStr">
        <is>
          <t>A 12937-2023</t>
        </is>
      </c>
      <c r="B399" s="1" t="n">
        <v>45001</v>
      </c>
      <c r="C399" s="1" t="n">
        <v>45904</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57265-2022</t>
        </is>
      </c>
      <c r="B400" s="1" t="n">
        <v>44895</v>
      </c>
      <c r="C400" s="1" t="n">
        <v>45904</v>
      </c>
      <c r="D400" t="inlineStr">
        <is>
          <t>SÖDERMANLANDS LÄN</t>
        </is>
      </c>
      <c r="E400" t="inlineStr">
        <is>
          <t>KATRINEHOLM</t>
        </is>
      </c>
      <c r="G400" t="n">
        <v>2</v>
      </c>
      <c r="H400" t="n">
        <v>0</v>
      </c>
      <c r="I400" t="n">
        <v>0</v>
      </c>
      <c r="J400" t="n">
        <v>0</v>
      </c>
      <c r="K400" t="n">
        <v>0</v>
      </c>
      <c r="L400" t="n">
        <v>0</v>
      </c>
      <c r="M400" t="n">
        <v>0</v>
      </c>
      <c r="N400" t="n">
        <v>0</v>
      </c>
      <c r="O400" t="n">
        <v>0</v>
      </c>
      <c r="P400" t="n">
        <v>0</v>
      </c>
      <c r="Q400" t="n">
        <v>0</v>
      </c>
      <c r="R400" s="2" t="inlineStr"/>
    </row>
    <row r="401" ht="15" customHeight="1">
      <c r="A401" t="inlineStr">
        <is>
          <t>A 42896-2024</t>
        </is>
      </c>
      <c r="B401" s="1" t="n">
        <v>45566.82973379629</v>
      </c>
      <c r="C401" s="1" t="n">
        <v>45904</v>
      </c>
      <c r="D401" t="inlineStr">
        <is>
          <t>SÖDERMANLANDS LÄN</t>
        </is>
      </c>
      <c r="E401" t="inlineStr">
        <is>
          <t>KATRINEHOLM</t>
        </is>
      </c>
      <c r="G401" t="n">
        <v>4.3</v>
      </c>
      <c r="H401" t="n">
        <v>0</v>
      </c>
      <c r="I401" t="n">
        <v>0</v>
      </c>
      <c r="J401" t="n">
        <v>0</v>
      </c>
      <c r="K401" t="n">
        <v>0</v>
      </c>
      <c r="L401" t="n">
        <v>0</v>
      </c>
      <c r="M401" t="n">
        <v>0</v>
      </c>
      <c r="N401" t="n">
        <v>0</v>
      </c>
      <c r="O401" t="n">
        <v>0</v>
      </c>
      <c r="P401" t="n">
        <v>0</v>
      </c>
      <c r="Q401" t="n">
        <v>0</v>
      </c>
      <c r="R401" s="2" t="inlineStr"/>
    </row>
    <row r="402" ht="15" customHeight="1">
      <c r="A402" t="inlineStr">
        <is>
          <t>A 29008-2024</t>
        </is>
      </c>
      <c r="B402" s="1" t="n">
        <v>45481</v>
      </c>
      <c r="C402" s="1" t="n">
        <v>45904</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62419-2023</t>
        </is>
      </c>
      <c r="B403" s="1" t="n">
        <v>45268</v>
      </c>
      <c r="C403" s="1" t="n">
        <v>45904</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row>
    <row r="404" ht="15" customHeight="1">
      <c r="A404" t="inlineStr">
        <is>
          <t>A 6298-2024</t>
        </is>
      </c>
      <c r="B404" s="1" t="n">
        <v>45338.34245370371</v>
      </c>
      <c r="C404" s="1" t="n">
        <v>45904</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53722-2023</t>
        </is>
      </c>
      <c r="B405" s="1" t="n">
        <v>45230</v>
      </c>
      <c r="C405" s="1" t="n">
        <v>45904</v>
      </c>
      <c r="D405" t="inlineStr">
        <is>
          <t>SÖDERMANLANDS LÄN</t>
        </is>
      </c>
      <c r="E405" t="inlineStr">
        <is>
          <t>KATRINEHOLM</t>
        </is>
      </c>
      <c r="F405" t="inlineStr">
        <is>
          <t>Allmännings- och besparingsskogar</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30287-2025</t>
        </is>
      </c>
      <c r="B406" s="1" t="n">
        <v>45827</v>
      </c>
      <c r="C406" s="1" t="n">
        <v>45904</v>
      </c>
      <c r="D406" t="inlineStr">
        <is>
          <t>SÖDERMANLANDS LÄN</t>
        </is>
      </c>
      <c r="E406" t="inlineStr">
        <is>
          <t>KATRINEHOLM</t>
        </is>
      </c>
      <c r="G406" t="n">
        <v>10.2</v>
      </c>
      <c r="H406" t="n">
        <v>0</v>
      </c>
      <c r="I406" t="n">
        <v>0</v>
      </c>
      <c r="J406" t="n">
        <v>0</v>
      </c>
      <c r="K406" t="n">
        <v>0</v>
      </c>
      <c r="L406" t="n">
        <v>0</v>
      </c>
      <c r="M406" t="n">
        <v>0</v>
      </c>
      <c r="N406" t="n">
        <v>0</v>
      </c>
      <c r="O406" t="n">
        <v>0</v>
      </c>
      <c r="P406" t="n">
        <v>0</v>
      </c>
      <c r="Q406" t="n">
        <v>0</v>
      </c>
      <c r="R406" s="2" t="inlineStr"/>
    </row>
    <row r="407" ht="15" customHeight="1">
      <c r="A407" t="inlineStr">
        <is>
          <t>A 30352-2025</t>
        </is>
      </c>
      <c r="B407" s="1" t="n">
        <v>45827</v>
      </c>
      <c r="C407" s="1" t="n">
        <v>45904</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30050-2025</t>
        </is>
      </c>
      <c r="B408" s="1" t="n">
        <v>45826.59151620371</v>
      </c>
      <c r="C408" s="1" t="n">
        <v>45904</v>
      </c>
      <c r="D408" t="inlineStr">
        <is>
          <t>SÖDERMANLANDS LÄN</t>
        </is>
      </c>
      <c r="E408" t="inlineStr">
        <is>
          <t>KATRINEHOLM</t>
        </is>
      </c>
      <c r="G408" t="n">
        <v>7.9</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45904</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30350-2025</t>
        </is>
      </c>
      <c r="B410" s="1" t="n">
        <v>45827.53319444445</v>
      </c>
      <c r="C410" s="1" t="n">
        <v>45904</v>
      </c>
      <c r="D410" t="inlineStr">
        <is>
          <t>SÖDERMANLANDS LÄN</t>
        </is>
      </c>
      <c r="E410" t="inlineStr">
        <is>
          <t>KATRINEHOLM</t>
        </is>
      </c>
      <c r="G410" t="n">
        <v>1.2</v>
      </c>
      <c r="H410" t="n">
        <v>0</v>
      </c>
      <c r="I410" t="n">
        <v>0</v>
      </c>
      <c r="J410" t="n">
        <v>0</v>
      </c>
      <c r="K410" t="n">
        <v>0</v>
      </c>
      <c r="L410" t="n">
        <v>0</v>
      </c>
      <c r="M410" t="n">
        <v>0</v>
      </c>
      <c r="N410" t="n">
        <v>0</v>
      </c>
      <c r="O410" t="n">
        <v>0</v>
      </c>
      <c r="P410" t="n">
        <v>0</v>
      </c>
      <c r="Q410" t="n">
        <v>0</v>
      </c>
      <c r="R410" s="2" t="inlineStr"/>
    </row>
    <row r="411" ht="15" customHeight="1">
      <c r="A411" t="inlineStr">
        <is>
          <t>A 30386-2025</t>
        </is>
      </c>
      <c r="B411" s="1" t="n">
        <v>45827</v>
      </c>
      <c r="C411" s="1" t="n">
        <v>45904</v>
      </c>
      <c r="D411" t="inlineStr">
        <is>
          <t>SÖDERMANLANDS LÄN</t>
        </is>
      </c>
      <c r="E411" t="inlineStr">
        <is>
          <t>KATRINEHOLM</t>
        </is>
      </c>
      <c r="G411" t="n">
        <v>5.6</v>
      </c>
      <c r="H411" t="n">
        <v>0</v>
      </c>
      <c r="I411" t="n">
        <v>0</v>
      </c>
      <c r="J411" t="n">
        <v>0</v>
      </c>
      <c r="K411" t="n">
        <v>0</v>
      </c>
      <c r="L411" t="n">
        <v>0</v>
      </c>
      <c r="M411" t="n">
        <v>0</v>
      </c>
      <c r="N411" t="n">
        <v>0</v>
      </c>
      <c r="O411" t="n">
        <v>0</v>
      </c>
      <c r="P411" t="n">
        <v>0</v>
      </c>
      <c r="Q411" t="n">
        <v>0</v>
      </c>
      <c r="R411" s="2" t="inlineStr"/>
    </row>
    <row r="412" ht="15" customHeight="1">
      <c r="A412" t="inlineStr">
        <is>
          <t>A 30070-2025</t>
        </is>
      </c>
      <c r="B412" s="1" t="n">
        <v>45826.63324074074</v>
      </c>
      <c r="C412" s="1" t="n">
        <v>45904</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30402-2025</t>
        </is>
      </c>
      <c r="B413" s="1" t="n">
        <v>45827</v>
      </c>
      <c r="C413" s="1" t="n">
        <v>45904</v>
      </c>
      <c r="D413" t="inlineStr">
        <is>
          <t>SÖDERMANLANDS LÄN</t>
        </is>
      </c>
      <c r="E413" t="inlineStr">
        <is>
          <t>KATRINEHOLM</t>
        </is>
      </c>
      <c r="G413" t="n">
        <v>7.1</v>
      </c>
      <c r="H413" t="n">
        <v>0</v>
      </c>
      <c r="I413" t="n">
        <v>0</v>
      </c>
      <c r="J413" t="n">
        <v>0</v>
      </c>
      <c r="K413" t="n">
        <v>0</v>
      </c>
      <c r="L413" t="n">
        <v>0</v>
      </c>
      <c r="M413" t="n">
        <v>0</v>
      </c>
      <c r="N413" t="n">
        <v>0</v>
      </c>
      <c r="O413" t="n">
        <v>0</v>
      </c>
      <c r="P413" t="n">
        <v>0</v>
      </c>
      <c r="Q413" t="n">
        <v>0</v>
      </c>
      <c r="R413" s="2" t="inlineStr"/>
    </row>
    <row r="414" ht="15" customHeight="1">
      <c r="A414" t="inlineStr">
        <is>
          <t>A 38869-2024</t>
        </is>
      </c>
      <c r="B414" s="1" t="n">
        <v>45547</v>
      </c>
      <c r="C414" s="1" t="n">
        <v>45904</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20214-2025</t>
        </is>
      </c>
      <c r="B415" s="1" t="n">
        <v>45772.63540509259</v>
      </c>
      <c r="C415" s="1" t="n">
        <v>45904</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48877-2022</t>
        </is>
      </c>
      <c r="B416" s="1" t="n">
        <v>44859</v>
      </c>
      <c r="C416" s="1" t="n">
        <v>45904</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62140-2022</t>
        </is>
      </c>
      <c r="B417" s="1" t="n">
        <v>44922</v>
      </c>
      <c r="C417" s="1" t="n">
        <v>45904</v>
      </c>
      <c r="D417" t="inlineStr">
        <is>
          <t>SÖDERMANLANDS LÄN</t>
        </is>
      </c>
      <c r="E417" t="inlineStr">
        <is>
          <t>KATRINEHOLM</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34539-2022</t>
        </is>
      </c>
      <c r="B418" s="1" t="n">
        <v>44793.50563657407</v>
      </c>
      <c r="C418" s="1" t="n">
        <v>45904</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3115-2024</t>
        </is>
      </c>
      <c r="B419" s="1" t="n">
        <v>45316.49630787037</v>
      </c>
      <c r="C419" s="1" t="n">
        <v>45904</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23705-2023</t>
        </is>
      </c>
      <c r="B420" s="1" t="n">
        <v>45077</v>
      </c>
      <c r="C420" s="1" t="n">
        <v>45904</v>
      </c>
      <c r="D420" t="inlineStr">
        <is>
          <t>SÖDERMANLANDS LÄN</t>
        </is>
      </c>
      <c r="E420" t="inlineStr">
        <is>
          <t>KATRINEHOLM</t>
        </is>
      </c>
      <c r="F420" t="inlineStr">
        <is>
          <t>Kyrkan</t>
        </is>
      </c>
      <c r="G420" t="n">
        <v>11.9</v>
      </c>
      <c r="H420" t="n">
        <v>0</v>
      </c>
      <c r="I420" t="n">
        <v>0</v>
      </c>
      <c r="J420" t="n">
        <v>0</v>
      </c>
      <c r="K420" t="n">
        <v>0</v>
      </c>
      <c r="L420" t="n">
        <v>0</v>
      </c>
      <c r="M420" t="n">
        <v>0</v>
      </c>
      <c r="N420" t="n">
        <v>0</v>
      </c>
      <c r="O420" t="n">
        <v>0</v>
      </c>
      <c r="P420" t="n">
        <v>0</v>
      </c>
      <c r="Q420" t="n">
        <v>0</v>
      </c>
      <c r="R420" s="2" t="inlineStr"/>
    </row>
    <row r="421" ht="15" customHeight="1">
      <c r="A421" t="inlineStr">
        <is>
          <t>A 36590-2025</t>
        </is>
      </c>
      <c r="B421" s="1" t="n">
        <v>45870</v>
      </c>
      <c r="C421" s="1" t="n">
        <v>45904</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27375-2024</t>
        </is>
      </c>
      <c r="B422" s="1" t="n">
        <v>45473.87645833333</v>
      </c>
      <c r="C422" s="1" t="n">
        <v>45904</v>
      </c>
      <c r="D422" t="inlineStr">
        <is>
          <t>SÖDERMANLANDS LÄN</t>
        </is>
      </c>
      <c r="E422" t="inlineStr">
        <is>
          <t>KATRINEHOLM</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7867-2024</t>
        </is>
      </c>
      <c r="B423" s="1" t="n">
        <v>45350.32991898148</v>
      </c>
      <c r="C423" s="1" t="n">
        <v>45904</v>
      </c>
      <c r="D423" t="inlineStr">
        <is>
          <t>SÖDERMANLANDS LÄN</t>
        </is>
      </c>
      <c r="E423" t="inlineStr">
        <is>
          <t>KATRINEHOLM</t>
        </is>
      </c>
      <c r="F423" t="inlineStr">
        <is>
          <t>Kyrkan</t>
        </is>
      </c>
      <c r="G423" t="n">
        <v>3.3</v>
      </c>
      <c r="H423" t="n">
        <v>0</v>
      </c>
      <c r="I423" t="n">
        <v>0</v>
      </c>
      <c r="J423" t="n">
        <v>0</v>
      </c>
      <c r="K423" t="n">
        <v>0</v>
      </c>
      <c r="L423" t="n">
        <v>0</v>
      </c>
      <c r="M423" t="n">
        <v>0</v>
      </c>
      <c r="N423" t="n">
        <v>0</v>
      </c>
      <c r="O423" t="n">
        <v>0</v>
      </c>
      <c r="P423" t="n">
        <v>0</v>
      </c>
      <c r="Q423" t="n">
        <v>0</v>
      </c>
      <c r="R423" s="2" t="inlineStr"/>
    </row>
    <row r="424" ht="15" customHeight="1">
      <c r="A424" t="inlineStr">
        <is>
          <t>A 8957-2024</t>
        </is>
      </c>
      <c r="B424" s="1" t="n">
        <v>45357.45089120371</v>
      </c>
      <c r="C424" s="1" t="n">
        <v>45904</v>
      </c>
      <c r="D424" t="inlineStr">
        <is>
          <t>SÖDERMANLANDS LÄN</t>
        </is>
      </c>
      <c r="E424" t="inlineStr">
        <is>
          <t>KATRINEHOLM</t>
        </is>
      </c>
      <c r="G424" t="n">
        <v>3.6</v>
      </c>
      <c r="H424" t="n">
        <v>0</v>
      </c>
      <c r="I424" t="n">
        <v>0</v>
      </c>
      <c r="J424" t="n">
        <v>0</v>
      </c>
      <c r="K424" t="n">
        <v>0</v>
      </c>
      <c r="L424" t="n">
        <v>0</v>
      </c>
      <c r="M424" t="n">
        <v>0</v>
      </c>
      <c r="N424" t="n">
        <v>0</v>
      </c>
      <c r="O424" t="n">
        <v>0</v>
      </c>
      <c r="P424" t="n">
        <v>0</v>
      </c>
      <c r="Q424" t="n">
        <v>0</v>
      </c>
      <c r="R424" s="2" t="inlineStr"/>
    </row>
    <row r="425" ht="15" customHeight="1">
      <c r="A425" t="inlineStr">
        <is>
          <t>A 7305-2024</t>
        </is>
      </c>
      <c r="B425" s="1" t="n">
        <v>45344</v>
      </c>
      <c r="C425" s="1" t="n">
        <v>45904</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52769-2023</t>
        </is>
      </c>
      <c r="B426" s="1" t="n">
        <v>45226</v>
      </c>
      <c r="C426" s="1" t="n">
        <v>45904</v>
      </c>
      <c r="D426" t="inlineStr">
        <is>
          <t>SÖDERMANLANDS LÄN</t>
        </is>
      </c>
      <c r="E426" t="inlineStr">
        <is>
          <t>KATRINEHOLM</t>
        </is>
      </c>
      <c r="G426" t="n">
        <v>0.5</v>
      </c>
      <c r="H426" t="n">
        <v>0</v>
      </c>
      <c r="I426" t="n">
        <v>0</v>
      </c>
      <c r="J426" t="n">
        <v>0</v>
      </c>
      <c r="K426" t="n">
        <v>0</v>
      </c>
      <c r="L426" t="n">
        <v>0</v>
      </c>
      <c r="M426" t="n">
        <v>0</v>
      </c>
      <c r="N426" t="n">
        <v>0</v>
      </c>
      <c r="O426" t="n">
        <v>0</v>
      </c>
      <c r="P426" t="n">
        <v>0</v>
      </c>
      <c r="Q426" t="n">
        <v>0</v>
      </c>
      <c r="R426" s="2" t="inlineStr"/>
    </row>
    <row r="427" ht="15" customHeight="1">
      <c r="A427" t="inlineStr">
        <is>
          <t>A 7223-2022</t>
        </is>
      </c>
      <c r="B427" s="1" t="n">
        <v>44603</v>
      </c>
      <c r="C427" s="1" t="n">
        <v>45904</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31392-2025</t>
        </is>
      </c>
      <c r="B428" s="1" t="n">
        <v>45833</v>
      </c>
      <c r="C428" s="1" t="n">
        <v>45904</v>
      </c>
      <c r="D428" t="inlineStr">
        <is>
          <t>SÖDERMANLANDS LÄN</t>
        </is>
      </c>
      <c r="E428" t="inlineStr">
        <is>
          <t>KATRINEHOLM</t>
        </is>
      </c>
      <c r="G428" t="n">
        <v>5</v>
      </c>
      <c r="H428" t="n">
        <v>0</v>
      </c>
      <c r="I428" t="n">
        <v>0</v>
      </c>
      <c r="J428" t="n">
        <v>0</v>
      </c>
      <c r="K428" t="n">
        <v>0</v>
      </c>
      <c r="L428" t="n">
        <v>0</v>
      </c>
      <c r="M428" t="n">
        <v>0</v>
      </c>
      <c r="N428" t="n">
        <v>0</v>
      </c>
      <c r="O428" t="n">
        <v>0</v>
      </c>
      <c r="P428" t="n">
        <v>0</v>
      </c>
      <c r="Q428" t="n">
        <v>0</v>
      </c>
      <c r="R428" s="2" t="inlineStr"/>
    </row>
    <row r="429" ht="15" customHeight="1">
      <c r="A429" t="inlineStr">
        <is>
          <t>A 51446-2023</t>
        </is>
      </c>
      <c r="B429" s="1" t="n">
        <v>45220.48068287037</v>
      </c>
      <c r="C429" s="1" t="n">
        <v>45904</v>
      </c>
      <c r="D429" t="inlineStr">
        <is>
          <t>SÖDERMANLANDS LÄN</t>
        </is>
      </c>
      <c r="E429" t="inlineStr">
        <is>
          <t>KATRINEHOLM</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23341-2023</t>
        </is>
      </c>
      <c r="B430" s="1" t="n">
        <v>45076</v>
      </c>
      <c r="C430" s="1" t="n">
        <v>45904</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31376-2025</t>
        </is>
      </c>
      <c r="B431" s="1" t="n">
        <v>45833</v>
      </c>
      <c r="C431" s="1" t="n">
        <v>45904</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37043-2025</t>
        </is>
      </c>
      <c r="B432" s="1" t="n">
        <v>45875.3396412037</v>
      </c>
      <c r="C432" s="1" t="n">
        <v>45904</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31386-2025</t>
        </is>
      </c>
      <c r="B433" s="1" t="n">
        <v>45833.45259259259</v>
      </c>
      <c r="C433" s="1" t="n">
        <v>45904</v>
      </c>
      <c r="D433" t="inlineStr">
        <is>
          <t>SÖDERMANLANDS LÄN</t>
        </is>
      </c>
      <c r="E433" t="inlineStr">
        <is>
          <t>KATRINEHOLM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46833-2020</t>
        </is>
      </c>
      <c r="B434" s="1" t="n">
        <v>44089</v>
      </c>
      <c r="C434" s="1" t="n">
        <v>45904</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28931-2024</t>
        </is>
      </c>
      <c r="B435" s="1" t="n">
        <v>45479</v>
      </c>
      <c r="C435" s="1" t="n">
        <v>45904</v>
      </c>
      <c r="D435" t="inlineStr">
        <is>
          <t>SÖDERMANLANDS LÄN</t>
        </is>
      </c>
      <c r="E435" t="inlineStr">
        <is>
          <t>KATRINEHOLM</t>
        </is>
      </c>
      <c r="G435" t="n">
        <v>7.4</v>
      </c>
      <c r="H435" t="n">
        <v>0</v>
      </c>
      <c r="I435" t="n">
        <v>0</v>
      </c>
      <c r="J435" t="n">
        <v>0</v>
      </c>
      <c r="K435" t="n">
        <v>0</v>
      </c>
      <c r="L435" t="n">
        <v>0</v>
      </c>
      <c r="M435" t="n">
        <v>0</v>
      </c>
      <c r="N435" t="n">
        <v>0</v>
      </c>
      <c r="O435" t="n">
        <v>0</v>
      </c>
      <c r="P435" t="n">
        <v>0</v>
      </c>
      <c r="Q435" t="n">
        <v>0</v>
      </c>
      <c r="R435" s="2" t="inlineStr"/>
    </row>
    <row r="436" ht="15" customHeight="1">
      <c r="A436" t="inlineStr">
        <is>
          <t>A 27646-2023</t>
        </is>
      </c>
      <c r="B436" s="1" t="n">
        <v>45097</v>
      </c>
      <c r="C436" s="1" t="n">
        <v>45904</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50626-2024</t>
        </is>
      </c>
      <c r="B437" s="1" t="n">
        <v>45601</v>
      </c>
      <c r="C437" s="1" t="n">
        <v>45904</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35183-2022</t>
        </is>
      </c>
      <c r="B438" s="1" t="n">
        <v>44797</v>
      </c>
      <c r="C438" s="1" t="n">
        <v>45904</v>
      </c>
      <c r="D438" t="inlineStr">
        <is>
          <t>SÖDERMANLANDS LÄN</t>
        </is>
      </c>
      <c r="E438" t="inlineStr">
        <is>
          <t>KATRINEHOLM</t>
        </is>
      </c>
      <c r="G438" t="n">
        <v>4.6</v>
      </c>
      <c r="H438" t="n">
        <v>0</v>
      </c>
      <c r="I438" t="n">
        <v>0</v>
      </c>
      <c r="J438" t="n">
        <v>0</v>
      </c>
      <c r="K438" t="n">
        <v>0</v>
      </c>
      <c r="L438" t="n">
        <v>0</v>
      </c>
      <c r="M438" t="n">
        <v>0</v>
      </c>
      <c r="N438" t="n">
        <v>0</v>
      </c>
      <c r="O438" t="n">
        <v>0</v>
      </c>
      <c r="P438" t="n">
        <v>0</v>
      </c>
      <c r="Q438" t="n">
        <v>0</v>
      </c>
      <c r="R438" s="2" t="inlineStr"/>
    </row>
    <row r="439" ht="15" customHeight="1">
      <c r="A439" t="inlineStr">
        <is>
          <t>A 12888-2025</t>
        </is>
      </c>
      <c r="B439" s="1" t="n">
        <v>45733</v>
      </c>
      <c r="C439" s="1" t="n">
        <v>45904</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51218-2020</t>
        </is>
      </c>
      <c r="B440" s="1" t="n">
        <v>44112</v>
      </c>
      <c r="C440" s="1" t="n">
        <v>45904</v>
      </c>
      <c r="D440" t="inlineStr">
        <is>
          <t>SÖDERMANLANDS LÄN</t>
        </is>
      </c>
      <c r="E440" t="inlineStr">
        <is>
          <t>KATRINEHOLM</t>
        </is>
      </c>
      <c r="F440" t="inlineStr">
        <is>
          <t>Kommuner</t>
        </is>
      </c>
      <c r="G440" t="n">
        <v>1.5</v>
      </c>
      <c r="H440" t="n">
        <v>0</v>
      </c>
      <c r="I440" t="n">
        <v>0</v>
      </c>
      <c r="J440" t="n">
        <v>0</v>
      </c>
      <c r="K440" t="n">
        <v>0</v>
      </c>
      <c r="L440" t="n">
        <v>0</v>
      </c>
      <c r="M440" t="n">
        <v>0</v>
      </c>
      <c r="N440" t="n">
        <v>0</v>
      </c>
      <c r="O440" t="n">
        <v>0</v>
      </c>
      <c r="P440" t="n">
        <v>0</v>
      </c>
      <c r="Q440" t="n">
        <v>0</v>
      </c>
      <c r="R440" s="2" t="inlineStr"/>
    </row>
    <row r="441" ht="15" customHeight="1">
      <c r="A441" t="inlineStr">
        <is>
          <t>A 7197-2023</t>
        </is>
      </c>
      <c r="B441" s="1" t="n">
        <v>44965</v>
      </c>
      <c r="C441" s="1" t="n">
        <v>45904</v>
      </c>
      <c r="D441" t="inlineStr">
        <is>
          <t>SÖDERMANLANDS LÄN</t>
        </is>
      </c>
      <c r="E441" t="inlineStr">
        <is>
          <t>KATRINEHOLM</t>
        </is>
      </c>
      <c r="G441" t="n">
        <v>5.3</v>
      </c>
      <c r="H441" t="n">
        <v>0</v>
      </c>
      <c r="I441" t="n">
        <v>0</v>
      </c>
      <c r="J441" t="n">
        <v>0</v>
      </c>
      <c r="K441" t="n">
        <v>0</v>
      </c>
      <c r="L441" t="n">
        <v>0</v>
      </c>
      <c r="M441" t="n">
        <v>0</v>
      </c>
      <c r="N441" t="n">
        <v>0</v>
      </c>
      <c r="O441" t="n">
        <v>0</v>
      </c>
      <c r="P441" t="n">
        <v>0</v>
      </c>
      <c r="Q441" t="n">
        <v>0</v>
      </c>
      <c r="R441" s="2" t="inlineStr"/>
    </row>
    <row r="442" ht="15" customHeight="1">
      <c r="A442" t="inlineStr">
        <is>
          <t>A 57693-2020</t>
        </is>
      </c>
      <c r="B442" s="1" t="n">
        <v>44140</v>
      </c>
      <c r="C442" s="1" t="n">
        <v>45904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28394-2023</t>
        </is>
      </c>
      <c r="B443" s="1" t="n">
        <v>45100</v>
      </c>
      <c r="C443" s="1" t="n">
        <v>45904</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60677-2021</t>
        </is>
      </c>
      <c r="B444" s="1" t="n">
        <v>44495</v>
      </c>
      <c r="C444" s="1" t="n">
        <v>45904</v>
      </c>
      <c r="D444" t="inlineStr">
        <is>
          <t>SÖDERMANLANDS LÄN</t>
        </is>
      </c>
      <c r="E444" t="inlineStr">
        <is>
          <t>KATRINEHOLM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25362-2023</t>
        </is>
      </c>
      <c r="B445" s="1" t="n">
        <v>45088.83430555555</v>
      </c>
      <c r="C445" s="1" t="n">
        <v>45904</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3986-2024</t>
        </is>
      </c>
      <c r="B446" s="1" t="n">
        <v>45322</v>
      </c>
      <c r="C446" s="1" t="n">
        <v>45904</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31990-2025</t>
        </is>
      </c>
      <c r="B447" s="1" t="n">
        <v>45835.36697916667</v>
      </c>
      <c r="C447" s="1" t="n">
        <v>45904</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3939-2022</t>
        </is>
      </c>
      <c r="B448" s="1" t="n">
        <v>44587</v>
      </c>
      <c r="C448" s="1" t="n">
        <v>45904</v>
      </c>
      <c r="D448" t="inlineStr">
        <is>
          <t>SÖDERMANLANDS LÄN</t>
        </is>
      </c>
      <c r="E448" t="inlineStr">
        <is>
          <t>KATRINEHOLM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47456-2022</t>
        </is>
      </c>
      <c r="B449" s="1" t="n">
        <v>44852</v>
      </c>
      <c r="C449" s="1" t="n">
        <v>45904</v>
      </c>
      <c r="D449" t="inlineStr">
        <is>
          <t>SÖDERMANLANDS LÄN</t>
        </is>
      </c>
      <c r="E449" t="inlineStr">
        <is>
          <t>KATRINEHOLM</t>
        </is>
      </c>
      <c r="G449" t="n">
        <v>3.7</v>
      </c>
      <c r="H449" t="n">
        <v>0</v>
      </c>
      <c r="I449" t="n">
        <v>0</v>
      </c>
      <c r="J449" t="n">
        <v>0</v>
      </c>
      <c r="K449" t="n">
        <v>0</v>
      </c>
      <c r="L449" t="n">
        <v>0</v>
      </c>
      <c r="M449" t="n">
        <v>0</v>
      </c>
      <c r="N449" t="n">
        <v>0</v>
      </c>
      <c r="O449" t="n">
        <v>0</v>
      </c>
      <c r="P449" t="n">
        <v>0</v>
      </c>
      <c r="Q449" t="n">
        <v>0</v>
      </c>
      <c r="R449" s="2" t="inlineStr"/>
    </row>
    <row r="450" ht="15" customHeight="1">
      <c r="A450" t="inlineStr">
        <is>
          <t>A 2683-2025</t>
        </is>
      </c>
      <c r="B450" s="1" t="n">
        <v>45677</v>
      </c>
      <c r="C450" s="1" t="n">
        <v>45904</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4656-2023</t>
        </is>
      </c>
      <c r="B451" s="1" t="n">
        <v>44957</v>
      </c>
      <c r="C451" s="1" t="n">
        <v>45904</v>
      </c>
      <c r="D451" t="inlineStr">
        <is>
          <t>SÖDERMANLANDS LÄN</t>
        </is>
      </c>
      <c r="E451" t="inlineStr">
        <is>
          <t>KATRINEHOLM</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49078-2024</t>
        </is>
      </c>
      <c r="B452" s="1" t="n">
        <v>45594.62556712963</v>
      </c>
      <c r="C452" s="1" t="n">
        <v>45904</v>
      </c>
      <c r="D452" t="inlineStr">
        <is>
          <t>SÖDERMANLANDS LÄN</t>
        </is>
      </c>
      <c r="E452" t="inlineStr">
        <is>
          <t>KATRINEHOLM</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35188-2022</t>
        </is>
      </c>
      <c r="B453" s="1" t="n">
        <v>44797</v>
      </c>
      <c r="C453" s="1" t="n">
        <v>45904</v>
      </c>
      <c r="D453" t="inlineStr">
        <is>
          <t>SÖDERMANLANDS LÄN</t>
        </is>
      </c>
      <c r="E453" t="inlineStr">
        <is>
          <t>KATRINEHOLM</t>
        </is>
      </c>
      <c r="G453" t="n">
        <v>3</v>
      </c>
      <c r="H453" t="n">
        <v>0</v>
      </c>
      <c r="I453" t="n">
        <v>0</v>
      </c>
      <c r="J453" t="n">
        <v>0</v>
      </c>
      <c r="K453" t="n">
        <v>0</v>
      </c>
      <c r="L453" t="n">
        <v>0</v>
      </c>
      <c r="M453" t="n">
        <v>0</v>
      </c>
      <c r="N453" t="n">
        <v>0</v>
      </c>
      <c r="O453" t="n">
        <v>0</v>
      </c>
      <c r="P453" t="n">
        <v>0</v>
      </c>
      <c r="Q453" t="n">
        <v>0</v>
      </c>
      <c r="R453" s="2" t="inlineStr"/>
    </row>
    <row r="454" ht="15" customHeight="1">
      <c r="A454" t="inlineStr">
        <is>
          <t>A 3317-2023</t>
        </is>
      </c>
      <c r="B454" s="1" t="n">
        <v>44945</v>
      </c>
      <c r="C454" s="1" t="n">
        <v>45904</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5327-2025</t>
        </is>
      </c>
      <c r="B455" s="1" t="n">
        <v>45692</v>
      </c>
      <c r="C455" s="1" t="n">
        <v>45904</v>
      </c>
      <c r="D455" t="inlineStr">
        <is>
          <t>SÖDERMANLANDS LÄN</t>
        </is>
      </c>
      <c r="E455" t="inlineStr">
        <is>
          <t>KATRINEHOLM</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32944-2023</t>
        </is>
      </c>
      <c r="B456" s="1" t="n">
        <v>45125</v>
      </c>
      <c r="C456" s="1" t="n">
        <v>45904</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29198-2023</t>
        </is>
      </c>
      <c r="B457" s="1" t="n">
        <v>45105</v>
      </c>
      <c r="C457" s="1" t="n">
        <v>45904</v>
      </c>
      <c r="D457" t="inlineStr">
        <is>
          <t>SÖDERMANLANDS LÄN</t>
        </is>
      </c>
      <c r="E457" t="inlineStr">
        <is>
          <t>KATRINEHOLM</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56661-2021</t>
        </is>
      </c>
      <c r="B458" s="1" t="n">
        <v>44481.24327546296</v>
      </c>
      <c r="C458" s="1" t="n">
        <v>45904</v>
      </c>
      <c r="D458" t="inlineStr">
        <is>
          <t>SÖDERMANLANDS LÄN</t>
        </is>
      </c>
      <c r="E458" t="inlineStr">
        <is>
          <t>KATRINEHOLM</t>
        </is>
      </c>
      <c r="G458" t="n">
        <v>5.8</v>
      </c>
      <c r="H458" t="n">
        <v>0</v>
      </c>
      <c r="I458" t="n">
        <v>0</v>
      </c>
      <c r="J458" t="n">
        <v>0</v>
      </c>
      <c r="K458" t="n">
        <v>0</v>
      </c>
      <c r="L458" t="n">
        <v>0</v>
      </c>
      <c r="M458" t="n">
        <v>0</v>
      </c>
      <c r="N458" t="n">
        <v>0</v>
      </c>
      <c r="O458" t="n">
        <v>0</v>
      </c>
      <c r="P458" t="n">
        <v>0</v>
      </c>
      <c r="Q458" t="n">
        <v>0</v>
      </c>
      <c r="R458" s="2" t="inlineStr"/>
    </row>
    <row r="459" ht="15" customHeight="1">
      <c r="A459" t="inlineStr">
        <is>
          <t>A 37827-2025</t>
        </is>
      </c>
      <c r="B459" s="1" t="n">
        <v>45881.40907407407</v>
      </c>
      <c r="C459" s="1" t="n">
        <v>45904</v>
      </c>
      <c r="D459" t="inlineStr">
        <is>
          <t>SÖDERMANLANDS LÄN</t>
        </is>
      </c>
      <c r="E459" t="inlineStr">
        <is>
          <t>KATRINEHOLM</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6175-2023</t>
        </is>
      </c>
      <c r="B460" s="1" t="n">
        <v>44964</v>
      </c>
      <c r="C460" s="1" t="n">
        <v>45904</v>
      </c>
      <c r="D460" t="inlineStr">
        <is>
          <t>SÖDERMANLANDS LÄN</t>
        </is>
      </c>
      <c r="E460" t="inlineStr">
        <is>
          <t>KATRINEHOLM</t>
        </is>
      </c>
      <c r="G460" t="n">
        <v>11.2</v>
      </c>
      <c r="H460" t="n">
        <v>0</v>
      </c>
      <c r="I460" t="n">
        <v>0</v>
      </c>
      <c r="J460" t="n">
        <v>0</v>
      </c>
      <c r="K460" t="n">
        <v>0</v>
      </c>
      <c r="L460" t="n">
        <v>0</v>
      </c>
      <c r="M460" t="n">
        <v>0</v>
      </c>
      <c r="N460" t="n">
        <v>0</v>
      </c>
      <c r="O460" t="n">
        <v>0</v>
      </c>
      <c r="P460" t="n">
        <v>0</v>
      </c>
      <c r="Q460" t="n">
        <v>0</v>
      </c>
      <c r="R460" s="2" t="inlineStr"/>
    </row>
    <row r="461" ht="15" customHeight="1">
      <c r="A461" t="inlineStr">
        <is>
          <t>A 4655-2024</t>
        </is>
      </c>
      <c r="B461" s="1" t="n">
        <v>45328</v>
      </c>
      <c r="C461" s="1" t="n">
        <v>45904</v>
      </c>
      <c r="D461" t="inlineStr">
        <is>
          <t>SÖDERMANLANDS LÄN</t>
        </is>
      </c>
      <c r="E461" t="inlineStr">
        <is>
          <t>KATRINEHOLM</t>
        </is>
      </c>
      <c r="G461" t="n">
        <v>17.7</v>
      </c>
      <c r="H461" t="n">
        <v>0</v>
      </c>
      <c r="I461" t="n">
        <v>0</v>
      </c>
      <c r="J461" t="n">
        <v>0</v>
      </c>
      <c r="K461" t="n">
        <v>0</v>
      </c>
      <c r="L461" t="n">
        <v>0</v>
      </c>
      <c r="M461" t="n">
        <v>0</v>
      </c>
      <c r="N461" t="n">
        <v>0</v>
      </c>
      <c r="O461" t="n">
        <v>0</v>
      </c>
      <c r="P461" t="n">
        <v>0</v>
      </c>
      <c r="Q461" t="n">
        <v>0</v>
      </c>
      <c r="R461" s="2" t="inlineStr"/>
    </row>
    <row r="462" ht="15" customHeight="1">
      <c r="A462" t="inlineStr">
        <is>
          <t>A 46830-2020</t>
        </is>
      </c>
      <c r="B462" s="1" t="n">
        <v>44089</v>
      </c>
      <c r="C462" s="1" t="n">
        <v>45904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33469-2025</t>
        </is>
      </c>
      <c r="B463" s="1" t="n">
        <v>45841.48686342593</v>
      </c>
      <c r="C463" s="1" t="n">
        <v>45904</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33084-2025</t>
        </is>
      </c>
      <c r="B464" s="1" t="n">
        <v>45840.46559027778</v>
      </c>
      <c r="C464" s="1" t="n">
        <v>45904</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33129-2025</t>
        </is>
      </c>
      <c r="B465" s="1" t="n">
        <v>45840.50141203704</v>
      </c>
      <c r="C465" s="1" t="n">
        <v>45904</v>
      </c>
      <c r="D465" t="inlineStr">
        <is>
          <t>SÖDERMANLANDS LÄN</t>
        </is>
      </c>
      <c r="E465" t="inlineStr">
        <is>
          <t>KATRINEHOLM</t>
        </is>
      </c>
      <c r="G465" t="n">
        <v>2.6</v>
      </c>
      <c r="H465" t="n">
        <v>0</v>
      </c>
      <c r="I465" t="n">
        <v>0</v>
      </c>
      <c r="J465" t="n">
        <v>0</v>
      </c>
      <c r="K465" t="n">
        <v>0</v>
      </c>
      <c r="L465" t="n">
        <v>0</v>
      </c>
      <c r="M465" t="n">
        <v>0</v>
      </c>
      <c r="N465" t="n">
        <v>0</v>
      </c>
      <c r="O465" t="n">
        <v>0</v>
      </c>
      <c r="P465" t="n">
        <v>0</v>
      </c>
      <c r="Q465" t="n">
        <v>0</v>
      </c>
      <c r="R465" s="2" t="inlineStr"/>
    </row>
    <row r="466" ht="15" customHeight="1">
      <c r="A466" t="inlineStr">
        <is>
          <t>A 45246-2023</t>
        </is>
      </c>
      <c r="B466" s="1" t="n">
        <v>45191</v>
      </c>
      <c r="C466" s="1" t="n">
        <v>45904</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33577-2025</t>
        </is>
      </c>
      <c r="B467" s="1" t="n">
        <v>45841.59056712963</v>
      </c>
      <c r="C467" s="1" t="n">
        <v>45904</v>
      </c>
      <c r="D467" t="inlineStr">
        <is>
          <t>SÖDERMANLANDS LÄN</t>
        </is>
      </c>
      <c r="E467" t="inlineStr">
        <is>
          <t>KATRINEHOLM</t>
        </is>
      </c>
      <c r="F467" t="inlineStr">
        <is>
          <t>Holmen skog AB</t>
        </is>
      </c>
      <c r="G467" t="n">
        <v>0.3</v>
      </c>
      <c r="H467" t="n">
        <v>0</v>
      </c>
      <c r="I467" t="n">
        <v>0</v>
      </c>
      <c r="J467" t="n">
        <v>0</v>
      </c>
      <c r="K467" t="n">
        <v>0</v>
      </c>
      <c r="L467" t="n">
        <v>0</v>
      </c>
      <c r="M467" t="n">
        <v>0</v>
      </c>
      <c r="N467" t="n">
        <v>0</v>
      </c>
      <c r="O467" t="n">
        <v>0</v>
      </c>
      <c r="P467" t="n">
        <v>0</v>
      </c>
      <c r="Q467" t="n">
        <v>0</v>
      </c>
      <c r="R467" s="2" t="inlineStr"/>
    </row>
    <row r="468" ht="15" customHeight="1">
      <c r="A468" t="inlineStr">
        <is>
          <t>A 33077-2025</t>
        </is>
      </c>
      <c r="B468" s="1" t="n">
        <v>45840.45864583334</v>
      </c>
      <c r="C468" s="1" t="n">
        <v>45904</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50316-2023</t>
        </is>
      </c>
      <c r="B469" s="1" t="n">
        <v>45209</v>
      </c>
      <c r="C469" s="1" t="n">
        <v>45904</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33090-2025</t>
        </is>
      </c>
      <c r="B470" s="1" t="n">
        <v>45840.46840277778</v>
      </c>
      <c r="C470" s="1" t="n">
        <v>45904</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33096-2025</t>
        </is>
      </c>
      <c r="B471" s="1" t="n">
        <v>45840.47563657408</v>
      </c>
      <c r="C471" s="1" t="n">
        <v>45904</v>
      </c>
      <c r="D471" t="inlineStr">
        <is>
          <t>SÖDERMANLANDS LÄN</t>
        </is>
      </c>
      <c r="E471" t="inlineStr">
        <is>
          <t>KATRINEHOLM</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55171-2023</t>
        </is>
      </c>
      <c r="B472" s="1" t="n">
        <v>45231</v>
      </c>
      <c r="C472" s="1" t="n">
        <v>45904</v>
      </c>
      <c r="D472" t="inlineStr">
        <is>
          <t>SÖDERMANLANDS LÄN</t>
        </is>
      </c>
      <c r="E472" t="inlineStr">
        <is>
          <t>KATRINEHOLM</t>
        </is>
      </c>
      <c r="G472" t="n">
        <v>4.2</v>
      </c>
      <c r="H472" t="n">
        <v>0</v>
      </c>
      <c r="I472" t="n">
        <v>0</v>
      </c>
      <c r="J472" t="n">
        <v>0</v>
      </c>
      <c r="K472" t="n">
        <v>0</v>
      </c>
      <c r="L472" t="n">
        <v>0</v>
      </c>
      <c r="M472" t="n">
        <v>0</v>
      </c>
      <c r="N472" t="n">
        <v>0</v>
      </c>
      <c r="O472" t="n">
        <v>0</v>
      </c>
      <c r="P472" t="n">
        <v>0</v>
      </c>
      <c r="Q472" t="n">
        <v>0</v>
      </c>
      <c r="R472" s="2" t="inlineStr"/>
    </row>
    <row r="473" ht="15" customHeight="1">
      <c r="A473" t="inlineStr">
        <is>
          <t>A 33101-2025</t>
        </is>
      </c>
      <c r="B473" s="1" t="n">
        <v>45840.47953703703</v>
      </c>
      <c r="C473" s="1" t="n">
        <v>45904</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51404-2023</t>
        </is>
      </c>
      <c r="B474" s="1" t="n">
        <v>45214</v>
      </c>
      <c r="C474" s="1" t="n">
        <v>45904</v>
      </c>
      <c r="D474" t="inlineStr">
        <is>
          <t>SÖDERMANLANDS LÄN</t>
        </is>
      </c>
      <c r="E474" t="inlineStr">
        <is>
          <t>KATRINEHOLM</t>
        </is>
      </c>
      <c r="G474" t="n">
        <v>9</v>
      </c>
      <c r="H474" t="n">
        <v>0</v>
      </c>
      <c r="I474" t="n">
        <v>0</v>
      </c>
      <c r="J474" t="n">
        <v>0</v>
      </c>
      <c r="K474" t="n">
        <v>0</v>
      </c>
      <c r="L474" t="n">
        <v>0</v>
      </c>
      <c r="M474" t="n">
        <v>0</v>
      </c>
      <c r="N474" t="n">
        <v>0</v>
      </c>
      <c r="O474" t="n">
        <v>0</v>
      </c>
      <c r="P474" t="n">
        <v>0</v>
      </c>
      <c r="Q474" t="n">
        <v>0</v>
      </c>
      <c r="R474" s="2" t="inlineStr"/>
    </row>
    <row r="475" ht="15" customHeight="1">
      <c r="A475" t="inlineStr">
        <is>
          <t>A 27376-2024</t>
        </is>
      </c>
      <c r="B475" s="1" t="n">
        <v>45473.88313657408</v>
      </c>
      <c r="C475" s="1" t="n">
        <v>45904</v>
      </c>
      <c r="D475" t="inlineStr">
        <is>
          <t>SÖDERMANLANDS LÄN</t>
        </is>
      </c>
      <c r="E475" t="inlineStr">
        <is>
          <t>KATRINEHOLM</t>
        </is>
      </c>
      <c r="F475" t="inlineStr">
        <is>
          <t>Kommuner</t>
        </is>
      </c>
      <c r="G475" t="n">
        <v>2.8</v>
      </c>
      <c r="H475" t="n">
        <v>0</v>
      </c>
      <c r="I475" t="n">
        <v>0</v>
      </c>
      <c r="J475" t="n">
        <v>0</v>
      </c>
      <c r="K475" t="n">
        <v>0</v>
      </c>
      <c r="L475" t="n">
        <v>0</v>
      </c>
      <c r="M475" t="n">
        <v>0</v>
      </c>
      <c r="N475" t="n">
        <v>0</v>
      </c>
      <c r="O475" t="n">
        <v>0</v>
      </c>
      <c r="P475" t="n">
        <v>0</v>
      </c>
      <c r="Q475" t="n">
        <v>0</v>
      </c>
      <c r="R475" s="2" t="inlineStr"/>
    </row>
    <row r="476" ht="15" customHeight="1">
      <c r="A476" t="inlineStr">
        <is>
          <t>A 48097-2023</t>
        </is>
      </c>
      <c r="B476" s="1" t="n">
        <v>45205.31987268518</v>
      </c>
      <c r="C476" s="1" t="n">
        <v>45904</v>
      </c>
      <c r="D476" t="inlineStr">
        <is>
          <t>SÖDERMANLANDS LÄN</t>
        </is>
      </c>
      <c r="E476" t="inlineStr">
        <is>
          <t>KATRINEHOLM</t>
        </is>
      </c>
      <c r="G476" t="n">
        <v>2.3</v>
      </c>
      <c r="H476" t="n">
        <v>0</v>
      </c>
      <c r="I476" t="n">
        <v>0</v>
      </c>
      <c r="J476" t="n">
        <v>0</v>
      </c>
      <c r="K476" t="n">
        <v>0</v>
      </c>
      <c r="L476" t="n">
        <v>0</v>
      </c>
      <c r="M476" t="n">
        <v>0</v>
      </c>
      <c r="N476" t="n">
        <v>0</v>
      </c>
      <c r="O476" t="n">
        <v>0</v>
      </c>
      <c r="P476" t="n">
        <v>0</v>
      </c>
      <c r="Q476" t="n">
        <v>0</v>
      </c>
      <c r="R476" s="2" t="inlineStr"/>
    </row>
    <row r="477" ht="15" customHeight="1">
      <c r="A477" t="inlineStr">
        <is>
          <t>A 7753-2024</t>
        </is>
      </c>
      <c r="B477" s="1" t="n">
        <v>45348</v>
      </c>
      <c r="C477" s="1" t="n">
        <v>45904</v>
      </c>
      <c r="D477" t="inlineStr">
        <is>
          <t>SÖDERMANLANDS LÄN</t>
        </is>
      </c>
      <c r="E477" t="inlineStr">
        <is>
          <t>KATRINEHOLM</t>
        </is>
      </c>
      <c r="G477" t="n">
        <v>13.4</v>
      </c>
      <c r="H477" t="n">
        <v>0</v>
      </c>
      <c r="I477" t="n">
        <v>0</v>
      </c>
      <c r="J477" t="n">
        <v>0</v>
      </c>
      <c r="K477" t="n">
        <v>0</v>
      </c>
      <c r="L477" t="n">
        <v>0</v>
      </c>
      <c r="M477" t="n">
        <v>0</v>
      </c>
      <c r="N477" t="n">
        <v>0</v>
      </c>
      <c r="O477" t="n">
        <v>0</v>
      </c>
      <c r="P477" t="n">
        <v>0</v>
      </c>
      <c r="Q477" t="n">
        <v>0</v>
      </c>
      <c r="R477" s="2" t="inlineStr"/>
    </row>
    <row r="478" ht="15" customHeight="1">
      <c r="A478" t="inlineStr">
        <is>
          <t>A 33812-2025</t>
        </is>
      </c>
      <c r="B478" s="1" t="n">
        <v>45842</v>
      </c>
      <c r="C478" s="1" t="n">
        <v>45904</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15898-2022</t>
        </is>
      </c>
      <c r="B479" s="1" t="n">
        <v>44664.55688657407</v>
      </c>
      <c r="C479" s="1" t="n">
        <v>45904</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15910-2022</t>
        </is>
      </c>
      <c r="B480" s="1" t="n">
        <v>44664</v>
      </c>
      <c r="C480" s="1" t="n">
        <v>45904</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64605-2023</t>
        </is>
      </c>
      <c r="B481" s="1" t="n">
        <v>45281</v>
      </c>
      <c r="C481" s="1" t="n">
        <v>45904</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64652-2023</t>
        </is>
      </c>
      <c r="B482" s="1" t="n">
        <v>45281</v>
      </c>
      <c r="C482" s="1" t="n">
        <v>45904</v>
      </c>
      <c r="D482" t="inlineStr">
        <is>
          <t>SÖDERMANLANDS LÄN</t>
        </is>
      </c>
      <c r="E482" t="inlineStr">
        <is>
          <t>KATRINEHOLM</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55074-2020</t>
        </is>
      </c>
      <c r="B483" s="1" t="n">
        <v>44130</v>
      </c>
      <c r="C483" s="1" t="n">
        <v>45904</v>
      </c>
      <c r="D483" t="inlineStr">
        <is>
          <t>SÖDERMANLANDS LÄN</t>
        </is>
      </c>
      <c r="E483" t="inlineStr">
        <is>
          <t>KATRINEHOLM</t>
        </is>
      </c>
      <c r="G483" t="n">
        <v>2.9</v>
      </c>
      <c r="H483" t="n">
        <v>0</v>
      </c>
      <c r="I483" t="n">
        <v>0</v>
      </c>
      <c r="J483" t="n">
        <v>0</v>
      </c>
      <c r="K483" t="n">
        <v>0</v>
      </c>
      <c r="L483" t="n">
        <v>0</v>
      </c>
      <c r="M483" t="n">
        <v>0</v>
      </c>
      <c r="N483" t="n">
        <v>0</v>
      </c>
      <c r="O483" t="n">
        <v>0</v>
      </c>
      <c r="P483" t="n">
        <v>0</v>
      </c>
      <c r="Q483" t="n">
        <v>0</v>
      </c>
      <c r="R483" s="2" t="inlineStr"/>
    </row>
    <row r="484" ht="15" customHeight="1">
      <c r="A484" t="inlineStr">
        <is>
          <t>A 55079-2020</t>
        </is>
      </c>
      <c r="B484" s="1" t="n">
        <v>44130.46172453704</v>
      </c>
      <c r="C484" s="1" t="n">
        <v>45904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6762-2025</t>
        </is>
      </c>
      <c r="B485" s="1" t="n">
        <v>45700</v>
      </c>
      <c r="C485" s="1" t="n">
        <v>45904</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61915-2021</t>
        </is>
      </c>
      <c r="B486" s="1" t="n">
        <v>44502.36780092592</v>
      </c>
      <c r="C486" s="1" t="n">
        <v>45904</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55795-2023</t>
        </is>
      </c>
      <c r="B487" s="1" t="n">
        <v>45239.54861111111</v>
      </c>
      <c r="C487" s="1" t="n">
        <v>45904</v>
      </c>
      <c r="D487" t="inlineStr">
        <is>
          <t>SÖDERMANLANDS LÄN</t>
        </is>
      </c>
      <c r="E487" t="inlineStr">
        <is>
          <t>KATRINEHOLM</t>
        </is>
      </c>
      <c r="G487" t="n">
        <v>7</v>
      </c>
      <c r="H487" t="n">
        <v>0</v>
      </c>
      <c r="I487" t="n">
        <v>0</v>
      </c>
      <c r="J487" t="n">
        <v>0</v>
      </c>
      <c r="K487" t="n">
        <v>0</v>
      </c>
      <c r="L487" t="n">
        <v>0</v>
      </c>
      <c r="M487" t="n">
        <v>0</v>
      </c>
      <c r="N487" t="n">
        <v>0</v>
      </c>
      <c r="O487" t="n">
        <v>0</v>
      </c>
      <c r="P487" t="n">
        <v>0</v>
      </c>
      <c r="Q487" t="n">
        <v>0</v>
      </c>
      <c r="R487" s="2" t="inlineStr"/>
    </row>
    <row r="488" ht="15" customHeight="1">
      <c r="A488" t="inlineStr">
        <is>
          <t>A 20768-2022</t>
        </is>
      </c>
      <c r="B488" s="1" t="n">
        <v>44701.36431712963</v>
      </c>
      <c r="C488" s="1" t="n">
        <v>45904</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55846-2022</t>
        </is>
      </c>
      <c r="B489" s="1" t="n">
        <v>44888</v>
      </c>
      <c r="C489" s="1" t="n">
        <v>45904</v>
      </c>
      <c r="D489" t="inlineStr">
        <is>
          <t>SÖDERMANLANDS LÄN</t>
        </is>
      </c>
      <c r="E489" t="inlineStr">
        <is>
          <t>KATRINEHOLM</t>
        </is>
      </c>
      <c r="G489" t="n">
        <v>6.5</v>
      </c>
      <c r="H489" t="n">
        <v>0</v>
      </c>
      <c r="I489" t="n">
        <v>0</v>
      </c>
      <c r="J489" t="n">
        <v>0</v>
      </c>
      <c r="K489" t="n">
        <v>0</v>
      </c>
      <c r="L489" t="n">
        <v>0</v>
      </c>
      <c r="M489" t="n">
        <v>0</v>
      </c>
      <c r="N489" t="n">
        <v>0</v>
      </c>
      <c r="O489" t="n">
        <v>0</v>
      </c>
      <c r="P489" t="n">
        <v>0</v>
      </c>
      <c r="Q489" t="n">
        <v>0</v>
      </c>
      <c r="R489" s="2" t="inlineStr"/>
    </row>
    <row r="490" ht="15" customHeight="1">
      <c r="A490" t="inlineStr">
        <is>
          <t>A 29830-2023</t>
        </is>
      </c>
      <c r="B490" s="1" t="n">
        <v>45107</v>
      </c>
      <c r="C490" s="1" t="n">
        <v>45904</v>
      </c>
      <c r="D490" t="inlineStr">
        <is>
          <t>SÖDERMANLANDS LÄN</t>
        </is>
      </c>
      <c r="E490" t="inlineStr">
        <is>
          <t>KATRINEHOLM</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33815-2025</t>
        </is>
      </c>
      <c r="B491" s="1" t="n">
        <v>45842</v>
      </c>
      <c r="C491" s="1" t="n">
        <v>45904</v>
      </c>
      <c r="D491" t="inlineStr">
        <is>
          <t>SÖDERMANLANDS LÄN</t>
        </is>
      </c>
      <c r="E491" t="inlineStr">
        <is>
          <t>KATRINEHOLM</t>
        </is>
      </c>
      <c r="G491" t="n">
        <v>3.4</v>
      </c>
      <c r="H491" t="n">
        <v>0</v>
      </c>
      <c r="I491" t="n">
        <v>0</v>
      </c>
      <c r="J491" t="n">
        <v>0</v>
      </c>
      <c r="K491" t="n">
        <v>0</v>
      </c>
      <c r="L491" t="n">
        <v>0</v>
      </c>
      <c r="M491" t="n">
        <v>0</v>
      </c>
      <c r="N491" t="n">
        <v>0</v>
      </c>
      <c r="O491" t="n">
        <v>0</v>
      </c>
      <c r="P491" t="n">
        <v>0</v>
      </c>
      <c r="Q491" t="n">
        <v>0</v>
      </c>
      <c r="R491" s="2" t="inlineStr"/>
    </row>
    <row r="492" ht="15" customHeight="1">
      <c r="A492" t="inlineStr">
        <is>
          <t>A 28582-2024</t>
        </is>
      </c>
      <c r="B492" s="1" t="n">
        <v>45478.40751157407</v>
      </c>
      <c r="C492" s="1" t="n">
        <v>45904</v>
      </c>
      <c r="D492" t="inlineStr">
        <is>
          <t>SÖDERMANLANDS LÄN</t>
        </is>
      </c>
      <c r="E492" t="inlineStr">
        <is>
          <t>KATRINEHOLM</t>
        </is>
      </c>
      <c r="F492" t="inlineStr">
        <is>
          <t>Övriga Aktiebolag</t>
        </is>
      </c>
      <c r="G492" t="n">
        <v>4</v>
      </c>
      <c r="H492" t="n">
        <v>0</v>
      </c>
      <c r="I492" t="n">
        <v>0</v>
      </c>
      <c r="J492" t="n">
        <v>0</v>
      </c>
      <c r="K492" t="n">
        <v>0</v>
      </c>
      <c r="L492" t="n">
        <v>0</v>
      </c>
      <c r="M492" t="n">
        <v>0</v>
      </c>
      <c r="N492" t="n">
        <v>0</v>
      </c>
      <c r="O492" t="n">
        <v>0</v>
      </c>
      <c r="P492" t="n">
        <v>0</v>
      </c>
      <c r="Q492" t="n">
        <v>0</v>
      </c>
      <c r="R492" s="2" t="inlineStr"/>
    </row>
    <row r="493" ht="15" customHeight="1">
      <c r="A493" t="inlineStr">
        <is>
          <t>A 20213-2025</t>
        </is>
      </c>
      <c r="B493" s="1" t="n">
        <v>45772.63453703704</v>
      </c>
      <c r="C493" s="1" t="n">
        <v>45904</v>
      </c>
      <c r="D493" t="inlineStr">
        <is>
          <t>SÖDERMANLANDS LÄN</t>
        </is>
      </c>
      <c r="E493" t="inlineStr">
        <is>
          <t>KATRINEHOLM</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44783-2020</t>
        </is>
      </c>
      <c r="B494" s="1" t="n">
        <v>44085</v>
      </c>
      <c r="C494" s="1" t="n">
        <v>45904</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19452-2023</t>
        </is>
      </c>
      <c r="B495" s="1" t="n">
        <v>45050</v>
      </c>
      <c r="C495" s="1" t="n">
        <v>45904</v>
      </c>
      <c r="D495" t="inlineStr">
        <is>
          <t>SÖDERMANLANDS LÄN</t>
        </is>
      </c>
      <c r="E495" t="inlineStr">
        <is>
          <t>KATRINEHOLM</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31719-2024</t>
        </is>
      </c>
      <c r="B496" s="1" t="n">
        <v>45509</v>
      </c>
      <c r="C496" s="1" t="n">
        <v>45904</v>
      </c>
      <c r="D496" t="inlineStr">
        <is>
          <t>SÖDERMANLANDS LÄN</t>
        </is>
      </c>
      <c r="E496" t="inlineStr">
        <is>
          <t>KATRINEHOLM</t>
        </is>
      </c>
      <c r="F496" t="inlineStr">
        <is>
          <t>Kyrkan</t>
        </is>
      </c>
      <c r="G496" t="n">
        <v>11.9</v>
      </c>
      <c r="H496" t="n">
        <v>0</v>
      </c>
      <c r="I496" t="n">
        <v>0</v>
      </c>
      <c r="J496" t="n">
        <v>0</v>
      </c>
      <c r="K496" t="n">
        <v>0</v>
      </c>
      <c r="L496" t="n">
        <v>0</v>
      </c>
      <c r="M496" t="n">
        <v>0</v>
      </c>
      <c r="N496" t="n">
        <v>0</v>
      </c>
      <c r="O496" t="n">
        <v>0</v>
      </c>
      <c r="P496" t="n">
        <v>0</v>
      </c>
      <c r="Q496" t="n">
        <v>0</v>
      </c>
      <c r="R496" s="2" t="inlineStr"/>
    </row>
    <row r="497" ht="15" customHeight="1">
      <c r="A497" t="inlineStr">
        <is>
          <t>A 43837-2022</t>
        </is>
      </c>
      <c r="B497" s="1" t="n">
        <v>44838</v>
      </c>
      <c r="C497" s="1" t="n">
        <v>45904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51397-2023</t>
        </is>
      </c>
      <c r="B498" s="1" t="n">
        <v>45214</v>
      </c>
      <c r="C498" s="1" t="n">
        <v>45904</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38708-2025</t>
        </is>
      </c>
      <c r="B499" s="1" t="n">
        <v>45885</v>
      </c>
      <c r="C499" s="1" t="n">
        <v>45904</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29394-2024</t>
        </is>
      </c>
      <c r="B500" s="1" t="n">
        <v>45483</v>
      </c>
      <c r="C500" s="1" t="n">
        <v>45904</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46011-2021</t>
        </is>
      </c>
      <c r="B501" s="1" t="n">
        <v>44441.88092592593</v>
      </c>
      <c r="C501" s="1" t="n">
        <v>45904</v>
      </c>
      <c r="D501" t="inlineStr">
        <is>
          <t>SÖDERMANLANDS LÄN</t>
        </is>
      </c>
      <c r="E501" t="inlineStr">
        <is>
          <t>KATRINEHOLM</t>
        </is>
      </c>
      <c r="G501" t="n">
        <v>4.7</v>
      </c>
      <c r="H501" t="n">
        <v>0</v>
      </c>
      <c r="I501" t="n">
        <v>0</v>
      </c>
      <c r="J501" t="n">
        <v>0</v>
      </c>
      <c r="K501" t="n">
        <v>0</v>
      </c>
      <c r="L501" t="n">
        <v>0</v>
      </c>
      <c r="M501" t="n">
        <v>0</v>
      </c>
      <c r="N501" t="n">
        <v>0</v>
      </c>
      <c r="O501" t="n">
        <v>0</v>
      </c>
      <c r="P501" t="n">
        <v>0</v>
      </c>
      <c r="Q501" t="n">
        <v>0</v>
      </c>
      <c r="R501" s="2" t="inlineStr"/>
    </row>
    <row r="502" ht="15" customHeight="1">
      <c r="A502" t="inlineStr">
        <is>
          <t>A 19670-2022</t>
        </is>
      </c>
      <c r="B502" s="1" t="n">
        <v>44694</v>
      </c>
      <c r="C502" s="1" t="n">
        <v>45904</v>
      </c>
      <c r="D502" t="inlineStr">
        <is>
          <t>SÖDERMANLANDS LÄN</t>
        </is>
      </c>
      <c r="E502" t="inlineStr">
        <is>
          <t>KATRINEHOLM</t>
        </is>
      </c>
      <c r="G502" t="n">
        <v>13.6</v>
      </c>
      <c r="H502" t="n">
        <v>0</v>
      </c>
      <c r="I502" t="n">
        <v>0</v>
      </c>
      <c r="J502" t="n">
        <v>0</v>
      </c>
      <c r="K502" t="n">
        <v>0</v>
      </c>
      <c r="L502" t="n">
        <v>0</v>
      </c>
      <c r="M502" t="n">
        <v>0</v>
      </c>
      <c r="N502" t="n">
        <v>0</v>
      </c>
      <c r="O502" t="n">
        <v>0</v>
      </c>
      <c r="P502" t="n">
        <v>0</v>
      </c>
      <c r="Q502" t="n">
        <v>0</v>
      </c>
      <c r="R502" s="2" t="inlineStr"/>
    </row>
    <row r="503" ht="15" customHeight="1">
      <c r="A503" t="inlineStr">
        <is>
          <t>A 43649-2020</t>
        </is>
      </c>
      <c r="B503" s="1" t="n">
        <v>44082</v>
      </c>
      <c r="C503" s="1" t="n">
        <v>45904</v>
      </c>
      <c r="D503" t="inlineStr">
        <is>
          <t>SÖDERMANLANDS LÄN</t>
        </is>
      </c>
      <c r="E503" t="inlineStr">
        <is>
          <t>KATRINEHOLM</t>
        </is>
      </c>
      <c r="G503" t="n">
        <v>6.9</v>
      </c>
      <c r="H503" t="n">
        <v>0</v>
      </c>
      <c r="I503" t="n">
        <v>0</v>
      </c>
      <c r="J503" t="n">
        <v>0</v>
      </c>
      <c r="K503" t="n">
        <v>0</v>
      </c>
      <c r="L503" t="n">
        <v>0</v>
      </c>
      <c r="M503" t="n">
        <v>0</v>
      </c>
      <c r="N503" t="n">
        <v>0</v>
      </c>
      <c r="O503" t="n">
        <v>0</v>
      </c>
      <c r="P503" t="n">
        <v>0</v>
      </c>
      <c r="Q503" t="n">
        <v>0</v>
      </c>
      <c r="R503" s="2" t="inlineStr"/>
    </row>
    <row r="504" ht="15" customHeight="1">
      <c r="A504" t="inlineStr">
        <is>
          <t>A 6606-2022</t>
        </is>
      </c>
      <c r="B504" s="1" t="n">
        <v>44601</v>
      </c>
      <c r="C504" s="1" t="n">
        <v>45904</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4122-2023</t>
        </is>
      </c>
      <c r="B505" s="1" t="n">
        <v>44952</v>
      </c>
      <c r="C505" s="1" t="n">
        <v>45904</v>
      </c>
      <c r="D505" t="inlineStr">
        <is>
          <t>SÖDERMANLANDS LÄN</t>
        </is>
      </c>
      <c r="E505" t="inlineStr">
        <is>
          <t>KATRINEHOLM</t>
        </is>
      </c>
      <c r="G505" t="n">
        <v>9</v>
      </c>
      <c r="H505" t="n">
        <v>0</v>
      </c>
      <c r="I505" t="n">
        <v>0</v>
      </c>
      <c r="J505" t="n">
        <v>0</v>
      </c>
      <c r="K505" t="n">
        <v>0</v>
      </c>
      <c r="L505" t="n">
        <v>0</v>
      </c>
      <c r="M505" t="n">
        <v>0</v>
      </c>
      <c r="N505" t="n">
        <v>0</v>
      </c>
      <c r="O505" t="n">
        <v>0</v>
      </c>
      <c r="P505" t="n">
        <v>0</v>
      </c>
      <c r="Q505" t="n">
        <v>0</v>
      </c>
      <c r="R505" s="2" t="inlineStr"/>
    </row>
    <row r="506" ht="15" customHeight="1">
      <c r="A506" t="inlineStr">
        <is>
          <t>A 39645-2025</t>
        </is>
      </c>
      <c r="B506" s="1" t="n">
        <v>45890</v>
      </c>
      <c r="C506" s="1" t="n">
        <v>45904</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30387-2022</t>
        </is>
      </c>
      <c r="B507" s="1" t="n">
        <v>44760</v>
      </c>
      <c r="C507" s="1" t="n">
        <v>45904</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39668-2025</t>
        </is>
      </c>
      <c r="B508" s="1" t="n">
        <v>45890</v>
      </c>
      <c r="C508" s="1" t="n">
        <v>45904</v>
      </c>
      <c r="D508" t="inlineStr">
        <is>
          <t>SÖDERMANLANDS LÄN</t>
        </is>
      </c>
      <c r="E508" t="inlineStr">
        <is>
          <t>KATRINEHOLM</t>
        </is>
      </c>
      <c r="G508" t="n">
        <v>2.9</v>
      </c>
      <c r="H508" t="n">
        <v>0</v>
      </c>
      <c r="I508" t="n">
        <v>0</v>
      </c>
      <c r="J508" t="n">
        <v>0</v>
      </c>
      <c r="K508" t="n">
        <v>0</v>
      </c>
      <c r="L508" t="n">
        <v>0</v>
      </c>
      <c r="M508" t="n">
        <v>0</v>
      </c>
      <c r="N508" t="n">
        <v>0</v>
      </c>
      <c r="O508" t="n">
        <v>0</v>
      </c>
      <c r="P508" t="n">
        <v>0</v>
      </c>
      <c r="Q508" t="n">
        <v>0</v>
      </c>
      <c r="R508" s="2" t="inlineStr"/>
    </row>
    <row r="509" ht="15" customHeight="1">
      <c r="A509" t="inlineStr">
        <is>
          <t>A 39663-2025</t>
        </is>
      </c>
      <c r="B509" s="1" t="n">
        <v>45890</v>
      </c>
      <c r="C509" s="1" t="n">
        <v>45904</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48834-2020</t>
        </is>
      </c>
      <c r="B510" s="1" t="n">
        <v>44099</v>
      </c>
      <c r="C510" s="1" t="n">
        <v>45904</v>
      </c>
      <c r="D510" t="inlineStr">
        <is>
          <t>SÖDERMANLANDS LÄN</t>
        </is>
      </c>
      <c r="E510" t="inlineStr">
        <is>
          <t>KATRINEHOLM</t>
        </is>
      </c>
      <c r="G510" t="n">
        <v>12.9</v>
      </c>
      <c r="H510" t="n">
        <v>0</v>
      </c>
      <c r="I510" t="n">
        <v>0</v>
      </c>
      <c r="J510" t="n">
        <v>0</v>
      </c>
      <c r="K510" t="n">
        <v>0</v>
      </c>
      <c r="L510" t="n">
        <v>0</v>
      </c>
      <c r="M510" t="n">
        <v>0</v>
      </c>
      <c r="N510" t="n">
        <v>0</v>
      </c>
      <c r="O510" t="n">
        <v>0</v>
      </c>
      <c r="P510" t="n">
        <v>0</v>
      </c>
      <c r="Q510" t="n">
        <v>0</v>
      </c>
      <c r="R510" s="2" t="inlineStr"/>
    </row>
    <row r="511" ht="15" customHeight="1">
      <c r="A511" t="inlineStr">
        <is>
          <t>A 23347-2023</t>
        </is>
      </c>
      <c r="B511" s="1" t="n">
        <v>45076</v>
      </c>
      <c r="C511" s="1" t="n">
        <v>45904</v>
      </c>
      <c r="D511" t="inlineStr">
        <is>
          <t>SÖDERMANLANDS LÄN</t>
        </is>
      </c>
      <c r="E511" t="inlineStr">
        <is>
          <t>KATRINEHOLM</t>
        </is>
      </c>
      <c r="G511" t="n">
        <v>4.3</v>
      </c>
      <c r="H511" t="n">
        <v>0</v>
      </c>
      <c r="I511" t="n">
        <v>0</v>
      </c>
      <c r="J511" t="n">
        <v>0</v>
      </c>
      <c r="K511" t="n">
        <v>0</v>
      </c>
      <c r="L511" t="n">
        <v>0</v>
      </c>
      <c r="M511" t="n">
        <v>0</v>
      </c>
      <c r="N511" t="n">
        <v>0</v>
      </c>
      <c r="O511" t="n">
        <v>0</v>
      </c>
      <c r="P511" t="n">
        <v>0</v>
      </c>
      <c r="Q511" t="n">
        <v>0</v>
      </c>
      <c r="R511" s="2" t="inlineStr"/>
    </row>
    <row r="512" ht="15" customHeight="1">
      <c r="A512" t="inlineStr">
        <is>
          <t>A 23916-2023</t>
        </is>
      </c>
      <c r="B512" s="1" t="n">
        <v>45075</v>
      </c>
      <c r="C512" s="1" t="n">
        <v>45904</v>
      </c>
      <c r="D512" t="inlineStr">
        <is>
          <t>SÖDERMANLANDS LÄN</t>
        </is>
      </c>
      <c r="E512" t="inlineStr">
        <is>
          <t>KATRINEHOLM</t>
        </is>
      </c>
      <c r="G512" t="n">
        <v>8</v>
      </c>
      <c r="H512" t="n">
        <v>0</v>
      </c>
      <c r="I512" t="n">
        <v>0</v>
      </c>
      <c r="J512" t="n">
        <v>0</v>
      </c>
      <c r="K512" t="n">
        <v>0</v>
      </c>
      <c r="L512" t="n">
        <v>0</v>
      </c>
      <c r="M512" t="n">
        <v>0</v>
      </c>
      <c r="N512" t="n">
        <v>0</v>
      </c>
      <c r="O512" t="n">
        <v>0</v>
      </c>
      <c r="P512" t="n">
        <v>0</v>
      </c>
      <c r="Q512" t="n">
        <v>0</v>
      </c>
      <c r="R512" s="2" t="inlineStr"/>
    </row>
    <row r="513" ht="15" customHeight="1">
      <c r="A513" t="inlineStr">
        <is>
          <t>A 61394-2024</t>
        </is>
      </c>
      <c r="B513" s="1" t="n">
        <v>45646.42061342593</v>
      </c>
      <c r="C513" s="1" t="n">
        <v>45904</v>
      </c>
      <c r="D513" t="inlineStr">
        <is>
          <t>SÖDERMANLANDS LÄN</t>
        </is>
      </c>
      <c r="E513" t="inlineStr">
        <is>
          <t>KATRINEHOLM</t>
        </is>
      </c>
      <c r="G513" t="n">
        <v>1.6</v>
      </c>
      <c r="H513" t="n">
        <v>0</v>
      </c>
      <c r="I513" t="n">
        <v>0</v>
      </c>
      <c r="J513" t="n">
        <v>0</v>
      </c>
      <c r="K513" t="n">
        <v>0</v>
      </c>
      <c r="L513" t="n">
        <v>0</v>
      </c>
      <c r="M513" t="n">
        <v>0</v>
      </c>
      <c r="N513" t="n">
        <v>0</v>
      </c>
      <c r="O513" t="n">
        <v>0</v>
      </c>
      <c r="P513" t="n">
        <v>0</v>
      </c>
      <c r="Q513" t="n">
        <v>0</v>
      </c>
      <c r="R513" s="2" t="inlineStr"/>
    </row>
    <row r="514" ht="15" customHeight="1">
      <c r="A514" t="inlineStr">
        <is>
          <t>A 33278-2024</t>
        </is>
      </c>
      <c r="B514" s="1" t="n">
        <v>45518</v>
      </c>
      <c r="C514" s="1" t="n">
        <v>45904</v>
      </c>
      <c r="D514" t="inlineStr">
        <is>
          <t>SÖDERMANLANDS LÄN</t>
        </is>
      </c>
      <c r="E514" t="inlineStr">
        <is>
          <t>KATRINEHOLM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39847-2025</t>
        </is>
      </c>
      <c r="B515" s="1" t="n">
        <v>45891.58381944444</v>
      </c>
      <c r="C515" s="1" t="n">
        <v>45904</v>
      </c>
      <c r="D515" t="inlineStr">
        <is>
          <t>SÖDERMANLANDS LÄN</t>
        </is>
      </c>
      <c r="E515" t="inlineStr">
        <is>
          <t>KATRINEHOLM</t>
        </is>
      </c>
      <c r="F515" t="inlineStr">
        <is>
          <t>Holmen skog AB</t>
        </is>
      </c>
      <c r="G515" t="n">
        <v>2.5</v>
      </c>
      <c r="H515" t="n">
        <v>0</v>
      </c>
      <c r="I515" t="n">
        <v>0</v>
      </c>
      <c r="J515" t="n">
        <v>0</v>
      </c>
      <c r="K515" t="n">
        <v>0</v>
      </c>
      <c r="L515" t="n">
        <v>0</v>
      </c>
      <c r="M515" t="n">
        <v>0</v>
      </c>
      <c r="N515" t="n">
        <v>0</v>
      </c>
      <c r="O515" t="n">
        <v>0</v>
      </c>
      <c r="P515" t="n">
        <v>0</v>
      </c>
      <c r="Q515" t="n">
        <v>0</v>
      </c>
      <c r="R515" s="2" t="inlineStr"/>
    </row>
    <row r="516" ht="15" customHeight="1">
      <c r="A516" t="inlineStr">
        <is>
          <t>A 35156-2025</t>
        </is>
      </c>
      <c r="B516" s="1" t="n">
        <v>45852</v>
      </c>
      <c r="C516" s="1" t="n">
        <v>45904</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35145-2025</t>
        </is>
      </c>
      <c r="B517" s="1" t="n">
        <v>45852</v>
      </c>
      <c r="C517" s="1" t="n">
        <v>45904</v>
      </c>
      <c r="D517" t="inlineStr">
        <is>
          <t>SÖDERMANLANDS LÄN</t>
        </is>
      </c>
      <c r="E517" t="inlineStr">
        <is>
          <t>KATRINEHOLM</t>
        </is>
      </c>
      <c r="G517" t="n">
        <v>3.1</v>
      </c>
      <c r="H517" t="n">
        <v>0</v>
      </c>
      <c r="I517" t="n">
        <v>0</v>
      </c>
      <c r="J517" t="n">
        <v>0</v>
      </c>
      <c r="K517" t="n">
        <v>0</v>
      </c>
      <c r="L517" t="n">
        <v>0</v>
      </c>
      <c r="M517" t="n">
        <v>0</v>
      </c>
      <c r="N517" t="n">
        <v>0</v>
      </c>
      <c r="O517" t="n">
        <v>0</v>
      </c>
      <c r="P517" t="n">
        <v>0</v>
      </c>
      <c r="Q517" t="n">
        <v>0</v>
      </c>
      <c r="R517" s="2" t="inlineStr"/>
    </row>
    <row r="518" ht="15" customHeight="1">
      <c r="A518" t="inlineStr">
        <is>
          <t>A 35157-2025</t>
        </is>
      </c>
      <c r="B518" s="1" t="n">
        <v>45852</v>
      </c>
      <c r="C518" s="1" t="n">
        <v>45904</v>
      </c>
      <c r="D518" t="inlineStr">
        <is>
          <t>SÖDERMANLANDS LÄN</t>
        </is>
      </c>
      <c r="E518" t="inlineStr">
        <is>
          <t>KATRINEHOLM</t>
        </is>
      </c>
      <c r="G518" t="n">
        <v>3.7</v>
      </c>
      <c r="H518" t="n">
        <v>0</v>
      </c>
      <c r="I518" t="n">
        <v>0</v>
      </c>
      <c r="J518" t="n">
        <v>0</v>
      </c>
      <c r="K518" t="n">
        <v>0</v>
      </c>
      <c r="L518" t="n">
        <v>0</v>
      </c>
      <c r="M518" t="n">
        <v>0</v>
      </c>
      <c r="N518" t="n">
        <v>0</v>
      </c>
      <c r="O518" t="n">
        <v>0</v>
      </c>
      <c r="P518" t="n">
        <v>0</v>
      </c>
      <c r="Q518" t="n">
        <v>0</v>
      </c>
      <c r="R518" s="2" t="inlineStr"/>
    </row>
    <row r="519" ht="15" customHeight="1">
      <c r="A519" t="inlineStr">
        <is>
          <t>A 931-2023</t>
        </is>
      </c>
      <c r="B519" s="1" t="n">
        <v>44932.74261574074</v>
      </c>
      <c r="C519" s="1" t="n">
        <v>45904</v>
      </c>
      <c r="D519" t="inlineStr">
        <is>
          <t>SÖDERMANLANDS LÄN</t>
        </is>
      </c>
      <c r="E519" t="inlineStr">
        <is>
          <t>KATRINEHOLM</t>
        </is>
      </c>
      <c r="G519" t="n">
        <v>4</v>
      </c>
      <c r="H519" t="n">
        <v>0</v>
      </c>
      <c r="I519" t="n">
        <v>0</v>
      </c>
      <c r="J519" t="n">
        <v>0</v>
      </c>
      <c r="K519" t="n">
        <v>0</v>
      </c>
      <c r="L519" t="n">
        <v>0</v>
      </c>
      <c r="M519" t="n">
        <v>0</v>
      </c>
      <c r="N519" t="n">
        <v>0</v>
      </c>
      <c r="O519" t="n">
        <v>0</v>
      </c>
      <c r="P519" t="n">
        <v>0</v>
      </c>
      <c r="Q519" t="n">
        <v>0</v>
      </c>
      <c r="R519" s="2" t="inlineStr"/>
    </row>
    <row r="520" ht="15" customHeight="1">
      <c r="A520" t="inlineStr">
        <is>
          <t>A 35084-2025</t>
        </is>
      </c>
      <c r="B520" s="1" t="n">
        <v>45852</v>
      </c>
      <c r="C520" s="1" t="n">
        <v>45904</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35149-2025</t>
        </is>
      </c>
      <c r="B521" s="1" t="n">
        <v>45852</v>
      </c>
      <c r="C521" s="1" t="n">
        <v>45904</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35161-2025</t>
        </is>
      </c>
      <c r="B522" s="1" t="n">
        <v>45852.70716435185</v>
      </c>
      <c r="C522" s="1" t="n">
        <v>45904</v>
      </c>
      <c r="D522" t="inlineStr">
        <is>
          <t>SÖDERMANLANDS LÄN</t>
        </is>
      </c>
      <c r="E522" t="inlineStr">
        <is>
          <t>KATRINEHOLM</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35152-2025</t>
        </is>
      </c>
      <c r="B523" s="1" t="n">
        <v>45852</v>
      </c>
      <c r="C523" s="1" t="n">
        <v>45904</v>
      </c>
      <c r="D523" t="inlineStr">
        <is>
          <t>SÖDERMANLANDS LÄN</t>
        </is>
      </c>
      <c r="E523" t="inlineStr">
        <is>
          <t>KATRINEHOLM</t>
        </is>
      </c>
      <c r="G523" t="n">
        <v>4.6</v>
      </c>
      <c r="H523" t="n">
        <v>0</v>
      </c>
      <c r="I523" t="n">
        <v>0</v>
      </c>
      <c r="J523" t="n">
        <v>0</v>
      </c>
      <c r="K523" t="n">
        <v>0</v>
      </c>
      <c r="L523" t="n">
        <v>0</v>
      </c>
      <c r="M523" t="n">
        <v>0</v>
      </c>
      <c r="N523" t="n">
        <v>0</v>
      </c>
      <c r="O523" t="n">
        <v>0</v>
      </c>
      <c r="P523" t="n">
        <v>0</v>
      </c>
      <c r="Q523" t="n">
        <v>0</v>
      </c>
      <c r="R523" s="2" t="inlineStr"/>
    </row>
    <row r="524" ht="15" customHeight="1">
      <c r="A524" t="inlineStr">
        <is>
          <t>A 35165-2025</t>
        </is>
      </c>
      <c r="B524" s="1" t="n">
        <v>45852.72320601852</v>
      </c>
      <c r="C524" s="1" t="n">
        <v>45904</v>
      </c>
      <c r="D524" t="inlineStr">
        <is>
          <t>SÖDERMANLANDS LÄN</t>
        </is>
      </c>
      <c r="E524" t="inlineStr">
        <is>
          <t>KATRINEHOLM</t>
        </is>
      </c>
      <c r="F524" t="inlineStr">
        <is>
          <t>Övriga Aktiebolag</t>
        </is>
      </c>
      <c r="G524" t="n">
        <v>20.7</v>
      </c>
      <c r="H524" t="n">
        <v>0</v>
      </c>
      <c r="I524" t="n">
        <v>0</v>
      </c>
      <c r="J524" t="n">
        <v>0</v>
      </c>
      <c r="K524" t="n">
        <v>0</v>
      </c>
      <c r="L524" t="n">
        <v>0</v>
      </c>
      <c r="M524" t="n">
        <v>0</v>
      </c>
      <c r="N524" t="n">
        <v>0</v>
      </c>
      <c r="O524" t="n">
        <v>0</v>
      </c>
      <c r="P524" t="n">
        <v>0</v>
      </c>
      <c r="Q524" t="n">
        <v>0</v>
      </c>
      <c r="R524" s="2" t="inlineStr"/>
    </row>
    <row r="525" ht="15" customHeight="1">
      <c r="A525" t="inlineStr">
        <is>
          <t>A 35160-2025</t>
        </is>
      </c>
      <c r="B525" s="1" t="n">
        <v>45852.70430555556</v>
      </c>
      <c r="C525" s="1" t="n">
        <v>45904</v>
      </c>
      <c r="D525" t="inlineStr">
        <is>
          <t>SÖDERMANLANDS LÄN</t>
        </is>
      </c>
      <c r="E525" t="inlineStr">
        <is>
          <t>KATRINEHOLM</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35158-2025</t>
        </is>
      </c>
      <c r="B526" s="1" t="n">
        <v>45852</v>
      </c>
      <c r="C526" s="1" t="n">
        <v>45904</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40186-2023</t>
        </is>
      </c>
      <c r="B527" s="1" t="n">
        <v>45169</v>
      </c>
      <c r="C527" s="1" t="n">
        <v>45904</v>
      </c>
      <c r="D527" t="inlineStr">
        <is>
          <t>SÖDERMANLANDS LÄN</t>
        </is>
      </c>
      <c r="E527" t="inlineStr">
        <is>
          <t>KATRINEHOLM</t>
        </is>
      </c>
      <c r="G527" t="n">
        <v>2.1</v>
      </c>
      <c r="H527" t="n">
        <v>0</v>
      </c>
      <c r="I527" t="n">
        <v>0</v>
      </c>
      <c r="J527" t="n">
        <v>0</v>
      </c>
      <c r="K527" t="n">
        <v>0</v>
      </c>
      <c r="L527" t="n">
        <v>0</v>
      </c>
      <c r="M527" t="n">
        <v>0</v>
      </c>
      <c r="N527" t="n">
        <v>0</v>
      </c>
      <c r="O527" t="n">
        <v>0</v>
      </c>
      <c r="P527" t="n">
        <v>0</v>
      </c>
      <c r="Q527" t="n">
        <v>0</v>
      </c>
      <c r="R527" s="2" t="inlineStr"/>
    </row>
    <row r="528" ht="15" customHeight="1">
      <c r="A528" t="inlineStr">
        <is>
          <t>A 38883-2024</t>
        </is>
      </c>
      <c r="B528" s="1" t="n">
        <v>45547</v>
      </c>
      <c r="C528" s="1" t="n">
        <v>45904</v>
      </c>
      <c r="D528" t="inlineStr">
        <is>
          <t>SÖDERMANLANDS LÄN</t>
        </is>
      </c>
      <c r="E528" t="inlineStr">
        <is>
          <t>KATRINEHOLM</t>
        </is>
      </c>
      <c r="G528" t="n">
        <v>3.1</v>
      </c>
      <c r="H528" t="n">
        <v>0</v>
      </c>
      <c r="I528" t="n">
        <v>0</v>
      </c>
      <c r="J528" t="n">
        <v>0</v>
      </c>
      <c r="K528" t="n">
        <v>0</v>
      </c>
      <c r="L528" t="n">
        <v>0</v>
      </c>
      <c r="M528" t="n">
        <v>0</v>
      </c>
      <c r="N528" t="n">
        <v>0</v>
      </c>
      <c r="O528" t="n">
        <v>0</v>
      </c>
      <c r="P528" t="n">
        <v>0</v>
      </c>
      <c r="Q528" t="n">
        <v>0</v>
      </c>
      <c r="R528" s="2" t="inlineStr"/>
    </row>
    <row r="529" ht="15" customHeight="1">
      <c r="A529" t="inlineStr">
        <is>
          <t>A 39737-2025</t>
        </is>
      </c>
      <c r="B529" s="1" t="n">
        <v>45891</v>
      </c>
      <c r="C529" s="1" t="n">
        <v>45904</v>
      </c>
      <c r="D529" t="inlineStr">
        <is>
          <t>SÖDERMANLANDS LÄN</t>
        </is>
      </c>
      <c r="E529" t="inlineStr">
        <is>
          <t>KATRINEHOLM</t>
        </is>
      </c>
      <c r="F529" t="inlineStr">
        <is>
          <t>Holmen skog AB</t>
        </is>
      </c>
      <c r="G529" t="n">
        <v>1.6</v>
      </c>
      <c r="H529" t="n">
        <v>0</v>
      </c>
      <c r="I529" t="n">
        <v>0</v>
      </c>
      <c r="J529" t="n">
        <v>0</v>
      </c>
      <c r="K529" t="n">
        <v>0</v>
      </c>
      <c r="L529" t="n">
        <v>0</v>
      </c>
      <c r="M529" t="n">
        <v>0</v>
      </c>
      <c r="N529" t="n">
        <v>0</v>
      </c>
      <c r="O529" t="n">
        <v>0</v>
      </c>
      <c r="P529" t="n">
        <v>0</v>
      </c>
      <c r="Q529" t="n">
        <v>0</v>
      </c>
      <c r="R529" s="2" t="inlineStr"/>
    </row>
    <row r="530" ht="15" customHeight="1">
      <c r="A530" t="inlineStr">
        <is>
          <t>A 6796-2022</t>
        </is>
      </c>
      <c r="B530" s="1" t="n">
        <v>44602</v>
      </c>
      <c r="C530" s="1" t="n">
        <v>45904</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52857-2021</t>
        </is>
      </c>
      <c r="B531" s="1" t="n">
        <v>44466</v>
      </c>
      <c r="C531" s="1" t="n">
        <v>45904</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49700-2022</t>
        </is>
      </c>
      <c r="B532" s="1" t="n">
        <v>44862</v>
      </c>
      <c r="C532" s="1" t="n">
        <v>45904</v>
      </c>
      <c r="D532" t="inlineStr">
        <is>
          <t>SÖDERMANLANDS LÄN</t>
        </is>
      </c>
      <c r="E532" t="inlineStr">
        <is>
          <t>KATRINEHOLM</t>
        </is>
      </c>
      <c r="G532" t="n">
        <v>19.5</v>
      </c>
      <c r="H532" t="n">
        <v>0</v>
      </c>
      <c r="I532" t="n">
        <v>0</v>
      </c>
      <c r="J532" t="n">
        <v>0</v>
      </c>
      <c r="K532" t="n">
        <v>0</v>
      </c>
      <c r="L532" t="n">
        <v>0</v>
      </c>
      <c r="M532" t="n">
        <v>0</v>
      </c>
      <c r="N532" t="n">
        <v>0</v>
      </c>
      <c r="O532" t="n">
        <v>0</v>
      </c>
      <c r="P532" t="n">
        <v>0</v>
      </c>
      <c r="Q532" t="n">
        <v>0</v>
      </c>
      <c r="R532" s="2" t="inlineStr"/>
    </row>
    <row r="533" ht="15" customHeight="1">
      <c r="A533" t="inlineStr">
        <is>
          <t>A 34439-2025</t>
        </is>
      </c>
      <c r="B533" s="1" t="n">
        <v>45845</v>
      </c>
      <c r="C533" s="1" t="n">
        <v>45904</v>
      </c>
      <c r="D533" t="inlineStr">
        <is>
          <t>SÖDERMANLANDS LÄN</t>
        </is>
      </c>
      <c r="E533" t="inlineStr">
        <is>
          <t>KATRINEHOLM</t>
        </is>
      </c>
      <c r="G533" t="n">
        <v>1.4</v>
      </c>
      <c r="H533" t="n">
        <v>0</v>
      </c>
      <c r="I533" t="n">
        <v>0</v>
      </c>
      <c r="J533" t="n">
        <v>0</v>
      </c>
      <c r="K533" t="n">
        <v>0</v>
      </c>
      <c r="L533" t="n">
        <v>0</v>
      </c>
      <c r="M533" t="n">
        <v>0</v>
      </c>
      <c r="N533" t="n">
        <v>0</v>
      </c>
      <c r="O533" t="n">
        <v>0</v>
      </c>
      <c r="P533" t="n">
        <v>0</v>
      </c>
      <c r="Q533" t="n">
        <v>0</v>
      </c>
      <c r="R533" s="2" t="inlineStr"/>
    </row>
    <row r="534" ht="15" customHeight="1">
      <c r="A534" t="inlineStr">
        <is>
          <t>A 35228-2025</t>
        </is>
      </c>
      <c r="B534" s="1" t="n">
        <v>45853</v>
      </c>
      <c r="C534" s="1" t="n">
        <v>45904</v>
      </c>
      <c r="D534" t="inlineStr">
        <is>
          <t>SÖDERMANLANDS LÄN</t>
        </is>
      </c>
      <c r="E534" t="inlineStr">
        <is>
          <t>KATRINEHOLM</t>
        </is>
      </c>
      <c r="G534" t="n">
        <v>1.1</v>
      </c>
      <c r="H534" t="n">
        <v>0</v>
      </c>
      <c r="I534" t="n">
        <v>0</v>
      </c>
      <c r="J534" t="n">
        <v>0</v>
      </c>
      <c r="K534" t="n">
        <v>0</v>
      </c>
      <c r="L534" t="n">
        <v>0</v>
      </c>
      <c r="M534" t="n">
        <v>0</v>
      </c>
      <c r="N534" t="n">
        <v>0</v>
      </c>
      <c r="O534" t="n">
        <v>0</v>
      </c>
      <c r="P534" t="n">
        <v>0</v>
      </c>
      <c r="Q534" t="n">
        <v>0</v>
      </c>
      <c r="R534" s="2" t="inlineStr"/>
    </row>
    <row r="535" ht="15" customHeight="1">
      <c r="A535" t="inlineStr">
        <is>
          <t>A 27955-2023</t>
        </is>
      </c>
      <c r="B535" s="1" t="n">
        <v>45098</v>
      </c>
      <c r="C535" s="1" t="n">
        <v>45904</v>
      </c>
      <c r="D535" t="inlineStr">
        <is>
          <t>SÖDERMANLANDS LÄN</t>
        </is>
      </c>
      <c r="E535" t="inlineStr">
        <is>
          <t>KATRINEHOLM</t>
        </is>
      </c>
      <c r="G535" t="n">
        <v>5.9</v>
      </c>
      <c r="H535" t="n">
        <v>0</v>
      </c>
      <c r="I535" t="n">
        <v>0</v>
      </c>
      <c r="J535" t="n">
        <v>0</v>
      </c>
      <c r="K535" t="n">
        <v>0</v>
      </c>
      <c r="L535" t="n">
        <v>0</v>
      </c>
      <c r="M535" t="n">
        <v>0</v>
      </c>
      <c r="N535" t="n">
        <v>0</v>
      </c>
      <c r="O535" t="n">
        <v>0</v>
      </c>
      <c r="P535" t="n">
        <v>0</v>
      </c>
      <c r="Q535" t="n">
        <v>0</v>
      </c>
      <c r="R535" s="2" t="inlineStr"/>
    </row>
    <row r="536" ht="15" customHeight="1">
      <c r="A536" t="inlineStr">
        <is>
          <t>A 42015-2022</t>
        </is>
      </c>
      <c r="B536" s="1" t="n">
        <v>44830.4649074074</v>
      </c>
      <c r="C536" s="1" t="n">
        <v>45904</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42020-2022</t>
        </is>
      </c>
      <c r="B537" s="1" t="n">
        <v>44830.46849537037</v>
      </c>
      <c r="C537" s="1" t="n">
        <v>45904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8394-2024</t>
        </is>
      </c>
      <c r="B538" s="1" t="n">
        <v>45352</v>
      </c>
      <c r="C538" s="1" t="n">
        <v>45904</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33141-2023</t>
        </is>
      </c>
      <c r="B539" s="1" t="n">
        <v>45126.65491898148</v>
      </c>
      <c r="C539" s="1" t="n">
        <v>45904</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14239-2024</t>
        </is>
      </c>
      <c r="B540" s="1" t="n">
        <v>45393</v>
      </c>
      <c r="C540" s="1" t="n">
        <v>45904</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14248-2024</t>
        </is>
      </c>
      <c r="B541" s="1" t="n">
        <v>45393</v>
      </c>
      <c r="C541" s="1" t="n">
        <v>45904</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25716-2022</t>
        </is>
      </c>
      <c r="B542" s="1" t="n">
        <v>44733.39600694444</v>
      </c>
      <c r="C542" s="1" t="n">
        <v>45904</v>
      </c>
      <c r="D542" t="inlineStr">
        <is>
          <t>SÖDERMANLANDS LÄN</t>
        </is>
      </c>
      <c r="E542" t="inlineStr">
        <is>
          <t>KATRINEHOLM</t>
        </is>
      </c>
      <c r="G542" t="n">
        <v>3.4</v>
      </c>
      <c r="H542" t="n">
        <v>0</v>
      </c>
      <c r="I542" t="n">
        <v>0</v>
      </c>
      <c r="J542" t="n">
        <v>0</v>
      </c>
      <c r="K542" t="n">
        <v>0</v>
      </c>
      <c r="L542" t="n">
        <v>0</v>
      </c>
      <c r="M542" t="n">
        <v>0</v>
      </c>
      <c r="N542" t="n">
        <v>0</v>
      </c>
      <c r="O542" t="n">
        <v>0</v>
      </c>
      <c r="P542" t="n">
        <v>0</v>
      </c>
      <c r="Q542" t="n">
        <v>0</v>
      </c>
      <c r="R542" s="2" t="inlineStr"/>
    </row>
    <row r="543" ht="15" customHeight="1">
      <c r="A543" t="inlineStr">
        <is>
          <t>A 23842-2023</t>
        </is>
      </c>
      <c r="B543" s="1" t="n">
        <v>45075</v>
      </c>
      <c r="C543" s="1" t="n">
        <v>45904</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46899-2022</t>
        </is>
      </c>
      <c r="B544" s="1" t="n">
        <v>44848</v>
      </c>
      <c r="C544" s="1" t="n">
        <v>45904</v>
      </c>
      <c r="D544" t="inlineStr">
        <is>
          <t>SÖDERMANLANDS LÄN</t>
        </is>
      </c>
      <c r="E544" t="inlineStr">
        <is>
          <t>KATRINEHOLM</t>
        </is>
      </c>
      <c r="G544" t="n">
        <v>2</v>
      </c>
      <c r="H544" t="n">
        <v>0</v>
      </c>
      <c r="I544" t="n">
        <v>0</v>
      </c>
      <c r="J544" t="n">
        <v>0</v>
      </c>
      <c r="K544" t="n">
        <v>0</v>
      </c>
      <c r="L544" t="n">
        <v>0</v>
      </c>
      <c r="M544" t="n">
        <v>0</v>
      </c>
      <c r="N544" t="n">
        <v>0</v>
      </c>
      <c r="O544" t="n">
        <v>0</v>
      </c>
      <c r="P544" t="n">
        <v>0</v>
      </c>
      <c r="Q544" t="n">
        <v>0</v>
      </c>
      <c r="R544" s="2" t="inlineStr"/>
    </row>
    <row r="545" ht="15" customHeight="1">
      <c r="A545" t="inlineStr">
        <is>
          <t>A 46700-2023</t>
        </is>
      </c>
      <c r="B545" s="1" t="n">
        <v>45194</v>
      </c>
      <c r="C545" s="1" t="n">
        <v>45904</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9714-2024</t>
        </is>
      </c>
      <c r="B546" s="1" t="n">
        <v>45362</v>
      </c>
      <c r="C546" s="1" t="n">
        <v>45904</v>
      </c>
      <c r="D546" t="inlineStr">
        <is>
          <t>SÖDERMANLANDS LÄN</t>
        </is>
      </c>
      <c r="E546" t="inlineStr">
        <is>
          <t>KATRINEHOLM</t>
        </is>
      </c>
      <c r="G546" t="n">
        <v>4</v>
      </c>
      <c r="H546" t="n">
        <v>0</v>
      </c>
      <c r="I546" t="n">
        <v>0</v>
      </c>
      <c r="J546" t="n">
        <v>0</v>
      </c>
      <c r="K546" t="n">
        <v>0</v>
      </c>
      <c r="L546" t="n">
        <v>0</v>
      </c>
      <c r="M546" t="n">
        <v>0</v>
      </c>
      <c r="N546" t="n">
        <v>0</v>
      </c>
      <c r="O546" t="n">
        <v>0</v>
      </c>
      <c r="P546" t="n">
        <v>0</v>
      </c>
      <c r="Q546" t="n">
        <v>0</v>
      </c>
      <c r="R546" s="2" t="inlineStr"/>
    </row>
    <row r="547" ht="15" customHeight="1">
      <c r="A547" t="inlineStr">
        <is>
          <t>A 39897-2023</t>
        </is>
      </c>
      <c r="B547" s="1" t="n">
        <v>45168</v>
      </c>
      <c r="C547" s="1" t="n">
        <v>45904</v>
      </c>
      <c r="D547" t="inlineStr">
        <is>
          <t>SÖDERMANLANDS LÄN</t>
        </is>
      </c>
      <c r="E547" t="inlineStr">
        <is>
          <t>KATRINEHOLM</t>
        </is>
      </c>
      <c r="G547" t="n">
        <v>15.6</v>
      </c>
      <c r="H547" t="n">
        <v>0</v>
      </c>
      <c r="I547" t="n">
        <v>0</v>
      </c>
      <c r="J547" t="n">
        <v>0</v>
      </c>
      <c r="K547" t="n">
        <v>0</v>
      </c>
      <c r="L547" t="n">
        <v>0</v>
      </c>
      <c r="M547" t="n">
        <v>0</v>
      </c>
      <c r="N547" t="n">
        <v>0</v>
      </c>
      <c r="O547" t="n">
        <v>0</v>
      </c>
      <c r="P547" t="n">
        <v>0</v>
      </c>
      <c r="Q547" t="n">
        <v>0</v>
      </c>
      <c r="R547" s="2" t="inlineStr"/>
    </row>
    <row r="548" ht="15" customHeight="1">
      <c r="A548" t="inlineStr">
        <is>
          <t>A 2735-2025</t>
        </is>
      </c>
      <c r="B548" s="1" t="n">
        <v>45677</v>
      </c>
      <c r="C548" s="1" t="n">
        <v>45904</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20326-2023</t>
        </is>
      </c>
      <c r="B549" s="1" t="n">
        <v>45056.46821759259</v>
      </c>
      <c r="C549" s="1" t="n">
        <v>45904</v>
      </c>
      <c r="D549" t="inlineStr">
        <is>
          <t>SÖDERMANLANDS LÄN</t>
        </is>
      </c>
      <c r="E549" t="inlineStr">
        <is>
          <t>KATRINEHOLM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67337-2021</t>
        </is>
      </c>
      <c r="B550" s="1" t="n">
        <v>44523</v>
      </c>
      <c r="C550" s="1" t="n">
        <v>45904</v>
      </c>
      <c r="D550" t="inlineStr">
        <is>
          <t>SÖDERMANLANDS LÄN</t>
        </is>
      </c>
      <c r="E550" t="inlineStr">
        <is>
          <t>KATRINEHOLM</t>
        </is>
      </c>
      <c r="G550" t="n">
        <v>5.2</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45904</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69117-2021</t>
        </is>
      </c>
      <c r="B552" s="1" t="n">
        <v>44530.82445601852</v>
      </c>
      <c r="C552" s="1" t="n">
        <v>45904</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12559-2023</t>
        </is>
      </c>
      <c r="B553" s="1" t="n">
        <v>45000.36373842593</v>
      </c>
      <c r="C553" s="1" t="n">
        <v>45904</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45904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11872-2023</t>
        </is>
      </c>
      <c r="B555" s="1" t="n">
        <v>44995</v>
      </c>
      <c r="C555" s="1" t="n">
        <v>45904</v>
      </c>
      <c r="D555" t="inlineStr">
        <is>
          <t>SÖDERMANLANDS LÄN</t>
        </is>
      </c>
      <c r="E555" t="inlineStr">
        <is>
          <t>KATRINEHOLM</t>
        </is>
      </c>
      <c r="F555" t="inlineStr">
        <is>
          <t>Kommuner</t>
        </is>
      </c>
      <c r="G555" t="n">
        <v>0.9</v>
      </c>
      <c r="H555" t="n">
        <v>0</v>
      </c>
      <c r="I555" t="n">
        <v>0</v>
      </c>
      <c r="J555" t="n">
        <v>0</v>
      </c>
      <c r="K555" t="n">
        <v>0</v>
      </c>
      <c r="L555" t="n">
        <v>0</v>
      </c>
      <c r="M555" t="n">
        <v>0</v>
      </c>
      <c r="N555" t="n">
        <v>0</v>
      </c>
      <c r="O555" t="n">
        <v>0</v>
      </c>
      <c r="P555" t="n">
        <v>0</v>
      </c>
      <c r="Q555" t="n">
        <v>0</v>
      </c>
      <c r="R555" s="2" t="inlineStr"/>
    </row>
    <row r="556" ht="15" customHeight="1">
      <c r="A556" t="inlineStr">
        <is>
          <t>A 51848-2022</t>
        </is>
      </c>
      <c r="B556" s="1" t="n">
        <v>44872.57752314815</v>
      </c>
      <c r="C556" s="1" t="n">
        <v>45904</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50032-2022</t>
        </is>
      </c>
      <c r="B557" s="1" t="n">
        <v>44860</v>
      </c>
      <c r="C557" s="1" t="n">
        <v>45904</v>
      </c>
      <c r="D557" t="inlineStr">
        <is>
          <t>SÖDERMANLANDS LÄN</t>
        </is>
      </c>
      <c r="E557" t="inlineStr">
        <is>
          <t>KATRINEHOLM</t>
        </is>
      </c>
      <c r="G557" t="n">
        <v>7.5</v>
      </c>
      <c r="H557" t="n">
        <v>0</v>
      </c>
      <c r="I557" t="n">
        <v>0</v>
      </c>
      <c r="J557" t="n">
        <v>0</v>
      </c>
      <c r="K557" t="n">
        <v>0</v>
      </c>
      <c r="L557" t="n">
        <v>0</v>
      </c>
      <c r="M557" t="n">
        <v>0</v>
      </c>
      <c r="N557" t="n">
        <v>0</v>
      </c>
      <c r="O557" t="n">
        <v>0</v>
      </c>
      <c r="P557" t="n">
        <v>0</v>
      </c>
      <c r="Q557" t="n">
        <v>0</v>
      </c>
      <c r="R557" s="2" t="inlineStr"/>
    </row>
    <row r="558" ht="15" customHeight="1">
      <c r="A558" t="inlineStr">
        <is>
          <t>A 41074-2025</t>
        </is>
      </c>
      <c r="B558" s="1" t="n">
        <v>45898.42240740741</v>
      </c>
      <c r="C558" s="1" t="n">
        <v>45904</v>
      </c>
      <c r="D558" t="inlineStr">
        <is>
          <t>SÖDERMANLANDS LÄN</t>
        </is>
      </c>
      <c r="E558" t="inlineStr">
        <is>
          <t>KATRINEHOLM</t>
        </is>
      </c>
      <c r="F558" t="inlineStr">
        <is>
          <t>Allmännings- och besparingsskogar</t>
        </is>
      </c>
      <c r="G558" t="n">
        <v>4.8</v>
      </c>
      <c r="H558" t="n">
        <v>0</v>
      </c>
      <c r="I558" t="n">
        <v>0</v>
      </c>
      <c r="J558" t="n">
        <v>0</v>
      </c>
      <c r="K558" t="n">
        <v>0</v>
      </c>
      <c r="L558" t="n">
        <v>0</v>
      </c>
      <c r="M558" t="n">
        <v>0</v>
      </c>
      <c r="N558" t="n">
        <v>0</v>
      </c>
      <c r="O558" t="n">
        <v>0</v>
      </c>
      <c r="P558" t="n">
        <v>0</v>
      </c>
      <c r="Q558" t="n">
        <v>0</v>
      </c>
      <c r="R558" s="2" t="inlineStr"/>
    </row>
    <row r="559" ht="15" customHeight="1">
      <c r="A559" t="inlineStr">
        <is>
          <t>A 50804-2023</t>
        </is>
      </c>
      <c r="B559" s="1" t="n">
        <v>45211</v>
      </c>
      <c r="C559" s="1" t="n">
        <v>45904</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16087-2023</t>
        </is>
      </c>
      <c r="B560" s="1" t="n">
        <v>45026</v>
      </c>
      <c r="C560" s="1" t="n">
        <v>45904</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41498-2025</t>
        </is>
      </c>
      <c r="B561" s="1" t="n">
        <v>45901.49755787037</v>
      </c>
      <c r="C561" s="1" t="n">
        <v>45904</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21959-2022</t>
        </is>
      </c>
      <c r="B562" s="1" t="n">
        <v>44708</v>
      </c>
      <c r="C562" s="1" t="n">
        <v>45904</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41548-2025</t>
        </is>
      </c>
      <c r="B563" s="1" t="n">
        <v>45901</v>
      </c>
      <c r="C563" s="1" t="n">
        <v>45904</v>
      </c>
      <c r="D563" t="inlineStr">
        <is>
          <t>SÖDERMANLANDS LÄN</t>
        </is>
      </c>
      <c r="E563" t="inlineStr">
        <is>
          <t>KATRINEHOLM</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41648-2025</t>
        </is>
      </c>
      <c r="B564" s="1" t="n">
        <v>45902.32601851852</v>
      </c>
      <c r="C564" s="1" t="n">
        <v>45904</v>
      </c>
      <c r="D564" t="inlineStr">
        <is>
          <t>SÖDERMANLANDS LÄN</t>
        </is>
      </c>
      <c r="E564" t="inlineStr">
        <is>
          <t>KATRINEHOLM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34176-2025</t>
        </is>
      </c>
      <c r="B565" s="1" t="n">
        <v>45845</v>
      </c>
      <c r="C565" s="1" t="n">
        <v>45904</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41632-2025</t>
        </is>
      </c>
      <c r="B566" s="1" t="n">
        <v>45901</v>
      </c>
      <c r="C566" s="1" t="n">
        <v>45904</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41633-2025</t>
        </is>
      </c>
      <c r="B567" s="1" t="n">
        <v>45901</v>
      </c>
      <c r="C567" s="1" t="n">
        <v>45904</v>
      </c>
      <c r="D567" t="inlineStr">
        <is>
          <t>SÖDERMANLANDS LÄN</t>
        </is>
      </c>
      <c r="E567" t="inlineStr">
        <is>
          <t>KATRINEHOLM</t>
        </is>
      </c>
      <c r="G567" t="n">
        <v>2.1</v>
      </c>
      <c r="H567" t="n">
        <v>0</v>
      </c>
      <c r="I567" t="n">
        <v>0</v>
      </c>
      <c r="J567" t="n">
        <v>0</v>
      </c>
      <c r="K567" t="n">
        <v>0</v>
      </c>
      <c r="L567" t="n">
        <v>0</v>
      </c>
      <c r="M567" t="n">
        <v>0</v>
      </c>
      <c r="N567" t="n">
        <v>0</v>
      </c>
      <c r="O567" t="n">
        <v>0</v>
      </c>
      <c r="P567" t="n">
        <v>0</v>
      </c>
      <c r="Q567" t="n">
        <v>0</v>
      </c>
      <c r="R567" s="2" t="inlineStr"/>
    </row>
    <row r="568" ht="15" customHeight="1">
      <c r="A568" t="inlineStr">
        <is>
          <t>A 29502-2023</t>
        </is>
      </c>
      <c r="B568" s="1" t="n">
        <v>45106</v>
      </c>
      <c r="C568" s="1" t="n">
        <v>45904</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56074-2022</t>
        </is>
      </c>
      <c r="B569" s="1" t="n">
        <v>44889</v>
      </c>
      <c r="C569" s="1" t="n">
        <v>45904</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c r="T569">
        <f>HYPERLINK("https://klasma.github.io/Logging_0483/kartor/A 56074-2022 karta.png", "A 56074-2022")</f>
        <v/>
      </c>
      <c r="V569">
        <f>HYPERLINK("https://klasma.github.io/Logging_0483/klagomål/A 56074-2022 FSC-klagomål.docx", "A 56074-2022")</f>
        <v/>
      </c>
      <c r="W569">
        <f>HYPERLINK("https://klasma.github.io/Logging_0483/klagomålsmail/A 56074-2022 FSC-klagomål mail.docx", "A 56074-2022")</f>
        <v/>
      </c>
      <c r="X569">
        <f>HYPERLINK("https://klasma.github.io/Logging_0483/tillsyn/A 56074-2022 tillsynsbegäran.docx", "A 56074-2022")</f>
        <v/>
      </c>
      <c r="Y569">
        <f>HYPERLINK("https://klasma.github.io/Logging_0483/tillsynsmail/A 56074-2022 tillsynsbegäran mail.docx", "A 56074-2022")</f>
        <v/>
      </c>
    </row>
    <row r="570" ht="15" customHeight="1">
      <c r="A570" t="inlineStr">
        <is>
          <t>A 42451-2023</t>
        </is>
      </c>
      <c r="B570" s="1" t="n">
        <v>45180</v>
      </c>
      <c r="C570" s="1" t="n">
        <v>45904</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22506-2023</t>
        </is>
      </c>
      <c r="B571" s="1" t="n">
        <v>45071.37393518518</v>
      </c>
      <c r="C571" s="1" t="n">
        <v>45904</v>
      </c>
      <c r="D571" t="inlineStr">
        <is>
          <t>SÖDERMANLANDS LÄN</t>
        </is>
      </c>
      <c r="E571" t="inlineStr">
        <is>
          <t>KATRINEHOLM</t>
        </is>
      </c>
      <c r="F571" t="inlineStr">
        <is>
          <t>Kyrkan</t>
        </is>
      </c>
      <c r="G571" t="n">
        <v>5.9</v>
      </c>
      <c r="H571" t="n">
        <v>0</v>
      </c>
      <c r="I571" t="n">
        <v>0</v>
      </c>
      <c r="J571" t="n">
        <v>0</v>
      </c>
      <c r="K571" t="n">
        <v>0</v>
      </c>
      <c r="L571" t="n">
        <v>0</v>
      </c>
      <c r="M571" t="n">
        <v>0</v>
      </c>
      <c r="N571" t="n">
        <v>0</v>
      </c>
      <c r="O571" t="n">
        <v>0</v>
      </c>
      <c r="P571" t="n">
        <v>0</v>
      </c>
      <c r="Q571" t="n">
        <v>0</v>
      </c>
      <c r="R571" s="2" t="inlineStr"/>
    </row>
    <row r="572" ht="15" customHeight="1">
      <c r="A572" t="inlineStr">
        <is>
          <t>A 8922-2024</t>
        </is>
      </c>
      <c r="B572" s="1" t="n">
        <v>45357.38601851852</v>
      </c>
      <c r="C572" s="1" t="n">
        <v>45904</v>
      </c>
      <c r="D572" t="inlineStr">
        <is>
          <t>SÖDERMANLANDS LÄN</t>
        </is>
      </c>
      <c r="E572" t="inlineStr">
        <is>
          <t>KATRINEHOLM</t>
        </is>
      </c>
      <c r="G572" t="n">
        <v>2.2</v>
      </c>
      <c r="H572" t="n">
        <v>0</v>
      </c>
      <c r="I572" t="n">
        <v>0</v>
      </c>
      <c r="J572" t="n">
        <v>0</v>
      </c>
      <c r="K572" t="n">
        <v>0</v>
      </c>
      <c r="L572" t="n">
        <v>0</v>
      </c>
      <c r="M572" t="n">
        <v>0</v>
      </c>
      <c r="N572" t="n">
        <v>0</v>
      </c>
      <c r="O572" t="n">
        <v>0</v>
      </c>
      <c r="P572" t="n">
        <v>0</v>
      </c>
      <c r="Q572" t="n">
        <v>0</v>
      </c>
      <c r="R572" s="2" t="inlineStr"/>
    </row>
    <row r="573" ht="15" customHeight="1">
      <c r="A573" t="inlineStr">
        <is>
          <t>A 45376-2022</t>
        </is>
      </c>
      <c r="B573" s="1" t="n">
        <v>44844</v>
      </c>
      <c r="C573" s="1" t="n">
        <v>45904</v>
      </c>
      <c r="D573" t="inlineStr">
        <is>
          <t>SÖDERMANLANDS LÄN</t>
        </is>
      </c>
      <c r="E573" t="inlineStr">
        <is>
          <t>KATRINEHOLM</t>
        </is>
      </c>
      <c r="G573" t="n">
        <v>4.7</v>
      </c>
      <c r="H573" t="n">
        <v>0</v>
      </c>
      <c r="I573" t="n">
        <v>0</v>
      </c>
      <c r="J573" t="n">
        <v>0</v>
      </c>
      <c r="K573" t="n">
        <v>0</v>
      </c>
      <c r="L573" t="n">
        <v>0</v>
      </c>
      <c r="M573" t="n">
        <v>0</v>
      </c>
      <c r="N573" t="n">
        <v>0</v>
      </c>
      <c r="O573" t="n">
        <v>0</v>
      </c>
      <c r="P573" t="n">
        <v>0</v>
      </c>
      <c r="Q573" t="n">
        <v>0</v>
      </c>
      <c r="R573" s="2" t="inlineStr"/>
    </row>
    <row r="574" ht="15" customHeight="1">
      <c r="A574" t="inlineStr">
        <is>
          <t>A 26713-2024</t>
        </is>
      </c>
      <c r="B574" s="1" t="n">
        <v>45470</v>
      </c>
      <c r="C574" s="1" t="n">
        <v>45904</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39748-2022</t>
        </is>
      </c>
      <c r="B575" s="1" t="n">
        <v>44817</v>
      </c>
      <c r="C575" s="1" t="n">
        <v>45904</v>
      </c>
      <c r="D575" t="inlineStr">
        <is>
          <t>SÖDERMANLANDS LÄN</t>
        </is>
      </c>
      <c r="E575" t="inlineStr">
        <is>
          <t>KATRINEHOLM</t>
        </is>
      </c>
      <c r="G575" t="n">
        <v>10.2</v>
      </c>
      <c r="H575" t="n">
        <v>0</v>
      </c>
      <c r="I575" t="n">
        <v>0</v>
      </c>
      <c r="J575" t="n">
        <v>0</v>
      </c>
      <c r="K575" t="n">
        <v>0</v>
      </c>
      <c r="L575" t="n">
        <v>0</v>
      </c>
      <c r="M575" t="n">
        <v>0</v>
      </c>
      <c r="N575" t="n">
        <v>0</v>
      </c>
      <c r="O575" t="n">
        <v>0</v>
      </c>
      <c r="P575" t="n">
        <v>0</v>
      </c>
      <c r="Q575" t="n">
        <v>0</v>
      </c>
      <c r="R575" s="2" t="inlineStr"/>
    </row>
    <row r="576" ht="15" customHeight="1">
      <c r="A576" t="inlineStr">
        <is>
          <t>A 1151-2025</t>
        </is>
      </c>
      <c r="B576" s="1" t="n">
        <v>45666</v>
      </c>
      <c r="C576" s="1" t="n">
        <v>45904</v>
      </c>
      <c r="D576" t="inlineStr">
        <is>
          <t>SÖDERMANLANDS LÄN</t>
        </is>
      </c>
      <c r="E576" t="inlineStr">
        <is>
          <t>KATRINEHOLM</t>
        </is>
      </c>
      <c r="G576" t="n">
        <v>1.9</v>
      </c>
      <c r="H576" t="n">
        <v>0</v>
      </c>
      <c r="I576" t="n">
        <v>0</v>
      </c>
      <c r="J576" t="n">
        <v>0</v>
      </c>
      <c r="K576" t="n">
        <v>0</v>
      </c>
      <c r="L576" t="n">
        <v>0</v>
      </c>
      <c r="M576" t="n">
        <v>0</v>
      </c>
      <c r="N576" t="n">
        <v>0</v>
      </c>
      <c r="O576" t="n">
        <v>0</v>
      </c>
      <c r="P576" t="n">
        <v>0</v>
      </c>
      <c r="Q576" t="n">
        <v>0</v>
      </c>
      <c r="R576" s="2" t="inlineStr"/>
    </row>
    <row r="577" ht="15" customHeight="1">
      <c r="A577" t="inlineStr">
        <is>
          <t>A 3090-2025</t>
        </is>
      </c>
      <c r="B577" s="1" t="n">
        <v>45678</v>
      </c>
      <c r="C577" s="1" t="n">
        <v>45904</v>
      </c>
      <c r="D577" t="inlineStr">
        <is>
          <t>SÖDERMANLANDS LÄN</t>
        </is>
      </c>
      <c r="E577" t="inlineStr">
        <is>
          <t>KATRINEHOLM</t>
        </is>
      </c>
      <c r="F577" t="inlineStr">
        <is>
          <t>Kyrkan</t>
        </is>
      </c>
      <c r="G577" t="n">
        <v>6.9</v>
      </c>
      <c r="H577" t="n">
        <v>0</v>
      </c>
      <c r="I577" t="n">
        <v>0</v>
      </c>
      <c r="J577" t="n">
        <v>0</v>
      </c>
      <c r="K577" t="n">
        <v>0</v>
      </c>
      <c r="L577" t="n">
        <v>0</v>
      </c>
      <c r="M577" t="n">
        <v>0</v>
      </c>
      <c r="N577" t="n">
        <v>0</v>
      </c>
      <c r="O577" t="n">
        <v>0</v>
      </c>
      <c r="P577" t="n">
        <v>0</v>
      </c>
      <c r="Q577" t="n">
        <v>0</v>
      </c>
      <c r="R577" s="2" t="inlineStr"/>
    </row>
    <row r="578" ht="15" customHeight="1">
      <c r="A578" t="inlineStr">
        <is>
          <t>A 36133-2021</t>
        </is>
      </c>
      <c r="B578" s="1" t="n">
        <v>44386</v>
      </c>
      <c r="C578" s="1" t="n">
        <v>45904</v>
      </c>
      <c r="D578" t="inlineStr">
        <is>
          <t>SÖDERMANLANDS LÄN</t>
        </is>
      </c>
      <c r="E578" t="inlineStr">
        <is>
          <t>KATRINEHOLM</t>
        </is>
      </c>
      <c r="F578" t="inlineStr">
        <is>
          <t>Övriga Aktiebolag</t>
        </is>
      </c>
      <c r="G578" t="n">
        <v>8.9</v>
      </c>
      <c r="H578" t="n">
        <v>0</v>
      </c>
      <c r="I578" t="n">
        <v>0</v>
      </c>
      <c r="J578" t="n">
        <v>0</v>
      </c>
      <c r="K578" t="n">
        <v>0</v>
      </c>
      <c r="L578" t="n">
        <v>0</v>
      </c>
      <c r="M578" t="n">
        <v>0</v>
      </c>
      <c r="N578" t="n">
        <v>0</v>
      </c>
      <c r="O578" t="n">
        <v>0</v>
      </c>
      <c r="P578" t="n">
        <v>0</v>
      </c>
      <c r="Q578" t="n">
        <v>0</v>
      </c>
      <c r="R578" s="2" t="inlineStr"/>
    </row>
    <row r="579" ht="15" customHeight="1">
      <c r="A579" t="inlineStr">
        <is>
          <t>A 28427-2024</t>
        </is>
      </c>
      <c r="B579" s="1" t="n">
        <v>45477.64910879629</v>
      </c>
      <c r="C579" s="1" t="n">
        <v>45904</v>
      </c>
      <c r="D579" t="inlineStr">
        <is>
          <t>SÖDERMANLANDS LÄN</t>
        </is>
      </c>
      <c r="E579" t="inlineStr">
        <is>
          <t>KATRINEHOLM</t>
        </is>
      </c>
      <c r="G579" t="n">
        <v>5.9</v>
      </c>
      <c r="H579" t="n">
        <v>0</v>
      </c>
      <c r="I579" t="n">
        <v>0</v>
      </c>
      <c r="J579" t="n">
        <v>0</v>
      </c>
      <c r="K579" t="n">
        <v>0</v>
      </c>
      <c r="L579" t="n">
        <v>0</v>
      </c>
      <c r="M579" t="n">
        <v>0</v>
      </c>
      <c r="N579" t="n">
        <v>0</v>
      </c>
      <c r="O579" t="n">
        <v>0</v>
      </c>
      <c r="P579" t="n">
        <v>0</v>
      </c>
      <c r="Q579" t="n">
        <v>0</v>
      </c>
      <c r="R579" s="2" t="inlineStr"/>
    </row>
    <row r="580" ht="15" customHeight="1">
      <c r="A580" t="inlineStr">
        <is>
          <t>A 28431-2024</t>
        </is>
      </c>
      <c r="B580" s="1" t="n">
        <v>45477.65216435185</v>
      </c>
      <c r="C580" s="1" t="n">
        <v>45904</v>
      </c>
      <c r="D580" t="inlineStr">
        <is>
          <t>SÖDERMANLANDS LÄN</t>
        </is>
      </c>
      <c r="E580" t="inlineStr">
        <is>
          <t>KATRINEHOLM</t>
        </is>
      </c>
      <c r="G580" t="n">
        <v>3.5</v>
      </c>
      <c r="H580" t="n">
        <v>0</v>
      </c>
      <c r="I580" t="n">
        <v>0</v>
      </c>
      <c r="J580" t="n">
        <v>0</v>
      </c>
      <c r="K580" t="n">
        <v>0</v>
      </c>
      <c r="L580" t="n">
        <v>0</v>
      </c>
      <c r="M580" t="n">
        <v>0</v>
      </c>
      <c r="N580" t="n">
        <v>0</v>
      </c>
      <c r="O580" t="n">
        <v>0</v>
      </c>
      <c r="P580" t="n">
        <v>0</v>
      </c>
      <c r="Q580" t="n">
        <v>0</v>
      </c>
      <c r="R580" s="2" t="inlineStr"/>
    </row>
    <row r="581" ht="15" customHeight="1">
      <c r="A581" t="inlineStr">
        <is>
          <t>A 50017-2023</t>
        </is>
      </c>
      <c r="B581" s="1" t="n">
        <v>45215</v>
      </c>
      <c r="C581" s="1" t="n">
        <v>45904</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50018-2023</t>
        </is>
      </c>
      <c r="B582" s="1" t="n">
        <v>45215</v>
      </c>
      <c r="C582" s="1" t="n">
        <v>45904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29843-2023</t>
        </is>
      </c>
      <c r="B583" s="1" t="n">
        <v>45107</v>
      </c>
      <c r="C583" s="1" t="n">
        <v>45904</v>
      </c>
      <c r="D583" t="inlineStr">
        <is>
          <t>SÖDERMANLANDS LÄN</t>
        </is>
      </c>
      <c r="E583" t="inlineStr">
        <is>
          <t>KATRINEHOLM</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56628-2021</t>
        </is>
      </c>
      <c r="B584" s="1" t="n">
        <v>44480</v>
      </c>
      <c r="C584" s="1" t="n">
        <v>45904</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62418-2023</t>
        </is>
      </c>
      <c r="B585" s="1" t="n">
        <v>45268</v>
      </c>
      <c r="C585" s="1" t="n">
        <v>45904</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34981-2023</t>
        </is>
      </c>
      <c r="B586" s="1" t="n">
        <v>45142</v>
      </c>
      <c r="C586" s="1" t="n">
        <v>45904</v>
      </c>
      <c r="D586" t="inlineStr">
        <is>
          <t>SÖDERMANLANDS LÄN</t>
        </is>
      </c>
      <c r="E586" t="inlineStr">
        <is>
          <t>KATRINEHOLM</t>
        </is>
      </c>
      <c r="G586" t="n">
        <v>10</v>
      </c>
      <c r="H586" t="n">
        <v>0</v>
      </c>
      <c r="I586" t="n">
        <v>0</v>
      </c>
      <c r="J586" t="n">
        <v>0</v>
      </c>
      <c r="K586" t="n">
        <v>0</v>
      </c>
      <c r="L586" t="n">
        <v>0</v>
      </c>
      <c r="M586" t="n">
        <v>0</v>
      </c>
      <c r="N586" t="n">
        <v>0</v>
      </c>
      <c r="O586" t="n">
        <v>0</v>
      </c>
      <c r="P586" t="n">
        <v>0</v>
      </c>
      <c r="Q586" t="n">
        <v>0</v>
      </c>
      <c r="R586" s="2" t="inlineStr"/>
    </row>
    <row r="587" ht="15" customHeight="1">
      <c r="A587" t="inlineStr">
        <is>
          <t>A 48091-2024</t>
        </is>
      </c>
      <c r="B587" s="1" t="n">
        <v>45590</v>
      </c>
      <c r="C587" s="1" t="n">
        <v>45904</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31740-2022</t>
        </is>
      </c>
      <c r="B588" s="1" t="n">
        <v>44776</v>
      </c>
      <c r="C588" s="1" t="n">
        <v>45904</v>
      </c>
      <c r="D588" t="inlineStr">
        <is>
          <t>SÖDERMANLANDS LÄN</t>
        </is>
      </c>
      <c r="E588" t="inlineStr">
        <is>
          <t>KATRINEHOLM</t>
        </is>
      </c>
      <c r="G588" t="n">
        <v>1.1</v>
      </c>
      <c r="H588" t="n">
        <v>0</v>
      </c>
      <c r="I588" t="n">
        <v>0</v>
      </c>
      <c r="J588" t="n">
        <v>0</v>
      </c>
      <c r="K588" t="n">
        <v>0</v>
      </c>
      <c r="L588" t="n">
        <v>0</v>
      </c>
      <c r="M588" t="n">
        <v>0</v>
      </c>
      <c r="N588" t="n">
        <v>0</v>
      </c>
      <c r="O588" t="n">
        <v>0</v>
      </c>
      <c r="P588" t="n">
        <v>0</v>
      </c>
      <c r="Q588" t="n">
        <v>0</v>
      </c>
      <c r="R588" s="2" t="inlineStr"/>
    </row>
    <row r="589" ht="15" customHeight="1">
      <c r="A589" t="inlineStr">
        <is>
          <t>A 53750-2022</t>
        </is>
      </c>
      <c r="B589" s="1" t="n">
        <v>44875</v>
      </c>
      <c r="C589" s="1" t="n">
        <v>45904</v>
      </c>
      <c r="D589" t="inlineStr">
        <is>
          <t>SÖDERMANLANDS LÄN</t>
        </is>
      </c>
      <c r="E589" t="inlineStr">
        <is>
          <t>KATRINEHOLM</t>
        </is>
      </c>
      <c r="F589" t="inlineStr">
        <is>
          <t>Övriga Aktiebolag</t>
        </is>
      </c>
      <c r="G589" t="n">
        <v>12.6</v>
      </c>
      <c r="H589" t="n">
        <v>0</v>
      </c>
      <c r="I589" t="n">
        <v>0</v>
      </c>
      <c r="J589" t="n">
        <v>0</v>
      </c>
      <c r="K589" t="n">
        <v>0</v>
      </c>
      <c r="L589" t="n">
        <v>0</v>
      </c>
      <c r="M589" t="n">
        <v>0</v>
      </c>
      <c r="N589" t="n">
        <v>0</v>
      </c>
      <c r="O589" t="n">
        <v>0</v>
      </c>
      <c r="P589" t="n">
        <v>0</v>
      </c>
      <c r="Q589" t="n">
        <v>0</v>
      </c>
      <c r="R589" s="2" t="inlineStr"/>
    </row>
    <row r="590" ht="15" customHeight="1">
      <c r="A590" t="inlineStr">
        <is>
          <t>A 47886-2023</t>
        </is>
      </c>
      <c r="B590" s="1" t="n">
        <v>45204</v>
      </c>
      <c r="C590" s="1" t="n">
        <v>45904</v>
      </c>
      <c r="D590" t="inlineStr">
        <is>
          <t>SÖDERMANLANDS LÄN</t>
        </is>
      </c>
      <c r="E590" t="inlineStr">
        <is>
          <t>KATRINEHOLM</t>
        </is>
      </c>
      <c r="G590" t="n">
        <v>22</v>
      </c>
      <c r="H590" t="n">
        <v>0</v>
      </c>
      <c r="I590" t="n">
        <v>0</v>
      </c>
      <c r="J590" t="n">
        <v>0</v>
      </c>
      <c r="K590" t="n">
        <v>0</v>
      </c>
      <c r="L590" t="n">
        <v>0</v>
      </c>
      <c r="M590" t="n">
        <v>0</v>
      </c>
      <c r="N590" t="n">
        <v>0</v>
      </c>
      <c r="O590" t="n">
        <v>0</v>
      </c>
      <c r="P590" t="n">
        <v>0</v>
      </c>
      <c r="Q590" t="n">
        <v>0</v>
      </c>
      <c r="R590" s="2" t="inlineStr"/>
    </row>
    <row r="591" ht="15" customHeight="1">
      <c r="A591" t="inlineStr">
        <is>
          <t>A 3125-2024</t>
        </is>
      </c>
      <c r="B591" s="1" t="n">
        <v>45316</v>
      </c>
      <c r="C591" s="1" t="n">
        <v>45904</v>
      </c>
      <c r="D591" t="inlineStr">
        <is>
          <t>SÖDERMANLANDS LÄN</t>
        </is>
      </c>
      <c r="E591" t="inlineStr">
        <is>
          <t>KATRINEHOLM</t>
        </is>
      </c>
      <c r="G591" t="n">
        <v>3.4</v>
      </c>
      <c r="H591" t="n">
        <v>0</v>
      </c>
      <c r="I591" t="n">
        <v>0</v>
      </c>
      <c r="J591" t="n">
        <v>0</v>
      </c>
      <c r="K591" t="n">
        <v>0</v>
      </c>
      <c r="L591" t="n">
        <v>0</v>
      </c>
      <c r="M591" t="n">
        <v>0</v>
      </c>
      <c r="N591" t="n">
        <v>0</v>
      </c>
      <c r="O591" t="n">
        <v>0</v>
      </c>
      <c r="P591" t="n">
        <v>0</v>
      </c>
      <c r="Q591" t="n">
        <v>0</v>
      </c>
      <c r="R591" s="2" t="inlineStr"/>
    </row>
    <row r="592" ht="15" customHeight="1">
      <c r="A592" t="inlineStr">
        <is>
          <t>A 48160-2022</t>
        </is>
      </c>
      <c r="B592" s="1" t="n">
        <v>44853</v>
      </c>
      <c r="C592" s="1" t="n">
        <v>45904</v>
      </c>
      <c r="D592" t="inlineStr">
        <is>
          <t>SÖDERMANLANDS LÄN</t>
        </is>
      </c>
      <c r="E592" t="inlineStr">
        <is>
          <t>KATRINEHOLM</t>
        </is>
      </c>
      <c r="F592" t="inlineStr">
        <is>
          <t>Övriga statliga verk och myndigheter</t>
        </is>
      </c>
      <c r="G592" t="n">
        <v>2.2</v>
      </c>
      <c r="H592" t="n">
        <v>0</v>
      </c>
      <c r="I592" t="n">
        <v>0</v>
      </c>
      <c r="J592" t="n">
        <v>0</v>
      </c>
      <c r="K592" t="n">
        <v>0</v>
      </c>
      <c r="L592" t="n">
        <v>0</v>
      </c>
      <c r="M592" t="n">
        <v>0</v>
      </c>
      <c r="N592" t="n">
        <v>0</v>
      </c>
      <c r="O592" t="n">
        <v>0</v>
      </c>
      <c r="P592" t="n">
        <v>0</v>
      </c>
      <c r="Q592" t="n">
        <v>0</v>
      </c>
      <c r="R592" s="2" t="inlineStr"/>
    </row>
    <row r="593" ht="15" customHeight="1">
      <c r="A593" t="inlineStr">
        <is>
          <t>A 8087-2022</t>
        </is>
      </c>
      <c r="B593" s="1" t="n">
        <v>44609.53502314815</v>
      </c>
      <c r="C593" s="1" t="n">
        <v>45904</v>
      </c>
      <c r="D593" t="inlineStr">
        <is>
          <t>SÖDERMANLANDS LÄN</t>
        </is>
      </c>
      <c r="E593" t="inlineStr">
        <is>
          <t>KATRINEHOLM</t>
        </is>
      </c>
      <c r="G593" t="n">
        <v>0.6</v>
      </c>
      <c r="H593" t="n">
        <v>0</v>
      </c>
      <c r="I593" t="n">
        <v>0</v>
      </c>
      <c r="J593" t="n">
        <v>0</v>
      </c>
      <c r="K593" t="n">
        <v>0</v>
      </c>
      <c r="L593" t="n">
        <v>0</v>
      </c>
      <c r="M593" t="n">
        <v>0</v>
      </c>
      <c r="N593" t="n">
        <v>0</v>
      </c>
      <c r="O593" t="n">
        <v>0</v>
      </c>
      <c r="P593" t="n">
        <v>0</v>
      </c>
      <c r="Q593" t="n">
        <v>0</v>
      </c>
      <c r="R593" s="2" t="inlineStr"/>
    </row>
    <row r="594" ht="15" customHeight="1">
      <c r="A594" t="inlineStr">
        <is>
          <t>A 18339-2023</t>
        </is>
      </c>
      <c r="B594" s="1" t="n">
        <v>45041</v>
      </c>
      <c r="C594" s="1" t="n">
        <v>45904</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20460-2025</t>
        </is>
      </c>
      <c r="B595" s="1" t="n">
        <v>45775.52854166667</v>
      </c>
      <c r="C595" s="1" t="n">
        <v>45904</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49092-2024</t>
        </is>
      </c>
      <c r="B596" s="1" t="n">
        <v>45594.63619212963</v>
      </c>
      <c r="C596" s="1" t="n">
        <v>45904</v>
      </c>
      <c r="D596" t="inlineStr">
        <is>
          <t>SÖDERMANLANDS LÄN</t>
        </is>
      </c>
      <c r="E596" t="inlineStr">
        <is>
          <t>KATRINEHOLM</t>
        </is>
      </c>
      <c r="F596" t="inlineStr">
        <is>
          <t>Övriga Aktiebolag</t>
        </is>
      </c>
      <c r="G596" t="n">
        <v>0.4</v>
      </c>
      <c r="H596" t="n">
        <v>0</v>
      </c>
      <c r="I596" t="n">
        <v>0</v>
      </c>
      <c r="J596" t="n">
        <v>0</v>
      </c>
      <c r="K596" t="n">
        <v>0</v>
      </c>
      <c r="L596" t="n">
        <v>0</v>
      </c>
      <c r="M596" t="n">
        <v>0</v>
      </c>
      <c r="N596" t="n">
        <v>0</v>
      </c>
      <c r="O596" t="n">
        <v>0</v>
      </c>
      <c r="P596" t="n">
        <v>0</v>
      </c>
      <c r="Q596" t="n">
        <v>0</v>
      </c>
      <c r="R596" s="2" t="inlineStr"/>
    </row>
    <row r="597" ht="15" customHeight="1">
      <c r="A597" t="inlineStr">
        <is>
          <t>A 49095-2024</t>
        </is>
      </c>
      <c r="B597" s="1" t="n">
        <v>45594.63828703704</v>
      </c>
      <c r="C597" s="1" t="n">
        <v>45904</v>
      </c>
      <c r="D597" t="inlineStr">
        <is>
          <t>SÖDERMANLANDS LÄN</t>
        </is>
      </c>
      <c r="E597" t="inlineStr">
        <is>
          <t>KATRINEHOLM</t>
        </is>
      </c>
      <c r="F597" t="inlineStr">
        <is>
          <t>Övriga Aktiebolag</t>
        </is>
      </c>
      <c r="G597" t="n">
        <v>0.4</v>
      </c>
      <c r="H597" t="n">
        <v>0</v>
      </c>
      <c r="I597" t="n">
        <v>0</v>
      </c>
      <c r="J597" t="n">
        <v>0</v>
      </c>
      <c r="K597" t="n">
        <v>0</v>
      </c>
      <c r="L597" t="n">
        <v>0</v>
      </c>
      <c r="M597" t="n">
        <v>0</v>
      </c>
      <c r="N597" t="n">
        <v>0</v>
      </c>
      <c r="O597" t="n">
        <v>0</v>
      </c>
      <c r="P597" t="n">
        <v>0</v>
      </c>
      <c r="Q597" t="n">
        <v>0</v>
      </c>
      <c r="R597" s="2" t="inlineStr"/>
    </row>
    <row r="598" ht="15" customHeight="1">
      <c r="A598" t="inlineStr">
        <is>
          <t>A 27852-2023</t>
        </is>
      </c>
      <c r="B598" s="1" t="n">
        <v>45098</v>
      </c>
      <c r="C598" s="1" t="n">
        <v>45904</v>
      </c>
      <c r="D598" t="inlineStr">
        <is>
          <t>SÖDERMANLANDS LÄN</t>
        </is>
      </c>
      <c r="E598" t="inlineStr">
        <is>
          <t>KATRINEHOLM</t>
        </is>
      </c>
      <c r="G598" t="n">
        <v>7.4</v>
      </c>
      <c r="H598" t="n">
        <v>0</v>
      </c>
      <c r="I598" t="n">
        <v>0</v>
      </c>
      <c r="J598" t="n">
        <v>0</v>
      </c>
      <c r="K598" t="n">
        <v>0</v>
      </c>
      <c r="L598" t="n">
        <v>0</v>
      </c>
      <c r="M598" t="n">
        <v>0</v>
      </c>
      <c r="N598" t="n">
        <v>0</v>
      </c>
      <c r="O598" t="n">
        <v>0</v>
      </c>
      <c r="P598" t="n">
        <v>0</v>
      </c>
      <c r="Q598" t="n">
        <v>0</v>
      </c>
      <c r="R598" s="2" t="inlineStr"/>
    </row>
    <row r="599" ht="15" customHeight="1">
      <c r="A599" t="inlineStr">
        <is>
          <t>A 1143-2024</t>
        </is>
      </c>
      <c r="B599" s="1" t="n">
        <v>45302</v>
      </c>
      <c r="C599" s="1" t="n">
        <v>45904</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55172-2022</t>
        </is>
      </c>
      <c r="B600" s="1" t="n">
        <v>44886</v>
      </c>
      <c r="C600" s="1" t="n">
        <v>45904</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50935-2023</t>
        </is>
      </c>
      <c r="B601" s="1" t="n">
        <v>45211</v>
      </c>
      <c r="C601" s="1" t="n">
        <v>45904</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24619-2024</t>
        </is>
      </c>
      <c r="B602" s="1" t="n">
        <v>45460</v>
      </c>
      <c r="C602" s="1" t="n">
        <v>45904</v>
      </c>
      <c r="D602" t="inlineStr">
        <is>
          <t>SÖDERMANLANDS LÄN</t>
        </is>
      </c>
      <c r="E602" t="inlineStr">
        <is>
          <t>KATRINEHOLM</t>
        </is>
      </c>
      <c r="G602" t="n">
        <v>4.7</v>
      </c>
      <c r="H602" t="n">
        <v>0</v>
      </c>
      <c r="I602" t="n">
        <v>0</v>
      </c>
      <c r="J602" t="n">
        <v>0</v>
      </c>
      <c r="K602" t="n">
        <v>0</v>
      </c>
      <c r="L602" t="n">
        <v>0</v>
      </c>
      <c r="M602" t="n">
        <v>0</v>
      </c>
      <c r="N602" t="n">
        <v>0</v>
      </c>
      <c r="O602" t="n">
        <v>0</v>
      </c>
      <c r="P602" t="n">
        <v>0</v>
      </c>
      <c r="Q602" t="n">
        <v>0</v>
      </c>
      <c r="R602" s="2" t="inlineStr"/>
    </row>
    <row r="603" ht="15" customHeight="1">
      <c r="A603" t="inlineStr">
        <is>
          <t>A 6087-2021</t>
        </is>
      </c>
      <c r="B603" s="1" t="n">
        <v>44232</v>
      </c>
      <c r="C603" s="1" t="n">
        <v>45904</v>
      </c>
      <c r="D603" t="inlineStr">
        <is>
          <t>SÖDERMANLANDS LÄN</t>
        </is>
      </c>
      <c r="E603" t="inlineStr">
        <is>
          <t>KATRINEHOLM</t>
        </is>
      </c>
      <c r="G603" t="n">
        <v>2.6</v>
      </c>
      <c r="H603" t="n">
        <v>0</v>
      </c>
      <c r="I603" t="n">
        <v>0</v>
      </c>
      <c r="J603" t="n">
        <v>0</v>
      </c>
      <c r="K603" t="n">
        <v>0</v>
      </c>
      <c r="L603" t="n">
        <v>0</v>
      </c>
      <c r="M603" t="n">
        <v>0</v>
      </c>
      <c r="N603" t="n">
        <v>0</v>
      </c>
      <c r="O603" t="n">
        <v>0</v>
      </c>
      <c r="P603" t="n">
        <v>0</v>
      </c>
      <c r="Q603" t="n">
        <v>0</v>
      </c>
      <c r="R603" s="2" t="inlineStr"/>
    </row>
    <row r="604" ht="15" customHeight="1">
      <c r="A604" t="inlineStr">
        <is>
          <t>A 53843-2023</t>
        </is>
      </c>
      <c r="B604" s="1" t="n">
        <v>45230</v>
      </c>
      <c r="C604" s="1" t="n">
        <v>45904</v>
      </c>
      <c r="D604" t="inlineStr">
        <is>
          <t>SÖDERMANLANDS LÄN</t>
        </is>
      </c>
      <c r="E604" t="inlineStr">
        <is>
          <t>KATRINEHOLM</t>
        </is>
      </c>
      <c r="G604" t="n">
        <v>14.2</v>
      </c>
      <c r="H604" t="n">
        <v>0</v>
      </c>
      <c r="I604" t="n">
        <v>0</v>
      </c>
      <c r="J604" t="n">
        <v>0</v>
      </c>
      <c r="K604" t="n">
        <v>0</v>
      </c>
      <c r="L604" t="n">
        <v>0</v>
      </c>
      <c r="M604" t="n">
        <v>0</v>
      </c>
      <c r="N604" t="n">
        <v>0</v>
      </c>
      <c r="O604" t="n">
        <v>0</v>
      </c>
      <c r="P604" t="n">
        <v>0</v>
      </c>
      <c r="Q604" t="n">
        <v>0</v>
      </c>
      <c r="R604" s="2" t="inlineStr"/>
    </row>
    <row r="605" ht="15" customHeight="1">
      <c r="A605" t="inlineStr">
        <is>
          <t>A 7254-2021</t>
        </is>
      </c>
      <c r="B605" s="1" t="n">
        <v>44238</v>
      </c>
      <c r="C605" s="1" t="n">
        <v>45904</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22295-2024</t>
        </is>
      </c>
      <c r="B606" s="1" t="n">
        <v>45446.56141203704</v>
      </c>
      <c r="C606" s="1" t="n">
        <v>45904</v>
      </c>
      <c r="D606" t="inlineStr">
        <is>
          <t>SÖDERMANLANDS LÄN</t>
        </is>
      </c>
      <c r="E606" t="inlineStr">
        <is>
          <t>KATRINEHOLM</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22272-2022</t>
        </is>
      </c>
      <c r="B607" s="1" t="n">
        <v>44712</v>
      </c>
      <c r="C607" s="1" t="n">
        <v>45904</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3980-2024</t>
        </is>
      </c>
      <c r="B608" s="1" t="n">
        <v>45322</v>
      </c>
      <c r="C608" s="1" t="n">
        <v>45904</v>
      </c>
      <c r="D608" t="inlineStr">
        <is>
          <t>SÖDERMANLANDS LÄN</t>
        </is>
      </c>
      <c r="E608" t="inlineStr">
        <is>
          <t>KATRINEHOLM</t>
        </is>
      </c>
      <c r="G608" t="n">
        <v>0.4</v>
      </c>
      <c r="H608" t="n">
        <v>0</v>
      </c>
      <c r="I608" t="n">
        <v>0</v>
      </c>
      <c r="J608" t="n">
        <v>0</v>
      </c>
      <c r="K608" t="n">
        <v>0</v>
      </c>
      <c r="L608" t="n">
        <v>0</v>
      </c>
      <c r="M608" t="n">
        <v>0</v>
      </c>
      <c r="N608" t="n">
        <v>0</v>
      </c>
      <c r="O608" t="n">
        <v>0</v>
      </c>
      <c r="P608" t="n">
        <v>0</v>
      </c>
      <c r="Q608" t="n">
        <v>0</v>
      </c>
      <c r="R608" s="2" t="inlineStr"/>
    </row>
    <row r="609" ht="15" customHeight="1">
      <c r="A609" t="inlineStr">
        <is>
          <t>A 53715-2023</t>
        </is>
      </c>
      <c r="B609" s="1" t="n">
        <v>45230</v>
      </c>
      <c r="C609" s="1" t="n">
        <v>45904</v>
      </c>
      <c r="D609" t="inlineStr">
        <is>
          <t>SÖDERMANLANDS LÄN</t>
        </is>
      </c>
      <c r="E609" t="inlineStr">
        <is>
          <t>KATRINEHOLM</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58175-2024</t>
        </is>
      </c>
      <c r="B610" s="1" t="n">
        <v>45632.46648148148</v>
      </c>
      <c r="C610" s="1" t="n">
        <v>45904</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59474-2021</t>
        </is>
      </c>
      <c r="B611" s="1" t="n">
        <v>44491</v>
      </c>
      <c r="C611" s="1" t="n">
        <v>45904</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17335-2023</t>
        </is>
      </c>
      <c r="B612" s="1" t="n">
        <v>45033</v>
      </c>
      <c r="C612" s="1" t="n">
        <v>45904</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51923-2023</t>
        </is>
      </c>
      <c r="B613" s="1" t="n">
        <v>45223</v>
      </c>
      <c r="C613" s="1" t="n">
        <v>45904</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59898-2022</t>
        </is>
      </c>
      <c r="B614" s="1" t="n">
        <v>44908</v>
      </c>
      <c r="C614" s="1" t="n">
        <v>45904</v>
      </c>
      <c r="D614" t="inlineStr">
        <is>
          <t>SÖDERMANLANDS LÄN</t>
        </is>
      </c>
      <c r="E614" t="inlineStr">
        <is>
          <t>KATRINEHOLM</t>
        </is>
      </c>
      <c r="G614" t="n">
        <v>4.8</v>
      </c>
      <c r="H614" t="n">
        <v>0</v>
      </c>
      <c r="I614" t="n">
        <v>0</v>
      </c>
      <c r="J614" t="n">
        <v>0</v>
      </c>
      <c r="K614" t="n">
        <v>0</v>
      </c>
      <c r="L614" t="n">
        <v>0</v>
      </c>
      <c r="M614" t="n">
        <v>0</v>
      </c>
      <c r="N614" t="n">
        <v>0</v>
      </c>
      <c r="O614" t="n">
        <v>0</v>
      </c>
      <c r="P614" t="n">
        <v>0</v>
      </c>
      <c r="Q614" t="n">
        <v>0</v>
      </c>
      <c r="R614" s="2" t="inlineStr"/>
    </row>
    <row r="615" ht="15" customHeight="1">
      <c r="A615" t="inlineStr">
        <is>
          <t>A 27875-2024</t>
        </is>
      </c>
      <c r="B615" s="1" t="n">
        <v>45475</v>
      </c>
      <c r="C615" s="1" t="n">
        <v>45904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59887-2020</t>
        </is>
      </c>
      <c r="B616" s="1" t="n">
        <v>44151</v>
      </c>
      <c r="C616" s="1" t="n">
        <v>45904</v>
      </c>
      <c r="D616" t="inlineStr">
        <is>
          <t>SÖDERMANLANDS LÄN</t>
        </is>
      </c>
      <c r="E616" t="inlineStr">
        <is>
          <t>KATRINEHOLM</t>
        </is>
      </c>
      <c r="G616" t="n">
        <v>3.1</v>
      </c>
      <c r="H616" t="n">
        <v>0</v>
      </c>
      <c r="I616" t="n">
        <v>0</v>
      </c>
      <c r="J616" t="n">
        <v>0</v>
      </c>
      <c r="K616" t="n">
        <v>0</v>
      </c>
      <c r="L616" t="n">
        <v>0</v>
      </c>
      <c r="M616" t="n">
        <v>0</v>
      </c>
      <c r="N616" t="n">
        <v>0</v>
      </c>
      <c r="O616" t="n">
        <v>0</v>
      </c>
      <c r="P616" t="n">
        <v>0</v>
      </c>
      <c r="Q616" t="n">
        <v>0</v>
      </c>
      <c r="R616" s="2" t="inlineStr"/>
    </row>
    <row r="617" ht="15" customHeight="1">
      <c r="A617" t="inlineStr">
        <is>
          <t>A 43088-2022</t>
        </is>
      </c>
      <c r="B617" s="1" t="n">
        <v>44833</v>
      </c>
      <c r="C617" s="1" t="n">
        <v>45904</v>
      </c>
      <c r="D617" t="inlineStr">
        <is>
          <t>SÖDERMANLANDS LÄN</t>
        </is>
      </c>
      <c r="E617" t="inlineStr">
        <is>
          <t>KATRINEHOLM</t>
        </is>
      </c>
      <c r="G617" t="n">
        <v>6.6</v>
      </c>
      <c r="H617" t="n">
        <v>0</v>
      </c>
      <c r="I617" t="n">
        <v>0</v>
      </c>
      <c r="J617" t="n">
        <v>0</v>
      </c>
      <c r="K617" t="n">
        <v>0</v>
      </c>
      <c r="L617" t="n">
        <v>0</v>
      </c>
      <c r="M617" t="n">
        <v>0</v>
      </c>
      <c r="N617" t="n">
        <v>0</v>
      </c>
      <c r="O617" t="n">
        <v>0</v>
      </c>
      <c r="P617" t="n">
        <v>0</v>
      </c>
      <c r="Q617" t="n">
        <v>0</v>
      </c>
      <c r="R617" s="2" t="inlineStr"/>
    </row>
    <row r="618" ht="15" customHeight="1">
      <c r="A618" t="inlineStr">
        <is>
          <t>A 52658-2023</t>
        </is>
      </c>
      <c r="B618" s="1" t="n">
        <v>45225</v>
      </c>
      <c r="C618" s="1" t="n">
        <v>45904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61385-2023</t>
        </is>
      </c>
      <c r="B619" s="1" t="n">
        <v>45264.64241898148</v>
      </c>
      <c r="C619" s="1" t="n">
        <v>45904</v>
      </c>
      <c r="D619" t="inlineStr">
        <is>
          <t>SÖDERMANLANDS LÄN</t>
        </is>
      </c>
      <c r="E619" t="inlineStr">
        <is>
          <t>KATRINEHOLM</t>
        </is>
      </c>
      <c r="G619" t="n">
        <v>0.4</v>
      </c>
      <c r="H619" t="n">
        <v>0</v>
      </c>
      <c r="I619" t="n">
        <v>0</v>
      </c>
      <c r="J619" t="n">
        <v>0</v>
      </c>
      <c r="K619" t="n">
        <v>0</v>
      </c>
      <c r="L619" t="n">
        <v>0</v>
      </c>
      <c r="M619" t="n">
        <v>0</v>
      </c>
      <c r="N619" t="n">
        <v>0</v>
      </c>
      <c r="O619" t="n">
        <v>0</v>
      </c>
      <c r="P619" t="n">
        <v>0</v>
      </c>
      <c r="Q619" t="n">
        <v>0</v>
      </c>
      <c r="R619" s="2" t="inlineStr"/>
    </row>
    <row r="620" ht="15" customHeight="1">
      <c r="A620" t="inlineStr">
        <is>
          <t>A 73412-2021</t>
        </is>
      </c>
      <c r="B620" s="1" t="n">
        <v>44551</v>
      </c>
      <c r="C620" s="1" t="n">
        <v>45904</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48030-2022</t>
        </is>
      </c>
      <c r="B621" s="1" t="n">
        <v>44855</v>
      </c>
      <c r="C621" s="1" t="n">
        <v>45904</v>
      </c>
      <c r="D621" t="inlineStr">
        <is>
          <t>SÖDERMANLANDS LÄN</t>
        </is>
      </c>
      <c r="E621" t="inlineStr">
        <is>
          <t>KATRINEHOLM</t>
        </is>
      </c>
      <c r="F621" t="inlineStr">
        <is>
          <t>Allmännings- och besparingsskogar</t>
        </is>
      </c>
      <c r="G621" t="n">
        <v>1.5</v>
      </c>
      <c r="H621" t="n">
        <v>0</v>
      </c>
      <c r="I621" t="n">
        <v>0</v>
      </c>
      <c r="J621" t="n">
        <v>0</v>
      </c>
      <c r="K621" t="n">
        <v>0</v>
      </c>
      <c r="L621" t="n">
        <v>0</v>
      </c>
      <c r="M621" t="n">
        <v>0</v>
      </c>
      <c r="N621" t="n">
        <v>0</v>
      </c>
      <c r="O621" t="n">
        <v>0</v>
      </c>
      <c r="P621" t="n">
        <v>0</v>
      </c>
      <c r="Q621" t="n">
        <v>0</v>
      </c>
      <c r="R621" s="2" t="inlineStr"/>
    </row>
    <row r="622" ht="15" customHeight="1">
      <c r="A622" t="inlineStr">
        <is>
          <t>A 28995-2024</t>
        </is>
      </c>
      <c r="B622" s="1" t="n">
        <v>45481.49899305555</v>
      </c>
      <c r="C622" s="1" t="n">
        <v>45904</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28597-2024</t>
        </is>
      </c>
      <c r="B623" s="1" t="n">
        <v>45478</v>
      </c>
      <c r="C623" s="1" t="n">
        <v>45904</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49341-2024</t>
        </is>
      </c>
      <c r="B624" s="1" t="n">
        <v>45595</v>
      </c>
      <c r="C624" s="1" t="n">
        <v>45904</v>
      </c>
      <c r="D624" t="inlineStr">
        <is>
          <t>SÖDERMANLANDS LÄN</t>
        </is>
      </c>
      <c r="E624" t="inlineStr">
        <is>
          <t>KATRINEHOLM</t>
        </is>
      </c>
      <c r="G624" t="n">
        <v>10</v>
      </c>
      <c r="H624" t="n">
        <v>0</v>
      </c>
      <c r="I624" t="n">
        <v>0</v>
      </c>
      <c r="J624" t="n">
        <v>0</v>
      </c>
      <c r="K624" t="n">
        <v>0</v>
      </c>
      <c r="L624" t="n">
        <v>0</v>
      </c>
      <c r="M624" t="n">
        <v>0</v>
      </c>
      <c r="N624" t="n">
        <v>0</v>
      </c>
      <c r="O624" t="n">
        <v>0</v>
      </c>
      <c r="P624" t="n">
        <v>0</v>
      </c>
      <c r="Q624" t="n">
        <v>0</v>
      </c>
      <c r="R624" s="2" t="inlineStr"/>
    </row>
    <row r="625" ht="15" customHeight="1">
      <c r="A625" t="inlineStr">
        <is>
          <t>A 10932-2023</t>
        </is>
      </c>
      <c r="B625" s="1" t="n">
        <v>44985</v>
      </c>
      <c r="C625" s="1" t="n">
        <v>45904</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36767-2022</t>
        </is>
      </c>
      <c r="B626" s="1" t="n">
        <v>44805</v>
      </c>
      <c r="C626" s="1" t="n">
        <v>45904</v>
      </c>
      <c r="D626" t="inlineStr">
        <is>
          <t>SÖDERMANLANDS LÄN</t>
        </is>
      </c>
      <c r="E626" t="inlineStr">
        <is>
          <t>KATRINEHOLM</t>
        </is>
      </c>
      <c r="G626" t="n">
        <v>1.1</v>
      </c>
      <c r="H626" t="n">
        <v>0</v>
      </c>
      <c r="I626" t="n">
        <v>0</v>
      </c>
      <c r="J626" t="n">
        <v>0</v>
      </c>
      <c r="K626" t="n">
        <v>0</v>
      </c>
      <c r="L626" t="n">
        <v>0</v>
      </c>
      <c r="M626" t="n">
        <v>0</v>
      </c>
      <c r="N626" t="n">
        <v>0</v>
      </c>
      <c r="O626" t="n">
        <v>0</v>
      </c>
      <c r="P626" t="n">
        <v>0</v>
      </c>
      <c r="Q626" t="n">
        <v>0</v>
      </c>
      <c r="R626" s="2" t="inlineStr"/>
    </row>
    <row r="627" ht="15" customHeight="1">
      <c r="A627" t="inlineStr">
        <is>
          <t>A 5834-2025</t>
        </is>
      </c>
      <c r="B627" s="1" t="n">
        <v>45694</v>
      </c>
      <c r="C627" s="1" t="n">
        <v>45904</v>
      </c>
      <c r="D627" t="inlineStr">
        <is>
          <t>SÖDERMANLANDS LÄN</t>
        </is>
      </c>
      <c r="E627" t="inlineStr">
        <is>
          <t>KATRINEHOLM</t>
        </is>
      </c>
      <c r="G627" t="n">
        <v>3.3</v>
      </c>
      <c r="H627" t="n">
        <v>0</v>
      </c>
      <c r="I627" t="n">
        <v>0</v>
      </c>
      <c r="J627" t="n">
        <v>0</v>
      </c>
      <c r="K627" t="n">
        <v>0</v>
      </c>
      <c r="L627" t="n">
        <v>0</v>
      </c>
      <c r="M627" t="n">
        <v>0</v>
      </c>
      <c r="N627" t="n">
        <v>0</v>
      </c>
      <c r="O627" t="n">
        <v>0</v>
      </c>
      <c r="P627" t="n">
        <v>0</v>
      </c>
      <c r="Q627" t="n">
        <v>0</v>
      </c>
      <c r="R627" s="2" t="inlineStr"/>
    </row>
    <row r="628" ht="15" customHeight="1">
      <c r="A628" t="inlineStr">
        <is>
          <t>A 48619-2020</t>
        </is>
      </c>
      <c r="B628" s="1" t="n">
        <v>44103</v>
      </c>
      <c r="C628" s="1" t="n">
        <v>45904</v>
      </c>
      <c r="D628" t="inlineStr">
        <is>
          <t>SÖDERMANLANDS LÄN</t>
        </is>
      </c>
      <c r="E628" t="inlineStr">
        <is>
          <t>KATRINEHOLM</t>
        </is>
      </c>
      <c r="F628" t="inlineStr">
        <is>
          <t>Övriga statliga verk och myndigheter</t>
        </is>
      </c>
      <c r="G628" t="n">
        <v>0.9</v>
      </c>
      <c r="H628" t="n">
        <v>0</v>
      </c>
      <c r="I628" t="n">
        <v>0</v>
      </c>
      <c r="J628" t="n">
        <v>0</v>
      </c>
      <c r="K628" t="n">
        <v>0</v>
      </c>
      <c r="L628" t="n">
        <v>0</v>
      </c>
      <c r="M628" t="n">
        <v>0</v>
      </c>
      <c r="N628" t="n">
        <v>0</v>
      </c>
      <c r="O628" t="n">
        <v>0</v>
      </c>
      <c r="P628" t="n">
        <v>0</v>
      </c>
      <c r="Q628" t="n">
        <v>0</v>
      </c>
      <c r="R628" s="2" t="inlineStr"/>
    </row>
    <row r="629" ht="15" customHeight="1">
      <c r="A629" t="inlineStr">
        <is>
          <t>A 41966-2023</t>
        </is>
      </c>
      <c r="B629" s="1" t="n">
        <v>45177</v>
      </c>
      <c r="C629" s="1" t="n">
        <v>45904</v>
      </c>
      <c r="D629" t="inlineStr">
        <is>
          <t>SÖDERMANLANDS LÄN</t>
        </is>
      </c>
      <c r="E629" t="inlineStr">
        <is>
          <t>KATRINEHOLM</t>
        </is>
      </c>
      <c r="G629" t="n">
        <v>36.9</v>
      </c>
      <c r="H629" t="n">
        <v>0</v>
      </c>
      <c r="I629" t="n">
        <v>0</v>
      </c>
      <c r="J629" t="n">
        <v>0</v>
      </c>
      <c r="K629" t="n">
        <v>0</v>
      </c>
      <c r="L629" t="n">
        <v>0</v>
      </c>
      <c r="M629" t="n">
        <v>0</v>
      </c>
      <c r="N629" t="n">
        <v>0</v>
      </c>
      <c r="O629" t="n">
        <v>0</v>
      </c>
      <c r="P629" t="n">
        <v>0</v>
      </c>
      <c r="Q629" t="n">
        <v>0</v>
      </c>
      <c r="R629" s="2" t="inlineStr"/>
    </row>
    <row r="630" ht="15" customHeight="1">
      <c r="A630" t="inlineStr">
        <is>
          <t>A 10446-2024</t>
        </is>
      </c>
      <c r="B630" s="1" t="n">
        <v>45366</v>
      </c>
      <c r="C630" s="1" t="n">
        <v>45904</v>
      </c>
      <c r="D630" t="inlineStr">
        <is>
          <t>SÖDERMANLANDS LÄN</t>
        </is>
      </c>
      <c r="E630" t="inlineStr">
        <is>
          <t>KATRINEHOLM</t>
        </is>
      </c>
      <c r="G630" t="n">
        <v>2.3</v>
      </c>
      <c r="H630" t="n">
        <v>0</v>
      </c>
      <c r="I630" t="n">
        <v>0</v>
      </c>
      <c r="J630" t="n">
        <v>0</v>
      </c>
      <c r="K630" t="n">
        <v>0</v>
      </c>
      <c r="L630" t="n">
        <v>0</v>
      </c>
      <c r="M630" t="n">
        <v>0</v>
      </c>
      <c r="N630" t="n">
        <v>0</v>
      </c>
      <c r="O630" t="n">
        <v>0</v>
      </c>
      <c r="P630" t="n">
        <v>0</v>
      </c>
      <c r="Q630" t="n">
        <v>0</v>
      </c>
      <c r="R630" s="2" t="inlineStr"/>
    </row>
    <row r="631" ht="15" customHeight="1">
      <c r="A631" t="inlineStr">
        <is>
          <t>A 8761-2023</t>
        </is>
      </c>
      <c r="B631" s="1" t="n">
        <v>44978.49685185185</v>
      </c>
      <c r="C631" s="1" t="n">
        <v>45904</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8778-2023</t>
        </is>
      </c>
      <c r="B632" s="1" t="n">
        <v>44978.5737037037</v>
      </c>
      <c r="C632" s="1" t="n">
        <v>45904</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9899-2023</t>
        </is>
      </c>
      <c r="B633" s="1" t="n">
        <v>44985</v>
      </c>
      <c r="C633" s="1" t="n">
        <v>45904</v>
      </c>
      <c r="D633" t="inlineStr">
        <is>
          <t>SÖDERMANLANDS LÄN</t>
        </is>
      </c>
      <c r="E633" t="inlineStr">
        <is>
          <t>KATRINEHOLM</t>
        </is>
      </c>
      <c r="F633" t="inlineStr">
        <is>
          <t>Allmännings- och besparingsskogar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34263-2023</t>
        </is>
      </c>
      <c r="B634" s="1" t="n">
        <v>45138.60248842592</v>
      </c>
      <c r="C634" s="1" t="n">
        <v>45904</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63677-2020</t>
        </is>
      </c>
      <c r="B635" s="1" t="n">
        <v>44166</v>
      </c>
      <c r="C635" s="1" t="n">
        <v>45904</v>
      </c>
      <c r="D635" t="inlineStr">
        <is>
          <t>SÖDERMANLANDS LÄN</t>
        </is>
      </c>
      <c r="E635" t="inlineStr">
        <is>
          <t>KATRINEHOLM</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15399-2022</t>
        </is>
      </c>
      <c r="B636" s="1" t="n">
        <v>44659</v>
      </c>
      <c r="C636" s="1" t="n">
        <v>45904</v>
      </c>
      <c r="D636" t="inlineStr">
        <is>
          <t>SÖDERMANLANDS LÄN</t>
        </is>
      </c>
      <c r="E636" t="inlineStr">
        <is>
          <t>KATRINEHOLM</t>
        </is>
      </c>
      <c r="G636" t="n">
        <v>5.6</v>
      </c>
      <c r="H636" t="n">
        <v>0</v>
      </c>
      <c r="I636" t="n">
        <v>0</v>
      </c>
      <c r="J636" t="n">
        <v>0</v>
      </c>
      <c r="K636" t="n">
        <v>0</v>
      </c>
      <c r="L636" t="n">
        <v>0</v>
      </c>
      <c r="M636" t="n">
        <v>0</v>
      </c>
      <c r="N636" t="n">
        <v>0</v>
      </c>
      <c r="O636" t="n">
        <v>0</v>
      </c>
      <c r="P636" t="n">
        <v>0</v>
      </c>
      <c r="Q636" t="n">
        <v>0</v>
      </c>
      <c r="R636" s="2" t="inlineStr"/>
    </row>
    <row r="637" ht="15" customHeight="1">
      <c r="A637" t="inlineStr">
        <is>
          <t>A 49116-2024</t>
        </is>
      </c>
      <c r="B637" s="1" t="n">
        <v>45594.6605787037</v>
      </c>
      <c r="C637" s="1" t="n">
        <v>45904</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6092-2025</t>
        </is>
      </c>
      <c r="B638" s="1" t="n">
        <v>45697</v>
      </c>
      <c r="C638" s="1" t="n">
        <v>45904</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55863-2022</t>
        </is>
      </c>
      <c r="B639" s="1" t="n">
        <v>44888</v>
      </c>
      <c r="C639" s="1" t="n">
        <v>45904</v>
      </c>
      <c r="D639" t="inlineStr">
        <is>
          <t>SÖDERMANLANDS LÄN</t>
        </is>
      </c>
      <c r="E639" t="inlineStr">
        <is>
          <t>KATRINEHOLM</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55865-2022</t>
        </is>
      </c>
      <c r="B640" s="1" t="n">
        <v>44888</v>
      </c>
      <c r="C640" s="1" t="n">
        <v>45904</v>
      </c>
      <c r="D640" t="inlineStr">
        <is>
          <t>SÖDERMANLANDS LÄN</t>
        </is>
      </c>
      <c r="E640" t="inlineStr">
        <is>
          <t>KATRINEHOLM</t>
        </is>
      </c>
      <c r="G640" t="n">
        <v>9.1</v>
      </c>
      <c r="H640" t="n">
        <v>0</v>
      </c>
      <c r="I640" t="n">
        <v>0</v>
      </c>
      <c r="J640" t="n">
        <v>0</v>
      </c>
      <c r="K640" t="n">
        <v>0</v>
      </c>
      <c r="L640" t="n">
        <v>0</v>
      </c>
      <c r="M640" t="n">
        <v>0</v>
      </c>
      <c r="N640" t="n">
        <v>0</v>
      </c>
      <c r="O640" t="n">
        <v>0</v>
      </c>
      <c r="P640" t="n">
        <v>0</v>
      </c>
      <c r="Q640" t="n">
        <v>0</v>
      </c>
      <c r="R640" s="2" t="inlineStr"/>
    </row>
    <row r="641" ht="15" customHeight="1">
      <c r="A641" t="inlineStr">
        <is>
          <t>A 10341-2022</t>
        </is>
      </c>
      <c r="B641" s="1" t="n">
        <v>44623</v>
      </c>
      <c r="C641" s="1" t="n">
        <v>45904</v>
      </c>
      <c r="D641" t="inlineStr">
        <is>
          <t>SÖDERMANLANDS LÄN</t>
        </is>
      </c>
      <c r="E641" t="inlineStr">
        <is>
          <t>KATRINEHOLM</t>
        </is>
      </c>
      <c r="G641" t="n">
        <v>2.3</v>
      </c>
      <c r="H641" t="n">
        <v>0</v>
      </c>
      <c r="I641" t="n">
        <v>0</v>
      </c>
      <c r="J641" t="n">
        <v>0</v>
      </c>
      <c r="K641" t="n">
        <v>0</v>
      </c>
      <c r="L641" t="n">
        <v>0</v>
      </c>
      <c r="M641" t="n">
        <v>0</v>
      </c>
      <c r="N641" t="n">
        <v>0</v>
      </c>
      <c r="O641" t="n">
        <v>0</v>
      </c>
      <c r="P641" t="n">
        <v>0</v>
      </c>
      <c r="Q641" t="n">
        <v>0</v>
      </c>
      <c r="R641" s="2" t="inlineStr"/>
    </row>
    <row r="642" ht="15" customHeight="1">
      <c r="A642" t="inlineStr">
        <is>
          <t>A 9437-2022</t>
        </is>
      </c>
      <c r="B642" s="1" t="n">
        <v>44616.69246527777</v>
      </c>
      <c r="C642" s="1" t="n">
        <v>45904</v>
      </c>
      <c r="D642" t="inlineStr">
        <is>
          <t>SÖDERMANLANDS LÄN</t>
        </is>
      </c>
      <c r="E642" t="inlineStr">
        <is>
          <t>KATRINEHOLM</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22345-2023</t>
        </is>
      </c>
      <c r="B643" s="1" t="n">
        <v>45070</v>
      </c>
      <c r="C643" s="1" t="n">
        <v>45904</v>
      </c>
      <c r="D643" t="inlineStr">
        <is>
          <t>SÖDERMANLANDS LÄN</t>
        </is>
      </c>
      <c r="E643" t="inlineStr">
        <is>
          <t>KATRINEHOLM</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6753-2022</t>
        </is>
      </c>
      <c r="B644" s="1" t="n">
        <v>44602</v>
      </c>
      <c r="C644" s="1" t="n">
        <v>45904</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6763-2022</t>
        </is>
      </c>
      <c r="B645" s="1" t="n">
        <v>44602</v>
      </c>
      <c r="C645" s="1" t="n">
        <v>45904</v>
      </c>
      <c r="D645" t="inlineStr">
        <is>
          <t>SÖDERMANLANDS LÄN</t>
        </is>
      </c>
      <c r="E645" t="inlineStr">
        <is>
          <t>KATRINEHOLM</t>
        </is>
      </c>
      <c r="G645" t="n">
        <v>6.7</v>
      </c>
      <c r="H645" t="n">
        <v>0</v>
      </c>
      <c r="I645" t="n">
        <v>0</v>
      </c>
      <c r="J645" t="n">
        <v>0</v>
      </c>
      <c r="K645" t="n">
        <v>0</v>
      </c>
      <c r="L645" t="n">
        <v>0</v>
      </c>
      <c r="M645" t="n">
        <v>0</v>
      </c>
      <c r="N645" t="n">
        <v>0</v>
      </c>
      <c r="O645" t="n">
        <v>0</v>
      </c>
      <c r="P645" t="n">
        <v>0</v>
      </c>
      <c r="Q645" t="n">
        <v>0</v>
      </c>
      <c r="R645" s="2" t="inlineStr"/>
    </row>
    <row r="646" ht="15" customHeight="1">
      <c r="A646" t="inlineStr">
        <is>
          <t>A 48528-2021</t>
        </is>
      </c>
      <c r="B646" s="1" t="n">
        <v>44449</v>
      </c>
      <c r="C646" s="1" t="n">
        <v>45904</v>
      </c>
      <c r="D646" t="inlineStr">
        <is>
          <t>SÖDERMANLANDS LÄN</t>
        </is>
      </c>
      <c r="E646" t="inlineStr">
        <is>
          <t>KATRINEHOLM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39068-2022</t>
        </is>
      </c>
      <c r="B647" s="1" t="n">
        <v>44816</v>
      </c>
      <c r="C647" s="1" t="n">
        <v>45904</v>
      </c>
      <c r="D647" t="inlineStr">
        <is>
          <t>SÖDERMANLANDS LÄN</t>
        </is>
      </c>
      <c r="E647" t="inlineStr">
        <is>
          <t>KATRINEHOLM</t>
        </is>
      </c>
      <c r="G647" t="n">
        <v>3.6</v>
      </c>
      <c r="H647" t="n">
        <v>0</v>
      </c>
      <c r="I647" t="n">
        <v>0</v>
      </c>
      <c r="J647" t="n">
        <v>0</v>
      </c>
      <c r="K647" t="n">
        <v>0</v>
      </c>
      <c r="L647" t="n">
        <v>0</v>
      </c>
      <c r="M647" t="n">
        <v>0</v>
      </c>
      <c r="N647" t="n">
        <v>0</v>
      </c>
      <c r="O647" t="n">
        <v>0</v>
      </c>
      <c r="P647" t="n">
        <v>0</v>
      </c>
      <c r="Q647" t="n">
        <v>0</v>
      </c>
      <c r="R647" s="2" t="inlineStr"/>
    </row>
    <row r="648" ht="15" customHeight="1">
      <c r="A648" t="inlineStr">
        <is>
          <t>A 28675-2024</t>
        </is>
      </c>
      <c r="B648" s="1" t="n">
        <v>45478</v>
      </c>
      <c r="C648" s="1" t="n">
        <v>45904</v>
      </c>
      <c r="D648" t="inlineStr">
        <is>
          <t>SÖDERMANLANDS LÄN</t>
        </is>
      </c>
      <c r="E648" t="inlineStr">
        <is>
          <t>KATRINEHOLM</t>
        </is>
      </c>
      <c r="F648" t="inlineStr">
        <is>
          <t>Övriga Aktiebolag</t>
        </is>
      </c>
      <c r="G648" t="n">
        <v>3.5</v>
      </c>
      <c r="H648" t="n">
        <v>0</v>
      </c>
      <c r="I648" t="n">
        <v>0</v>
      </c>
      <c r="J648" t="n">
        <v>0</v>
      </c>
      <c r="K648" t="n">
        <v>0</v>
      </c>
      <c r="L648" t="n">
        <v>0</v>
      </c>
      <c r="M648" t="n">
        <v>0</v>
      </c>
      <c r="N648" t="n">
        <v>0</v>
      </c>
      <c r="O648" t="n">
        <v>0</v>
      </c>
      <c r="P648" t="n">
        <v>0</v>
      </c>
      <c r="Q648" t="n">
        <v>0</v>
      </c>
      <c r="R648" s="2" t="inlineStr"/>
    </row>
    <row r="649" ht="15" customHeight="1">
      <c r="A649" t="inlineStr">
        <is>
          <t>A 66540-2021</t>
        </is>
      </c>
      <c r="B649" s="1" t="n">
        <v>44519</v>
      </c>
      <c r="C649" s="1" t="n">
        <v>45904</v>
      </c>
      <c r="D649" t="inlineStr">
        <is>
          <t>SÖDERMANLANDS LÄN</t>
        </is>
      </c>
      <c r="E649" t="inlineStr">
        <is>
          <t>KATRINEHOLM</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33790-2024</t>
        </is>
      </c>
      <c r="B650" s="1" t="n">
        <v>45520.59179398148</v>
      </c>
      <c r="C650" s="1" t="n">
        <v>45904</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41267-2023</t>
        </is>
      </c>
      <c r="B651" s="1" t="n">
        <v>45174</v>
      </c>
      <c r="C651" s="1" t="n">
        <v>45904</v>
      </c>
      <c r="D651" t="inlineStr">
        <is>
          <t>SÖDERMANLANDS LÄN</t>
        </is>
      </c>
      <c r="E651" t="inlineStr">
        <is>
          <t>KATRINEHOLM</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53809-2021</t>
        </is>
      </c>
      <c r="B652" s="1" t="n">
        <v>44467</v>
      </c>
      <c r="C652" s="1" t="n">
        <v>45904</v>
      </c>
      <c r="D652" t="inlineStr">
        <is>
          <t>SÖDERMANLANDS LÄN</t>
        </is>
      </c>
      <c r="E652" t="inlineStr">
        <is>
          <t>KATRINEHOLM</t>
        </is>
      </c>
      <c r="G652" t="n">
        <v>7</v>
      </c>
      <c r="H652" t="n">
        <v>0</v>
      </c>
      <c r="I652" t="n">
        <v>0</v>
      </c>
      <c r="J652" t="n">
        <v>0</v>
      </c>
      <c r="K652" t="n">
        <v>0</v>
      </c>
      <c r="L652" t="n">
        <v>0</v>
      </c>
      <c r="M652" t="n">
        <v>0</v>
      </c>
      <c r="N652" t="n">
        <v>0</v>
      </c>
      <c r="O652" t="n">
        <v>0</v>
      </c>
      <c r="P652" t="n">
        <v>0</v>
      </c>
      <c r="Q652" t="n">
        <v>0</v>
      </c>
      <c r="R652" s="2" t="inlineStr"/>
    </row>
    <row r="653" ht="15" customHeight="1">
      <c r="A653" t="inlineStr">
        <is>
          <t>A 55136-2020</t>
        </is>
      </c>
      <c r="B653" s="1" t="n">
        <v>44130</v>
      </c>
      <c r="C653" s="1" t="n">
        <v>45904</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4758-2025</t>
        </is>
      </c>
      <c r="B654" s="1" t="n">
        <v>45688</v>
      </c>
      <c r="C654" s="1" t="n">
        <v>45904</v>
      </c>
      <c r="D654" t="inlineStr">
        <is>
          <t>SÖDERMANLANDS LÄN</t>
        </is>
      </c>
      <c r="E654" t="inlineStr">
        <is>
          <t>KATRINEHOLM</t>
        </is>
      </c>
      <c r="G654" t="n">
        <v>2.3</v>
      </c>
      <c r="H654" t="n">
        <v>0</v>
      </c>
      <c r="I654" t="n">
        <v>0</v>
      </c>
      <c r="J654" t="n">
        <v>0</v>
      </c>
      <c r="K654" t="n">
        <v>0</v>
      </c>
      <c r="L654" t="n">
        <v>0</v>
      </c>
      <c r="M654" t="n">
        <v>0</v>
      </c>
      <c r="N654" t="n">
        <v>0</v>
      </c>
      <c r="O654" t="n">
        <v>0</v>
      </c>
      <c r="P654" t="n">
        <v>0</v>
      </c>
      <c r="Q654" t="n">
        <v>0</v>
      </c>
      <c r="R654" s="2" t="inlineStr"/>
    </row>
    <row r="655" ht="15" customHeight="1">
      <c r="A655" t="inlineStr">
        <is>
          <t>A 8288-2023</t>
        </is>
      </c>
      <c r="B655" s="1" t="n">
        <v>44974</v>
      </c>
      <c r="C655" s="1" t="n">
        <v>45904</v>
      </c>
      <c r="D655" t="inlineStr">
        <is>
          <t>SÖDERMANLANDS LÄN</t>
        </is>
      </c>
      <c r="E655" t="inlineStr">
        <is>
          <t>KATRINEHOLM</t>
        </is>
      </c>
      <c r="F655" t="inlineStr">
        <is>
          <t>Allmännings- och besparingsskogar</t>
        </is>
      </c>
      <c r="G655" t="n">
        <v>5.6</v>
      </c>
      <c r="H655" t="n">
        <v>0</v>
      </c>
      <c r="I655" t="n">
        <v>0</v>
      </c>
      <c r="J655" t="n">
        <v>0</v>
      </c>
      <c r="K655" t="n">
        <v>0</v>
      </c>
      <c r="L655" t="n">
        <v>0</v>
      </c>
      <c r="M655" t="n">
        <v>0</v>
      </c>
      <c r="N655" t="n">
        <v>0</v>
      </c>
      <c r="O655" t="n">
        <v>0</v>
      </c>
      <c r="P655" t="n">
        <v>0</v>
      </c>
      <c r="Q655" t="n">
        <v>0</v>
      </c>
      <c r="R655" s="2" t="inlineStr"/>
    </row>
    <row r="656" ht="15" customHeight="1">
      <c r="A656" t="inlineStr">
        <is>
          <t>A 28317-2024</t>
        </is>
      </c>
      <c r="B656" s="1" t="n">
        <v>45477</v>
      </c>
      <c r="C656" s="1" t="n">
        <v>45904</v>
      </c>
      <c r="D656" t="inlineStr">
        <is>
          <t>SÖDERMANLANDS LÄN</t>
        </is>
      </c>
      <c r="E656" t="inlineStr">
        <is>
          <t>KATRINEHOLM</t>
        </is>
      </c>
      <c r="G656" t="n">
        <v>1.5</v>
      </c>
      <c r="H656" t="n">
        <v>0</v>
      </c>
      <c r="I656" t="n">
        <v>0</v>
      </c>
      <c r="J656" t="n">
        <v>0</v>
      </c>
      <c r="K656" t="n">
        <v>0</v>
      </c>
      <c r="L656" t="n">
        <v>0</v>
      </c>
      <c r="M656" t="n">
        <v>0</v>
      </c>
      <c r="N656" t="n">
        <v>0</v>
      </c>
      <c r="O656" t="n">
        <v>0</v>
      </c>
      <c r="P656" t="n">
        <v>0</v>
      </c>
      <c r="Q656" t="n">
        <v>0</v>
      </c>
      <c r="R656" s="2" t="inlineStr"/>
    </row>
    <row r="657" ht="15" customHeight="1">
      <c r="A657" t="inlineStr">
        <is>
          <t>A 45142-2021</t>
        </is>
      </c>
      <c r="B657" s="1" t="n">
        <v>44439</v>
      </c>
      <c r="C657" s="1" t="n">
        <v>45904</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5788-2022</t>
        </is>
      </c>
      <c r="B658" s="1" t="n">
        <v>44596.54990740741</v>
      </c>
      <c r="C658" s="1" t="n">
        <v>45904</v>
      </c>
      <c r="D658" t="inlineStr">
        <is>
          <t>SÖDERMANLANDS LÄN</t>
        </is>
      </c>
      <c r="E658" t="inlineStr">
        <is>
          <t>KATRINEHOLM</t>
        </is>
      </c>
      <c r="G658" t="n">
        <v>4.1</v>
      </c>
      <c r="H658" t="n">
        <v>0</v>
      </c>
      <c r="I658" t="n">
        <v>0</v>
      </c>
      <c r="J658" t="n">
        <v>0</v>
      </c>
      <c r="K658" t="n">
        <v>0</v>
      </c>
      <c r="L658" t="n">
        <v>0</v>
      </c>
      <c r="M658" t="n">
        <v>0</v>
      </c>
      <c r="N658" t="n">
        <v>0</v>
      </c>
      <c r="O658" t="n">
        <v>0</v>
      </c>
      <c r="P658" t="n">
        <v>0</v>
      </c>
      <c r="Q658" t="n">
        <v>0</v>
      </c>
      <c r="R658" s="2" t="inlineStr"/>
    </row>
    <row r="659" ht="15" customHeight="1">
      <c r="A659" t="inlineStr">
        <is>
          <t>A 5790-2022</t>
        </is>
      </c>
      <c r="B659" s="1" t="n">
        <v>44596.55368055555</v>
      </c>
      <c r="C659" s="1" t="n">
        <v>45904</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53387-2023</t>
        </is>
      </c>
      <c r="B660" s="1" t="n">
        <v>45229</v>
      </c>
      <c r="C660" s="1" t="n">
        <v>45904</v>
      </c>
      <c r="D660" t="inlineStr">
        <is>
          <t>SÖDERMANLANDS LÄN</t>
        </is>
      </c>
      <c r="E660" t="inlineStr">
        <is>
          <t>KATRINEHOLM</t>
        </is>
      </c>
      <c r="F660" t="inlineStr">
        <is>
          <t>Kyrkan</t>
        </is>
      </c>
      <c r="G660" t="n">
        <v>7.4</v>
      </c>
      <c r="H660" t="n">
        <v>0</v>
      </c>
      <c r="I660" t="n">
        <v>0</v>
      </c>
      <c r="J660" t="n">
        <v>0</v>
      </c>
      <c r="K660" t="n">
        <v>0</v>
      </c>
      <c r="L660" t="n">
        <v>0</v>
      </c>
      <c r="M660" t="n">
        <v>0</v>
      </c>
      <c r="N660" t="n">
        <v>0</v>
      </c>
      <c r="O660" t="n">
        <v>0</v>
      </c>
      <c r="P660" t="n">
        <v>0</v>
      </c>
      <c r="Q660" t="n">
        <v>0</v>
      </c>
      <c r="R660" s="2" t="inlineStr"/>
    </row>
    <row r="661" ht="15" customHeight="1">
      <c r="A661" t="inlineStr">
        <is>
          <t>A 62424-2020</t>
        </is>
      </c>
      <c r="B661" s="1" t="n">
        <v>44160</v>
      </c>
      <c r="C661" s="1" t="n">
        <v>45904</v>
      </c>
      <c r="D661" t="inlineStr">
        <is>
          <t>SÖDERMANLANDS LÄN</t>
        </is>
      </c>
      <c r="E661" t="inlineStr">
        <is>
          <t>KATRINEHOLM</t>
        </is>
      </c>
      <c r="G661" t="n">
        <v>2.4</v>
      </c>
      <c r="H661" t="n">
        <v>0</v>
      </c>
      <c r="I661" t="n">
        <v>0</v>
      </c>
      <c r="J661" t="n">
        <v>0</v>
      </c>
      <c r="K661" t="n">
        <v>0</v>
      </c>
      <c r="L661" t="n">
        <v>0</v>
      </c>
      <c r="M661" t="n">
        <v>0</v>
      </c>
      <c r="N661" t="n">
        <v>0</v>
      </c>
      <c r="O661" t="n">
        <v>0</v>
      </c>
      <c r="P661" t="n">
        <v>0</v>
      </c>
      <c r="Q661" t="n">
        <v>0</v>
      </c>
      <c r="R661" s="2" t="inlineStr"/>
    </row>
    <row r="662" ht="15" customHeight="1">
      <c r="A662" t="inlineStr">
        <is>
          <t>A 55169-2022</t>
        </is>
      </c>
      <c r="B662" s="1" t="n">
        <v>44886</v>
      </c>
      <c r="C662" s="1" t="n">
        <v>45904</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57645-2020</t>
        </is>
      </c>
      <c r="B663" s="1" t="n">
        <v>44140.68782407408</v>
      </c>
      <c r="C663" s="1" t="n">
        <v>45904</v>
      </c>
      <c r="D663" t="inlineStr">
        <is>
          <t>SÖDERMANLANDS LÄN</t>
        </is>
      </c>
      <c r="E663" t="inlineStr">
        <is>
          <t>KATRINEHOLM</t>
        </is>
      </c>
      <c r="G663" t="n">
        <v>17</v>
      </c>
      <c r="H663" t="n">
        <v>0</v>
      </c>
      <c r="I663" t="n">
        <v>0</v>
      </c>
      <c r="J663" t="n">
        <v>0</v>
      </c>
      <c r="K663" t="n">
        <v>0</v>
      </c>
      <c r="L663" t="n">
        <v>0</v>
      </c>
      <c r="M663" t="n">
        <v>0</v>
      </c>
      <c r="N663" t="n">
        <v>0</v>
      </c>
      <c r="O663" t="n">
        <v>0</v>
      </c>
      <c r="P663" t="n">
        <v>0</v>
      </c>
      <c r="Q663" t="n">
        <v>0</v>
      </c>
      <c r="R663" s="2" t="inlineStr"/>
    </row>
    <row r="664" ht="15" customHeight="1">
      <c r="A664" t="inlineStr">
        <is>
          <t>A 13612-2023</t>
        </is>
      </c>
      <c r="B664" s="1" t="n">
        <v>45006</v>
      </c>
      <c r="C664" s="1" t="n">
        <v>45904</v>
      </c>
      <c r="D664" t="inlineStr">
        <is>
          <t>SÖDERMANLANDS LÄN</t>
        </is>
      </c>
      <c r="E664" t="inlineStr">
        <is>
          <t>KATRINEHOLM</t>
        </is>
      </c>
      <c r="G664" t="n">
        <v>2.3</v>
      </c>
      <c r="H664" t="n">
        <v>0</v>
      </c>
      <c r="I664" t="n">
        <v>0</v>
      </c>
      <c r="J664" t="n">
        <v>0</v>
      </c>
      <c r="K664" t="n">
        <v>0</v>
      </c>
      <c r="L664" t="n">
        <v>0</v>
      </c>
      <c r="M664" t="n">
        <v>0</v>
      </c>
      <c r="N664" t="n">
        <v>0</v>
      </c>
      <c r="O664" t="n">
        <v>0</v>
      </c>
      <c r="P664" t="n">
        <v>0</v>
      </c>
      <c r="Q664" t="n">
        <v>0</v>
      </c>
      <c r="R664" s="2" t="inlineStr"/>
    </row>
    <row r="665" ht="15" customHeight="1">
      <c r="A665" t="inlineStr">
        <is>
          <t>A 52348-2021</t>
        </is>
      </c>
      <c r="B665" s="1" t="n">
        <v>44464.49756944444</v>
      </c>
      <c r="C665" s="1" t="n">
        <v>45904</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20949-2021</t>
        </is>
      </c>
      <c r="B666" s="1" t="n">
        <v>44319</v>
      </c>
      <c r="C666" s="1" t="n">
        <v>45904</v>
      </c>
      <c r="D666" t="inlineStr">
        <is>
          <t>SÖDERMANLANDS LÄN</t>
        </is>
      </c>
      <c r="E666" t="inlineStr">
        <is>
          <t>KATRINEHOLM</t>
        </is>
      </c>
      <c r="G666" t="n">
        <v>0.9</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45904</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45904</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7747-2024</t>
        </is>
      </c>
      <c r="B669" s="1" t="n">
        <v>45348</v>
      </c>
      <c r="C669" s="1" t="n">
        <v>45904</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46257-2021</t>
        </is>
      </c>
      <c r="B670" s="1" t="n">
        <v>44442</v>
      </c>
      <c r="C670" s="1" t="n">
        <v>45904</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5320-2025</t>
        </is>
      </c>
      <c r="B671" s="1" t="n">
        <v>45692</v>
      </c>
      <c r="C671" s="1" t="n">
        <v>45904</v>
      </c>
      <c r="D671" t="inlineStr">
        <is>
          <t>SÖDERMANLANDS LÄN</t>
        </is>
      </c>
      <c r="E671" t="inlineStr">
        <is>
          <t>KATRINEHOLM</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49914-2023</t>
        </is>
      </c>
      <c r="B672" s="1" t="n">
        <v>45214</v>
      </c>
      <c r="C672" s="1" t="n">
        <v>45904</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44637-2023</t>
        </is>
      </c>
      <c r="B673" s="1" t="n">
        <v>45189</v>
      </c>
      <c r="C673" s="1" t="n">
        <v>45904</v>
      </c>
      <c r="D673" t="inlineStr">
        <is>
          <t>SÖDERMANLANDS LÄN</t>
        </is>
      </c>
      <c r="E673" t="inlineStr">
        <is>
          <t>KATRINEHOLM</t>
        </is>
      </c>
      <c r="G673" t="n">
        <v>5.1</v>
      </c>
      <c r="H673" t="n">
        <v>0</v>
      </c>
      <c r="I673" t="n">
        <v>0</v>
      </c>
      <c r="J673" t="n">
        <v>0</v>
      </c>
      <c r="K673" t="n">
        <v>0</v>
      </c>
      <c r="L673" t="n">
        <v>0</v>
      </c>
      <c r="M673" t="n">
        <v>0</v>
      </c>
      <c r="N673" t="n">
        <v>0</v>
      </c>
      <c r="O673" t="n">
        <v>0</v>
      </c>
      <c r="P673" t="n">
        <v>0</v>
      </c>
      <c r="Q673" t="n">
        <v>0</v>
      </c>
      <c r="R673" s="2" t="inlineStr"/>
    </row>
    <row r="674" ht="15" customHeight="1">
      <c r="A674" t="inlineStr">
        <is>
          <t>A 58522-2024</t>
        </is>
      </c>
      <c r="B674" s="1" t="n">
        <v>45635.43770833333</v>
      </c>
      <c r="C674" s="1" t="n">
        <v>45904</v>
      </c>
      <c r="D674" t="inlineStr">
        <is>
          <t>SÖDERMANLANDS LÄN</t>
        </is>
      </c>
      <c r="E674" t="inlineStr">
        <is>
          <t>KATRINEHOLM</t>
        </is>
      </c>
      <c r="G674" t="n">
        <v>2</v>
      </c>
      <c r="H674" t="n">
        <v>0</v>
      </c>
      <c r="I674" t="n">
        <v>0</v>
      </c>
      <c r="J674" t="n">
        <v>0</v>
      </c>
      <c r="K674" t="n">
        <v>0</v>
      </c>
      <c r="L674" t="n">
        <v>0</v>
      </c>
      <c r="M674" t="n">
        <v>0</v>
      </c>
      <c r="N674" t="n">
        <v>0</v>
      </c>
      <c r="O674" t="n">
        <v>0</v>
      </c>
      <c r="P674" t="n">
        <v>0</v>
      </c>
      <c r="Q674" t="n">
        <v>0</v>
      </c>
      <c r="R674" s="2" t="inlineStr"/>
    </row>
    <row r="675" ht="15" customHeight="1">
      <c r="A675" t="inlineStr">
        <is>
          <t>A 4650-2024</t>
        </is>
      </c>
      <c r="B675" s="1" t="n">
        <v>45328</v>
      </c>
      <c r="C675" s="1" t="n">
        <v>45904</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4652-2024</t>
        </is>
      </c>
      <c r="B676" s="1" t="n">
        <v>45328</v>
      </c>
      <c r="C676" s="1" t="n">
        <v>45904</v>
      </c>
      <c r="D676" t="inlineStr">
        <is>
          <t>SÖDERMANLANDS LÄN</t>
        </is>
      </c>
      <c r="E676" t="inlineStr">
        <is>
          <t>KATRINEHOLM</t>
        </is>
      </c>
      <c r="F676" t="inlineStr">
        <is>
          <t>Övriga Aktiebolag</t>
        </is>
      </c>
      <c r="G676" t="n">
        <v>6.1</v>
      </c>
      <c r="H676" t="n">
        <v>0</v>
      </c>
      <c r="I676" t="n">
        <v>0</v>
      </c>
      <c r="J676" t="n">
        <v>0</v>
      </c>
      <c r="K676" t="n">
        <v>0</v>
      </c>
      <c r="L676" t="n">
        <v>0</v>
      </c>
      <c r="M676" t="n">
        <v>0</v>
      </c>
      <c r="N676" t="n">
        <v>0</v>
      </c>
      <c r="O676" t="n">
        <v>0</v>
      </c>
      <c r="P676" t="n">
        <v>0</v>
      </c>
      <c r="Q676" t="n">
        <v>0</v>
      </c>
      <c r="R676" s="2" t="inlineStr"/>
    </row>
    <row r="677" ht="15" customHeight="1">
      <c r="A677" t="inlineStr">
        <is>
          <t>A 57687-2020</t>
        </is>
      </c>
      <c r="B677" s="1" t="n">
        <v>44140</v>
      </c>
      <c r="C677" s="1" t="n">
        <v>45904</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20921-2023</t>
        </is>
      </c>
      <c r="B678" s="1" t="n">
        <v>45061</v>
      </c>
      <c r="C678" s="1" t="n">
        <v>45904</v>
      </c>
      <c r="D678" t="inlineStr">
        <is>
          <t>SÖDERMANLANDS LÄN</t>
        </is>
      </c>
      <c r="E678" t="inlineStr">
        <is>
          <t>KATRINEHOLM</t>
        </is>
      </c>
      <c r="G678" t="n">
        <v>8.9</v>
      </c>
      <c r="H678" t="n">
        <v>0</v>
      </c>
      <c r="I678" t="n">
        <v>0</v>
      </c>
      <c r="J678" t="n">
        <v>0</v>
      </c>
      <c r="K678" t="n">
        <v>0</v>
      </c>
      <c r="L678" t="n">
        <v>0</v>
      </c>
      <c r="M678" t="n">
        <v>0</v>
      </c>
      <c r="N678" t="n">
        <v>0</v>
      </c>
      <c r="O678" t="n">
        <v>0</v>
      </c>
      <c r="P678" t="n">
        <v>0</v>
      </c>
      <c r="Q678" t="n">
        <v>0</v>
      </c>
      <c r="R678" s="2" t="inlineStr"/>
    </row>
    <row r="679" ht="15" customHeight="1">
      <c r="A679" t="inlineStr">
        <is>
          <t>A 48253-2022</t>
        </is>
      </c>
      <c r="B679" s="1" t="n">
        <v>44858</v>
      </c>
      <c r="C679" s="1" t="n">
        <v>45904</v>
      </c>
      <c r="D679" t="inlineStr">
        <is>
          <t>SÖDERMANLANDS LÄN</t>
        </is>
      </c>
      <c r="E679" t="inlineStr">
        <is>
          <t>KATRINEHOLM</t>
        </is>
      </c>
      <c r="G679" t="n">
        <v>4.7</v>
      </c>
      <c r="H679" t="n">
        <v>0</v>
      </c>
      <c r="I679" t="n">
        <v>0</v>
      </c>
      <c r="J679" t="n">
        <v>0</v>
      </c>
      <c r="K679" t="n">
        <v>0</v>
      </c>
      <c r="L679" t="n">
        <v>0</v>
      </c>
      <c r="M679" t="n">
        <v>0</v>
      </c>
      <c r="N679" t="n">
        <v>0</v>
      </c>
      <c r="O679" t="n">
        <v>0</v>
      </c>
      <c r="P679" t="n">
        <v>0</v>
      </c>
      <c r="Q679" t="n">
        <v>0</v>
      </c>
      <c r="R679" s="2" t="inlineStr"/>
    </row>
    <row r="680" ht="15" customHeight="1">
      <c r="A680" t="inlineStr">
        <is>
          <t>A 12929-2023</t>
        </is>
      </c>
      <c r="B680" s="1" t="n">
        <v>45001</v>
      </c>
      <c r="C680" s="1" t="n">
        <v>45904</v>
      </c>
      <c r="D680" t="inlineStr">
        <is>
          <t>SÖDERMANLANDS LÄN</t>
        </is>
      </c>
      <c r="E680" t="inlineStr">
        <is>
          <t>KATRINEHOLM</t>
        </is>
      </c>
      <c r="G680" t="n">
        <v>3.1</v>
      </c>
      <c r="H680" t="n">
        <v>0</v>
      </c>
      <c r="I680" t="n">
        <v>0</v>
      </c>
      <c r="J680" t="n">
        <v>0</v>
      </c>
      <c r="K680" t="n">
        <v>0</v>
      </c>
      <c r="L680" t="n">
        <v>0</v>
      </c>
      <c r="M680" t="n">
        <v>0</v>
      </c>
      <c r="N680" t="n">
        <v>0</v>
      </c>
      <c r="O680" t="n">
        <v>0</v>
      </c>
      <c r="P680" t="n">
        <v>0</v>
      </c>
      <c r="Q680" t="n">
        <v>0</v>
      </c>
      <c r="R680" s="2" t="inlineStr"/>
    </row>
    <row r="681" ht="15" customHeight="1">
      <c r="A681" t="inlineStr">
        <is>
          <t>A 12932-2023</t>
        </is>
      </c>
      <c r="B681" s="1" t="n">
        <v>45001</v>
      </c>
      <c r="C681" s="1" t="n">
        <v>45904</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55038-2020</t>
        </is>
      </c>
      <c r="B682" s="1" t="n">
        <v>44130</v>
      </c>
      <c r="C682" s="1" t="n">
        <v>45904</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32166-2022</t>
        </is>
      </c>
      <c r="B683" s="1" t="n">
        <v>44781</v>
      </c>
      <c r="C683" s="1" t="n">
        <v>45904</v>
      </c>
      <c r="D683" t="inlineStr">
        <is>
          <t>SÖDERMANLANDS LÄN</t>
        </is>
      </c>
      <c r="E683" t="inlineStr">
        <is>
          <t>KATRINEHOLM</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59384-2022</t>
        </is>
      </c>
      <c r="B684" s="1" t="n">
        <v>44905</v>
      </c>
      <c r="C684" s="1" t="n">
        <v>45904</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6446-2022</t>
        </is>
      </c>
      <c r="B685" s="1" t="n">
        <v>44600</v>
      </c>
      <c r="C685" s="1" t="n">
        <v>45904</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10996-2022</t>
        </is>
      </c>
      <c r="B686" s="1" t="n">
        <v>44628</v>
      </c>
      <c r="C686" s="1" t="n">
        <v>45904</v>
      </c>
      <c r="D686" t="inlineStr">
        <is>
          <t>SÖDERMANLANDS LÄN</t>
        </is>
      </c>
      <c r="E686" t="inlineStr">
        <is>
          <t>KATRINEHOLM</t>
        </is>
      </c>
      <c r="G686" t="n">
        <v>0.3</v>
      </c>
      <c r="H686" t="n">
        <v>0</v>
      </c>
      <c r="I686" t="n">
        <v>0</v>
      </c>
      <c r="J686" t="n">
        <v>0</v>
      </c>
      <c r="K686" t="n">
        <v>0</v>
      </c>
      <c r="L686" t="n">
        <v>0</v>
      </c>
      <c r="M686" t="n">
        <v>0</v>
      </c>
      <c r="N686" t="n">
        <v>0</v>
      </c>
      <c r="O686" t="n">
        <v>0</v>
      </c>
      <c r="P686" t="n">
        <v>0</v>
      </c>
      <c r="Q686" t="n">
        <v>0</v>
      </c>
      <c r="R686" s="2" t="inlineStr"/>
    </row>
    <row r="687" ht="15" customHeight="1">
      <c r="A687" t="inlineStr">
        <is>
          <t>A 4724-2023</t>
        </is>
      </c>
      <c r="B687" s="1" t="n">
        <v>44957</v>
      </c>
      <c r="C687" s="1" t="n">
        <v>45904</v>
      </c>
      <c r="D687" t="inlineStr">
        <is>
          <t>SÖDERMANLANDS LÄN</t>
        </is>
      </c>
      <c r="E687" t="inlineStr">
        <is>
          <t>KATRINEHOLM</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61431-2024</t>
        </is>
      </c>
      <c r="B688" s="1" t="n">
        <v>45646.45950231481</v>
      </c>
      <c r="C688" s="1" t="n">
        <v>45904</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25363-2023</t>
        </is>
      </c>
      <c r="B689" s="1" t="n">
        <v>45088.83840277778</v>
      </c>
      <c r="C689" s="1" t="n">
        <v>45904</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59308-2020</t>
        </is>
      </c>
      <c r="B690" s="1" t="n">
        <v>44147</v>
      </c>
      <c r="C690" s="1" t="n">
        <v>45904</v>
      </c>
      <c r="D690" t="inlineStr">
        <is>
          <t>SÖDERMANLANDS LÄN</t>
        </is>
      </c>
      <c r="E690" t="inlineStr">
        <is>
          <t>KATRINEHOLM</t>
        </is>
      </c>
      <c r="G690" t="n">
        <v>2</v>
      </c>
      <c r="H690" t="n">
        <v>0</v>
      </c>
      <c r="I690" t="n">
        <v>0</v>
      </c>
      <c r="J690" t="n">
        <v>0</v>
      </c>
      <c r="K690" t="n">
        <v>0</v>
      </c>
      <c r="L690" t="n">
        <v>0</v>
      </c>
      <c r="M690" t="n">
        <v>0</v>
      </c>
      <c r="N690" t="n">
        <v>0</v>
      </c>
      <c r="O690" t="n">
        <v>0</v>
      </c>
      <c r="P690" t="n">
        <v>0</v>
      </c>
      <c r="Q690" t="n">
        <v>0</v>
      </c>
      <c r="R690" s="2" t="inlineStr"/>
    </row>
    <row r="691" ht="15" customHeight="1">
      <c r="A691" t="inlineStr">
        <is>
          <t>A 24097-2022</t>
        </is>
      </c>
      <c r="B691" s="1" t="n">
        <v>44725.39371527778</v>
      </c>
      <c r="C691" s="1" t="n">
        <v>45904</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53393-2023</t>
        </is>
      </c>
      <c r="B692" s="1" t="n">
        <v>45229</v>
      </c>
      <c r="C692" s="1" t="n">
        <v>45904</v>
      </c>
      <c r="D692" t="inlineStr">
        <is>
          <t>SÖDERMANLANDS LÄN</t>
        </is>
      </c>
      <c r="E692" t="inlineStr">
        <is>
          <t>KATRINEHOLM</t>
        </is>
      </c>
      <c r="F692" t="inlineStr">
        <is>
          <t>Kyrkan</t>
        </is>
      </c>
      <c r="G692" t="n">
        <v>5.6</v>
      </c>
      <c r="H692" t="n">
        <v>0</v>
      </c>
      <c r="I692" t="n">
        <v>0</v>
      </c>
      <c r="J692" t="n">
        <v>0</v>
      </c>
      <c r="K692" t="n">
        <v>0</v>
      </c>
      <c r="L692" t="n">
        <v>0</v>
      </c>
      <c r="M692" t="n">
        <v>0</v>
      </c>
      <c r="N692" t="n">
        <v>0</v>
      </c>
      <c r="O692" t="n">
        <v>0</v>
      </c>
      <c r="P692" t="n">
        <v>0</v>
      </c>
      <c r="Q692" t="n">
        <v>0</v>
      </c>
      <c r="R692" s="2" t="inlineStr"/>
    </row>
    <row r="693" ht="15" customHeight="1">
      <c r="A693" t="inlineStr">
        <is>
          <t>A 48838-2020</t>
        </is>
      </c>
      <c r="B693" s="1" t="n">
        <v>44099</v>
      </c>
      <c r="C693" s="1" t="n">
        <v>45904</v>
      </c>
      <c r="D693" t="inlineStr">
        <is>
          <t>SÖDERMANLANDS LÄN</t>
        </is>
      </c>
      <c r="E693" t="inlineStr">
        <is>
          <t>KATRINEHOLM</t>
        </is>
      </c>
      <c r="G693" t="n">
        <v>6.8</v>
      </c>
      <c r="H693" t="n">
        <v>0</v>
      </c>
      <c r="I693" t="n">
        <v>0</v>
      </c>
      <c r="J693" t="n">
        <v>0</v>
      </c>
      <c r="K693" t="n">
        <v>0</v>
      </c>
      <c r="L693" t="n">
        <v>0</v>
      </c>
      <c r="M693" t="n">
        <v>0</v>
      </c>
      <c r="N693" t="n">
        <v>0</v>
      </c>
      <c r="O693" t="n">
        <v>0</v>
      </c>
      <c r="P693" t="n">
        <v>0</v>
      </c>
      <c r="Q693" t="n">
        <v>0</v>
      </c>
      <c r="R693" s="2" t="inlineStr"/>
    </row>
    <row r="694" ht="15" customHeight="1">
      <c r="A694" t="inlineStr">
        <is>
          <t>A 40744-2022</t>
        </is>
      </c>
      <c r="B694" s="1" t="n">
        <v>44824.55655092592</v>
      </c>
      <c r="C694" s="1" t="n">
        <v>45904</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7705-2021</t>
        </is>
      </c>
      <c r="B695" s="1" t="n">
        <v>44242</v>
      </c>
      <c r="C695" s="1" t="n">
        <v>45904</v>
      </c>
      <c r="D695" t="inlineStr">
        <is>
          <t>SÖDERMANLANDS LÄN</t>
        </is>
      </c>
      <c r="E695" t="inlineStr">
        <is>
          <t>KATRINEHOLM</t>
        </is>
      </c>
      <c r="F695" t="inlineStr">
        <is>
          <t>Allmännings- och besparingsskogar</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20803-2024</t>
        </is>
      </c>
      <c r="B696" s="1" t="n">
        <v>45438</v>
      </c>
      <c r="C696" s="1" t="n">
        <v>45904</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15392-2023</t>
        </is>
      </c>
      <c r="B697" s="1" t="n">
        <v>45016</v>
      </c>
      <c r="C697" s="1" t="n">
        <v>45904</v>
      </c>
      <c r="D697" t="inlineStr">
        <is>
          <t>SÖDERMANLANDS LÄN</t>
        </is>
      </c>
      <c r="E697" t="inlineStr">
        <is>
          <t>KATRINEHOLM</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4645-2024</t>
        </is>
      </c>
      <c r="B698" s="1" t="n">
        <v>45328</v>
      </c>
      <c r="C698" s="1" t="n">
        <v>45904</v>
      </c>
      <c r="D698" t="inlineStr">
        <is>
          <t>SÖDERMANLANDS LÄN</t>
        </is>
      </c>
      <c r="E698" t="inlineStr">
        <is>
          <t>KATRINEHOLM</t>
        </is>
      </c>
      <c r="G698" t="n">
        <v>2.3</v>
      </c>
      <c r="H698" t="n">
        <v>0</v>
      </c>
      <c r="I698" t="n">
        <v>0</v>
      </c>
      <c r="J698" t="n">
        <v>0</v>
      </c>
      <c r="K698" t="n">
        <v>0</v>
      </c>
      <c r="L698" t="n">
        <v>0</v>
      </c>
      <c r="M698" t="n">
        <v>0</v>
      </c>
      <c r="N698" t="n">
        <v>0</v>
      </c>
      <c r="O698" t="n">
        <v>0</v>
      </c>
      <c r="P698" t="n">
        <v>0</v>
      </c>
      <c r="Q698" t="n">
        <v>0</v>
      </c>
      <c r="R698" s="2" t="inlineStr"/>
    </row>
    <row r="699" ht="15" customHeight="1">
      <c r="A699" t="inlineStr">
        <is>
          <t>A 28508-2023</t>
        </is>
      </c>
      <c r="B699" s="1" t="n">
        <v>45103.46788194445</v>
      </c>
      <c r="C699" s="1" t="n">
        <v>45904</v>
      </c>
      <c r="D699" t="inlineStr">
        <is>
          <t>SÖDERMANLANDS LÄN</t>
        </is>
      </c>
      <c r="E699" t="inlineStr">
        <is>
          <t>KATRINEHOLM</t>
        </is>
      </c>
      <c r="F699" t="inlineStr">
        <is>
          <t>Kyrkan</t>
        </is>
      </c>
      <c r="G699" t="n">
        <v>20.5</v>
      </c>
      <c r="H699" t="n">
        <v>0</v>
      </c>
      <c r="I699" t="n">
        <v>0</v>
      </c>
      <c r="J699" t="n">
        <v>0</v>
      </c>
      <c r="K699" t="n">
        <v>0</v>
      </c>
      <c r="L699" t="n">
        <v>0</v>
      </c>
      <c r="M699" t="n">
        <v>0</v>
      </c>
      <c r="N699" t="n">
        <v>0</v>
      </c>
      <c r="O699" t="n">
        <v>0</v>
      </c>
      <c r="P699" t="n">
        <v>0</v>
      </c>
      <c r="Q699" t="n">
        <v>0</v>
      </c>
      <c r="R699" s="2" t="inlineStr"/>
    </row>
    <row r="700" ht="15" customHeight="1">
      <c r="A700" t="inlineStr">
        <is>
          <t>A 48398-2022</t>
        </is>
      </c>
      <c r="B700" s="1" t="n">
        <v>44858.60809027778</v>
      </c>
      <c r="C700" s="1" t="n">
        <v>45904</v>
      </c>
      <c r="D700" t="inlineStr">
        <is>
          <t>SÖDERMANLANDS LÄN</t>
        </is>
      </c>
      <c r="E700" t="inlineStr">
        <is>
          <t>KATRINEHOLM</t>
        </is>
      </c>
      <c r="G700" t="n">
        <v>1.9</v>
      </c>
      <c r="H700" t="n">
        <v>0</v>
      </c>
      <c r="I700" t="n">
        <v>0</v>
      </c>
      <c r="J700" t="n">
        <v>0</v>
      </c>
      <c r="K700" t="n">
        <v>0</v>
      </c>
      <c r="L700" t="n">
        <v>0</v>
      </c>
      <c r="M700" t="n">
        <v>0</v>
      </c>
      <c r="N700" t="n">
        <v>0</v>
      </c>
      <c r="O700" t="n">
        <v>0</v>
      </c>
      <c r="P700" t="n">
        <v>0</v>
      </c>
      <c r="Q700" t="n">
        <v>0</v>
      </c>
      <c r="R700" s="2" t="inlineStr"/>
    </row>
    <row r="701" ht="15" customHeight="1">
      <c r="A701" t="inlineStr">
        <is>
          <t>A 61674-2020</t>
        </is>
      </c>
      <c r="B701" s="1" t="n">
        <v>44158</v>
      </c>
      <c r="C701" s="1" t="n">
        <v>45904</v>
      </c>
      <c r="D701" t="inlineStr">
        <is>
          <t>SÖDERMANLANDS LÄN</t>
        </is>
      </c>
      <c r="E701" t="inlineStr">
        <is>
          <t>KATRINEHOLM</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15945-2024</t>
        </is>
      </c>
      <c r="B702" s="1" t="n">
        <v>45405.48912037037</v>
      </c>
      <c r="C702" s="1" t="n">
        <v>45904</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45530-2023</t>
        </is>
      </c>
      <c r="B703" s="1" t="n">
        <v>45188</v>
      </c>
      <c r="C703" s="1" t="n">
        <v>45904</v>
      </c>
      <c r="D703" t="inlineStr">
        <is>
          <t>SÖDERMANLANDS LÄN</t>
        </is>
      </c>
      <c r="E703" t="inlineStr">
        <is>
          <t>KATRINEHOLM</t>
        </is>
      </c>
      <c r="F703" t="inlineStr">
        <is>
          <t>Allmännings- och besparingsskogar</t>
        </is>
      </c>
      <c r="G703" t="n">
        <v>37</v>
      </c>
      <c r="H703" t="n">
        <v>0</v>
      </c>
      <c r="I703" t="n">
        <v>0</v>
      </c>
      <c r="J703" t="n">
        <v>0</v>
      </c>
      <c r="K703" t="n">
        <v>0</v>
      </c>
      <c r="L703" t="n">
        <v>0</v>
      </c>
      <c r="M703" t="n">
        <v>0</v>
      </c>
      <c r="N703" t="n">
        <v>0</v>
      </c>
      <c r="O703" t="n">
        <v>0</v>
      </c>
      <c r="P703" t="n">
        <v>0</v>
      </c>
      <c r="Q703" t="n">
        <v>0</v>
      </c>
      <c r="R703" s="2" t="inlineStr"/>
    </row>
    <row r="704" ht="15" customHeight="1">
      <c r="A704" t="inlineStr">
        <is>
          <t>A 1329-2025</t>
        </is>
      </c>
      <c r="B704" s="1" t="n">
        <v>45667</v>
      </c>
      <c r="C704" s="1" t="n">
        <v>45904</v>
      </c>
      <c r="D704" t="inlineStr">
        <is>
          <t>SÖDERMANLANDS LÄN</t>
        </is>
      </c>
      <c r="E704" t="inlineStr">
        <is>
          <t>KATRINEHOLM</t>
        </is>
      </c>
      <c r="G704" t="n">
        <v>2.7</v>
      </c>
      <c r="H704" t="n">
        <v>0</v>
      </c>
      <c r="I704" t="n">
        <v>0</v>
      </c>
      <c r="J704" t="n">
        <v>0</v>
      </c>
      <c r="K704" t="n">
        <v>0</v>
      </c>
      <c r="L704" t="n">
        <v>0</v>
      </c>
      <c r="M704" t="n">
        <v>0</v>
      </c>
      <c r="N704" t="n">
        <v>0</v>
      </c>
      <c r="O704" t="n">
        <v>0</v>
      </c>
      <c r="P704" t="n">
        <v>0</v>
      </c>
      <c r="Q704" t="n">
        <v>0</v>
      </c>
      <c r="R704" s="2" t="inlineStr"/>
    </row>
    <row r="705" ht="15" customHeight="1">
      <c r="A705" t="inlineStr">
        <is>
          <t>A 47889-2023</t>
        </is>
      </c>
      <c r="B705" s="1" t="n">
        <v>45204</v>
      </c>
      <c r="C705" s="1" t="n">
        <v>45904</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65358-2020</t>
        </is>
      </c>
      <c r="B706" s="1" t="n">
        <v>44173</v>
      </c>
      <c r="C706" s="1" t="n">
        <v>45904</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row>
    <row r="707" ht="15" customHeight="1">
      <c r="A707" t="inlineStr">
        <is>
          <t>A 57947-2020</t>
        </is>
      </c>
      <c r="B707" s="1" t="n">
        <v>44142</v>
      </c>
      <c r="C707" s="1" t="n">
        <v>45904</v>
      </c>
      <c r="D707" t="inlineStr">
        <is>
          <t>SÖDERMANLANDS LÄN</t>
        </is>
      </c>
      <c r="E707" t="inlineStr">
        <is>
          <t>KATRINEHOLM</t>
        </is>
      </c>
      <c r="G707" t="n">
        <v>9.6</v>
      </c>
      <c r="H707" t="n">
        <v>0</v>
      </c>
      <c r="I707" t="n">
        <v>0</v>
      </c>
      <c r="J707" t="n">
        <v>0</v>
      </c>
      <c r="K707" t="n">
        <v>0</v>
      </c>
      <c r="L707" t="n">
        <v>0</v>
      </c>
      <c r="M707" t="n">
        <v>0</v>
      </c>
      <c r="N707" t="n">
        <v>0</v>
      </c>
      <c r="O707" t="n">
        <v>0</v>
      </c>
      <c r="P707" t="n">
        <v>0</v>
      </c>
      <c r="Q707" t="n">
        <v>0</v>
      </c>
      <c r="R707" s="2" t="inlineStr"/>
    </row>
    <row r="708" ht="15" customHeight="1">
      <c r="A708" t="inlineStr">
        <is>
          <t>A 8475-2023</t>
        </is>
      </c>
      <c r="B708" s="1" t="n">
        <v>44977</v>
      </c>
      <c r="C708" s="1" t="n">
        <v>45904</v>
      </c>
      <c r="D708" t="inlineStr">
        <is>
          <t>SÖDERMANLANDS LÄN</t>
        </is>
      </c>
      <c r="E708" t="inlineStr">
        <is>
          <t>KATRINEHOLM</t>
        </is>
      </c>
      <c r="F708" t="inlineStr">
        <is>
          <t>Allmännings- och besparingsskogar</t>
        </is>
      </c>
      <c r="G708" t="n">
        <v>8.1</v>
      </c>
      <c r="H708" t="n">
        <v>0</v>
      </c>
      <c r="I708" t="n">
        <v>0</v>
      </c>
      <c r="J708" t="n">
        <v>0</v>
      </c>
      <c r="K708" t="n">
        <v>0</v>
      </c>
      <c r="L708" t="n">
        <v>0</v>
      </c>
      <c r="M708" t="n">
        <v>0</v>
      </c>
      <c r="N708" t="n">
        <v>0</v>
      </c>
      <c r="O708" t="n">
        <v>0</v>
      </c>
      <c r="P708" t="n">
        <v>0</v>
      </c>
      <c r="Q708" t="n">
        <v>0</v>
      </c>
      <c r="R708" s="2" t="inlineStr"/>
    </row>
    <row r="709" ht="15" customHeight="1">
      <c r="A709" t="inlineStr">
        <is>
          <t>A 8518-2023</t>
        </is>
      </c>
      <c r="B709" s="1" t="n">
        <v>44977</v>
      </c>
      <c r="C709" s="1" t="n">
        <v>45904</v>
      </c>
      <c r="D709" t="inlineStr">
        <is>
          <t>SÖDERMANLANDS LÄN</t>
        </is>
      </c>
      <c r="E709" t="inlineStr">
        <is>
          <t>KATRINEHOLM</t>
        </is>
      </c>
      <c r="F709" t="inlineStr">
        <is>
          <t>Allmännings- och besparingsskogar</t>
        </is>
      </c>
      <c r="G709" t="n">
        <v>35.3</v>
      </c>
      <c r="H709" t="n">
        <v>0</v>
      </c>
      <c r="I709" t="n">
        <v>0</v>
      </c>
      <c r="J709" t="n">
        <v>0</v>
      </c>
      <c r="K709" t="n">
        <v>0</v>
      </c>
      <c r="L709" t="n">
        <v>0</v>
      </c>
      <c r="M709" t="n">
        <v>0</v>
      </c>
      <c r="N709" t="n">
        <v>0</v>
      </c>
      <c r="O709" t="n">
        <v>0</v>
      </c>
      <c r="P709" t="n">
        <v>0</v>
      </c>
      <c r="Q709" t="n">
        <v>0</v>
      </c>
      <c r="R709" s="2" t="inlineStr"/>
    </row>
    <row r="710" ht="15" customHeight="1">
      <c r="A710" t="inlineStr">
        <is>
          <t>A 20212-2025</t>
        </is>
      </c>
      <c r="B710" s="1" t="n">
        <v>45772.63049768518</v>
      </c>
      <c r="C710" s="1" t="n">
        <v>45904</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12975-2022</t>
        </is>
      </c>
      <c r="B711" s="1" t="n">
        <v>44643</v>
      </c>
      <c r="C711" s="1" t="n">
        <v>45904</v>
      </c>
      <c r="D711" t="inlineStr">
        <is>
          <t>SÖDERMANLANDS LÄN</t>
        </is>
      </c>
      <c r="E711" t="inlineStr">
        <is>
          <t>KATRINEHOLM</t>
        </is>
      </c>
      <c r="G711" t="n">
        <v>2.4</v>
      </c>
      <c r="H711" t="n">
        <v>0</v>
      </c>
      <c r="I711" t="n">
        <v>0</v>
      </c>
      <c r="J711" t="n">
        <v>0</v>
      </c>
      <c r="K711" t="n">
        <v>0</v>
      </c>
      <c r="L711" t="n">
        <v>0</v>
      </c>
      <c r="M711" t="n">
        <v>0</v>
      </c>
      <c r="N711" t="n">
        <v>0</v>
      </c>
      <c r="O711" t="n">
        <v>0</v>
      </c>
      <c r="P711" t="n">
        <v>0</v>
      </c>
      <c r="Q711" t="n">
        <v>0</v>
      </c>
      <c r="R711" s="2" t="inlineStr"/>
    </row>
    <row r="712" ht="15" customHeight="1">
      <c r="A712" t="inlineStr">
        <is>
          <t>A 9668-2023</t>
        </is>
      </c>
      <c r="B712" s="1" t="n">
        <v>44984.41238425926</v>
      </c>
      <c r="C712" s="1" t="n">
        <v>45904</v>
      </c>
      <c r="D712" t="inlineStr">
        <is>
          <t>SÖDERMANLANDS LÄN</t>
        </is>
      </c>
      <c r="E712" t="inlineStr">
        <is>
          <t>KATRINEHOLM</t>
        </is>
      </c>
      <c r="G712" t="n">
        <v>4.8</v>
      </c>
      <c r="H712" t="n">
        <v>0</v>
      </c>
      <c r="I712" t="n">
        <v>0</v>
      </c>
      <c r="J712" t="n">
        <v>0</v>
      </c>
      <c r="K712" t="n">
        <v>0</v>
      </c>
      <c r="L712" t="n">
        <v>0</v>
      </c>
      <c r="M712" t="n">
        <v>0</v>
      </c>
      <c r="N712" t="n">
        <v>0</v>
      </c>
      <c r="O712" t="n">
        <v>0</v>
      </c>
      <c r="P712" t="n">
        <v>0</v>
      </c>
      <c r="Q712" t="n">
        <v>0</v>
      </c>
      <c r="R712" s="2" t="inlineStr"/>
    </row>
    <row r="713" ht="15" customHeight="1">
      <c r="A713" t="inlineStr">
        <is>
          <t>A 46670-2021</t>
        </is>
      </c>
      <c r="B713" s="1" t="n">
        <v>44445</v>
      </c>
      <c r="C713" s="1" t="n">
        <v>45904</v>
      </c>
      <c r="D713" t="inlineStr">
        <is>
          <t>SÖDERMANLANDS LÄN</t>
        </is>
      </c>
      <c r="E713" t="inlineStr">
        <is>
          <t>KATRINEHOLM</t>
        </is>
      </c>
      <c r="G713" t="n">
        <v>4.4</v>
      </c>
      <c r="H713" t="n">
        <v>0</v>
      </c>
      <c r="I713" t="n">
        <v>0</v>
      </c>
      <c r="J713" t="n">
        <v>0</v>
      </c>
      <c r="K713" t="n">
        <v>0</v>
      </c>
      <c r="L713" t="n">
        <v>0</v>
      </c>
      <c r="M713" t="n">
        <v>0</v>
      </c>
      <c r="N713" t="n">
        <v>0</v>
      </c>
      <c r="O713" t="n">
        <v>0</v>
      </c>
      <c r="P713" t="n">
        <v>0</v>
      </c>
      <c r="Q713" t="n">
        <v>0</v>
      </c>
      <c r="R713" s="2" t="inlineStr"/>
    </row>
    <row r="714" ht="15" customHeight="1">
      <c r="A714" t="inlineStr">
        <is>
          <t>A 29977-2023</t>
        </is>
      </c>
      <c r="B714" s="1" t="n">
        <v>45108</v>
      </c>
      <c r="C714" s="1" t="n">
        <v>45904</v>
      </c>
      <c r="D714" t="inlineStr">
        <is>
          <t>SÖDERMANLANDS LÄN</t>
        </is>
      </c>
      <c r="E714" t="inlineStr">
        <is>
          <t>KATRINEHOLM</t>
        </is>
      </c>
      <c r="G714" t="n">
        <v>2.4</v>
      </c>
      <c r="H714" t="n">
        <v>0</v>
      </c>
      <c r="I714" t="n">
        <v>0</v>
      </c>
      <c r="J714" t="n">
        <v>0</v>
      </c>
      <c r="K714" t="n">
        <v>0</v>
      </c>
      <c r="L714" t="n">
        <v>0</v>
      </c>
      <c r="M714" t="n">
        <v>0</v>
      </c>
      <c r="N714" t="n">
        <v>0</v>
      </c>
      <c r="O714" t="n">
        <v>0</v>
      </c>
      <c r="P714" t="n">
        <v>0</v>
      </c>
      <c r="Q714" t="n">
        <v>0</v>
      </c>
      <c r="R714" s="2" t="inlineStr"/>
    </row>
    <row r="715" ht="15" customHeight="1">
      <c r="A715" t="inlineStr">
        <is>
          <t>A 4669-2023</t>
        </is>
      </c>
      <c r="B715" s="1" t="n">
        <v>44957</v>
      </c>
      <c r="C715" s="1" t="n">
        <v>45904</v>
      </c>
      <c r="D715" t="inlineStr">
        <is>
          <t>SÖDERMANLANDS LÄN</t>
        </is>
      </c>
      <c r="E715" t="inlineStr">
        <is>
          <t>KATRINEHOLM</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948-2023</t>
        </is>
      </c>
      <c r="B716" s="1" t="n">
        <v>44934</v>
      </c>
      <c r="C716" s="1" t="n">
        <v>45904</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6087-2022</t>
        </is>
      </c>
      <c r="B717" s="1" t="n">
        <v>44599.61034722222</v>
      </c>
      <c r="C717" s="1" t="n">
        <v>45904</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45904</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61911-2021</t>
        </is>
      </c>
      <c r="B719" s="1" t="n">
        <v>44502.35746527778</v>
      </c>
      <c r="C719" s="1" t="n">
        <v>45904</v>
      </c>
      <c r="D719" t="inlineStr">
        <is>
          <t>SÖDERMANLANDS LÄN</t>
        </is>
      </c>
      <c r="E719" t="inlineStr">
        <is>
          <t>KATRINEHOLM</t>
        </is>
      </c>
      <c r="G719" t="n">
        <v>3.8</v>
      </c>
      <c r="H719" t="n">
        <v>0</v>
      </c>
      <c r="I719" t="n">
        <v>0</v>
      </c>
      <c r="J719" t="n">
        <v>0</v>
      </c>
      <c r="K719" t="n">
        <v>0</v>
      </c>
      <c r="L719" t="n">
        <v>0</v>
      </c>
      <c r="M719" t="n">
        <v>0</v>
      </c>
      <c r="N719" t="n">
        <v>0</v>
      </c>
      <c r="O719" t="n">
        <v>0</v>
      </c>
      <c r="P719" t="n">
        <v>0</v>
      </c>
      <c r="Q719" t="n">
        <v>0</v>
      </c>
      <c r="R719" s="2" t="inlineStr"/>
    </row>
    <row r="720" ht="15" customHeight="1">
      <c r="A720" t="inlineStr">
        <is>
          <t>A 43513-2023</t>
        </is>
      </c>
      <c r="B720" s="1" t="n">
        <v>45184</v>
      </c>
      <c r="C720" s="1" t="n">
        <v>45904</v>
      </c>
      <c r="D720" t="inlineStr">
        <is>
          <t>SÖDERMANLANDS LÄN</t>
        </is>
      </c>
      <c r="E720" t="inlineStr">
        <is>
          <t>KATRINEHOLM</t>
        </is>
      </c>
      <c r="G720" t="n">
        <v>3.8</v>
      </c>
      <c r="H720" t="n">
        <v>0</v>
      </c>
      <c r="I720" t="n">
        <v>0</v>
      </c>
      <c r="J720" t="n">
        <v>0</v>
      </c>
      <c r="K720" t="n">
        <v>0</v>
      </c>
      <c r="L720" t="n">
        <v>0</v>
      </c>
      <c r="M720" t="n">
        <v>0</v>
      </c>
      <c r="N720" t="n">
        <v>0</v>
      </c>
      <c r="O720" t="n">
        <v>0</v>
      </c>
      <c r="P720" t="n">
        <v>0</v>
      </c>
      <c r="Q720" t="n">
        <v>0</v>
      </c>
      <c r="R720" s="2" t="inlineStr"/>
    </row>
    <row r="721" ht="15" customHeight="1">
      <c r="A721" t="inlineStr">
        <is>
          <t>A 2297-2021</t>
        </is>
      </c>
      <c r="B721" s="1" t="n">
        <v>44212</v>
      </c>
      <c r="C721" s="1" t="n">
        <v>45904</v>
      </c>
      <c r="D721" t="inlineStr">
        <is>
          <t>SÖDERMANLANDS LÄN</t>
        </is>
      </c>
      <c r="E721" t="inlineStr">
        <is>
          <t>KATRINEHOLM</t>
        </is>
      </c>
      <c r="G721" t="n">
        <v>14.4</v>
      </c>
      <c r="H721" t="n">
        <v>0</v>
      </c>
      <c r="I721" t="n">
        <v>0</v>
      </c>
      <c r="J721" t="n">
        <v>0</v>
      </c>
      <c r="K721" t="n">
        <v>0</v>
      </c>
      <c r="L721" t="n">
        <v>0</v>
      </c>
      <c r="M721" t="n">
        <v>0</v>
      </c>
      <c r="N721" t="n">
        <v>0</v>
      </c>
      <c r="O721" t="n">
        <v>0</v>
      </c>
      <c r="P721" t="n">
        <v>0</v>
      </c>
      <c r="Q721" t="n">
        <v>0</v>
      </c>
      <c r="R721" s="2" t="inlineStr"/>
    </row>
    <row r="722" ht="15" customHeight="1">
      <c r="A722" t="inlineStr">
        <is>
          <t>A 12835-2024</t>
        </is>
      </c>
      <c r="B722" s="1" t="n">
        <v>45384</v>
      </c>
      <c r="C722" s="1" t="n">
        <v>45904</v>
      </c>
      <c r="D722" t="inlineStr">
        <is>
          <t>SÖDERMANLANDS LÄN</t>
        </is>
      </c>
      <c r="E722" t="inlineStr">
        <is>
          <t>KATRINEHOLM</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69600-2020</t>
        </is>
      </c>
      <c r="B723" s="1" t="n">
        <v>44195</v>
      </c>
      <c r="C723" s="1" t="n">
        <v>45904</v>
      </c>
      <c r="D723" t="inlineStr">
        <is>
          <t>SÖDERMANLANDS LÄN</t>
        </is>
      </c>
      <c r="E723" t="inlineStr">
        <is>
          <t>KATRINEHOLM</t>
        </is>
      </c>
      <c r="G723" t="n">
        <v>11.3</v>
      </c>
      <c r="H723" t="n">
        <v>0</v>
      </c>
      <c r="I723" t="n">
        <v>0</v>
      </c>
      <c r="J723" t="n">
        <v>0</v>
      </c>
      <c r="K723" t="n">
        <v>0</v>
      </c>
      <c r="L723" t="n">
        <v>0</v>
      </c>
      <c r="M723" t="n">
        <v>0</v>
      </c>
      <c r="N723" t="n">
        <v>0</v>
      </c>
      <c r="O723" t="n">
        <v>0</v>
      </c>
      <c r="P723" t="n">
        <v>0</v>
      </c>
      <c r="Q723" t="n">
        <v>0</v>
      </c>
      <c r="R723" s="2" t="inlineStr"/>
    </row>
    <row r="724" ht="15" customHeight="1">
      <c r="A724" t="inlineStr">
        <is>
          <t>A 47879-2023</t>
        </is>
      </c>
      <c r="B724" s="1" t="n">
        <v>45204</v>
      </c>
      <c r="C724" s="1" t="n">
        <v>45904</v>
      </c>
      <c r="D724" t="inlineStr">
        <is>
          <t>SÖDERMANLANDS LÄN</t>
        </is>
      </c>
      <c r="E724" t="inlineStr">
        <is>
          <t>KATRINEHOLM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49122-2024</t>
        </is>
      </c>
      <c r="B725" s="1" t="n">
        <v>45594</v>
      </c>
      <c r="C725" s="1" t="n">
        <v>45904</v>
      </c>
      <c r="D725" t="inlineStr">
        <is>
          <t>SÖDERMANLANDS LÄN</t>
        </is>
      </c>
      <c r="E725" t="inlineStr">
        <is>
          <t>KATRINEHOLM</t>
        </is>
      </c>
      <c r="G725" t="n">
        <v>19.4</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45904</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8791-2023</t>
        </is>
      </c>
      <c r="B727" s="1" t="n">
        <v>44978</v>
      </c>
      <c r="C727" s="1" t="n">
        <v>45904</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55825-2022</t>
        </is>
      </c>
      <c r="B728" s="1" t="n">
        <v>44886</v>
      </c>
      <c r="C728" s="1" t="n">
        <v>45904</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62954-2023</t>
        </is>
      </c>
      <c r="B729" s="1" t="n">
        <v>45272.55362268518</v>
      </c>
      <c r="C729" s="1" t="n">
        <v>45904</v>
      </c>
      <c r="D729" t="inlineStr">
        <is>
          <t>SÖDERMANLANDS LÄN</t>
        </is>
      </c>
      <c r="E729" t="inlineStr">
        <is>
          <t>KATRINEHOLM</t>
        </is>
      </c>
      <c r="G729" t="n">
        <v>2.3</v>
      </c>
      <c r="H729" t="n">
        <v>0</v>
      </c>
      <c r="I729" t="n">
        <v>0</v>
      </c>
      <c r="J729" t="n">
        <v>0</v>
      </c>
      <c r="K729" t="n">
        <v>0</v>
      </c>
      <c r="L729" t="n">
        <v>0</v>
      </c>
      <c r="M729" t="n">
        <v>0</v>
      </c>
      <c r="N729" t="n">
        <v>0</v>
      </c>
      <c r="O729" t="n">
        <v>0</v>
      </c>
      <c r="P729" t="n">
        <v>0</v>
      </c>
      <c r="Q729" t="n">
        <v>0</v>
      </c>
      <c r="R729" s="2" t="inlineStr"/>
    </row>
    <row r="730" ht="15" customHeight="1">
      <c r="A730" t="inlineStr">
        <is>
          <t>A 65485-2020</t>
        </is>
      </c>
      <c r="B730" s="1" t="n">
        <v>44173</v>
      </c>
      <c r="C730" s="1" t="n">
        <v>45904</v>
      </c>
      <c r="D730" t="inlineStr">
        <is>
          <t>SÖDERMANLANDS LÄN</t>
        </is>
      </c>
      <c r="E730" t="inlineStr">
        <is>
          <t>KATRINEHOLM</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7191-2023</t>
        </is>
      </c>
      <c r="B731" s="1" t="n">
        <v>44965</v>
      </c>
      <c r="C731" s="1" t="n">
        <v>45904</v>
      </c>
      <c r="D731" t="inlineStr">
        <is>
          <t>SÖDERMANLANDS LÄN</t>
        </is>
      </c>
      <c r="E731" t="inlineStr">
        <is>
          <t>KATRINEHOLM</t>
        </is>
      </c>
      <c r="G731" t="n">
        <v>14.1</v>
      </c>
      <c r="H731" t="n">
        <v>0</v>
      </c>
      <c r="I731" t="n">
        <v>0</v>
      </c>
      <c r="J731" t="n">
        <v>0</v>
      </c>
      <c r="K731" t="n">
        <v>0</v>
      </c>
      <c r="L731" t="n">
        <v>0</v>
      </c>
      <c r="M731" t="n">
        <v>0</v>
      </c>
      <c r="N731" t="n">
        <v>0</v>
      </c>
      <c r="O731" t="n">
        <v>0</v>
      </c>
      <c r="P731" t="n">
        <v>0</v>
      </c>
      <c r="Q731" t="n">
        <v>0</v>
      </c>
      <c r="R731" s="2" t="inlineStr"/>
    </row>
    <row r="732" ht="15" customHeight="1">
      <c r="A732" t="inlineStr">
        <is>
          <t>A 37834-2023</t>
        </is>
      </c>
      <c r="B732" s="1" t="n">
        <v>45160</v>
      </c>
      <c r="C732" s="1" t="n">
        <v>45904</v>
      </c>
      <c r="D732" t="inlineStr">
        <is>
          <t>SÖDERMANLANDS LÄN</t>
        </is>
      </c>
      <c r="E732" t="inlineStr">
        <is>
          <t>KATRINEHOLM</t>
        </is>
      </c>
      <c r="F732" t="inlineStr">
        <is>
          <t>Kyrkan</t>
        </is>
      </c>
      <c r="G732" t="n">
        <v>2.8</v>
      </c>
      <c r="H732" t="n">
        <v>0</v>
      </c>
      <c r="I732" t="n">
        <v>0</v>
      </c>
      <c r="J732" t="n">
        <v>0</v>
      </c>
      <c r="K732" t="n">
        <v>0</v>
      </c>
      <c r="L732" t="n">
        <v>0</v>
      </c>
      <c r="M732" t="n">
        <v>0</v>
      </c>
      <c r="N732" t="n">
        <v>0</v>
      </c>
      <c r="O732" t="n">
        <v>0</v>
      </c>
      <c r="P732" t="n">
        <v>0</v>
      </c>
      <c r="Q732" t="n">
        <v>0</v>
      </c>
      <c r="R732" s="2" t="inlineStr"/>
    </row>
    <row r="733" ht="15" customHeight="1">
      <c r="A733" t="inlineStr">
        <is>
          <t>A 36210-2022</t>
        </is>
      </c>
      <c r="B733" s="1" t="n">
        <v>44803.47950231482</v>
      </c>
      <c r="C733" s="1" t="n">
        <v>45904</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19685-2022</t>
        </is>
      </c>
      <c r="B734" s="1" t="n">
        <v>44694</v>
      </c>
      <c r="C734" s="1" t="n">
        <v>45904</v>
      </c>
      <c r="D734" t="inlineStr">
        <is>
          <t>SÖDERMANLANDS LÄN</t>
        </is>
      </c>
      <c r="E734" t="inlineStr">
        <is>
          <t>KATRINEHOLM</t>
        </is>
      </c>
      <c r="G734" t="n">
        <v>1.7</v>
      </c>
      <c r="H734" t="n">
        <v>0</v>
      </c>
      <c r="I734" t="n">
        <v>0</v>
      </c>
      <c r="J734" t="n">
        <v>0</v>
      </c>
      <c r="K734" t="n">
        <v>0</v>
      </c>
      <c r="L734" t="n">
        <v>0</v>
      </c>
      <c r="M734" t="n">
        <v>0</v>
      </c>
      <c r="N734" t="n">
        <v>0</v>
      </c>
      <c r="O734" t="n">
        <v>0</v>
      </c>
      <c r="P734" t="n">
        <v>0</v>
      </c>
      <c r="Q734" t="n">
        <v>0</v>
      </c>
      <c r="R734" s="2" t="inlineStr"/>
    </row>
    <row r="735" ht="15" customHeight="1">
      <c r="A735" t="inlineStr">
        <is>
          <t>A 17746-2024</t>
        </is>
      </c>
      <c r="B735" s="1" t="n">
        <v>45415</v>
      </c>
      <c r="C735" s="1" t="n">
        <v>45904</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57510-2021</t>
        </is>
      </c>
      <c r="B736" s="1" t="n">
        <v>44483</v>
      </c>
      <c r="C736" s="1" t="n">
        <v>45904</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34731-2023</t>
        </is>
      </c>
      <c r="B737" s="1" t="n">
        <v>45141</v>
      </c>
      <c r="C737" s="1" t="n">
        <v>45904</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8951-2024</t>
        </is>
      </c>
      <c r="B738" s="1" t="n">
        <v>45357.44695601852</v>
      </c>
      <c r="C738" s="1" t="n">
        <v>45904</v>
      </c>
      <c r="D738" t="inlineStr">
        <is>
          <t>SÖDERMANLANDS LÄN</t>
        </is>
      </c>
      <c r="E738" t="inlineStr">
        <is>
          <t>KATRINEHOLM</t>
        </is>
      </c>
      <c r="G738" t="n">
        <v>3.3</v>
      </c>
      <c r="H738" t="n">
        <v>0</v>
      </c>
      <c r="I738" t="n">
        <v>0</v>
      </c>
      <c r="J738" t="n">
        <v>0</v>
      </c>
      <c r="K738" t="n">
        <v>0</v>
      </c>
      <c r="L738" t="n">
        <v>0</v>
      </c>
      <c r="M738" t="n">
        <v>0</v>
      </c>
      <c r="N738" t="n">
        <v>0</v>
      </c>
      <c r="O738" t="n">
        <v>0</v>
      </c>
      <c r="P738" t="n">
        <v>0</v>
      </c>
      <c r="Q738" t="n">
        <v>0</v>
      </c>
      <c r="R738" s="2" t="inlineStr"/>
    </row>
    <row r="739" ht="15" customHeight="1">
      <c r="A739" t="inlineStr">
        <is>
          <t>A 14224-2024</t>
        </is>
      </c>
      <c r="B739" s="1" t="n">
        <v>45393</v>
      </c>
      <c r="C739" s="1" t="n">
        <v>45904</v>
      </c>
      <c r="D739" t="inlineStr">
        <is>
          <t>SÖDERMANLANDS LÄN</t>
        </is>
      </c>
      <c r="E739" t="inlineStr">
        <is>
          <t>KATRINEHOLM</t>
        </is>
      </c>
      <c r="F739" t="inlineStr">
        <is>
          <t>Sveaskog</t>
        </is>
      </c>
      <c r="G739" t="n">
        <v>7.6</v>
      </c>
      <c r="H739" t="n">
        <v>0</v>
      </c>
      <c r="I739" t="n">
        <v>0</v>
      </c>
      <c r="J739" t="n">
        <v>0</v>
      </c>
      <c r="K739" t="n">
        <v>0</v>
      </c>
      <c r="L739" t="n">
        <v>0</v>
      </c>
      <c r="M739" t="n">
        <v>0</v>
      </c>
      <c r="N739" t="n">
        <v>0</v>
      </c>
      <c r="O739" t="n">
        <v>0</v>
      </c>
      <c r="P739" t="n">
        <v>0</v>
      </c>
      <c r="Q739" t="n">
        <v>0</v>
      </c>
      <c r="R739" s="2" t="inlineStr"/>
    </row>
    <row r="740" ht="15" customHeight="1">
      <c r="A740" t="inlineStr">
        <is>
          <t>A 44989-2022</t>
        </is>
      </c>
      <c r="B740" s="1" t="n">
        <v>44840</v>
      </c>
      <c r="C740" s="1" t="n">
        <v>45904</v>
      </c>
      <c r="D740" t="inlineStr">
        <is>
          <t>SÖDERMANLANDS LÄN</t>
        </is>
      </c>
      <c r="E740" t="inlineStr">
        <is>
          <t>KATRINEHOLM</t>
        </is>
      </c>
      <c r="G740" t="n">
        <v>6</v>
      </c>
      <c r="H740" t="n">
        <v>0</v>
      </c>
      <c r="I740" t="n">
        <v>0</v>
      </c>
      <c r="J740" t="n">
        <v>0</v>
      </c>
      <c r="K740" t="n">
        <v>0</v>
      </c>
      <c r="L740" t="n">
        <v>0</v>
      </c>
      <c r="M740" t="n">
        <v>0</v>
      </c>
      <c r="N740" t="n">
        <v>0</v>
      </c>
      <c r="O740" t="n">
        <v>0</v>
      </c>
      <c r="P740" t="n">
        <v>0</v>
      </c>
      <c r="Q740" t="n">
        <v>0</v>
      </c>
      <c r="R740" s="2" t="inlineStr"/>
    </row>
    <row r="741" ht="15" customHeight="1">
      <c r="A741" t="inlineStr">
        <is>
          <t>A 38826-2021</t>
        </is>
      </c>
      <c r="B741" s="1" t="n">
        <v>44411</v>
      </c>
      <c r="C741" s="1" t="n">
        <v>45904</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11875-2023</t>
        </is>
      </c>
      <c r="B742" s="1" t="n">
        <v>44995</v>
      </c>
      <c r="C742" s="1" t="n">
        <v>45904</v>
      </c>
      <c r="D742" t="inlineStr">
        <is>
          <t>SÖDERMANLANDS LÄN</t>
        </is>
      </c>
      <c r="E742" t="inlineStr">
        <is>
          <t>KATRINEHOLM</t>
        </is>
      </c>
      <c r="F742" t="inlineStr">
        <is>
          <t>Kommuner</t>
        </is>
      </c>
      <c r="G742" t="n">
        <v>1.1</v>
      </c>
      <c r="H742" t="n">
        <v>0</v>
      </c>
      <c r="I742" t="n">
        <v>0</v>
      </c>
      <c r="J742" t="n">
        <v>0</v>
      </c>
      <c r="K742" t="n">
        <v>0</v>
      </c>
      <c r="L742" t="n">
        <v>0</v>
      </c>
      <c r="M742" t="n">
        <v>0</v>
      </c>
      <c r="N742" t="n">
        <v>0</v>
      </c>
      <c r="O742" t="n">
        <v>0</v>
      </c>
      <c r="P742" t="n">
        <v>0</v>
      </c>
      <c r="Q742" t="n">
        <v>0</v>
      </c>
      <c r="R742" s="2" t="inlineStr"/>
    </row>
    <row r="743" ht="15" customHeight="1">
      <c r="A743" t="inlineStr">
        <is>
          <t>A 57263-2022</t>
        </is>
      </c>
      <c r="B743" s="1" t="n">
        <v>44895</v>
      </c>
      <c r="C743" s="1" t="n">
        <v>45904</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6808-2023</t>
        </is>
      </c>
      <c r="B744" s="1" t="n">
        <v>44964</v>
      </c>
      <c r="C744" s="1" t="n">
        <v>45904</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51128-2021</t>
        </is>
      </c>
      <c r="B745" s="1" t="n">
        <v>44460</v>
      </c>
      <c r="C745" s="1" t="n">
        <v>45904</v>
      </c>
      <c r="D745" t="inlineStr">
        <is>
          <t>SÖDERMANLANDS LÄN</t>
        </is>
      </c>
      <c r="E745" t="inlineStr">
        <is>
          <t>KATRINEHOLM</t>
        </is>
      </c>
      <c r="G745" t="n">
        <v>7.8</v>
      </c>
      <c r="H745" t="n">
        <v>0</v>
      </c>
      <c r="I745" t="n">
        <v>0</v>
      </c>
      <c r="J745" t="n">
        <v>0</v>
      </c>
      <c r="K745" t="n">
        <v>0</v>
      </c>
      <c r="L745" t="n">
        <v>0</v>
      </c>
      <c r="M745" t="n">
        <v>0</v>
      </c>
      <c r="N745" t="n">
        <v>0</v>
      </c>
      <c r="O745" t="n">
        <v>0</v>
      </c>
      <c r="P745" t="n">
        <v>0</v>
      </c>
      <c r="Q745" t="n">
        <v>0</v>
      </c>
      <c r="R745" s="2" t="inlineStr"/>
    </row>
    <row r="746" ht="15" customHeight="1">
      <c r="A746" t="inlineStr">
        <is>
          <t>A 51264-2021</t>
        </is>
      </c>
      <c r="B746" s="1" t="n">
        <v>44461</v>
      </c>
      <c r="C746" s="1" t="n">
        <v>45904</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23207-2023</t>
        </is>
      </c>
      <c r="B747" s="1" t="n">
        <v>45071</v>
      </c>
      <c r="C747" s="1" t="n">
        <v>45904</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65077-2020</t>
        </is>
      </c>
      <c r="B748" s="1" t="n">
        <v>44172</v>
      </c>
      <c r="C748" s="1" t="n">
        <v>45904</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45904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5935-2023</t>
        </is>
      </c>
      <c r="B750" s="1" t="n">
        <v>44963</v>
      </c>
      <c r="C750" s="1" t="n">
        <v>45904</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4679-2023</t>
        </is>
      </c>
      <c r="B751" s="1" t="n">
        <v>44957.44885416667</v>
      </c>
      <c r="C751" s="1" t="n">
        <v>45904</v>
      </c>
      <c r="D751" t="inlineStr">
        <is>
          <t>SÖDERMANLANDS LÄN</t>
        </is>
      </c>
      <c r="E751" t="inlineStr">
        <is>
          <t>KATRINEHOLM</t>
        </is>
      </c>
      <c r="G751" t="n">
        <v>5.3</v>
      </c>
      <c r="H751" t="n">
        <v>0</v>
      </c>
      <c r="I751" t="n">
        <v>0</v>
      </c>
      <c r="J751" t="n">
        <v>0</v>
      </c>
      <c r="K751" t="n">
        <v>0</v>
      </c>
      <c r="L751" t="n">
        <v>0</v>
      </c>
      <c r="M751" t="n">
        <v>0</v>
      </c>
      <c r="N751" t="n">
        <v>0</v>
      </c>
      <c r="O751" t="n">
        <v>0</v>
      </c>
      <c r="P751" t="n">
        <v>0</v>
      </c>
      <c r="Q751" t="n">
        <v>0</v>
      </c>
      <c r="R751" s="2" t="inlineStr"/>
    </row>
    <row r="752" ht="15" customHeight="1">
      <c r="A752" t="inlineStr">
        <is>
          <t>A 11104-2023</t>
        </is>
      </c>
      <c r="B752" s="1" t="n">
        <v>44992</v>
      </c>
      <c r="C752" s="1" t="n">
        <v>45904</v>
      </c>
      <c r="D752" t="inlineStr">
        <is>
          <t>SÖDERMANLANDS LÄN</t>
        </is>
      </c>
      <c r="E752" t="inlineStr">
        <is>
          <t>KATRINEHOLM</t>
        </is>
      </c>
      <c r="F752" t="inlineStr">
        <is>
          <t>Allmännings- och besparingsskogar</t>
        </is>
      </c>
      <c r="G752" t="n">
        <v>7.8</v>
      </c>
      <c r="H752" t="n">
        <v>0</v>
      </c>
      <c r="I752" t="n">
        <v>0</v>
      </c>
      <c r="J752" t="n">
        <v>0</v>
      </c>
      <c r="K752" t="n">
        <v>0</v>
      </c>
      <c r="L752" t="n">
        <v>0</v>
      </c>
      <c r="M752" t="n">
        <v>0</v>
      </c>
      <c r="N752" t="n">
        <v>0</v>
      </c>
      <c r="O752" t="n">
        <v>0</v>
      </c>
      <c r="P752" t="n">
        <v>0</v>
      </c>
      <c r="Q752" t="n">
        <v>0</v>
      </c>
      <c r="R752" s="2" t="inlineStr"/>
    </row>
    <row r="753" ht="15" customHeight="1">
      <c r="A753" t="inlineStr">
        <is>
          <t>A 40159-2023</t>
        </is>
      </c>
      <c r="B753" s="1" t="n">
        <v>45169</v>
      </c>
      <c r="C753" s="1" t="n">
        <v>45904</v>
      </c>
      <c r="D753" t="inlineStr">
        <is>
          <t>SÖDERMANLANDS LÄN</t>
        </is>
      </c>
      <c r="E753" t="inlineStr">
        <is>
          <t>KATRINEHOLM</t>
        </is>
      </c>
      <c r="F753" t="inlineStr">
        <is>
          <t>Övriga Aktiebolag</t>
        </is>
      </c>
      <c r="G753" t="n">
        <v>1.1</v>
      </c>
      <c r="H753" t="n">
        <v>0</v>
      </c>
      <c r="I753" t="n">
        <v>0</v>
      </c>
      <c r="J753" t="n">
        <v>0</v>
      </c>
      <c r="K753" t="n">
        <v>0</v>
      </c>
      <c r="L753" t="n">
        <v>0</v>
      </c>
      <c r="M753" t="n">
        <v>0</v>
      </c>
      <c r="N753" t="n">
        <v>0</v>
      </c>
      <c r="O753" t="n">
        <v>0</v>
      </c>
      <c r="P753" t="n">
        <v>0</v>
      </c>
      <c r="Q753" t="n">
        <v>0</v>
      </c>
      <c r="R753" s="2" t="inlineStr"/>
    </row>
    <row r="754" ht="15" customHeight="1">
      <c r="A754" t="inlineStr">
        <is>
          <t>A 36562-2023</t>
        </is>
      </c>
      <c r="B754" s="1" t="n">
        <v>45153</v>
      </c>
      <c r="C754" s="1" t="n">
        <v>45904</v>
      </c>
      <c r="D754" t="inlineStr">
        <is>
          <t>SÖDERMANLANDS LÄN</t>
        </is>
      </c>
      <c r="E754" t="inlineStr">
        <is>
          <t>KATRINEHOLM</t>
        </is>
      </c>
      <c r="G754" t="n">
        <v>5.8</v>
      </c>
      <c r="H754" t="n">
        <v>0</v>
      </c>
      <c r="I754" t="n">
        <v>0</v>
      </c>
      <c r="J754" t="n">
        <v>0</v>
      </c>
      <c r="K754" t="n">
        <v>0</v>
      </c>
      <c r="L754" t="n">
        <v>0</v>
      </c>
      <c r="M754" t="n">
        <v>0</v>
      </c>
      <c r="N754" t="n">
        <v>0</v>
      </c>
      <c r="O754" t="n">
        <v>0</v>
      </c>
      <c r="P754" t="n">
        <v>0</v>
      </c>
      <c r="Q754" t="n">
        <v>0</v>
      </c>
      <c r="R754" s="2" t="inlineStr"/>
    </row>
    <row r="755" ht="15" customHeight="1">
      <c r="A755" t="inlineStr">
        <is>
          <t>A 4872-2024</t>
        </is>
      </c>
      <c r="B755" s="1" t="n">
        <v>45329</v>
      </c>
      <c r="C755" s="1" t="n">
        <v>45904</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6611-2023</t>
        </is>
      </c>
      <c r="B756" s="1" t="n">
        <v>44963</v>
      </c>
      <c r="C756" s="1" t="n">
        <v>45904</v>
      </c>
      <c r="D756" t="inlineStr">
        <is>
          <t>SÖDERMANLANDS LÄN</t>
        </is>
      </c>
      <c r="E756" t="inlineStr">
        <is>
          <t>KATRINEHOLM</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25823-2023</t>
        </is>
      </c>
      <c r="B757" s="1" t="n">
        <v>45090.55078703703</v>
      </c>
      <c r="C757" s="1" t="n">
        <v>45904</v>
      </c>
      <c r="D757" t="inlineStr">
        <is>
          <t>SÖDERMANLANDS LÄN</t>
        </is>
      </c>
      <c r="E757" t="inlineStr">
        <is>
          <t>KATRINEHOLM</t>
        </is>
      </c>
      <c r="F757" t="inlineStr">
        <is>
          <t>Kyrkan</t>
        </is>
      </c>
      <c r="G757" t="n">
        <v>10.2</v>
      </c>
      <c r="H757" t="n">
        <v>0</v>
      </c>
      <c r="I757" t="n">
        <v>0</v>
      </c>
      <c r="J757" t="n">
        <v>0</v>
      </c>
      <c r="K757" t="n">
        <v>0</v>
      </c>
      <c r="L757" t="n">
        <v>0</v>
      </c>
      <c r="M757" t="n">
        <v>0</v>
      </c>
      <c r="N757" t="n">
        <v>0</v>
      </c>
      <c r="O757" t="n">
        <v>0</v>
      </c>
      <c r="P757" t="n">
        <v>0</v>
      </c>
      <c r="Q757" t="n">
        <v>0</v>
      </c>
      <c r="R757" s="2" t="inlineStr"/>
    </row>
    <row r="758" ht="15" customHeight="1">
      <c r="A758" t="inlineStr">
        <is>
          <t>A 61398-2024</t>
        </is>
      </c>
      <c r="B758" s="1" t="n">
        <v>45646.42608796297</v>
      </c>
      <c r="C758" s="1" t="n">
        <v>45904</v>
      </c>
      <c r="D758" t="inlineStr">
        <is>
          <t>SÖDERMANLANDS LÄN</t>
        </is>
      </c>
      <c r="E758" t="inlineStr">
        <is>
          <t>KATRINEHOLM</t>
        </is>
      </c>
      <c r="G758" t="n">
        <v>0.7</v>
      </c>
      <c r="H758" t="n">
        <v>0</v>
      </c>
      <c r="I758" t="n">
        <v>0</v>
      </c>
      <c r="J758" t="n">
        <v>0</v>
      </c>
      <c r="K758" t="n">
        <v>0</v>
      </c>
      <c r="L758" t="n">
        <v>0</v>
      </c>
      <c r="M758" t="n">
        <v>0</v>
      </c>
      <c r="N758" t="n">
        <v>0</v>
      </c>
      <c r="O758" t="n">
        <v>0</v>
      </c>
      <c r="P758" t="n">
        <v>0</v>
      </c>
      <c r="Q758" t="n">
        <v>0</v>
      </c>
      <c r="R758" s="2" t="inlineStr"/>
    </row>
    <row r="759" ht="15" customHeight="1">
      <c r="A759" t="inlineStr">
        <is>
          <t>A 20480-2022</t>
        </is>
      </c>
      <c r="B759" s="1" t="n">
        <v>44699</v>
      </c>
      <c r="C759" s="1" t="n">
        <v>45904</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3060-2022</t>
        </is>
      </c>
      <c r="B760" s="1" t="n">
        <v>44582.40109953703</v>
      </c>
      <c r="C760" s="1" t="n">
        <v>45904</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2320-2023</t>
        </is>
      </c>
      <c r="B761" s="1" t="n">
        <v>44942.58850694444</v>
      </c>
      <c r="C761" s="1" t="n">
        <v>45904</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2325-2023</t>
        </is>
      </c>
      <c r="B762" s="1" t="n">
        <v>44942</v>
      </c>
      <c r="C762" s="1" t="n">
        <v>45904</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49112-2024</t>
        </is>
      </c>
      <c r="B763" s="1" t="n">
        <v>45594.65637731482</v>
      </c>
      <c r="C763" s="1" t="n">
        <v>45904</v>
      </c>
      <c r="D763" t="inlineStr">
        <is>
          <t>SÖDERMANLANDS LÄN</t>
        </is>
      </c>
      <c r="E763" t="inlineStr">
        <is>
          <t>KATRINEHOLM</t>
        </is>
      </c>
      <c r="G763" t="n">
        <v>3.6</v>
      </c>
      <c r="H763" t="n">
        <v>0</v>
      </c>
      <c r="I763" t="n">
        <v>0</v>
      </c>
      <c r="J763" t="n">
        <v>0</v>
      </c>
      <c r="K763" t="n">
        <v>0</v>
      </c>
      <c r="L763" t="n">
        <v>0</v>
      </c>
      <c r="M763" t="n">
        <v>0</v>
      </c>
      <c r="N763" t="n">
        <v>0</v>
      </c>
      <c r="O763" t="n">
        <v>0</v>
      </c>
      <c r="P763" t="n">
        <v>0</v>
      </c>
      <c r="Q763" t="n">
        <v>0</v>
      </c>
      <c r="R763" s="2" t="inlineStr"/>
    </row>
    <row r="764" ht="15" customHeight="1">
      <c r="A764" t="inlineStr">
        <is>
          <t>A 55732-2023</t>
        </is>
      </c>
      <c r="B764" s="1" t="n">
        <v>45239</v>
      </c>
      <c r="C764" s="1" t="n">
        <v>45904</v>
      </c>
      <c r="D764" t="inlineStr">
        <is>
          <t>SÖDERMANLANDS LÄN</t>
        </is>
      </c>
      <c r="E764" t="inlineStr">
        <is>
          <t>KATRINEHOLM</t>
        </is>
      </c>
      <c r="G764" t="n">
        <v>0.9</v>
      </c>
      <c r="H764" t="n">
        <v>0</v>
      </c>
      <c r="I764" t="n">
        <v>0</v>
      </c>
      <c r="J764" t="n">
        <v>0</v>
      </c>
      <c r="K764" t="n">
        <v>0</v>
      </c>
      <c r="L764" t="n">
        <v>0</v>
      </c>
      <c r="M764" t="n">
        <v>0</v>
      </c>
      <c r="N764" t="n">
        <v>0</v>
      </c>
      <c r="O764" t="n">
        <v>0</v>
      </c>
      <c r="P764" t="n">
        <v>0</v>
      </c>
      <c r="Q764" t="n">
        <v>0</v>
      </c>
      <c r="R764" s="2" t="inlineStr"/>
    </row>
    <row r="765" ht="15" customHeight="1">
      <c r="A765" t="inlineStr">
        <is>
          <t>A 3075-2022</t>
        </is>
      </c>
      <c r="B765" s="1" t="n">
        <v>44582</v>
      </c>
      <c r="C765" s="1" t="n">
        <v>45904</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9388-2021</t>
        </is>
      </c>
      <c r="B766" s="1" t="n">
        <v>44250</v>
      </c>
      <c r="C766" s="1" t="n">
        <v>45904</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58958-2020</t>
        </is>
      </c>
      <c r="B767" s="1" t="n">
        <v>44146</v>
      </c>
      <c r="C767" s="1" t="n">
        <v>45904</v>
      </c>
      <c r="D767" t="inlineStr">
        <is>
          <t>SÖDERMANLANDS LÄN</t>
        </is>
      </c>
      <c r="E767" t="inlineStr">
        <is>
          <t>KATRINEHOLM</t>
        </is>
      </c>
      <c r="F767" t="inlineStr">
        <is>
          <t>Holmen skog AB</t>
        </is>
      </c>
      <c r="G767" t="n">
        <v>0.2</v>
      </c>
      <c r="H767" t="n">
        <v>0</v>
      </c>
      <c r="I767" t="n">
        <v>0</v>
      </c>
      <c r="J767" t="n">
        <v>0</v>
      </c>
      <c r="K767" t="n">
        <v>0</v>
      </c>
      <c r="L767" t="n">
        <v>0</v>
      </c>
      <c r="M767" t="n">
        <v>0</v>
      </c>
      <c r="N767" t="n">
        <v>0</v>
      </c>
      <c r="O767" t="n">
        <v>0</v>
      </c>
      <c r="P767" t="n">
        <v>0</v>
      </c>
      <c r="Q767" t="n">
        <v>0</v>
      </c>
      <c r="R767" s="2" t="inlineStr"/>
    </row>
    <row r="768" ht="15" customHeight="1">
      <c r="A768" t="inlineStr">
        <is>
          <t>A 13175-2024</t>
        </is>
      </c>
      <c r="B768" s="1" t="n">
        <v>45386</v>
      </c>
      <c r="C768" s="1" t="n">
        <v>45904</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26081-2024</t>
        </is>
      </c>
      <c r="B769" s="1" t="n">
        <v>45462</v>
      </c>
      <c r="C769" s="1" t="n">
        <v>45904</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4667-2024</t>
        </is>
      </c>
      <c r="B770" s="1" t="n">
        <v>45328.47</v>
      </c>
      <c r="C770" s="1" t="n">
        <v>45904</v>
      </c>
      <c r="D770" t="inlineStr">
        <is>
          <t>SÖDERMANLANDS LÄN</t>
        </is>
      </c>
      <c r="E770" t="inlineStr">
        <is>
          <t>KATRINEHOLM</t>
        </is>
      </c>
      <c r="F770" t="inlineStr">
        <is>
          <t>Övriga Aktiebolag</t>
        </is>
      </c>
      <c r="G770" t="n">
        <v>10.2</v>
      </c>
      <c r="H770" t="n">
        <v>0</v>
      </c>
      <c r="I770" t="n">
        <v>0</v>
      </c>
      <c r="J770" t="n">
        <v>0</v>
      </c>
      <c r="K770" t="n">
        <v>0</v>
      </c>
      <c r="L770" t="n">
        <v>0</v>
      </c>
      <c r="M770" t="n">
        <v>0</v>
      </c>
      <c r="N770" t="n">
        <v>0</v>
      </c>
      <c r="O770" t="n">
        <v>0</v>
      </c>
      <c r="P770" t="n">
        <v>0</v>
      </c>
      <c r="Q770" t="n">
        <v>0</v>
      </c>
      <c r="R770" s="2" t="inlineStr"/>
    </row>
    <row r="771" ht="15" customHeight="1">
      <c r="A771" t="inlineStr">
        <is>
          <t>A 5953-2021</t>
        </is>
      </c>
      <c r="B771" s="1" t="n">
        <v>44231</v>
      </c>
      <c r="C771" s="1" t="n">
        <v>45904</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19107-2022</t>
        </is>
      </c>
      <c r="B772" s="1" t="n">
        <v>44691.54077546296</v>
      </c>
      <c r="C772" s="1" t="n">
        <v>45904</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19442-2023</t>
        </is>
      </c>
      <c r="B773" s="1" t="n">
        <v>45050</v>
      </c>
      <c r="C773" s="1" t="n">
        <v>45904</v>
      </c>
      <c r="D773" t="inlineStr">
        <is>
          <t>SÖDERMANLANDS LÄN</t>
        </is>
      </c>
      <c r="E773" t="inlineStr">
        <is>
          <t>KATRINEHOLM</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59093-2024</t>
        </is>
      </c>
      <c r="B774" s="1" t="n">
        <v>45636</v>
      </c>
      <c r="C774" s="1" t="n">
        <v>45904</v>
      </c>
      <c r="D774" t="inlineStr">
        <is>
          <t>SÖDERMANLANDS LÄN</t>
        </is>
      </c>
      <c r="E774" t="inlineStr">
        <is>
          <t>KATRINEHOLM</t>
        </is>
      </c>
      <c r="G774" t="n">
        <v>2.8</v>
      </c>
      <c r="H774" t="n">
        <v>0</v>
      </c>
      <c r="I774" t="n">
        <v>0</v>
      </c>
      <c r="J774" t="n">
        <v>0</v>
      </c>
      <c r="K774" t="n">
        <v>0</v>
      </c>
      <c r="L774" t="n">
        <v>0</v>
      </c>
      <c r="M774" t="n">
        <v>0</v>
      </c>
      <c r="N774" t="n">
        <v>0</v>
      </c>
      <c r="O774" t="n">
        <v>0</v>
      </c>
      <c r="P774" t="n">
        <v>0</v>
      </c>
      <c r="Q774" t="n">
        <v>0</v>
      </c>
      <c r="R774" s="2" t="inlineStr"/>
    </row>
    <row r="775" ht="15" customHeight="1">
      <c r="A775" t="inlineStr">
        <is>
          <t>A 17792-2025</t>
        </is>
      </c>
      <c r="B775" s="1" t="n">
        <v>45758</v>
      </c>
      <c r="C775" s="1" t="n">
        <v>45904</v>
      </c>
      <c r="D775" t="inlineStr">
        <is>
          <t>SÖDERMANLANDS LÄN</t>
        </is>
      </c>
      <c r="E775" t="inlineStr">
        <is>
          <t>KATRINEHOLM</t>
        </is>
      </c>
      <c r="G775" t="n">
        <v>4.2</v>
      </c>
      <c r="H775" t="n">
        <v>0</v>
      </c>
      <c r="I775" t="n">
        <v>0</v>
      </c>
      <c r="J775" t="n">
        <v>0</v>
      </c>
      <c r="K775" t="n">
        <v>0</v>
      </c>
      <c r="L775" t="n">
        <v>0</v>
      </c>
      <c r="M775" t="n">
        <v>0</v>
      </c>
      <c r="N775" t="n">
        <v>0</v>
      </c>
      <c r="O775" t="n">
        <v>0</v>
      </c>
      <c r="P775" t="n">
        <v>0</v>
      </c>
      <c r="Q775" t="n">
        <v>0</v>
      </c>
      <c r="R775" s="2" t="inlineStr"/>
    </row>
    <row r="776" ht="15" customHeight="1">
      <c r="A776" t="inlineStr">
        <is>
          <t>A 58473-2021</t>
        </is>
      </c>
      <c r="B776" s="1" t="n">
        <v>44488</v>
      </c>
      <c r="C776" s="1" t="n">
        <v>45904</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53860-2021</t>
        </is>
      </c>
      <c r="B777" s="1" t="n">
        <v>44467</v>
      </c>
      <c r="C777" s="1" t="n">
        <v>45904</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c r="A778" t="inlineStr">
        <is>
          <t>A 20533-2023</t>
        </is>
      </c>
      <c r="B778" s="1" t="n">
        <v>45057</v>
      </c>
      <c r="C778" s="1" t="n">
        <v>45904</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c r="T778">
        <f>HYPERLINK("https://klasma.github.io/Logging_0483/kartor/A 20533-2023 karta.png", "A 20533-2023")</f>
        <v/>
      </c>
      <c r="V778">
        <f>HYPERLINK("https://klasma.github.io/Logging_0483/klagomål/A 20533-2023 FSC-klagomål.docx", "A 20533-2023")</f>
        <v/>
      </c>
      <c r="W778">
        <f>HYPERLINK("https://klasma.github.io/Logging_0483/klagomålsmail/A 20533-2023 FSC-klagomål mail.docx", "A 20533-2023")</f>
        <v/>
      </c>
      <c r="X778">
        <f>HYPERLINK("https://klasma.github.io/Logging_0483/tillsyn/A 20533-2023 tillsynsbegäran.docx", "A 20533-2023")</f>
        <v/>
      </c>
      <c r="Y778">
        <f>HYPERLINK("https://klasma.github.io/Logging_0483/tillsynsmail/A 20533-2023 tillsynsbegäran mail.docx", "A 20533-2023")</f>
        <v/>
      </c>
      <c r="Z778">
        <f>HYPERLINK("https://klasma.github.io/Logging_0483/fåglar/A 20533-2023 prioriterade fågelarter.docx", "A 20533-2023")</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2025-09-04T17:45:39Z</dcterms:created>
  <dcterms:modified xmlns:dcterms="http://purl.org/dc/terms/" xmlns:xsi="http://www.w3.org/2001/XMLSchema-instance" xsi:type="dcterms:W3CDTF">2025-09-04T17:45:40Z</dcterms:modified>
</cp:coreProperties>
</file>