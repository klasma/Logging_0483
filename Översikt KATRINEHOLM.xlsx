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46142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46142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46142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46142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46142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46142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46142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46142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46142</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46142</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46142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46142</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46142</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46142</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46142</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16435-2026</t>
        </is>
      </c>
      <c r="B22" s="1" t="n">
        <v>46111.82163194445</v>
      </c>
      <c r="C22" s="1" t="n">
        <v>46142</v>
      </c>
      <c r="D22" t="inlineStr">
        <is>
          <t>SÖDERMANLANDS LÄN</t>
        </is>
      </c>
      <c r="E22" t="inlineStr">
        <is>
          <t>KATRINEHOLM</t>
        </is>
      </c>
      <c r="G22" t="n">
        <v>5.7</v>
      </c>
      <c r="H22" t="n">
        <v>1</v>
      </c>
      <c r="I22" t="n">
        <v>1</v>
      </c>
      <c r="J22" t="n">
        <v>0</v>
      </c>
      <c r="K22" t="n">
        <v>0</v>
      </c>
      <c r="L22" t="n">
        <v>0</v>
      </c>
      <c r="M22" t="n">
        <v>0</v>
      </c>
      <c r="N22" t="n">
        <v>0</v>
      </c>
      <c r="O22" t="n">
        <v>0</v>
      </c>
      <c r="P22" t="n">
        <v>0</v>
      </c>
      <c r="Q22" t="n">
        <v>2</v>
      </c>
      <c r="R22" s="2" t="inlineStr">
        <is>
          <t>Dropptaggsvamp
Mattlummer</t>
        </is>
      </c>
      <c r="S22">
        <f>HYPERLINK("https://klasma.github.io/Logging_0483/artfynd/A 16435-2026 artfynd.xlsx", "A 16435-2026")</f>
        <v/>
      </c>
      <c r="T22">
        <f>HYPERLINK("https://klasma.github.io/Logging_0483/kartor/A 16435-2026 karta.png", "A 16435-2026")</f>
        <v/>
      </c>
      <c r="V22">
        <f>HYPERLINK("https://klasma.github.io/Logging_0483/klagomål/A 16435-2026 FSC-klagomål.docx", "A 16435-2026")</f>
        <v/>
      </c>
      <c r="W22">
        <f>HYPERLINK("https://klasma.github.io/Logging_0483/klagomålsmail/A 16435-2026 FSC-klagomål mail.docx", "A 16435-2026")</f>
        <v/>
      </c>
      <c r="X22">
        <f>HYPERLINK("https://klasma.github.io/Logging_0483/tillsyn/A 16435-2026 tillsynsbegäran.docx", "A 16435-2026")</f>
        <v/>
      </c>
      <c r="Y22">
        <f>HYPERLINK("https://klasma.github.io/Logging_0483/tillsynsmail/A 16435-2026 tillsynsbegäran mail.docx", "A 16435-2026")</f>
        <v/>
      </c>
    </row>
    <row r="23" ht="15" customHeight="1">
      <c r="A23" t="inlineStr">
        <is>
          <t>A 70501-2021</t>
        </is>
      </c>
      <c r="B23" s="1" t="n">
        <v>44536</v>
      </c>
      <c r="C23" s="1" t="n">
        <v>46142</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46142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46142</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46142</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46142</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46142</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46142</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46142</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46142</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46142</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46142</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46142</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46142</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27926-2025</t>
        </is>
      </c>
      <c r="B36" s="1" t="n">
        <v>45814</v>
      </c>
      <c r="C36" s="1" t="n">
        <v>46142</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8917-2024</t>
        </is>
      </c>
      <c r="B37" s="1" t="n">
        <v>45357.37618055556</v>
      </c>
      <c r="C37" s="1" t="n">
        <v>46142</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46142</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46142</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46142</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35163-2025</t>
        </is>
      </c>
      <c r="B41" s="1" t="n">
        <v>45852.71136574074</v>
      </c>
      <c r="C41" s="1" t="n">
        <v>46142</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44486-2023</t>
        </is>
      </c>
      <c r="B42" s="1" t="n">
        <v>45183</v>
      </c>
      <c r="C42" s="1" t="n">
        <v>46142</v>
      </c>
      <c r="D42" t="inlineStr">
        <is>
          <t>SÖDERMANLANDS LÄN</t>
        </is>
      </c>
      <c r="E42" t="inlineStr">
        <is>
          <t>KATRINEHOLM</t>
        </is>
      </c>
      <c r="G42" t="n">
        <v>1.7</v>
      </c>
      <c r="H42" t="n">
        <v>0</v>
      </c>
      <c r="I42" t="n">
        <v>0</v>
      </c>
      <c r="J42" t="n">
        <v>1</v>
      </c>
      <c r="K42" t="n">
        <v>0</v>
      </c>
      <c r="L42" t="n">
        <v>0</v>
      </c>
      <c r="M42" t="n">
        <v>0</v>
      </c>
      <c r="N42" t="n">
        <v>0</v>
      </c>
      <c r="O42" t="n">
        <v>1</v>
      </c>
      <c r="P42" t="n">
        <v>0</v>
      </c>
      <c r="Q42" t="n">
        <v>1</v>
      </c>
      <c r="R42" s="2" t="inlineStr">
        <is>
          <t>Svedjenäva</t>
        </is>
      </c>
      <c r="S42">
        <f>HYPERLINK("https://klasma.github.io/Logging_0483/artfynd/A 44486-2023 artfynd.xlsx", "A 44486-2023")</f>
        <v/>
      </c>
      <c r="T42">
        <f>HYPERLINK("https://klasma.github.io/Logging_0483/kartor/A 44486-2023 karta.png", "A 44486-2023")</f>
        <v/>
      </c>
      <c r="V42">
        <f>HYPERLINK("https://klasma.github.io/Logging_0483/klagomål/A 44486-2023 FSC-klagomål.docx", "A 44486-2023")</f>
        <v/>
      </c>
      <c r="W42">
        <f>HYPERLINK("https://klasma.github.io/Logging_0483/klagomålsmail/A 44486-2023 FSC-klagomål mail.docx", "A 44486-2023")</f>
        <v/>
      </c>
      <c r="X42">
        <f>HYPERLINK("https://klasma.github.io/Logging_0483/tillsyn/A 44486-2023 tillsynsbegäran.docx", "A 44486-2023")</f>
        <v/>
      </c>
      <c r="Y42">
        <f>HYPERLINK("https://klasma.github.io/Logging_0483/tillsynsmail/A 44486-2023 tillsynsbegäran mail.docx", "A 44486-2023")</f>
        <v/>
      </c>
    </row>
    <row r="43" ht="15" customHeight="1">
      <c r="A43" t="inlineStr">
        <is>
          <t>A 44632-2023</t>
        </is>
      </c>
      <c r="B43" s="1" t="n">
        <v>45184</v>
      </c>
      <c r="C43" s="1" t="n">
        <v>46142</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42055-2025</t>
        </is>
      </c>
      <c r="B44" s="1" t="n">
        <v>45903</v>
      </c>
      <c r="C44" s="1" t="n">
        <v>46142</v>
      </c>
      <c r="D44" t="inlineStr">
        <is>
          <t>SÖDERMANLANDS LÄN</t>
        </is>
      </c>
      <c r="E44" t="inlineStr">
        <is>
          <t>KATRINEHOLM</t>
        </is>
      </c>
      <c r="F44" t="inlineStr">
        <is>
          <t>Allmännings- och besparingsskogar</t>
        </is>
      </c>
      <c r="G44" t="n">
        <v>0.8</v>
      </c>
      <c r="H44" t="n">
        <v>0</v>
      </c>
      <c r="I44" t="n">
        <v>1</v>
      </c>
      <c r="J44" t="n">
        <v>0</v>
      </c>
      <c r="K44" t="n">
        <v>0</v>
      </c>
      <c r="L44" t="n">
        <v>0</v>
      </c>
      <c r="M44" t="n">
        <v>0</v>
      </c>
      <c r="N44" t="n">
        <v>0</v>
      </c>
      <c r="O44" t="n">
        <v>0</v>
      </c>
      <c r="P44" t="n">
        <v>0</v>
      </c>
      <c r="Q44" t="n">
        <v>1</v>
      </c>
      <c r="R44" s="2" t="inlineStr">
        <is>
          <t>Björksplintborre</t>
        </is>
      </c>
      <c r="S44">
        <f>HYPERLINK("https://klasma.github.io/Logging_0483/artfynd/A 42055-2025 artfynd.xlsx", "A 42055-2025")</f>
        <v/>
      </c>
      <c r="T44">
        <f>HYPERLINK("https://klasma.github.io/Logging_0483/kartor/A 42055-2025 karta.png", "A 42055-2025")</f>
        <v/>
      </c>
      <c r="V44">
        <f>HYPERLINK("https://klasma.github.io/Logging_0483/klagomål/A 42055-2025 FSC-klagomål.docx", "A 42055-2025")</f>
        <v/>
      </c>
      <c r="W44">
        <f>HYPERLINK("https://klasma.github.io/Logging_0483/klagomålsmail/A 42055-2025 FSC-klagomål mail.docx", "A 42055-2025")</f>
        <v/>
      </c>
      <c r="X44">
        <f>HYPERLINK("https://klasma.github.io/Logging_0483/tillsyn/A 42055-2025 tillsynsbegäran.docx", "A 42055-2025")</f>
        <v/>
      </c>
      <c r="Y44">
        <f>HYPERLINK("https://klasma.github.io/Logging_0483/tillsynsmail/A 42055-2025 tillsynsbegäran mail.docx", "A 42055-2025")</f>
        <v/>
      </c>
    </row>
    <row r="45" ht="15" customHeight="1">
      <c r="A45" t="inlineStr">
        <is>
          <t>A 33801-2023</t>
        </is>
      </c>
      <c r="B45" s="1" t="n">
        <v>45133</v>
      </c>
      <c r="C45" s="1" t="n">
        <v>46142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46142</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41980-2025</t>
        </is>
      </c>
      <c r="B47" s="1" t="n">
        <v>45903</v>
      </c>
      <c r="C47" s="1" t="n">
        <v>46142</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45530-2023</t>
        </is>
      </c>
      <c r="B48" s="1" t="n">
        <v>45188</v>
      </c>
      <c r="C48" s="1" t="n">
        <v>46142</v>
      </c>
      <c r="D48" t="inlineStr">
        <is>
          <t>SÖDERMANLANDS LÄN</t>
        </is>
      </c>
      <c r="E48" t="inlineStr">
        <is>
          <t>KATRINEHOLM</t>
        </is>
      </c>
      <c r="F48" t="inlineStr">
        <is>
          <t>Allmännings- och besparingsskogar</t>
        </is>
      </c>
      <c r="G48" t="n">
        <v>37</v>
      </c>
      <c r="H48" t="n">
        <v>1</v>
      </c>
      <c r="I48" t="n">
        <v>0</v>
      </c>
      <c r="J48" t="n">
        <v>0</v>
      </c>
      <c r="K48" t="n">
        <v>0</v>
      </c>
      <c r="L48" t="n">
        <v>0</v>
      </c>
      <c r="M48" t="n">
        <v>0</v>
      </c>
      <c r="N48" t="n">
        <v>0</v>
      </c>
      <c r="O48" t="n">
        <v>0</v>
      </c>
      <c r="P48" t="n">
        <v>0</v>
      </c>
      <c r="Q48" t="n">
        <v>1</v>
      </c>
      <c r="R48" s="2" t="inlineStr">
        <is>
          <t>Fläcknycklar</t>
        </is>
      </c>
      <c r="S48">
        <f>HYPERLINK("https://klasma.github.io/Logging_0483/artfynd/A 45530-2023 artfynd.xlsx", "A 45530-2023")</f>
        <v/>
      </c>
      <c r="T48">
        <f>HYPERLINK("https://klasma.github.io/Logging_0483/kartor/A 45530-2023 karta.png", "A 45530-2023")</f>
        <v/>
      </c>
      <c r="V48">
        <f>HYPERLINK("https://klasma.github.io/Logging_0483/klagomål/A 45530-2023 FSC-klagomål.docx", "A 45530-2023")</f>
        <v/>
      </c>
      <c r="W48">
        <f>HYPERLINK("https://klasma.github.io/Logging_0483/klagomålsmail/A 45530-2023 FSC-klagomål mail.docx", "A 45530-2023")</f>
        <v/>
      </c>
      <c r="X48">
        <f>HYPERLINK("https://klasma.github.io/Logging_0483/tillsyn/A 45530-2023 tillsynsbegäran.docx", "A 45530-2023")</f>
        <v/>
      </c>
      <c r="Y48">
        <f>HYPERLINK("https://klasma.github.io/Logging_0483/tillsynsmail/A 45530-2023 tillsynsbegäran mail.docx", "A 45530-2023")</f>
        <v/>
      </c>
    </row>
    <row r="49" ht="15" customHeight="1">
      <c r="A49" t="inlineStr">
        <is>
          <t>A 48199-2025</t>
        </is>
      </c>
      <c r="B49" s="1" t="n">
        <v>45933.47856481482</v>
      </c>
      <c r="C49" s="1" t="n">
        <v>46142</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7305-2024</t>
        </is>
      </c>
      <c r="B50" s="1" t="n">
        <v>45344</v>
      </c>
      <c r="C50" s="1" t="n">
        <v>46142</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Gröngöling</t>
        </is>
      </c>
      <c r="S50">
        <f>HYPERLINK("https://klasma.github.io/Logging_0483/artfynd/A 7305-2024 artfynd.xlsx", "A 7305-2024")</f>
        <v/>
      </c>
      <c r="T50">
        <f>HYPERLINK("https://klasma.github.io/Logging_0483/kartor/A 7305-2024 karta.png", "A 7305-2024")</f>
        <v/>
      </c>
      <c r="V50">
        <f>HYPERLINK("https://klasma.github.io/Logging_0483/klagomål/A 7305-2024 FSC-klagomål.docx", "A 7305-2024")</f>
        <v/>
      </c>
      <c r="W50">
        <f>HYPERLINK("https://klasma.github.io/Logging_0483/klagomålsmail/A 7305-2024 FSC-klagomål mail.docx", "A 7305-2024")</f>
        <v/>
      </c>
      <c r="X50">
        <f>HYPERLINK("https://klasma.github.io/Logging_0483/tillsyn/A 7305-2024 tillsynsbegäran.docx", "A 7305-2024")</f>
        <v/>
      </c>
      <c r="Y50">
        <f>HYPERLINK("https://klasma.github.io/Logging_0483/tillsynsmail/A 7305-2024 tillsynsbegäran mail.docx", "A 7305-2024")</f>
        <v/>
      </c>
      <c r="Z50">
        <f>HYPERLINK("https://klasma.github.io/Logging_0483/fåglar/A 7305-2024 prioriterade fågelarter.docx", "A 7305-2024")</f>
        <v/>
      </c>
    </row>
    <row r="51" ht="15" customHeight="1">
      <c r="A51" t="inlineStr">
        <is>
          <t>A 53990-2023</t>
        </is>
      </c>
      <c r="B51" s="1" t="n">
        <v>45231</v>
      </c>
      <c r="C51" s="1" t="n">
        <v>46142</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55700-2025</t>
        </is>
      </c>
      <c r="B52" s="1" t="n">
        <v>45972.45605324074</v>
      </c>
      <c r="C52" s="1" t="n">
        <v>46142</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53154-2023</t>
        </is>
      </c>
      <c r="B53" s="1" t="n">
        <v>45229</v>
      </c>
      <c r="C53" s="1" t="n">
        <v>46142</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63946-2025</t>
        </is>
      </c>
      <c r="B54" s="1" t="n">
        <v>46010</v>
      </c>
      <c r="C54" s="1" t="n">
        <v>46142</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46142</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11890-2023</t>
        </is>
      </c>
      <c r="B56" s="1" t="n">
        <v>44995</v>
      </c>
      <c r="C56" s="1" t="n">
        <v>46142</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1260-2026</t>
        </is>
      </c>
      <c r="B57" s="1" t="n">
        <v>46031.45652777778</v>
      </c>
      <c r="C57" s="1" t="n">
        <v>46142</v>
      </c>
      <c r="D57" t="inlineStr">
        <is>
          <t>SÖDERMANLANDS LÄN</t>
        </is>
      </c>
      <c r="E57" t="inlineStr">
        <is>
          <t>KATRINEHOLM</t>
        </is>
      </c>
      <c r="G57" t="n">
        <v>9.1</v>
      </c>
      <c r="H57" t="n">
        <v>1</v>
      </c>
      <c r="I57" t="n">
        <v>0</v>
      </c>
      <c r="J57" t="n">
        <v>1</v>
      </c>
      <c r="K57" t="n">
        <v>0</v>
      </c>
      <c r="L57" t="n">
        <v>0</v>
      </c>
      <c r="M57" t="n">
        <v>0</v>
      </c>
      <c r="N57" t="n">
        <v>0</v>
      </c>
      <c r="O57" t="n">
        <v>1</v>
      </c>
      <c r="P57" t="n">
        <v>0</v>
      </c>
      <c r="Q57" t="n">
        <v>1</v>
      </c>
      <c r="R57" s="2" t="inlineStr">
        <is>
          <t>Spillkråka</t>
        </is>
      </c>
      <c r="S57">
        <f>HYPERLINK("https://klasma.github.io/Logging_0483/artfynd/A 1260-2026 artfynd.xlsx", "A 1260-2026")</f>
        <v/>
      </c>
      <c r="T57">
        <f>HYPERLINK("https://klasma.github.io/Logging_0483/kartor/A 1260-2026 karta.png", "A 1260-2026")</f>
        <v/>
      </c>
      <c r="V57">
        <f>HYPERLINK("https://klasma.github.io/Logging_0483/klagomål/A 1260-2026 FSC-klagomål.docx", "A 1260-2026")</f>
        <v/>
      </c>
      <c r="W57">
        <f>HYPERLINK("https://klasma.github.io/Logging_0483/klagomålsmail/A 1260-2026 FSC-klagomål mail.docx", "A 1260-2026")</f>
        <v/>
      </c>
      <c r="X57">
        <f>HYPERLINK("https://klasma.github.io/Logging_0483/tillsyn/A 1260-2026 tillsynsbegäran.docx", "A 1260-2026")</f>
        <v/>
      </c>
      <c r="Y57">
        <f>HYPERLINK("https://klasma.github.io/Logging_0483/tillsynsmail/A 1260-2026 tillsynsbegäran mail.docx", "A 1260-2026")</f>
        <v/>
      </c>
      <c r="Z57">
        <f>HYPERLINK("https://klasma.github.io/Logging_0483/fåglar/A 1260-2026 prioriterade fågelarter.docx", "A 1260-2026")</f>
        <v/>
      </c>
    </row>
    <row r="58" ht="15" customHeight="1">
      <c r="A58" t="inlineStr">
        <is>
          <t>A 6076-2022</t>
        </is>
      </c>
      <c r="B58" s="1" t="n">
        <v>44599</v>
      </c>
      <c r="C58" s="1" t="n">
        <v>46142</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46142</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46142</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46142</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46142</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46142</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46142</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46142</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46142</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46142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46142</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46142</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46142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46142</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46142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46142</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46142</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46142</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46142</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46142</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46142</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46142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46142</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46142</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46142</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46142</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46142</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46142</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46142</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46142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46142</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46142</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46142</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46142</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46142</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46142</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46142</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46142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46142</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46142</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46142</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46142</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46142</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46142</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46142</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46142</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46142</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46142</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46142</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46142</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46142</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46142</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46142</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46142</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46142</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46142</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46142</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46142</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46142</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46142</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46142</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46142</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46142</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46142</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46142</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46142</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46142</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46142</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39546-2021</t>
        </is>
      </c>
      <c r="B129" s="1" t="n">
        <v>44416.40457175926</v>
      </c>
      <c r="C129" s="1" t="n">
        <v>46142</v>
      </c>
      <c r="D129" t="inlineStr">
        <is>
          <t>SÖDERMANLANDS LÄN</t>
        </is>
      </c>
      <c r="E129" t="inlineStr">
        <is>
          <t>KATRINEHOLM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46142</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46142</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46142</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46142</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46142</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39527-2021</t>
        </is>
      </c>
      <c r="B135" s="1" t="n">
        <v>44415</v>
      </c>
      <c r="C135" s="1" t="n">
        <v>46142</v>
      </c>
      <c r="D135" t="inlineStr">
        <is>
          <t>SÖDERMANLANDS LÄN</t>
        </is>
      </c>
      <c r="E135" t="inlineStr">
        <is>
          <t>KATRINEHOLM</t>
        </is>
      </c>
      <c r="G135" t="n">
        <v>0.9</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46142</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46142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46142</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46142</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46142</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46142</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46142</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46142</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46142</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46142</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46142</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46142</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46142</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46142</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46142</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46142</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46142</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46142</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46142</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46142</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46142</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46142</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46142</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46142</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46142</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38606-2021</t>
        </is>
      </c>
      <c r="B161" s="1" t="n">
        <v>44409.40363425926</v>
      </c>
      <c r="C161" s="1" t="n">
        <v>46142</v>
      </c>
      <c r="D161" t="inlineStr">
        <is>
          <t>SÖDERMANLANDS LÄN</t>
        </is>
      </c>
      <c r="E161" t="inlineStr">
        <is>
          <t>KATRINEHOLM</t>
        </is>
      </c>
      <c r="G161" t="n">
        <v>2.2</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46142</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46142</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46142</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46142</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46142</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46142</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46142</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46142</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46142</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46142</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46142</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46142</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46142</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46142</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46142</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46142</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46142</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46142</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46142</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46142</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58473-2021</t>
        </is>
      </c>
      <c r="B182" s="1" t="n">
        <v>44488</v>
      </c>
      <c r="C182" s="1" t="n">
        <v>46142</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33538-2022</t>
        </is>
      </c>
      <c r="B183" s="1" t="n">
        <v>44789</v>
      </c>
      <c r="C183" s="1" t="n">
        <v>46142</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20949-2021</t>
        </is>
      </c>
      <c r="B184" s="1" t="n">
        <v>44319</v>
      </c>
      <c r="C184" s="1" t="n">
        <v>46142</v>
      </c>
      <c r="D184" t="inlineStr">
        <is>
          <t>SÖDERMANLANDS LÄN</t>
        </is>
      </c>
      <c r="E184" t="inlineStr">
        <is>
          <t>KATRINEHOLM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46142</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6091-2025</t>
        </is>
      </c>
      <c r="B186" s="1" t="n">
        <v>45697</v>
      </c>
      <c r="C186" s="1" t="n">
        <v>46142</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6093-2025</t>
        </is>
      </c>
      <c r="B187" s="1" t="n">
        <v>45697</v>
      </c>
      <c r="C187" s="1" t="n">
        <v>46142</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41966-2023</t>
        </is>
      </c>
      <c r="B188" s="1" t="n">
        <v>45177</v>
      </c>
      <c r="C188" s="1" t="n">
        <v>46142</v>
      </c>
      <c r="D188" t="inlineStr">
        <is>
          <t>SÖDERMANLANDS LÄN</t>
        </is>
      </c>
      <c r="E188" t="inlineStr">
        <is>
          <t>KATRINEHOLM</t>
        </is>
      </c>
      <c r="G188" t="n">
        <v>36.9</v>
      </c>
      <c r="H188" t="n">
        <v>0</v>
      </c>
      <c r="I188" t="n">
        <v>0</v>
      </c>
      <c r="J188" t="n">
        <v>0</v>
      </c>
      <c r="K188" t="n">
        <v>0</v>
      </c>
      <c r="L188" t="n">
        <v>0</v>
      </c>
      <c r="M188" t="n">
        <v>0</v>
      </c>
      <c r="N188" t="n">
        <v>0</v>
      </c>
      <c r="O188" t="n">
        <v>0</v>
      </c>
      <c r="P188" t="n">
        <v>0</v>
      </c>
      <c r="Q188" t="n">
        <v>0</v>
      </c>
      <c r="R188" s="2" t="inlineStr"/>
    </row>
    <row r="189" ht="15" customHeight="1">
      <c r="A189" t="inlineStr">
        <is>
          <t>A 36210-2022</t>
        </is>
      </c>
      <c r="B189" s="1" t="n">
        <v>44803.47950231482</v>
      </c>
      <c r="C189" s="1" t="n">
        <v>46142</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48682-2022</t>
        </is>
      </c>
      <c r="B190" s="1" t="n">
        <v>44859</v>
      </c>
      <c r="C190" s="1" t="n">
        <v>46142</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3090-2025</t>
        </is>
      </c>
      <c r="B191" s="1" t="n">
        <v>45678</v>
      </c>
      <c r="C191" s="1" t="n">
        <v>46142</v>
      </c>
      <c r="D191" t="inlineStr">
        <is>
          <t>SÖDERMANLANDS LÄN</t>
        </is>
      </c>
      <c r="E191" t="inlineStr">
        <is>
          <t>KATRINEHOLM</t>
        </is>
      </c>
      <c r="F191" t="inlineStr">
        <is>
          <t>Kyrkan</t>
        </is>
      </c>
      <c r="G191" t="n">
        <v>6.9</v>
      </c>
      <c r="H191" t="n">
        <v>0</v>
      </c>
      <c r="I191" t="n">
        <v>0</v>
      </c>
      <c r="J191" t="n">
        <v>0</v>
      </c>
      <c r="K191" t="n">
        <v>0</v>
      </c>
      <c r="L191" t="n">
        <v>0</v>
      </c>
      <c r="M191" t="n">
        <v>0</v>
      </c>
      <c r="N191" t="n">
        <v>0</v>
      </c>
      <c r="O191" t="n">
        <v>0</v>
      </c>
      <c r="P191" t="n">
        <v>0</v>
      </c>
      <c r="Q191" t="n">
        <v>0</v>
      </c>
      <c r="R191" s="2" t="inlineStr"/>
    </row>
    <row r="192" ht="15" customHeight="1">
      <c r="A192" t="inlineStr">
        <is>
          <t>A 9693-2024</t>
        </is>
      </c>
      <c r="B192" s="1" t="n">
        <v>45362</v>
      </c>
      <c r="C192" s="1" t="n">
        <v>46142</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43964-2022</t>
        </is>
      </c>
      <c r="B193" s="1" t="n">
        <v>44837</v>
      </c>
      <c r="C193" s="1" t="n">
        <v>46142</v>
      </c>
      <c r="D193" t="inlineStr">
        <is>
          <t>SÖDERMANLANDS LÄN</t>
        </is>
      </c>
      <c r="E193" t="inlineStr">
        <is>
          <t>KATRINEHOLM</t>
        </is>
      </c>
      <c r="G193" t="n">
        <v>3.6</v>
      </c>
      <c r="H193" t="n">
        <v>0</v>
      </c>
      <c r="I193" t="n">
        <v>0</v>
      </c>
      <c r="J193" t="n">
        <v>0</v>
      </c>
      <c r="K193" t="n">
        <v>0</v>
      </c>
      <c r="L193" t="n">
        <v>0</v>
      </c>
      <c r="M193" t="n">
        <v>0</v>
      </c>
      <c r="N193" t="n">
        <v>0</v>
      </c>
      <c r="O193" t="n">
        <v>0</v>
      </c>
      <c r="P193" t="n">
        <v>0</v>
      </c>
      <c r="Q193" t="n">
        <v>0</v>
      </c>
      <c r="R193" s="2" t="inlineStr"/>
    </row>
    <row r="194" ht="15" customHeight="1">
      <c r="A194" t="inlineStr">
        <is>
          <t>A 17246-2024</t>
        </is>
      </c>
      <c r="B194" s="1" t="n">
        <v>45414</v>
      </c>
      <c r="C194" s="1" t="n">
        <v>46142</v>
      </c>
      <c r="D194" t="inlineStr">
        <is>
          <t>SÖDERMANLANDS LÄN</t>
        </is>
      </c>
      <c r="E194" t="inlineStr">
        <is>
          <t>KATRINEHOLM</t>
        </is>
      </c>
      <c r="F194" t="inlineStr">
        <is>
          <t>Allmännings- och besparingsskogar</t>
        </is>
      </c>
      <c r="G194" t="n">
        <v>13.7</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46142</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46142</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46142</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53722-2023</t>
        </is>
      </c>
      <c r="B198" s="1" t="n">
        <v>45230</v>
      </c>
      <c r="C198" s="1" t="n">
        <v>46142</v>
      </c>
      <c r="D198" t="inlineStr">
        <is>
          <t>SÖDERMANLANDS LÄN</t>
        </is>
      </c>
      <c r="E198" t="inlineStr">
        <is>
          <t>KATRINEHOLM</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55846-2022</t>
        </is>
      </c>
      <c r="B199" s="1" t="n">
        <v>44888</v>
      </c>
      <c r="C199" s="1" t="n">
        <v>46142</v>
      </c>
      <c r="D199" t="inlineStr">
        <is>
          <t>SÖDERMANLANDS LÄN</t>
        </is>
      </c>
      <c r="E199" t="inlineStr">
        <is>
          <t>KATRINEHOLM</t>
        </is>
      </c>
      <c r="G199" t="n">
        <v>6.5</v>
      </c>
      <c r="H199" t="n">
        <v>0</v>
      </c>
      <c r="I199" t="n">
        <v>0</v>
      </c>
      <c r="J199" t="n">
        <v>0</v>
      </c>
      <c r="K199" t="n">
        <v>0</v>
      </c>
      <c r="L199" t="n">
        <v>0</v>
      </c>
      <c r="M199" t="n">
        <v>0</v>
      </c>
      <c r="N199" t="n">
        <v>0</v>
      </c>
      <c r="O199" t="n">
        <v>0</v>
      </c>
      <c r="P199" t="n">
        <v>0</v>
      </c>
      <c r="Q199" t="n">
        <v>0</v>
      </c>
      <c r="R199" s="2" t="inlineStr"/>
    </row>
    <row r="200" ht="15" customHeight="1">
      <c r="A200" t="inlineStr">
        <is>
          <t>A 20460-2025</t>
        </is>
      </c>
      <c r="B200" s="1" t="n">
        <v>45775.52854166667</v>
      </c>
      <c r="C200" s="1" t="n">
        <v>46142</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46142</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46142</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48520-2023</t>
        </is>
      </c>
      <c r="B203" s="1" t="n">
        <v>45208</v>
      </c>
      <c r="C203" s="1" t="n">
        <v>46142</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56661-2021</t>
        </is>
      </c>
      <c r="B204" s="1" t="n">
        <v>44481.24327546296</v>
      </c>
      <c r="C204" s="1" t="n">
        <v>46142</v>
      </c>
      <c r="D204" t="inlineStr">
        <is>
          <t>SÖDERMANLANDS LÄN</t>
        </is>
      </c>
      <c r="E204" t="inlineStr">
        <is>
          <t>KATRINEHOLM</t>
        </is>
      </c>
      <c r="G204" t="n">
        <v>5.8</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46142</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28394-2023</t>
        </is>
      </c>
      <c r="B206" s="1" t="n">
        <v>45100</v>
      </c>
      <c r="C206" s="1" t="n">
        <v>46142</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4122-2023</t>
        </is>
      </c>
      <c r="B207" s="1" t="n">
        <v>44952</v>
      </c>
      <c r="C207" s="1" t="n">
        <v>46142</v>
      </c>
      <c r="D207" t="inlineStr">
        <is>
          <t>SÖDERMANLANDS LÄN</t>
        </is>
      </c>
      <c r="E207" t="inlineStr">
        <is>
          <t>KATRINEHOLM</t>
        </is>
      </c>
      <c r="G207" t="n">
        <v>9</v>
      </c>
      <c r="H207" t="n">
        <v>0</v>
      </c>
      <c r="I207" t="n">
        <v>0</v>
      </c>
      <c r="J207" t="n">
        <v>0</v>
      </c>
      <c r="K207" t="n">
        <v>0</v>
      </c>
      <c r="L207" t="n">
        <v>0</v>
      </c>
      <c r="M207" t="n">
        <v>0</v>
      </c>
      <c r="N207" t="n">
        <v>0</v>
      </c>
      <c r="O207" t="n">
        <v>0</v>
      </c>
      <c r="P207" t="n">
        <v>0</v>
      </c>
      <c r="Q207" t="n">
        <v>0</v>
      </c>
      <c r="R207" s="2" t="inlineStr"/>
    </row>
    <row r="208" ht="15" customHeight="1">
      <c r="A208" t="inlineStr">
        <is>
          <t>A 24284-2024</t>
        </is>
      </c>
      <c r="B208" s="1" t="n">
        <v>45457</v>
      </c>
      <c r="C208" s="1" t="n">
        <v>46142</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29502-2023</t>
        </is>
      </c>
      <c r="B209" s="1" t="n">
        <v>45106</v>
      </c>
      <c r="C209" s="1" t="n">
        <v>46142</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46142</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46142</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46142</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42111-2022</t>
        </is>
      </c>
      <c r="B213" s="1" t="n">
        <v>44830</v>
      </c>
      <c r="C213" s="1" t="n">
        <v>46142</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36767-2022</t>
        </is>
      </c>
      <c r="B214" s="1" t="n">
        <v>44805</v>
      </c>
      <c r="C214" s="1" t="n">
        <v>46142</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55122-2022</t>
        </is>
      </c>
      <c r="B215" s="1" t="n">
        <v>44886.65092592593</v>
      </c>
      <c r="C215" s="1" t="n">
        <v>46142</v>
      </c>
      <c r="D215" t="inlineStr">
        <is>
          <t>SÖDERMANLANDS LÄN</t>
        </is>
      </c>
      <c r="E215" t="inlineStr">
        <is>
          <t>KATRINEHOLM</t>
        </is>
      </c>
      <c r="G215" t="n">
        <v>6.5</v>
      </c>
      <c r="H215" t="n">
        <v>0</v>
      </c>
      <c r="I215" t="n">
        <v>0</v>
      </c>
      <c r="J215" t="n">
        <v>0</v>
      </c>
      <c r="K215" t="n">
        <v>0</v>
      </c>
      <c r="L215" t="n">
        <v>0</v>
      </c>
      <c r="M215" t="n">
        <v>0</v>
      </c>
      <c r="N215" t="n">
        <v>0</v>
      </c>
      <c r="O215" t="n">
        <v>0</v>
      </c>
      <c r="P215" t="n">
        <v>0</v>
      </c>
      <c r="Q215" t="n">
        <v>0</v>
      </c>
      <c r="R215" s="2" t="inlineStr"/>
    </row>
    <row r="216" ht="15" customHeight="1">
      <c r="A216" t="inlineStr">
        <is>
          <t>A 33752-2023</t>
        </is>
      </c>
      <c r="B216" s="1" t="n">
        <v>45120</v>
      </c>
      <c r="C216" s="1" t="n">
        <v>46142</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17746-2024</t>
        </is>
      </c>
      <c r="B217" s="1" t="n">
        <v>45415</v>
      </c>
      <c r="C217" s="1" t="n">
        <v>46142</v>
      </c>
      <c r="D217" t="inlineStr">
        <is>
          <t>SÖDERMANLANDS LÄN</t>
        </is>
      </c>
      <c r="E217" t="inlineStr">
        <is>
          <t>KATRINEHOLM</t>
        </is>
      </c>
      <c r="G217" t="n">
        <v>7.8</v>
      </c>
      <c r="H217" t="n">
        <v>0</v>
      </c>
      <c r="I217" t="n">
        <v>0</v>
      </c>
      <c r="J217" t="n">
        <v>0</v>
      </c>
      <c r="K217" t="n">
        <v>0</v>
      </c>
      <c r="L217" t="n">
        <v>0</v>
      </c>
      <c r="M217" t="n">
        <v>0</v>
      </c>
      <c r="N217" t="n">
        <v>0</v>
      </c>
      <c r="O217" t="n">
        <v>0</v>
      </c>
      <c r="P217" t="n">
        <v>0</v>
      </c>
      <c r="Q217" t="n">
        <v>0</v>
      </c>
      <c r="R217" s="2" t="inlineStr"/>
    </row>
    <row r="218" ht="15" customHeight="1">
      <c r="A218" t="inlineStr">
        <is>
          <t>A 45376-2022</t>
        </is>
      </c>
      <c r="B218" s="1" t="n">
        <v>44844</v>
      </c>
      <c r="C218" s="1" t="n">
        <v>46142</v>
      </c>
      <c r="D218" t="inlineStr">
        <is>
          <t>SÖDERMANLANDS LÄN</t>
        </is>
      </c>
      <c r="E218" t="inlineStr">
        <is>
          <t>KATRINEHOLM</t>
        </is>
      </c>
      <c r="G218" t="n">
        <v>4.7</v>
      </c>
      <c r="H218" t="n">
        <v>0</v>
      </c>
      <c r="I218" t="n">
        <v>0</v>
      </c>
      <c r="J218" t="n">
        <v>0</v>
      </c>
      <c r="K218" t="n">
        <v>0</v>
      </c>
      <c r="L218" t="n">
        <v>0</v>
      </c>
      <c r="M218" t="n">
        <v>0</v>
      </c>
      <c r="N218" t="n">
        <v>0</v>
      </c>
      <c r="O218" t="n">
        <v>0</v>
      </c>
      <c r="P218" t="n">
        <v>0</v>
      </c>
      <c r="Q218" t="n">
        <v>0</v>
      </c>
      <c r="R218" s="2" t="inlineStr"/>
    </row>
    <row r="219" ht="15" customHeight="1">
      <c r="A219" t="inlineStr">
        <is>
          <t>A 51128-2021</t>
        </is>
      </c>
      <c r="B219" s="1" t="n">
        <v>44460</v>
      </c>
      <c r="C219" s="1" t="n">
        <v>46142</v>
      </c>
      <c r="D219" t="inlineStr">
        <is>
          <t>SÖDERMANLANDS LÄN</t>
        </is>
      </c>
      <c r="E219" t="inlineStr">
        <is>
          <t>KATRINEHOLM</t>
        </is>
      </c>
      <c r="G219" t="n">
        <v>7.8</v>
      </c>
      <c r="H219" t="n">
        <v>0</v>
      </c>
      <c r="I219" t="n">
        <v>0</v>
      </c>
      <c r="J219" t="n">
        <v>0</v>
      </c>
      <c r="K219" t="n">
        <v>0</v>
      </c>
      <c r="L219" t="n">
        <v>0</v>
      </c>
      <c r="M219" t="n">
        <v>0</v>
      </c>
      <c r="N219" t="n">
        <v>0</v>
      </c>
      <c r="O219" t="n">
        <v>0</v>
      </c>
      <c r="P219" t="n">
        <v>0</v>
      </c>
      <c r="Q219" t="n">
        <v>0</v>
      </c>
      <c r="R219" s="2" t="inlineStr"/>
    </row>
    <row r="220" ht="15" customHeight="1">
      <c r="A220" t="inlineStr">
        <is>
          <t>A 3980-2024</t>
        </is>
      </c>
      <c r="B220" s="1" t="n">
        <v>45322</v>
      </c>
      <c r="C220" s="1" t="n">
        <v>46142</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64713-2023</t>
        </is>
      </c>
      <c r="B221" s="1" t="n">
        <v>45281</v>
      </c>
      <c r="C221" s="1" t="n">
        <v>46142</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64605-2023</t>
        </is>
      </c>
      <c r="B222" s="1" t="n">
        <v>45281</v>
      </c>
      <c r="C222" s="1" t="n">
        <v>46142</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60677-2021</t>
        </is>
      </c>
      <c r="B223" s="1" t="n">
        <v>44495</v>
      </c>
      <c r="C223" s="1" t="n">
        <v>46142</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43088-2022</t>
        </is>
      </c>
      <c r="B224" s="1" t="n">
        <v>44833</v>
      </c>
      <c r="C224" s="1" t="n">
        <v>46142</v>
      </c>
      <c r="D224" t="inlineStr">
        <is>
          <t>SÖDERMANLANDS LÄN</t>
        </is>
      </c>
      <c r="E224" t="inlineStr">
        <is>
          <t>KATRINEHOLM</t>
        </is>
      </c>
      <c r="G224" t="n">
        <v>6.6</v>
      </c>
      <c r="H224" t="n">
        <v>0</v>
      </c>
      <c r="I224" t="n">
        <v>0</v>
      </c>
      <c r="J224" t="n">
        <v>0</v>
      </c>
      <c r="K224" t="n">
        <v>0</v>
      </c>
      <c r="L224" t="n">
        <v>0</v>
      </c>
      <c r="M224" t="n">
        <v>0</v>
      </c>
      <c r="N224" t="n">
        <v>0</v>
      </c>
      <c r="O224" t="n">
        <v>0</v>
      </c>
      <c r="P224" t="n">
        <v>0</v>
      </c>
      <c r="Q224" t="n">
        <v>0</v>
      </c>
      <c r="R224" s="2" t="inlineStr"/>
    </row>
    <row r="225" ht="15" customHeight="1">
      <c r="A225" t="inlineStr">
        <is>
          <t>A 28582-2024</t>
        </is>
      </c>
      <c r="B225" s="1" t="n">
        <v>45478.40751157407</v>
      </c>
      <c r="C225" s="1" t="n">
        <v>46142</v>
      </c>
      <c r="D225" t="inlineStr">
        <is>
          <t>SÖDERMANLANDS LÄN</t>
        </is>
      </c>
      <c r="E225" t="inlineStr">
        <is>
          <t>KATRINEHOLM</t>
        </is>
      </c>
      <c r="F225" t="inlineStr">
        <is>
          <t>Övriga Aktiebolag</t>
        </is>
      </c>
      <c r="G225" t="n">
        <v>4</v>
      </c>
      <c r="H225" t="n">
        <v>0</v>
      </c>
      <c r="I225" t="n">
        <v>0</v>
      </c>
      <c r="J225" t="n">
        <v>0</v>
      </c>
      <c r="K225" t="n">
        <v>0</v>
      </c>
      <c r="L225" t="n">
        <v>0</v>
      </c>
      <c r="M225" t="n">
        <v>0</v>
      </c>
      <c r="N225" t="n">
        <v>0</v>
      </c>
      <c r="O225" t="n">
        <v>0</v>
      </c>
      <c r="P225" t="n">
        <v>0</v>
      </c>
      <c r="Q225" t="n">
        <v>0</v>
      </c>
      <c r="R225" s="2" t="inlineStr"/>
    </row>
    <row r="226" ht="15" customHeight="1">
      <c r="A226" t="inlineStr">
        <is>
          <t>A 26081-2024</t>
        </is>
      </c>
      <c r="B226" s="1" t="n">
        <v>45462</v>
      </c>
      <c r="C226" s="1" t="n">
        <v>46142</v>
      </c>
      <c r="D226" t="inlineStr">
        <is>
          <t>SÖDERMANLANDS LÄN</t>
        </is>
      </c>
      <c r="E226" t="inlineStr">
        <is>
          <t>KATRINEHOLM</t>
        </is>
      </c>
      <c r="G226" t="n">
        <v>4.1</v>
      </c>
      <c r="H226" t="n">
        <v>0</v>
      </c>
      <c r="I226" t="n">
        <v>0</v>
      </c>
      <c r="J226" t="n">
        <v>0</v>
      </c>
      <c r="K226" t="n">
        <v>0</v>
      </c>
      <c r="L226" t="n">
        <v>0</v>
      </c>
      <c r="M226" t="n">
        <v>0</v>
      </c>
      <c r="N226" t="n">
        <v>0</v>
      </c>
      <c r="O226" t="n">
        <v>0</v>
      </c>
      <c r="P226" t="n">
        <v>0</v>
      </c>
      <c r="Q226" t="n">
        <v>0</v>
      </c>
      <c r="R226" s="2" t="inlineStr"/>
    </row>
    <row r="227" ht="15" customHeight="1">
      <c r="A227" t="inlineStr">
        <is>
          <t>A 30242-2023</t>
        </is>
      </c>
      <c r="B227" s="1" t="n">
        <v>45099</v>
      </c>
      <c r="C227" s="1" t="n">
        <v>46142</v>
      </c>
      <c r="D227" t="inlineStr">
        <is>
          <t>SÖDERMANLANDS LÄN</t>
        </is>
      </c>
      <c r="E227" t="inlineStr">
        <is>
          <t>KATRINEHOLM</t>
        </is>
      </c>
      <c r="G227" t="n">
        <v>3</v>
      </c>
      <c r="H227" t="n">
        <v>0</v>
      </c>
      <c r="I227" t="n">
        <v>0</v>
      </c>
      <c r="J227" t="n">
        <v>0</v>
      </c>
      <c r="K227" t="n">
        <v>0</v>
      </c>
      <c r="L227" t="n">
        <v>0</v>
      </c>
      <c r="M227" t="n">
        <v>0</v>
      </c>
      <c r="N227" t="n">
        <v>0</v>
      </c>
      <c r="O227" t="n">
        <v>0</v>
      </c>
      <c r="P227" t="n">
        <v>0</v>
      </c>
      <c r="Q227" t="n">
        <v>0</v>
      </c>
      <c r="R227" s="2" t="inlineStr"/>
    </row>
    <row r="228" ht="15" customHeight="1">
      <c r="A228" t="inlineStr">
        <is>
          <t>A 38308-2021</t>
        </is>
      </c>
      <c r="B228" s="1" t="n">
        <v>44406</v>
      </c>
      <c r="C228" s="1" t="n">
        <v>46142</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55172-2022</t>
        </is>
      </c>
      <c r="B229" s="1" t="n">
        <v>44886</v>
      </c>
      <c r="C229" s="1" t="n">
        <v>46142</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43837-2022</t>
        </is>
      </c>
      <c r="B230" s="1" t="n">
        <v>44838</v>
      </c>
      <c r="C230" s="1" t="n">
        <v>46142</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57510-2021</t>
        </is>
      </c>
      <c r="B231" s="1" t="n">
        <v>44483</v>
      </c>
      <c r="C231" s="1" t="n">
        <v>46142</v>
      </c>
      <c r="D231" t="inlineStr">
        <is>
          <t>SÖDERMANLANDS LÄN</t>
        </is>
      </c>
      <c r="E231" t="inlineStr">
        <is>
          <t>KATRINEHOLM</t>
        </is>
      </c>
      <c r="G231" t="n">
        <v>0.6</v>
      </c>
      <c r="H231" t="n">
        <v>0</v>
      </c>
      <c r="I231" t="n">
        <v>0</v>
      </c>
      <c r="J231" t="n">
        <v>0</v>
      </c>
      <c r="K231" t="n">
        <v>0</v>
      </c>
      <c r="L231" t="n">
        <v>0</v>
      </c>
      <c r="M231" t="n">
        <v>0</v>
      </c>
      <c r="N231" t="n">
        <v>0</v>
      </c>
      <c r="O231" t="n">
        <v>0</v>
      </c>
      <c r="P231" t="n">
        <v>0</v>
      </c>
      <c r="Q231" t="n">
        <v>0</v>
      </c>
      <c r="R231" s="2" t="inlineStr"/>
    </row>
    <row r="232" ht="15" customHeight="1">
      <c r="A232" t="inlineStr">
        <is>
          <t>A 67337-2021</t>
        </is>
      </c>
      <c r="B232" s="1" t="n">
        <v>44523</v>
      </c>
      <c r="C232" s="1" t="n">
        <v>46142</v>
      </c>
      <c r="D232" t="inlineStr">
        <is>
          <t>SÖDERMANLANDS LÄN</t>
        </is>
      </c>
      <c r="E232" t="inlineStr">
        <is>
          <t>KATRINEHOLM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29394-2024</t>
        </is>
      </c>
      <c r="B233" s="1" t="n">
        <v>45483</v>
      </c>
      <c r="C233" s="1" t="n">
        <v>46142</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50032-2022</t>
        </is>
      </c>
      <c r="B234" s="1" t="n">
        <v>44860</v>
      </c>
      <c r="C234" s="1" t="n">
        <v>46142</v>
      </c>
      <c r="D234" t="inlineStr">
        <is>
          <t>SÖDERMANLANDS LÄN</t>
        </is>
      </c>
      <c r="E234" t="inlineStr">
        <is>
          <t>KATRINEHOLM</t>
        </is>
      </c>
      <c r="G234" t="n">
        <v>7.5</v>
      </c>
      <c r="H234" t="n">
        <v>0</v>
      </c>
      <c r="I234" t="n">
        <v>0</v>
      </c>
      <c r="J234" t="n">
        <v>0</v>
      </c>
      <c r="K234" t="n">
        <v>0</v>
      </c>
      <c r="L234" t="n">
        <v>0</v>
      </c>
      <c r="M234" t="n">
        <v>0</v>
      </c>
      <c r="N234" t="n">
        <v>0</v>
      </c>
      <c r="O234" t="n">
        <v>0</v>
      </c>
      <c r="P234" t="n">
        <v>0</v>
      </c>
      <c r="Q234" t="n">
        <v>0</v>
      </c>
      <c r="R234" s="2" t="inlineStr"/>
    </row>
    <row r="235" ht="15" customHeight="1">
      <c r="A235" t="inlineStr">
        <is>
          <t>A 26713-2024</t>
        </is>
      </c>
      <c r="B235" s="1" t="n">
        <v>45470</v>
      </c>
      <c r="C235" s="1" t="n">
        <v>46142</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69117-2021</t>
        </is>
      </c>
      <c r="B236" s="1" t="n">
        <v>44530.82445601852</v>
      </c>
      <c r="C236" s="1" t="n">
        <v>46142</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40159-2023</t>
        </is>
      </c>
      <c r="B237" s="1" t="n">
        <v>45169</v>
      </c>
      <c r="C237" s="1" t="n">
        <v>46142</v>
      </c>
      <c r="D237" t="inlineStr">
        <is>
          <t>SÖDERMANLANDS LÄN</t>
        </is>
      </c>
      <c r="E237" t="inlineStr">
        <is>
          <t>KATRINEHOLM</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46142</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28992-2024</t>
        </is>
      </c>
      <c r="B239" s="1" t="n">
        <v>45481.49289351852</v>
      </c>
      <c r="C239" s="1" t="n">
        <v>46142</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46142</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28995-2024</t>
        </is>
      </c>
      <c r="B241" s="1" t="n">
        <v>45481.49899305555</v>
      </c>
      <c r="C241" s="1" t="n">
        <v>46142</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27875-2024</t>
        </is>
      </c>
      <c r="B242" s="1" t="n">
        <v>45475</v>
      </c>
      <c r="C242" s="1" t="n">
        <v>46142</v>
      </c>
      <c r="D242" t="inlineStr">
        <is>
          <t>SÖDERMANLANDS LÄN</t>
        </is>
      </c>
      <c r="E242" t="inlineStr">
        <is>
          <t>KATRINEHOLM</t>
        </is>
      </c>
      <c r="G242" t="n">
        <v>1.8</v>
      </c>
      <c r="H242" t="n">
        <v>0</v>
      </c>
      <c r="I242" t="n">
        <v>0</v>
      </c>
      <c r="J242" t="n">
        <v>0</v>
      </c>
      <c r="K242" t="n">
        <v>0</v>
      </c>
      <c r="L242" t="n">
        <v>0</v>
      </c>
      <c r="M242" t="n">
        <v>0</v>
      </c>
      <c r="N242" t="n">
        <v>0</v>
      </c>
      <c r="O242" t="n">
        <v>0</v>
      </c>
      <c r="P242" t="n">
        <v>0</v>
      </c>
      <c r="Q242" t="n">
        <v>0</v>
      </c>
      <c r="R242" s="2" t="inlineStr"/>
    </row>
    <row r="243" ht="15" customHeight="1">
      <c r="A243" t="inlineStr">
        <is>
          <t>A 7322-2023</t>
        </is>
      </c>
      <c r="B243" s="1" t="n">
        <v>44970</v>
      </c>
      <c r="C243" s="1" t="n">
        <v>46142</v>
      </c>
      <c r="D243" t="inlineStr">
        <is>
          <t>SÖDERMANLANDS LÄN</t>
        </is>
      </c>
      <c r="E243" t="inlineStr">
        <is>
          <t>KATRINEHOLM</t>
        </is>
      </c>
      <c r="G243" t="n">
        <v>2.1</v>
      </c>
      <c r="H243" t="n">
        <v>0</v>
      </c>
      <c r="I243" t="n">
        <v>0</v>
      </c>
      <c r="J243" t="n">
        <v>0</v>
      </c>
      <c r="K243" t="n">
        <v>0</v>
      </c>
      <c r="L243" t="n">
        <v>0</v>
      </c>
      <c r="M243" t="n">
        <v>0</v>
      </c>
      <c r="N243" t="n">
        <v>0</v>
      </c>
      <c r="O243" t="n">
        <v>0</v>
      </c>
      <c r="P243" t="n">
        <v>0</v>
      </c>
      <c r="Q243" t="n">
        <v>0</v>
      </c>
      <c r="R243" s="2" t="inlineStr"/>
    </row>
    <row r="244" ht="15" customHeight="1">
      <c r="A244" t="inlineStr">
        <is>
          <t>A 44989-2022</t>
        </is>
      </c>
      <c r="B244" s="1" t="n">
        <v>44840</v>
      </c>
      <c r="C244" s="1" t="n">
        <v>46142</v>
      </c>
      <c r="D244" t="inlineStr">
        <is>
          <t>SÖDERMANLANDS LÄN</t>
        </is>
      </c>
      <c r="E244" t="inlineStr">
        <is>
          <t>KATRINEHOLM</t>
        </is>
      </c>
      <c r="G244" t="n">
        <v>6</v>
      </c>
      <c r="H244" t="n">
        <v>0</v>
      </c>
      <c r="I244" t="n">
        <v>0</v>
      </c>
      <c r="J244" t="n">
        <v>0</v>
      </c>
      <c r="K244" t="n">
        <v>0</v>
      </c>
      <c r="L244" t="n">
        <v>0</v>
      </c>
      <c r="M244" t="n">
        <v>0</v>
      </c>
      <c r="N244" t="n">
        <v>0</v>
      </c>
      <c r="O244" t="n">
        <v>0</v>
      </c>
      <c r="P244" t="n">
        <v>0</v>
      </c>
      <c r="Q244" t="n">
        <v>0</v>
      </c>
      <c r="R244" s="2" t="inlineStr"/>
    </row>
    <row r="245" ht="15" customHeight="1">
      <c r="A245" t="inlineStr">
        <is>
          <t>A 2093-2025</t>
        </is>
      </c>
      <c r="B245" s="1" t="n">
        <v>45672</v>
      </c>
      <c r="C245" s="1" t="n">
        <v>46142</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27376-2024</t>
        </is>
      </c>
      <c r="B246" s="1" t="n">
        <v>45473.88313657408</v>
      </c>
      <c r="C246" s="1" t="n">
        <v>46142</v>
      </c>
      <c r="D246" t="inlineStr">
        <is>
          <t>SÖDERMANLANDS LÄN</t>
        </is>
      </c>
      <c r="E246" t="inlineStr">
        <is>
          <t>KATRINEHOLM</t>
        </is>
      </c>
      <c r="F246" t="inlineStr">
        <is>
          <t>Kommuner</t>
        </is>
      </c>
      <c r="G246" t="n">
        <v>2.8</v>
      </c>
      <c r="H246" t="n">
        <v>0</v>
      </c>
      <c r="I246" t="n">
        <v>0</v>
      </c>
      <c r="J246" t="n">
        <v>0</v>
      </c>
      <c r="K246" t="n">
        <v>0</v>
      </c>
      <c r="L246" t="n">
        <v>0</v>
      </c>
      <c r="M246" t="n">
        <v>0</v>
      </c>
      <c r="N246" t="n">
        <v>0</v>
      </c>
      <c r="O246" t="n">
        <v>0</v>
      </c>
      <c r="P246" t="n">
        <v>0</v>
      </c>
      <c r="Q246" t="n">
        <v>0</v>
      </c>
      <c r="R246" s="2" t="inlineStr"/>
    </row>
    <row r="247" ht="15" customHeight="1">
      <c r="A247" t="inlineStr">
        <is>
          <t>A 48259-2022</t>
        </is>
      </c>
      <c r="B247" s="1" t="n">
        <v>44858</v>
      </c>
      <c r="C247" s="1" t="n">
        <v>46142</v>
      </c>
      <c r="D247" t="inlineStr">
        <is>
          <t>SÖDERMANLANDS LÄN</t>
        </is>
      </c>
      <c r="E247" t="inlineStr">
        <is>
          <t>KATRINEHOLM</t>
        </is>
      </c>
      <c r="G247" t="n">
        <v>3.5</v>
      </c>
      <c r="H247" t="n">
        <v>0</v>
      </c>
      <c r="I247" t="n">
        <v>0</v>
      </c>
      <c r="J247" t="n">
        <v>0</v>
      </c>
      <c r="K247" t="n">
        <v>0</v>
      </c>
      <c r="L247" t="n">
        <v>0</v>
      </c>
      <c r="M247" t="n">
        <v>0</v>
      </c>
      <c r="N247" t="n">
        <v>0</v>
      </c>
      <c r="O247" t="n">
        <v>0</v>
      </c>
      <c r="P247" t="n">
        <v>0</v>
      </c>
      <c r="Q247" t="n">
        <v>0</v>
      </c>
      <c r="R247" s="2" t="inlineStr"/>
    </row>
    <row r="248" ht="15" customHeight="1">
      <c r="A248" t="inlineStr">
        <is>
          <t>A 27886-2024</t>
        </is>
      </c>
      <c r="B248" s="1" t="n">
        <v>45475</v>
      </c>
      <c r="C248" s="1" t="n">
        <v>46142</v>
      </c>
      <c r="D248" t="inlineStr">
        <is>
          <t>SÖDERMANLANDS LÄN</t>
        </is>
      </c>
      <c r="E248" t="inlineStr">
        <is>
          <t>KATRINEHOLM</t>
        </is>
      </c>
      <c r="G248" t="n">
        <v>10.3</v>
      </c>
      <c r="H248" t="n">
        <v>0</v>
      </c>
      <c r="I248" t="n">
        <v>0</v>
      </c>
      <c r="J248" t="n">
        <v>0</v>
      </c>
      <c r="K248" t="n">
        <v>0</v>
      </c>
      <c r="L248" t="n">
        <v>0</v>
      </c>
      <c r="M248" t="n">
        <v>0</v>
      </c>
      <c r="N248" t="n">
        <v>0</v>
      </c>
      <c r="O248" t="n">
        <v>0</v>
      </c>
      <c r="P248" t="n">
        <v>0</v>
      </c>
      <c r="Q248" t="n">
        <v>0</v>
      </c>
      <c r="R248" s="2" t="inlineStr"/>
    </row>
    <row r="249" ht="15" customHeight="1">
      <c r="A249" t="inlineStr">
        <is>
          <t>A 24179-2024</t>
        </is>
      </c>
      <c r="B249" s="1" t="n">
        <v>45456.83059027778</v>
      </c>
      <c r="C249" s="1" t="n">
        <v>46142</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25363-2023</t>
        </is>
      </c>
      <c r="B250" s="1" t="n">
        <v>45088.83840277778</v>
      </c>
      <c r="C250" s="1" t="n">
        <v>46142</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51264-2021</t>
        </is>
      </c>
      <c r="B251" s="1" t="n">
        <v>44461</v>
      </c>
      <c r="C251" s="1" t="n">
        <v>46142</v>
      </c>
      <c r="D251" t="inlineStr">
        <is>
          <t>SÖDERMANLANDS LÄN</t>
        </is>
      </c>
      <c r="E251" t="inlineStr">
        <is>
          <t>KATRINEHOLM</t>
        </is>
      </c>
      <c r="G251" t="n">
        <v>3.1</v>
      </c>
      <c r="H251" t="n">
        <v>0</v>
      </c>
      <c r="I251" t="n">
        <v>0</v>
      </c>
      <c r="J251" t="n">
        <v>0</v>
      </c>
      <c r="K251" t="n">
        <v>0</v>
      </c>
      <c r="L251" t="n">
        <v>0</v>
      </c>
      <c r="M251" t="n">
        <v>0</v>
      </c>
      <c r="N251" t="n">
        <v>0</v>
      </c>
      <c r="O251" t="n">
        <v>0</v>
      </c>
      <c r="P251" t="n">
        <v>0</v>
      </c>
      <c r="Q251" t="n">
        <v>0</v>
      </c>
      <c r="R251" s="2" t="inlineStr"/>
    </row>
    <row r="252" ht="15" customHeight="1">
      <c r="A252" t="inlineStr">
        <is>
          <t>A 6722-2022</t>
        </is>
      </c>
      <c r="B252" s="1" t="n">
        <v>44602</v>
      </c>
      <c r="C252" s="1" t="n">
        <v>46142</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6763-2022</t>
        </is>
      </c>
      <c r="B253" s="1" t="n">
        <v>44602</v>
      </c>
      <c r="C253" s="1" t="n">
        <v>46142</v>
      </c>
      <c r="D253" t="inlineStr">
        <is>
          <t>SÖDERMANLANDS LÄN</t>
        </is>
      </c>
      <c r="E253" t="inlineStr">
        <is>
          <t>KATRINEHOLM</t>
        </is>
      </c>
      <c r="G253" t="n">
        <v>6.7</v>
      </c>
      <c r="H253" t="n">
        <v>0</v>
      </c>
      <c r="I253" t="n">
        <v>0</v>
      </c>
      <c r="J253" t="n">
        <v>0</v>
      </c>
      <c r="K253" t="n">
        <v>0</v>
      </c>
      <c r="L253" t="n">
        <v>0</v>
      </c>
      <c r="M253" t="n">
        <v>0</v>
      </c>
      <c r="N253" t="n">
        <v>0</v>
      </c>
      <c r="O253" t="n">
        <v>0</v>
      </c>
      <c r="P253" t="n">
        <v>0</v>
      </c>
      <c r="Q253" t="n">
        <v>0</v>
      </c>
      <c r="R253" s="2" t="inlineStr"/>
    </row>
    <row r="254" ht="15" customHeight="1">
      <c r="A254" t="inlineStr">
        <is>
          <t>A 33278-2024</t>
        </is>
      </c>
      <c r="B254" s="1" t="n">
        <v>45518</v>
      </c>
      <c r="C254" s="1" t="n">
        <v>46142</v>
      </c>
      <c r="D254" t="inlineStr">
        <is>
          <t>SÖDERMANLANDS LÄN</t>
        </is>
      </c>
      <c r="E254" t="inlineStr">
        <is>
          <t>KATRINEHOLM</t>
        </is>
      </c>
      <c r="G254" t="n">
        <v>2.1</v>
      </c>
      <c r="H254" t="n">
        <v>0</v>
      </c>
      <c r="I254" t="n">
        <v>0</v>
      </c>
      <c r="J254" t="n">
        <v>0</v>
      </c>
      <c r="K254" t="n">
        <v>0</v>
      </c>
      <c r="L254" t="n">
        <v>0</v>
      </c>
      <c r="M254" t="n">
        <v>0</v>
      </c>
      <c r="N254" t="n">
        <v>0</v>
      </c>
      <c r="O254" t="n">
        <v>0</v>
      </c>
      <c r="P254" t="n">
        <v>0</v>
      </c>
      <c r="Q254" t="n">
        <v>0</v>
      </c>
      <c r="R254" s="2" t="inlineStr"/>
    </row>
    <row r="255" ht="15" customHeight="1">
      <c r="A255" t="inlineStr">
        <is>
          <t>A 5790-2022</t>
        </is>
      </c>
      <c r="B255" s="1" t="n">
        <v>44596.55368055555</v>
      </c>
      <c r="C255" s="1" t="n">
        <v>46142</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14313-2024</t>
        </is>
      </c>
      <c r="B256" s="1" t="n">
        <v>45393</v>
      </c>
      <c r="C256" s="1" t="n">
        <v>46142</v>
      </c>
      <c r="D256" t="inlineStr">
        <is>
          <t>SÖDERMANLANDS LÄN</t>
        </is>
      </c>
      <c r="E256" t="inlineStr">
        <is>
          <t>KATRINEHOLM</t>
        </is>
      </c>
      <c r="G256" t="n">
        <v>3.1</v>
      </c>
      <c r="H256" t="n">
        <v>0</v>
      </c>
      <c r="I256" t="n">
        <v>0</v>
      </c>
      <c r="J256" t="n">
        <v>0</v>
      </c>
      <c r="K256" t="n">
        <v>0</v>
      </c>
      <c r="L256" t="n">
        <v>0</v>
      </c>
      <c r="M256" t="n">
        <v>0</v>
      </c>
      <c r="N256" t="n">
        <v>0</v>
      </c>
      <c r="O256" t="n">
        <v>0</v>
      </c>
      <c r="P256" t="n">
        <v>0</v>
      </c>
      <c r="Q256" t="n">
        <v>0</v>
      </c>
      <c r="R256" s="2" t="inlineStr"/>
    </row>
    <row r="257" ht="15" customHeight="1">
      <c r="A257" t="inlineStr">
        <is>
          <t>A 29397-2024</t>
        </is>
      </c>
      <c r="B257" s="1" t="n">
        <v>45483</v>
      </c>
      <c r="C257" s="1" t="n">
        <v>46142</v>
      </c>
      <c r="D257" t="inlineStr">
        <is>
          <t>SÖDERMANLANDS LÄN</t>
        </is>
      </c>
      <c r="E257" t="inlineStr">
        <is>
          <t>KATRINEHOLM</t>
        </is>
      </c>
      <c r="G257" t="n">
        <v>3.4</v>
      </c>
      <c r="H257" t="n">
        <v>0</v>
      </c>
      <c r="I257" t="n">
        <v>0</v>
      </c>
      <c r="J257" t="n">
        <v>0</v>
      </c>
      <c r="K257" t="n">
        <v>0</v>
      </c>
      <c r="L257" t="n">
        <v>0</v>
      </c>
      <c r="M257" t="n">
        <v>0</v>
      </c>
      <c r="N257" t="n">
        <v>0</v>
      </c>
      <c r="O257" t="n">
        <v>0</v>
      </c>
      <c r="P257" t="n">
        <v>0</v>
      </c>
      <c r="Q257" t="n">
        <v>0</v>
      </c>
      <c r="R257" s="2" t="inlineStr"/>
    </row>
    <row r="258" ht="15" customHeight="1">
      <c r="A258" t="inlineStr">
        <is>
          <t>A 25786-2025</t>
        </is>
      </c>
      <c r="B258" s="1" t="n">
        <v>45804.37456018518</v>
      </c>
      <c r="C258" s="1" t="n">
        <v>46142</v>
      </c>
      <c r="D258" t="inlineStr">
        <is>
          <t>SÖDERMANLANDS LÄN</t>
        </is>
      </c>
      <c r="E258" t="inlineStr">
        <is>
          <t>KATRINEHOLM</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9714-2024</t>
        </is>
      </c>
      <c r="B259" s="1" t="n">
        <v>45362</v>
      </c>
      <c r="C259" s="1" t="n">
        <v>46142</v>
      </c>
      <c r="D259" t="inlineStr">
        <is>
          <t>SÖDERMANLANDS LÄN</t>
        </is>
      </c>
      <c r="E259" t="inlineStr">
        <is>
          <t>KATRINEHOLM</t>
        </is>
      </c>
      <c r="G259" t="n">
        <v>4</v>
      </c>
      <c r="H259" t="n">
        <v>0</v>
      </c>
      <c r="I259" t="n">
        <v>0</v>
      </c>
      <c r="J259" t="n">
        <v>0</v>
      </c>
      <c r="K259" t="n">
        <v>0</v>
      </c>
      <c r="L259" t="n">
        <v>0</v>
      </c>
      <c r="M259" t="n">
        <v>0</v>
      </c>
      <c r="N259" t="n">
        <v>0</v>
      </c>
      <c r="O259" t="n">
        <v>0</v>
      </c>
      <c r="P259" t="n">
        <v>0</v>
      </c>
      <c r="Q259" t="n">
        <v>0</v>
      </c>
      <c r="R259" s="2" t="inlineStr"/>
    </row>
    <row r="260" ht="15" customHeight="1">
      <c r="A260" t="inlineStr">
        <is>
          <t>A 26154-2025</t>
        </is>
      </c>
      <c r="B260" s="1" t="n">
        <v>45805.43341435185</v>
      </c>
      <c r="C260" s="1" t="n">
        <v>46142</v>
      </c>
      <c r="D260" t="inlineStr">
        <is>
          <t>SÖDERMANLANDS LÄN</t>
        </is>
      </c>
      <c r="E260" t="inlineStr">
        <is>
          <t>KATRINEHOLM</t>
        </is>
      </c>
      <c r="G260" t="n">
        <v>4.5</v>
      </c>
      <c r="H260" t="n">
        <v>0</v>
      </c>
      <c r="I260" t="n">
        <v>0</v>
      </c>
      <c r="J260" t="n">
        <v>0</v>
      </c>
      <c r="K260" t="n">
        <v>0</v>
      </c>
      <c r="L260" t="n">
        <v>0</v>
      </c>
      <c r="M260" t="n">
        <v>0</v>
      </c>
      <c r="N260" t="n">
        <v>0</v>
      </c>
      <c r="O260" t="n">
        <v>0</v>
      </c>
      <c r="P260" t="n">
        <v>0</v>
      </c>
      <c r="Q260" t="n">
        <v>0</v>
      </c>
      <c r="R260" s="2" t="inlineStr"/>
    </row>
    <row r="261" ht="15" customHeight="1">
      <c r="A261" t="inlineStr">
        <is>
          <t>A 2645-2026</t>
        </is>
      </c>
      <c r="B261" s="1" t="n">
        <v>46037.62321759259</v>
      </c>
      <c r="C261" s="1" t="n">
        <v>46142</v>
      </c>
      <c r="D261" t="inlineStr">
        <is>
          <t>SÖDERMANLANDS LÄN</t>
        </is>
      </c>
      <c r="E261" t="inlineStr">
        <is>
          <t>KATRINEHOLM</t>
        </is>
      </c>
      <c r="G261" t="n">
        <v>2.1</v>
      </c>
      <c r="H261" t="n">
        <v>0</v>
      </c>
      <c r="I261" t="n">
        <v>0</v>
      </c>
      <c r="J261" t="n">
        <v>0</v>
      </c>
      <c r="K261" t="n">
        <v>0</v>
      </c>
      <c r="L261" t="n">
        <v>0</v>
      </c>
      <c r="M261" t="n">
        <v>0</v>
      </c>
      <c r="N261" t="n">
        <v>0</v>
      </c>
      <c r="O261" t="n">
        <v>0</v>
      </c>
      <c r="P261" t="n">
        <v>0</v>
      </c>
      <c r="Q261" t="n">
        <v>0</v>
      </c>
      <c r="R261" s="2" t="inlineStr"/>
    </row>
    <row r="262" ht="15" customHeight="1">
      <c r="A262" t="inlineStr">
        <is>
          <t>A 2672-2026</t>
        </is>
      </c>
      <c r="B262" s="1" t="n">
        <v>46037</v>
      </c>
      <c r="C262" s="1" t="n">
        <v>46142</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2913-2026</t>
        </is>
      </c>
      <c r="B263" s="1" t="n">
        <v>46038.56913194444</v>
      </c>
      <c r="C263" s="1" t="n">
        <v>46142</v>
      </c>
      <c r="D263" t="inlineStr">
        <is>
          <t>SÖDERMANLANDS LÄN</t>
        </is>
      </c>
      <c r="E263" t="inlineStr">
        <is>
          <t>KATRINEHOLM</t>
        </is>
      </c>
      <c r="F263" t="inlineStr">
        <is>
          <t>Övriga Aktiebolag</t>
        </is>
      </c>
      <c r="G263" t="n">
        <v>6.2</v>
      </c>
      <c r="H263" t="n">
        <v>0</v>
      </c>
      <c r="I263" t="n">
        <v>0</v>
      </c>
      <c r="J263" t="n">
        <v>0</v>
      </c>
      <c r="K263" t="n">
        <v>0</v>
      </c>
      <c r="L263" t="n">
        <v>0</v>
      </c>
      <c r="M263" t="n">
        <v>0</v>
      </c>
      <c r="N263" t="n">
        <v>0</v>
      </c>
      <c r="O263" t="n">
        <v>0</v>
      </c>
      <c r="P263" t="n">
        <v>0</v>
      </c>
      <c r="Q263" t="n">
        <v>0</v>
      </c>
      <c r="R263" s="2" t="inlineStr"/>
    </row>
    <row r="264" ht="15" customHeight="1">
      <c r="A264" t="inlineStr">
        <is>
          <t>A 35228-2025</t>
        </is>
      </c>
      <c r="B264" s="1" t="n">
        <v>45853</v>
      </c>
      <c r="C264" s="1" t="n">
        <v>46142</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24619-2024</t>
        </is>
      </c>
      <c r="B265" s="1" t="n">
        <v>45460</v>
      </c>
      <c r="C265" s="1" t="n">
        <v>46142</v>
      </c>
      <c r="D265" t="inlineStr">
        <is>
          <t>SÖDERMANLANDS LÄN</t>
        </is>
      </c>
      <c r="E265" t="inlineStr">
        <is>
          <t>KATRINEHOLM</t>
        </is>
      </c>
      <c r="G265" t="n">
        <v>4.7</v>
      </c>
      <c r="H265" t="n">
        <v>0</v>
      </c>
      <c r="I265" t="n">
        <v>0</v>
      </c>
      <c r="J265" t="n">
        <v>0</v>
      </c>
      <c r="K265" t="n">
        <v>0</v>
      </c>
      <c r="L265" t="n">
        <v>0</v>
      </c>
      <c r="M265" t="n">
        <v>0</v>
      </c>
      <c r="N265" t="n">
        <v>0</v>
      </c>
      <c r="O265" t="n">
        <v>0</v>
      </c>
      <c r="P265" t="n">
        <v>0</v>
      </c>
      <c r="Q265" t="n">
        <v>0</v>
      </c>
      <c r="R265" s="2" t="inlineStr"/>
    </row>
    <row r="266" ht="15" customHeight="1">
      <c r="A266" t="inlineStr">
        <is>
          <t>A 26156-2025</t>
        </is>
      </c>
      <c r="B266" s="1" t="n">
        <v>45805.43864583333</v>
      </c>
      <c r="C266" s="1" t="n">
        <v>46142</v>
      </c>
      <c r="D266" t="inlineStr">
        <is>
          <t>SÖDERMANLANDS LÄN</t>
        </is>
      </c>
      <c r="E266" t="inlineStr">
        <is>
          <t>KATRINEHOLM</t>
        </is>
      </c>
      <c r="G266" t="n">
        <v>4.1</v>
      </c>
      <c r="H266" t="n">
        <v>0</v>
      </c>
      <c r="I266" t="n">
        <v>0</v>
      </c>
      <c r="J266" t="n">
        <v>0</v>
      </c>
      <c r="K266" t="n">
        <v>0</v>
      </c>
      <c r="L266" t="n">
        <v>0</v>
      </c>
      <c r="M266" t="n">
        <v>0</v>
      </c>
      <c r="N266" t="n">
        <v>0</v>
      </c>
      <c r="O266" t="n">
        <v>0</v>
      </c>
      <c r="P266" t="n">
        <v>0</v>
      </c>
      <c r="Q266" t="n">
        <v>0</v>
      </c>
      <c r="R266" s="2" t="inlineStr"/>
    </row>
    <row r="267" ht="15" customHeight="1">
      <c r="A267" t="inlineStr">
        <is>
          <t>A 9699-2024</t>
        </is>
      </c>
      <c r="B267" s="1" t="n">
        <v>45362</v>
      </c>
      <c r="C267" s="1" t="n">
        <v>46142</v>
      </c>
      <c r="D267" t="inlineStr">
        <is>
          <t>SÖDERMANLANDS LÄN</t>
        </is>
      </c>
      <c r="E267" t="inlineStr">
        <is>
          <t>KATRINEHOLM</t>
        </is>
      </c>
      <c r="G267" t="n">
        <v>7.7</v>
      </c>
      <c r="H267" t="n">
        <v>0</v>
      </c>
      <c r="I267" t="n">
        <v>0</v>
      </c>
      <c r="J267" t="n">
        <v>0</v>
      </c>
      <c r="K267" t="n">
        <v>0</v>
      </c>
      <c r="L267" t="n">
        <v>0</v>
      </c>
      <c r="M267" t="n">
        <v>0</v>
      </c>
      <c r="N267" t="n">
        <v>0</v>
      </c>
      <c r="O267" t="n">
        <v>0</v>
      </c>
      <c r="P267" t="n">
        <v>0</v>
      </c>
      <c r="Q267" t="n">
        <v>0</v>
      </c>
      <c r="R267" s="2" t="inlineStr"/>
    </row>
    <row r="268" ht="15" customHeight="1">
      <c r="A268" t="inlineStr">
        <is>
          <t>A 2473-2026</t>
        </is>
      </c>
      <c r="B268" s="1" t="n">
        <v>46037.37704861111</v>
      </c>
      <c r="C268" s="1" t="n">
        <v>46142</v>
      </c>
      <c r="D268" t="inlineStr">
        <is>
          <t>SÖDERMANLANDS LÄN</t>
        </is>
      </c>
      <c r="E268" t="inlineStr">
        <is>
          <t>KATRINEHOLM</t>
        </is>
      </c>
      <c r="F268" t="inlineStr">
        <is>
          <t>Övriga Aktiebolag</t>
        </is>
      </c>
      <c r="G268" t="n">
        <v>3.6</v>
      </c>
      <c r="H268" t="n">
        <v>0</v>
      </c>
      <c r="I268" t="n">
        <v>0</v>
      </c>
      <c r="J268" t="n">
        <v>0</v>
      </c>
      <c r="K268" t="n">
        <v>0</v>
      </c>
      <c r="L268" t="n">
        <v>0</v>
      </c>
      <c r="M268" t="n">
        <v>0</v>
      </c>
      <c r="N268" t="n">
        <v>0</v>
      </c>
      <c r="O268" t="n">
        <v>0</v>
      </c>
      <c r="P268" t="n">
        <v>0</v>
      </c>
      <c r="Q268" t="n">
        <v>0</v>
      </c>
      <c r="R268" s="2" t="inlineStr"/>
    </row>
    <row r="269" ht="15" customHeight="1">
      <c r="A269" t="inlineStr">
        <is>
          <t>A 59474-2021</t>
        </is>
      </c>
      <c r="B269" s="1" t="n">
        <v>44491</v>
      </c>
      <c r="C269" s="1" t="n">
        <v>46142</v>
      </c>
      <c r="D269" t="inlineStr">
        <is>
          <t>SÖDERMANLANDS LÄN</t>
        </is>
      </c>
      <c r="E269" t="inlineStr">
        <is>
          <t>KATRINEHOLM</t>
        </is>
      </c>
      <c r="G269" t="n">
        <v>2.7</v>
      </c>
      <c r="H269" t="n">
        <v>0</v>
      </c>
      <c r="I269" t="n">
        <v>0</v>
      </c>
      <c r="J269" t="n">
        <v>0</v>
      </c>
      <c r="K269" t="n">
        <v>0</v>
      </c>
      <c r="L269" t="n">
        <v>0</v>
      </c>
      <c r="M269" t="n">
        <v>0</v>
      </c>
      <c r="N269" t="n">
        <v>0</v>
      </c>
      <c r="O269" t="n">
        <v>0</v>
      </c>
      <c r="P269" t="n">
        <v>0</v>
      </c>
      <c r="Q269" t="n">
        <v>0</v>
      </c>
      <c r="R269" s="2" t="inlineStr"/>
    </row>
    <row r="270" ht="15" customHeight="1">
      <c r="A270" t="inlineStr">
        <is>
          <t>A 14239-2024</t>
        </is>
      </c>
      <c r="B270" s="1" t="n">
        <v>45393</v>
      </c>
      <c r="C270" s="1" t="n">
        <v>46142</v>
      </c>
      <c r="D270" t="inlineStr">
        <is>
          <t>SÖDERMANLANDS LÄN</t>
        </is>
      </c>
      <c r="E270" t="inlineStr">
        <is>
          <t>KATRINEHOLM</t>
        </is>
      </c>
      <c r="G270" t="n">
        <v>2.7</v>
      </c>
      <c r="H270" t="n">
        <v>0</v>
      </c>
      <c r="I270" t="n">
        <v>0</v>
      </c>
      <c r="J270" t="n">
        <v>0</v>
      </c>
      <c r="K270" t="n">
        <v>0</v>
      </c>
      <c r="L270" t="n">
        <v>0</v>
      </c>
      <c r="M270" t="n">
        <v>0</v>
      </c>
      <c r="N270" t="n">
        <v>0</v>
      </c>
      <c r="O270" t="n">
        <v>0</v>
      </c>
      <c r="P270" t="n">
        <v>0</v>
      </c>
      <c r="Q270" t="n">
        <v>0</v>
      </c>
      <c r="R270" s="2" t="inlineStr"/>
    </row>
    <row r="271" ht="15" customHeight="1">
      <c r="A271" t="inlineStr">
        <is>
          <t>A 14248-2024</t>
        </is>
      </c>
      <c r="B271" s="1" t="n">
        <v>45393</v>
      </c>
      <c r="C271" s="1" t="n">
        <v>46142</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11635-2023</t>
        </is>
      </c>
      <c r="B272" s="1" t="n">
        <v>44994</v>
      </c>
      <c r="C272" s="1" t="n">
        <v>46142</v>
      </c>
      <c r="D272" t="inlineStr">
        <is>
          <t>SÖDERMANLANDS LÄN</t>
        </is>
      </c>
      <c r="E272" t="inlineStr">
        <is>
          <t>KATRINEHOLM</t>
        </is>
      </c>
      <c r="G272" t="n">
        <v>4.3</v>
      </c>
      <c r="H272" t="n">
        <v>0</v>
      </c>
      <c r="I272" t="n">
        <v>0</v>
      </c>
      <c r="J272" t="n">
        <v>0</v>
      </c>
      <c r="K272" t="n">
        <v>0</v>
      </c>
      <c r="L272" t="n">
        <v>0</v>
      </c>
      <c r="M272" t="n">
        <v>0</v>
      </c>
      <c r="N272" t="n">
        <v>0</v>
      </c>
      <c r="O272" t="n">
        <v>0</v>
      </c>
      <c r="P272" t="n">
        <v>0</v>
      </c>
      <c r="Q272" t="n">
        <v>0</v>
      </c>
      <c r="R272" s="2" t="inlineStr"/>
    </row>
    <row r="273" ht="15" customHeight="1">
      <c r="A273" t="inlineStr">
        <is>
          <t>A 10932-2023</t>
        </is>
      </c>
      <c r="B273" s="1" t="n">
        <v>44985</v>
      </c>
      <c r="C273" s="1" t="n">
        <v>46142</v>
      </c>
      <c r="D273" t="inlineStr">
        <is>
          <t>SÖDERMANLANDS LÄN</t>
        </is>
      </c>
      <c r="E273" t="inlineStr">
        <is>
          <t>KATRINEHOLM</t>
        </is>
      </c>
      <c r="G273" t="n">
        <v>1.8</v>
      </c>
      <c r="H273" t="n">
        <v>0</v>
      </c>
      <c r="I273" t="n">
        <v>0</v>
      </c>
      <c r="J273" t="n">
        <v>0</v>
      </c>
      <c r="K273" t="n">
        <v>0</v>
      </c>
      <c r="L273" t="n">
        <v>0</v>
      </c>
      <c r="M273" t="n">
        <v>0</v>
      </c>
      <c r="N273" t="n">
        <v>0</v>
      </c>
      <c r="O273" t="n">
        <v>0</v>
      </c>
      <c r="P273" t="n">
        <v>0</v>
      </c>
      <c r="Q273" t="n">
        <v>0</v>
      </c>
      <c r="R273" s="2" t="inlineStr"/>
    </row>
    <row r="274" ht="15" customHeight="1">
      <c r="A274" t="inlineStr">
        <is>
          <t>A 6087-2022</t>
        </is>
      </c>
      <c r="B274" s="1" t="n">
        <v>44599.61034722222</v>
      </c>
      <c r="C274" s="1" t="n">
        <v>46142</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8957-2024</t>
        </is>
      </c>
      <c r="B275" s="1" t="n">
        <v>45357.45089120371</v>
      </c>
      <c r="C275" s="1" t="n">
        <v>46142</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42896-2024</t>
        </is>
      </c>
      <c r="B276" s="1" t="n">
        <v>45566.82973379629</v>
      </c>
      <c r="C276" s="1" t="n">
        <v>46142</v>
      </c>
      <c r="D276" t="inlineStr">
        <is>
          <t>SÖDERMANLANDS LÄN</t>
        </is>
      </c>
      <c r="E276" t="inlineStr">
        <is>
          <t>KATRINEHOLM</t>
        </is>
      </c>
      <c r="G276" t="n">
        <v>4.3</v>
      </c>
      <c r="H276" t="n">
        <v>0</v>
      </c>
      <c r="I276" t="n">
        <v>0</v>
      </c>
      <c r="J276" t="n">
        <v>0</v>
      </c>
      <c r="K276" t="n">
        <v>0</v>
      </c>
      <c r="L276" t="n">
        <v>0</v>
      </c>
      <c r="M276" t="n">
        <v>0</v>
      </c>
      <c r="N276" t="n">
        <v>0</v>
      </c>
      <c r="O276" t="n">
        <v>0</v>
      </c>
      <c r="P276" t="n">
        <v>0</v>
      </c>
      <c r="Q276" t="n">
        <v>0</v>
      </c>
      <c r="R276" s="2" t="inlineStr"/>
    </row>
    <row r="277" ht="15" customHeight="1">
      <c r="A277" t="inlineStr">
        <is>
          <t>A 7747-2024</t>
        </is>
      </c>
      <c r="B277" s="1" t="n">
        <v>45348</v>
      </c>
      <c r="C277" s="1" t="n">
        <v>46142</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7753-2024</t>
        </is>
      </c>
      <c r="B278" s="1" t="n">
        <v>45348</v>
      </c>
      <c r="C278" s="1" t="n">
        <v>46142</v>
      </c>
      <c r="D278" t="inlineStr">
        <is>
          <t>SÖDERMANLANDS LÄN</t>
        </is>
      </c>
      <c r="E278" t="inlineStr">
        <is>
          <t>KATRINEHOLM</t>
        </is>
      </c>
      <c r="G278" t="n">
        <v>13.4</v>
      </c>
      <c r="H278" t="n">
        <v>0</v>
      </c>
      <c r="I278" t="n">
        <v>0</v>
      </c>
      <c r="J278" t="n">
        <v>0</v>
      </c>
      <c r="K278" t="n">
        <v>0</v>
      </c>
      <c r="L278" t="n">
        <v>0</v>
      </c>
      <c r="M278" t="n">
        <v>0</v>
      </c>
      <c r="N278" t="n">
        <v>0</v>
      </c>
      <c r="O278" t="n">
        <v>0</v>
      </c>
      <c r="P278" t="n">
        <v>0</v>
      </c>
      <c r="Q278" t="n">
        <v>0</v>
      </c>
      <c r="R278" s="2" t="inlineStr"/>
    </row>
    <row r="279" ht="15" customHeight="1">
      <c r="A279" t="inlineStr">
        <is>
          <t>A 5935-2023</t>
        </is>
      </c>
      <c r="B279" s="1" t="n">
        <v>44963</v>
      </c>
      <c r="C279" s="1" t="n">
        <v>46142</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10732-2022</t>
        </is>
      </c>
      <c r="B280" s="1" t="n">
        <v>44627.34033564815</v>
      </c>
      <c r="C280" s="1" t="n">
        <v>46142</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46142</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27552-2025</t>
        </is>
      </c>
      <c r="B282" s="1" t="n">
        <v>45813</v>
      </c>
      <c r="C282" s="1" t="n">
        <v>46142</v>
      </c>
      <c r="D282" t="inlineStr">
        <is>
          <t>SÖDERMANLANDS LÄN</t>
        </is>
      </c>
      <c r="E282" t="inlineStr">
        <is>
          <t>KATRINEHOLM</t>
        </is>
      </c>
      <c r="G282" t="n">
        <v>0.7</v>
      </c>
      <c r="H282" t="n">
        <v>0</v>
      </c>
      <c r="I282" t="n">
        <v>0</v>
      </c>
      <c r="J282" t="n">
        <v>0</v>
      </c>
      <c r="K282" t="n">
        <v>0</v>
      </c>
      <c r="L282" t="n">
        <v>0</v>
      </c>
      <c r="M282" t="n">
        <v>0</v>
      </c>
      <c r="N282" t="n">
        <v>0</v>
      </c>
      <c r="O282" t="n">
        <v>0</v>
      </c>
      <c r="P282" t="n">
        <v>0</v>
      </c>
      <c r="Q282" t="n">
        <v>0</v>
      </c>
      <c r="R282" s="2" t="inlineStr"/>
    </row>
    <row r="283" ht="15" customHeight="1">
      <c r="A283" t="inlineStr">
        <is>
          <t>A 3939-2022</t>
        </is>
      </c>
      <c r="B283" s="1" t="n">
        <v>44587</v>
      </c>
      <c r="C283" s="1" t="n">
        <v>46142</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56074-2022</t>
        </is>
      </c>
      <c r="B284" s="1" t="n">
        <v>44889</v>
      </c>
      <c r="C284" s="1" t="n">
        <v>46142</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c r="T284">
        <f>HYPERLINK("https://klasma.github.io/Logging_0483/kartor/A 56074-2022 karta.png", "A 56074-2022")</f>
        <v/>
      </c>
      <c r="V284">
        <f>HYPERLINK("https://klasma.github.io/Logging_0483/klagomål/A 56074-2022 FSC-klagomål.docx", "A 56074-2022")</f>
        <v/>
      </c>
      <c r="W284">
        <f>HYPERLINK("https://klasma.github.io/Logging_0483/klagomålsmail/A 56074-2022 FSC-klagomål mail.docx", "A 56074-2022")</f>
        <v/>
      </c>
      <c r="X284">
        <f>HYPERLINK("https://klasma.github.io/Logging_0483/tillsyn/A 56074-2022 tillsynsbegäran.docx", "A 56074-2022")</f>
        <v/>
      </c>
      <c r="Y284">
        <f>HYPERLINK("https://klasma.github.io/Logging_0483/tillsynsmail/A 56074-2022 tillsynsbegäran mail.docx", "A 56074-2022")</f>
        <v/>
      </c>
    </row>
    <row r="285" ht="15" customHeight="1">
      <c r="A285" t="inlineStr">
        <is>
          <t>A 27636-2025</t>
        </is>
      </c>
      <c r="B285" s="1" t="n">
        <v>45813.57603009259</v>
      </c>
      <c r="C285" s="1" t="n">
        <v>46142</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4889-2026</t>
        </is>
      </c>
      <c r="B286" s="1" t="n">
        <v>46048.66766203703</v>
      </c>
      <c r="C286" s="1" t="n">
        <v>46142</v>
      </c>
      <c r="D286" t="inlineStr">
        <is>
          <t>SÖDERMANLANDS LÄN</t>
        </is>
      </c>
      <c r="E286" t="inlineStr">
        <is>
          <t>KATRINEHOLM</t>
        </is>
      </c>
      <c r="F286" t="inlineStr">
        <is>
          <t>Övriga Aktiebolag</t>
        </is>
      </c>
      <c r="G286" t="n">
        <v>2.4</v>
      </c>
      <c r="H286" t="n">
        <v>0</v>
      </c>
      <c r="I286" t="n">
        <v>0</v>
      </c>
      <c r="J286" t="n">
        <v>0</v>
      </c>
      <c r="K286" t="n">
        <v>0</v>
      </c>
      <c r="L286" t="n">
        <v>0</v>
      </c>
      <c r="M286" t="n">
        <v>0</v>
      </c>
      <c r="N286" t="n">
        <v>0</v>
      </c>
      <c r="O286" t="n">
        <v>0</v>
      </c>
      <c r="P286" t="n">
        <v>0</v>
      </c>
      <c r="Q286" t="n">
        <v>0</v>
      </c>
      <c r="R286" s="2" t="inlineStr"/>
    </row>
    <row r="287" ht="15" customHeight="1">
      <c r="A287" t="inlineStr">
        <is>
          <t>A 24600-2025</t>
        </is>
      </c>
      <c r="B287" s="1" t="n">
        <v>45798.56348379629</v>
      </c>
      <c r="C287" s="1" t="n">
        <v>46142</v>
      </c>
      <c r="D287" t="inlineStr">
        <is>
          <t>SÖDERMANLANDS LÄN</t>
        </is>
      </c>
      <c r="E287" t="inlineStr">
        <is>
          <t>KATRINEHOLM</t>
        </is>
      </c>
      <c r="G287" t="n">
        <v>1.7</v>
      </c>
      <c r="H287" t="n">
        <v>0</v>
      </c>
      <c r="I287" t="n">
        <v>0</v>
      </c>
      <c r="J287" t="n">
        <v>0</v>
      </c>
      <c r="K287" t="n">
        <v>0</v>
      </c>
      <c r="L287" t="n">
        <v>0</v>
      </c>
      <c r="M287" t="n">
        <v>0</v>
      </c>
      <c r="N287" t="n">
        <v>0</v>
      </c>
      <c r="O287" t="n">
        <v>0</v>
      </c>
      <c r="P287" t="n">
        <v>0</v>
      </c>
      <c r="Q287" t="n">
        <v>0</v>
      </c>
      <c r="R287" s="2" t="inlineStr"/>
    </row>
    <row r="288" ht="15" customHeight="1">
      <c r="A288" t="inlineStr">
        <is>
          <t>A 28427-2024</t>
        </is>
      </c>
      <c r="B288" s="1" t="n">
        <v>45477.64910879629</v>
      </c>
      <c r="C288" s="1" t="n">
        <v>46142</v>
      </c>
      <c r="D288" t="inlineStr">
        <is>
          <t>SÖDERMANLANDS LÄN</t>
        </is>
      </c>
      <c r="E288" t="inlineStr">
        <is>
          <t>KATRINEHOLM</t>
        </is>
      </c>
      <c r="G288" t="n">
        <v>5.9</v>
      </c>
      <c r="H288" t="n">
        <v>0</v>
      </c>
      <c r="I288" t="n">
        <v>0</v>
      </c>
      <c r="J288" t="n">
        <v>0</v>
      </c>
      <c r="K288" t="n">
        <v>0</v>
      </c>
      <c r="L288" t="n">
        <v>0</v>
      </c>
      <c r="M288" t="n">
        <v>0</v>
      </c>
      <c r="N288" t="n">
        <v>0</v>
      </c>
      <c r="O288" t="n">
        <v>0</v>
      </c>
      <c r="P288" t="n">
        <v>0</v>
      </c>
      <c r="Q288" t="n">
        <v>0</v>
      </c>
      <c r="R288" s="2" t="inlineStr"/>
    </row>
    <row r="289" ht="15" customHeight="1">
      <c r="A289" t="inlineStr">
        <is>
          <t>A 61915-2021</t>
        </is>
      </c>
      <c r="B289" s="1" t="n">
        <v>44502.36780092592</v>
      </c>
      <c r="C289" s="1" t="n">
        <v>46142</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35608-2024</t>
        </is>
      </c>
      <c r="B290" s="1" t="n">
        <v>45531</v>
      </c>
      <c r="C290" s="1" t="n">
        <v>46142</v>
      </c>
      <c r="D290" t="inlineStr">
        <is>
          <t>SÖDERMANLANDS LÄN</t>
        </is>
      </c>
      <c r="E290" t="inlineStr">
        <is>
          <t>KATRINEHOLM</t>
        </is>
      </c>
      <c r="G290" t="n">
        <v>2</v>
      </c>
      <c r="H290" t="n">
        <v>0</v>
      </c>
      <c r="I290" t="n">
        <v>0</v>
      </c>
      <c r="J290" t="n">
        <v>0</v>
      </c>
      <c r="K290" t="n">
        <v>0</v>
      </c>
      <c r="L290" t="n">
        <v>0</v>
      </c>
      <c r="M290" t="n">
        <v>0</v>
      </c>
      <c r="N290" t="n">
        <v>0</v>
      </c>
      <c r="O290" t="n">
        <v>0</v>
      </c>
      <c r="P290" t="n">
        <v>0</v>
      </c>
      <c r="Q290" t="n">
        <v>0</v>
      </c>
      <c r="R290" s="2" t="inlineStr"/>
    </row>
    <row r="291" ht="15" customHeight="1">
      <c r="A291" t="inlineStr">
        <is>
          <t>A 38708-2025</t>
        </is>
      </c>
      <c r="B291" s="1" t="n">
        <v>45885</v>
      </c>
      <c r="C291" s="1" t="n">
        <v>46142</v>
      </c>
      <c r="D291" t="inlineStr">
        <is>
          <t>SÖDERMANLANDS LÄN</t>
        </is>
      </c>
      <c r="E291" t="inlineStr">
        <is>
          <t>KATRINEHOLM</t>
        </is>
      </c>
      <c r="G291" t="n">
        <v>1.9</v>
      </c>
      <c r="H291" t="n">
        <v>0</v>
      </c>
      <c r="I291" t="n">
        <v>0</v>
      </c>
      <c r="J291" t="n">
        <v>0</v>
      </c>
      <c r="K291" t="n">
        <v>0</v>
      </c>
      <c r="L291" t="n">
        <v>0</v>
      </c>
      <c r="M291" t="n">
        <v>0</v>
      </c>
      <c r="N291" t="n">
        <v>0</v>
      </c>
      <c r="O291" t="n">
        <v>0</v>
      </c>
      <c r="P291" t="n">
        <v>0</v>
      </c>
      <c r="Q291" t="n">
        <v>0</v>
      </c>
      <c r="R291" s="2" t="inlineStr"/>
    </row>
    <row r="292" ht="15" customHeight="1">
      <c r="A292" t="inlineStr">
        <is>
          <t>A 4656-2023</t>
        </is>
      </c>
      <c r="B292" s="1" t="n">
        <v>44957</v>
      </c>
      <c r="C292" s="1" t="n">
        <v>46142</v>
      </c>
      <c r="D292" t="inlineStr">
        <is>
          <t>SÖDERMANLANDS LÄN</t>
        </is>
      </c>
      <c r="E292" t="inlineStr">
        <is>
          <t>KATRINEHOLM</t>
        </is>
      </c>
      <c r="F292" t="inlineStr">
        <is>
          <t>Holmen skog AB</t>
        </is>
      </c>
      <c r="G292" t="n">
        <v>1.7</v>
      </c>
      <c r="H292" t="n">
        <v>0</v>
      </c>
      <c r="I292" t="n">
        <v>0</v>
      </c>
      <c r="J292" t="n">
        <v>0</v>
      </c>
      <c r="K292" t="n">
        <v>0</v>
      </c>
      <c r="L292" t="n">
        <v>0</v>
      </c>
      <c r="M292" t="n">
        <v>0</v>
      </c>
      <c r="N292" t="n">
        <v>0</v>
      </c>
      <c r="O292" t="n">
        <v>0</v>
      </c>
      <c r="P292" t="n">
        <v>0</v>
      </c>
      <c r="Q292" t="n">
        <v>0</v>
      </c>
      <c r="R292" s="2" t="inlineStr"/>
    </row>
    <row r="293" ht="15" customHeight="1">
      <c r="A293" t="inlineStr">
        <is>
          <t>A 12633-2022</t>
        </is>
      </c>
      <c r="B293" s="1" t="n">
        <v>44638</v>
      </c>
      <c r="C293" s="1" t="n">
        <v>46142</v>
      </c>
      <c r="D293" t="inlineStr">
        <is>
          <t>SÖDERMANLANDS LÄN</t>
        </is>
      </c>
      <c r="E293" t="inlineStr">
        <is>
          <t>KATRINEHOLM</t>
        </is>
      </c>
      <c r="G293" t="n">
        <v>6.4</v>
      </c>
      <c r="H293" t="n">
        <v>0</v>
      </c>
      <c r="I293" t="n">
        <v>0</v>
      </c>
      <c r="J293" t="n">
        <v>0</v>
      </c>
      <c r="K293" t="n">
        <v>0</v>
      </c>
      <c r="L293" t="n">
        <v>0</v>
      </c>
      <c r="M293" t="n">
        <v>0</v>
      </c>
      <c r="N293" t="n">
        <v>0</v>
      </c>
      <c r="O293" t="n">
        <v>0</v>
      </c>
      <c r="P293" t="n">
        <v>0</v>
      </c>
      <c r="Q293" t="n">
        <v>0</v>
      </c>
      <c r="R293" s="2" t="inlineStr"/>
    </row>
    <row r="294" ht="15" customHeight="1">
      <c r="A294" t="inlineStr">
        <is>
          <t>A 5703-2026</t>
        </is>
      </c>
      <c r="B294" s="1" t="n">
        <v>46051.50774305555</v>
      </c>
      <c r="C294" s="1" t="n">
        <v>46142</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59093-2024</t>
        </is>
      </c>
      <c r="B295" s="1" t="n">
        <v>45636</v>
      </c>
      <c r="C295" s="1" t="n">
        <v>46142</v>
      </c>
      <c r="D295" t="inlineStr">
        <is>
          <t>SÖDERMANLANDS LÄN</t>
        </is>
      </c>
      <c r="E295" t="inlineStr">
        <is>
          <t>KATRINEHOLM</t>
        </is>
      </c>
      <c r="G295" t="n">
        <v>2.8</v>
      </c>
      <c r="H295" t="n">
        <v>0</v>
      </c>
      <c r="I295" t="n">
        <v>0</v>
      </c>
      <c r="J295" t="n">
        <v>0</v>
      </c>
      <c r="K295" t="n">
        <v>0</v>
      </c>
      <c r="L295" t="n">
        <v>0</v>
      </c>
      <c r="M295" t="n">
        <v>0</v>
      </c>
      <c r="N295" t="n">
        <v>0</v>
      </c>
      <c r="O295" t="n">
        <v>0</v>
      </c>
      <c r="P295" t="n">
        <v>0</v>
      </c>
      <c r="Q295" t="n">
        <v>0</v>
      </c>
      <c r="R295" s="2" t="inlineStr"/>
    </row>
    <row r="296" ht="15" customHeight="1">
      <c r="A296" t="inlineStr">
        <is>
          <t>A 38872-2024</t>
        </is>
      </c>
      <c r="B296" s="1" t="n">
        <v>45547</v>
      </c>
      <c r="C296" s="1" t="n">
        <v>46142</v>
      </c>
      <c r="D296" t="inlineStr">
        <is>
          <t>SÖDERMANLANDS LÄN</t>
        </is>
      </c>
      <c r="E296" t="inlineStr">
        <is>
          <t>KATRINEHOLM</t>
        </is>
      </c>
      <c r="G296" t="n">
        <v>5.7</v>
      </c>
      <c r="H296" t="n">
        <v>0</v>
      </c>
      <c r="I296" t="n">
        <v>0</v>
      </c>
      <c r="J296" t="n">
        <v>0</v>
      </c>
      <c r="K296" t="n">
        <v>0</v>
      </c>
      <c r="L296" t="n">
        <v>0</v>
      </c>
      <c r="M296" t="n">
        <v>0</v>
      </c>
      <c r="N296" t="n">
        <v>0</v>
      </c>
      <c r="O296" t="n">
        <v>0</v>
      </c>
      <c r="P296" t="n">
        <v>0</v>
      </c>
      <c r="Q296" t="n">
        <v>0</v>
      </c>
      <c r="R296" s="2" t="inlineStr"/>
    </row>
    <row r="297" ht="15" customHeight="1">
      <c r="A297" t="inlineStr">
        <is>
          <t>A 29189-2025</t>
        </is>
      </c>
      <c r="B297" s="1" t="n">
        <v>45822</v>
      </c>
      <c r="C297" s="1" t="n">
        <v>46142</v>
      </c>
      <c r="D297" t="inlineStr">
        <is>
          <t>SÖDERMANLANDS LÄN</t>
        </is>
      </c>
      <c r="E297" t="inlineStr">
        <is>
          <t>KATRINEHOLM</t>
        </is>
      </c>
      <c r="G297" t="n">
        <v>3.5</v>
      </c>
      <c r="H297" t="n">
        <v>0</v>
      </c>
      <c r="I297" t="n">
        <v>0</v>
      </c>
      <c r="J297" t="n">
        <v>0</v>
      </c>
      <c r="K297" t="n">
        <v>0</v>
      </c>
      <c r="L297" t="n">
        <v>0</v>
      </c>
      <c r="M297" t="n">
        <v>0</v>
      </c>
      <c r="N297" t="n">
        <v>0</v>
      </c>
      <c r="O297" t="n">
        <v>0</v>
      </c>
      <c r="P297" t="n">
        <v>0</v>
      </c>
      <c r="Q297" t="n">
        <v>0</v>
      </c>
      <c r="R297" s="2" t="inlineStr"/>
    </row>
    <row r="298" ht="15" customHeight="1">
      <c r="A298" t="inlineStr">
        <is>
          <t>A 9932-2023</t>
        </is>
      </c>
      <c r="B298" s="1" t="n">
        <v>44985.46709490741</v>
      </c>
      <c r="C298" s="1" t="n">
        <v>46142</v>
      </c>
      <c r="D298" t="inlineStr">
        <is>
          <t>SÖDERMANLANDS LÄN</t>
        </is>
      </c>
      <c r="E298" t="inlineStr">
        <is>
          <t>KATRINEHOLM</t>
        </is>
      </c>
      <c r="G298" t="n">
        <v>0.3</v>
      </c>
      <c r="H298" t="n">
        <v>0</v>
      </c>
      <c r="I298" t="n">
        <v>0</v>
      </c>
      <c r="J298" t="n">
        <v>0</v>
      </c>
      <c r="K298" t="n">
        <v>0</v>
      </c>
      <c r="L298" t="n">
        <v>0</v>
      </c>
      <c r="M298" t="n">
        <v>0</v>
      </c>
      <c r="N298" t="n">
        <v>0</v>
      </c>
      <c r="O298" t="n">
        <v>0</v>
      </c>
      <c r="P298" t="n">
        <v>0</v>
      </c>
      <c r="Q298" t="n">
        <v>0</v>
      </c>
      <c r="R298" s="2" t="inlineStr"/>
    </row>
    <row r="299" ht="15" customHeight="1">
      <c r="A299" t="inlineStr">
        <is>
          <t>A 30050-2025</t>
        </is>
      </c>
      <c r="B299" s="1" t="n">
        <v>45826.59151620371</v>
      </c>
      <c r="C299" s="1" t="n">
        <v>46142</v>
      </c>
      <c r="D299" t="inlineStr">
        <is>
          <t>SÖDERMANLANDS LÄN</t>
        </is>
      </c>
      <c r="E299" t="inlineStr">
        <is>
          <t>KATRINEHOLM</t>
        </is>
      </c>
      <c r="G299" t="n">
        <v>7.9</v>
      </c>
      <c r="H299" t="n">
        <v>0</v>
      </c>
      <c r="I299" t="n">
        <v>0</v>
      </c>
      <c r="J299" t="n">
        <v>0</v>
      </c>
      <c r="K299" t="n">
        <v>0</v>
      </c>
      <c r="L299" t="n">
        <v>0</v>
      </c>
      <c r="M299" t="n">
        <v>0</v>
      </c>
      <c r="N299" t="n">
        <v>0</v>
      </c>
      <c r="O299" t="n">
        <v>0</v>
      </c>
      <c r="P299" t="n">
        <v>0</v>
      </c>
      <c r="Q299" t="n">
        <v>0</v>
      </c>
      <c r="R299" s="2" t="inlineStr"/>
    </row>
    <row r="300" ht="15" customHeight="1">
      <c r="A300" t="inlineStr">
        <is>
          <t>A 9192-2023</t>
        </is>
      </c>
      <c r="B300" s="1" t="n">
        <v>44980</v>
      </c>
      <c r="C300" s="1" t="n">
        <v>46142</v>
      </c>
      <c r="D300" t="inlineStr">
        <is>
          <t>SÖDERMANLANDS LÄN</t>
        </is>
      </c>
      <c r="E300" t="inlineStr">
        <is>
          <t>KATRINEHOLM</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15399-2022</t>
        </is>
      </c>
      <c r="B301" s="1" t="n">
        <v>44659</v>
      </c>
      <c r="C301" s="1" t="n">
        <v>46142</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11872-2023</t>
        </is>
      </c>
      <c r="B302" s="1" t="n">
        <v>44995</v>
      </c>
      <c r="C302" s="1" t="n">
        <v>46142</v>
      </c>
      <c r="D302" t="inlineStr">
        <is>
          <t>SÖDERMANLANDS LÄN</t>
        </is>
      </c>
      <c r="E302" t="inlineStr">
        <is>
          <t>KATRINEHOLM</t>
        </is>
      </c>
      <c r="F302" t="inlineStr">
        <is>
          <t>Kommuner</t>
        </is>
      </c>
      <c r="G302" t="n">
        <v>0.9</v>
      </c>
      <c r="H302" t="n">
        <v>0</v>
      </c>
      <c r="I302" t="n">
        <v>0</v>
      </c>
      <c r="J302" t="n">
        <v>0</v>
      </c>
      <c r="K302" t="n">
        <v>0</v>
      </c>
      <c r="L302" t="n">
        <v>0</v>
      </c>
      <c r="M302" t="n">
        <v>0</v>
      </c>
      <c r="N302" t="n">
        <v>0</v>
      </c>
      <c r="O302" t="n">
        <v>0</v>
      </c>
      <c r="P302" t="n">
        <v>0</v>
      </c>
      <c r="Q302" t="n">
        <v>0</v>
      </c>
      <c r="R302" s="2" t="inlineStr"/>
    </row>
    <row r="303" ht="15" customHeight="1">
      <c r="A303" t="inlineStr">
        <is>
          <t>A 30070-2025</t>
        </is>
      </c>
      <c r="B303" s="1" t="n">
        <v>45826.63324074074</v>
      </c>
      <c r="C303" s="1" t="n">
        <v>46142</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49092-2024</t>
        </is>
      </c>
      <c r="B304" s="1" t="n">
        <v>45594.63619212963</v>
      </c>
      <c r="C304" s="1" t="n">
        <v>46142</v>
      </c>
      <c r="D304" t="inlineStr">
        <is>
          <t>SÖDERMANLANDS LÄN</t>
        </is>
      </c>
      <c r="E304" t="inlineStr">
        <is>
          <t>KATRINEHOLM</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49095-2024</t>
        </is>
      </c>
      <c r="B305" s="1" t="n">
        <v>45594.63828703704</v>
      </c>
      <c r="C305" s="1" t="n">
        <v>46142</v>
      </c>
      <c r="D305" t="inlineStr">
        <is>
          <t>SÖDERMANLANDS LÄN</t>
        </is>
      </c>
      <c r="E305" t="inlineStr">
        <is>
          <t>KATRINEHOLM</t>
        </is>
      </c>
      <c r="F305" t="inlineStr">
        <is>
          <t>Övriga Aktiebolag</t>
        </is>
      </c>
      <c r="G305" t="n">
        <v>0.4</v>
      </c>
      <c r="H305" t="n">
        <v>0</v>
      </c>
      <c r="I305" t="n">
        <v>0</v>
      </c>
      <c r="J305" t="n">
        <v>0</v>
      </c>
      <c r="K305" t="n">
        <v>0</v>
      </c>
      <c r="L305" t="n">
        <v>0</v>
      </c>
      <c r="M305" t="n">
        <v>0</v>
      </c>
      <c r="N305" t="n">
        <v>0</v>
      </c>
      <c r="O305" t="n">
        <v>0</v>
      </c>
      <c r="P305" t="n">
        <v>0</v>
      </c>
      <c r="Q305" t="n">
        <v>0</v>
      </c>
      <c r="R305" s="2" t="inlineStr"/>
    </row>
    <row r="306" ht="15" customHeight="1">
      <c r="A306" t="inlineStr">
        <is>
          <t>A 30287-2025</t>
        </is>
      </c>
      <c r="B306" s="1" t="n">
        <v>45827</v>
      </c>
      <c r="C306" s="1" t="n">
        <v>46142</v>
      </c>
      <c r="D306" t="inlineStr">
        <is>
          <t>SÖDERMANLANDS LÄN</t>
        </is>
      </c>
      <c r="E306" t="inlineStr">
        <is>
          <t>KATRINEHOLM</t>
        </is>
      </c>
      <c r="G306" t="n">
        <v>10.2</v>
      </c>
      <c r="H306" t="n">
        <v>0</v>
      </c>
      <c r="I306" t="n">
        <v>0</v>
      </c>
      <c r="J306" t="n">
        <v>0</v>
      </c>
      <c r="K306" t="n">
        <v>0</v>
      </c>
      <c r="L306" t="n">
        <v>0</v>
      </c>
      <c r="M306" t="n">
        <v>0</v>
      </c>
      <c r="N306" t="n">
        <v>0</v>
      </c>
      <c r="O306" t="n">
        <v>0</v>
      </c>
      <c r="P306" t="n">
        <v>0</v>
      </c>
      <c r="Q306" t="n">
        <v>0</v>
      </c>
      <c r="R306" s="2" t="inlineStr"/>
    </row>
    <row r="307" ht="15" customHeight="1">
      <c r="A307" t="inlineStr">
        <is>
          <t>A 30350-2025</t>
        </is>
      </c>
      <c r="B307" s="1" t="n">
        <v>45827.53319444445</v>
      </c>
      <c r="C307" s="1" t="n">
        <v>46142</v>
      </c>
      <c r="D307" t="inlineStr">
        <is>
          <t>SÖDERMANLANDS LÄN</t>
        </is>
      </c>
      <c r="E307" t="inlineStr">
        <is>
          <t>KATRINEHOLM</t>
        </is>
      </c>
      <c r="G307" t="n">
        <v>1.2</v>
      </c>
      <c r="H307" t="n">
        <v>0</v>
      </c>
      <c r="I307" t="n">
        <v>0</v>
      </c>
      <c r="J307" t="n">
        <v>0</v>
      </c>
      <c r="K307" t="n">
        <v>0</v>
      </c>
      <c r="L307" t="n">
        <v>0</v>
      </c>
      <c r="M307" t="n">
        <v>0</v>
      </c>
      <c r="N307" t="n">
        <v>0</v>
      </c>
      <c r="O307" t="n">
        <v>0</v>
      </c>
      <c r="P307" t="n">
        <v>0</v>
      </c>
      <c r="Q307" t="n">
        <v>0</v>
      </c>
      <c r="R307" s="2" t="inlineStr"/>
    </row>
    <row r="308" ht="15" customHeight="1">
      <c r="A308" t="inlineStr">
        <is>
          <t>A 30352-2025</t>
        </is>
      </c>
      <c r="B308" s="1" t="n">
        <v>45827</v>
      </c>
      <c r="C308" s="1" t="n">
        <v>46142</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30386-2025</t>
        </is>
      </c>
      <c r="B309" s="1" t="n">
        <v>45827</v>
      </c>
      <c r="C309" s="1" t="n">
        <v>46142</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36-2023</t>
        </is>
      </c>
      <c r="B310" s="1" t="n">
        <v>44928.36578703704</v>
      </c>
      <c r="C310" s="1" t="n">
        <v>46142</v>
      </c>
      <c r="D310" t="inlineStr">
        <is>
          <t>SÖDERMANLANDS LÄN</t>
        </is>
      </c>
      <c r="E310" t="inlineStr">
        <is>
          <t>KATRINEHOLM</t>
        </is>
      </c>
      <c r="G310" t="n">
        <v>3.7</v>
      </c>
      <c r="H310" t="n">
        <v>0</v>
      </c>
      <c r="I310" t="n">
        <v>0</v>
      </c>
      <c r="J310" t="n">
        <v>0</v>
      </c>
      <c r="K310" t="n">
        <v>0</v>
      </c>
      <c r="L310" t="n">
        <v>0</v>
      </c>
      <c r="M310" t="n">
        <v>0</v>
      </c>
      <c r="N310" t="n">
        <v>0</v>
      </c>
      <c r="O310" t="n">
        <v>0</v>
      </c>
      <c r="P310" t="n">
        <v>0</v>
      </c>
      <c r="Q310" t="n">
        <v>0</v>
      </c>
      <c r="R310" s="2" t="inlineStr"/>
    </row>
    <row r="311" ht="15" customHeight="1">
      <c r="A311" t="inlineStr">
        <is>
          <t>A 39645-2025</t>
        </is>
      </c>
      <c r="B311" s="1" t="n">
        <v>45890</v>
      </c>
      <c r="C311" s="1" t="n">
        <v>46142</v>
      </c>
      <c r="D311" t="inlineStr">
        <is>
          <t>SÖDERMANLANDS LÄN</t>
        </is>
      </c>
      <c r="E311" t="inlineStr">
        <is>
          <t>KATRINEHOLM</t>
        </is>
      </c>
      <c r="G311" t="n">
        <v>0.2</v>
      </c>
      <c r="H311" t="n">
        <v>0</v>
      </c>
      <c r="I311" t="n">
        <v>0</v>
      </c>
      <c r="J311" t="n">
        <v>0</v>
      </c>
      <c r="K311" t="n">
        <v>0</v>
      </c>
      <c r="L311" t="n">
        <v>0</v>
      </c>
      <c r="M311" t="n">
        <v>0</v>
      </c>
      <c r="N311" t="n">
        <v>0</v>
      </c>
      <c r="O311" t="n">
        <v>0</v>
      </c>
      <c r="P311" t="n">
        <v>0</v>
      </c>
      <c r="Q311" t="n">
        <v>0</v>
      </c>
      <c r="R311" s="2" t="inlineStr"/>
    </row>
    <row r="312" ht="15" customHeight="1">
      <c r="A312" t="inlineStr">
        <is>
          <t>A 30402-2025</t>
        </is>
      </c>
      <c r="B312" s="1" t="n">
        <v>45827</v>
      </c>
      <c r="C312" s="1" t="n">
        <v>46142</v>
      </c>
      <c r="D312" t="inlineStr">
        <is>
          <t>SÖDERMANLANDS LÄN</t>
        </is>
      </c>
      <c r="E312" t="inlineStr">
        <is>
          <t>KATRINEHOLM</t>
        </is>
      </c>
      <c r="G312" t="n">
        <v>7.1</v>
      </c>
      <c r="H312" t="n">
        <v>0</v>
      </c>
      <c r="I312" t="n">
        <v>0</v>
      </c>
      <c r="J312" t="n">
        <v>0</v>
      </c>
      <c r="K312" t="n">
        <v>0</v>
      </c>
      <c r="L312" t="n">
        <v>0</v>
      </c>
      <c r="M312" t="n">
        <v>0</v>
      </c>
      <c r="N312" t="n">
        <v>0</v>
      </c>
      <c r="O312" t="n">
        <v>0</v>
      </c>
      <c r="P312" t="n">
        <v>0</v>
      </c>
      <c r="Q312" t="n">
        <v>0</v>
      </c>
      <c r="R312" s="2" t="inlineStr"/>
    </row>
    <row r="313" ht="15" customHeight="1">
      <c r="A313" t="inlineStr">
        <is>
          <t>A 10341-2022</t>
        </is>
      </c>
      <c r="B313" s="1" t="n">
        <v>44623</v>
      </c>
      <c r="C313" s="1" t="n">
        <v>46142</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12835-2024</t>
        </is>
      </c>
      <c r="B314" s="1" t="n">
        <v>45384</v>
      </c>
      <c r="C314" s="1" t="n">
        <v>46142</v>
      </c>
      <c r="D314" t="inlineStr">
        <is>
          <t>SÖDERMANLANDS LÄN</t>
        </is>
      </c>
      <c r="E314" t="inlineStr">
        <is>
          <t>KATRINEHOLM</t>
        </is>
      </c>
      <c r="F314" t="inlineStr">
        <is>
          <t>Allmännings- och besparingsskogar</t>
        </is>
      </c>
      <c r="G314" t="n">
        <v>0.5</v>
      </c>
      <c r="H314" t="n">
        <v>0</v>
      </c>
      <c r="I314" t="n">
        <v>0</v>
      </c>
      <c r="J314" t="n">
        <v>0</v>
      </c>
      <c r="K314" t="n">
        <v>0</v>
      </c>
      <c r="L314" t="n">
        <v>0</v>
      </c>
      <c r="M314" t="n">
        <v>0</v>
      </c>
      <c r="N314" t="n">
        <v>0</v>
      </c>
      <c r="O314" t="n">
        <v>0</v>
      </c>
      <c r="P314" t="n">
        <v>0</v>
      </c>
      <c r="Q314" t="n">
        <v>0</v>
      </c>
      <c r="R314" s="2" t="inlineStr"/>
    </row>
    <row r="315" ht="15" customHeight="1">
      <c r="A315" t="inlineStr">
        <is>
          <t>A 25716-2022</t>
        </is>
      </c>
      <c r="B315" s="1" t="n">
        <v>44733.39600694444</v>
      </c>
      <c r="C315" s="1" t="n">
        <v>46142</v>
      </c>
      <c r="D315" t="inlineStr">
        <is>
          <t>SÖDERMANLANDS LÄN</t>
        </is>
      </c>
      <c r="E315" t="inlineStr">
        <is>
          <t>KATRINEHOLM</t>
        </is>
      </c>
      <c r="G315" t="n">
        <v>3.4</v>
      </c>
      <c r="H315" t="n">
        <v>0</v>
      </c>
      <c r="I315" t="n">
        <v>0</v>
      </c>
      <c r="J315" t="n">
        <v>0</v>
      </c>
      <c r="K315" t="n">
        <v>0</v>
      </c>
      <c r="L315" t="n">
        <v>0</v>
      </c>
      <c r="M315" t="n">
        <v>0</v>
      </c>
      <c r="N315" t="n">
        <v>0</v>
      </c>
      <c r="O315" t="n">
        <v>0</v>
      </c>
      <c r="P315" t="n">
        <v>0</v>
      </c>
      <c r="Q315" t="n">
        <v>0</v>
      </c>
      <c r="R315" s="2" t="inlineStr"/>
    </row>
    <row r="316" ht="15" customHeight="1">
      <c r="A316" t="inlineStr">
        <is>
          <t>A 6807-2023</t>
        </is>
      </c>
      <c r="B316" s="1" t="n">
        <v>44964</v>
      </c>
      <c r="C316" s="1" t="n">
        <v>46142</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9668-2023</t>
        </is>
      </c>
      <c r="B317" s="1" t="n">
        <v>44984.41238425926</v>
      </c>
      <c r="C317" s="1" t="n">
        <v>46142</v>
      </c>
      <c r="D317" t="inlineStr">
        <is>
          <t>SÖDERMANLANDS LÄN</t>
        </is>
      </c>
      <c r="E317" t="inlineStr">
        <is>
          <t>KATRINEHOLM</t>
        </is>
      </c>
      <c r="G317" t="n">
        <v>4.8</v>
      </c>
      <c r="H317" t="n">
        <v>0</v>
      </c>
      <c r="I317" t="n">
        <v>0</v>
      </c>
      <c r="J317" t="n">
        <v>0</v>
      </c>
      <c r="K317" t="n">
        <v>0</v>
      </c>
      <c r="L317" t="n">
        <v>0</v>
      </c>
      <c r="M317" t="n">
        <v>0</v>
      </c>
      <c r="N317" t="n">
        <v>0</v>
      </c>
      <c r="O317" t="n">
        <v>0</v>
      </c>
      <c r="P317" t="n">
        <v>0</v>
      </c>
      <c r="Q317" t="n">
        <v>0</v>
      </c>
      <c r="R317" s="2" t="inlineStr"/>
    </row>
    <row r="318" ht="15" customHeight="1">
      <c r="A318" t="inlineStr">
        <is>
          <t>A 9044-2022</t>
        </is>
      </c>
      <c r="B318" s="1" t="n">
        <v>44602</v>
      </c>
      <c r="C318" s="1" t="n">
        <v>46142</v>
      </c>
      <c r="D318" t="inlineStr">
        <is>
          <t>SÖDERMANLANDS LÄN</t>
        </is>
      </c>
      <c r="E318" t="inlineStr">
        <is>
          <t>KATRINEHOLM</t>
        </is>
      </c>
      <c r="G318" t="n">
        <v>5.8</v>
      </c>
      <c r="H318" t="n">
        <v>0</v>
      </c>
      <c r="I318" t="n">
        <v>0</v>
      </c>
      <c r="J318" t="n">
        <v>0</v>
      </c>
      <c r="K318" t="n">
        <v>0</v>
      </c>
      <c r="L318" t="n">
        <v>0</v>
      </c>
      <c r="M318" t="n">
        <v>0</v>
      </c>
      <c r="N318" t="n">
        <v>0</v>
      </c>
      <c r="O318" t="n">
        <v>0</v>
      </c>
      <c r="P318" t="n">
        <v>0</v>
      </c>
      <c r="Q318" t="n">
        <v>0</v>
      </c>
      <c r="R318" s="2" t="inlineStr"/>
    </row>
    <row r="319" ht="15" customHeight="1">
      <c r="A319" t="inlineStr">
        <is>
          <t>A 39663-2025</t>
        </is>
      </c>
      <c r="B319" s="1" t="n">
        <v>45890</v>
      </c>
      <c r="C319" s="1" t="n">
        <v>46142</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31376-2025</t>
        </is>
      </c>
      <c r="B320" s="1" t="n">
        <v>45833</v>
      </c>
      <c r="C320" s="1" t="n">
        <v>46142</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14754-2026</t>
        </is>
      </c>
      <c r="B321" s="1" t="n">
        <v>46101.62297453704</v>
      </c>
      <c r="C321" s="1" t="n">
        <v>46142</v>
      </c>
      <c r="D321" t="inlineStr">
        <is>
          <t>SÖDERMANLANDS LÄN</t>
        </is>
      </c>
      <c r="E321" t="inlineStr">
        <is>
          <t>KATRINEHOLM</t>
        </is>
      </c>
      <c r="G321" t="n">
        <v>4.5</v>
      </c>
      <c r="H321" t="n">
        <v>0</v>
      </c>
      <c r="I321" t="n">
        <v>0</v>
      </c>
      <c r="J321" t="n">
        <v>0</v>
      </c>
      <c r="K321" t="n">
        <v>0</v>
      </c>
      <c r="L321" t="n">
        <v>0</v>
      </c>
      <c r="M321" t="n">
        <v>0</v>
      </c>
      <c r="N321" t="n">
        <v>0</v>
      </c>
      <c r="O321" t="n">
        <v>0</v>
      </c>
      <c r="P321" t="n">
        <v>0</v>
      </c>
      <c r="Q321" t="n">
        <v>0</v>
      </c>
      <c r="R321" s="2" t="inlineStr"/>
    </row>
    <row r="322" ht="15" customHeight="1">
      <c r="A322" t="inlineStr">
        <is>
          <t>A 39668-2025</t>
        </is>
      </c>
      <c r="B322" s="1" t="n">
        <v>45890</v>
      </c>
      <c r="C322" s="1" t="n">
        <v>46142</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7513-2026</t>
        </is>
      </c>
      <c r="B323" s="1" t="n">
        <v>46059.59083333334</v>
      </c>
      <c r="C323" s="1" t="n">
        <v>46142</v>
      </c>
      <c r="D323" t="inlineStr">
        <is>
          <t>SÖDERMANLANDS LÄN</t>
        </is>
      </c>
      <c r="E323" t="inlineStr">
        <is>
          <t>KATRINEHOLM</t>
        </is>
      </c>
      <c r="F323" t="inlineStr">
        <is>
          <t>Övriga Aktiebolag</t>
        </is>
      </c>
      <c r="G323" t="n">
        <v>5</v>
      </c>
      <c r="H323" t="n">
        <v>0</v>
      </c>
      <c r="I323" t="n">
        <v>0</v>
      </c>
      <c r="J323" t="n">
        <v>0</v>
      </c>
      <c r="K323" t="n">
        <v>0</v>
      </c>
      <c r="L323" t="n">
        <v>0</v>
      </c>
      <c r="M323" t="n">
        <v>0</v>
      </c>
      <c r="N323" t="n">
        <v>0</v>
      </c>
      <c r="O323" t="n">
        <v>0</v>
      </c>
      <c r="P323" t="n">
        <v>0</v>
      </c>
      <c r="Q323" t="n">
        <v>0</v>
      </c>
      <c r="R323" s="2" t="inlineStr"/>
    </row>
    <row r="324" ht="15" customHeight="1">
      <c r="A324" t="inlineStr">
        <is>
          <t>A 14750-2026</t>
        </is>
      </c>
      <c r="B324" s="1" t="n">
        <v>46101.6208912037</v>
      </c>
      <c r="C324" s="1" t="n">
        <v>46142</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14770-2026</t>
        </is>
      </c>
      <c r="B325" s="1" t="n">
        <v>46101.63951388889</v>
      </c>
      <c r="C325" s="1" t="n">
        <v>46142</v>
      </c>
      <c r="D325" t="inlineStr">
        <is>
          <t>SÖDERMANLANDS LÄN</t>
        </is>
      </c>
      <c r="E325" t="inlineStr">
        <is>
          <t>KATRINEHOLM</t>
        </is>
      </c>
      <c r="G325" t="n">
        <v>7.5</v>
      </c>
      <c r="H325" t="n">
        <v>0</v>
      </c>
      <c r="I325" t="n">
        <v>0</v>
      </c>
      <c r="J325" t="n">
        <v>0</v>
      </c>
      <c r="K325" t="n">
        <v>0</v>
      </c>
      <c r="L325" t="n">
        <v>0</v>
      </c>
      <c r="M325" t="n">
        <v>0</v>
      </c>
      <c r="N325" t="n">
        <v>0</v>
      </c>
      <c r="O325" t="n">
        <v>0</v>
      </c>
      <c r="P325" t="n">
        <v>0</v>
      </c>
      <c r="Q325" t="n">
        <v>0</v>
      </c>
      <c r="R325" s="2" t="inlineStr"/>
    </row>
    <row r="326" ht="15" customHeight="1">
      <c r="A326" t="inlineStr">
        <is>
          <t>A 31392-2025</t>
        </is>
      </c>
      <c r="B326" s="1" t="n">
        <v>45833</v>
      </c>
      <c r="C326" s="1" t="n">
        <v>46142</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48091-2024</t>
        </is>
      </c>
      <c r="B327" s="1" t="n">
        <v>45590</v>
      </c>
      <c r="C327" s="1" t="n">
        <v>46142</v>
      </c>
      <c r="D327" t="inlineStr">
        <is>
          <t>SÖDERMANLANDS LÄN</t>
        </is>
      </c>
      <c r="E327" t="inlineStr">
        <is>
          <t>KATRINEHOLM</t>
        </is>
      </c>
      <c r="G327" t="n">
        <v>3.1</v>
      </c>
      <c r="H327" t="n">
        <v>0</v>
      </c>
      <c r="I327" t="n">
        <v>0</v>
      </c>
      <c r="J327" t="n">
        <v>0</v>
      </c>
      <c r="K327" t="n">
        <v>0</v>
      </c>
      <c r="L327" t="n">
        <v>0</v>
      </c>
      <c r="M327" t="n">
        <v>0</v>
      </c>
      <c r="N327" t="n">
        <v>0</v>
      </c>
      <c r="O327" t="n">
        <v>0</v>
      </c>
      <c r="P327" t="n">
        <v>0</v>
      </c>
      <c r="Q327" t="n">
        <v>0</v>
      </c>
      <c r="R327" s="2" t="inlineStr"/>
    </row>
    <row r="328" ht="15" customHeight="1">
      <c r="A328" t="inlineStr">
        <is>
          <t>A 24097-2022</t>
        </is>
      </c>
      <c r="B328" s="1" t="n">
        <v>44725.39371527778</v>
      </c>
      <c r="C328" s="1" t="n">
        <v>46142</v>
      </c>
      <c r="D328" t="inlineStr">
        <is>
          <t>SÖDERMANLANDS LÄN</t>
        </is>
      </c>
      <c r="E328" t="inlineStr">
        <is>
          <t>KATRINEHOLM</t>
        </is>
      </c>
      <c r="G328" t="n">
        <v>6.5</v>
      </c>
      <c r="H328" t="n">
        <v>0</v>
      </c>
      <c r="I328" t="n">
        <v>0</v>
      </c>
      <c r="J328" t="n">
        <v>0</v>
      </c>
      <c r="K328" t="n">
        <v>0</v>
      </c>
      <c r="L328" t="n">
        <v>0</v>
      </c>
      <c r="M328" t="n">
        <v>0</v>
      </c>
      <c r="N328" t="n">
        <v>0</v>
      </c>
      <c r="O328" t="n">
        <v>0</v>
      </c>
      <c r="P328" t="n">
        <v>0</v>
      </c>
      <c r="Q328" t="n">
        <v>0</v>
      </c>
      <c r="R328" s="2" t="inlineStr"/>
    </row>
    <row r="329" ht="15" customHeight="1">
      <c r="A329" t="inlineStr">
        <is>
          <t>A 31386-2025</t>
        </is>
      </c>
      <c r="B329" s="1" t="n">
        <v>45833.45259259259</v>
      </c>
      <c r="C329" s="1" t="n">
        <v>46142</v>
      </c>
      <c r="D329" t="inlineStr">
        <is>
          <t>SÖDERMANLANDS LÄN</t>
        </is>
      </c>
      <c r="E329" t="inlineStr">
        <is>
          <t>KATRINEHOLM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14751-2026</t>
        </is>
      </c>
      <c r="B330" s="1" t="n">
        <v>46101.6220949074</v>
      </c>
      <c r="C330" s="1" t="n">
        <v>46142</v>
      </c>
      <c r="D330" t="inlineStr">
        <is>
          <t>SÖDERMANLANDS LÄN</t>
        </is>
      </c>
      <c r="E330" t="inlineStr">
        <is>
          <t>KATRINEHOLM</t>
        </is>
      </c>
      <c r="G330" t="n">
        <v>2.1</v>
      </c>
      <c r="H330" t="n">
        <v>0</v>
      </c>
      <c r="I330" t="n">
        <v>0</v>
      </c>
      <c r="J330" t="n">
        <v>0</v>
      </c>
      <c r="K330" t="n">
        <v>0</v>
      </c>
      <c r="L330" t="n">
        <v>0</v>
      </c>
      <c r="M330" t="n">
        <v>0</v>
      </c>
      <c r="N330" t="n">
        <v>0</v>
      </c>
      <c r="O330" t="n">
        <v>0</v>
      </c>
      <c r="P330" t="n">
        <v>0</v>
      </c>
      <c r="Q330" t="n">
        <v>0</v>
      </c>
      <c r="R330" s="2" t="inlineStr"/>
    </row>
    <row r="331" ht="15" customHeight="1">
      <c r="A331" t="inlineStr">
        <is>
          <t>A 46670-2021</t>
        </is>
      </c>
      <c r="B331" s="1" t="n">
        <v>44445</v>
      </c>
      <c r="C331" s="1" t="n">
        <v>46142</v>
      </c>
      <c r="D331" t="inlineStr">
        <is>
          <t>SÖDERMANLANDS LÄN</t>
        </is>
      </c>
      <c r="E331" t="inlineStr">
        <is>
          <t>KATRINEHOLM</t>
        </is>
      </c>
      <c r="G331" t="n">
        <v>4.4</v>
      </c>
      <c r="H331" t="n">
        <v>0</v>
      </c>
      <c r="I331" t="n">
        <v>0</v>
      </c>
      <c r="J331" t="n">
        <v>0</v>
      </c>
      <c r="K331" t="n">
        <v>0</v>
      </c>
      <c r="L331" t="n">
        <v>0</v>
      </c>
      <c r="M331" t="n">
        <v>0</v>
      </c>
      <c r="N331" t="n">
        <v>0</v>
      </c>
      <c r="O331" t="n">
        <v>0</v>
      </c>
      <c r="P331" t="n">
        <v>0</v>
      </c>
      <c r="Q331" t="n">
        <v>0</v>
      </c>
      <c r="R331" s="2" t="inlineStr"/>
    </row>
    <row r="332" ht="15" customHeight="1">
      <c r="A332" t="inlineStr">
        <is>
          <t>A 62954-2023</t>
        </is>
      </c>
      <c r="B332" s="1" t="n">
        <v>45272.55362268518</v>
      </c>
      <c r="C332" s="1" t="n">
        <v>46142</v>
      </c>
      <c r="D332" t="inlineStr">
        <is>
          <t>SÖDERMANLANDS LÄN</t>
        </is>
      </c>
      <c r="E332" t="inlineStr">
        <is>
          <t>KATRINEHOLM</t>
        </is>
      </c>
      <c r="G332" t="n">
        <v>2.3</v>
      </c>
      <c r="H332" t="n">
        <v>0</v>
      </c>
      <c r="I332" t="n">
        <v>0</v>
      </c>
      <c r="J332" t="n">
        <v>0</v>
      </c>
      <c r="K332" t="n">
        <v>0</v>
      </c>
      <c r="L332" t="n">
        <v>0</v>
      </c>
      <c r="M332" t="n">
        <v>0</v>
      </c>
      <c r="N332" t="n">
        <v>0</v>
      </c>
      <c r="O332" t="n">
        <v>0</v>
      </c>
      <c r="P332" t="n">
        <v>0</v>
      </c>
      <c r="Q332" t="n">
        <v>0</v>
      </c>
      <c r="R332" s="2" t="inlineStr"/>
    </row>
    <row r="333" ht="15" customHeight="1">
      <c r="A333" t="inlineStr">
        <is>
          <t>A 58651-2023</t>
        </is>
      </c>
      <c r="B333" s="1" t="n">
        <v>45247</v>
      </c>
      <c r="C333" s="1" t="n">
        <v>46142</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31990-2025</t>
        </is>
      </c>
      <c r="B334" s="1" t="n">
        <v>45835.36697916667</v>
      </c>
      <c r="C334" s="1" t="n">
        <v>46142</v>
      </c>
      <c r="D334" t="inlineStr">
        <is>
          <t>SÖDERMANLANDS LÄN</t>
        </is>
      </c>
      <c r="E334" t="inlineStr">
        <is>
          <t>KATRINEHOLM</t>
        </is>
      </c>
      <c r="G334" t="n">
        <v>0.5</v>
      </c>
      <c r="H334" t="n">
        <v>0</v>
      </c>
      <c r="I334" t="n">
        <v>0</v>
      </c>
      <c r="J334" t="n">
        <v>0</v>
      </c>
      <c r="K334" t="n">
        <v>0</v>
      </c>
      <c r="L334" t="n">
        <v>0</v>
      </c>
      <c r="M334" t="n">
        <v>0</v>
      </c>
      <c r="N334" t="n">
        <v>0</v>
      </c>
      <c r="O334" t="n">
        <v>0</v>
      </c>
      <c r="P334" t="n">
        <v>0</v>
      </c>
      <c r="Q334" t="n">
        <v>0</v>
      </c>
      <c r="R334" s="2" t="inlineStr"/>
    </row>
    <row r="335" ht="15" customHeight="1">
      <c r="A335" t="inlineStr">
        <is>
          <t>A 15191-2026</t>
        </is>
      </c>
      <c r="B335" s="1" t="n">
        <v>46105.46846064815</v>
      </c>
      <c r="C335" s="1" t="n">
        <v>46142</v>
      </c>
      <c r="D335" t="inlineStr">
        <is>
          <t>SÖDERMANLANDS LÄN</t>
        </is>
      </c>
      <c r="E335" t="inlineStr">
        <is>
          <t>KATRINEHOLM</t>
        </is>
      </c>
      <c r="G335" t="n">
        <v>3.6</v>
      </c>
      <c r="H335" t="n">
        <v>0</v>
      </c>
      <c r="I335" t="n">
        <v>0</v>
      </c>
      <c r="J335" t="n">
        <v>0</v>
      </c>
      <c r="K335" t="n">
        <v>0</v>
      </c>
      <c r="L335" t="n">
        <v>0</v>
      </c>
      <c r="M335" t="n">
        <v>0</v>
      </c>
      <c r="N335" t="n">
        <v>0</v>
      </c>
      <c r="O335" t="n">
        <v>0</v>
      </c>
      <c r="P335" t="n">
        <v>0</v>
      </c>
      <c r="Q335" t="n">
        <v>0</v>
      </c>
      <c r="R335" s="2" t="inlineStr"/>
    </row>
    <row r="336" ht="15" customHeight="1">
      <c r="A336" t="inlineStr">
        <is>
          <t>A 6446-2022</t>
        </is>
      </c>
      <c r="B336" s="1" t="n">
        <v>44600</v>
      </c>
      <c r="C336" s="1" t="n">
        <v>46142</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51923-2023</t>
        </is>
      </c>
      <c r="B337" s="1" t="n">
        <v>45223</v>
      </c>
      <c r="C337" s="1" t="n">
        <v>46142</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15819-2026</t>
        </is>
      </c>
      <c r="B338" s="1" t="n">
        <v>46107.53678240741</v>
      </c>
      <c r="C338" s="1" t="n">
        <v>46142</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33090-2025</t>
        </is>
      </c>
      <c r="B339" s="1" t="n">
        <v>45840.46840277778</v>
      </c>
      <c r="C339" s="1" t="n">
        <v>46142</v>
      </c>
      <c r="D339" t="inlineStr">
        <is>
          <t>SÖDERMANLANDS LÄN</t>
        </is>
      </c>
      <c r="E339" t="inlineStr">
        <is>
          <t>KATRINEHOLM</t>
        </is>
      </c>
      <c r="G339" t="n">
        <v>0.6</v>
      </c>
      <c r="H339" t="n">
        <v>0</v>
      </c>
      <c r="I339" t="n">
        <v>0</v>
      </c>
      <c r="J339" t="n">
        <v>0</v>
      </c>
      <c r="K339" t="n">
        <v>0</v>
      </c>
      <c r="L339" t="n">
        <v>0</v>
      </c>
      <c r="M339" t="n">
        <v>0</v>
      </c>
      <c r="N339" t="n">
        <v>0</v>
      </c>
      <c r="O339" t="n">
        <v>0</v>
      </c>
      <c r="P339" t="n">
        <v>0</v>
      </c>
      <c r="Q339" t="n">
        <v>0</v>
      </c>
      <c r="R339" s="2" t="inlineStr"/>
    </row>
    <row r="340" ht="15" customHeight="1">
      <c r="A340" t="inlineStr">
        <is>
          <t>A 33084-2025</t>
        </is>
      </c>
      <c r="B340" s="1" t="n">
        <v>45840.46559027778</v>
      </c>
      <c r="C340" s="1" t="n">
        <v>46142</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33577-2025</t>
        </is>
      </c>
      <c r="B341" s="1" t="n">
        <v>45841.59056712963</v>
      </c>
      <c r="C341" s="1" t="n">
        <v>46142</v>
      </c>
      <c r="D341" t="inlineStr">
        <is>
          <t>SÖDERMANLANDS LÄN</t>
        </is>
      </c>
      <c r="E341" t="inlineStr">
        <is>
          <t>KATRINEHOLM</t>
        </is>
      </c>
      <c r="F341" t="inlineStr">
        <is>
          <t>Holmen skog AB</t>
        </is>
      </c>
      <c r="G341" t="n">
        <v>0.3</v>
      </c>
      <c r="H341" t="n">
        <v>0</v>
      </c>
      <c r="I341" t="n">
        <v>0</v>
      </c>
      <c r="J341" t="n">
        <v>0</v>
      </c>
      <c r="K341" t="n">
        <v>0</v>
      </c>
      <c r="L341" t="n">
        <v>0</v>
      </c>
      <c r="M341" t="n">
        <v>0</v>
      </c>
      <c r="N341" t="n">
        <v>0</v>
      </c>
      <c r="O341" t="n">
        <v>0</v>
      </c>
      <c r="P341" t="n">
        <v>0</v>
      </c>
      <c r="Q341" t="n">
        <v>0</v>
      </c>
      <c r="R341" s="2" t="inlineStr"/>
    </row>
    <row r="342" ht="15" customHeight="1">
      <c r="A342" t="inlineStr">
        <is>
          <t>A 15701-2026</t>
        </is>
      </c>
      <c r="B342" s="1" t="n">
        <v>46106</v>
      </c>
      <c r="C342" s="1" t="n">
        <v>46142</v>
      </c>
      <c r="D342" t="inlineStr">
        <is>
          <t>SÖDERMANLANDS LÄN</t>
        </is>
      </c>
      <c r="E342" t="inlineStr">
        <is>
          <t>KATRINEHOLM</t>
        </is>
      </c>
      <c r="G342" t="n">
        <v>2.2</v>
      </c>
      <c r="H342" t="n">
        <v>0</v>
      </c>
      <c r="I342" t="n">
        <v>0</v>
      </c>
      <c r="J342" t="n">
        <v>0</v>
      </c>
      <c r="K342" t="n">
        <v>0</v>
      </c>
      <c r="L342" t="n">
        <v>0</v>
      </c>
      <c r="M342" t="n">
        <v>0</v>
      </c>
      <c r="N342" t="n">
        <v>0</v>
      </c>
      <c r="O342" t="n">
        <v>0</v>
      </c>
      <c r="P342" t="n">
        <v>0</v>
      </c>
      <c r="Q342" t="n">
        <v>0</v>
      </c>
      <c r="R342" s="2" t="inlineStr"/>
    </row>
    <row r="343" ht="15" customHeight="1">
      <c r="A343" t="inlineStr">
        <is>
          <t>A 39737-2025</t>
        </is>
      </c>
      <c r="B343" s="1" t="n">
        <v>45891</v>
      </c>
      <c r="C343" s="1" t="n">
        <v>46142</v>
      </c>
      <c r="D343" t="inlineStr">
        <is>
          <t>SÖDERMANLANDS LÄN</t>
        </is>
      </c>
      <c r="E343" t="inlineStr">
        <is>
          <t>KATRINEHOLM</t>
        </is>
      </c>
      <c r="F343" t="inlineStr">
        <is>
          <t>Holmen skog AB</t>
        </is>
      </c>
      <c r="G343" t="n">
        <v>1.6</v>
      </c>
      <c r="H343" t="n">
        <v>0</v>
      </c>
      <c r="I343" t="n">
        <v>0</v>
      </c>
      <c r="J343" t="n">
        <v>0</v>
      </c>
      <c r="K343" t="n">
        <v>0</v>
      </c>
      <c r="L343" t="n">
        <v>0</v>
      </c>
      <c r="M343" t="n">
        <v>0</v>
      </c>
      <c r="N343" t="n">
        <v>0</v>
      </c>
      <c r="O343" t="n">
        <v>0</v>
      </c>
      <c r="P343" t="n">
        <v>0</v>
      </c>
      <c r="Q343" t="n">
        <v>0</v>
      </c>
      <c r="R343" s="2" t="inlineStr"/>
    </row>
    <row r="344" ht="15" customHeight="1">
      <c r="A344" t="inlineStr">
        <is>
          <t>A 33812-2025</t>
        </is>
      </c>
      <c r="B344" s="1" t="n">
        <v>45842</v>
      </c>
      <c r="C344" s="1" t="n">
        <v>46142</v>
      </c>
      <c r="D344" t="inlineStr">
        <is>
          <t>SÖDERMANLANDS LÄN</t>
        </is>
      </c>
      <c r="E344" t="inlineStr">
        <is>
          <t>KATRINEHOLM</t>
        </is>
      </c>
      <c r="G344" t="n">
        <v>1.5</v>
      </c>
      <c r="H344" t="n">
        <v>0</v>
      </c>
      <c r="I344" t="n">
        <v>0</v>
      </c>
      <c r="J344" t="n">
        <v>0</v>
      </c>
      <c r="K344" t="n">
        <v>0</v>
      </c>
      <c r="L344" t="n">
        <v>0</v>
      </c>
      <c r="M344" t="n">
        <v>0</v>
      </c>
      <c r="N344" t="n">
        <v>0</v>
      </c>
      <c r="O344" t="n">
        <v>0</v>
      </c>
      <c r="P344" t="n">
        <v>0</v>
      </c>
      <c r="Q344" t="n">
        <v>0</v>
      </c>
      <c r="R344" s="2" t="inlineStr"/>
    </row>
    <row r="345" ht="15" customHeight="1">
      <c r="A345" t="inlineStr">
        <is>
          <t>A 33815-2025</t>
        </is>
      </c>
      <c r="B345" s="1" t="n">
        <v>45842</v>
      </c>
      <c r="C345" s="1" t="n">
        <v>46142</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39847-2025</t>
        </is>
      </c>
      <c r="B346" s="1" t="n">
        <v>45891.58381944444</v>
      </c>
      <c r="C346" s="1" t="n">
        <v>46142</v>
      </c>
      <c r="D346" t="inlineStr">
        <is>
          <t>SÖDERMANLANDS LÄN</t>
        </is>
      </c>
      <c r="E346" t="inlineStr">
        <is>
          <t>KATRINEHOLM</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18386-2025</t>
        </is>
      </c>
      <c r="B347" s="1" t="n">
        <v>45762</v>
      </c>
      <c r="C347" s="1" t="n">
        <v>46142</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6762-2025</t>
        </is>
      </c>
      <c r="B348" s="1" t="n">
        <v>45700</v>
      </c>
      <c r="C348" s="1" t="n">
        <v>46142</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3125-2024</t>
        </is>
      </c>
      <c r="B349" s="1" t="n">
        <v>45316</v>
      </c>
      <c r="C349" s="1" t="n">
        <v>46142</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35183-2022</t>
        </is>
      </c>
      <c r="B350" s="1" t="n">
        <v>44797</v>
      </c>
      <c r="C350" s="1" t="n">
        <v>46142</v>
      </c>
      <c r="D350" t="inlineStr">
        <is>
          <t>SÖDERMANLANDS LÄN</t>
        </is>
      </c>
      <c r="E350" t="inlineStr">
        <is>
          <t>KATRINEHOLM</t>
        </is>
      </c>
      <c r="G350" t="n">
        <v>4.6</v>
      </c>
      <c r="H350" t="n">
        <v>0</v>
      </c>
      <c r="I350" t="n">
        <v>0</v>
      </c>
      <c r="J350" t="n">
        <v>0</v>
      </c>
      <c r="K350" t="n">
        <v>0</v>
      </c>
      <c r="L350" t="n">
        <v>0</v>
      </c>
      <c r="M350" t="n">
        <v>0</v>
      </c>
      <c r="N350" t="n">
        <v>0</v>
      </c>
      <c r="O350" t="n">
        <v>0</v>
      </c>
      <c r="P350" t="n">
        <v>0</v>
      </c>
      <c r="Q350" t="n">
        <v>0</v>
      </c>
      <c r="R350" s="2" t="inlineStr"/>
    </row>
    <row r="351" ht="15" customHeight="1">
      <c r="A351" t="inlineStr">
        <is>
          <t>A 20213-2025</t>
        </is>
      </c>
      <c r="B351" s="1" t="n">
        <v>45772.63453703704</v>
      </c>
      <c r="C351" s="1" t="n">
        <v>46142</v>
      </c>
      <c r="D351" t="inlineStr">
        <is>
          <t>SÖDERMANLANDS LÄN</t>
        </is>
      </c>
      <c r="E351" t="inlineStr">
        <is>
          <t>KATRINEHOLM</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16432-2026</t>
        </is>
      </c>
      <c r="B352" s="1" t="n">
        <v>46111.81027777777</v>
      </c>
      <c r="C352" s="1" t="n">
        <v>46142</v>
      </c>
      <c r="D352" t="inlineStr">
        <is>
          <t>SÖDERMANLANDS LÄN</t>
        </is>
      </c>
      <c r="E352" t="inlineStr">
        <is>
          <t>KATRINEHOLM</t>
        </is>
      </c>
      <c r="G352" t="n">
        <v>2.2</v>
      </c>
      <c r="H352" t="n">
        <v>0</v>
      </c>
      <c r="I352" t="n">
        <v>0</v>
      </c>
      <c r="J352" t="n">
        <v>0</v>
      </c>
      <c r="K352" t="n">
        <v>0</v>
      </c>
      <c r="L352" t="n">
        <v>0</v>
      </c>
      <c r="M352" t="n">
        <v>0</v>
      </c>
      <c r="N352" t="n">
        <v>0</v>
      </c>
      <c r="O352" t="n">
        <v>0</v>
      </c>
      <c r="P352" t="n">
        <v>0</v>
      </c>
      <c r="Q352" t="n">
        <v>0</v>
      </c>
      <c r="R352" s="2" t="inlineStr"/>
    </row>
    <row r="353" ht="15" customHeight="1">
      <c r="A353" t="inlineStr">
        <is>
          <t>A 42519-2024</t>
        </is>
      </c>
      <c r="B353" s="1" t="n">
        <v>45565</v>
      </c>
      <c r="C353" s="1" t="n">
        <v>46142</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20826-2022</t>
        </is>
      </c>
      <c r="B354" s="1" t="n">
        <v>44701.44754629629</v>
      </c>
      <c r="C354" s="1" t="n">
        <v>46142</v>
      </c>
      <c r="D354" t="inlineStr">
        <is>
          <t>SÖDERMANLANDS LÄN</t>
        </is>
      </c>
      <c r="E354" t="inlineStr">
        <is>
          <t>KATRINEHOLM</t>
        </is>
      </c>
      <c r="G354" t="n">
        <v>6.8</v>
      </c>
      <c r="H354" t="n">
        <v>0</v>
      </c>
      <c r="I354" t="n">
        <v>0</v>
      </c>
      <c r="J354" t="n">
        <v>0</v>
      </c>
      <c r="K354" t="n">
        <v>0</v>
      </c>
      <c r="L354" t="n">
        <v>0</v>
      </c>
      <c r="M354" t="n">
        <v>0</v>
      </c>
      <c r="N354" t="n">
        <v>0</v>
      </c>
      <c r="O354" t="n">
        <v>0</v>
      </c>
      <c r="P354" t="n">
        <v>0</v>
      </c>
      <c r="Q354" t="n">
        <v>0</v>
      </c>
      <c r="R354" s="2" t="inlineStr"/>
    </row>
    <row r="355" ht="15" customHeight="1">
      <c r="A355" t="inlineStr">
        <is>
          <t>A 20846-2022</t>
        </is>
      </c>
      <c r="B355" s="1" t="n">
        <v>44701.4744212963</v>
      </c>
      <c r="C355" s="1" t="n">
        <v>46142</v>
      </c>
      <c r="D355" t="inlineStr">
        <is>
          <t>SÖDERMANLANDS LÄN</t>
        </is>
      </c>
      <c r="E355" t="inlineStr">
        <is>
          <t>KATRINEHOLM</t>
        </is>
      </c>
      <c r="G355" t="n">
        <v>0.8</v>
      </c>
      <c r="H355" t="n">
        <v>0</v>
      </c>
      <c r="I355" t="n">
        <v>0</v>
      </c>
      <c r="J355" t="n">
        <v>0</v>
      </c>
      <c r="K355" t="n">
        <v>0</v>
      </c>
      <c r="L355" t="n">
        <v>0</v>
      </c>
      <c r="M355" t="n">
        <v>0</v>
      </c>
      <c r="N355" t="n">
        <v>0</v>
      </c>
      <c r="O355" t="n">
        <v>0</v>
      </c>
      <c r="P355" t="n">
        <v>0</v>
      </c>
      <c r="Q355" t="n">
        <v>0</v>
      </c>
      <c r="R355" s="2" t="inlineStr"/>
    </row>
    <row r="356" ht="15" customHeight="1">
      <c r="A356" t="inlineStr">
        <is>
          <t>A 49078-2024</t>
        </is>
      </c>
      <c r="B356" s="1" t="n">
        <v>45594.62556712963</v>
      </c>
      <c r="C356" s="1" t="n">
        <v>46142</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51440-2024</t>
        </is>
      </c>
      <c r="B357" s="1" t="n">
        <v>45604</v>
      </c>
      <c r="C357" s="1" t="n">
        <v>46142</v>
      </c>
      <c r="D357" t="inlineStr">
        <is>
          <t>SÖDERMANLANDS LÄN</t>
        </is>
      </c>
      <c r="E357" t="inlineStr">
        <is>
          <t>KATRINEHOLM</t>
        </is>
      </c>
      <c r="G357" t="n">
        <v>4.7</v>
      </c>
      <c r="H357" t="n">
        <v>0</v>
      </c>
      <c r="I357" t="n">
        <v>0</v>
      </c>
      <c r="J357" t="n">
        <v>0</v>
      </c>
      <c r="K357" t="n">
        <v>0</v>
      </c>
      <c r="L357" t="n">
        <v>0</v>
      </c>
      <c r="M357" t="n">
        <v>0</v>
      </c>
      <c r="N357" t="n">
        <v>0</v>
      </c>
      <c r="O357" t="n">
        <v>0</v>
      </c>
      <c r="P357" t="n">
        <v>0</v>
      </c>
      <c r="Q357" t="n">
        <v>0</v>
      </c>
      <c r="R357" s="2" t="inlineStr"/>
    </row>
    <row r="358" ht="15" customHeight="1">
      <c r="A358" t="inlineStr">
        <is>
          <t>A 47879-2023</t>
        </is>
      </c>
      <c r="B358" s="1" t="n">
        <v>45204</v>
      </c>
      <c r="C358" s="1" t="n">
        <v>46142</v>
      </c>
      <c r="D358" t="inlineStr">
        <is>
          <t>SÖDERMANLANDS LÄN</t>
        </is>
      </c>
      <c r="E358" t="inlineStr">
        <is>
          <t>KATRINEHOLM</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12975-2022</t>
        </is>
      </c>
      <c r="B359" s="1" t="n">
        <v>44643</v>
      </c>
      <c r="C359" s="1" t="n">
        <v>46142</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51260-2021</t>
        </is>
      </c>
      <c r="B360" s="1" t="n">
        <v>44461</v>
      </c>
      <c r="C360" s="1" t="n">
        <v>46142</v>
      </c>
      <c r="D360" t="inlineStr">
        <is>
          <t>SÖDERMANLANDS LÄN</t>
        </is>
      </c>
      <c r="E360" t="inlineStr">
        <is>
          <t>KATRINEHOLM</t>
        </is>
      </c>
      <c r="G360" t="n">
        <v>0.7</v>
      </c>
      <c r="H360" t="n">
        <v>0</v>
      </c>
      <c r="I360" t="n">
        <v>0</v>
      </c>
      <c r="J360" t="n">
        <v>0</v>
      </c>
      <c r="K360" t="n">
        <v>0</v>
      </c>
      <c r="L360" t="n">
        <v>0</v>
      </c>
      <c r="M360" t="n">
        <v>0</v>
      </c>
      <c r="N360" t="n">
        <v>0</v>
      </c>
      <c r="O360" t="n">
        <v>0</v>
      </c>
      <c r="P360" t="n">
        <v>0</v>
      </c>
      <c r="Q360" t="n">
        <v>0</v>
      </c>
      <c r="R360" s="2" t="inlineStr"/>
    </row>
    <row r="361" ht="15" customHeight="1">
      <c r="A361" t="inlineStr">
        <is>
          <t>A 16113-2026</t>
        </is>
      </c>
      <c r="B361" s="1" t="n">
        <v>46108</v>
      </c>
      <c r="C361" s="1" t="n">
        <v>46142</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53843-2023</t>
        </is>
      </c>
      <c r="B362" s="1" t="n">
        <v>45230</v>
      </c>
      <c r="C362" s="1" t="n">
        <v>46142</v>
      </c>
      <c r="D362" t="inlineStr">
        <is>
          <t>SÖDERMANLANDS LÄN</t>
        </is>
      </c>
      <c r="E362" t="inlineStr">
        <is>
          <t>KATRINEHOLM</t>
        </is>
      </c>
      <c r="G362" t="n">
        <v>14.2</v>
      </c>
      <c r="H362" t="n">
        <v>0</v>
      </c>
      <c r="I362" t="n">
        <v>0</v>
      </c>
      <c r="J362" t="n">
        <v>0</v>
      </c>
      <c r="K362" t="n">
        <v>0</v>
      </c>
      <c r="L362" t="n">
        <v>0</v>
      </c>
      <c r="M362" t="n">
        <v>0</v>
      </c>
      <c r="N362" t="n">
        <v>0</v>
      </c>
      <c r="O362" t="n">
        <v>0</v>
      </c>
      <c r="P362" t="n">
        <v>0</v>
      </c>
      <c r="Q362" t="n">
        <v>0</v>
      </c>
      <c r="R362" s="2" t="inlineStr"/>
    </row>
    <row r="363" ht="15" customHeight="1">
      <c r="A363" t="inlineStr">
        <is>
          <t>A 35156-2025</t>
        </is>
      </c>
      <c r="B363" s="1" t="n">
        <v>45852</v>
      </c>
      <c r="C363" s="1" t="n">
        <v>46142</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35152-2025</t>
        </is>
      </c>
      <c r="B364" s="1" t="n">
        <v>45852</v>
      </c>
      <c r="C364" s="1" t="n">
        <v>46142</v>
      </c>
      <c r="D364" t="inlineStr">
        <is>
          <t>SÖDERMANLANDS LÄN</t>
        </is>
      </c>
      <c r="E364" t="inlineStr">
        <is>
          <t>KATRINEHOLM</t>
        </is>
      </c>
      <c r="G364" t="n">
        <v>4.6</v>
      </c>
      <c r="H364" t="n">
        <v>0</v>
      </c>
      <c r="I364" t="n">
        <v>0</v>
      </c>
      <c r="J364" t="n">
        <v>0</v>
      </c>
      <c r="K364" t="n">
        <v>0</v>
      </c>
      <c r="L364" t="n">
        <v>0</v>
      </c>
      <c r="M364" t="n">
        <v>0</v>
      </c>
      <c r="N364" t="n">
        <v>0</v>
      </c>
      <c r="O364" t="n">
        <v>0</v>
      </c>
      <c r="P364" t="n">
        <v>0</v>
      </c>
      <c r="Q364" t="n">
        <v>0</v>
      </c>
      <c r="R364" s="2" t="inlineStr"/>
    </row>
    <row r="365" ht="15" customHeight="1">
      <c r="A365" t="inlineStr">
        <is>
          <t>A 35165-2025</t>
        </is>
      </c>
      <c r="B365" s="1" t="n">
        <v>45852.72320601852</v>
      </c>
      <c r="C365" s="1" t="n">
        <v>46142</v>
      </c>
      <c r="D365" t="inlineStr">
        <is>
          <t>SÖDERMANLANDS LÄN</t>
        </is>
      </c>
      <c r="E365" t="inlineStr">
        <is>
          <t>KATRINEHOLM</t>
        </is>
      </c>
      <c r="F365" t="inlineStr">
        <is>
          <t>Övriga Aktiebolag</t>
        </is>
      </c>
      <c r="G365" t="n">
        <v>20.7</v>
      </c>
      <c r="H365" t="n">
        <v>0</v>
      </c>
      <c r="I365" t="n">
        <v>0</v>
      </c>
      <c r="J365" t="n">
        <v>0</v>
      </c>
      <c r="K365" t="n">
        <v>0</v>
      </c>
      <c r="L365" t="n">
        <v>0</v>
      </c>
      <c r="M365" t="n">
        <v>0</v>
      </c>
      <c r="N365" t="n">
        <v>0</v>
      </c>
      <c r="O365" t="n">
        <v>0</v>
      </c>
      <c r="P365" t="n">
        <v>0</v>
      </c>
      <c r="Q365" t="n">
        <v>0</v>
      </c>
      <c r="R365" s="2" t="inlineStr"/>
    </row>
    <row r="366" ht="15" customHeight="1">
      <c r="A366" t="inlineStr">
        <is>
          <t>A 48763-2024</t>
        </is>
      </c>
      <c r="B366" s="1" t="n">
        <v>45593.60288194445</v>
      </c>
      <c r="C366" s="1" t="n">
        <v>46142</v>
      </c>
      <c r="D366" t="inlineStr">
        <is>
          <t>SÖDERMANLANDS LÄN</t>
        </is>
      </c>
      <c r="E366" t="inlineStr">
        <is>
          <t>KATRINEHOLM</t>
        </is>
      </c>
      <c r="G366" t="n">
        <v>1.3</v>
      </c>
      <c r="H366" t="n">
        <v>0</v>
      </c>
      <c r="I366" t="n">
        <v>0</v>
      </c>
      <c r="J366" t="n">
        <v>0</v>
      </c>
      <c r="K366" t="n">
        <v>0</v>
      </c>
      <c r="L366" t="n">
        <v>0</v>
      </c>
      <c r="M366" t="n">
        <v>0</v>
      </c>
      <c r="N366" t="n">
        <v>0</v>
      </c>
      <c r="O366" t="n">
        <v>0</v>
      </c>
      <c r="P366" t="n">
        <v>0</v>
      </c>
      <c r="Q366" t="n">
        <v>0</v>
      </c>
      <c r="R366" s="2" t="inlineStr"/>
    </row>
    <row r="367" ht="15" customHeight="1">
      <c r="A367" t="inlineStr">
        <is>
          <t>A 35149-2025</t>
        </is>
      </c>
      <c r="B367" s="1" t="n">
        <v>45852</v>
      </c>
      <c r="C367" s="1" t="n">
        <v>46142</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35161-2025</t>
        </is>
      </c>
      <c r="B368" s="1" t="n">
        <v>45852.70716435185</v>
      </c>
      <c r="C368" s="1" t="n">
        <v>46142</v>
      </c>
      <c r="D368" t="inlineStr">
        <is>
          <t>SÖDERMANLANDS LÄN</t>
        </is>
      </c>
      <c r="E368" t="inlineStr">
        <is>
          <t>KATRINEHOLM</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35084-2025</t>
        </is>
      </c>
      <c r="B369" s="1" t="n">
        <v>45852</v>
      </c>
      <c r="C369" s="1" t="n">
        <v>46142</v>
      </c>
      <c r="D369" t="inlineStr">
        <is>
          <t>SÖDERMANLANDS LÄN</t>
        </is>
      </c>
      <c r="E369" t="inlineStr">
        <is>
          <t>KATRINEHOLM</t>
        </is>
      </c>
      <c r="G369" t="n">
        <v>3.2</v>
      </c>
      <c r="H369" t="n">
        <v>0</v>
      </c>
      <c r="I369" t="n">
        <v>0</v>
      </c>
      <c r="J369" t="n">
        <v>0</v>
      </c>
      <c r="K369" t="n">
        <v>0</v>
      </c>
      <c r="L369" t="n">
        <v>0</v>
      </c>
      <c r="M369" t="n">
        <v>0</v>
      </c>
      <c r="N369" t="n">
        <v>0</v>
      </c>
      <c r="O369" t="n">
        <v>0</v>
      </c>
      <c r="P369" t="n">
        <v>0</v>
      </c>
      <c r="Q369" t="n">
        <v>0</v>
      </c>
      <c r="R369" s="2" t="inlineStr"/>
    </row>
    <row r="370" ht="15" customHeight="1">
      <c r="A370" t="inlineStr">
        <is>
          <t>A 35145-2025</t>
        </is>
      </c>
      <c r="B370" s="1" t="n">
        <v>45852</v>
      </c>
      <c r="C370" s="1" t="n">
        <v>46142</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34439-2025</t>
        </is>
      </c>
      <c r="B371" s="1" t="n">
        <v>45845</v>
      </c>
      <c r="C371" s="1" t="n">
        <v>46142</v>
      </c>
      <c r="D371" t="inlineStr">
        <is>
          <t>SÖDERMANLANDS LÄN</t>
        </is>
      </c>
      <c r="E371" t="inlineStr">
        <is>
          <t>KATRINEHOLM</t>
        </is>
      </c>
      <c r="G371" t="n">
        <v>1.4</v>
      </c>
      <c r="H371" t="n">
        <v>0</v>
      </c>
      <c r="I371" t="n">
        <v>0</v>
      </c>
      <c r="J371" t="n">
        <v>0</v>
      </c>
      <c r="K371" t="n">
        <v>0</v>
      </c>
      <c r="L371" t="n">
        <v>0</v>
      </c>
      <c r="M371" t="n">
        <v>0</v>
      </c>
      <c r="N371" t="n">
        <v>0</v>
      </c>
      <c r="O371" t="n">
        <v>0</v>
      </c>
      <c r="P371" t="n">
        <v>0</v>
      </c>
      <c r="Q371" t="n">
        <v>0</v>
      </c>
      <c r="R371" s="2" t="inlineStr"/>
    </row>
    <row r="372" ht="15" customHeight="1">
      <c r="A372" t="inlineStr">
        <is>
          <t>A 14478-2023</t>
        </is>
      </c>
      <c r="B372" s="1" t="n">
        <v>45012.66421296296</v>
      </c>
      <c r="C372" s="1" t="n">
        <v>46142</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35157-2025</t>
        </is>
      </c>
      <c r="B373" s="1" t="n">
        <v>45852</v>
      </c>
      <c r="C373" s="1" t="n">
        <v>46142</v>
      </c>
      <c r="D373" t="inlineStr">
        <is>
          <t>SÖDERMANLANDS LÄN</t>
        </is>
      </c>
      <c r="E373" t="inlineStr">
        <is>
          <t>KATRINEHOLM</t>
        </is>
      </c>
      <c r="G373" t="n">
        <v>3.7</v>
      </c>
      <c r="H373" t="n">
        <v>0</v>
      </c>
      <c r="I373" t="n">
        <v>0</v>
      </c>
      <c r="J373" t="n">
        <v>0</v>
      </c>
      <c r="K373" t="n">
        <v>0</v>
      </c>
      <c r="L373" t="n">
        <v>0</v>
      </c>
      <c r="M373" t="n">
        <v>0</v>
      </c>
      <c r="N373" t="n">
        <v>0</v>
      </c>
      <c r="O373" t="n">
        <v>0</v>
      </c>
      <c r="P373" t="n">
        <v>0</v>
      </c>
      <c r="Q373" t="n">
        <v>0</v>
      </c>
      <c r="R373" s="2" t="inlineStr"/>
    </row>
    <row r="374" ht="15" customHeight="1">
      <c r="A374" t="inlineStr">
        <is>
          <t>A 35158-2025</t>
        </is>
      </c>
      <c r="B374" s="1" t="n">
        <v>45852</v>
      </c>
      <c r="C374" s="1" t="n">
        <v>46142</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20921-2023</t>
        </is>
      </c>
      <c r="B375" s="1" t="n">
        <v>45061</v>
      </c>
      <c r="C375" s="1" t="n">
        <v>46142</v>
      </c>
      <c r="D375" t="inlineStr">
        <is>
          <t>SÖDERMANLANDS LÄN</t>
        </is>
      </c>
      <c r="E375" t="inlineStr">
        <is>
          <t>KATRINEHOLM</t>
        </is>
      </c>
      <c r="G375" t="n">
        <v>8.9</v>
      </c>
      <c r="H375" t="n">
        <v>0</v>
      </c>
      <c r="I375" t="n">
        <v>0</v>
      </c>
      <c r="J375" t="n">
        <v>0</v>
      </c>
      <c r="K375" t="n">
        <v>0</v>
      </c>
      <c r="L375" t="n">
        <v>0</v>
      </c>
      <c r="M375" t="n">
        <v>0</v>
      </c>
      <c r="N375" t="n">
        <v>0</v>
      </c>
      <c r="O375" t="n">
        <v>0</v>
      </c>
      <c r="P375" t="n">
        <v>0</v>
      </c>
      <c r="Q375" t="n">
        <v>0</v>
      </c>
      <c r="R375" s="2" t="inlineStr"/>
    </row>
    <row r="376" ht="15" customHeight="1">
      <c r="A376" t="inlineStr">
        <is>
          <t>A 12930-2023</t>
        </is>
      </c>
      <c r="B376" s="1" t="n">
        <v>45001</v>
      </c>
      <c r="C376" s="1" t="n">
        <v>46142</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12938-2023</t>
        </is>
      </c>
      <c r="B377" s="1" t="n">
        <v>45001</v>
      </c>
      <c r="C377" s="1" t="n">
        <v>46142</v>
      </c>
      <c r="D377" t="inlineStr">
        <is>
          <t>SÖDERMANLANDS LÄN</t>
        </is>
      </c>
      <c r="E377" t="inlineStr">
        <is>
          <t>KATRINEHOLM</t>
        </is>
      </c>
      <c r="G377" t="n">
        <v>0.4</v>
      </c>
      <c r="H377" t="n">
        <v>0</v>
      </c>
      <c r="I377" t="n">
        <v>0</v>
      </c>
      <c r="J377" t="n">
        <v>0</v>
      </c>
      <c r="K377" t="n">
        <v>0</v>
      </c>
      <c r="L377" t="n">
        <v>0</v>
      </c>
      <c r="M377" t="n">
        <v>0</v>
      </c>
      <c r="N377" t="n">
        <v>0</v>
      </c>
      <c r="O377" t="n">
        <v>0</v>
      </c>
      <c r="P377" t="n">
        <v>0</v>
      </c>
      <c r="Q377" t="n">
        <v>0</v>
      </c>
      <c r="R377" s="2" t="inlineStr"/>
    </row>
    <row r="378" ht="15" customHeight="1">
      <c r="A378" t="inlineStr">
        <is>
          <t>A 12559-2023</t>
        </is>
      </c>
      <c r="B378" s="1" t="n">
        <v>45000.36373842593</v>
      </c>
      <c r="C378" s="1" t="n">
        <v>46142</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7704-2023</t>
        </is>
      </c>
      <c r="B379" s="1" t="n">
        <v>44968</v>
      </c>
      <c r="C379" s="1" t="n">
        <v>46142</v>
      </c>
      <c r="D379" t="inlineStr">
        <is>
          <t>SÖDERMANLANDS LÄN</t>
        </is>
      </c>
      <c r="E379" t="inlineStr">
        <is>
          <t>KATRINEHOLM</t>
        </is>
      </c>
      <c r="G379" t="n">
        <v>7.3</v>
      </c>
      <c r="H379" t="n">
        <v>0</v>
      </c>
      <c r="I379" t="n">
        <v>0</v>
      </c>
      <c r="J379" t="n">
        <v>0</v>
      </c>
      <c r="K379" t="n">
        <v>0</v>
      </c>
      <c r="L379" t="n">
        <v>0</v>
      </c>
      <c r="M379" t="n">
        <v>0</v>
      </c>
      <c r="N379" t="n">
        <v>0</v>
      </c>
      <c r="O379" t="n">
        <v>0</v>
      </c>
      <c r="P379" t="n">
        <v>0</v>
      </c>
      <c r="Q379" t="n">
        <v>0</v>
      </c>
      <c r="R379" s="2" t="inlineStr"/>
    </row>
    <row r="380" ht="15" customHeight="1">
      <c r="A380" t="inlineStr">
        <is>
          <t>A 49122-2024</t>
        </is>
      </c>
      <c r="B380" s="1" t="n">
        <v>45594</v>
      </c>
      <c r="C380" s="1" t="n">
        <v>46142</v>
      </c>
      <c r="D380" t="inlineStr">
        <is>
          <t>SÖDERMANLANDS LÄN</t>
        </is>
      </c>
      <c r="E380" t="inlineStr">
        <is>
          <t>KATRINEHOLM</t>
        </is>
      </c>
      <c r="G380" t="n">
        <v>19.4</v>
      </c>
      <c r="H380" t="n">
        <v>0</v>
      </c>
      <c r="I380" t="n">
        <v>0</v>
      </c>
      <c r="J380" t="n">
        <v>0</v>
      </c>
      <c r="K380" t="n">
        <v>0</v>
      </c>
      <c r="L380" t="n">
        <v>0</v>
      </c>
      <c r="M380" t="n">
        <v>0</v>
      </c>
      <c r="N380" t="n">
        <v>0</v>
      </c>
      <c r="O380" t="n">
        <v>0</v>
      </c>
      <c r="P380" t="n">
        <v>0</v>
      </c>
      <c r="Q380" t="n">
        <v>0</v>
      </c>
      <c r="R380" s="2" t="inlineStr"/>
    </row>
    <row r="381" ht="15" customHeight="1">
      <c r="A381" t="inlineStr">
        <is>
          <t>A 12937-2023</t>
        </is>
      </c>
      <c r="B381" s="1" t="n">
        <v>45001</v>
      </c>
      <c r="C381" s="1" t="n">
        <v>46142</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11127-2023</t>
        </is>
      </c>
      <c r="B382" s="1" t="n">
        <v>44987</v>
      </c>
      <c r="C382" s="1" t="n">
        <v>46142</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34176-2025</t>
        </is>
      </c>
      <c r="B383" s="1" t="n">
        <v>45845</v>
      </c>
      <c r="C383" s="1" t="n">
        <v>46142</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27345-2023</t>
        </is>
      </c>
      <c r="B384" s="1" t="n">
        <v>45096</v>
      </c>
      <c r="C384" s="1" t="n">
        <v>46142</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1151-2025</t>
        </is>
      </c>
      <c r="B385" s="1" t="n">
        <v>45666</v>
      </c>
      <c r="C385" s="1" t="n">
        <v>46142</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6808-2023</t>
        </is>
      </c>
      <c r="B386" s="1" t="n">
        <v>44964</v>
      </c>
      <c r="C386" s="1" t="n">
        <v>46142</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41074-2025</t>
        </is>
      </c>
      <c r="B387" s="1" t="n">
        <v>45898</v>
      </c>
      <c r="C387" s="1" t="n">
        <v>46142</v>
      </c>
      <c r="D387" t="inlineStr">
        <is>
          <t>SÖDERMANLANDS LÄN</t>
        </is>
      </c>
      <c r="E387" t="inlineStr">
        <is>
          <t>KATRINEHOLM</t>
        </is>
      </c>
      <c r="F387" t="inlineStr">
        <is>
          <t>Allmännings- och besparingsskogar</t>
        </is>
      </c>
      <c r="G387" t="n">
        <v>4.8</v>
      </c>
      <c r="H387" t="n">
        <v>0</v>
      </c>
      <c r="I387" t="n">
        <v>0</v>
      </c>
      <c r="J387" t="n">
        <v>0</v>
      </c>
      <c r="K387" t="n">
        <v>0</v>
      </c>
      <c r="L387" t="n">
        <v>0</v>
      </c>
      <c r="M387" t="n">
        <v>0</v>
      </c>
      <c r="N387" t="n">
        <v>0</v>
      </c>
      <c r="O387" t="n">
        <v>0</v>
      </c>
      <c r="P387" t="n">
        <v>0</v>
      </c>
      <c r="Q387" t="n">
        <v>0</v>
      </c>
      <c r="R387" s="2" t="inlineStr"/>
    </row>
    <row r="388" ht="15" customHeight="1">
      <c r="A388" t="inlineStr">
        <is>
          <t>A 10086-2026</t>
        </is>
      </c>
      <c r="B388" s="1" t="n">
        <v>46073.68959490741</v>
      </c>
      <c r="C388" s="1" t="n">
        <v>46142</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61394-2024</t>
        </is>
      </c>
      <c r="B389" s="1" t="n">
        <v>45646.42061342593</v>
      </c>
      <c r="C389" s="1" t="n">
        <v>46142</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44024-2021</t>
        </is>
      </c>
      <c r="B390" s="1" t="n">
        <v>44434</v>
      </c>
      <c r="C390" s="1" t="n">
        <v>46142</v>
      </c>
      <c r="D390" t="inlineStr">
        <is>
          <t>SÖDERMANLANDS LÄN</t>
        </is>
      </c>
      <c r="E390" t="inlineStr">
        <is>
          <t>KATRINEHOLM</t>
        </is>
      </c>
      <c r="G390" t="n">
        <v>13</v>
      </c>
      <c r="H390" t="n">
        <v>0</v>
      </c>
      <c r="I390" t="n">
        <v>0</v>
      </c>
      <c r="J390" t="n">
        <v>0</v>
      </c>
      <c r="K390" t="n">
        <v>0</v>
      </c>
      <c r="L390" t="n">
        <v>0</v>
      </c>
      <c r="M390" t="n">
        <v>0</v>
      </c>
      <c r="N390" t="n">
        <v>0</v>
      </c>
      <c r="O390" t="n">
        <v>0</v>
      </c>
      <c r="P390" t="n">
        <v>0</v>
      </c>
      <c r="Q390" t="n">
        <v>0</v>
      </c>
      <c r="R390" s="2" t="inlineStr"/>
    </row>
    <row r="391" ht="15" customHeight="1">
      <c r="A391" t="inlineStr">
        <is>
          <t>A 11130-2026</t>
        </is>
      </c>
      <c r="B391" s="1" t="n">
        <v>46079.70384259259</v>
      </c>
      <c r="C391" s="1" t="n">
        <v>46142</v>
      </c>
      <c r="D391" t="inlineStr">
        <is>
          <t>SÖDERMANLANDS LÄN</t>
        </is>
      </c>
      <c r="E391" t="inlineStr">
        <is>
          <t>KATRINEHOLM</t>
        </is>
      </c>
      <c r="F391" t="inlineStr">
        <is>
          <t>Kommuner</t>
        </is>
      </c>
      <c r="G391" t="n">
        <v>1.5</v>
      </c>
      <c r="H391" t="n">
        <v>0</v>
      </c>
      <c r="I391" t="n">
        <v>0</v>
      </c>
      <c r="J391" t="n">
        <v>0</v>
      </c>
      <c r="K391" t="n">
        <v>0</v>
      </c>
      <c r="L391" t="n">
        <v>0</v>
      </c>
      <c r="M391" t="n">
        <v>0</v>
      </c>
      <c r="N391" t="n">
        <v>0</v>
      </c>
      <c r="O391" t="n">
        <v>0</v>
      </c>
      <c r="P391" t="n">
        <v>0</v>
      </c>
      <c r="Q391" t="n">
        <v>0</v>
      </c>
      <c r="R391" s="2" t="inlineStr"/>
    </row>
    <row r="392" ht="15" customHeight="1">
      <c r="A392" t="inlineStr">
        <is>
          <t>A 18339-2023</t>
        </is>
      </c>
      <c r="B392" s="1" t="n">
        <v>45041</v>
      </c>
      <c r="C392" s="1" t="n">
        <v>46142</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58522-2024</t>
        </is>
      </c>
      <c r="B393" s="1" t="n">
        <v>45635.43770833333</v>
      </c>
      <c r="C393" s="1" t="n">
        <v>46142</v>
      </c>
      <c r="D393" t="inlineStr">
        <is>
          <t>SÖDERMANLANDS LÄN</t>
        </is>
      </c>
      <c r="E393" t="inlineStr">
        <is>
          <t>KATRINEHOLM</t>
        </is>
      </c>
      <c r="G393" t="n">
        <v>2</v>
      </c>
      <c r="H393" t="n">
        <v>0</v>
      </c>
      <c r="I393" t="n">
        <v>0</v>
      </c>
      <c r="J393" t="n">
        <v>0</v>
      </c>
      <c r="K393" t="n">
        <v>0</v>
      </c>
      <c r="L393" t="n">
        <v>0</v>
      </c>
      <c r="M393" t="n">
        <v>0</v>
      </c>
      <c r="N393" t="n">
        <v>0</v>
      </c>
      <c r="O393" t="n">
        <v>0</v>
      </c>
      <c r="P393" t="n">
        <v>0</v>
      </c>
      <c r="Q393" t="n">
        <v>0</v>
      </c>
      <c r="R393" s="2" t="inlineStr"/>
    </row>
    <row r="394" ht="15" customHeight="1">
      <c r="A394" t="inlineStr">
        <is>
          <t>A 41498-2025</t>
        </is>
      </c>
      <c r="B394" s="1" t="n">
        <v>45901.49755787037</v>
      </c>
      <c r="C394" s="1" t="n">
        <v>46142</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36590-2025</t>
        </is>
      </c>
      <c r="B395" s="1" t="n">
        <v>45870</v>
      </c>
      <c r="C395" s="1" t="n">
        <v>46142</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26684-2025</t>
        </is>
      </c>
      <c r="B396" s="1" t="n">
        <v>45810</v>
      </c>
      <c r="C396" s="1" t="n">
        <v>46142</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47889-2023</t>
        </is>
      </c>
      <c r="B397" s="1" t="n">
        <v>45204</v>
      </c>
      <c r="C397" s="1" t="n">
        <v>46142</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49341-2024</t>
        </is>
      </c>
      <c r="B398" s="1" t="n">
        <v>45595</v>
      </c>
      <c r="C398" s="1" t="n">
        <v>46142</v>
      </c>
      <c r="D398" t="inlineStr">
        <is>
          <t>SÖDERMANLANDS LÄN</t>
        </is>
      </c>
      <c r="E398" t="inlineStr">
        <is>
          <t>KATRINEHOLM</t>
        </is>
      </c>
      <c r="G398" t="n">
        <v>10</v>
      </c>
      <c r="H398" t="n">
        <v>0</v>
      </c>
      <c r="I398" t="n">
        <v>0</v>
      </c>
      <c r="J398" t="n">
        <v>0</v>
      </c>
      <c r="K398" t="n">
        <v>0</v>
      </c>
      <c r="L398" t="n">
        <v>0</v>
      </c>
      <c r="M398" t="n">
        <v>0</v>
      </c>
      <c r="N398" t="n">
        <v>0</v>
      </c>
      <c r="O398" t="n">
        <v>0</v>
      </c>
      <c r="P398" t="n">
        <v>0</v>
      </c>
      <c r="Q398" t="n">
        <v>0</v>
      </c>
      <c r="R398" s="2" t="inlineStr"/>
    </row>
    <row r="399" ht="15" customHeight="1">
      <c r="A399" t="inlineStr">
        <is>
          <t>A 34732-2022</t>
        </is>
      </c>
      <c r="B399" s="1" t="n">
        <v>44795</v>
      </c>
      <c r="C399" s="1" t="n">
        <v>46142</v>
      </c>
      <c r="D399" t="inlineStr">
        <is>
          <t>SÖDERMANLANDS LÄN</t>
        </is>
      </c>
      <c r="E399" t="inlineStr">
        <is>
          <t>KATRINEHOLM</t>
        </is>
      </c>
      <c r="G399" t="n">
        <v>3</v>
      </c>
      <c r="H399" t="n">
        <v>0</v>
      </c>
      <c r="I399" t="n">
        <v>0</v>
      </c>
      <c r="J399" t="n">
        <v>0</v>
      </c>
      <c r="K399" t="n">
        <v>0</v>
      </c>
      <c r="L399" t="n">
        <v>0</v>
      </c>
      <c r="M399" t="n">
        <v>0</v>
      </c>
      <c r="N399" t="n">
        <v>0</v>
      </c>
      <c r="O399" t="n">
        <v>0</v>
      </c>
      <c r="P399" t="n">
        <v>0</v>
      </c>
      <c r="Q399" t="n">
        <v>0</v>
      </c>
      <c r="R399" s="2" t="inlineStr"/>
    </row>
    <row r="400" ht="15" customHeight="1">
      <c r="A400" t="inlineStr">
        <is>
          <t>A 12227-2025</t>
        </is>
      </c>
      <c r="B400" s="1" t="n">
        <v>45729.56836805555</v>
      </c>
      <c r="C400" s="1" t="n">
        <v>46142</v>
      </c>
      <c r="D400" t="inlineStr">
        <is>
          <t>SÖDERMANLANDS LÄN</t>
        </is>
      </c>
      <c r="E400" t="inlineStr">
        <is>
          <t>KATRINEHOLM</t>
        </is>
      </c>
      <c r="G400" t="n">
        <v>7</v>
      </c>
      <c r="H400" t="n">
        <v>0</v>
      </c>
      <c r="I400" t="n">
        <v>0</v>
      </c>
      <c r="J400" t="n">
        <v>0</v>
      </c>
      <c r="K400" t="n">
        <v>0</v>
      </c>
      <c r="L400" t="n">
        <v>0</v>
      </c>
      <c r="M400" t="n">
        <v>0</v>
      </c>
      <c r="N400" t="n">
        <v>0</v>
      </c>
      <c r="O400" t="n">
        <v>0</v>
      </c>
      <c r="P400" t="n">
        <v>0</v>
      </c>
      <c r="Q400" t="n">
        <v>0</v>
      </c>
      <c r="R400" s="2" t="inlineStr"/>
    </row>
    <row r="401" ht="15" customHeight="1">
      <c r="A401" t="inlineStr">
        <is>
          <t>A 10892-2026</t>
        </is>
      </c>
      <c r="B401" s="1" t="n">
        <v>46078.8040625</v>
      </c>
      <c r="C401" s="1" t="n">
        <v>46142</v>
      </c>
      <c r="D401" t="inlineStr">
        <is>
          <t>SÖDERMANLANDS LÄN</t>
        </is>
      </c>
      <c r="E401" t="inlineStr">
        <is>
          <t>KATRINEHOLM</t>
        </is>
      </c>
      <c r="F401" t="inlineStr">
        <is>
          <t>Allmännings- och besparingsskogar</t>
        </is>
      </c>
      <c r="G401" t="n">
        <v>3</v>
      </c>
      <c r="H401" t="n">
        <v>0</v>
      </c>
      <c r="I401" t="n">
        <v>0</v>
      </c>
      <c r="J401" t="n">
        <v>0</v>
      </c>
      <c r="K401" t="n">
        <v>0</v>
      </c>
      <c r="L401" t="n">
        <v>0</v>
      </c>
      <c r="M401" t="n">
        <v>0</v>
      </c>
      <c r="N401" t="n">
        <v>0</v>
      </c>
      <c r="O401" t="n">
        <v>0</v>
      </c>
      <c r="P401" t="n">
        <v>0</v>
      </c>
      <c r="Q401" t="n">
        <v>0</v>
      </c>
      <c r="R401" s="2" t="inlineStr"/>
    </row>
    <row r="402" ht="15" customHeight="1">
      <c r="A402" t="inlineStr">
        <is>
          <t>A 41633-2025</t>
        </is>
      </c>
      <c r="B402" s="1" t="n">
        <v>45901</v>
      </c>
      <c r="C402" s="1" t="n">
        <v>46142</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41632-2025</t>
        </is>
      </c>
      <c r="B403" s="1" t="n">
        <v>45901</v>
      </c>
      <c r="C403" s="1" t="n">
        <v>46142</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41648-2025</t>
        </is>
      </c>
      <c r="B404" s="1" t="n">
        <v>45902.32601851852</v>
      </c>
      <c r="C404" s="1" t="n">
        <v>46142</v>
      </c>
      <c r="D404" t="inlineStr">
        <is>
          <t>SÖDERMANLANDS LÄN</t>
        </is>
      </c>
      <c r="E404" t="inlineStr">
        <is>
          <t>KATRINEHOLM</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13848-2026</t>
        </is>
      </c>
      <c r="B405" s="1" t="n">
        <v>46098.38704861111</v>
      </c>
      <c r="C405" s="1" t="n">
        <v>46142</v>
      </c>
      <c r="D405" t="inlineStr">
        <is>
          <t>SÖDERMANLANDS LÄN</t>
        </is>
      </c>
      <c r="E405" t="inlineStr">
        <is>
          <t>KATRINEHOLM</t>
        </is>
      </c>
      <c r="G405" t="n">
        <v>3.1</v>
      </c>
      <c r="H405" t="n">
        <v>0</v>
      </c>
      <c r="I405" t="n">
        <v>0</v>
      </c>
      <c r="J405" t="n">
        <v>0</v>
      </c>
      <c r="K405" t="n">
        <v>0</v>
      </c>
      <c r="L405" t="n">
        <v>0</v>
      </c>
      <c r="M405" t="n">
        <v>0</v>
      </c>
      <c r="N405" t="n">
        <v>0</v>
      </c>
      <c r="O405" t="n">
        <v>0</v>
      </c>
      <c r="P405" t="n">
        <v>0</v>
      </c>
      <c r="Q405" t="n">
        <v>0</v>
      </c>
      <c r="R405" s="2" t="inlineStr"/>
    </row>
    <row r="406" ht="15" customHeight="1">
      <c r="A406" t="inlineStr">
        <is>
          <t>A 10893-2026</t>
        </is>
      </c>
      <c r="B406" s="1" t="n">
        <v>46078.81072916667</v>
      </c>
      <c r="C406" s="1" t="n">
        <v>46142</v>
      </c>
      <c r="D406" t="inlineStr">
        <is>
          <t>SÖDERMANLANDS LÄN</t>
        </is>
      </c>
      <c r="E406" t="inlineStr">
        <is>
          <t>KATRINEHOLM</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14622-2026</t>
        </is>
      </c>
      <c r="B407" s="1" t="n">
        <v>46101.38826388889</v>
      </c>
      <c r="C407" s="1" t="n">
        <v>46142</v>
      </c>
      <c r="D407" t="inlineStr">
        <is>
          <t>SÖDERMANLANDS LÄN</t>
        </is>
      </c>
      <c r="E407" t="inlineStr">
        <is>
          <t>KATRINEHOLM</t>
        </is>
      </c>
      <c r="G407" t="n">
        <v>2.5</v>
      </c>
      <c r="H407" t="n">
        <v>0</v>
      </c>
      <c r="I407" t="n">
        <v>0</v>
      </c>
      <c r="J407" t="n">
        <v>0</v>
      </c>
      <c r="K407" t="n">
        <v>0</v>
      </c>
      <c r="L407" t="n">
        <v>0</v>
      </c>
      <c r="M407" t="n">
        <v>0</v>
      </c>
      <c r="N407" t="n">
        <v>0</v>
      </c>
      <c r="O407" t="n">
        <v>0</v>
      </c>
      <c r="P407" t="n">
        <v>0</v>
      </c>
      <c r="Q407" t="n">
        <v>0</v>
      </c>
      <c r="R407" s="2" t="inlineStr"/>
    </row>
    <row r="408" ht="15" customHeight="1">
      <c r="A408" t="inlineStr">
        <is>
          <t>A 10891-2026</t>
        </is>
      </c>
      <c r="B408" s="1" t="n">
        <v>46078.78545138889</v>
      </c>
      <c r="C408" s="1" t="n">
        <v>46142</v>
      </c>
      <c r="D408" t="inlineStr">
        <is>
          <t>SÖDERMANLANDS LÄN</t>
        </is>
      </c>
      <c r="E408" t="inlineStr">
        <is>
          <t>KATRINEHOLM</t>
        </is>
      </c>
      <c r="F408" t="inlineStr">
        <is>
          <t>Allmännings- och besparingsskogar</t>
        </is>
      </c>
      <c r="G408" t="n">
        <v>1.6</v>
      </c>
      <c r="H408" t="n">
        <v>0</v>
      </c>
      <c r="I408" t="n">
        <v>0</v>
      </c>
      <c r="J408" t="n">
        <v>0</v>
      </c>
      <c r="K408" t="n">
        <v>0</v>
      </c>
      <c r="L408" t="n">
        <v>0</v>
      </c>
      <c r="M408" t="n">
        <v>0</v>
      </c>
      <c r="N408" t="n">
        <v>0</v>
      </c>
      <c r="O408" t="n">
        <v>0</v>
      </c>
      <c r="P408" t="n">
        <v>0</v>
      </c>
      <c r="Q408" t="n">
        <v>0</v>
      </c>
      <c r="R408" s="2" t="inlineStr"/>
    </row>
    <row r="409" ht="15" customHeight="1">
      <c r="A409" t="inlineStr">
        <is>
          <t>A 10721-2026</t>
        </is>
      </c>
      <c r="B409" s="1" t="n">
        <v>46078.46894675926</v>
      </c>
      <c r="C409" s="1" t="n">
        <v>46142</v>
      </c>
      <c r="D409" t="inlineStr">
        <is>
          <t>SÖDERMANLANDS LÄN</t>
        </is>
      </c>
      <c r="E409" t="inlineStr">
        <is>
          <t>KATRINEHOLM</t>
        </is>
      </c>
      <c r="F409" t="inlineStr">
        <is>
          <t>Allmännings- och besparingsskogar</t>
        </is>
      </c>
      <c r="G409" t="n">
        <v>1.8</v>
      </c>
      <c r="H409" t="n">
        <v>0</v>
      </c>
      <c r="I409" t="n">
        <v>0</v>
      </c>
      <c r="J409" t="n">
        <v>0</v>
      </c>
      <c r="K409" t="n">
        <v>0</v>
      </c>
      <c r="L409" t="n">
        <v>0</v>
      </c>
      <c r="M409" t="n">
        <v>0</v>
      </c>
      <c r="N409" t="n">
        <v>0</v>
      </c>
      <c r="O409" t="n">
        <v>0</v>
      </c>
      <c r="P409" t="n">
        <v>0</v>
      </c>
      <c r="Q409" t="n">
        <v>0</v>
      </c>
      <c r="R409" s="2" t="inlineStr"/>
    </row>
    <row r="410" ht="15" customHeight="1">
      <c r="A410" t="inlineStr">
        <is>
          <t>A 41793-2025</t>
        </is>
      </c>
      <c r="B410" s="1" t="n">
        <v>45902</v>
      </c>
      <c r="C410" s="1" t="n">
        <v>46142</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32166-2022</t>
        </is>
      </c>
      <c r="B411" s="1" t="n">
        <v>44781</v>
      </c>
      <c r="C411" s="1" t="n">
        <v>46142</v>
      </c>
      <c r="D411" t="inlineStr">
        <is>
          <t>SÖDERMANLANDS LÄN</t>
        </is>
      </c>
      <c r="E411" t="inlineStr">
        <is>
          <t>KATRINEHOLM</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32169-2022</t>
        </is>
      </c>
      <c r="B412" s="1" t="n">
        <v>44781</v>
      </c>
      <c r="C412" s="1" t="n">
        <v>46142</v>
      </c>
      <c r="D412" t="inlineStr">
        <is>
          <t>SÖDERMANLANDS LÄN</t>
        </is>
      </c>
      <c r="E412" t="inlineStr">
        <is>
          <t>KATRINEHOLM</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35864-2023</t>
        </is>
      </c>
      <c r="B413" s="1" t="n">
        <v>45147</v>
      </c>
      <c r="C413" s="1" t="n">
        <v>46142</v>
      </c>
      <c r="D413" t="inlineStr">
        <is>
          <t>SÖDERMANLANDS LÄN</t>
        </is>
      </c>
      <c r="E413" t="inlineStr">
        <is>
          <t>KATRINEHOLM</t>
        </is>
      </c>
      <c r="F413" t="inlineStr">
        <is>
          <t>Övriga Aktiebolag</t>
        </is>
      </c>
      <c r="G413" t="n">
        <v>4.7</v>
      </c>
      <c r="H413" t="n">
        <v>0</v>
      </c>
      <c r="I413" t="n">
        <v>0</v>
      </c>
      <c r="J413" t="n">
        <v>0</v>
      </c>
      <c r="K413" t="n">
        <v>0</v>
      </c>
      <c r="L413" t="n">
        <v>0</v>
      </c>
      <c r="M413" t="n">
        <v>0</v>
      </c>
      <c r="N413" t="n">
        <v>0</v>
      </c>
      <c r="O413" t="n">
        <v>0</v>
      </c>
      <c r="P413" t="n">
        <v>0</v>
      </c>
      <c r="Q413" t="n">
        <v>0</v>
      </c>
      <c r="R413" s="2" t="inlineStr"/>
    </row>
    <row r="414" ht="15" customHeight="1">
      <c r="A414" t="inlineStr">
        <is>
          <t>A 50021-2023</t>
        </is>
      </c>
      <c r="B414" s="1" t="n">
        <v>45215</v>
      </c>
      <c r="C414" s="1" t="n">
        <v>46142</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44637-2023</t>
        </is>
      </c>
      <c r="B415" s="1" t="n">
        <v>45189</v>
      </c>
      <c r="C415" s="1" t="n">
        <v>46142</v>
      </c>
      <c r="D415" t="inlineStr">
        <is>
          <t>SÖDERMANLANDS LÄN</t>
        </is>
      </c>
      <c r="E415" t="inlineStr">
        <is>
          <t>KATRINEHOLM</t>
        </is>
      </c>
      <c r="G415" t="n">
        <v>5.1</v>
      </c>
      <c r="H415" t="n">
        <v>0</v>
      </c>
      <c r="I415" t="n">
        <v>0</v>
      </c>
      <c r="J415" t="n">
        <v>0</v>
      </c>
      <c r="K415" t="n">
        <v>0</v>
      </c>
      <c r="L415" t="n">
        <v>0</v>
      </c>
      <c r="M415" t="n">
        <v>0</v>
      </c>
      <c r="N415" t="n">
        <v>0</v>
      </c>
      <c r="O415" t="n">
        <v>0</v>
      </c>
      <c r="P415" t="n">
        <v>0</v>
      </c>
      <c r="Q415" t="n">
        <v>0</v>
      </c>
      <c r="R415" s="2" t="inlineStr"/>
    </row>
    <row r="416" ht="15" customHeight="1">
      <c r="A416" t="inlineStr">
        <is>
          <t>A 37043-2025</t>
        </is>
      </c>
      <c r="B416" s="1" t="n">
        <v>45875.3396412037</v>
      </c>
      <c r="C416" s="1" t="n">
        <v>46142</v>
      </c>
      <c r="D416" t="inlineStr">
        <is>
          <t>SÖDERMANLANDS LÄN</t>
        </is>
      </c>
      <c r="E416" t="inlineStr">
        <is>
          <t>KATRINEHOLM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11666-2026</t>
        </is>
      </c>
      <c r="B417" s="1" t="n">
        <v>46084.55381944445</v>
      </c>
      <c r="C417" s="1" t="n">
        <v>46142</v>
      </c>
      <c r="D417" t="inlineStr">
        <is>
          <t>SÖDERMANLANDS LÄN</t>
        </is>
      </c>
      <c r="E417" t="inlineStr">
        <is>
          <t>KATRINEHOLM</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18383-2026</t>
        </is>
      </c>
      <c r="B418" s="1" t="n">
        <v>46126.64174768519</v>
      </c>
      <c r="C418" s="1" t="n">
        <v>46142</v>
      </c>
      <c r="D418" t="inlineStr">
        <is>
          <t>SÖDERMANLANDS LÄN</t>
        </is>
      </c>
      <c r="E418" t="inlineStr">
        <is>
          <t>KATRINEHOLM</t>
        </is>
      </c>
      <c r="G418" t="n">
        <v>2.4</v>
      </c>
      <c r="H418" t="n">
        <v>0</v>
      </c>
      <c r="I418" t="n">
        <v>0</v>
      </c>
      <c r="J418" t="n">
        <v>0</v>
      </c>
      <c r="K418" t="n">
        <v>0</v>
      </c>
      <c r="L418" t="n">
        <v>0</v>
      </c>
      <c r="M418" t="n">
        <v>0</v>
      </c>
      <c r="N418" t="n">
        <v>0</v>
      </c>
      <c r="O418" t="n">
        <v>0</v>
      </c>
      <c r="P418" t="n">
        <v>0</v>
      </c>
      <c r="Q418" t="n">
        <v>0</v>
      </c>
      <c r="R418" s="2" t="inlineStr"/>
    </row>
    <row r="419" ht="15" customHeight="1">
      <c r="A419" t="inlineStr">
        <is>
          <t>A 18308-2026</t>
        </is>
      </c>
      <c r="B419" s="1" t="n">
        <v>46126.46175925926</v>
      </c>
      <c r="C419" s="1" t="n">
        <v>46142</v>
      </c>
      <c r="D419" t="inlineStr">
        <is>
          <t>SÖDERMANLANDS LÄN</t>
        </is>
      </c>
      <c r="E419" t="inlineStr">
        <is>
          <t>KATRINEHOLM</t>
        </is>
      </c>
      <c r="G419" t="n">
        <v>4.2</v>
      </c>
      <c r="H419" t="n">
        <v>0</v>
      </c>
      <c r="I419" t="n">
        <v>0</v>
      </c>
      <c r="J419" t="n">
        <v>0</v>
      </c>
      <c r="K419" t="n">
        <v>0</v>
      </c>
      <c r="L419" t="n">
        <v>0</v>
      </c>
      <c r="M419" t="n">
        <v>0</v>
      </c>
      <c r="N419" t="n">
        <v>0</v>
      </c>
      <c r="O419" t="n">
        <v>0</v>
      </c>
      <c r="P419" t="n">
        <v>0</v>
      </c>
      <c r="Q419" t="n">
        <v>0</v>
      </c>
      <c r="R419" s="2" t="inlineStr"/>
    </row>
    <row r="420" ht="15" customHeight="1">
      <c r="A420" t="inlineStr">
        <is>
          <t>A 11621-2026</t>
        </is>
      </c>
      <c r="B420" s="1" t="n">
        <v>46084.46734953704</v>
      </c>
      <c r="C420" s="1" t="n">
        <v>46142</v>
      </c>
      <c r="D420" t="inlineStr">
        <is>
          <t>SÖDERMANLANDS LÄN</t>
        </is>
      </c>
      <c r="E420" t="inlineStr">
        <is>
          <t>KATRINEHOLM</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39055-2022</t>
        </is>
      </c>
      <c r="B421" s="1" t="n">
        <v>44817</v>
      </c>
      <c r="C421" s="1" t="n">
        <v>46142</v>
      </c>
      <c r="D421" t="inlineStr">
        <is>
          <t>SÖDERMANLANDS LÄN</t>
        </is>
      </c>
      <c r="E421" t="inlineStr">
        <is>
          <t>KATRINEHOLM</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18309-2026</t>
        </is>
      </c>
      <c r="B422" s="1" t="n">
        <v>46126.46756944444</v>
      </c>
      <c r="C422" s="1" t="n">
        <v>46142</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46257-2021</t>
        </is>
      </c>
      <c r="B423" s="1" t="n">
        <v>44442</v>
      </c>
      <c r="C423" s="1" t="n">
        <v>46142</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52769-2023</t>
        </is>
      </c>
      <c r="B424" s="1" t="n">
        <v>45226</v>
      </c>
      <c r="C424" s="1" t="n">
        <v>46142</v>
      </c>
      <c r="D424" t="inlineStr">
        <is>
          <t>SÖDERMANLANDS LÄN</t>
        </is>
      </c>
      <c r="E424" t="inlineStr">
        <is>
          <t>KATRINEHOLM</t>
        </is>
      </c>
      <c r="G424" t="n">
        <v>0.5</v>
      </c>
      <c r="H424" t="n">
        <v>0</v>
      </c>
      <c r="I424" t="n">
        <v>0</v>
      </c>
      <c r="J424" t="n">
        <v>0</v>
      </c>
      <c r="K424" t="n">
        <v>0</v>
      </c>
      <c r="L424" t="n">
        <v>0</v>
      </c>
      <c r="M424" t="n">
        <v>0</v>
      </c>
      <c r="N424" t="n">
        <v>0</v>
      </c>
      <c r="O424" t="n">
        <v>0</v>
      </c>
      <c r="P424" t="n">
        <v>0</v>
      </c>
      <c r="Q424" t="n">
        <v>0</v>
      </c>
      <c r="R424" s="2" t="inlineStr"/>
    </row>
    <row r="425" ht="15" customHeight="1">
      <c r="A425" t="inlineStr">
        <is>
          <t>A 11543-2025</t>
        </is>
      </c>
      <c r="B425" s="1" t="n">
        <v>45727.34248842593</v>
      </c>
      <c r="C425" s="1" t="n">
        <v>46142</v>
      </c>
      <c r="D425" t="inlineStr">
        <is>
          <t>SÖDERMANLANDS LÄN</t>
        </is>
      </c>
      <c r="E425" t="inlineStr">
        <is>
          <t>KATRINEHOLM</t>
        </is>
      </c>
      <c r="G425" t="n">
        <v>3.6</v>
      </c>
      <c r="H425" t="n">
        <v>0</v>
      </c>
      <c r="I425" t="n">
        <v>0</v>
      </c>
      <c r="J425" t="n">
        <v>0</v>
      </c>
      <c r="K425" t="n">
        <v>0</v>
      </c>
      <c r="L425" t="n">
        <v>0</v>
      </c>
      <c r="M425" t="n">
        <v>0</v>
      </c>
      <c r="N425" t="n">
        <v>0</v>
      </c>
      <c r="O425" t="n">
        <v>0</v>
      </c>
      <c r="P425" t="n">
        <v>0</v>
      </c>
      <c r="Q425" t="n">
        <v>0</v>
      </c>
      <c r="R425" s="2" t="inlineStr"/>
    </row>
    <row r="426" ht="15" customHeight="1">
      <c r="A426" t="inlineStr">
        <is>
          <t>A 18301-2026</t>
        </is>
      </c>
      <c r="B426" s="1" t="n">
        <v>46126.45259259259</v>
      </c>
      <c r="C426" s="1" t="n">
        <v>46142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18302-2026</t>
        </is>
      </c>
      <c r="B427" s="1" t="n">
        <v>46126.45408564815</v>
      </c>
      <c r="C427" s="1" t="n">
        <v>46142</v>
      </c>
      <c r="D427" t="inlineStr">
        <is>
          <t>SÖDERMANLANDS LÄN</t>
        </is>
      </c>
      <c r="E427" t="inlineStr">
        <is>
          <t>KATRINEHOLM</t>
        </is>
      </c>
      <c r="G427" t="n">
        <v>3.5</v>
      </c>
      <c r="H427" t="n">
        <v>0</v>
      </c>
      <c r="I427" t="n">
        <v>0</v>
      </c>
      <c r="J427" t="n">
        <v>0</v>
      </c>
      <c r="K427" t="n">
        <v>0</v>
      </c>
      <c r="L427" t="n">
        <v>0</v>
      </c>
      <c r="M427" t="n">
        <v>0</v>
      </c>
      <c r="N427" t="n">
        <v>0</v>
      </c>
      <c r="O427" t="n">
        <v>0</v>
      </c>
      <c r="P427" t="n">
        <v>0</v>
      </c>
      <c r="Q427" t="n">
        <v>0</v>
      </c>
      <c r="R427" s="2" t="inlineStr"/>
    </row>
    <row r="428" ht="15" customHeight="1">
      <c r="A428" t="inlineStr">
        <is>
          <t>A 18316-2026</t>
        </is>
      </c>
      <c r="B428" s="1" t="n">
        <v>46126.47670138889</v>
      </c>
      <c r="C428" s="1" t="n">
        <v>46142</v>
      </c>
      <c r="D428" t="inlineStr">
        <is>
          <t>SÖDERMANLANDS LÄN</t>
        </is>
      </c>
      <c r="E428" t="inlineStr">
        <is>
          <t>KATRINEHOLM</t>
        </is>
      </c>
      <c r="G428" t="n">
        <v>2.8</v>
      </c>
      <c r="H428" t="n">
        <v>0</v>
      </c>
      <c r="I428" t="n">
        <v>0</v>
      </c>
      <c r="J428" t="n">
        <v>0</v>
      </c>
      <c r="K428" t="n">
        <v>0</v>
      </c>
      <c r="L428" t="n">
        <v>0</v>
      </c>
      <c r="M428" t="n">
        <v>0</v>
      </c>
      <c r="N428" t="n">
        <v>0</v>
      </c>
      <c r="O428" t="n">
        <v>0</v>
      </c>
      <c r="P428" t="n">
        <v>0</v>
      </c>
      <c r="Q428" t="n">
        <v>0</v>
      </c>
      <c r="R428" s="2" t="inlineStr"/>
    </row>
    <row r="429" ht="15" customHeight="1">
      <c r="A429" t="inlineStr">
        <is>
          <t>A 18300-2026</t>
        </is>
      </c>
      <c r="B429" s="1" t="n">
        <v>46126.45106481481</v>
      </c>
      <c r="C429" s="1" t="n">
        <v>46142</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4758-2025</t>
        </is>
      </c>
      <c r="B430" s="1" t="n">
        <v>45688</v>
      </c>
      <c r="C430" s="1" t="n">
        <v>46142</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27852-2023</t>
        </is>
      </c>
      <c r="B431" s="1" t="n">
        <v>45098</v>
      </c>
      <c r="C431" s="1" t="n">
        <v>46142</v>
      </c>
      <c r="D431" t="inlineStr">
        <is>
          <t>SÖDERMANLANDS LÄN</t>
        </is>
      </c>
      <c r="E431" t="inlineStr">
        <is>
          <t>KATRINEHOLM</t>
        </is>
      </c>
      <c r="G431" t="n">
        <v>7.4</v>
      </c>
      <c r="H431" t="n">
        <v>0</v>
      </c>
      <c r="I431" t="n">
        <v>0</v>
      </c>
      <c r="J431" t="n">
        <v>0</v>
      </c>
      <c r="K431" t="n">
        <v>0</v>
      </c>
      <c r="L431" t="n">
        <v>0</v>
      </c>
      <c r="M431" t="n">
        <v>0</v>
      </c>
      <c r="N431" t="n">
        <v>0</v>
      </c>
      <c r="O431" t="n">
        <v>0</v>
      </c>
      <c r="P431" t="n">
        <v>0</v>
      </c>
      <c r="Q431" t="n">
        <v>0</v>
      </c>
      <c r="R431" s="2" t="inlineStr"/>
    </row>
    <row r="432" ht="15" customHeight="1">
      <c r="A432" t="inlineStr">
        <is>
          <t>A 37827-2025</t>
        </is>
      </c>
      <c r="B432" s="1" t="n">
        <v>45881.40907407407</v>
      </c>
      <c r="C432" s="1" t="n">
        <v>46142</v>
      </c>
      <c r="D432" t="inlineStr">
        <is>
          <t>SÖDERMANLANDS LÄN</t>
        </is>
      </c>
      <c r="E432" t="inlineStr">
        <is>
          <t>KATRINEHOLM</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11677-2026</t>
        </is>
      </c>
      <c r="B433" s="1" t="n">
        <v>46084.56711805556</v>
      </c>
      <c r="C433" s="1" t="n">
        <v>46142</v>
      </c>
      <c r="D433" t="inlineStr">
        <is>
          <t>SÖDERMANLANDS LÄN</t>
        </is>
      </c>
      <c r="E433" t="inlineStr">
        <is>
          <t>KATRINEHOLM</t>
        </is>
      </c>
      <c r="F433" t="inlineStr">
        <is>
          <t>Holmen skog AB</t>
        </is>
      </c>
      <c r="G433" t="n">
        <v>0.7</v>
      </c>
      <c r="H433" t="n">
        <v>0</v>
      </c>
      <c r="I433" t="n">
        <v>0</v>
      </c>
      <c r="J433" t="n">
        <v>0</v>
      </c>
      <c r="K433" t="n">
        <v>0</v>
      </c>
      <c r="L433" t="n">
        <v>0</v>
      </c>
      <c r="M433" t="n">
        <v>0</v>
      </c>
      <c r="N433" t="n">
        <v>0</v>
      </c>
      <c r="O433" t="n">
        <v>0</v>
      </c>
      <c r="P433" t="n">
        <v>0</v>
      </c>
      <c r="Q433" t="n">
        <v>0</v>
      </c>
      <c r="R433" s="2" t="inlineStr"/>
    </row>
    <row r="434" ht="15" customHeight="1">
      <c r="A434" t="inlineStr">
        <is>
          <t>A 28304-2024</t>
        </is>
      </c>
      <c r="B434" s="1" t="n">
        <v>45477</v>
      </c>
      <c r="C434" s="1" t="n">
        <v>46142</v>
      </c>
      <c r="D434" t="inlineStr">
        <is>
          <t>SÖDERMANLANDS LÄN</t>
        </is>
      </c>
      <c r="E434" t="inlineStr">
        <is>
          <t>KATRINEHOLM</t>
        </is>
      </c>
      <c r="G434" t="n">
        <v>3.8</v>
      </c>
      <c r="H434" t="n">
        <v>0</v>
      </c>
      <c r="I434" t="n">
        <v>0</v>
      </c>
      <c r="J434" t="n">
        <v>0</v>
      </c>
      <c r="K434" t="n">
        <v>0</v>
      </c>
      <c r="L434" t="n">
        <v>0</v>
      </c>
      <c r="M434" t="n">
        <v>0</v>
      </c>
      <c r="N434" t="n">
        <v>0</v>
      </c>
      <c r="O434" t="n">
        <v>0</v>
      </c>
      <c r="P434" t="n">
        <v>0</v>
      </c>
      <c r="Q434" t="n">
        <v>0</v>
      </c>
      <c r="R434" s="2" t="inlineStr"/>
    </row>
    <row r="435" ht="15" customHeight="1">
      <c r="A435" t="inlineStr">
        <is>
          <t>A 61911-2021</t>
        </is>
      </c>
      <c r="B435" s="1" t="n">
        <v>44502.35746527778</v>
      </c>
      <c r="C435" s="1" t="n">
        <v>46142</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42945-2023</t>
        </is>
      </c>
      <c r="B436" s="1" t="n">
        <v>45182.5793287037</v>
      </c>
      <c r="C436" s="1" t="n">
        <v>46142</v>
      </c>
      <c r="D436" t="inlineStr">
        <is>
          <t>SÖDERMANLANDS LÄN</t>
        </is>
      </c>
      <c r="E436" t="inlineStr">
        <is>
          <t>KATRINEHOLM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42962-2023</t>
        </is>
      </c>
      <c r="B437" s="1" t="n">
        <v>45182</v>
      </c>
      <c r="C437" s="1" t="n">
        <v>46142</v>
      </c>
      <c r="D437" t="inlineStr">
        <is>
          <t>SÖDERMANLANDS LÄN</t>
        </is>
      </c>
      <c r="E437" t="inlineStr">
        <is>
          <t>KATRINEHOLM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18306-2026</t>
        </is>
      </c>
      <c r="B438" s="1" t="n">
        <v>46126.46039351852</v>
      </c>
      <c r="C438" s="1" t="n">
        <v>46142</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18314-2026</t>
        </is>
      </c>
      <c r="B439" s="1" t="n">
        <v>46126.47289351852</v>
      </c>
      <c r="C439" s="1" t="n">
        <v>46142</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44915-2022</t>
        </is>
      </c>
      <c r="B440" s="1" t="n">
        <v>44840</v>
      </c>
      <c r="C440" s="1" t="n">
        <v>46142</v>
      </c>
      <c r="D440" t="inlineStr">
        <is>
          <t>SÖDERMANLANDS LÄN</t>
        </is>
      </c>
      <c r="E440" t="inlineStr">
        <is>
          <t>KATRINEHOLM</t>
        </is>
      </c>
      <c r="G440" t="n">
        <v>6.3</v>
      </c>
      <c r="H440" t="n">
        <v>0</v>
      </c>
      <c r="I440" t="n">
        <v>0</v>
      </c>
      <c r="J440" t="n">
        <v>0</v>
      </c>
      <c r="K440" t="n">
        <v>0</v>
      </c>
      <c r="L440" t="n">
        <v>0</v>
      </c>
      <c r="M440" t="n">
        <v>0</v>
      </c>
      <c r="N440" t="n">
        <v>0</v>
      </c>
      <c r="O440" t="n">
        <v>0</v>
      </c>
      <c r="P440" t="n">
        <v>0</v>
      </c>
      <c r="Q440" t="n">
        <v>0</v>
      </c>
      <c r="R440" s="2" t="inlineStr"/>
    </row>
    <row r="441" ht="15" customHeight="1">
      <c r="A441" t="inlineStr">
        <is>
          <t>A 18384-2026</t>
        </is>
      </c>
      <c r="B441" s="1" t="n">
        <v>46126.64513888889</v>
      </c>
      <c r="C441" s="1" t="n">
        <v>46142</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48097-2023</t>
        </is>
      </c>
      <c r="B442" s="1" t="n">
        <v>45205.31987268518</v>
      </c>
      <c r="C442" s="1" t="n">
        <v>46142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45793-2022</t>
        </is>
      </c>
      <c r="B443" s="1" t="n">
        <v>44844</v>
      </c>
      <c r="C443" s="1" t="n">
        <v>46142</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18966-2026</t>
        </is>
      </c>
      <c r="B444" s="1" t="n">
        <v>46129.60259259259</v>
      </c>
      <c r="C444" s="1" t="n">
        <v>46142</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40393-2022</t>
        </is>
      </c>
      <c r="B445" s="1" t="n">
        <v>44823</v>
      </c>
      <c r="C445" s="1" t="n">
        <v>46142</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48685-2022</t>
        </is>
      </c>
      <c r="B446" s="1" t="n">
        <v>44859</v>
      </c>
      <c r="C446" s="1" t="n">
        <v>46142</v>
      </c>
      <c r="D446" t="inlineStr">
        <is>
          <t>SÖDERMANLANDS LÄN</t>
        </is>
      </c>
      <c r="E446" t="inlineStr">
        <is>
          <t>KATRINEHOLM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36133-2021</t>
        </is>
      </c>
      <c r="B447" s="1" t="n">
        <v>44386</v>
      </c>
      <c r="C447" s="1" t="n">
        <v>46142</v>
      </c>
      <c r="D447" t="inlineStr">
        <is>
          <t>SÖDERMANLANDS LÄN</t>
        </is>
      </c>
      <c r="E447" t="inlineStr">
        <is>
          <t>KATRINEHOLM</t>
        </is>
      </c>
      <c r="F447" t="inlineStr">
        <is>
          <t>Övriga Aktiebolag</t>
        </is>
      </c>
      <c r="G447" t="n">
        <v>8.9</v>
      </c>
      <c r="H447" t="n">
        <v>0</v>
      </c>
      <c r="I447" t="n">
        <v>0</v>
      </c>
      <c r="J447" t="n">
        <v>0</v>
      </c>
      <c r="K447" t="n">
        <v>0</v>
      </c>
      <c r="L447" t="n">
        <v>0</v>
      </c>
      <c r="M447" t="n">
        <v>0</v>
      </c>
      <c r="N447" t="n">
        <v>0</v>
      </c>
      <c r="O447" t="n">
        <v>0</v>
      </c>
      <c r="P447" t="n">
        <v>0</v>
      </c>
      <c r="Q447" t="n">
        <v>0</v>
      </c>
      <c r="R447" s="2" t="inlineStr"/>
    </row>
    <row r="448" ht="15" customHeight="1">
      <c r="A448" t="inlineStr">
        <is>
          <t>A 49700-2022</t>
        </is>
      </c>
      <c r="B448" s="1" t="n">
        <v>44862</v>
      </c>
      <c r="C448" s="1" t="n">
        <v>46142</v>
      </c>
      <c r="D448" t="inlineStr">
        <is>
          <t>SÖDERMANLANDS LÄN</t>
        </is>
      </c>
      <c r="E448" t="inlineStr">
        <is>
          <t>KATRINEHOLM</t>
        </is>
      </c>
      <c r="G448" t="n">
        <v>19.5</v>
      </c>
      <c r="H448" t="n">
        <v>0</v>
      </c>
      <c r="I448" t="n">
        <v>0</v>
      </c>
      <c r="J448" t="n">
        <v>0</v>
      </c>
      <c r="K448" t="n">
        <v>0</v>
      </c>
      <c r="L448" t="n">
        <v>0</v>
      </c>
      <c r="M448" t="n">
        <v>0</v>
      </c>
      <c r="N448" t="n">
        <v>0</v>
      </c>
      <c r="O448" t="n">
        <v>0</v>
      </c>
      <c r="P448" t="n">
        <v>0</v>
      </c>
      <c r="Q448" t="n">
        <v>0</v>
      </c>
      <c r="R448" s="2" t="inlineStr"/>
    </row>
    <row r="449" ht="15" customHeight="1">
      <c r="A449" t="inlineStr">
        <is>
          <t>A 19187-2026</t>
        </is>
      </c>
      <c r="B449" s="1" t="n">
        <v>46132.59921296296</v>
      </c>
      <c r="C449" s="1" t="n">
        <v>46142</v>
      </c>
      <c r="D449" t="inlineStr">
        <is>
          <t>SÖDERMANLANDS LÄN</t>
        </is>
      </c>
      <c r="E449" t="inlineStr">
        <is>
          <t>KATRINEHOLM</t>
        </is>
      </c>
      <c r="G449" t="n">
        <v>3.7</v>
      </c>
      <c r="H449" t="n">
        <v>0</v>
      </c>
      <c r="I449" t="n">
        <v>0</v>
      </c>
      <c r="J449" t="n">
        <v>0</v>
      </c>
      <c r="K449" t="n">
        <v>0</v>
      </c>
      <c r="L449" t="n">
        <v>0</v>
      </c>
      <c r="M449" t="n">
        <v>0</v>
      </c>
      <c r="N449" t="n">
        <v>0</v>
      </c>
      <c r="O449" t="n">
        <v>0</v>
      </c>
      <c r="P449" t="n">
        <v>0</v>
      </c>
      <c r="Q449" t="n">
        <v>0</v>
      </c>
      <c r="R449" s="2" t="inlineStr"/>
    </row>
    <row r="450" ht="15" customHeight="1">
      <c r="A450" t="inlineStr">
        <is>
          <t>A 19098-2026</t>
        </is>
      </c>
      <c r="B450" s="1" t="n">
        <v>46132.42950231482</v>
      </c>
      <c r="C450" s="1" t="n">
        <v>46142</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42686-2025</t>
        </is>
      </c>
      <c r="B451" s="1" t="n">
        <v>45908.35550925926</v>
      </c>
      <c r="C451" s="1" t="n">
        <v>46142</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30276-2023</t>
        </is>
      </c>
      <c r="B452" s="1" t="n">
        <v>45110</v>
      </c>
      <c r="C452" s="1" t="n">
        <v>46142</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42799-2025</t>
        </is>
      </c>
      <c r="B453" s="1" t="n">
        <v>45907</v>
      </c>
      <c r="C453" s="1" t="n">
        <v>46142</v>
      </c>
      <c r="D453" t="inlineStr">
        <is>
          <t>SÖDERMANLANDS LÄN</t>
        </is>
      </c>
      <c r="E453" t="inlineStr">
        <is>
          <t>KATRINEHOLM</t>
        </is>
      </c>
      <c r="G453" t="n">
        <v>3.9</v>
      </c>
      <c r="H453" t="n">
        <v>0</v>
      </c>
      <c r="I453" t="n">
        <v>0</v>
      </c>
      <c r="J453" t="n">
        <v>0</v>
      </c>
      <c r="K453" t="n">
        <v>0</v>
      </c>
      <c r="L453" t="n">
        <v>0</v>
      </c>
      <c r="M453" t="n">
        <v>0</v>
      </c>
      <c r="N453" t="n">
        <v>0</v>
      </c>
      <c r="O453" t="n">
        <v>0</v>
      </c>
      <c r="P453" t="n">
        <v>0</v>
      </c>
      <c r="Q453" t="n">
        <v>0</v>
      </c>
      <c r="R453" s="2" t="inlineStr"/>
    </row>
    <row r="454" ht="15" customHeight="1">
      <c r="A454" t="inlineStr">
        <is>
          <t>A 57265-2022</t>
        </is>
      </c>
      <c r="B454" s="1" t="n">
        <v>44895</v>
      </c>
      <c r="C454" s="1" t="n">
        <v>46142</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42474-2025</t>
        </is>
      </c>
      <c r="B455" s="1" t="n">
        <v>45905.46659722222</v>
      </c>
      <c r="C455" s="1" t="n">
        <v>46142</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50316-2023</t>
        </is>
      </c>
      <c r="B456" s="1" t="n">
        <v>45209</v>
      </c>
      <c r="C456" s="1" t="n">
        <v>46142</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46142</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60160-2022</t>
        </is>
      </c>
      <c r="B458" s="1" t="n">
        <v>44909</v>
      </c>
      <c r="C458" s="1" t="n">
        <v>46142</v>
      </c>
      <c r="D458" t="inlineStr">
        <is>
          <t>SÖDERMANLANDS LÄN</t>
        </is>
      </c>
      <c r="E458" t="inlineStr">
        <is>
          <t>KATRINEHOLM</t>
        </is>
      </c>
      <c r="F458" t="inlineStr">
        <is>
          <t>Allmännings- och besparingsskogar</t>
        </is>
      </c>
      <c r="G458" t="n">
        <v>2</v>
      </c>
      <c r="H458" t="n">
        <v>0</v>
      </c>
      <c r="I458" t="n">
        <v>0</v>
      </c>
      <c r="J458" t="n">
        <v>0</v>
      </c>
      <c r="K458" t="n">
        <v>0</v>
      </c>
      <c r="L458" t="n">
        <v>0</v>
      </c>
      <c r="M458" t="n">
        <v>0</v>
      </c>
      <c r="N458" t="n">
        <v>0</v>
      </c>
      <c r="O458" t="n">
        <v>0</v>
      </c>
      <c r="P458" t="n">
        <v>0</v>
      </c>
      <c r="Q458" t="n">
        <v>0</v>
      </c>
      <c r="R458" s="2" t="inlineStr"/>
    </row>
    <row r="459" ht="15" customHeight="1">
      <c r="A459" t="inlineStr">
        <is>
          <t>A 19442-2023</t>
        </is>
      </c>
      <c r="B459" s="1" t="n">
        <v>45050</v>
      </c>
      <c r="C459" s="1" t="n">
        <v>46142</v>
      </c>
      <c r="D459" t="inlineStr">
        <is>
          <t>SÖDERMANLANDS LÄN</t>
        </is>
      </c>
      <c r="E459" t="inlineStr">
        <is>
          <t>KATRINEHOLM</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12831-2026</t>
        </is>
      </c>
      <c r="B460" s="1" t="n">
        <v>46092.42416666666</v>
      </c>
      <c r="C460" s="1" t="n">
        <v>46142</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50840-2022</t>
        </is>
      </c>
      <c r="B461" s="1" t="n">
        <v>44862</v>
      </c>
      <c r="C461" s="1" t="n">
        <v>46142</v>
      </c>
      <c r="D461" t="inlineStr">
        <is>
          <t>SÖDERMANLANDS LÄN</t>
        </is>
      </c>
      <c r="E461" t="inlineStr">
        <is>
          <t>KATRINEHOLM</t>
        </is>
      </c>
      <c r="G461" t="n">
        <v>4.2</v>
      </c>
      <c r="H461" t="n">
        <v>0</v>
      </c>
      <c r="I461" t="n">
        <v>0</v>
      </c>
      <c r="J461" t="n">
        <v>0</v>
      </c>
      <c r="K461" t="n">
        <v>0</v>
      </c>
      <c r="L461" t="n">
        <v>0</v>
      </c>
      <c r="M461" t="n">
        <v>0</v>
      </c>
      <c r="N461" t="n">
        <v>0</v>
      </c>
      <c r="O461" t="n">
        <v>0</v>
      </c>
      <c r="P461" t="n">
        <v>0</v>
      </c>
      <c r="Q461" t="n">
        <v>0</v>
      </c>
      <c r="R461" s="2" t="inlineStr"/>
    </row>
    <row r="462" ht="15" customHeight="1">
      <c r="A462" t="inlineStr">
        <is>
          <t>A 3060-2022</t>
        </is>
      </c>
      <c r="B462" s="1" t="n">
        <v>44582.40109953703</v>
      </c>
      <c r="C462" s="1" t="n">
        <v>46142</v>
      </c>
      <c r="D462" t="inlineStr">
        <is>
          <t>SÖDERMANLANDS LÄN</t>
        </is>
      </c>
      <c r="E462" t="inlineStr">
        <is>
          <t>KATRINEHOLM</t>
        </is>
      </c>
      <c r="G462" t="n">
        <v>1.6</v>
      </c>
      <c r="H462" t="n">
        <v>0</v>
      </c>
      <c r="I462" t="n">
        <v>0</v>
      </c>
      <c r="J462" t="n">
        <v>0</v>
      </c>
      <c r="K462" t="n">
        <v>0</v>
      </c>
      <c r="L462" t="n">
        <v>0</v>
      </c>
      <c r="M462" t="n">
        <v>0</v>
      </c>
      <c r="N462" t="n">
        <v>0</v>
      </c>
      <c r="O462" t="n">
        <v>0</v>
      </c>
      <c r="P462" t="n">
        <v>0</v>
      </c>
      <c r="Q462" t="n">
        <v>0</v>
      </c>
      <c r="R462" s="2" t="inlineStr"/>
    </row>
    <row r="463" ht="15" customHeight="1">
      <c r="A463" t="inlineStr">
        <is>
          <t>A 6611-2023</t>
        </is>
      </c>
      <c r="B463" s="1" t="n">
        <v>44963</v>
      </c>
      <c r="C463" s="1" t="n">
        <v>46142</v>
      </c>
      <c r="D463" t="inlineStr">
        <is>
          <t>SÖDERMANLANDS LÄN</t>
        </is>
      </c>
      <c r="E463" t="inlineStr">
        <is>
          <t>KATRINEHOLM</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50804-2023</t>
        </is>
      </c>
      <c r="B464" s="1" t="n">
        <v>45211</v>
      </c>
      <c r="C464" s="1" t="n">
        <v>46142</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20533-2023</t>
        </is>
      </c>
      <c r="B465" s="1" t="n">
        <v>45057</v>
      </c>
      <c r="C465" s="1" t="n">
        <v>46142</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c r="T465">
        <f>HYPERLINK("https://klasma.github.io/Logging_0483/kartor/A 20533-2023 karta.png", "A 20533-2023")</f>
        <v/>
      </c>
      <c r="V465">
        <f>HYPERLINK("https://klasma.github.io/Logging_0483/klagomål/A 20533-2023 FSC-klagomål.docx", "A 20533-2023")</f>
        <v/>
      </c>
      <c r="W465">
        <f>HYPERLINK("https://klasma.github.io/Logging_0483/klagomålsmail/A 20533-2023 FSC-klagomål mail.docx", "A 20533-2023")</f>
        <v/>
      </c>
      <c r="X465">
        <f>HYPERLINK("https://klasma.github.io/Logging_0483/tillsyn/A 20533-2023 tillsynsbegäran.docx", "A 20533-2023")</f>
        <v/>
      </c>
      <c r="Y465">
        <f>HYPERLINK("https://klasma.github.io/Logging_0483/tillsynsmail/A 20533-2023 tillsynsbegäran mail.docx", "A 20533-2023")</f>
        <v/>
      </c>
      <c r="Z465">
        <f>HYPERLINK("https://klasma.github.io/Logging_0483/fåglar/A 20533-2023 prioriterade fågelarter.docx", "A 20533-2023")</f>
        <v/>
      </c>
    </row>
    <row r="466" ht="15" customHeight="1">
      <c r="A466" t="inlineStr">
        <is>
          <t>A 43499-2021</t>
        </is>
      </c>
      <c r="B466" s="1" t="n">
        <v>44433</v>
      </c>
      <c r="C466" s="1" t="n">
        <v>46142</v>
      </c>
      <c r="D466" t="inlineStr">
        <is>
          <t>SÖDERMANLANDS LÄN</t>
        </is>
      </c>
      <c r="E466" t="inlineStr">
        <is>
          <t>KATRINEHOLM</t>
        </is>
      </c>
      <c r="F466" t="inlineStr">
        <is>
          <t>Övriga Aktiebolag</t>
        </is>
      </c>
      <c r="G466" t="n">
        <v>1.4</v>
      </c>
      <c r="H466" t="n">
        <v>0</v>
      </c>
      <c r="I466" t="n">
        <v>0</v>
      </c>
      <c r="J466" t="n">
        <v>0</v>
      </c>
      <c r="K466" t="n">
        <v>0</v>
      </c>
      <c r="L466" t="n">
        <v>0</v>
      </c>
      <c r="M466" t="n">
        <v>0</v>
      </c>
      <c r="N466" t="n">
        <v>0</v>
      </c>
      <c r="O466" t="n">
        <v>0</v>
      </c>
      <c r="P466" t="n">
        <v>0</v>
      </c>
      <c r="Q466" t="n">
        <v>0</v>
      </c>
      <c r="R466" s="2" t="inlineStr"/>
    </row>
    <row r="467" ht="15" customHeight="1">
      <c r="A467" t="inlineStr">
        <is>
          <t>A 53996-2023</t>
        </is>
      </c>
      <c r="B467" s="1" t="n">
        <v>45231</v>
      </c>
      <c r="C467" s="1" t="n">
        <v>46142</v>
      </c>
      <c r="D467" t="inlineStr">
        <is>
          <t>SÖDERMANLANDS LÄN</t>
        </is>
      </c>
      <c r="E467" t="inlineStr">
        <is>
          <t>KATRINEHOLM</t>
        </is>
      </c>
      <c r="G467" t="n">
        <v>4.9</v>
      </c>
      <c r="H467" t="n">
        <v>0</v>
      </c>
      <c r="I467" t="n">
        <v>0</v>
      </c>
      <c r="J467" t="n">
        <v>0</v>
      </c>
      <c r="K467" t="n">
        <v>0</v>
      </c>
      <c r="L467" t="n">
        <v>0</v>
      </c>
      <c r="M467" t="n">
        <v>0</v>
      </c>
      <c r="N467" t="n">
        <v>0</v>
      </c>
      <c r="O467" t="n">
        <v>0</v>
      </c>
      <c r="P467" t="n">
        <v>0</v>
      </c>
      <c r="Q467" t="n">
        <v>0</v>
      </c>
      <c r="R467" s="2" t="inlineStr"/>
    </row>
    <row r="468" ht="15" customHeight="1">
      <c r="A468" t="inlineStr">
        <is>
          <t>A 33790-2024</t>
        </is>
      </c>
      <c r="B468" s="1" t="n">
        <v>45520.59179398148</v>
      </c>
      <c r="C468" s="1" t="n">
        <v>46142</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47456-2022</t>
        </is>
      </c>
      <c r="B469" s="1" t="n">
        <v>44852</v>
      </c>
      <c r="C469" s="1" t="n">
        <v>46142</v>
      </c>
      <c r="D469" t="inlineStr">
        <is>
          <t>SÖDERMANLANDS LÄN</t>
        </is>
      </c>
      <c r="E469" t="inlineStr">
        <is>
          <t>KATRINEHOLM</t>
        </is>
      </c>
      <c r="G469" t="n">
        <v>3.7</v>
      </c>
      <c r="H469" t="n">
        <v>0</v>
      </c>
      <c r="I469" t="n">
        <v>0</v>
      </c>
      <c r="J469" t="n">
        <v>0</v>
      </c>
      <c r="K469" t="n">
        <v>0</v>
      </c>
      <c r="L469" t="n">
        <v>0</v>
      </c>
      <c r="M469" t="n">
        <v>0</v>
      </c>
      <c r="N469" t="n">
        <v>0</v>
      </c>
      <c r="O469" t="n">
        <v>0</v>
      </c>
      <c r="P469" t="n">
        <v>0</v>
      </c>
      <c r="Q469" t="n">
        <v>0</v>
      </c>
      <c r="R469" s="2" t="inlineStr"/>
    </row>
    <row r="470" ht="15" customHeight="1">
      <c r="A470" t="inlineStr">
        <is>
          <t>A 19813-2026</t>
        </is>
      </c>
      <c r="B470" s="1" t="n">
        <v>46135.56923611111</v>
      </c>
      <c r="C470" s="1" t="n">
        <v>46142</v>
      </c>
      <c r="D470" t="inlineStr">
        <is>
          <t>SÖDERMANLANDS LÄN</t>
        </is>
      </c>
      <c r="E470" t="inlineStr">
        <is>
          <t>KATRINEHOLM</t>
        </is>
      </c>
      <c r="G470" t="n">
        <v>4.7</v>
      </c>
      <c r="H470" t="n">
        <v>0</v>
      </c>
      <c r="I470" t="n">
        <v>0</v>
      </c>
      <c r="J470" t="n">
        <v>0</v>
      </c>
      <c r="K470" t="n">
        <v>0</v>
      </c>
      <c r="L470" t="n">
        <v>0</v>
      </c>
      <c r="M470" t="n">
        <v>0</v>
      </c>
      <c r="N470" t="n">
        <v>0</v>
      </c>
      <c r="O470" t="n">
        <v>0</v>
      </c>
      <c r="P470" t="n">
        <v>0</v>
      </c>
      <c r="Q470" t="n">
        <v>0</v>
      </c>
      <c r="R470" s="2" t="inlineStr"/>
    </row>
    <row r="471" ht="15" customHeight="1">
      <c r="A471" t="inlineStr">
        <is>
          <t>A 23347-2023</t>
        </is>
      </c>
      <c r="B471" s="1" t="n">
        <v>45076</v>
      </c>
      <c r="C471" s="1" t="n">
        <v>46142</v>
      </c>
      <c r="D471" t="inlineStr">
        <is>
          <t>SÖDERMANLANDS LÄN</t>
        </is>
      </c>
      <c r="E471" t="inlineStr">
        <is>
          <t>KATRINEHOLM</t>
        </is>
      </c>
      <c r="G471" t="n">
        <v>4.3</v>
      </c>
      <c r="H471" t="n">
        <v>0</v>
      </c>
      <c r="I471" t="n">
        <v>0</v>
      </c>
      <c r="J471" t="n">
        <v>0</v>
      </c>
      <c r="K471" t="n">
        <v>0</v>
      </c>
      <c r="L471" t="n">
        <v>0</v>
      </c>
      <c r="M471" t="n">
        <v>0</v>
      </c>
      <c r="N471" t="n">
        <v>0</v>
      </c>
      <c r="O471" t="n">
        <v>0</v>
      </c>
      <c r="P471" t="n">
        <v>0</v>
      </c>
      <c r="Q471" t="n">
        <v>0</v>
      </c>
      <c r="R471" s="2" t="inlineStr"/>
    </row>
    <row r="472" ht="15" customHeight="1">
      <c r="A472" t="inlineStr">
        <is>
          <t>A 74354-2021</t>
        </is>
      </c>
      <c r="B472" s="1" t="n">
        <v>44559.57041666667</v>
      </c>
      <c r="C472" s="1" t="n">
        <v>46142</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52348-2021</t>
        </is>
      </c>
      <c r="B473" s="1" t="n">
        <v>44464.49756944444</v>
      </c>
      <c r="C473" s="1" t="n">
        <v>46142</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13655-2026</t>
        </is>
      </c>
      <c r="B474" s="1" t="n">
        <v>46097.45415509259</v>
      </c>
      <c r="C474" s="1" t="n">
        <v>46142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46142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20185-2026</t>
        </is>
      </c>
      <c r="B476" s="1" t="n">
        <v>46136</v>
      </c>
      <c r="C476" s="1" t="n">
        <v>46142</v>
      </c>
      <c r="D476" t="inlineStr">
        <is>
          <t>SÖDERMANLANDS LÄN</t>
        </is>
      </c>
      <c r="E476" t="inlineStr">
        <is>
          <t>KATRINEHOLM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45438-2021</t>
        </is>
      </c>
      <c r="B477" s="1" t="n">
        <v>44440</v>
      </c>
      <c r="C477" s="1" t="n">
        <v>46142</v>
      </c>
      <c r="D477" t="inlineStr">
        <is>
          <t>SÖDERMANLANDS LÄN</t>
        </is>
      </c>
      <c r="E477" t="inlineStr">
        <is>
          <t>KATRINEHOLM</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13631-2026</t>
        </is>
      </c>
      <c r="B478" s="1" t="n">
        <v>46095</v>
      </c>
      <c r="C478" s="1" t="n">
        <v>46142</v>
      </c>
      <c r="D478" t="inlineStr">
        <is>
          <t>SÖDERMANLANDS LÄN</t>
        </is>
      </c>
      <c r="E478" t="inlineStr">
        <is>
          <t>KATRINEHOLM</t>
        </is>
      </c>
      <c r="G478" t="n">
        <v>2.1</v>
      </c>
      <c r="H478" t="n">
        <v>0</v>
      </c>
      <c r="I478" t="n">
        <v>0</v>
      </c>
      <c r="J478" t="n">
        <v>0</v>
      </c>
      <c r="K478" t="n">
        <v>0</v>
      </c>
      <c r="L478" t="n">
        <v>0</v>
      </c>
      <c r="M478" t="n">
        <v>0</v>
      </c>
      <c r="N478" t="n">
        <v>0</v>
      </c>
      <c r="O478" t="n">
        <v>0</v>
      </c>
      <c r="P478" t="n">
        <v>0</v>
      </c>
      <c r="Q478" t="n">
        <v>0</v>
      </c>
      <c r="R478" s="2" t="inlineStr"/>
    </row>
    <row r="479" ht="15" customHeight="1">
      <c r="A479" t="inlineStr">
        <is>
          <t>A 50061-2022</t>
        </is>
      </c>
      <c r="B479" s="1" t="n">
        <v>44865</v>
      </c>
      <c r="C479" s="1" t="n">
        <v>46142</v>
      </c>
      <c r="D479" t="inlineStr">
        <is>
          <t>SÖDERMANLANDS LÄN</t>
        </is>
      </c>
      <c r="E479" t="inlineStr">
        <is>
          <t>KATRINEHOLM</t>
        </is>
      </c>
      <c r="G479" t="n">
        <v>4.9</v>
      </c>
      <c r="H479" t="n">
        <v>0</v>
      </c>
      <c r="I479" t="n">
        <v>0</v>
      </c>
      <c r="J479" t="n">
        <v>0</v>
      </c>
      <c r="K479" t="n">
        <v>0</v>
      </c>
      <c r="L479" t="n">
        <v>0</v>
      </c>
      <c r="M479" t="n">
        <v>0</v>
      </c>
      <c r="N479" t="n">
        <v>0</v>
      </c>
      <c r="O479" t="n">
        <v>0</v>
      </c>
      <c r="P479" t="n">
        <v>0</v>
      </c>
      <c r="Q479" t="n">
        <v>0</v>
      </c>
      <c r="R479" s="2" t="inlineStr"/>
    </row>
    <row r="480" ht="15" customHeight="1">
      <c r="A480" t="inlineStr">
        <is>
          <t>A 10446-2024</t>
        </is>
      </c>
      <c r="B480" s="1" t="n">
        <v>45366</v>
      </c>
      <c r="C480" s="1" t="n">
        <v>46142</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20200-2026</t>
        </is>
      </c>
      <c r="B481" s="1" t="n">
        <v>46136</v>
      </c>
      <c r="C481" s="1" t="n">
        <v>46142</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20202-2026</t>
        </is>
      </c>
      <c r="B482" s="1" t="n">
        <v>46136</v>
      </c>
      <c r="C482" s="1" t="n">
        <v>46142</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13633-2026</t>
        </is>
      </c>
      <c r="B483" s="1" t="n">
        <v>46097.38148148148</v>
      </c>
      <c r="C483" s="1" t="n">
        <v>46142</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13630-2026</t>
        </is>
      </c>
      <c r="B484" s="1" t="n">
        <v>46097.37490740741</v>
      </c>
      <c r="C484" s="1" t="n">
        <v>46142</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13632-2026</t>
        </is>
      </c>
      <c r="B485" s="1" t="n">
        <v>46097.37996527777</v>
      </c>
      <c r="C485" s="1" t="n">
        <v>46142</v>
      </c>
      <c r="D485" t="inlineStr">
        <is>
          <t>SÖDERMANLANDS LÄN</t>
        </is>
      </c>
      <c r="E485" t="inlineStr">
        <is>
          <t>KATRINEHOLM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53860-2021</t>
        </is>
      </c>
      <c r="B486" s="1" t="n">
        <v>44467</v>
      </c>
      <c r="C486" s="1" t="n">
        <v>46142</v>
      </c>
      <c r="D486" t="inlineStr">
        <is>
          <t>SÖDERMANLANDS LÄN</t>
        </is>
      </c>
      <c r="E486" t="inlineStr">
        <is>
          <t>KATRINEHOLM</t>
        </is>
      </c>
      <c r="G486" t="n">
        <v>1.3</v>
      </c>
      <c r="H486" t="n">
        <v>0</v>
      </c>
      <c r="I486" t="n">
        <v>0</v>
      </c>
      <c r="J486" t="n">
        <v>0</v>
      </c>
      <c r="K486" t="n">
        <v>0</v>
      </c>
      <c r="L486" t="n">
        <v>0</v>
      </c>
      <c r="M486" t="n">
        <v>0</v>
      </c>
      <c r="N486" t="n">
        <v>0</v>
      </c>
      <c r="O486" t="n">
        <v>0</v>
      </c>
      <c r="P486" t="n">
        <v>0</v>
      </c>
      <c r="Q486" t="n">
        <v>0</v>
      </c>
      <c r="R486" s="2" t="inlineStr"/>
    </row>
    <row r="487" ht="15" customHeight="1">
      <c r="A487" t="inlineStr">
        <is>
          <t>A 20221-2026</t>
        </is>
      </c>
      <c r="B487" s="1" t="n">
        <v>46139.43833333333</v>
      </c>
      <c r="C487" s="1" t="n">
        <v>46142</v>
      </c>
      <c r="D487" t="inlineStr">
        <is>
          <t>SÖDERMANLANDS LÄN</t>
        </is>
      </c>
      <c r="E487" t="inlineStr">
        <is>
          <t>KATRINEHOLM</t>
        </is>
      </c>
      <c r="G487" t="n">
        <v>4.2</v>
      </c>
      <c r="H487" t="n">
        <v>0</v>
      </c>
      <c r="I487" t="n">
        <v>0</v>
      </c>
      <c r="J487" t="n">
        <v>0</v>
      </c>
      <c r="K487" t="n">
        <v>0</v>
      </c>
      <c r="L487" t="n">
        <v>0</v>
      </c>
      <c r="M487" t="n">
        <v>0</v>
      </c>
      <c r="N487" t="n">
        <v>0</v>
      </c>
      <c r="O487" t="n">
        <v>0</v>
      </c>
      <c r="P487" t="n">
        <v>0</v>
      </c>
      <c r="Q487" t="n">
        <v>0</v>
      </c>
      <c r="R487" s="2" t="inlineStr"/>
    </row>
    <row r="488" ht="15" customHeight="1">
      <c r="A488" t="inlineStr">
        <is>
          <t>A 23842-2023</t>
        </is>
      </c>
      <c r="B488" s="1" t="n">
        <v>45075</v>
      </c>
      <c r="C488" s="1" t="n">
        <v>46142</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44071-2025</t>
        </is>
      </c>
      <c r="B489" s="1" t="n">
        <v>45915</v>
      </c>
      <c r="C489" s="1" t="n">
        <v>46142</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34263-2023</t>
        </is>
      </c>
      <c r="B490" s="1" t="n">
        <v>45138.60248842592</v>
      </c>
      <c r="C490" s="1" t="n">
        <v>46142</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43975-2025</t>
        </is>
      </c>
      <c r="B491" s="1" t="n">
        <v>45915.41148148148</v>
      </c>
      <c r="C491" s="1" t="n">
        <v>46142</v>
      </c>
      <c r="D491" t="inlineStr">
        <is>
          <t>SÖDERMANLANDS LÄN</t>
        </is>
      </c>
      <c r="E491" t="inlineStr">
        <is>
          <t>KATRINEHOLM</t>
        </is>
      </c>
      <c r="G491" t="n">
        <v>1.8</v>
      </c>
      <c r="H491" t="n">
        <v>0</v>
      </c>
      <c r="I491" t="n">
        <v>0</v>
      </c>
      <c r="J491" t="n">
        <v>0</v>
      </c>
      <c r="K491" t="n">
        <v>0</v>
      </c>
      <c r="L491" t="n">
        <v>0</v>
      </c>
      <c r="M491" t="n">
        <v>0</v>
      </c>
      <c r="N491" t="n">
        <v>0</v>
      </c>
      <c r="O491" t="n">
        <v>0</v>
      </c>
      <c r="P491" t="n">
        <v>0</v>
      </c>
      <c r="Q491" t="n">
        <v>0</v>
      </c>
      <c r="R491" s="2" t="inlineStr"/>
    </row>
    <row r="492" ht="15" customHeight="1">
      <c r="A492" t="inlineStr">
        <is>
          <t>A 46899-2022</t>
        </is>
      </c>
      <c r="B492" s="1" t="n">
        <v>44848</v>
      </c>
      <c r="C492" s="1" t="n">
        <v>46142</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55296-2022</t>
        </is>
      </c>
      <c r="B493" s="1" t="n">
        <v>44887</v>
      </c>
      <c r="C493" s="1" t="n">
        <v>46142</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20464-2026</t>
        </is>
      </c>
      <c r="B494" s="1" t="n">
        <v>46140.44986111111</v>
      </c>
      <c r="C494" s="1" t="n">
        <v>46142</v>
      </c>
      <c r="D494" t="inlineStr">
        <is>
          <t>SÖDERMANLANDS LÄN</t>
        </is>
      </c>
      <c r="E494" t="inlineStr">
        <is>
          <t>KATRINEHOLM</t>
        </is>
      </c>
      <c r="G494" t="n">
        <v>9.1</v>
      </c>
      <c r="H494" t="n">
        <v>0</v>
      </c>
      <c r="I494" t="n">
        <v>0</v>
      </c>
      <c r="J494" t="n">
        <v>0</v>
      </c>
      <c r="K494" t="n">
        <v>0</v>
      </c>
      <c r="L494" t="n">
        <v>0</v>
      </c>
      <c r="M494" t="n">
        <v>0</v>
      </c>
      <c r="N494" t="n">
        <v>0</v>
      </c>
      <c r="O494" t="n">
        <v>0</v>
      </c>
      <c r="P494" t="n">
        <v>0</v>
      </c>
      <c r="Q494" t="n">
        <v>0</v>
      </c>
      <c r="R494" s="2" t="inlineStr"/>
    </row>
    <row r="495" ht="15" customHeight="1">
      <c r="A495" t="inlineStr">
        <is>
          <t>A 57524-2021</t>
        </is>
      </c>
      <c r="B495" s="1" t="n">
        <v>44483</v>
      </c>
      <c r="C495" s="1" t="n">
        <v>46142</v>
      </c>
      <c r="D495" t="inlineStr">
        <is>
          <t>SÖDERMANLANDS LÄN</t>
        </is>
      </c>
      <c r="E495" t="inlineStr">
        <is>
          <t>KATRINEHOLM</t>
        </is>
      </c>
      <c r="G495" t="n">
        <v>0.4</v>
      </c>
      <c r="H495" t="n">
        <v>0</v>
      </c>
      <c r="I495" t="n">
        <v>0</v>
      </c>
      <c r="J495" t="n">
        <v>0</v>
      </c>
      <c r="K495" t="n">
        <v>0</v>
      </c>
      <c r="L495" t="n">
        <v>0</v>
      </c>
      <c r="M495" t="n">
        <v>0</v>
      </c>
      <c r="N495" t="n">
        <v>0</v>
      </c>
      <c r="O495" t="n">
        <v>0</v>
      </c>
      <c r="P495" t="n">
        <v>0</v>
      </c>
      <c r="Q495" t="n">
        <v>0</v>
      </c>
      <c r="R495" s="2" t="inlineStr"/>
    </row>
    <row r="496" ht="15" customHeight="1">
      <c r="A496" t="inlineStr">
        <is>
          <t>A 13841-2026</t>
        </is>
      </c>
      <c r="B496" s="1" t="n">
        <v>46098.37181712963</v>
      </c>
      <c r="C496" s="1" t="n">
        <v>46142</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931-2023</t>
        </is>
      </c>
      <c r="B497" s="1" t="n">
        <v>44932.74261574074</v>
      </c>
      <c r="C497" s="1" t="n">
        <v>46142</v>
      </c>
      <c r="D497" t="inlineStr">
        <is>
          <t>SÖDERMANLANDS LÄN</t>
        </is>
      </c>
      <c r="E497" t="inlineStr">
        <is>
          <t>KATRINEHOLM</t>
        </is>
      </c>
      <c r="G497" t="n">
        <v>4</v>
      </c>
      <c r="H497" t="n">
        <v>0</v>
      </c>
      <c r="I497" t="n">
        <v>0</v>
      </c>
      <c r="J497" t="n">
        <v>0</v>
      </c>
      <c r="K497" t="n">
        <v>0</v>
      </c>
      <c r="L497" t="n">
        <v>0</v>
      </c>
      <c r="M497" t="n">
        <v>0</v>
      </c>
      <c r="N497" t="n">
        <v>0</v>
      </c>
      <c r="O497" t="n">
        <v>0</v>
      </c>
      <c r="P497" t="n">
        <v>0</v>
      </c>
      <c r="Q497" t="n">
        <v>0</v>
      </c>
      <c r="R497" s="2" t="inlineStr"/>
    </row>
    <row r="498" ht="15" customHeight="1">
      <c r="A498" t="inlineStr">
        <is>
          <t>A 55171-2023</t>
        </is>
      </c>
      <c r="B498" s="1" t="n">
        <v>45231</v>
      </c>
      <c r="C498" s="1" t="n">
        <v>46142</v>
      </c>
      <c r="D498" t="inlineStr">
        <is>
          <t>SÖDERMANLANDS LÄN</t>
        </is>
      </c>
      <c r="E498" t="inlineStr">
        <is>
          <t>KATRINEHOLM</t>
        </is>
      </c>
      <c r="G498" t="n">
        <v>4.2</v>
      </c>
      <c r="H498" t="n">
        <v>0</v>
      </c>
      <c r="I498" t="n">
        <v>0</v>
      </c>
      <c r="J498" t="n">
        <v>0</v>
      </c>
      <c r="K498" t="n">
        <v>0</v>
      </c>
      <c r="L498" t="n">
        <v>0</v>
      </c>
      <c r="M498" t="n">
        <v>0</v>
      </c>
      <c r="N498" t="n">
        <v>0</v>
      </c>
      <c r="O498" t="n">
        <v>0</v>
      </c>
      <c r="P498" t="n">
        <v>0</v>
      </c>
      <c r="Q498" t="n">
        <v>0</v>
      </c>
      <c r="R498" s="2" t="inlineStr"/>
    </row>
    <row r="499" ht="15" customHeight="1">
      <c r="A499" t="inlineStr">
        <is>
          <t>A 53393-2023</t>
        </is>
      </c>
      <c r="B499" s="1" t="n">
        <v>45229</v>
      </c>
      <c r="C499" s="1" t="n">
        <v>46142</v>
      </c>
      <c r="D499" t="inlineStr">
        <is>
          <t>SÖDERMANLANDS LÄN</t>
        </is>
      </c>
      <c r="E499" t="inlineStr">
        <is>
          <t>KATRINEHOLM</t>
        </is>
      </c>
      <c r="F499" t="inlineStr">
        <is>
          <t>Kyrkan</t>
        </is>
      </c>
      <c r="G499" t="n">
        <v>5.6</v>
      </c>
      <c r="H499" t="n">
        <v>0</v>
      </c>
      <c r="I499" t="n">
        <v>0</v>
      </c>
      <c r="J499" t="n">
        <v>0</v>
      </c>
      <c r="K499" t="n">
        <v>0</v>
      </c>
      <c r="L499" t="n">
        <v>0</v>
      </c>
      <c r="M499" t="n">
        <v>0</v>
      </c>
      <c r="N499" t="n">
        <v>0</v>
      </c>
      <c r="O499" t="n">
        <v>0</v>
      </c>
      <c r="P499" t="n">
        <v>0</v>
      </c>
      <c r="Q499" t="n">
        <v>0</v>
      </c>
      <c r="R499" s="2" t="inlineStr"/>
    </row>
    <row r="500" ht="15" customHeight="1">
      <c r="A500" t="inlineStr">
        <is>
          <t>A 23031-2024</t>
        </is>
      </c>
      <c r="B500" s="1" t="n">
        <v>45450.38120370371</v>
      </c>
      <c r="C500" s="1" t="n">
        <v>46142</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22506-2023</t>
        </is>
      </c>
      <c r="B501" s="1" t="n">
        <v>45071.37393518518</v>
      </c>
      <c r="C501" s="1" t="n">
        <v>46142</v>
      </c>
      <c r="D501" t="inlineStr">
        <is>
          <t>SÖDERMANLANDS LÄN</t>
        </is>
      </c>
      <c r="E501" t="inlineStr">
        <is>
          <t>KATRINEHOLM</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12888-2025</t>
        </is>
      </c>
      <c r="B502" s="1" t="n">
        <v>45733</v>
      </c>
      <c r="C502" s="1" t="n">
        <v>46142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22345-2023</t>
        </is>
      </c>
      <c r="B503" s="1" t="n">
        <v>45070</v>
      </c>
      <c r="C503" s="1" t="n">
        <v>46142</v>
      </c>
      <c r="D503" t="inlineStr">
        <is>
          <t>SÖDERMANLANDS LÄN</t>
        </is>
      </c>
      <c r="E503" t="inlineStr">
        <is>
          <t>KATRINEHOLM</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48877-2022</t>
        </is>
      </c>
      <c r="B504" s="1" t="n">
        <v>44859</v>
      </c>
      <c r="C504" s="1" t="n">
        <v>46142</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19868-2022</t>
        </is>
      </c>
      <c r="B505" s="1" t="n">
        <v>44696</v>
      </c>
      <c r="C505" s="1" t="n">
        <v>46142</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63188-2021</t>
        </is>
      </c>
      <c r="B506" s="1" t="n">
        <v>44507.56865740741</v>
      </c>
      <c r="C506" s="1" t="n">
        <v>46142</v>
      </c>
      <c r="D506" t="inlineStr">
        <is>
          <t>SÖDERMANLANDS LÄN</t>
        </is>
      </c>
      <c r="E506" t="inlineStr">
        <is>
          <t>KATRINEHOLM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29843-2023</t>
        </is>
      </c>
      <c r="B507" s="1" t="n">
        <v>45107</v>
      </c>
      <c r="C507" s="1" t="n">
        <v>46142</v>
      </c>
      <c r="D507" t="inlineStr">
        <is>
          <t>SÖDERMANLANDS LÄN</t>
        </is>
      </c>
      <c r="E507" t="inlineStr">
        <is>
          <t>KATRINEHOLM</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46288-2025</t>
        </is>
      </c>
      <c r="B508" s="1" t="n">
        <v>45925.38545138889</v>
      </c>
      <c r="C508" s="1" t="n">
        <v>46142</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5834-2025</t>
        </is>
      </c>
      <c r="B509" s="1" t="n">
        <v>45694</v>
      </c>
      <c r="C509" s="1" t="n">
        <v>46142</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34981-2023</t>
        </is>
      </c>
      <c r="B510" s="1" t="n">
        <v>45142</v>
      </c>
      <c r="C510" s="1" t="n">
        <v>46142</v>
      </c>
      <c r="D510" t="inlineStr">
        <is>
          <t>SÖDERMANLANDS LÄN</t>
        </is>
      </c>
      <c r="E510" t="inlineStr">
        <is>
          <t>KATRINEHOLM</t>
        </is>
      </c>
      <c r="G510" t="n">
        <v>10</v>
      </c>
      <c r="H510" t="n">
        <v>0</v>
      </c>
      <c r="I510" t="n">
        <v>0</v>
      </c>
      <c r="J510" t="n">
        <v>0</v>
      </c>
      <c r="K510" t="n">
        <v>0</v>
      </c>
      <c r="L510" t="n">
        <v>0</v>
      </c>
      <c r="M510" t="n">
        <v>0</v>
      </c>
      <c r="N510" t="n">
        <v>0</v>
      </c>
      <c r="O510" t="n">
        <v>0</v>
      </c>
      <c r="P510" t="n">
        <v>0</v>
      </c>
      <c r="Q510" t="n">
        <v>0</v>
      </c>
      <c r="R510" s="2" t="inlineStr"/>
    </row>
    <row r="511" ht="15" customHeight="1">
      <c r="A511" t="inlineStr">
        <is>
          <t>A 73412-2021</t>
        </is>
      </c>
      <c r="B511" s="1" t="n">
        <v>44551</v>
      </c>
      <c r="C511" s="1" t="n">
        <v>46142</v>
      </c>
      <c r="D511" t="inlineStr">
        <is>
          <t>SÖDERMANLANDS LÄN</t>
        </is>
      </c>
      <c r="E511" t="inlineStr">
        <is>
          <t>KATRINEHOLM</t>
        </is>
      </c>
      <c r="G511" t="n">
        <v>2</v>
      </c>
      <c r="H511" t="n">
        <v>0</v>
      </c>
      <c r="I511" t="n">
        <v>0</v>
      </c>
      <c r="J511" t="n">
        <v>0</v>
      </c>
      <c r="K511" t="n">
        <v>0</v>
      </c>
      <c r="L511" t="n">
        <v>0</v>
      </c>
      <c r="M511" t="n">
        <v>0</v>
      </c>
      <c r="N511" t="n">
        <v>0</v>
      </c>
      <c r="O511" t="n">
        <v>0</v>
      </c>
      <c r="P511" t="n">
        <v>0</v>
      </c>
      <c r="Q511" t="n">
        <v>0</v>
      </c>
      <c r="R511" s="2" t="inlineStr"/>
    </row>
    <row r="512" ht="15" customHeight="1">
      <c r="A512" t="inlineStr">
        <is>
          <t>A 53750-2022</t>
        </is>
      </c>
      <c r="B512" s="1" t="n">
        <v>44875</v>
      </c>
      <c r="C512" s="1" t="n">
        <v>46142</v>
      </c>
      <c r="D512" t="inlineStr">
        <is>
          <t>SÖDERMANLANDS LÄN</t>
        </is>
      </c>
      <c r="E512" t="inlineStr">
        <is>
          <t>KATRINEHOLM</t>
        </is>
      </c>
      <c r="F512" t="inlineStr">
        <is>
          <t>Övriga Aktiebolag</t>
        </is>
      </c>
      <c r="G512" t="n">
        <v>12.6</v>
      </c>
      <c r="H512" t="n">
        <v>0</v>
      </c>
      <c r="I512" t="n">
        <v>0</v>
      </c>
      <c r="J512" t="n">
        <v>0</v>
      </c>
      <c r="K512" t="n">
        <v>0</v>
      </c>
      <c r="L512" t="n">
        <v>0</v>
      </c>
      <c r="M512" t="n">
        <v>0</v>
      </c>
      <c r="N512" t="n">
        <v>0</v>
      </c>
      <c r="O512" t="n">
        <v>0</v>
      </c>
      <c r="P512" t="n">
        <v>0</v>
      </c>
      <c r="Q512" t="n">
        <v>0</v>
      </c>
      <c r="R512" s="2" t="inlineStr"/>
    </row>
    <row r="513" ht="15" customHeight="1">
      <c r="A513" t="inlineStr">
        <is>
          <t>A 14245-2024</t>
        </is>
      </c>
      <c r="B513" s="1" t="n">
        <v>45393</v>
      </c>
      <c r="C513" s="1" t="n">
        <v>46142</v>
      </c>
      <c r="D513" t="inlineStr">
        <is>
          <t>SÖDERMANLANDS LÄN</t>
        </is>
      </c>
      <c r="E513" t="inlineStr">
        <is>
          <t>KATRINEHOLM</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11104-2023</t>
        </is>
      </c>
      <c r="B514" s="1" t="n">
        <v>44992</v>
      </c>
      <c r="C514" s="1" t="n">
        <v>46142</v>
      </c>
      <c r="D514" t="inlineStr">
        <is>
          <t>SÖDERMANLANDS LÄN</t>
        </is>
      </c>
      <c r="E514" t="inlineStr">
        <is>
          <t>KATRINEHOLM</t>
        </is>
      </c>
      <c r="F514" t="inlineStr">
        <is>
          <t>Allmännings- och besparingsskogar</t>
        </is>
      </c>
      <c r="G514" t="n">
        <v>7.8</v>
      </c>
      <c r="H514" t="n">
        <v>0</v>
      </c>
      <c r="I514" t="n">
        <v>0</v>
      </c>
      <c r="J514" t="n">
        <v>0</v>
      </c>
      <c r="K514" t="n">
        <v>0</v>
      </c>
      <c r="L514" t="n">
        <v>0</v>
      </c>
      <c r="M514" t="n">
        <v>0</v>
      </c>
      <c r="N514" t="n">
        <v>0</v>
      </c>
      <c r="O514" t="n">
        <v>0</v>
      </c>
      <c r="P514" t="n">
        <v>0</v>
      </c>
      <c r="Q514" t="n">
        <v>0</v>
      </c>
      <c r="R514" s="2" t="inlineStr"/>
    </row>
    <row r="515" ht="15" customHeight="1">
      <c r="A515" t="inlineStr">
        <is>
          <t>A 46524-2025</t>
        </is>
      </c>
      <c r="B515" s="1" t="n">
        <v>45926</v>
      </c>
      <c r="C515" s="1" t="n">
        <v>46142</v>
      </c>
      <c r="D515" t="inlineStr">
        <is>
          <t>SÖDERMANLANDS LÄN</t>
        </is>
      </c>
      <c r="E515" t="inlineStr">
        <is>
          <t>KATRINEHOLM</t>
        </is>
      </c>
      <c r="G515" t="n">
        <v>5.7</v>
      </c>
      <c r="H515" t="n">
        <v>0</v>
      </c>
      <c r="I515" t="n">
        <v>0</v>
      </c>
      <c r="J515" t="n">
        <v>0</v>
      </c>
      <c r="K515" t="n">
        <v>0</v>
      </c>
      <c r="L515" t="n">
        <v>0</v>
      </c>
      <c r="M515" t="n">
        <v>0</v>
      </c>
      <c r="N515" t="n">
        <v>0</v>
      </c>
      <c r="O515" t="n">
        <v>0</v>
      </c>
      <c r="P515" t="n">
        <v>0</v>
      </c>
      <c r="Q515" t="n">
        <v>0</v>
      </c>
      <c r="R515" s="2" t="inlineStr"/>
    </row>
    <row r="516" ht="15" customHeight="1">
      <c r="A516" t="inlineStr">
        <is>
          <t>A 4387-2024</t>
        </is>
      </c>
      <c r="B516" s="1" t="n">
        <v>45327.35068287037</v>
      </c>
      <c r="C516" s="1" t="n">
        <v>46142</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4872-2024</t>
        </is>
      </c>
      <c r="B517" s="1" t="n">
        <v>45329</v>
      </c>
      <c r="C517" s="1" t="n">
        <v>46142</v>
      </c>
      <c r="D517" t="inlineStr">
        <is>
          <t>SÖDERMANLANDS LÄN</t>
        </is>
      </c>
      <c r="E517" t="inlineStr">
        <is>
          <t>KATRINEHOLM</t>
        </is>
      </c>
      <c r="G517" t="n">
        <v>0.5</v>
      </c>
      <c r="H517" t="n">
        <v>0</v>
      </c>
      <c r="I517" t="n">
        <v>0</v>
      </c>
      <c r="J517" t="n">
        <v>0</v>
      </c>
      <c r="K517" t="n">
        <v>0</v>
      </c>
      <c r="L517" t="n">
        <v>0</v>
      </c>
      <c r="M517" t="n">
        <v>0</v>
      </c>
      <c r="N517" t="n">
        <v>0</v>
      </c>
      <c r="O517" t="n">
        <v>0</v>
      </c>
      <c r="P517" t="n">
        <v>0</v>
      </c>
      <c r="Q517" t="n">
        <v>0</v>
      </c>
      <c r="R517" s="2" t="inlineStr"/>
    </row>
    <row r="518" ht="15" customHeight="1">
      <c r="A518" t="inlineStr">
        <is>
          <t>A 29702-2021</t>
        </is>
      </c>
      <c r="B518" s="1" t="n">
        <v>44362</v>
      </c>
      <c r="C518" s="1" t="n">
        <v>46142</v>
      </c>
      <c r="D518" t="inlineStr">
        <is>
          <t>SÖDERMANLANDS LÄN</t>
        </is>
      </c>
      <c r="E518" t="inlineStr">
        <is>
          <t>KATRINEHOLM</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3986-2024</t>
        </is>
      </c>
      <c r="B519" s="1" t="n">
        <v>45322</v>
      </c>
      <c r="C519" s="1" t="n">
        <v>46142</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10996-2022</t>
        </is>
      </c>
      <c r="B520" s="1" t="n">
        <v>44628</v>
      </c>
      <c r="C520" s="1" t="n">
        <v>46142</v>
      </c>
      <c r="D520" t="inlineStr">
        <is>
          <t>SÖDERMANLANDS LÄN</t>
        </is>
      </c>
      <c r="E520" t="inlineStr">
        <is>
          <t>KATRINEHOLM</t>
        </is>
      </c>
      <c r="G520" t="n">
        <v>0.3</v>
      </c>
      <c r="H520" t="n">
        <v>0</v>
      </c>
      <c r="I520" t="n">
        <v>0</v>
      </c>
      <c r="J520" t="n">
        <v>0</v>
      </c>
      <c r="K520" t="n">
        <v>0</v>
      </c>
      <c r="L520" t="n">
        <v>0</v>
      </c>
      <c r="M520" t="n">
        <v>0</v>
      </c>
      <c r="N520" t="n">
        <v>0</v>
      </c>
      <c r="O520" t="n">
        <v>0</v>
      </c>
      <c r="P520" t="n">
        <v>0</v>
      </c>
      <c r="Q520" t="n">
        <v>0</v>
      </c>
      <c r="R520" s="2" t="inlineStr"/>
    </row>
    <row r="521" ht="15" customHeight="1">
      <c r="A521" t="inlineStr">
        <is>
          <t>A 42451-2023</t>
        </is>
      </c>
      <c r="B521" s="1" t="n">
        <v>45180</v>
      </c>
      <c r="C521" s="1" t="n">
        <v>46142</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13113-2023</t>
        </is>
      </c>
      <c r="B522" s="1" t="n">
        <v>45002</v>
      </c>
      <c r="C522" s="1" t="n">
        <v>46142</v>
      </c>
      <c r="D522" t="inlineStr">
        <is>
          <t>SÖDERMANLANDS LÄN</t>
        </is>
      </c>
      <c r="E522" t="inlineStr">
        <is>
          <t>KATRINEHOLM</t>
        </is>
      </c>
      <c r="F522" t="inlineStr">
        <is>
          <t>Allmännings- och besparingsskogar</t>
        </is>
      </c>
      <c r="G522" t="n">
        <v>3.6</v>
      </c>
      <c r="H522" t="n">
        <v>0</v>
      </c>
      <c r="I522" t="n">
        <v>0</v>
      </c>
      <c r="J522" t="n">
        <v>0</v>
      </c>
      <c r="K522" t="n">
        <v>0</v>
      </c>
      <c r="L522" t="n">
        <v>0</v>
      </c>
      <c r="M522" t="n">
        <v>0</v>
      </c>
      <c r="N522" t="n">
        <v>0</v>
      </c>
      <c r="O522" t="n">
        <v>0</v>
      </c>
      <c r="P522" t="n">
        <v>0</v>
      </c>
      <c r="Q522" t="n">
        <v>0</v>
      </c>
      <c r="R522" s="2" t="inlineStr"/>
    </row>
    <row r="523" ht="15" customHeight="1">
      <c r="A523" t="inlineStr">
        <is>
          <t>A 6606-2022</t>
        </is>
      </c>
      <c r="B523" s="1" t="n">
        <v>44601</v>
      </c>
      <c r="C523" s="1" t="n">
        <v>46142</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27646-2023</t>
        </is>
      </c>
      <c r="B524" s="1" t="n">
        <v>45097</v>
      </c>
      <c r="C524" s="1" t="n">
        <v>46142</v>
      </c>
      <c r="D524" t="inlineStr">
        <is>
          <t>SÖDERMANLANDS LÄN</t>
        </is>
      </c>
      <c r="E524" t="inlineStr">
        <is>
          <t>KATRINEHOLM</t>
        </is>
      </c>
      <c r="G524" t="n">
        <v>2.4</v>
      </c>
      <c r="H524" t="n">
        <v>0</v>
      </c>
      <c r="I524" t="n">
        <v>0</v>
      </c>
      <c r="J524" t="n">
        <v>0</v>
      </c>
      <c r="K524" t="n">
        <v>0</v>
      </c>
      <c r="L524" t="n">
        <v>0</v>
      </c>
      <c r="M524" t="n">
        <v>0</v>
      </c>
      <c r="N524" t="n">
        <v>0</v>
      </c>
      <c r="O524" t="n">
        <v>0</v>
      </c>
      <c r="P524" t="n">
        <v>0</v>
      </c>
      <c r="Q524" t="n">
        <v>0</v>
      </c>
      <c r="R524" s="2" t="inlineStr"/>
    </row>
    <row r="525" ht="15" customHeight="1">
      <c r="A525" t="inlineStr">
        <is>
          <t>A 15235-2023</t>
        </is>
      </c>
      <c r="B525" s="1" t="n">
        <v>45019</v>
      </c>
      <c r="C525" s="1" t="n">
        <v>46142</v>
      </c>
      <c r="D525" t="inlineStr">
        <is>
          <t>SÖDERMANLANDS LÄN</t>
        </is>
      </c>
      <c r="E525" t="inlineStr">
        <is>
          <t>KATRINEHOLM</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25433-2024</t>
        </is>
      </c>
      <c r="B526" s="1" t="n">
        <v>45463</v>
      </c>
      <c r="C526" s="1" t="n">
        <v>46142</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22304-2024</t>
        </is>
      </c>
      <c r="B527" s="1" t="n">
        <v>45446.56626157407</v>
      </c>
      <c r="C527" s="1" t="n">
        <v>46142</v>
      </c>
      <c r="D527" t="inlineStr">
        <is>
          <t>SÖDERMANLANDS LÄN</t>
        </is>
      </c>
      <c r="E527" t="inlineStr">
        <is>
          <t>KATRINEHOLM</t>
        </is>
      </c>
      <c r="F527" t="inlineStr">
        <is>
          <t>Kommuner</t>
        </is>
      </c>
      <c r="G527" t="n">
        <v>0.7</v>
      </c>
      <c r="H527" t="n">
        <v>0</v>
      </c>
      <c r="I527" t="n">
        <v>0</v>
      </c>
      <c r="J527" t="n">
        <v>0</v>
      </c>
      <c r="K527" t="n">
        <v>0</v>
      </c>
      <c r="L527" t="n">
        <v>0</v>
      </c>
      <c r="M527" t="n">
        <v>0</v>
      </c>
      <c r="N527" t="n">
        <v>0</v>
      </c>
      <c r="O527" t="n">
        <v>0</v>
      </c>
      <c r="P527" t="n">
        <v>0</v>
      </c>
      <c r="Q527" t="n">
        <v>0</v>
      </c>
      <c r="R527" s="2" t="inlineStr"/>
    </row>
    <row r="528" ht="15" customHeight="1">
      <c r="A528" t="inlineStr">
        <is>
          <t>A 14224-2024</t>
        </is>
      </c>
      <c r="B528" s="1" t="n">
        <v>45393</v>
      </c>
      <c r="C528" s="1" t="n">
        <v>46142</v>
      </c>
      <c r="D528" t="inlineStr">
        <is>
          <t>SÖDERMANLANDS LÄN</t>
        </is>
      </c>
      <c r="E528" t="inlineStr">
        <is>
          <t>KATRINEHOLM</t>
        </is>
      </c>
      <c r="F528" t="inlineStr">
        <is>
          <t>Sveaskog</t>
        </is>
      </c>
      <c r="G528" t="n">
        <v>7.6</v>
      </c>
      <c r="H528" t="n">
        <v>0</v>
      </c>
      <c r="I528" t="n">
        <v>0</v>
      </c>
      <c r="J528" t="n">
        <v>0</v>
      </c>
      <c r="K528" t="n">
        <v>0</v>
      </c>
      <c r="L528" t="n">
        <v>0</v>
      </c>
      <c r="M528" t="n">
        <v>0</v>
      </c>
      <c r="N528" t="n">
        <v>0</v>
      </c>
      <c r="O528" t="n">
        <v>0</v>
      </c>
      <c r="P528" t="n">
        <v>0</v>
      </c>
      <c r="Q528" t="n">
        <v>0</v>
      </c>
      <c r="R528" s="2" t="inlineStr"/>
    </row>
    <row r="529" ht="15" customHeight="1">
      <c r="A529" t="inlineStr">
        <is>
          <t>A 23341-2023</t>
        </is>
      </c>
      <c r="B529" s="1" t="n">
        <v>45076</v>
      </c>
      <c r="C529" s="1" t="n">
        <v>46142</v>
      </c>
      <c r="D529" t="inlineStr">
        <is>
          <t>SÖDERMANLANDS LÄN</t>
        </is>
      </c>
      <c r="E529" t="inlineStr">
        <is>
          <t>KATRINEHOLM</t>
        </is>
      </c>
      <c r="G529" t="n">
        <v>3.5</v>
      </c>
      <c r="H529" t="n">
        <v>0</v>
      </c>
      <c r="I529" t="n">
        <v>0</v>
      </c>
      <c r="J529" t="n">
        <v>0</v>
      </c>
      <c r="K529" t="n">
        <v>0</v>
      </c>
      <c r="L529" t="n">
        <v>0</v>
      </c>
      <c r="M529" t="n">
        <v>0</v>
      </c>
      <c r="N529" t="n">
        <v>0</v>
      </c>
      <c r="O529" t="n">
        <v>0</v>
      </c>
      <c r="P529" t="n">
        <v>0</v>
      </c>
      <c r="Q529" t="n">
        <v>0</v>
      </c>
      <c r="R529" s="2" t="inlineStr"/>
    </row>
    <row r="530" ht="15" customHeight="1">
      <c r="A530" t="inlineStr">
        <is>
          <t>A 36366-2023</t>
        </is>
      </c>
      <c r="B530" s="1" t="n">
        <v>45152</v>
      </c>
      <c r="C530" s="1" t="n">
        <v>46142</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36021-2023</t>
        </is>
      </c>
      <c r="B531" s="1" t="n">
        <v>45148</v>
      </c>
      <c r="C531" s="1" t="n">
        <v>46142</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28597-2024</t>
        </is>
      </c>
      <c r="B532" s="1" t="n">
        <v>45478</v>
      </c>
      <c r="C532" s="1" t="n">
        <v>46142</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29198-2023</t>
        </is>
      </c>
      <c r="B533" s="1" t="n">
        <v>45105</v>
      </c>
      <c r="C533" s="1" t="n">
        <v>46142</v>
      </c>
      <c r="D533" t="inlineStr">
        <is>
          <t>SÖDERMANLANDS LÄN</t>
        </is>
      </c>
      <c r="E533" t="inlineStr">
        <is>
          <t>KATRINEHOLM</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9992-2022</t>
        </is>
      </c>
      <c r="B534" s="1" t="n">
        <v>44621</v>
      </c>
      <c r="C534" s="1" t="n">
        <v>46142</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41267-2023</t>
        </is>
      </c>
      <c r="B535" s="1" t="n">
        <v>45174</v>
      </c>
      <c r="C535" s="1" t="n">
        <v>46142</v>
      </c>
      <c r="D535" t="inlineStr">
        <is>
          <t>SÖDERMANLANDS LÄN</t>
        </is>
      </c>
      <c r="E535" t="inlineStr">
        <is>
          <t>KATRINEHOLM</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49743-2025</t>
        </is>
      </c>
      <c r="B536" s="1" t="n">
        <v>45940</v>
      </c>
      <c r="C536" s="1" t="n">
        <v>46142</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4650-2024</t>
        </is>
      </c>
      <c r="B537" s="1" t="n">
        <v>45328</v>
      </c>
      <c r="C537" s="1" t="n">
        <v>46142</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4652-2024</t>
        </is>
      </c>
      <c r="B538" s="1" t="n">
        <v>45328</v>
      </c>
      <c r="C538" s="1" t="n">
        <v>46142</v>
      </c>
      <c r="D538" t="inlineStr">
        <is>
          <t>SÖDERMANLANDS LÄN</t>
        </is>
      </c>
      <c r="E538" t="inlineStr">
        <is>
          <t>KATRINEHOLM</t>
        </is>
      </c>
      <c r="F538" t="inlineStr">
        <is>
          <t>Övriga Aktiebolag</t>
        </is>
      </c>
      <c r="G538" t="n">
        <v>6.1</v>
      </c>
      <c r="H538" t="n">
        <v>0</v>
      </c>
      <c r="I538" t="n">
        <v>0</v>
      </c>
      <c r="J538" t="n">
        <v>0</v>
      </c>
      <c r="K538" t="n">
        <v>0</v>
      </c>
      <c r="L538" t="n">
        <v>0</v>
      </c>
      <c r="M538" t="n">
        <v>0</v>
      </c>
      <c r="N538" t="n">
        <v>0</v>
      </c>
      <c r="O538" t="n">
        <v>0</v>
      </c>
      <c r="P538" t="n">
        <v>0</v>
      </c>
      <c r="Q538" t="n">
        <v>0</v>
      </c>
      <c r="R538" s="2" t="inlineStr"/>
    </row>
    <row r="539" ht="15" customHeight="1">
      <c r="A539" t="inlineStr">
        <is>
          <t>A 29008-2024</t>
        </is>
      </c>
      <c r="B539" s="1" t="n">
        <v>45481</v>
      </c>
      <c r="C539" s="1" t="n">
        <v>46142</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9936-2023</t>
        </is>
      </c>
      <c r="B540" s="1" t="n">
        <v>44985.47086805556</v>
      </c>
      <c r="C540" s="1" t="n">
        <v>46142</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4645-2024</t>
        </is>
      </c>
      <c r="B541" s="1" t="n">
        <v>45328</v>
      </c>
      <c r="C541" s="1" t="n">
        <v>46142</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36001-2024</t>
        </is>
      </c>
      <c r="B542" s="1" t="n">
        <v>45533.54609953704</v>
      </c>
      <c r="C542" s="1" t="n">
        <v>46142</v>
      </c>
      <c r="D542" t="inlineStr">
        <is>
          <t>SÖDERMANLANDS LÄN</t>
        </is>
      </c>
      <c r="E542" t="inlineStr">
        <is>
          <t>KATRINEHOLM</t>
        </is>
      </c>
      <c r="G542" t="n">
        <v>1</v>
      </c>
      <c r="H542" t="n">
        <v>0</v>
      </c>
      <c r="I542" t="n">
        <v>0</v>
      </c>
      <c r="J542" t="n">
        <v>0</v>
      </c>
      <c r="K542" t="n">
        <v>0</v>
      </c>
      <c r="L542" t="n">
        <v>0</v>
      </c>
      <c r="M542" t="n">
        <v>0</v>
      </c>
      <c r="N542" t="n">
        <v>0</v>
      </c>
      <c r="O542" t="n">
        <v>0</v>
      </c>
      <c r="P542" t="n">
        <v>0</v>
      </c>
      <c r="Q542" t="n">
        <v>0</v>
      </c>
      <c r="R542" s="2" t="inlineStr"/>
    </row>
    <row r="543" ht="15" customHeight="1">
      <c r="A543" t="inlineStr">
        <is>
          <t>A 50934-2025</t>
        </is>
      </c>
      <c r="B543" s="1" t="n">
        <v>45946.69195601852</v>
      </c>
      <c r="C543" s="1" t="n">
        <v>46142</v>
      </c>
      <c r="D543" t="inlineStr">
        <is>
          <t>SÖDERMANLANDS LÄN</t>
        </is>
      </c>
      <c r="E543" t="inlineStr">
        <is>
          <t>KATRINEHOLM</t>
        </is>
      </c>
      <c r="G543" t="n">
        <v>2</v>
      </c>
      <c r="H543" t="n">
        <v>0</v>
      </c>
      <c r="I543" t="n">
        <v>0</v>
      </c>
      <c r="J543" t="n">
        <v>0</v>
      </c>
      <c r="K543" t="n">
        <v>0</v>
      </c>
      <c r="L543" t="n">
        <v>0</v>
      </c>
      <c r="M543" t="n">
        <v>0</v>
      </c>
      <c r="N543" t="n">
        <v>0</v>
      </c>
      <c r="O543" t="n">
        <v>0</v>
      </c>
      <c r="P543" t="n">
        <v>0</v>
      </c>
      <c r="Q543" t="n">
        <v>0</v>
      </c>
      <c r="R543" s="2" t="inlineStr"/>
    </row>
    <row r="544" ht="15" customHeight="1">
      <c r="A544" t="inlineStr">
        <is>
          <t>A 36832-2023</t>
        </is>
      </c>
      <c r="B544" s="1" t="n">
        <v>45153</v>
      </c>
      <c r="C544" s="1" t="n">
        <v>46142</v>
      </c>
      <c r="D544" t="inlineStr">
        <is>
          <t>SÖDERMANLANDS LÄN</t>
        </is>
      </c>
      <c r="E544" t="inlineStr">
        <is>
          <t>KATRINEHOLM</t>
        </is>
      </c>
      <c r="F544" t="inlineStr">
        <is>
          <t>Övriga Aktiebolag</t>
        </is>
      </c>
      <c r="G544" t="n">
        <v>9</v>
      </c>
      <c r="H544" t="n">
        <v>0</v>
      </c>
      <c r="I544" t="n">
        <v>0</v>
      </c>
      <c r="J544" t="n">
        <v>0</v>
      </c>
      <c r="K544" t="n">
        <v>0</v>
      </c>
      <c r="L544" t="n">
        <v>0</v>
      </c>
      <c r="M544" t="n">
        <v>0</v>
      </c>
      <c r="N544" t="n">
        <v>0</v>
      </c>
      <c r="O544" t="n">
        <v>0</v>
      </c>
      <c r="P544" t="n">
        <v>0</v>
      </c>
      <c r="Q544" t="n">
        <v>0</v>
      </c>
      <c r="R544" s="2" t="inlineStr"/>
    </row>
    <row r="545" ht="15" customHeight="1">
      <c r="A545" t="inlineStr">
        <is>
          <t>A 28931-2024</t>
        </is>
      </c>
      <c r="B545" s="1" t="n">
        <v>45479</v>
      </c>
      <c r="C545" s="1" t="n">
        <v>46142</v>
      </c>
      <c r="D545" t="inlineStr">
        <is>
          <t>SÖDERMANLANDS LÄN</t>
        </is>
      </c>
      <c r="E545" t="inlineStr">
        <is>
          <t>KATRINEHOLM</t>
        </is>
      </c>
      <c r="G545" t="n">
        <v>7.4</v>
      </c>
      <c r="H545" t="n">
        <v>0</v>
      </c>
      <c r="I545" t="n">
        <v>0</v>
      </c>
      <c r="J545" t="n">
        <v>0</v>
      </c>
      <c r="K545" t="n">
        <v>0</v>
      </c>
      <c r="L545" t="n">
        <v>0</v>
      </c>
      <c r="M545" t="n">
        <v>0</v>
      </c>
      <c r="N545" t="n">
        <v>0</v>
      </c>
      <c r="O545" t="n">
        <v>0</v>
      </c>
      <c r="P545" t="n">
        <v>0</v>
      </c>
      <c r="Q545" t="n">
        <v>0</v>
      </c>
      <c r="R545" s="2" t="inlineStr"/>
    </row>
    <row r="546" ht="15" customHeight="1">
      <c r="A546" t="inlineStr">
        <is>
          <t>A 6810-2023</t>
        </is>
      </c>
      <c r="B546" s="1" t="n">
        <v>44964</v>
      </c>
      <c r="C546" s="1" t="n">
        <v>46142</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32944-2023</t>
        </is>
      </c>
      <c r="B547" s="1" t="n">
        <v>45125</v>
      </c>
      <c r="C547" s="1" t="n">
        <v>46142</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29977-2023</t>
        </is>
      </c>
      <c r="B548" s="1" t="n">
        <v>45108</v>
      </c>
      <c r="C548" s="1" t="n">
        <v>46142</v>
      </c>
      <c r="D548" t="inlineStr">
        <is>
          <t>SÖDERMANLANDS LÄN</t>
        </is>
      </c>
      <c r="E548" t="inlineStr">
        <is>
          <t>KATRINEHOLM</t>
        </is>
      </c>
      <c r="G548" t="n">
        <v>2.4</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44596.54990740741</v>
      </c>
      <c r="C549" s="1" t="n">
        <v>46142</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20803-2024</t>
        </is>
      </c>
      <c r="B550" s="1" t="n">
        <v>45438</v>
      </c>
      <c r="C550" s="1" t="n">
        <v>46142</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46142</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51367-2025</t>
        </is>
      </c>
      <c r="B552" s="1" t="n">
        <v>45950.44700231482</v>
      </c>
      <c r="C552" s="1" t="n">
        <v>46142</v>
      </c>
      <c r="D552" t="inlineStr">
        <is>
          <t>SÖDERMANLANDS LÄN</t>
        </is>
      </c>
      <c r="E552" t="inlineStr">
        <is>
          <t>KATRINEHOLM</t>
        </is>
      </c>
      <c r="G552" t="n">
        <v>2.7</v>
      </c>
      <c r="H552" t="n">
        <v>0</v>
      </c>
      <c r="I552" t="n">
        <v>0</v>
      </c>
      <c r="J552" t="n">
        <v>0</v>
      </c>
      <c r="K552" t="n">
        <v>0</v>
      </c>
      <c r="L552" t="n">
        <v>0</v>
      </c>
      <c r="M552" t="n">
        <v>0</v>
      </c>
      <c r="N552" t="n">
        <v>0</v>
      </c>
      <c r="O552" t="n">
        <v>0</v>
      </c>
      <c r="P552" t="n">
        <v>0</v>
      </c>
      <c r="Q552" t="n">
        <v>0</v>
      </c>
      <c r="R552" s="2" t="inlineStr"/>
    </row>
    <row r="553" ht="15" customHeight="1">
      <c r="A553" t="inlineStr">
        <is>
          <t>A 3075-2022</t>
        </is>
      </c>
      <c r="B553" s="1" t="n">
        <v>44582</v>
      </c>
      <c r="C553" s="1" t="n">
        <v>46142</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73409-2021</t>
        </is>
      </c>
      <c r="B554" s="1" t="n">
        <v>44551</v>
      </c>
      <c r="C554" s="1" t="n">
        <v>46142</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73415-2021</t>
        </is>
      </c>
      <c r="B555" s="1" t="n">
        <v>44551</v>
      </c>
      <c r="C555" s="1" t="n">
        <v>46142</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51780-2025</t>
        </is>
      </c>
      <c r="B556" s="1" t="n">
        <v>45951.65725694445</v>
      </c>
      <c r="C556" s="1" t="n">
        <v>46142</v>
      </c>
      <c r="D556" t="inlineStr">
        <is>
          <t>SÖDERMANLANDS LÄN</t>
        </is>
      </c>
      <c r="E556" t="inlineStr">
        <is>
          <t>KATRINEHOLM</t>
        </is>
      </c>
      <c r="F556" t="inlineStr">
        <is>
          <t>Allmännings- och besparingsskogar</t>
        </is>
      </c>
      <c r="G556" t="n">
        <v>1.3</v>
      </c>
      <c r="H556" t="n">
        <v>0</v>
      </c>
      <c r="I556" t="n">
        <v>0</v>
      </c>
      <c r="J556" t="n">
        <v>0</v>
      </c>
      <c r="K556" t="n">
        <v>0</v>
      </c>
      <c r="L556" t="n">
        <v>0</v>
      </c>
      <c r="M556" t="n">
        <v>0</v>
      </c>
      <c r="N556" t="n">
        <v>0</v>
      </c>
      <c r="O556" t="n">
        <v>0</v>
      </c>
      <c r="P556" t="n">
        <v>0</v>
      </c>
      <c r="Q556" t="n">
        <v>0</v>
      </c>
      <c r="R556" s="2" t="inlineStr"/>
    </row>
    <row r="557" ht="15" customHeight="1">
      <c r="A557" t="inlineStr">
        <is>
          <t>A 8087-2022</t>
        </is>
      </c>
      <c r="B557" s="1" t="n">
        <v>44609.53502314815</v>
      </c>
      <c r="C557" s="1" t="n">
        <v>46142</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51774-2025</t>
        </is>
      </c>
      <c r="B558" s="1" t="n">
        <v>45951.65359953704</v>
      </c>
      <c r="C558" s="1" t="n">
        <v>46142</v>
      </c>
      <c r="D558" t="inlineStr">
        <is>
          <t>SÖDERMANLANDS LÄN</t>
        </is>
      </c>
      <c r="E558" t="inlineStr">
        <is>
          <t>KATRINEHOLM</t>
        </is>
      </c>
      <c r="F558" t="inlineStr">
        <is>
          <t>Allmännings- och besparingsskogar</t>
        </is>
      </c>
      <c r="G558" t="n">
        <v>3.7</v>
      </c>
      <c r="H558" t="n">
        <v>0</v>
      </c>
      <c r="I558" t="n">
        <v>0</v>
      </c>
      <c r="J558" t="n">
        <v>0</v>
      </c>
      <c r="K558" t="n">
        <v>0</v>
      </c>
      <c r="L558" t="n">
        <v>0</v>
      </c>
      <c r="M558" t="n">
        <v>0</v>
      </c>
      <c r="N558" t="n">
        <v>0</v>
      </c>
      <c r="O558" t="n">
        <v>0</v>
      </c>
      <c r="P558" t="n">
        <v>0</v>
      </c>
      <c r="Q558" t="n">
        <v>0</v>
      </c>
      <c r="R558" s="2" t="inlineStr"/>
    </row>
    <row r="559" ht="15" customHeight="1">
      <c r="A559" t="inlineStr">
        <is>
          <t>A 51783-2025</t>
        </is>
      </c>
      <c r="B559" s="1" t="n">
        <v>45951.67546296296</v>
      </c>
      <c r="C559" s="1" t="n">
        <v>46142</v>
      </c>
      <c r="D559" t="inlineStr">
        <is>
          <t>SÖDERMANLANDS LÄN</t>
        </is>
      </c>
      <c r="E559" t="inlineStr">
        <is>
          <t>KATRINEHOLM</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50935-2023</t>
        </is>
      </c>
      <c r="B560" s="1" t="n">
        <v>45211</v>
      </c>
      <c r="C560" s="1" t="n">
        <v>46142</v>
      </c>
      <c r="D560" t="inlineStr">
        <is>
          <t>SÖDERMANLANDS LÄN</t>
        </is>
      </c>
      <c r="E560" t="inlineStr">
        <is>
          <t>KATRINEHOLM</t>
        </is>
      </c>
      <c r="G560" t="n">
        <v>0.7</v>
      </c>
      <c r="H560" t="n">
        <v>0</v>
      </c>
      <c r="I560" t="n">
        <v>0</v>
      </c>
      <c r="J560" t="n">
        <v>0</v>
      </c>
      <c r="K560" t="n">
        <v>0</v>
      </c>
      <c r="L560" t="n">
        <v>0</v>
      </c>
      <c r="M560" t="n">
        <v>0</v>
      </c>
      <c r="N560" t="n">
        <v>0</v>
      </c>
      <c r="O560" t="n">
        <v>0</v>
      </c>
      <c r="P560" t="n">
        <v>0</v>
      </c>
      <c r="Q560" t="n">
        <v>0</v>
      </c>
      <c r="R560" s="2" t="inlineStr"/>
    </row>
    <row r="561" ht="15" customHeight="1">
      <c r="A561" t="inlineStr">
        <is>
          <t>A 6298-2024</t>
        </is>
      </c>
      <c r="B561" s="1" t="n">
        <v>45338.34245370371</v>
      </c>
      <c r="C561" s="1" t="n">
        <v>46142</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33001-2024</t>
        </is>
      </c>
      <c r="B562" s="1" t="n">
        <v>45517</v>
      </c>
      <c r="C562" s="1" t="n">
        <v>46142</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52242-2025</t>
        </is>
      </c>
      <c r="B563" s="1" t="n">
        <v>45953.46886574074</v>
      </c>
      <c r="C563" s="1" t="n">
        <v>46142</v>
      </c>
      <c r="D563" t="inlineStr">
        <is>
          <t>SÖDERMANLANDS LÄN</t>
        </is>
      </c>
      <c r="E563" t="inlineStr">
        <is>
          <t>KATRINEHOLM</t>
        </is>
      </c>
      <c r="G563" t="n">
        <v>5.3</v>
      </c>
      <c r="H563" t="n">
        <v>0</v>
      </c>
      <c r="I563" t="n">
        <v>0</v>
      </c>
      <c r="J563" t="n">
        <v>0</v>
      </c>
      <c r="K563" t="n">
        <v>0</v>
      </c>
      <c r="L563" t="n">
        <v>0</v>
      </c>
      <c r="M563" t="n">
        <v>0</v>
      </c>
      <c r="N563" t="n">
        <v>0</v>
      </c>
      <c r="O563" t="n">
        <v>0</v>
      </c>
      <c r="P563" t="n">
        <v>0</v>
      </c>
      <c r="Q563" t="n">
        <v>0</v>
      </c>
      <c r="R563" s="2" t="inlineStr"/>
    </row>
    <row r="564" ht="15" customHeight="1">
      <c r="A564" t="inlineStr">
        <is>
          <t>A 52239-2025</t>
        </is>
      </c>
      <c r="B564" s="1" t="n">
        <v>45953.46193287037</v>
      </c>
      <c r="C564" s="1" t="n">
        <v>46142</v>
      </c>
      <c r="D564" t="inlineStr">
        <is>
          <t>SÖDERMANLANDS LÄN</t>
        </is>
      </c>
      <c r="E564" t="inlineStr">
        <is>
          <t>KATRINEHOLM</t>
        </is>
      </c>
      <c r="G564" t="n">
        <v>0.7</v>
      </c>
      <c r="H564" t="n">
        <v>0</v>
      </c>
      <c r="I564" t="n">
        <v>0</v>
      </c>
      <c r="J564" t="n">
        <v>0</v>
      </c>
      <c r="K564" t="n">
        <v>0</v>
      </c>
      <c r="L564" t="n">
        <v>0</v>
      </c>
      <c r="M564" t="n">
        <v>0</v>
      </c>
      <c r="N564" t="n">
        <v>0</v>
      </c>
      <c r="O564" t="n">
        <v>0</v>
      </c>
      <c r="P564" t="n">
        <v>0</v>
      </c>
      <c r="Q564" t="n">
        <v>0</v>
      </c>
      <c r="R564" s="2" t="inlineStr"/>
    </row>
    <row r="565" ht="15" customHeight="1">
      <c r="A565" t="inlineStr">
        <is>
          <t>A 52244-2025</t>
        </is>
      </c>
      <c r="B565" s="1" t="n">
        <v>45953</v>
      </c>
      <c r="C565" s="1" t="n">
        <v>46142</v>
      </c>
      <c r="D565" t="inlineStr">
        <is>
          <t>SÖDERMANLANDS LÄN</t>
        </is>
      </c>
      <c r="E565" t="inlineStr">
        <is>
          <t>KATRINEHOLM</t>
        </is>
      </c>
      <c r="G565" t="n">
        <v>1.3</v>
      </c>
      <c r="H565" t="n">
        <v>0</v>
      </c>
      <c r="I565" t="n">
        <v>0</v>
      </c>
      <c r="J565" t="n">
        <v>0</v>
      </c>
      <c r="K565" t="n">
        <v>0</v>
      </c>
      <c r="L565" t="n">
        <v>0</v>
      </c>
      <c r="M565" t="n">
        <v>0</v>
      </c>
      <c r="N565" t="n">
        <v>0</v>
      </c>
      <c r="O565" t="n">
        <v>0</v>
      </c>
      <c r="P565" t="n">
        <v>0</v>
      </c>
      <c r="Q565" t="n">
        <v>0</v>
      </c>
      <c r="R565" s="2" t="inlineStr"/>
    </row>
    <row r="566" ht="15" customHeight="1">
      <c r="A566" t="inlineStr">
        <is>
          <t>A 58175-2024</t>
        </is>
      </c>
      <c r="B566" s="1" t="n">
        <v>45632.46648148148</v>
      </c>
      <c r="C566" s="1" t="n">
        <v>46142</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53715-2023</t>
        </is>
      </c>
      <c r="B567" s="1" t="n">
        <v>45230</v>
      </c>
      <c r="C567" s="1" t="n">
        <v>46142</v>
      </c>
      <c r="D567" t="inlineStr">
        <is>
          <t>SÖDERMANLANDS LÄN</t>
        </is>
      </c>
      <c r="E567" t="inlineStr">
        <is>
          <t>KATRINEHOLM</t>
        </is>
      </c>
      <c r="F567" t="inlineStr">
        <is>
          <t>Allmännings- och besparingsskogar</t>
        </is>
      </c>
      <c r="G567" t="n">
        <v>5.6</v>
      </c>
      <c r="H567" t="n">
        <v>0</v>
      </c>
      <c r="I567" t="n">
        <v>0</v>
      </c>
      <c r="J567" t="n">
        <v>0</v>
      </c>
      <c r="K567" t="n">
        <v>0</v>
      </c>
      <c r="L567" t="n">
        <v>0</v>
      </c>
      <c r="M567" t="n">
        <v>0</v>
      </c>
      <c r="N567" t="n">
        <v>0</v>
      </c>
      <c r="O567" t="n">
        <v>0</v>
      </c>
      <c r="P567" t="n">
        <v>0</v>
      </c>
      <c r="Q567" t="n">
        <v>0</v>
      </c>
      <c r="R567" s="2" t="inlineStr"/>
    </row>
    <row r="568" ht="15" customHeight="1">
      <c r="A568" t="inlineStr">
        <is>
          <t>A 23705-2023</t>
        </is>
      </c>
      <c r="B568" s="1" t="n">
        <v>45077</v>
      </c>
      <c r="C568" s="1" t="n">
        <v>46142</v>
      </c>
      <c r="D568" t="inlineStr">
        <is>
          <t>SÖDERMANLANDS LÄN</t>
        </is>
      </c>
      <c r="E568" t="inlineStr">
        <is>
          <t>KATRINEHOLM</t>
        </is>
      </c>
      <c r="F568" t="inlineStr">
        <is>
          <t>Kyrkan</t>
        </is>
      </c>
      <c r="G568" t="n">
        <v>11.9</v>
      </c>
      <c r="H568" t="n">
        <v>0</v>
      </c>
      <c r="I568" t="n">
        <v>0</v>
      </c>
      <c r="J568" t="n">
        <v>0</v>
      </c>
      <c r="K568" t="n">
        <v>0</v>
      </c>
      <c r="L568" t="n">
        <v>0</v>
      </c>
      <c r="M568" t="n">
        <v>0</v>
      </c>
      <c r="N568" t="n">
        <v>0</v>
      </c>
      <c r="O568" t="n">
        <v>0</v>
      </c>
      <c r="P568" t="n">
        <v>0</v>
      </c>
      <c r="Q568" t="n">
        <v>0</v>
      </c>
      <c r="R568" s="2" t="inlineStr"/>
    </row>
    <row r="569" ht="15" customHeight="1">
      <c r="A569" t="inlineStr">
        <is>
          <t>A 52744-2025</t>
        </is>
      </c>
      <c r="B569" s="1" t="n">
        <v>45957.38387731482</v>
      </c>
      <c r="C569" s="1" t="n">
        <v>46142</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39120-2023</t>
        </is>
      </c>
      <c r="B570" s="1" t="n">
        <v>45165</v>
      </c>
      <c r="C570" s="1" t="n">
        <v>46142</v>
      </c>
      <c r="D570" t="inlineStr">
        <is>
          <t>SÖDERMANLANDS LÄN</t>
        </is>
      </c>
      <c r="E570" t="inlineStr">
        <is>
          <t>KATRINEHOLM</t>
        </is>
      </c>
      <c r="G570" t="n">
        <v>4.4</v>
      </c>
      <c r="H570" t="n">
        <v>0</v>
      </c>
      <c r="I570" t="n">
        <v>0</v>
      </c>
      <c r="J570" t="n">
        <v>0</v>
      </c>
      <c r="K570" t="n">
        <v>0</v>
      </c>
      <c r="L570" t="n">
        <v>0</v>
      </c>
      <c r="M570" t="n">
        <v>0</v>
      </c>
      <c r="N570" t="n">
        <v>0</v>
      </c>
      <c r="O570" t="n">
        <v>0</v>
      </c>
      <c r="P570" t="n">
        <v>0</v>
      </c>
      <c r="Q570" t="n">
        <v>0</v>
      </c>
      <c r="R570" s="2" t="inlineStr"/>
    </row>
    <row r="571" ht="15" customHeight="1">
      <c r="A571" t="inlineStr">
        <is>
          <t>A 53338-2025</t>
        </is>
      </c>
      <c r="B571" s="1" t="n">
        <v>45959.40447916667</v>
      </c>
      <c r="C571" s="1" t="n">
        <v>46142</v>
      </c>
      <c r="D571" t="inlineStr">
        <is>
          <t>SÖDERMANLANDS LÄN</t>
        </is>
      </c>
      <c r="E571" t="inlineStr">
        <is>
          <t>KATRINEHOLM</t>
        </is>
      </c>
      <c r="G571" t="n">
        <v>2.9</v>
      </c>
      <c r="H571" t="n">
        <v>0</v>
      </c>
      <c r="I571" t="n">
        <v>0</v>
      </c>
      <c r="J571" t="n">
        <v>0</v>
      </c>
      <c r="K571" t="n">
        <v>0</v>
      </c>
      <c r="L571" t="n">
        <v>0</v>
      </c>
      <c r="M571" t="n">
        <v>0</v>
      </c>
      <c r="N571" t="n">
        <v>0</v>
      </c>
      <c r="O571" t="n">
        <v>0</v>
      </c>
      <c r="P571" t="n">
        <v>0</v>
      </c>
      <c r="Q571" t="n">
        <v>0</v>
      </c>
      <c r="R571" s="2" t="inlineStr"/>
    </row>
    <row r="572" ht="15" customHeight="1">
      <c r="A572" t="inlineStr">
        <is>
          <t>A 33469-2025</t>
        </is>
      </c>
      <c r="B572" s="1" t="n">
        <v>45841.48686342593</v>
      </c>
      <c r="C572" s="1" t="n">
        <v>46142</v>
      </c>
      <c r="D572" t="inlineStr">
        <is>
          <t>SÖDERMANLANDS LÄN</t>
        </is>
      </c>
      <c r="E572" t="inlineStr">
        <is>
          <t>KATRINEHOLM</t>
        </is>
      </c>
      <c r="G572" t="n">
        <v>2.1</v>
      </c>
      <c r="H572" t="n">
        <v>0</v>
      </c>
      <c r="I572" t="n">
        <v>0</v>
      </c>
      <c r="J572" t="n">
        <v>0</v>
      </c>
      <c r="K572" t="n">
        <v>0</v>
      </c>
      <c r="L572" t="n">
        <v>0</v>
      </c>
      <c r="M572" t="n">
        <v>0</v>
      </c>
      <c r="N572" t="n">
        <v>0</v>
      </c>
      <c r="O572" t="n">
        <v>0</v>
      </c>
      <c r="P572" t="n">
        <v>0</v>
      </c>
      <c r="Q572" t="n">
        <v>0</v>
      </c>
      <c r="R572" s="2" t="inlineStr"/>
    </row>
    <row r="573" ht="15" customHeight="1">
      <c r="A573" t="inlineStr">
        <is>
          <t>A 33129-2025</t>
        </is>
      </c>
      <c r="B573" s="1" t="n">
        <v>45840.50141203704</v>
      </c>
      <c r="C573" s="1" t="n">
        <v>46142</v>
      </c>
      <c r="D573" t="inlineStr">
        <is>
          <t>SÖDERMANLANDS LÄN</t>
        </is>
      </c>
      <c r="E573" t="inlineStr">
        <is>
          <t>KATRINEHOLM</t>
        </is>
      </c>
      <c r="G573" t="n">
        <v>2.6</v>
      </c>
      <c r="H573" t="n">
        <v>0</v>
      </c>
      <c r="I573" t="n">
        <v>0</v>
      </c>
      <c r="J573" t="n">
        <v>0</v>
      </c>
      <c r="K573" t="n">
        <v>0</v>
      </c>
      <c r="L573" t="n">
        <v>0</v>
      </c>
      <c r="M573" t="n">
        <v>0</v>
      </c>
      <c r="N573" t="n">
        <v>0</v>
      </c>
      <c r="O573" t="n">
        <v>0</v>
      </c>
      <c r="P573" t="n">
        <v>0</v>
      </c>
      <c r="Q573" t="n">
        <v>0</v>
      </c>
      <c r="R573" s="2" t="inlineStr"/>
    </row>
    <row r="574" ht="15" customHeight="1">
      <c r="A574" t="inlineStr">
        <is>
          <t>A 41548-2025</t>
        </is>
      </c>
      <c r="B574" s="1" t="n">
        <v>45901</v>
      </c>
      <c r="C574" s="1" t="n">
        <v>46142</v>
      </c>
      <c r="D574" t="inlineStr">
        <is>
          <t>SÖDERMANLANDS LÄN</t>
        </is>
      </c>
      <c r="E574" t="inlineStr">
        <is>
          <t>KATRINEHOLM</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33096-2025</t>
        </is>
      </c>
      <c r="B575" s="1" t="n">
        <v>45840.47563657408</v>
      </c>
      <c r="C575" s="1" t="n">
        <v>46142</v>
      </c>
      <c r="D575" t="inlineStr">
        <is>
          <t>SÖDERMANLANDS LÄN</t>
        </is>
      </c>
      <c r="E575" t="inlineStr">
        <is>
          <t>KATRINEHOLM</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33077-2025</t>
        </is>
      </c>
      <c r="B576" s="1" t="n">
        <v>45840.45864583334</v>
      </c>
      <c r="C576" s="1" t="n">
        <v>46142</v>
      </c>
      <c r="D576" t="inlineStr">
        <is>
          <t>SÖDERMANLANDS LÄN</t>
        </is>
      </c>
      <c r="E576" t="inlineStr">
        <is>
          <t>KATRINEHOLM</t>
        </is>
      </c>
      <c r="G576" t="n">
        <v>7</v>
      </c>
      <c r="H576" t="n">
        <v>0</v>
      </c>
      <c r="I576" t="n">
        <v>0</v>
      </c>
      <c r="J576" t="n">
        <v>0</v>
      </c>
      <c r="K576" t="n">
        <v>0</v>
      </c>
      <c r="L576" t="n">
        <v>0</v>
      </c>
      <c r="M576" t="n">
        <v>0</v>
      </c>
      <c r="N576" t="n">
        <v>0</v>
      </c>
      <c r="O576" t="n">
        <v>0</v>
      </c>
      <c r="P576" t="n">
        <v>0</v>
      </c>
      <c r="Q576" t="n">
        <v>0</v>
      </c>
      <c r="R576" s="2" t="inlineStr"/>
    </row>
    <row r="577" ht="15" customHeight="1">
      <c r="A577" t="inlineStr">
        <is>
          <t>A 33101-2025</t>
        </is>
      </c>
      <c r="B577" s="1" t="n">
        <v>45840.47953703703</v>
      </c>
      <c r="C577" s="1" t="n">
        <v>46142</v>
      </c>
      <c r="D577" t="inlineStr">
        <is>
          <t>SÖDERMANLANDS LÄN</t>
        </is>
      </c>
      <c r="E577" t="inlineStr">
        <is>
          <t>KATRINEHOLM</t>
        </is>
      </c>
      <c r="G577" t="n">
        <v>4.4</v>
      </c>
      <c r="H577" t="n">
        <v>0</v>
      </c>
      <c r="I577" t="n">
        <v>0</v>
      </c>
      <c r="J577" t="n">
        <v>0</v>
      </c>
      <c r="K577" t="n">
        <v>0</v>
      </c>
      <c r="L577" t="n">
        <v>0</v>
      </c>
      <c r="M577" t="n">
        <v>0</v>
      </c>
      <c r="N577" t="n">
        <v>0</v>
      </c>
      <c r="O577" t="n">
        <v>0</v>
      </c>
      <c r="P577" t="n">
        <v>0</v>
      </c>
      <c r="Q577" t="n">
        <v>0</v>
      </c>
      <c r="R577" s="2" t="inlineStr"/>
    </row>
    <row r="578" ht="15" customHeight="1">
      <c r="A578" t="inlineStr">
        <is>
          <t>A 54359-2025</t>
        </is>
      </c>
      <c r="B578" s="1" t="n">
        <v>45964</v>
      </c>
      <c r="C578" s="1" t="n">
        <v>46142</v>
      </c>
      <c r="D578" t="inlineStr">
        <is>
          <t>SÖDERMANLANDS LÄN</t>
        </is>
      </c>
      <c r="E578" t="inlineStr">
        <is>
          <t>KATRINEHOLM</t>
        </is>
      </c>
      <c r="G578" t="n">
        <v>2.5</v>
      </c>
      <c r="H578" t="n">
        <v>0</v>
      </c>
      <c r="I578" t="n">
        <v>0</v>
      </c>
      <c r="J578" t="n">
        <v>0</v>
      </c>
      <c r="K578" t="n">
        <v>0</v>
      </c>
      <c r="L578" t="n">
        <v>0</v>
      </c>
      <c r="M578" t="n">
        <v>0</v>
      </c>
      <c r="N578" t="n">
        <v>0</v>
      </c>
      <c r="O578" t="n">
        <v>0</v>
      </c>
      <c r="P578" t="n">
        <v>0</v>
      </c>
      <c r="Q578" t="n">
        <v>0</v>
      </c>
      <c r="R578" s="2" t="inlineStr"/>
    </row>
    <row r="579" ht="15" customHeight="1">
      <c r="A579" t="inlineStr">
        <is>
          <t>A 54395-2025</t>
        </is>
      </c>
      <c r="B579" s="1" t="n">
        <v>45964</v>
      </c>
      <c r="C579" s="1" t="n">
        <v>46142</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51397-2023</t>
        </is>
      </c>
      <c r="B580" s="1" t="n">
        <v>45214</v>
      </c>
      <c r="C580" s="1" t="n">
        <v>46142</v>
      </c>
      <c r="D580" t="inlineStr">
        <is>
          <t>SÖDERMANLANDS LÄN</t>
        </is>
      </c>
      <c r="E580" t="inlineStr">
        <is>
          <t>KATRINEHOLM</t>
        </is>
      </c>
      <c r="G580" t="n">
        <v>4.9</v>
      </c>
      <c r="H580" t="n">
        <v>0</v>
      </c>
      <c r="I580" t="n">
        <v>0</v>
      </c>
      <c r="J580" t="n">
        <v>0</v>
      </c>
      <c r="K580" t="n">
        <v>0</v>
      </c>
      <c r="L580" t="n">
        <v>0</v>
      </c>
      <c r="M580" t="n">
        <v>0</v>
      </c>
      <c r="N580" t="n">
        <v>0</v>
      </c>
      <c r="O580" t="n">
        <v>0</v>
      </c>
      <c r="P580" t="n">
        <v>0</v>
      </c>
      <c r="Q580" t="n">
        <v>0</v>
      </c>
      <c r="R580" s="2" t="inlineStr"/>
    </row>
    <row r="581" ht="15" customHeight="1">
      <c r="A581" t="inlineStr">
        <is>
          <t>A 19452-2023</t>
        </is>
      </c>
      <c r="B581" s="1" t="n">
        <v>45050</v>
      </c>
      <c r="C581" s="1" t="n">
        <v>46142</v>
      </c>
      <c r="D581" t="inlineStr">
        <is>
          <t>SÖDERMANLANDS LÄN</t>
        </is>
      </c>
      <c r="E581" t="inlineStr">
        <is>
          <t>KATRINEHOLM</t>
        </is>
      </c>
      <c r="F581" t="inlineStr">
        <is>
          <t>Holmen skog AB</t>
        </is>
      </c>
      <c r="G581" t="n">
        <v>4.7</v>
      </c>
      <c r="H581" t="n">
        <v>0</v>
      </c>
      <c r="I581" t="n">
        <v>0</v>
      </c>
      <c r="J581" t="n">
        <v>0</v>
      </c>
      <c r="K581" t="n">
        <v>0</v>
      </c>
      <c r="L581" t="n">
        <v>0</v>
      </c>
      <c r="M581" t="n">
        <v>0</v>
      </c>
      <c r="N581" t="n">
        <v>0</v>
      </c>
      <c r="O581" t="n">
        <v>0</v>
      </c>
      <c r="P581" t="n">
        <v>0</v>
      </c>
      <c r="Q581" t="n">
        <v>0</v>
      </c>
      <c r="R581" s="2" t="inlineStr"/>
    </row>
    <row r="582" ht="15" customHeight="1">
      <c r="A582" t="inlineStr">
        <is>
          <t>A 52658-2023</t>
        </is>
      </c>
      <c r="B582" s="1" t="n">
        <v>45225</v>
      </c>
      <c r="C582" s="1" t="n">
        <v>46142</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55029-2025</t>
        </is>
      </c>
      <c r="B583" s="1" t="n">
        <v>45967.63784722222</v>
      </c>
      <c r="C583" s="1" t="n">
        <v>46142</v>
      </c>
      <c r="D583" t="inlineStr">
        <is>
          <t>SÖDERMANLANDS LÄN</t>
        </is>
      </c>
      <c r="E583" t="inlineStr">
        <is>
          <t>KATRINEHOLM</t>
        </is>
      </c>
      <c r="G583" t="n">
        <v>10.1</v>
      </c>
      <c r="H583" t="n">
        <v>0</v>
      </c>
      <c r="I583" t="n">
        <v>0</v>
      </c>
      <c r="J583" t="n">
        <v>0</v>
      </c>
      <c r="K583" t="n">
        <v>0</v>
      </c>
      <c r="L583" t="n">
        <v>0</v>
      </c>
      <c r="M583" t="n">
        <v>0</v>
      </c>
      <c r="N583" t="n">
        <v>0</v>
      </c>
      <c r="O583" t="n">
        <v>0</v>
      </c>
      <c r="P583" t="n">
        <v>0</v>
      </c>
      <c r="Q583" t="n">
        <v>0</v>
      </c>
      <c r="R583" s="2" t="inlineStr"/>
    </row>
    <row r="584" ht="15" customHeight="1">
      <c r="A584" t="inlineStr">
        <is>
          <t>A 5320-2025</t>
        </is>
      </c>
      <c r="B584" s="1" t="n">
        <v>45692</v>
      </c>
      <c r="C584" s="1" t="n">
        <v>46142</v>
      </c>
      <c r="D584" t="inlineStr">
        <is>
          <t>SÖDERMANLANDS LÄN</t>
        </is>
      </c>
      <c r="E584" t="inlineStr">
        <is>
          <t>KATRINEHOLM</t>
        </is>
      </c>
      <c r="F584" t="inlineStr">
        <is>
          <t>Kommuner</t>
        </is>
      </c>
      <c r="G584" t="n">
        <v>0.9</v>
      </c>
      <c r="H584" t="n">
        <v>0</v>
      </c>
      <c r="I584" t="n">
        <v>0</v>
      </c>
      <c r="J584" t="n">
        <v>0</v>
      </c>
      <c r="K584" t="n">
        <v>0</v>
      </c>
      <c r="L584" t="n">
        <v>0</v>
      </c>
      <c r="M584" t="n">
        <v>0</v>
      </c>
      <c r="N584" t="n">
        <v>0</v>
      </c>
      <c r="O584" t="n">
        <v>0</v>
      </c>
      <c r="P584" t="n">
        <v>0</v>
      </c>
      <c r="Q584" t="n">
        <v>0</v>
      </c>
      <c r="R584" s="2" t="inlineStr"/>
    </row>
    <row r="585" ht="15" customHeight="1">
      <c r="A585" t="inlineStr">
        <is>
          <t>A 54999-2025</t>
        </is>
      </c>
      <c r="B585" s="1" t="n">
        <v>45967.59880787037</v>
      </c>
      <c r="C585" s="1" t="n">
        <v>46142</v>
      </c>
      <c r="D585" t="inlineStr">
        <is>
          <t>SÖDERMANLANDS LÄN</t>
        </is>
      </c>
      <c r="E585" t="inlineStr">
        <is>
          <t>KATRINEHOLM</t>
        </is>
      </c>
      <c r="G585" t="n">
        <v>8.5</v>
      </c>
      <c r="H585" t="n">
        <v>0</v>
      </c>
      <c r="I585" t="n">
        <v>0</v>
      </c>
      <c r="J585" t="n">
        <v>0</v>
      </c>
      <c r="K585" t="n">
        <v>0</v>
      </c>
      <c r="L585" t="n">
        <v>0</v>
      </c>
      <c r="M585" t="n">
        <v>0</v>
      </c>
      <c r="N585" t="n">
        <v>0</v>
      </c>
      <c r="O585" t="n">
        <v>0</v>
      </c>
      <c r="P585" t="n">
        <v>0</v>
      </c>
      <c r="Q585" t="n">
        <v>0</v>
      </c>
      <c r="R585" s="2" t="inlineStr"/>
    </row>
    <row r="586" ht="15" customHeight="1">
      <c r="A586" t="inlineStr">
        <is>
          <t>A 2606-2025</t>
        </is>
      </c>
      <c r="B586" s="1" t="n">
        <v>45674</v>
      </c>
      <c r="C586" s="1" t="n">
        <v>46142</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39748-2022</t>
        </is>
      </c>
      <c r="B587" s="1" t="n">
        <v>44817</v>
      </c>
      <c r="C587" s="1" t="n">
        <v>46142</v>
      </c>
      <c r="D587" t="inlineStr">
        <is>
          <t>SÖDERMANLANDS LÄN</t>
        </is>
      </c>
      <c r="E587" t="inlineStr">
        <is>
          <t>KATRINEHOLM</t>
        </is>
      </c>
      <c r="G587" t="n">
        <v>10.2</v>
      </c>
      <c r="H587" t="n">
        <v>0</v>
      </c>
      <c r="I587" t="n">
        <v>0</v>
      </c>
      <c r="J587" t="n">
        <v>0</v>
      </c>
      <c r="K587" t="n">
        <v>0</v>
      </c>
      <c r="L587" t="n">
        <v>0</v>
      </c>
      <c r="M587" t="n">
        <v>0</v>
      </c>
      <c r="N587" t="n">
        <v>0</v>
      </c>
      <c r="O587" t="n">
        <v>0</v>
      </c>
      <c r="P587" t="n">
        <v>0</v>
      </c>
      <c r="Q587" t="n">
        <v>0</v>
      </c>
      <c r="R587" s="2" t="inlineStr"/>
    </row>
    <row r="588" ht="15" customHeight="1">
      <c r="A588" t="inlineStr">
        <is>
          <t>A 34731-2023</t>
        </is>
      </c>
      <c r="B588" s="1" t="n">
        <v>45141</v>
      </c>
      <c r="C588" s="1" t="n">
        <v>46142</v>
      </c>
      <c r="D588" t="inlineStr">
        <is>
          <t>SÖDERMANLANDS LÄN</t>
        </is>
      </c>
      <c r="E588" t="inlineStr">
        <is>
          <t>KATRINEHOLM</t>
        </is>
      </c>
      <c r="G588" t="n">
        <v>1.5</v>
      </c>
      <c r="H588" t="n">
        <v>0</v>
      </c>
      <c r="I588" t="n">
        <v>0</v>
      </c>
      <c r="J588" t="n">
        <v>0</v>
      </c>
      <c r="K588" t="n">
        <v>0</v>
      </c>
      <c r="L588" t="n">
        <v>0</v>
      </c>
      <c r="M588" t="n">
        <v>0</v>
      </c>
      <c r="N588" t="n">
        <v>0</v>
      </c>
      <c r="O588" t="n">
        <v>0</v>
      </c>
      <c r="P588" t="n">
        <v>0</v>
      </c>
      <c r="Q588" t="n">
        <v>0</v>
      </c>
      <c r="R588" s="2" t="inlineStr"/>
    </row>
    <row r="589" ht="15" customHeight="1">
      <c r="A589" t="inlineStr">
        <is>
          <t>A 34739-2023</t>
        </is>
      </c>
      <c r="B589" s="1" t="n">
        <v>45141</v>
      </c>
      <c r="C589" s="1" t="n">
        <v>46142</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20480-2022</t>
        </is>
      </c>
      <c r="B590" s="1" t="n">
        <v>44699</v>
      </c>
      <c r="C590" s="1" t="n">
        <v>46142</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50017-2023</t>
        </is>
      </c>
      <c r="B591" s="1" t="n">
        <v>45215</v>
      </c>
      <c r="C591" s="1" t="n">
        <v>46142</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50018-2023</t>
        </is>
      </c>
      <c r="B592" s="1" t="n">
        <v>45215</v>
      </c>
      <c r="C592" s="1" t="n">
        <v>46142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28508-2023</t>
        </is>
      </c>
      <c r="B593" s="1" t="n">
        <v>45103.46788194445</v>
      </c>
      <c r="C593" s="1" t="n">
        <v>46142</v>
      </c>
      <c r="D593" t="inlineStr">
        <is>
          <t>SÖDERMANLANDS LÄN</t>
        </is>
      </c>
      <c r="E593" t="inlineStr">
        <is>
          <t>KATRINEHOLM</t>
        </is>
      </c>
      <c r="F593" t="inlineStr">
        <is>
          <t>Kyrkan</t>
        </is>
      </c>
      <c r="G593" t="n">
        <v>20.5</v>
      </c>
      <c r="H593" t="n">
        <v>0</v>
      </c>
      <c r="I593" t="n">
        <v>0</v>
      </c>
      <c r="J593" t="n">
        <v>0</v>
      </c>
      <c r="K593" t="n">
        <v>0</v>
      </c>
      <c r="L593" t="n">
        <v>0</v>
      </c>
      <c r="M593" t="n">
        <v>0</v>
      </c>
      <c r="N593" t="n">
        <v>0</v>
      </c>
      <c r="O593" t="n">
        <v>0</v>
      </c>
      <c r="P593" t="n">
        <v>0</v>
      </c>
      <c r="Q593" t="n">
        <v>0</v>
      </c>
      <c r="R593" s="2" t="inlineStr"/>
    </row>
    <row r="594" ht="15" customHeight="1">
      <c r="A594" t="inlineStr">
        <is>
          <t>A 46075-2023</t>
        </is>
      </c>
      <c r="B594" s="1" t="n">
        <v>45196</v>
      </c>
      <c r="C594" s="1" t="n">
        <v>46142</v>
      </c>
      <c r="D594" t="inlineStr">
        <is>
          <t>SÖDERMANLANDS LÄN</t>
        </is>
      </c>
      <c r="E594" t="inlineStr">
        <is>
          <t>KATRINEHOLM</t>
        </is>
      </c>
      <c r="F594" t="inlineStr">
        <is>
          <t>Övriga Aktiebolag</t>
        </is>
      </c>
      <c r="G594" t="n">
        <v>9.5</v>
      </c>
      <c r="H594" t="n">
        <v>0</v>
      </c>
      <c r="I594" t="n">
        <v>0</v>
      </c>
      <c r="J594" t="n">
        <v>0</v>
      </c>
      <c r="K594" t="n">
        <v>0</v>
      </c>
      <c r="L594" t="n">
        <v>0</v>
      </c>
      <c r="M594" t="n">
        <v>0</v>
      </c>
      <c r="N594" t="n">
        <v>0</v>
      </c>
      <c r="O594" t="n">
        <v>0</v>
      </c>
      <c r="P594" t="n">
        <v>0</v>
      </c>
      <c r="Q594" t="n">
        <v>0</v>
      </c>
      <c r="R594" s="2" t="inlineStr"/>
    </row>
    <row r="595" ht="15" customHeight="1">
      <c r="A595" t="inlineStr">
        <is>
          <t>A 25823-2023</t>
        </is>
      </c>
      <c r="B595" s="1" t="n">
        <v>45090.55078703703</v>
      </c>
      <c r="C595" s="1" t="n">
        <v>46142</v>
      </c>
      <c r="D595" t="inlineStr">
        <is>
          <t>SÖDERMANLANDS LÄN</t>
        </is>
      </c>
      <c r="E595" t="inlineStr">
        <is>
          <t>KATRINEHOLM</t>
        </is>
      </c>
      <c r="F595" t="inlineStr">
        <is>
          <t>Kyrkan</t>
        </is>
      </c>
      <c r="G595" t="n">
        <v>10.2</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46142</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55829-2025</t>
        </is>
      </c>
      <c r="B597" s="1" t="n">
        <v>45972.79274305556</v>
      </c>
      <c r="C597" s="1" t="n">
        <v>46142</v>
      </c>
      <c r="D597" t="inlineStr">
        <is>
          <t>SÖDERMANLANDS LÄN</t>
        </is>
      </c>
      <c r="E597" t="inlineStr">
        <is>
          <t>KATRINEHOLM</t>
        </is>
      </c>
      <c r="G597" t="n">
        <v>3.2</v>
      </c>
      <c r="H597" t="n">
        <v>0</v>
      </c>
      <c r="I597" t="n">
        <v>0</v>
      </c>
      <c r="J597" t="n">
        <v>0</v>
      </c>
      <c r="K597" t="n">
        <v>0</v>
      </c>
      <c r="L597" t="n">
        <v>0</v>
      </c>
      <c r="M597" t="n">
        <v>0</v>
      </c>
      <c r="N597" t="n">
        <v>0</v>
      </c>
      <c r="O597" t="n">
        <v>0</v>
      </c>
      <c r="P597" t="n">
        <v>0</v>
      </c>
      <c r="Q597" t="n">
        <v>0</v>
      </c>
      <c r="R597" s="2" t="inlineStr"/>
    </row>
    <row r="598" ht="15" customHeight="1">
      <c r="A598" t="inlineStr">
        <is>
          <t>A 55832-2025</t>
        </is>
      </c>
      <c r="B598" s="1" t="n">
        <v>45972.81768518518</v>
      </c>
      <c r="C598" s="1" t="n">
        <v>46142</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55831-2025</t>
        </is>
      </c>
      <c r="B599" s="1" t="n">
        <v>45972.81034722222</v>
      </c>
      <c r="C599" s="1" t="n">
        <v>46142</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56330-2025</t>
        </is>
      </c>
      <c r="B600" s="1" t="n">
        <v>45974.64094907408</v>
      </c>
      <c r="C600" s="1" t="n">
        <v>46142</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56597-2025</t>
        </is>
      </c>
      <c r="B601" s="1" t="n">
        <v>45975.57271990741</v>
      </c>
      <c r="C601" s="1" t="n">
        <v>46142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46142</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46700-2023</t>
        </is>
      </c>
      <c r="B603" s="1" t="n">
        <v>45194</v>
      </c>
      <c r="C603" s="1" t="n">
        <v>46142</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55590-2023</t>
        </is>
      </c>
      <c r="B604" s="1" t="n">
        <v>45238</v>
      </c>
      <c r="C604" s="1" t="n">
        <v>46142</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57323-2025</t>
        </is>
      </c>
      <c r="B605" s="1" t="n">
        <v>45980.32501157407</v>
      </c>
      <c r="C605" s="1" t="n">
        <v>46142</v>
      </c>
      <c r="D605" t="inlineStr">
        <is>
          <t>SÖDERMANLANDS LÄN</t>
        </is>
      </c>
      <c r="E605" t="inlineStr">
        <is>
          <t>KATRINEHOLM</t>
        </is>
      </c>
      <c r="F605" t="inlineStr">
        <is>
          <t>Övriga Aktiebolag</t>
        </is>
      </c>
      <c r="G605" t="n">
        <v>1.1</v>
      </c>
      <c r="H605" t="n">
        <v>0</v>
      </c>
      <c r="I605" t="n">
        <v>0</v>
      </c>
      <c r="J605" t="n">
        <v>0</v>
      </c>
      <c r="K605" t="n">
        <v>0</v>
      </c>
      <c r="L605" t="n">
        <v>0</v>
      </c>
      <c r="M605" t="n">
        <v>0</v>
      </c>
      <c r="N605" t="n">
        <v>0</v>
      </c>
      <c r="O605" t="n">
        <v>0</v>
      </c>
      <c r="P605" t="n">
        <v>0</v>
      </c>
      <c r="Q605" t="n">
        <v>0</v>
      </c>
      <c r="R605" s="2" t="inlineStr"/>
    </row>
    <row r="606" ht="15" customHeight="1">
      <c r="A606" t="inlineStr">
        <is>
          <t>A 15898-2022</t>
        </is>
      </c>
      <c r="B606" s="1" t="n">
        <v>44664.55688657407</v>
      </c>
      <c r="C606" s="1" t="n">
        <v>46142</v>
      </c>
      <c r="D606" t="inlineStr">
        <is>
          <t>SÖDERMANLANDS LÄN</t>
        </is>
      </c>
      <c r="E606" t="inlineStr">
        <is>
          <t>KATRINEHOLM</t>
        </is>
      </c>
      <c r="G606" t="n">
        <v>6.5</v>
      </c>
      <c r="H606" t="n">
        <v>0</v>
      </c>
      <c r="I606" t="n">
        <v>0</v>
      </c>
      <c r="J606" t="n">
        <v>0</v>
      </c>
      <c r="K606" t="n">
        <v>0</v>
      </c>
      <c r="L606" t="n">
        <v>0</v>
      </c>
      <c r="M606" t="n">
        <v>0</v>
      </c>
      <c r="N606" t="n">
        <v>0</v>
      </c>
      <c r="O606" t="n">
        <v>0</v>
      </c>
      <c r="P606" t="n">
        <v>0</v>
      </c>
      <c r="Q606" t="n">
        <v>0</v>
      </c>
      <c r="R606" s="2" t="inlineStr"/>
    </row>
    <row r="607" ht="15" customHeight="1">
      <c r="A607" t="inlineStr">
        <is>
          <t>A 15910-2022</t>
        </is>
      </c>
      <c r="B607" s="1" t="n">
        <v>44664</v>
      </c>
      <c r="C607" s="1" t="n">
        <v>46142</v>
      </c>
      <c r="D607" t="inlineStr">
        <is>
          <t>SÖDERMANLANDS LÄN</t>
        </is>
      </c>
      <c r="E607" t="inlineStr">
        <is>
          <t>KATRINEHOLM</t>
        </is>
      </c>
      <c r="G607" t="n">
        <v>5.6</v>
      </c>
      <c r="H607" t="n">
        <v>0</v>
      </c>
      <c r="I607" t="n">
        <v>0</v>
      </c>
      <c r="J607" t="n">
        <v>0</v>
      </c>
      <c r="K607" t="n">
        <v>0</v>
      </c>
      <c r="L607" t="n">
        <v>0</v>
      </c>
      <c r="M607" t="n">
        <v>0</v>
      </c>
      <c r="N607" t="n">
        <v>0</v>
      </c>
      <c r="O607" t="n">
        <v>0</v>
      </c>
      <c r="P607" t="n">
        <v>0</v>
      </c>
      <c r="Q607" t="n">
        <v>0</v>
      </c>
      <c r="R607" s="2" t="inlineStr"/>
    </row>
    <row r="608" ht="15" customHeight="1">
      <c r="A608" t="inlineStr">
        <is>
          <t>A 32818-2023</t>
        </is>
      </c>
      <c r="B608" s="1" t="n">
        <v>45124.55633101852</v>
      </c>
      <c r="C608" s="1" t="n">
        <v>46142</v>
      </c>
      <c r="D608" t="inlineStr">
        <is>
          <t>SÖDERMANLANDS LÄN</t>
        </is>
      </c>
      <c r="E608" t="inlineStr">
        <is>
          <t>KATRINEHOLM</t>
        </is>
      </c>
      <c r="G608" t="n">
        <v>3.4</v>
      </c>
      <c r="H608" t="n">
        <v>0</v>
      </c>
      <c r="I608" t="n">
        <v>0</v>
      </c>
      <c r="J608" t="n">
        <v>0</v>
      </c>
      <c r="K608" t="n">
        <v>0</v>
      </c>
      <c r="L608" t="n">
        <v>0</v>
      </c>
      <c r="M608" t="n">
        <v>0</v>
      </c>
      <c r="N608" t="n">
        <v>0</v>
      </c>
      <c r="O608" t="n">
        <v>0</v>
      </c>
      <c r="P608" t="n">
        <v>0</v>
      </c>
      <c r="Q608" t="n">
        <v>0</v>
      </c>
      <c r="R608" s="2" t="inlineStr"/>
    </row>
    <row r="609" ht="15" customHeight="1">
      <c r="A609" t="inlineStr">
        <is>
          <t>A 20214-2025</t>
        </is>
      </c>
      <c r="B609" s="1" t="n">
        <v>45772.63540509259</v>
      </c>
      <c r="C609" s="1" t="n">
        <v>46142</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22272-2022</t>
        </is>
      </c>
      <c r="B610" s="1" t="n">
        <v>44712</v>
      </c>
      <c r="C610" s="1" t="n">
        <v>46142</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57975-2025</t>
        </is>
      </c>
      <c r="B611" s="1" t="n">
        <v>45981</v>
      </c>
      <c r="C611" s="1" t="n">
        <v>46142</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27334-2023</t>
        </is>
      </c>
      <c r="B612" s="1" t="n">
        <v>45096</v>
      </c>
      <c r="C612" s="1" t="n">
        <v>46142</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40186-2023</t>
        </is>
      </c>
      <c r="B613" s="1" t="n">
        <v>45169</v>
      </c>
      <c r="C613" s="1" t="n">
        <v>46142</v>
      </c>
      <c r="D613" t="inlineStr">
        <is>
          <t>SÖDERMANLANDS LÄN</t>
        </is>
      </c>
      <c r="E613" t="inlineStr">
        <is>
          <t>KATRINEHOLM</t>
        </is>
      </c>
      <c r="G613" t="n">
        <v>2.1</v>
      </c>
      <c r="H613" t="n">
        <v>0</v>
      </c>
      <c r="I613" t="n">
        <v>0</v>
      </c>
      <c r="J613" t="n">
        <v>0</v>
      </c>
      <c r="K613" t="n">
        <v>0</v>
      </c>
      <c r="L613" t="n">
        <v>0</v>
      </c>
      <c r="M613" t="n">
        <v>0</v>
      </c>
      <c r="N613" t="n">
        <v>0</v>
      </c>
      <c r="O613" t="n">
        <v>0</v>
      </c>
      <c r="P613" t="n">
        <v>0</v>
      </c>
      <c r="Q613" t="n">
        <v>0</v>
      </c>
      <c r="R613" s="2" t="inlineStr"/>
    </row>
    <row r="614" ht="15" customHeight="1">
      <c r="A614" t="inlineStr">
        <is>
          <t>A 47886-2023</t>
        </is>
      </c>
      <c r="B614" s="1" t="n">
        <v>45204</v>
      </c>
      <c r="C614" s="1" t="n">
        <v>46142</v>
      </c>
      <c r="D614" t="inlineStr">
        <is>
          <t>SÖDERMANLANDS LÄN</t>
        </is>
      </c>
      <c r="E614" t="inlineStr">
        <is>
          <t>KATRINEHOLM</t>
        </is>
      </c>
      <c r="G614" t="n">
        <v>22</v>
      </c>
      <c r="H614" t="n">
        <v>0</v>
      </c>
      <c r="I614" t="n">
        <v>0</v>
      </c>
      <c r="J614" t="n">
        <v>0</v>
      </c>
      <c r="K614" t="n">
        <v>0</v>
      </c>
      <c r="L614" t="n">
        <v>0</v>
      </c>
      <c r="M614" t="n">
        <v>0</v>
      </c>
      <c r="N614" t="n">
        <v>0</v>
      </c>
      <c r="O614" t="n">
        <v>0</v>
      </c>
      <c r="P614" t="n">
        <v>0</v>
      </c>
      <c r="Q614" t="n">
        <v>0</v>
      </c>
      <c r="R614" s="2" t="inlineStr"/>
    </row>
    <row r="615" ht="15" customHeight="1">
      <c r="A615" t="inlineStr">
        <is>
          <t>A 36562-2023</t>
        </is>
      </c>
      <c r="B615" s="1" t="n">
        <v>45153</v>
      </c>
      <c r="C615" s="1" t="n">
        <v>46142</v>
      </c>
      <c r="D615" t="inlineStr">
        <is>
          <t>SÖDERMANLANDS LÄN</t>
        </is>
      </c>
      <c r="E615" t="inlineStr">
        <is>
          <t>KATRINEHOLM</t>
        </is>
      </c>
      <c r="G615" t="n">
        <v>5.8</v>
      </c>
      <c r="H615" t="n">
        <v>0</v>
      </c>
      <c r="I615" t="n">
        <v>0</v>
      </c>
      <c r="J615" t="n">
        <v>0</v>
      </c>
      <c r="K615" t="n">
        <v>0</v>
      </c>
      <c r="L615" t="n">
        <v>0</v>
      </c>
      <c r="M615" t="n">
        <v>0</v>
      </c>
      <c r="N615" t="n">
        <v>0</v>
      </c>
      <c r="O615" t="n">
        <v>0</v>
      </c>
      <c r="P615" t="n">
        <v>0</v>
      </c>
      <c r="Q615" t="n">
        <v>0</v>
      </c>
      <c r="R615" s="2" t="inlineStr"/>
    </row>
    <row r="616" ht="15" customHeight="1">
      <c r="A616" t="inlineStr">
        <is>
          <t>A 34539-2022</t>
        </is>
      </c>
      <c r="B616" s="1" t="n">
        <v>44793.50563657407</v>
      </c>
      <c r="C616" s="1" t="n">
        <v>46142</v>
      </c>
      <c r="D616" t="inlineStr">
        <is>
          <t>SÖDERMANLANDS LÄN</t>
        </is>
      </c>
      <c r="E616" t="inlineStr">
        <is>
          <t>KATRINEHOLM</t>
        </is>
      </c>
      <c r="G616" t="n">
        <v>1</v>
      </c>
      <c r="H616" t="n">
        <v>0</v>
      </c>
      <c r="I616" t="n">
        <v>0</v>
      </c>
      <c r="J616" t="n">
        <v>0</v>
      </c>
      <c r="K616" t="n">
        <v>0</v>
      </c>
      <c r="L616" t="n">
        <v>0</v>
      </c>
      <c r="M616" t="n">
        <v>0</v>
      </c>
      <c r="N616" t="n">
        <v>0</v>
      </c>
      <c r="O616" t="n">
        <v>0</v>
      </c>
      <c r="P616" t="n">
        <v>0</v>
      </c>
      <c r="Q616" t="n">
        <v>0</v>
      </c>
      <c r="R616" s="2" t="inlineStr"/>
    </row>
    <row r="617" ht="15" customHeight="1">
      <c r="A617" t="inlineStr">
        <is>
          <t>A 41205-2021</t>
        </is>
      </c>
      <c r="B617" s="1" t="n">
        <v>44424.38577546296</v>
      </c>
      <c r="C617" s="1" t="n">
        <v>46142</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24748-2024</t>
        </is>
      </c>
      <c r="B618" s="1" t="n">
        <v>45460.66567129629</v>
      </c>
      <c r="C618" s="1" t="n">
        <v>46142</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40402-2022</t>
        </is>
      </c>
      <c r="B619" s="1" t="n">
        <v>44823.44353009259</v>
      </c>
      <c r="C619" s="1" t="n">
        <v>46142</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17792-2025</t>
        </is>
      </c>
      <c r="B620" s="1" t="n">
        <v>45758</v>
      </c>
      <c r="C620" s="1" t="n">
        <v>46142</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17820-2025</t>
        </is>
      </c>
      <c r="B621" s="1" t="n">
        <v>45758</v>
      </c>
      <c r="C621" s="1" t="n">
        <v>46142</v>
      </c>
      <c r="D621" t="inlineStr">
        <is>
          <t>SÖDERMANLANDS LÄN</t>
        </is>
      </c>
      <c r="E621" t="inlineStr">
        <is>
          <t>KATRINEHOLM</t>
        </is>
      </c>
      <c r="G621" t="n">
        <v>5.9</v>
      </c>
      <c r="H621" t="n">
        <v>0</v>
      </c>
      <c r="I621" t="n">
        <v>0</v>
      </c>
      <c r="J621" t="n">
        <v>0</v>
      </c>
      <c r="K621" t="n">
        <v>0</v>
      </c>
      <c r="L621" t="n">
        <v>0</v>
      </c>
      <c r="M621" t="n">
        <v>0</v>
      </c>
      <c r="N621" t="n">
        <v>0</v>
      </c>
      <c r="O621" t="n">
        <v>0</v>
      </c>
      <c r="P621" t="n">
        <v>0</v>
      </c>
      <c r="Q621" t="n">
        <v>0</v>
      </c>
      <c r="R621" s="2" t="inlineStr"/>
    </row>
    <row r="622" ht="15" customHeight="1">
      <c r="A622" t="inlineStr">
        <is>
          <t>A 30387-2022</t>
        </is>
      </c>
      <c r="B622" s="1" t="n">
        <v>44760</v>
      </c>
      <c r="C622" s="1" t="n">
        <v>46142</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39052-2023</t>
        </is>
      </c>
      <c r="B623" s="1" t="n">
        <v>45163</v>
      </c>
      <c r="C623" s="1" t="n">
        <v>46142</v>
      </c>
      <c r="D623" t="inlineStr">
        <is>
          <t>SÖDERMANLANDS LÄN</t>
        </is>
      </c>
      <c r="E623" t="inlineStr">
        <is>
          <t>KATRINEHOLM</t>
        </is>
      </c>
      <c r="G623" t="n">
        <v>3</v>
      </c>
      <c r="H623" t="n">
        <v>0</v>
      </c>
      <c r="I623" t="n">
        <v>0</v>
      </c>
      <c r="J623" t="n">
        <v>0</v>
      </c>
      <c r="K623" t="n">
        <v>0</v>
      </c>
      <c r="L623" t="n">
        <v>0</v>
      </c>
      <c r="M623" t="n">
        <v>0</v>
      </c>
      <c r="N623" t="n">
        <v>0</v>
      </c>
      <c r="O623" t="n">
        <v>0</v>
      </c>
      <c r="P623" t="n">
        <v>0</v>
      </c>
      <c r="Q623" t="n">
        <v>0</v>
      </c>
      <c r="R623" s="2" t="inlineStr"/>
    </row>
    <row r="624" ht="15" customHeight="1">
      <c r="A624" t="inlineStr">
        <is>
          <t>A 8922-2024</t>
        </is>
      </c>
      <c r="B624" s="1" t="n">
        <v>45357.38601851852</v>
      </c>
      <c r="C624" s="1" t="n">
        <v>46142</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48160-2022</t>
        </is>
      </c>
      <c r="B625" s="1" t="n">
        <v>44853</v>
      </c>
      <c r="C625" s="1" t="n">
        <v>46142</v>
      </c>
      <c r="D625" t="inlineStr">
        <is>
          <t>SÖDERMANLANDS LÄN</t>
        </is>
      </c>
      <c r="E625" t="inlineStr">
        <is>
          <t>KATRINEHOLM</t>
        </is>
      </c>
      <c r="F625" t="inlineStr">
        <is>
          <t>Övriga statliga verk och myndigheter</t>
        </is>
      </c>
      <c r="G625" t="n">
        <v>2.2</v>
      </c>
      <c r="H625" t="n">
        <v>0</v>
      </c>
      <c r="I625" t="n">
        <v>0</v>
      </c>
      <c r="J625" t="n">
        <v>0</v>
      </c>
      <c r="K625" t="n">
        <v>0</v>
      </c>
      <c r="L625" t="n">
        <v>0</v>
      </c>
      <c r="M625" t="n">
        <v>0</v>
      </c>
      <c r="N625" t="n">
        <v>0</v>
      </c>
      <c r="O625" t="n">
        <v>0</v>
      </c>
      <c r="P625" t="n">
        <v>0</v>
      </c>
      <c r="Q625" t="n">
        <v>0</v>
      </c>
      <c r="R625" s="2" t="inlineStr"/>
    </row>
    <row r="626" ht="15" customHeight="1">
      <c r="A626" t="inlineStr">
        <is>
          <t>A 28317-2024</t>
        </is>
      </c>
      <c r="B626" s="1" t="n">
        <v>45477</v>
      </c>
      <c r="C626" s="1" t="n">
        <v>46142</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59967-2025</t>
        </is>
      </c>
      <c r="B627" s="1" t="n">
        <v>45993.48525462963</v>
      </c>
      <c r="C627" s="1" t="n">
        <v>46142</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60678-2025</t>
        </is>
      </c>
      <c r="B628" s="1" t="n">
        <v>45996.56251157408</v>
      </c>
      <c r="C628" s="1" t="n">
        <v>46142</v>
      </c>
      <c r="D628" t="inlineStr">
        <is>
          <t>SÖDERMANLANDS LÄN</t>
        </is>
      </c>
      <c r="E628" t="inlineStr">
        <is>
          <t>KATRINEHOLM</t>
        </is>
      </c>
      <c r="G628" t="n">
        <v>2</v>
      </c>
      <c r="H628" t="n">
        <v>0</v>
      </c>
      <c r="I628" t="n">
        <v>0</v>
      </c>
      <c r="J628" t="n">
        <v>0</v>
      </c>
      <c r="K628" t="n">
        <v>0</v>
      </c>
      <c r="L628" t="n">
        <v>0</v>
      </c>
      <c r="M628" t="n">
        <v>0</v>
      </c>
      <c r="N628" t="n">
        <v>0</v>
      </c>
      <c r="O628" t="n">
        <v>0</v>
      </c>
      <c r="P628" t="n">
        <v>0</v>
      </c>
      <c r="Q628" t="n">
        <v>0</v>
      </c>
      <c r="R628" s="2" t="inlineStr"/>
    </row>
    <row r="629" ht="15" customHeight="1">
      <c r="A629" t="inlineStr">
        <is>
          <t>A 66393-2021</t>
        </is>
      </c>
      <c r="B629" s="1" t="n">
        <v>44518</v>
      </c>
      <c r="C629" s="1" t="n">
        <v>46142</v>
      </c>
      <c r="D629" t="inlineStr">
        <is>
          <t>SÖDERMANLANDS LÄN</t>
        </is>
      </c>
      <c r="E629" t="inlineStr">
        <is>
          <t>KATRINEHOLM</t>
        </is>
      </c>
      <c r="F629" t="inlineStr">
        <is>
          <t>Holmen skog AB</t>
        </is>
      </c>
      <c r="G629" t="n">
        <v>0.4</v>
      </c>
      <c r="H629" t="n">
        <v>0</v>
      </c>
      <c r="I629" t="n">
        <v>0</v>
      </c>
      <c r="J629" t="n">
        <v>0</v>
      </c>
      <c r="K629" t="n">
        <v>0</v>
      </c>
      <c r="L629" t="n">
        <v>0</v>
      </c>
      <c r="M629" t="n">
        <v>0</v>
      </c>
      <c r="N629" t="n">
        <v>0</v>
      </c>
      <c r="O629" t="n">
        <v>0</v>
      </c>
      <c r="P629" t="n">
        <v>0</v>
      </c>
      <c r="Q629" t="n">
        <v>0</v>
      </c>
      <c r="R629" s="2" t="inlineStr"/>
    </row>
    <row r="630" ht="15" customHeight="1">
      <c r="A630" t="inlineStr">
        <is>
          <t>A 47134-2022</t>
        </is>
      </c>
      <c r="B630" s="1" t="n">
        <v>44851</v>
      </c>
      <c r="C630" s="1" t="n">
        <v>46142</v>
      </c>
      <c r="D630" t="inlineStr">
        <is>
          <t>SÖDERMANLANDS LÄN</t>
        </is>
      </c>
      <c r="E630" t="inlineStr">
        <is>
          <t>KATRINEHOLM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61121-2025</t>
        </is>
      </c>
      <c r="B631" s="1" t="n">
        <v>46000.46746527778</v>
      </c>
      <c r="C631" s="1" t="n">
        <v>46142</v>
      </c>
      <c r="D631" t="inlineStr">
        <is>
          <t>SÖDERMANLANDS LÄN</t>
        </is>
      </c>
      <c r="E631" t="inlineStr">
        <is>
          <t>KATRINEHOLM</t>
        </is>
      </c>
      <c r="G631" t="n">
        <v>0.2</v>
      </c>
      <c r="H631" t="n">
        <v>0</v>
      </c>
      <c r="I631" t="n">
        <v>0</v>
      </c>
      <c r="J631" t="n">
        <v>0</v>
      </c>
      <c r="K631" t="n">
        <v>0</v>
      </c>
      <c r="L631" t="n">
        <v>0</v>
      </c>
      <c r="M631" t="n">
        <v>0</v>
      </c>
      <c r="N631" t="n">
        <v>0</v>
      </c>
      <c r="O631" t="n">
        <v>0</v>
      </c>
      <c r="P631" t="n">
        <v>0</v>
      </c>
      <c r="Q631" t="n">
        <v>0</v>
      </c>
      <c r="R631" s="2" t="inlineStr"/>
    </row>
    <row r="632" ht="15" customHeight="1">
      <c r="A632" t="inlineStr">
        <is>
          <t>A 1143-2024</t>
        </is>
      </c>
      <c r="B632" s="1" t="n">
        <v>45302</v>
      </c>
      <c r="C632" s="1" t="n">
        <v>46142</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61066-2025</t>
        </is>
      </c>
      <c r="B633" s="1" t="n">
        <v>46000.37695601852</v>
      </c>
      <c r="C633" s="1" t="n">
        <v>46142</v>
      </c>
      <c r="D633" t="inlineStr">
        <is>
          <t>SÖDERMANLANDS LÄN</t>
        </is>
      </c>
      <c r="E633" t="inlineStr">
        <is>
          <t>KATRINEHOLM</t>
        </is>
      </c>
      <c r="F633" t="inlineStr">
        <is>
          <t>Kyrkan</t>
        </is>
      </c>
      <c r="G633" t="n">
        <v>5</v>
      </c>
      <c r="H633" t="n">
        <v>0</v>
      </c>
      <c r="I633" t="n">
        <v>0</v>
      </c>
      <c r="J633" t="n">
        <v>0</v>
      </c>
      <c r="K633" t="n">
        <v>0</v>
      </c>
      <c r="L633" t="n">
        <v>0</v>
      </c>
      <c r="M633" t="n">
        <v>0</v>
      </c>
      <c r="N633" t="n">
        <v>0</v>
      </c>
      <c r="O633" t="n">
        <v>0</v>
      </c>
      <c r="P633" t="n">
        <v>0</v>
      </c>
      <c r="Q633" t="n">
        <v>0</v>
      </c>
      <c r="R633" s="2" t="inlineStr"/>
    </row>
    <row r="634" ht="15" customHeight="1">
      <c r="A634" t="inlineStr">
        <is>
          <t>A 3982-2024</t>
        </is>
      </c>
      <c r="B634" s="1" t="n">
        <v>45322</v>
      </c>
      <c r="C634" s="1" t="n">
        <v>46142</v>
      </c>
      <c r="D634" t="inlineStr">
        <is>
          <t>SÖDERMANLANDS LÄN</t>
        </is>
      </c>
      <c r="E634" t="inlineStr">
        <is>
          <t>KATRINEHOLM</t>
        </is>
      </c>
      <c r="G634" t="n">
        <v>3.7</v>
      </c>
      <c r="H634" t="n">
        <v>0</v>
      </c>
      <c r="I634" t="n">
        <v>0</v>
      </c>
      <c r="J634" t="n">
        <v>0</v>
      </c>
      <c r="K634" t="n">
        <v>0</v>
      </c>
      <c r="L634" t="n">
        <v>0</v>
      </c>
      <c r="M634" t="n">
        <v>0</v>
      </c>
      <c r="N634" t="n">
        <v>0</v>
      </c>
      <c r="O634" t="n">
        <v>0</v>
      </c>
      <c r="P634" t="n">
        <v>0</v>
      </c>
      <c r="Q634" t="n">
        <v>0</v>
      </c>
      <c r="R634" s="2" t="inlineStr"/>
    </row>
    <row r="635" ht="15" customHeight="1">
      <c r="A635" t="inlineStr">
        <is>
          <t>A 57263-2022</t>
        </is>
      </c>
      <c r="B635" s="1" t="n">
        <v>44895</v>
      </c>
      <c r="C635" s="1" t="n">
        <v>46142</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28431-2024</t>
        </is>
      </c>
      <c r="B636" s="1" t="n">
        <v>45477.65216435185</v>
      </c>
      <c r="C636" s="1" t="n">
        <v>46142</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62418-2023</t>
        </is>
      </c>
      <c r="B637" s="1" t="n">
        <v>45268</v>
      </c>
      <c r="C637" s="1" t="n">
        <v>46142</v>
      </c>
      <c r="D637" t="inlineStr">
        <is>
          <t>SÖDERMANLANDS LÄN</t>
        </is>
      </c>
      <c r="E637" t="inlineStr">
        <is>
          <t>KATRINEHOLM</t>
        </is>
      </c>
      <c r="G637" t="n">
        <v>3</v>
      </c>
      <c r="H637" t="n">
        <v>0</v>
      </c>
      <c r="I637" t="n">
        <v>0</v>
      </c>
      <c r="J637" t="n">
        <v>0</v>
      </c>
      <c r="K637" t="n">
        <v>0</v>
      </c>
      <c r="L637" t="n">
        <v>0</v>
      </c>
      <c r="M637" t="n">
        <v>0</v>
      </c>
      <c r="N637" t="n">
        <v>0</v>
      </c>
      <c r="O637" t="n">
        <v>0</v>
      </c>
      <c r="P637" t="n">
        <v>0</v>
      </c>
      <c r="Q637" t="n">
        <v>0</v>
      </c>
      <c r="R637" s="2" t="inlineStr"/>
    </row>
    <row r="638" ht="15" customHeight="1">
      <c r="A638" t="inlineStr">
        <is>
          <t>A 45142-2021</t>
        </is>
      </c>
      <c r="B638" s="1" t="n">
        <v>44439</v>
      </c>
      <c r="C638" s="1" t="n">
        <v>46142</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7191-2023</t>
        </is>
      </c>
      <c r="B639" s="1" t="n">
        <v>44965</v>
      </c>
      <c r="C639" s="1" t="n">
        <v>46142</v>
      </c>
      <c r="D639" t="inlineStr">
        <is>
          <t>SÖDERMANLANDS LÄN</t>
        </is>
      </c>
      <c r="E639" t="inlineStr">
        <is>
          <t>KATRINEHOLM</t>
        </is>
      </c>
      <c r="G639" t="n">
        <v>14.1</v>
      </c>
      <c r="H639" t="n">
        <v>0</v>
      </c>
      <c r="I639" t="n">
        <v>0</v>
      </c>
      <c r="J639" t="n">
        <v>0</v>
      </c>
      <c r="K639" t="n">
        <v>0</v>
      </c>
      <c r="L639" t="n">
        <v>0</v>
      </c>
      <c r="M639" t="n">
        <v>0</v>
      </c>
      <c r="N639" t="n">
        <v>0</v>
      </c>
      <c r="O639" t="n">
        <v>0</v>
      </c>
      <c r="P639" t="n">
        <v>0</v>
      </c>
      <c r="Q639" t="n">
        <v>0</v>
      </c>
      <c r="R639" s="2" t="inlineStr"/>
    </row>
    <row r="640" ht="15" customHeight="1">
      <c r="A640" t="inlineStr">
        <is>
          <t>A 66540-2021</t>
        </is>
      </c>
      <c r="B640" s="1" t="n">
        <v>44519</v>
      </c>
      <c r="C640" s="1" t="n">
        <v>46142</v>
      </c>
      <c r="D640" t="inlineStr">
        <is>
          <t>SÖDERMANLANDS LÄN</t>
        </is>
      </c>
      <c r="E640" t="inlineStr">
        <is>
          <t>KATRINEHOLM</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8394-2024</t>
        </is>
      </c>
      <c r="B641" s="1" t="n">
        <v>45352</v>
      </c>
      <c r="C641" s="1" t="n">
        <v>46142</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61721-2025</t>
        </is>
      </c>
      <c r="B642" s="1" t="n">
        <v>46002.57778935185</v>
      </c>
      <c r="C642" s="1" t="n">
        <v>46142</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13658-2023</t>
        </is>
      </c>
      <c r="B643" s="1" t="n">
        <v>45006</v>
      </c>
      <c r="C643" s="1" t="n">
        <v>46142</v>
      </c>
      <c r="D643" t="inlineStr">
        <is>
          <t>SÖDERMANLANDS LÄN</t>
        </is>
      </c>
      <c r="E643" t="inlineStr">
        <is>
          <t>KATRINEHOLM</t>
        </is>
      </c>
      <c r="F643" t="inlineStr">
        <is>
          <t>Kyrkan</t>
        </is>
      </c>
      <c r="G643" t="n">
        <v>24.3</v>
      </c>
      <c r="H643" t="n">
        <v>0</v>
      </c>
      <c r="I643" t="n">
        <v>0</v>
      </c>
      <c r="J643" t="n">
        <v>0</v>
      </c>
      <c r="K643" t="n">
        <v>0</v>
      </c>
      <c r="L643" t="n">
        <v>0</v>
      </c>
      <c r="M643" t="n">
        <v>0</v>
      </c>
      <c r="N643" t="n">
        <v>0</v>
      </c>
      <c r="O643" t="n">
        <v>0</v>
      </c>
      <c r="P643" t="n">
        <v>0</v>
      </c>
      <c r="Q643" t="n">
        <v>0</v>
      </c>
      <c r="R643" s="2" t="inlineStr"/>
    </row>
    <row r="644" ht="15" customHeight="1">
      <c r="A644" t="inlineStr">
        <is>
          <t>A 61385-2023</t>
        </is>
      </c>
      <c r="B644" s="1" t="n">
        <v>45264.64241898148</v>
      </c>
      <c r="C644" s="1" t="n">
        <v>46142</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55825-2022</t>
        </is>
      </c>
      <c r="B645" s="1" t="n">
        <v>44886</v>
      </c>
      <c r="C645" s="1" t="n">
        <v>46142</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55856-2022</t>
        </is>
      </c>
      <c r="B646" s="1" t="n">
        <v>44888</v>
      </c>
      <c r="C646" s="1" t="n">
        <v>46142</v>
      </c>
      <c r="D646" t="inlineStr">
        <is>
          <t>SÖDERMANLANDS LÄN</t>
        </is>
      </c>
      <c r="E646" t="inlineStr">
        <is>
          <t>KATRINEHOLM</t>
        </is>
      </c>
      <c r="G646" t="n">
        <v>5.6</v>
      </c>
      <c r="H646" t="n">
        <v>0</v>
      </c>
      <c r="I646" t="n">
        <v>0</v>
      </c>
      <c r="J646" t="n">
        <v>0</v>
      </c>
      <c r="K646" t="n">
        <v>0</v>
      </c>
      <c r="L646" t="n">
        <v>0</v>
      </c>
      <c r="M646" t="n">
        <v>0</v>
      </c>
      <c r="N646" t="n">
        <v>0</v>
      </c>
      <c r="O646" t="n">
        <v>0</v>
      </c>
      <c r="P646" t="n">
        <v>0</v>
      </c>
      <c r="Q646" t="n">
        <v>0</v>
      </c>
      <c r="R646" s="2" t="inlineStr"/>
    </row>
    <row r="647" ht="15" customHeight="1">
      <c r="A647" t="inlineStr">
        <is>
          <t>A 43513-2023</t>
        </is>
      </c>
      <c r="B647" s="1" t="n">
        <v>45184</v>
      </c>
      <c r="C647" s="1" t="n">
        <v>46142</v>
      </c>
      <c r="D647" t="inlineStr">
        <is>
          <t>SÖDERMANLANDS LÄN</t>
        </is>
      </c>
      <c r="E647" t="inlineStr">
        <is>
          <t>KATRINEHOLM</t>
        </is>
      </c>
      <c r="G647" t="n">
        <v>3.8</v>
      </c>
      <c r="H647" t="n">
        <v>0</v>
      </c>
      <c r="I647" t="n">
        <v>0</v>
      </c>
      <c r="J647" t="n">
        <v>0</v>
      </c>
      <c r="K647" t="n">
        <v>0</v>
      </c>
      <c r="L647" t="n">
        <v>0</v>
      </c>
      <c r="M647" t="n">
        <v>0</v>
      </c>
      <c r="N647" t="n">
        <v>0</v>
      </c>
      <c r="O647" t="n">
        <v>0</v>
      </c>
      <c r="P647" t="n">
        <v>0</v>
      </c>
      <c r="Q647" t="n">
        <v>0</v>
      </c>
      <c r="R647" s="2" t="inlineStr"/>
    </row>
    <row r="648" ht="15" customHeight="1">
      <c r="A648" t="inlineStr">
        <is>
          <t>A 8951-2024</t>
        </is>
      </c>
      <c r="B648" s="1" t="n">
        <v>45357.44695601852</v>
      </c>
      <c r="C648" s="1" t="n">
        <v>46142</v>
      </c>
      <c r="D648" t="inlineStr">
        <is>
          <t>SÖDERMANLANDS LÄN</t>
        </is>
      </c>
      <c r="E648" t="inlineStr">
        <is>
          <t>KATRINEHOLM</t>
        </is>
      </c>
      <c r="G648" t="n">
        <v>3.3</v>
      </c>
      <c r="H648" t="n">
        <v>0</v>
      </c>
      <c r="I648" t="n">
        <v>0</v>
      </c>
      <c r="J648" t="n">
        <v>0</v>
      </c>
      <c r="K648" t="n">
        <v>0</v>
      </c>
      <c r="L648" t="n">
        <v>0</v>
      </c>
      <c r="M648" t="n">
        <v>0</v>
      </c>
      <c r="N648" t="n">
        <v>0</v>
      </c>
      <c r="O648" t="n">
        <v>0</v>
      </c>
      <c r="P648" t="n">
        <v>0</v>
      </c>
      <c r="Q648" t="n">
        <v>0</v>
      </c>
      <c r="R648" s="2" t="inlineStr"/>
    </row>
    <row r="649" ht="15" customHeight="1">
      <c r="A649" t="inlineStr">
        <is>
          <t>A 8955-2024</t>
        </is>
      </c>
      <c r="B649" s="1" t="n">
        <v>45357.44873842593</v>
      </c>
      <c r="C649" s="1" t="n">
        <v>46142</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15945-2024</t>
        </is>
      </c>
      <c r="B650" s="1" t="n">
        <v>45405.48912037037</v>
      </c>
      <c r="C650" s="1" t="n">
        <v>46142</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4655-2024</t>
        </is>
      </c>
      <c r="B651" s="1" t="n">
        <v>45328</v>
      </c>
      <c r="C651" s="1" t="n">
        <v>46142</v>
      </c>
      <c r="D651" t="inlineStr">
        <is>
          <t>SÖDERMANLANDS LÄN</t>
        </is>
      </c>
      <c r="E651" t="inlineStr">
        <is>
          <t>KATRINEHOLM</t>
        </is>
      </c>
      <c r="G651" t="n">
        <v>17.7</v>
      </c>
      <c r="H651" t="n">
        <v>0</v>
      </c>
      <c r="I651" t="n">
        <v>0</v>
      </c>
      <c r="J651" t="n">
        <v>0</v>
      </c>
      <c r="K651" t="n">
        <v>0</v>
      </c>
      <c r="L651" t="n">
        <v>0</v>
      </c>
      <c r="M651" t="n">
        <v>0</v>
      </c>
      <c r="N651" t="n">
        <v>0</v>
      </c>
      <c r="O651" t="n">
        <v>0</v>
      </c>
      <c r="P651" t="n">
        <v>0</v>
      </c>
      <c r="Q651" t="n">
        <v>0</v>
      </c>
      <c r="R651" s="2" t="inlineStr"/>
    </row>
    <row r="652" ht="15" customHeight="1">
      <c r="A652" t="inlineStr">
        <is>
          <t>A 53387-2023</t>
        </is>
      </c>
      <c r="B652" s="1" t="n">
        <v>45229</v>
      </c>
      <c r="C652" s="1" t="n">
        <v>46142</v>
      </c>
      <c r="D652" t="inlineStr">
        <is>
          <t>SÖDERMANLANDS LÄN</t>
        </is>
      </c>
      <c r="E652" t="inlineStr">
        <is>
          <t>KATRINEHOLM</t>
        </is>
      </c>
      <c r="F652" t="inlineStr">
        <is>
          <t>Kyrkan</t>
        </is>
      </c>
      <c r="G652" t="n">
        <v>7.4</v>
      </c>
      <c r="H652" t="n">
        <v>0</v>
      </c>
      <c r="I652" t="n">
        <v>0</v>
      </c>
      <c r="J652" t="n">
        <v>0</v>
      </c>
      <c r="K652" t="n">
        <v>0</v>
      </c>
      <c r="L652" t="n">
        <v>0</v>
      </c>
      <c r="M652" t="n">
        <v>0</v>
      </c>
      <c r="N652" t="n">
        <v>0</v>
      </c>
      <c r="O652" t="n">
        <v>0</v>
      </c>
      <c r="P652" t="n">
        <v>0</v>
      </c>
      <c r="Q652" t="n">
        <v>0</v>
      </c>
      <c r="R652" s="2" t="inlineStr"/>
    </row>
    <row r="653" ht="15" customHeight="1">
      <c r="A653" t="inlineStr">
        <is>
          <t>A 42590-2022</t>
        </is>
      </c>
      <c r="B653" s="1" t="n">
        <v>44831</v>
      </c>
      <c r="C653" s="1" t="n">
        <v>46142</v>
      </c>
      <c r="D653" t="inlineStr">
        <is>
          <t>SÖDERMANLANDS LÄN</t>
        </is>
      </c>
      <c r="E653" t="inlineStr">
        <is>
          <t>KATRINEHOLM</t>
        </is>
      </c>
      <c r="G653" t="n">
        <v>1.7</v>
      </c>
      <c r="H653" t="n">
        <v>0</v>
      </c>
      <c r="I653" t="n">
        <v>0</v>
      </c>
      <c r="J653" t="n">
        <v>0</v>
      </c>
      <c r="K653" t="n">
        <v>0</v>
      </c>
      <c r="L653" t="n">
        <v>0</v>
      </c>
      <c r="M653" t="n">
        <v>0</v>
      </c>
      <c r="N653" t="n">
        <v>0</v>
      </c>
      <c r="O653" t="n">
        <v>0</v>
      </c>
      <c r="P653" t="n">
        <v>0</v>
      </c>
      <c r="Q653" t="n">
        <v>0</v>
      </c>
      <c r="R653" s="2" t="inlineStr"/>
    </row>
    <row r="654" ht="15" customHeight="1">
      <c r="A654" t="inlineStr">
        <is>
          <t>A 63945-2025</t>
        </is>
      </c>
      <c r="B654" s="1" t="n">
        <v>46010</v>
      </c>
      <c r="C654" s="1" t="n">
        <v>46142</v>
      </c>
      <c r="D654" t="inlineStr">
        <is>
          <t>SÖDERMANLANDS LÄN</t>
        </is>
      </c>
      <c r="E654" t="inlineStr">
        <is>
          <t>KATRINEHOLM</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63947-2025</t>
        </is>
      </c>
      <c r="B655" s="1" t="n">
        <v>46010</v>
      </c>
      <c r="C655" s="1" t="n">
        <v>46142</v>
      </c>
      <c r="D655" t="inlineStr">
        <is>
          <t>SÖDERMANLANDS LÄN</t>
        </is>
      </c>
      <c r="E655" t="inlineStr">
        <is>
          <t>KATRINEHOLM</t>
        </is>
      </c>
      <c r="F655" t="inlineStr">
        <is>
          <t>Allmännings- och besparingsskogar</t>
        </is>
      </c>
      <c r="G655" t="n">
        <v>4.8</v>
      </c>
      <c r="H655" t="n">
        <v>0</v>
      </c>
      <c r="I655" t="n">
        <v>0</v>
      </c>
      <c r="J655" t="n">
        <v>0</v>
      </c>
      <c r="K655" t="n">
        <v>0</v>
      </c>
      <c r="L655" t="n">
        <v>0</v>
      </c>
      <c r="M655" t="n">
        <v>0</v>
      </c>
      <c r="N655" t="n">
        <v>0</v>
      </c>
      <c r="O655" t="n">
        <v>0</v>
      </c>
      <c r="P655" t="n">
        <v>0</v>
      </c>
      <c r="Q655" t="n">
        <v>0</v>
      </c>
      <c r="R655" s="2" t="inlineStr"/>
    </row>
    <row r="656" ht="15" customHeight="1">
      <c r="A656" t="inlineStr">
        <is>
          <t>A 63949-2025</t>
        </is>
      </c>
      <c r="B656" s="1" t="n">
        <v>46010</v>
      </c>
      <c r="C656" s="1" t="n">
        <v>46142</v>
      </c>
      <c r="D656" t="inlineStr">
        <is>
          <t>SÖDERMANLANDS LÄN</t>
        </is>
      </c>
      <c r="E656" t="inlineStr">
        <is>
          <t>KATRINEHOLM</t>
        </is>
      </c>
      <c r="F656" t="inlineStr">
        <is>
          <t>Allmännings- och besparingsskogar</t>
        </is>
      </c>
      <c r="G656" t="n">
        <v>5.1</v>
      </c>
      <c r="H656" t="n">
        <v>0</v>
      </c>
      <c r="I656" t="n">
        <v>0</v>
      </c>
      <c r="J656" t="n">
        <v>0</v>
      </c>
      <c r="K656" t="n">
        <v>0</v>
      </c>
      <c r="L656" t="n">
        <v>0</v>
      </c>
      <c r="M656" t="n">
        <v>0</v>
      </c>
      <c r="N656" t="n">
        <v>0</v>
      </c>
      <c r="O656" t="n">
        <v>0</v>
      </c>
      <c r="P656" t="n">
        <v>0</v>
      </c>
      <c r="Q656" t="n">
        <v>0</v>
      </c>
      <c r="R656" s="2" t="inlineStr"/>
    </row>
    <row r="657" ht="15" customHeight="1">
      <c r="A657" t="inlineStr">
        <is>
          <t>A 38883-2024</t>
        </is>
      </c>
      <c r="B657" s="1" t="n">
        <v>45547</v>
      </c>
      <c r="C657" s="1" t="n">
        <v>46142</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4667-2024</t>
        </is>
      </c>
      <c r="B658" s="1" t="n">
        <v>45328.47</v>
      </c>
      <c r="C658" s="1" t="n">
        <v>46142</v>
      </c>
      <c r="D658" t="inlineStr">
        <is>
          <t>SÖDERMANLANDS LÄN</t>
        </is>
      </c>
      <c r="E658" t="inlineStr">
        <is>
          <t>KATRINEHOLM</t>
        </is>
      </c>
      <c r="F658" t="inlineStr">
        <is>
          <t>Övriga Aktiebolag</t>
        </is>
      </c>
      <c r="G658" t="n">
        <v>10.2</v>
      </c>
      <c r="H658" t="n">
        <v>0</v>
      </c>
      <c r="I658" t="n">
        <v>0</v>
      </c>
      <c r="J658" t="n">
        <v>0</v>
      </c>
      <c r="K658" t="n">
        <v>0</v>
      </c>
      <c r="L658" t="n">
        <v>0</v>
      </c>
      <c r="M658" t="n">
        <v>0</v>
      </c>
      <c r="N658" t="n">
        <v>0</v>
      </c>
      <c r="O658" t="n">
        <v>0</v>
      </c>
      <c r="P658" t="n">
        <v>0</v>
      </c>
      <c r="Q658" t="n">
        <v>0</v>
      </c>
      <c r="R658" s="2" t="inlineStr"/>
    </row>
    <row r="659" ht="15" customHeight="1">
      <c r="A659" t="inlineStr">
        <is>
          <t>A 63948-2025</t>
        </is>
      </c>
      <c r="B659" s="1" t="n">
        <v>46010</v>
      </c>
      <c r="C659" s="1" t="n">
        <v>46142</v>
      </c>
      <c r="D659" t="inlineStr">
        <is>
          <t>SÖDERMANLANDS LÄN</t>
        </is>
      </c>
      <c r="E659" t="inlineStr">
        <is>
          <t>KATRINEHOLM</t>
        </is>
      </c>
      <c r="F659" t="inlineStr">
        <is>
          <t>Allmännings- och besparingsskogar</t>
        </is>
      </c>
      <c r="G659" t="n">
        <v>4.9</v>
      </c>
      <c r="H659" t="n">
        <v>0</v>
      </c>
      <c r="I659" t="n">
        <v>0</v>
      </c>
      <c r="J659" t="n">
        <v>0</v>
      </c>
      <c r="K659" t="n">
        <v>0</v>
      </c>
      <c r="L659" t="n">
        <v>0</v>
      </c>
      <c r="M659" t="n">
        <v>0</v>
      </c>
      <c r="N659" t="n">
        <v>0</v>
      </c>
      <c r="O659" t="n">
        <v>0</v>
      </c>
      <c r="P659" t="n">
        <v>0</v>
      </c>
      <c r="Q659" t="n">
        <v>0</v>
      </c>
      <c r="R659" s="2" t="inlineStr"/>
    </row>
    <row r="660" ht="15" customHeight="1">
      <c r="A660" t="inlineStr">
        <is>
          <t>A 39704-2023</t>
        </is>
      </c>
      <c r="B660" s="1" t="n">
        <v>45167</v>
      </c>
      <c r="C660" s="1" t="n">
        <v>46142</v>
      </c>
      <c r="D660" t="inlineStr">
        <is>
          <t>SÖDERMANLANDS LÄN</t>
        </is>
      </c>
      <c r="E660" t="inlineStr">
        <is>
          <t>KATRINEHOLM</t>
        </is>
      </c>
      <c r="F660" t="inlineStr">
        <is>
          <t>Övriga Aktiebolag</t>
        </is>
      </c>
      <c r="G660" t="n">
        <v>3.4</v>
      </c>
      <c r="H660" t="n">
        <v>0</v>
      </c>
      <c r="I660" t="n">
        <v>0</v>
      </c>
      <c r="J660" t="n">
        <v>0</v>
      </c>
      <c r="K660" t="n">
        <v>0</v>
      </c>
      <c r="L660" t="n">
        <v>0</v>
      </c>
      <c r="M660" t="n">
        <v>0</v>
      </c>
      <c r="N660" t="n">
        <v>0</v>
      </c>
      <c r="O660" t="n">
        <v>0</v>
      </c>
      <c r="P660" t="n">
        <v>0</v>
      </c>
      <c r="Q660" t="n">
        <v>0</v>
      </c>
      <c r="R660" s="2" t="inlineStr"/>
    </row>
    <row r="661" ht="15" customHeight="1">
      <c r="A661" t="inlineStr">
        <is>
          <t>A 16087-2023</t>
        </is>
      </c>
      <c r="B661" s="1" t="n">
        <v>45026</v>
      </c>
      <c r="C661" s="1" t="n">
        <v>46142</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28652-2024</t>
        </is>
      </c>
      <c r="B662" s="1" t="n">
        <v>45478</v>
      </c>
      <c r="C662" s="1" t="n">
        <v>46142</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42791-2023</t>
        </is>
      </c>
      <c r="B663" s="1" t="n">
        <v>45181.92876157408</v>
      </c>
      <c r="C663" s="1" t="n">
        <v>46142</v>
      </c>
      <c r="D663" t="inlineStr">
        <is>
          <t>SÖDERMANLANDS LÄN</t>
        </is>
      </c>
      <c r="E663" t="inlineStr">
        <is>
          <t>KATRINEHOLM</t>
        </is>
      </c>
      <c r="G663" t="n">
        <v>4.1</v>
      </c>
      <c r="H663" t="n">
        <v>0</v>
      </c>
      <c r="I663" t="n">
        <v>0</v>
      </c>
      <c r="J663" t="n">
        <v>0</v>
      </c>
      <c r="K663" t="n">
        <v>0</v>
      </c>
      <c r="L663" t="n">
        <v>0</v>
      </c>
      <c r="M663" t="n">
        <v>0</v>
      </c>
      <c r="N663" t="n">
        <v>0</v>
      </c>
      <c r="O663" t="n">
        <v>0</v>
      </c>
      <c r="P663" t="n">
        <v>0</v>
      </c>
      <c r="Q663" t="n">
        <v>0</v>
      </c>
      <c r="R663" s="2" t="inlineStr"/>
    </row>
    <row r="664" ht="15" customHeight="1">
      <c r="A664" t="inlineStr">
        <is>
          <t>A 42792-2023</t>
        </is>
      </c>
      <c r="B664" s="1" t="n">
        <v>45181.95491898148</v>
      </c>
      <c r="C664" s="1" t="n">
        <v>46142</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31740-2022</t>
        </is>
      </c>
      <c r="B665" s="1" t="n">
        <v>44776</v>
      </c>
      <c r="C665" s="1" t="n">
        <v>46142</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4679-2023</t>
        </is>
      </c>
      <c r="B666" s="1" t="n">
        <v>44957.44885416667</v>
      </c>
      <c r="C666" s="1" t="n">
        <v>46142</v>
      </c>
      <c r="D666" t="inlineStr">
        <is>
          <t>SÖDERMANLANDS LÄN</t>
        </is>
      </c>
      <c r="E666" t="inlineStr">
        <is>
          <t>KATRINEHOLM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48528-2021</t>
        </is>
      </c>
      <c r="B667" s="1" t="n">
        <v>44449</v>
      </c>
      <c r="C667" s="1" t="n">
        <v>46142</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63895-2025</t>
        </is>
      </c>
      <c r="B668" s="1" t="n">
        <v>46020</v>
      </c>
      <c r="C668" s="1" t="n">
        <v>46142</v>
      </c>
      <c r="D668" t="inlineStr">
        <is>
          <t>SÖDERMANLANDS LÄN</t>
        </is>
      </c>
      <c r="E668" t="inlineStr">
        <is>
          <t>KATRINEHOLM</t>
        </is>
      </c>
      <c r="G668" t="n">
        <v>1.5</v>
      </c>
      <c r="H668" t="n">
        <v>0</v>
      </c>
      <c r="I668" t="n">
        <v>0</v>
      </c>
      <c r="J668" t="n">
        <v>0</v>
      </c>
      <c r="K668" t="n">
        <v>0</v>
      </c>
      <c r="L668" t="n">
        <v>0</v>
      </c>
      <c r="M668" t="n">
        <v>0</v>
      </c>
      <c r="N668" t="n">
        <v>0</v>
      </c>
      <c r="O668" t="n">
        <v>0</v>
      </c>
      <c r="P668" t="n">
        <v>0</v>
      </c>
      <c r="Q668" t="n">
        <v>0</v>
      </c>
      <c r="R668" s="2" t="inlineStr"/>
    </row>
    <row r="669" ht="15" customHeight="1">
      <c r="A669" t="inlineStr">
        <is>
          <t>A 48398-2022</t>
        </is>
      </c>
      <c r="B669" s="1" t="n">
        <v>44858.60809027778</v>
      </c>
      <c r="C669" s="1" t="n">
        <v>46142</v>
      </c>
      <c r="D669" t="inlineStr">
        <is>
          <t>SÖDERMANLANDS LÄN</t>
        </is>
      </c>
      <c r="E669" t="inlineStr">
        <is>
          <t>KATRINEHOLM</t>
        </is>
      </c>
      <c r="G669" t="n">
        <v>1.9</v>
      </c>
      <c r="H669" t="n">
        <v>0</v>
      </c>
      <c r="I669" t="n">
        <v>0</v>
      </c>
      <c r="J669" t="n">
        <v>0</v>
      </c>
      <c r="K669" t="n">
        <v>0</v>
      </c>
      <c r="L669" t="n">
        <v>0</v>
      </c>
      <c r="M669" t="n">
        <v>0</v>
      </c>
      <c r="N669" t="n">
        <v>0</v>
      </c>
      <c r="O669" t="n">
        <v>0</v>
      </c>
      <c r="P669" t="n">
        <v>0</v>
      </c>
      <c r="Q669" t="n">
        <v>0</v>
      </c>
      <c r="R669" s="2" t="inlineStr"/>
    </row>
    <row r="670" ht="15" customHeight="1">
      <c r="A670" t="inlineStr">
        <is>
          <t>A 54873-2025</t>
        </is>
      </c>
      <c r="B670" s="1" t="n">
        <v>45967</v>
      </c>
      <c r="C670" s="1" t="n">
        <v>46142</v>
      </c>
      <c r="D670" t="inlineStr">
        <is>
          <t>SÖDERMANLANDS LÄN</t>
        </is>
      </c>
      <c r="E670" t="inlineStr">
        <is>
          <t>KATRINEHOLM</t>
        </is>
      </c>
      <c r="G670" t="n">
        <v>2.7</v>
      </c>
      <c r="H670" t="n">
        <v>0</v>
      </c>
      <c r="I670" t="n">
        <v>0</v>
      </c>
      <c r="J670" t="n">
        <v>0</v>
      </c>
      <c r="K670" t="n">
        <v>0</v>
      </c>
      <c r="L670" t="n">
        <v>0</v>
      </c>
      <c r="M670" t="n">
        <v>0</v>
      </c>
      <c r="N670" t="n">
        <v>0</v>
      </c>
      <c r="O670" t="n">
        <v>0</v>
      </c>
      <c r="P670" t="n">
        <v>0</v>
      </c>
      <c r="Q670" t="n">
        <v>0</v>
      </c>
      <c r="R670" s="2" t="inlineStr"/>
    </row>
    <row r="671" ht="15" customHeight="1">
      <c r="A671" t="inlineStr">
        <is>
          <t>A 6753-2022</t>
        </is>
      </c>
      <c r="B671" s="1" t="n">
        <v>44602</v>
      </c>
      <c r="C671" s="1" t="n">
        <v>46142</v>
      </c>
      <c r="D671" t="inlineStr">
        <is>
          <t>SÖDERMANLANDS LÄN</t>
        </is>
      </c>
      <c r="E671" t="inlineStr">
        <is>
          <t>KATRINEHOLM</t>
        </is>
      </c>
      <c r="G671" t="n">
        <v>4.3</v>
      </c>
      <c r="H671" t="n">
        <v>0</v>
      </c>
      <c r="I671" t="n">
        <v>0</v>
      </c>
      <c r="J671" t="n">
        <v>0</v>
      </c>
      <c r="K671" t="n">
        <v>0</v>
      </c>
      <c r="L671" t="n">
        <v>0</v>
      </c>
      <c r="M671" t="n">
        <v>0</v>
      </c>
      <c r="N671" t="n">
        <v>0</v>
      </c>
      <c r="O671" t="n">
        <v>0</v>
      </c>
      <c r="P671" t="n">
        <v>0</v>
      </c>
      <c r="Q671" t="n">
        <v>0</v>
      </c>
      <c r="R671" s="2" t="inlineStr"/>
    </row>
    <row r="672" ht="15" customHeight="1">
      <c r="A672" t="inlineStr">
        <is>
          <t>A 15184-2023</t>
        </is>
      </c>
      <c r="B672" s="1" t="n">
        <v>45016</v>
      </c>
      <c r="C672" s="1" t="n">
        <v>46142</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38826-2021</t>
        </is>
      </c>
      <c r="B673" s="1" t="n">
        <v>44411</v>
      </c>
      <c r="C673" s="1" t="n">
        <v>46142</v>
      </c>
      <c r="D673" t="inlineStr">
        <is>
          <t>SÖDERMANLANDS LÄN</t>
        </is>
      </c>
      <c r="E673" t="inlineStr">
        <is>
          <t>KATRINEHOLM</t>
        </is>
      </c>
      <c r="G673" t="n">
        <v>3.1</v>
      </c>
      <c r="H673" t="n">
        <v>0</v>
      </c>
      <c r="I673" t="n">
        <v>0</v>
      </c>
      <c r="J673" t="n">
        <v>0</v>
      </c>
      <c r="K673" t="n">
        <v>0</v>
      </c>
      <c r="L673" t="n">
        <v>0</v>
      </c>
      <c r="M673" t="n">
        <v>0</v>
      </c>
      <c r="N673" t="n">
        <v>0</v>
      </c>
      <c r="O673" t="n">
        <v>0</v>
      </c>
      <c r="P673" t="n">
        <v>0</v>
      </c>
      <c r="Q673" t="n">
        <v>0</v>
      </c>
      <c r="R673" s="2" t="inlineStr"/>
    </row>
    <row r="674" ht="15" customHeight="1">
      <c r="A674" t="inlineStr">
        <is>
          <t>A 1098-2026</t>
        </is>
      </c>
      <c r="B674" s="1" t="n">
        <v>46030.66519675926</v>
      </c>
      <c r="C674" s="1" t="n">
        <v>46142</v>
      </c>
      <c r="D674" t="inlineStr">
        <is>
          <t>SÖDERMANLANDS LÄN</t>
        </is>
      </c>
      <c r="E674" t="inlineStr">
        <is>
          <t>KATRINEHOLM</t>
        </is>
      </c>
      <c r="G674" t="n">
        <v>3.4</v>
      </c>
      <c r="H674" t="n">
        <v>0</v>
      </c>
      <c r="I674" t="n">
        <v>0</v>
      </c>
      <c r="J674" t="n">
        <v>0</v>
      </c>
      <c r="K674" t="n">
        <v>0</v>
      </c>
      <c r="L674" t="n">
        <v>0</v>
      </c>
      <c r="M674" t="n">
        <v>0</v>
      </c>
      <c r="N674" t="n">
        <v>0</v>
      </c>
      <c r="O674" t="n">
        <v>0</v>
      </c>
      <c r="P674" t="n">
        <v>0</v>
      </c>
      <c r="Q674" t="n">
        <v>0</v>
      </c>
      <c r="R674" s="2" t="inlineStr"/>
    </row>
    <row r="675" ht="15" customHeight="1">
      <c r="A675" t="inlineStr">
        <is>
          <t>A 1106-2026</t>
        </is>
      </c>
      <c r="B675" s="1" t="n">
        <v>46030.67123842592</v>
      </c>
      <c r="C675" s="1" t="n">
        <v>46142</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29830-2023</t>
        </is>
      </c>
      <c r="B676" s="1" t="n">
        <v>45107</v>
      </c>
      <c r="C676" s="1" t="n">
        <v>46142</v>
      </c>
      <c r="D676" t="inlineStr">
        <is>
          <t>SÖDERMANLANDS LÄN</t>
        </is>
      </c>
      <c r="E676" t="inlineStr">
        <is>
          <t>KATRINEHOLM</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19098-2022</t>
        </is>
      </c>
      <c r="B677" s="1" t="n">
        <v>44691.52616898148</v>
      </c>
      <c r="C677" s="1" t="n">
        <v>46142</v>
      </c>
      <c r="D677" t="inlineStr">
        <is>
          <t>SÖDERMANLANDS LÄN</t>
        </is>
      </c>
      <c r="E677" t="inlineStr">
        <is>
          <t>KATRINEHOLM</t>
        </is>
      </c>
      <c r="G677" t="n">
        <v>5.5</v>
      </c>
      <c r="H677" t="n">
        <v>0</v>
      </c>
      <c r="I677" t="n">
        <v>0</v>
      </c>
      <c r="J677" t="n">
        <v>0</v>
      </c>
      <c r="K677" t="n">
        <v>0</v>
      </c>
      <c r="L677" t="n">
        <v>0</v>
      </c>
      <c r="M677" t="n">
        <v>0</v>
      </c>
      <c r="N677" t="n">
        <v>0</v>
      </c>
      <c r="O677" t="n">
        <v>0</v>
      </c>
      <c r="P677" t="n">
        <v>0</v>
      </c>
      <c r="Q677" t="n">
        <v>0</v>
      </c>
      <c r="R677" s="2" t="inlineStr"/>
    </row>
    <row r="678" ht="15" customHeight="1">
      <c r="A678" t="inlineStr">
        <is>
          <t>A 1112-2026</t>
        </is>
      </c>
      <c r="B678" s="1" t="n">
        <v>46030.68107638889</v>
      </c>
      <c r="C678" s="1" t="n">
        <v>46142</v>
      </c>
      <c r="D678" t="inlineStr">
        <is>
          <t>SÖDERMANLANDS LÄN</t>
        </is>
      </c>
      <c r="E678" t="inlineStr">
        <is>
          <t>KATRINEHOLM</t>
        </is>
      </c>
      <c r="G678" t="n">
        <v>3.2</v>
      </c>
      <c r="H678" t="n">
        <v>0</v>
      </c>
      <c r="I678" t="n">
        <v>0</v>
      </c>
      <c r="J678" t="n">
        <v>0</v>
      </c>
      <c r="K678" t="n">
        <v>0</v>
      </c>
      <c r="L678" t="n">
        <v>0</v>
      </c>
      <c r="M678" t="n">
        <v>0</v>
      </c>
      <c r="N678" t="n">
        <v>0</v>
      </c>
      <c r="O678" t="n">
        <v>0</v>
      </c>
      <c r="P678" t="n">
        <v>0</v>
      </c>
      <c r="Q678" t="n">
        <v>0</v>
      </c>
      <c r="R678" s="2" t="inlineStr"/>
    </row>
    <row r="679" ht="15" customHeight="1">
      <c r="A679" t="inlineStr">
        <is>
          <t>A 1114-2026</t>
        </is>
      </c>
      <c r="B679" s="1" t="n">
        <v>46030.684375</v>
      </c>
      <c r="C679" s="1" t="n">
        <v>46142</v>
      </c>
      <c r="D679" t="inlineStr">
        <is>
          <t>SÖDERMANLANDS LÄN</t>
        </is>
      </c>
      <c r="E679" t="inlineStr">
        <is>
          <t>KATRINEHOLM</t>
        </is>
      </c>
      <c r="G679" t="n">
        <v>0.9</v>
      </c>
      <c r="H679" t="n">
        <v>0</v>
      </c>
      <c r="I679" t="n">
        <v>0</v>
      </c>
      <c r="J679" t="n">
        <v>0</v>
      </c>
      <c r="K679" t="n">
        <v>0</v>
      </c>
      <c r="L679" t="n">
        <v>0</v>
      </c>
      <c r="M679" t="n">
        <v>0</v>
      </c>
      <c r="N679" t="n">
        <v>0</v>
      </c>
      <c r="O679" t="n">
        <v>0</v>
      </c>
      <c r="P679" t="n">
        <v>0</v>
      </c>
      <c r="Q679" t="n">
        <v>0</v>
      </c>
      <c r="R679" s="2" t="inlineStr"/>
    </row>
    <row r="680" ht="15" customHeight="1">
      <c r="A680" t="inlineStr">
        <is>
          <t>A 6628-2022</t>
        </is>
      </c>
      <c r="B680" s="1" t="n">
        <v>44601.78850694445</v>
      </c>
      <c r="C680" s="1" t="n">
        <v>46142</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72984-2021</t>
        </is>
      </c>
      <c r="B681" s="1" t="n">
        <v>44549.74741898148</v>
      </c>
      <c r="C681" s="1" t="n">
        <v>46142</v>
      </c>
      <c r="D681" t="inlineStr">
        <is>
          <t>SÖDERMANLANDS LÄN</t>
        </is>
      </c>
      <c r="E681" t="inlineStr">
        <is>
          <t>KATRINEHOLM</t>
        </is>
      </c>
      <c r="G681" t="n">
        <v>4.9</v>
      </c>
      <c r="H681" t="n">
        <v>0</v>
      </c>
      <c r="I681" t="n">
        <v>0</v>
      </c>
      <c r="J681" t="n">
        <v>0</v>
      </c>
      <c r="K681" t="n">
        <v>0</v>
      </c>
      <c r="L681" t="n">
        <v>0</v>
      </c>
      <c r="M681" t="n">
        <v>0</v>
      </c>
      <c r="N681" t="n">
        <v>0</v>
      </c>
      <c r="O681" t="n">
        <v>0</v>
      </c>
      <c r="P681" t="n">
        <v>0</v>
      </c>
      <c r="Q681" t="n">
        <v>0</v>
      </c>
      <c r="R681" s="2" t="inlineStr"/>
    </row>
    <row r="682" ht="15" customHeight="1">
      <c r="A682" t="inlineStr">
        <is>
          <t>A 2325-2023</t>
        </is>
      </c>
      <c r="B682" s="1" t="n">
        <v>44942</v>
      </c>
      <c r="C682" s="1" t="n">
        <v>46142</v>
      </c>
      <c r="D682" t="inlineStr">
        <is>
          <t>SÖDERMANLANDS LÄN</t>
        </is>
      </c>
      <c r="E682" t="inlineStr">
        <is>
          <t>KATRINEHOLM</t>
        </is>
      </c>
      <c r="G682" t="n">
        <v>5.6</v>
      </c>
      <c r="H682" t="n">
        <v>0</v>
      </c>
      <c r="I682" t="n">
        <v>0</v>
      </c>
      <c r="J682" t="n">
        <v>0</v>
      </c>
      <c r="K682" t="n">
        <v>0</v>
      </c>
      <c r="L682" t="n">
        <v>0</v>
      </c>
      <c r="M682" t="n">
        <v>0</v>
      </c>
      <c r="N682" t="n">
        <v>0</v>
      </c>
      <c r="O682" t="n">
        <v>0</v>
      </c>
      <c r="P682" t="n">
        <v>0</v>
      </c>
      <c r="Q682" t="n">
        <v>0</v>
      </c>
      <c r="R682" s="2" t="inlineStr"/>
    </row>
    <row r="683" ht="15" customHeight="1">
      <c r="A683" t="inlineStr">
        <is>
          <t>A 1668-2026</t>
        </is>
      </c>
      <c r="B683" s="1" t="n">
        <v>46034.55986111111</v>
      </c>
      <c r="C683" s="1" t="n">
        <v>46142</v>
      </c>
      <c r="D683" t="inlineStr">
        <is>
          <t>SÖDERMANLANDS LÄN</t>
        </is>
      </c>
      <c r="E683" t="inlineStr">
        <is>
          <t>KATRINEHOLM</t>
        </is>
      </c>
      <c r="G683" t="n">
        <v>4.1</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46142</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46142</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46142</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46142</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46142</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46142</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46142</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46142</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46142</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46142</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46142</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46142</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46142</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46142</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46142</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46142</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46142</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46142</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46142</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46142</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46142</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46142</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46142</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46142</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46142</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46142</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46142</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46142</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46142</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46142</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46142</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46142</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46142</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46142</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46142</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46142</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46142</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46142</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46142</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46142</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46142</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20768-2022</t>
        </is>
      </c>
      <c r="B725" s="1" t="n">
        <v>44701.36431712963</v>
      </c>
      <c r="C725" s="1" t="n">
        <v>46142</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15284-2023</t>
        </is>
      </c>
      <c r="B726" s="1" t="n">
        <v>45019</v>
      </c>
      <c r="C726" s="1" t="n">
        <v>46142</v>
      </c>
      <c r="D726" t="inlineStr">
        <is>
          <t>SÖDERMANLANDS LÄN</t>
        </is>
      </c>
      <c r="E726" t="inlineStr">
        <is>
          <t>KATRINEHOLM</t>
        </is>
      </c>
      <c r="F726" t="inlineStr">
        <is>
          <t>Allmännings- och besparingsskogar</t>
        </is>
      </c>
      <c r="G726" t="n">
        <v>17.4</v>
      </c>
      <c r="H726" t="n">
        <v>0</v>
      </c>
      <c r="I726" t="n">
        <v>0</v>
      </c>
      <c r="J726" t="n">
        <v>0</v>
      </c>
      <c r="K726" t="n">
        <v>0</v>
      </c>
      <c r="L726" t="n">
        <v>0</v>
      </c>
      <c r="M726" t="n">
        <v>0</v>
      </c>
      <c r="N726" t="n">
        <v>0</v>
      </c>
      <c r="O726" t="n">
        <v>0</v>
      </c>
      <c r="P726" t="n">
        <v>0</v>
      </c>
      <c r="Q726" t="n">
        <v>0</v>
      </c>
      <c r="R726" s="2" t="inlineStr"/>
    </row>
    <row r="727" ht="15" customHeight="1">
      <c r="A727" t="inlineStr">
        <is>
          <t>A 51613-2022</t>
        </is>
      </c>
      <c r="B727" s="1" t="n">
        <v>44871</v>
      </c>
      <c r="C727" s="1" t="n">
        <v>46142</v>
      </c>
      <c r="D727" t="inlineStr">
        <is>
          <t>SÖDERMANLANDS LÄN</t>
        </is>
      </c>
      <c r="E727" t="inlineStr">
        <is>
          <t>KATRINEHOLM</t>
        </is>
      </c>
      <c r="G727" t="n">
        <v>3</v>
      </c>
      <c r="H727" t="n">
        <v>0</v>
      </c>
      <c r="I727" t="n">
        <v>0</v>
      </c>
      <c r="J727" t="n">
        <v>0</v>
      </c>
      <c r="K727" t="n">
        <v>0</v>
      </c>
      <c r="L727" t="n">
        <v>0</v>
      </c>
      <c r="M727" t="n">
        <v>0</v>
      </c>
      <c r="N727" t="n">
        <v>0</v>
      </c>
      <c r="O727" t="n">
        <v>0</v>
      </c>
      <c r="P727" t="n">
        <v>0</v>
      </c>
      <c r="Q727" t="n">
        <v>0</v>
      </c>
      <c r="R727" s="2" t="inlineStr"/>
    </row>
    <row r="728" ht="15" customHeight="1">
      <c r="A728" t="inlineStr">
        <is>
          <t>A 37834-2023</t>
        </is>
      </c>
      <c r="B728" s="1" t="n">
        <v>45160</v>
      </c>
      <c r="C728" s="1" t="n">
        <v>46142</v>
      </c>
      <c r="D728" t="inlineStr">
        <is>
          <t>SÖDERMANLANDS LÄN</t>
        </is>
      </c>
      <c r="E728" t="inlineStr">
        <is>
          <t>KATRINEHOLM</t>
        </is>
      </c>
      <c r="F728" t="inlineStr">
        <is>
          <t>Kyrkan</t>
        </is>
      </c>
      <c r="G728" t="n">
        <v>2.8</v>
      </c>
      <c r="H728" t="n">
        <v>0</v>
      </c>
      <c r="I728" t="n">
        <v>0</v>
      </c>
      <c r="J728" t="n">
        <v>0</v>
      </c>
      <c r="K728" t="n">
        <v>0</v>
      </c>
      <c r="L728" t="n">
        <v>0</v>
      </c>
      <c r="M728" t="n">
        <v>0</v>
      </c>
      <c r="N728" t="n">
        <v>0</v>
      </c>
      <c r="O728" t="n">
        <v>0</v>
      </c>
      <c r="P728" t="n">
        <v>0</v>
      </c>
      <c r="Q728" t="n">
        <v>0</v>
      </c>
      <c r="R728" s="2" t="inlineStr"/>
    </row>
    <row r="729" ht="15" customHeight="1">
      <c r="A729" t="inlineStr">
        <is>
          <t>A 8475-2023</t>
        </is>
      </c>
      <c r="B729" s="1" t="n">
        <v>44977</v>
      </c>
      <c r="C729" s="1" t="n">
        <v>46142</v>
      </c>
      <c r="D729" t="inlineStr">
        <is>
          <t>SÖDERMANLANDS LÄN</t>
        </is>
      </c>
      <c r="E729" t="inlineStr">
        <is>
          <t>KATRINEHOLM</t>
        </is>
      </c>
      <c r="F729" t="inlineStr">
        <is>
          <t>Allmännings- och besparingsskogar</t>
        </is>
      </c>
      <c r="G729" t="n">
        <v>8.1</v>
      </c>
      <c r="H729" t="n">
        <v>0</v>
      </c>
      <c r="I729" t="n">
        <v>0</v>
      </c>
      <c r="J729" t="n">
        <v>0</v>
      </c>
      <c r="K729" t="n">
        <v>0</v>
      </c>
      <c r="L729" t="n">
        <v>0</v>
      </c>
      <c r="M729" t="n">
        <v>0</v>
      </c>
      <c r="N729" t="n">
        <v>0</v>
      </c>
      <c r="O729" t="n">
        <v>0</v>
      </c>
      <c r="P729" t="n">
        <v>0</v>
      </c>
      <c r="Q729" t="n">
        <v>0</v>
      </c>
      <c r="R729" s="2" t="inlineStr"/>
    </row>
    <row r="730" ht="15" customHeight="1">
      <c r="A730" t="inlineStr">
        <is>
          <t>A 32890-2024</t>
        </is>
      </c>
      <c r="B730" s="1" t="n">
        <v>45516</v>
      </c>
      <c r="C730" s="1" t="n">
        <v>46142</v>
      </c>
      <c r="D730" t="inlineStr">
        <is>
          <t>SÖDERMANLANDS LÄN</t>
        </is>
      </c>
      <c r="E730" t="inlineStr">
        <is>
          <t>KATRINEHOLM</t>
        </is>
      </c>
      <c r="G730" t="n">
        <v>2.6</v>
      </c>
      <c r="H730" t="n">
        <v>0</v>
      </c>
      <c r="I730" t="n">
        <v>0</v>
      </c>
      <c r="J730" t="n">
        <v>0</v>
      </c>
      <c r="K730" t="n">
        <v>0</v>
      </c>
      <c r="L730" t="n">
        <v>0</v>
      </c>
      <c r="M730" t="n">
        <v>0</v>
      </c>
      <c r="N730" t="n">
        <v>0</v>
      </c>
      <c r="O730" t="n">
        <v>0</v>
      </c>
      <c r="P730" t="n">
        <v>0</v>
      </c>
      <c r="Q730" t="n">
        <v>0</v>
      </c>
      <c r="R730" s="2" t="inlineStr"/>
    </row>
    <row r="731" ht="15" customHeight="1">
      <c r="A731" t="inlineStr">
        <is>
          <t>A 2320-2023</t>
        </is>
      </c>
      <c r="B731" s="1" t="n">
        <v>44942.58850694444</v>
      </c>
      <c r="C731" s="1" t="n">
        <v>46142</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59898-2022</t>
        </is>
      </c>
      <c r="B732" s="1" t="n">
        <v>44908</v>
      </c>
      <c r="C732" s="1" t="n">
        <v>46142</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20326-2023</t>
        </is>
      </c>
      <c r="B733" s="1" t="n">
        <v>45056.46821759259</v>
      </c>
      <c r="C733" s="1" t="n">
        <v>46142</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15392-2023</t>
        </is>
      </c>
      <c r="B734" s="1" t="n">
        <v>45016</v>
      </c>
      <c r="C734" s="1" t="n">
        <v>46142</v>
      </c>
      <c r="D734" t="inlineStr">
        <is>
          <t>SÖDERMANLANDS LÄN</t>
        </is>
      </c>
      <c r="E734" t="inlineStr">
        <is>
          <t>KATRINEHOLM</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45246-2023</t>
        </is>
      </c>
      <c r="B735" s="1" t="n">
        <v>45191</v>
      </c>
      <c r="C735" s="1" t="n">
        <v>46142</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2735-2025</t>
        </is>
      </c>
      <c r="B736" s="1" t="n">
        <v>45677</v>
      </c>
      <c r="C736" s="1" t="n">
        <v>46142</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49914-2023</t>
        </is>
      </c>
      <c r="B737" s="1" t="n">
        <v>45214</v>
      </c>
      <c r="C737" s="1" t="n">
        <v>46142</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17335-2023</t>
        </is>
      </c>
      <c r="B738" s="1" t="n">
        <v>45033</v>
      </c>
      <c r="C738" s="1" t="n">
        <v>46142</v>
      </c>
      <c r="D738" t="inlineStr">
        <is>
          <t>SÖDERMANLANDS LÄN</t>
        </is>
      </c>
      <c r="E738" t="inlineStr">
        <is>
          <t>KATRINEHOLM</t>
        </is>
      </c>
      <c r="G738" t="n">
        <v>3.3</v>
      </c>
      <c r="H738" t="n">
        <v>0</v>
      </c>
      <c r="I738" t="n">
        <v>0</v>
      </c>
      <c r="J738" t="n">
        <v>0</v>
      </c>
      <c r="K738" t="n">
        <v>0</v>
      </c>
      <c r="L738" t="n">
        <v>0</v>
      </c>
      <c r="M738" t="n">
        <v>0</v>
      </c>
      <c r="N738" t="n">
        <v>0</v>
      </c>
      <c r="O738" t="n">
        <v>0</v>
      </c>
      <c r="P738" t="n">
        <v>0</v>
      </c>
      <c r="Q738" t="n">
        <v>0</v>
      </c>
      <c r="R738" s="2" t="inlineStr"/>
    </row>
    <row r="739" ht="15" customHeight="1">
      <c r="A739" t="inlineStr">
        <is>
          <t>A 16605-2025</t>
        </is>
      </c>
      <c r="B739" s="1" t="n">
        <v>45753.61614583333</v>
      </c>
      <c r="C739" s="1" t="n">
        <v>46142</v>
      </c>
      <c r="D739" t="inlineStr">
        <is>
          <t>SÖDERMANLANDS LÄN</t>
        </is>
      </c>
      <c r="E739" t="inlineStr">
        <is>
          <t>KATRINEHOLM</t>
        </is>
      </c>
      <c r="G739" t="n">
        <v>5.2</v>
      </c>
      <c r="H739" t="n">
        <v>0</v>
      </c>
      <c r="I739" t="n">
        <v>0</v>
      </c>
      <c r="J739" t="n">
        <v>0</v>
      </c>
      <c r="K739" t="n">
        <v>0</v>
      </c>
      <c r="L739" t="n">
        <v>0</v>
      </c>
      <c r="M739" t="n">
        <v>0</v>
      </c>
      <c r="N739" t="n">
        <v>0</v>
      </c>
      <c r="O739" t="n">
        <v>0</v>
      </c>
      <c r="P739" t="n">
        <v>0</v>
      </c>
      <c r="Q739" t="n">
        <v>0</v>
      </c>
      <c r="R739" s="2" t="inlineStr"/>
    </row>
    <row r="740" ht="15" customHeight="1">
      <c r="A740" t="inlineStr">
        <is>
          <t>A 33141-2023</t>
        </is>
      </c>
      <c r="B740" s="1" t="n">
        <v>45126.65491898148</v>
      </c>
      <c r="C740" s="1" t="n">
        <v>46142</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58528-2024</t>
        </is>
      </c>
      <c r="B741" s="1" t="n">
        <v>45635.44527777778</v>
      </c>
      <c r="C741" s="1" t="n">
        <v>46142</v>
      </c>
      <c r="D741" t="inlineStr">
        <is>
          <t>SÖDERMANLANDS LÄN</t>
        </is>
      </c>
      <c r="E741" t="inlineStr">
        <is>
          <t>KATRINEHOLM</t>
        </is>
      </c>
      <c r="G741" t="n">
        <v>2.4</v>
      </c>
      <c r="H741" t="n">
        <v>0</v>
      </c>
      <c r="I741" t="n">
        <v>0</v>
      </c>
      <c r="J741" t="n">
        <v>0</v>
      </c>
      <c r="K741" t="n">
        <v>0</v>
      </c>
      <c r="L741" t="n">
        <v>0</v>
      </c>
      <c r="M741" t="n">
        <v>0</v>
      </c>
      <c r="N741" t="n">
        <v>0</v>
      </c>
      <c r="O741" t="n">
        <v>0</v>
      </c>
      <c r="P741" t="n">
        <v>0</v>
      </c>
      <c r="Q741" t="n">
        <v>0</v>
      </c>
      <c r="R741" s="2" t="inlineStr"/>
    </row>
    <row r="742" ht="15" customHeight="1">
      <c r="A742" t="inlineStr">
        <is>
          <t>A 9899-2023</t>
        </is>
      </c>
      <c r="B742" s="1" t="n">
        <v>44985</v>
      </c>
      <c r="C742" s="1" t="n">
        <v>46142</v>
      </c>
      <c r="D742" t="inlineStr">
        <is>
          <t>SÖDERMANLANDS LÄN</t>
        </is>
      </c>
      <c r="E742" t="inlineStr">
        <is>
          <t>KATRINEHOLM</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8288-2023</t>
        </is>
      </c>
      <c r="B743" s="1" t="n">
        <v>44974</v>
      </c>
      <c r="C743" s="1" t="n">
        <v>46142</v>
      </c>
      <c r="D743" t="inlineStr">
        <is>
          <t>SÖDERMANLANDS LÄN</t>
        </is>
      </c>
      <c r="E743" t="inlineStr">
        <is>
          <t>KATRINEHOLM</t>
        </is>
      </c>
      <c r="F743" t="inlineStr">
        <is>
          <t>Allmännings- och besparingsskogar</t>
        </is>
      </c>
      <c r="G743" t="n">
        <v>5.6</v>
      </c>
      <c r="H743" t="n">
        <v>0</v>
      </c>
      <c r="I743" t="n">
        <v>0</v>
      </c>
      <c r="J743" t="n">
        <v>0</v>
      </c>
      <c r="K743" t="n">
        <v>0</v>
      </c>
      <c r="L743" t="n">
        <v>0</v>
      </c>
      <c r="M743" t="n">
        <v>0</v>
      </c>
      <c r="N743" t="n">
        <v>0</v>
      </c>
      <c r="O743" t="n">
        <v>0</v>
      </c>
      <c r="P743" t="n">
        <v>0</v>
      </c>
      <c r="Q743" t="n">
        <v>0</v>
      </c>
      <c r="R743" s="2" t="inlineStr"/>
    </row>
    <row r="744" ht="15" customHeight="1">
      <c r="A744" t="inlineStr">
        <is>
          <t>A 3317-2023</t>
        </is>
      </c>
      <c r="B744" s="1" t="n">
        <v>44945</v>
      </c>
      <c r="C744" s="1" t="n">
        <v>46142</v>
      </c>
      <c r="D744" t="inlineStr">
        <is>
          <t>SÖDERMANLANDS LÄN</t>
        </is>
      </c>
      <c r="E744" t="inlineStr">
        <is>
          <t>KATRINEHOLM</t>
        </is>
      </c>
      <c r="G744" t="n">
        <v>3.2</v>
      </c>
      <c r="H744" t="n">
        <v>0</v>
      </c>
      <c r="I744" t="n">
        <v>0</v>
      </c>
      <c r="J744" t="n">
        <v>0</v>
      </c>
      <c r="K744" t="n">
        <v>0</v>
      </c>
      <c r="L744" t="n">
        <v>0</v>
      </c>
      <c r="M744" t="n">
        <v>0</v>
      </c>
      <c r="N744" t="n">
        <v>0</v>
      </c>
      <c r="O744" t="n">
        <v>0</v>
      </c>
      <c r="P744" t="n">
        <v>0</v>
      </c>
      <c r="Q744" t="n">
        <v>0</v>
      </c>
      <c r="R744" s="2" t="inlineStr"/>
    </row>
    <row r="745" ht="15" customHeight="1">
      <c r="A745" t="inlineStr">
        <is>
          <t>A 37185-2023</t>
        </is>
      </c>
      <c r="B745" s="1" t="n">
        <v>45154</v>
      </c>
      <c r="C745" s="1" t="n">
        <v>46142</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44872.57752314815</v>
      </c>
      <c r="C746" s="1" t="n">
        <v>46142</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49218-2023</t>
        </is>
      </c>
      <c r="B747" s="1" t="n">
        <v>45205</v>
      </c>
      <c r="C747" s="1" t="n">
        <v>46142</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46142</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1329-2025</t>
        </is>
      </c>
      <c r="B749" s="1" t="n">
        <v>45667</v>
      </c>
      <c r="C749" s="1" t="n">
        <v>46142</v>
      </c>
      <c r="D749" t="inlineStr">
        <is>
          <t>SÖDERMANLANDS LÄN</t>
        </is>
      </c>
      <c r="E749" t="inlineStr">
        <is>
          <t>KATRINEHOLM</t>
        </is>
      </c>
      <c r="G749" t="n">
        <v>2.7</v>
      </c>
      <c r="H749" t="n">
        <v>0</v>
      </c>
      <c r="I749" t="n">
        <v>0</v>
      </c>
      <c r="J749" t="n">
        <v>0</v>
      </c>
      <c r="K749" t="n">
        <v>0</v>
      </c>
      <c r="L749" t="n">
        <v>0</v>
      </c>
      <c r="M749" t="n">
        <v>0</v>
      </c>
      <c r="N749" t="n">
        <v>0</v>
      </c>
      <c r="O749" t="n">
        <v>0</v>
      </c>
      <c r="P749" t="n">
        <v>0</v>
      </c>
      <c r="Q749" t="n">
        <v>0</v>
      </c>
      <c r="R749" s="2" t="inlineStr"/>
    </row>
    <row r="750" ht="15" customHeight="1">
      <c r="A750" t="inlineStr">
        <is>
          <t>A 61398-2024</t>
        </is>
      </c>
      <c r="B750" s="1" t="n">
        <v>45646.42608796297</v>
      </c>
      <c r="C750" s="1" t="n">
        <v>46142</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24287-2024</t>
        </is>
      </c>
      <c r="B751" s="1" t="n">
        <v>45457</v>
      </c>
      <c r="C751" s="1" t="n">
        <v>46142</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8518-2023</t>
        </is>
      </c>
      <c r="B752" s="1" t="n">
        <v>44977</v>
      </c>
      <c r="C752" s="1" t="n">
        <v>46142</v>
      </c>
      <c r="D752" t="inlineStr">
        <is>
          <t>SÖDERMANLANDS LÄN</t>
        </is>
      </c>
      <c r="E752" t="inlineStr">
        <is>
          <t>KATRINEHOLM</t>
        </is>
      </c>
      <c r="F752" t="inlineStr">
        <is>
          <t>Allmännings- och besparingsskogar</t>
        </is>
      </c>
      <c r="G752" t="n">
        <v>35.3</v>
      </c>
      <c r="H752" t="n">
        <v>0</v>
      </c>
      <c r="I752" t="n">
        <v>0</v>
      </c>
      <c r="J752" t="n">
        <v>0</v>
      </c>
      <c r="K752" t="n">
        <v>0</v>
      </c>
      <c r="L752" t="n">
        <v>0</v>
      </c>
      <c r="M752" t="n">
        <v>0</v>
      </c>
      <c r="N752" t="n">
        <v>0</v>
      </c>
      <c r="O752" t="n">
        <v>0</v>
      </c>
      <c r="P752" t="n">
        <v>0</v>
      </c>
      <c r="Q752" t="n">
        <v>0</v>
      </c>
      <c r="R752" s="2" t="inlineStr"/>
    </row>
    <row r="753" ht="15" customHeight="1">
      <c r="A753" t="inlineStr">
        <is>
          <t>A 48030-2022</t>
        </is>
      </c>
      <c r="B753" s="1" t="n">
        <v>44855</v>
      </c>
      <c r="C753" s="1" t="n">
        <v>46142</v>
      </c>
      <c r="D753" t="inlineStr">
        <is>
          <t>SÖDERMANLANDS LÄN</t>
        </is>
      </c>
      <c r="E753" t="inlineStr">
        <is>
          <t>KATRINEHOLM</t>
        </is>
      </c>
      <c r="F753" t="inlineStr">
        <is>
          <t>Allmännings- och besparingsskogar</t>
        </is>
      </c>
      <c r="G753" t="n">
        <v>1.5</v>
      </c>
      <c r="H753" t="n">
        <v>0</v>
      </c>
      <c r="I753" t="n">
        <v>0</v>
      </c>
      <c r="J753" t="n">
        <v>0</v>
      </c>
      <c r="K753" t="n">
        <v>0</v>
      </c>
      <c r="L753" t="n">
        <v>0</v>
      </c>
      <c r="M753" t="n">
        <v>0</v>
      </c>
      <c r="N753" t="n">
        <v>0</v>
      </c>
      <c r="O753" t="n">
        <v>0</v>
      </c>
      <c r="P753" t="n">
        <v>0</v>
      </c>
      <c r="Q753" t="n">
        <v>0</v>
      </c>
      <c r="R753" s="2" t="inlineStr"/>
    </row>
    <row r="754" ht="15" customHeight="1">
      <c r="A754" t="inlineStr">
        <is>
          <t>A 948-2023</t>
        </is>
      </c>
      <c r="B754" s="1" t="n">
        <v>44934</v>
      </c>
      <c r="C754" s="1" t="n">
        <v>46142</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37542-2022</t>
        </is>
      </c>
      <c r="B755" s="1" t="n">
        <v>44809</v>
      </c>
      <c r="C755" s="1" t="n">
        <v>46142</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41229-2022</t>
        </is>
      </c>
      <c r="B756" s="1" t="n">
        <v>44825</v>
      </c>
      <c r="C756" s="1" t="n">
        <v>46142</v>
      </c>
      <c r="D756" t="inlineStr">
        <is>
          <t>SÖDERMANLANDS LÄN</t>
        </is>
      </c>
      <c r="E756" t="inlineStr">
        <is>
          <t>KATRINEHOLM</t>
        </is>
      </c>
      <c r="G756" t="n">
        <v>3.8</v>
      </c>
      <c r="H756" t="n">
        <v>0</v>
      </c>
      <c r="I756" t="n">
        <v>0</v>
      </c>
      <c r="J756" t="n">
        <v>0</v>
      </c>
      <c r="K756" t="n">
        <v>0</v>
      </c>
      <c r="L756" t="n">
        <v>0</v>
      </c>
      <c r="M756" t="n">
        <v>0</v>
      </c>
      <c r="N756" t="n">
        <v>0</v>
      </c>
      <c r="O756" t="n">
        <v>0</v>
      </c>
      <c r="P756" t="n">
        <v>0</v>
      </c>
      <c r="Q756" t="n">
        <v>0</v>
      </c>
      <c r="R756" s="2" t="inlineStr"/>
    </row>
    <row r="757" ht="15" customHeight="1">
      <c r="A757" t="inlineStr">
        <is>
          <t>A 64652-2023</t>
        </is>
      </c>
      <c r="B757" s="1" t="n">
        <v>45281</v>
      </c>
      <c r="C757" s="1" t="n">
        <v>46142</v>
      </c>
      <c r="D757" t="inlineStr">
        <is>
          <t>SÖDERMANLANDS LÄN</t>
        </is>
      </c>
      <c r="E757" t="inlineStr">
        <is>
          <t>KATRINEHOLM</t>
        </is>
      </c>
      <c r="F757" t="inlineStr">
        <is>
          <t>Övriga Aktiebolag</t>
        </is>
      </c>
      <c r="G757" t="n">
        <v>2.2</v>
      </c>
      <c r="H757" t="n">
        <v>0</v>
      </c>
      <c r="I757" t="n">
        <v>0</v>
      </c>
      <c r="J757" t="n">
        <v>0</v>
      </c>
      <c r="K757" t="n">
        <v>0</v>
      </c>
      <c r="L757" t="n">
        <v>0</v>
      </c>
      <c r="M757" t="n">
        <v>0</v>
      </c>
      <c r="N757" t="n">
        <v>0</v>
      </c>
      <c r="O757" t="n">
        <v>0</v>
      </c>
      <c r="P757" t="n">
        <v>0</v>
      </c>
      <c r="Q757" t="n">
        <v>0</v>
      </c>
      <c r="R757" s="2" t="inlineStr"/>
    </row>
    <row r="758" ht="15" customHeight="1">
      <c r="A758" t="inlineStr">
        <is>
          <t>A 51404-2023</t>
        </is>
      </c>
      <c r="B758" s="1" t="n">
        <v>45214</v>
      </c>
      <c r="C758" s="1" t="n">
        <v>46142</v>
      </c>
      <c r="D758" t="inlineStr">
        <is>
          <t>SÖDERMANLANDS LÄN</t>
        </is>
      </c>
      <c r="E758" t="inlineStr">
        <is>
          <t>KATRINEHOLM</t>
        </is>
      </c>
      <c r="G758" t="n">
        <v>9</v>
      </c>
      <c r="H758" t="n">
        <v>0</v>
      </c>
      <c r="I758" t="n">
        <v>0</v>
      </c>
      <c r="J758" t="n">
        <v>0</v>
      </c>
      <c r="K758" t="n">
        <v>0</v>
      </c>
      <c r="L758" t="n">
        <v>0</v>
      </c>
      <c r="M758" t="n">
        <v>0</v>
      </c>
      <c r="N758" t="n">
        <v>0</v>
      </c>
      <c r="O758" t="n">
        <v>0</v>
      </c>
      <c r="P758" t="n">
        <v>0</v>
      </c>
      <c r="Q758" t="n">
        <v>0</v>
      </c>
      <c r="R758" s="2" t="inlineStr"/>
    </row>
    <row r="759" ht="15" customHeight="1">
      <c r="A759" t="inlineStr">
        <is>
          <t>A 41946-2022</t>
        </is>
      </c>
      <c r="B759" s="1" t="n">
        <v>44830.38502314815</v>
      </c>
      <c r="C759" s="1" t="n">
        <v>46142</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3115-2024</t>
        </is>
      </c>
      <c r="B760" s="1" t="n">
        <v>45316.49630787037</v>
      </c>
      <c r="C760" s="1" t="n">
        <v>46142</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61431-2024</t>
        </is>
      </c>
      <c r="B761" s="1" t="n">
        <v>45646.45950231481</v>
      </c>
      <c r="C761" s="1" t="n">
        <v>46142</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44659-2023</t>
        </is>
      </c>
      <c r="B762" s="1" t="n">
        <v>45189</v>
      </c>
      <c r="C762" s="1" t="n">
        <v>46142</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51446-2023</t>
        </is>
      </c>
      <c r="B763" s="1" t="n">
        <v>45220.48068287037</v>
      </c>
      <c r="C763" s="1" t="n">
        <v>46142</v>
      </c>
      <c r="D763" t="inlineStr">
        <is>
          <t>SÖDERMANLANDS LÄN</t>
        </is>
      </c>
      <c r="E763" t="inlineStr">
        <is>
          <t>KATRINEHOLM</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27955-2023</t>
        </is>
      </c>
      <c r="B764" s="1" t="n">
        <v>45098</v>
      </c>
      <c r="C764" s="1" t="n">
        <v>46142</v>
      </c>
      <c r="D764" t="inlineStr">
        <is>
          <t>SÖDERMANLANDS LÄN</t>
        </is>
      </c>
      <c r="E764" t="inlineStr">
        <is>
          <t>KATRINEHOLM</t>
        </is>
      </c>
      <c r="G764" t="n">
        <v>5.9</v>
      </c>
      <c r="H764" t="n">
        <v>0</v>
      </c>
      <c r="I764" t="n">
        <v>0</v>
      </c>
      <c r="J764" t="n">
        <v>0</v>
      </c>
      <c r="K764" t="n">
        <v>0</v>
      </c>
      <c r="L764" t="n">
        <v>0</v>
      </c>
      <c r="M764" t="n">
        <v>0</v>
      </c>
      <c r="N764" t="n">
        <v>0</v>
      </c>
      <c r="O764" t="n">
        <v>0</v>
      </c>
      <c r="P764" t="n">
        <v>0</v>
      </c>
      <c r="Q764" t="n">
        <v>0</v>
      </c>
      <c r="R764" s="2" t="inlineStr"/>
    </row>
    <row r="765" ht="15" customHeight="1">
      <c r="A765" t="inlineStr">
        <is>
          <t>A 4669-2023</t>
        </is>
      </c>
      <c r="B765" s="1" t="n">
        <v>44957</v>
      </c>
      <c r="C765" s="1" t="n">
        <v>46142</v>
      </c>
      <c r="D765" t="inlineStr">
        <is>
          <t>SÖDERMANLANDS LÄN</t>
        </is>
      </c>
      <c r="E765" t="inlineStr">
        <is>
          <t>KATRINEHOLM</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4724-2023</t>
        </is>
      </c>
      <c r="B766" s="1" t="n">
        <v>44957</v>
      </c>
      <c r="C766" s="1" t="n">
        <v>46142</v>
      </c>
      <c r="D766" t="inlineStr">
        <is>
          <t>SÖDERMANLANDS LÄN</t>
        </is>
      </c>
      <c r="E766" t="inlineStr">
        <is>
          <t>KATRINEHOLM</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7197-2023</t>
        </is>
      </c>
      <c r="B767" s="1" t="n">
        <v>44965</v>
      </c>
      <c r="C767" s="1" t="n">
        <v>46142</v>
      </c>
      <c r="D767" t="inlineStr">
        <is>
          <t>SÖDERMANLANDS LÄN</t>
        </is>
      </c>
      <c r="E767" t="inlineStr">
        <is>
          <t>KATRINEHOLM</t>
        </is>
      </c>
      <c r="G767" t="n">
        <v>5.3</v>
      </c>
      <c r="H767" t="n">
        <v>0</v>
      </c>
      <c r="I767" t="n">
        <v>0</v>
      </c>
      <c r="J767" t="n">
        <v>0</v>
      </c>
      <c r="K767" t="n">
        <v>0</v>
      </c>
      <c r="L767" t="n">
        <v>0</v>
      </c>
      <c r="M767" t="n">
        <v>0</v>
      </c>
      <c r="N767" t="n">
        <v>0</v>
      </c>
      <c r="O767" t="n">
        <v>0</v>
      </c>
      <c r="P767" t="n">
        <v>0</v>
      </c>
      <c r="Q767" t="n">
        <v>0</v>
      </c>
      <c r="R767" s="2" t="inlineStr"/>
    </row>
    <row r="768" ht="15" customHeight="1">
      <c r="A768" t="inlineStr">
        <is>
          <t>A 6092-2025</t>
        </is>
      </c>
      <c r="B768" s="1" t="n">
        <v>45697</v>
      </c>
      <c r="C768" s="1" t="n">
        <v>46142</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5327-2025</t>
        </is>
      </c>
      <c r="B769" s="1" t="n">
        <v>45692</v>
      </c>
      <c r="C769" s="1" t="n">
        <v>46142</v>
      </c>
      <c r="D769" t="inlineStr">
        <is>
          <t>SÖDERMANLANDS LÄN</t>
        </is>
      </c>
      <c r="E769" t="inlineStr">
        <is>
          <t>KATRINEHOLM</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12929-2023</t>
        </is>
      </c>
      <c r="B770" s="1" t="n">
        <v>45001</v>
      </c>
      <c r="C770" s="1" t="n">
        <v>46142</v>
      </c>
      <c r="D770" t="inlineStr">
        <is>
          <t>SÖDERMANLANDS LÄN</t>
        </is>
      </c>
      <c r="E770" t="inlineStr">
        <is>
          <t>KATRINEHOLM</t>
        </is>
      </c>
      <c r="G770" t="n">
        <v>3.1</v>
      </c>
      <c r="H770" t="n">
        <v>0</v>
      </c>
      <c r="I770" t="n">
        <v>0</v>
      </c>
      <c r="J770" t="n">
        <v>0</v>
      </c>
      <c r="K770" t="n">
        <v>0</v>
      </c>
      <c r="L770" t="n">
        <v>0</v>
      </c>
      <c r="M770" t="n">
        <v>0</v>
      </c>
      <c r="N770" t="n">
        <v>0</v>
      </c>
      <c r="O770" t="n">
        <v>0</v>
      </c>
      <c r="P770" t="n">
        <v>0</v>
      </c>
      <c r="Q770" t="n">
        <v>0</v>
      </c>
      <c r="R770" s="2" t="inlineStr"/>
    </row>
    <row r="771" ht="15" customHeight="1">
      <c r="A771" t="inlineStr">
        <is>
          <t>A 12932-2023</t>
        </is>
      </c>
      <c r="B771" s="1" t="n">
        <v>45001</v>
      </c>
      <c r="C771" s="1" t="n">
        <v>46142</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50626-2024</t>
        </is>
      </c>
      <c r="B772" s="1" t="n">
        <v>45601</v>
      </c>
      <c r="C772" s="1" t="n">
        <v>46142</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7398-2024</t>
        </is>
      </c>
      <c r="B773" s="1" t="n">
        <v>45345</v>
      </c>
      <c r="C773" s="1" t="n">
        <v>46142</v>
      </c>
      <c r="D773" t="inlineStr">
        <is>
          <t>SÖDERMANLANDS LÄN</t>
        </is>
      </c>
      <c r="E773" t="inlineStr">
        <is>
          <t>KATRINEHOLM</t>
        </is>
      </c>
      <c r="G773" t="n">
        <v>4.4</v>
      </c>
      <c r="H773" t="n">
        <v>0</v>
      </c>
      <c r="I773" t="n">
        <v>0</v>
      </c>
      <c r="J773" t="n">
        <v>0</v>
      </c>
      <c r="K773" t="n">
        <v>0</v>
      </c>
      <c r="L773" t="n">
        <v>0</v>
      </c>
      <c r="M773" t="n">
        <v>0</v>
      </c>
      <c r="N773" t="n">
        <v>0</v>
      </c>
      <c r="O773" t="n">
        <v>0</v>
      </c>
      <c r="P773" t="n">
        <v>0</v>
      </c>
      <c r="Q773" t="n">
        <v>0</v>
      </c>
      <c r="R773" s="2" t="inlineStr"/>
    </row>
    <row r="774" ht="15" customHeight="1">
      <c r="A774" t="inlineStr">
        <is>
          <t>A 14629-2023</t>
        </is>
      </c>
      <c r="B774" s="1" t="n">
        <v>45013</v>
      </c>
      <c r="C774" s="1" t="n">
        <v>46142</v>
      </c>
      <c r="D774" t="inlineStr">
        <is>
          <t>SÖDERMANLANDS LÄN</t>
        </is>
      </c>
      <c r="E774" t="inlineStr">
        <is>
          <t>KATRINEHOLM</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49116-2024</t>
        </is>
      </c>
      <c r="B775" s="1" t="n">
        <v>45594.6605787037</v>
      </c>
      <c r="C775" s="1" t="n">
        <v>46142</v>
      </c>
      <c r="D775" t="inlineStr">
        <is>
          <t>SÖDERMANLANDS LÄN</t>
        </is>
      </c>
      <c r="E775" t="inlineStr">
        <is>
          <t>KATRINEHOLM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2683-2025</t>
        </is>
      </c>
      <c r="B776" s="1" t="n">
        <v>45677</v>
      </c>
      <c r="C776" s="1" t="n">
        <v>46142</v>
      </c>
      <c r="D776" t="inlineStr">
        <is>
          <t>SÖDERMANLANDS LÄN</t>
        </is>
      </c>
      <c r="E776" t="inlineStr">
        <is>
          <t>KATRINEHOLM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61410-2024</t>
        </is>
      </c>
      <c r="B777" s="1" t="n">
        <v>45646.43950231482</v>
      </c>
      <c r="C777" s="1" t="n">
        <v>46142</v>
      </c>
      <c r="D777" t="inlineStr">
        <is>
          <t>SÖDERMANLANDS LÄN</t>
        </is>
      </c>
      <c r="E777" t="inlineStr">
        <is>
          <t>KATRINEHOLM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3315-2023</t>
        </is>
      </c>
      <c r="B778" s="1" t="n">
        <v>44945</v>
      </c>
      <c r="C778" s="1" t="n">
        <v>46142</v>
      </c>
      <c r="D778" t="inlineStr">
        <is>
          <t>SÖDERMANLANDS LÄN</t>
        </is>
      </c>
      <c r="E778" t="inlineStr">
        <is>
          <t>KATRINEHOLM</t>
        </is>
      </c>
      <c r="G778" t="n">
        <v>0.8</v>
      </c>
      <c r="H778" t="n">
        <v>0</v>
      </c>
      <c r="I778" t="n">
        <v>0</v>
      </c>
      <c r="J778" t="n">
        <v>0</v>
      </c>
      <c r="K778" t="n">
        <v>0</v>
      </c>
      <c r="L778" t="n">
        <v>0</v>
      </c>
      <c r="M778" t="n">
        <v>0</v>
      </c>
      <c r="N778" t="n">
        <v>0</v>
      </c>
      <c r="O778" t="n">
        <v>0</v>
      </c>
      <c r="P778" t="n">
        <v>0</v>
      </c>
      <c r="Q778" t="n">
        <v>0</v>
      </c>
      <c r="R778" s="2" t="inlineStr"/>
    </row>
    <row r="779" ht="15" customHeight="1">
      <c r="A779" t="inlineStr">
        <is>
          <t>A 7867-2024</t>
        </is>
      </c>
      <c r="B779" s="1" t="n">
        <v>45350.32991898148</v>
      </c>
      <c r="C779" s="1" t="n">
        <v>46142</v>
      </c>
      <c r="D779" t="inlineStr">
        <is>
          <t>SÖDERMANLANDS LÄN</t>
        </is>
      </c>
      <c r="E779" t="inlineStr">
        <is>
          <t>KATRINEHOLM</t>
        </is>
      </c>
      <c r="F779" t="inlineStr">
        <is>
          <t>Kyrkan</t>
        </is>
      </c>
      <c r="G779" t="n">
        <v>3.3</v>
      </c>
      <c r="H779" t="n">
        <v>0</v>
      </c>
      <c r="I779" t="n">
        <v>0</v>
      </c>
      <c r="J779" t="n">
        <v>0</v>
      </c>
      <c r="K779" t="n">
        <v>0</v>
      </c>
      <c r="L779" t="n">
        <v>0</v>
      </c>
      <c r="M779" t="n">
        <v>0</v>
      </c>
      <c r="N779" t="n">
        <v>0</v>
      </c>
      <c r="O779" t="n">
        <v>0</v>
      </c>
      <c r="P779" t="n">
        <v>0</v>
      </c>
      <c r="Q779" t="n">
        <v>0</v>
      </c>
      <c r="R779" s="2" t="inlineStr"/>
    </row>
    <row r="780" ht="15" customHeight="1">
      <c r="A780" t="inlineStr">
        <is>
          <t>A 38869-2024</t>
        </is>
      </c>
      <c r="B780" s="1" t="n">
        <v>45547</v>
      </c>
      <c r="C780" s="1" t="n">
        <v>46142</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39010-2021</t>
        </is>
      </c>
      <c r="B781" s="1" t="n">
        <v>44412</v>
      </c>
      <c r="C781" s="1" t="n">
        <v>46142</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1091-2025</t>
        </is>
      </c>
      <c r="B782" s="1" t="n">
        <v>45666</v>
      </c>
      <c r="C782" s="1" t="n">
        <v>46142</v>
      </c>
      <c r="D782" t="inlineStr">
        <is>
          <t>SÖDERMANLANDS LÄN</t>
        </is>
      </c>
      <c r="E782" t="inlineStr">
        <is>
          <t>KATRINEHOLM</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6311-2025</t>
        </is>
      </c>
      <c r="B783" s="1" t="n">
        <v>45698</v>
      </c>
      <c r="C783" s="1" t="n">
        <v>46142</v>
      </c>
      <c r="D783" t="inlineStr">
        <is>
          <t>SÖDERMANLANDS LÄN</t>
        </is>
      </c>
      <c r="E783" t="inlineStr">
        <is>
          <t>KATRINEHOLM</t>
        </is>
      </c>
      <c r="G783" t="n">
        <v>0.3</v>
      </c>
      <c r="H783" t="n">
        <v>0</v>
      </c>
      <c r="I783" t="n">
        <v>0</v>
      </c>
      <c r="J783" t="n">
        <v>0</v>
      </c>
      <c r="K783" t="n">
        <v>0</v>
      </c>
      <c r="L783" t="n">
        <v>0</v>
      </c>
      <c r="M783" t="n">
        <v>0</v>
      </c>
      <c r="N783" t="n">
        <v>0</v>
      </c>
      <c r="O783" t="n">
        <v>0</v>
      </c>
      <c r="P783" t="n">
        <v>0</v>
      </c>
      <c r="Q783" t="n">
        <v>0</v>
      </c>
      <c r="R783" s="2" t="inlineStr"/>
    </row>
    <row r="784" ht="15" customHeight="1">
      <c r="A784" t="inlineStr">
        <is>
          <t>A 23838-2021</t>
        </is>
      </c>
      <c r="B784" s="1" t="n">
        <v>44335</v>
      </c>
      <c r="C784" s="1" t="n">
        <v>46142</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32943-2024</t>
        </is>
      </c>
      <c r="B785" s="1" t="n">
        <v>45517</v>
      </c>
      <c r="C785" s="1" t="n">
        <v>46142</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22119-2025</t>
        </is>
      </c>
      <c r="B786" s="1" t="n">
        <v>45785</v>
      </c>
      <c r="C786" s="1" t="n">
        <v>46142</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22113-2025</t>
        </is>
      </c>
      <c r="B787" s="1" t="n">
        <v>45785</v>
      </c>
      <c r="C787" s="1" t="n">
        <v>46142</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ht="15" customHeight="1">
      <c r="A788" t="inlineStr">
        <is>
          <t>A 24983-2024</t>
        </is>
      </c>
      <c r="B788" s="1" t="n">
        <v>45461</v>
      </c>
      <c r="C788" s="1" t="n">
        <v>46142</v>
      </c>
      <c r="D788" t="inlineStr">
        <is>
          <t>SÖDERMANLANDS LÄN</t>
        </is>
      </c>
      <c r="E788" t="inlineStr">
        <is>
          <t>KATRINEHOLM</t>
        </is>
      </c>
      <c r="G788" t="n">
        <v>2.6</v>
      </c>
      <c r="H788" t="n">
        <v>0</v>
      </c>
      <c r="I788" t="n">
        <v>0</v>
      </c>
      <c r="J788" t="n">
        <v>0</v>
      </c>
      <c r="K788" t="n">
        <v>0</v>
      </c>
      <c r="L788" t="n">
        <v>0</v>
      </c>
      <c r="M788" t="n">
        <v>0</v>
      </c>
      <c r="N788" t="n">
        <v>0</v>
      </c>
      <c r="O788" t="n">
        <v>0</v>
      </c>
      <c r="P788" t="n">
        <v>0</v>
      </c>
      <c r="Q788" t="n">
        <v>0</v>
      </c>
      <c r="R788" s="2" t="inlineStr"/>
    </row>
    <row r="789" ht="15" customHeight="1">
      <c r="A789" t="inlineStr">
        <is>
          <t>A 22476-2025</t>
        </is>
      </c>
      <c r="B789" s="1" t="n">
        <v>45786</v>
      </c>
      <c r="C789" s="1" t="n">
        <v>46142</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22336-2025</t>
        </is>
      </c>
      <c r="B790" s="1" t="n">
        <v>45786.44217592593</v>
      </c>
      <c r="C790" s="1" t="n">
        <v>46142</v>
      </c>
      <c r="D790" t="inlineStr">
        <is>
          <t>SÖDERMANLANDS LÄN</t>
        </is>
      </c>
      <c r="E790" t="inlineStr">
        <is>
          <t>KATRINEHOLM</t>
        </is>
      </c>
      <c r="G790" t="n">
        <v>1.4</v>
      </c>
      <c r="H790" t="n">
        <v>0</v>
      </c>
      <c r="I790" t="n">
        <v>0</v>
      </c>
      <c r="J790" t="n">
        <v>0</v>
      </c>
      <c r="K790" t="n">
        <v>0</v>
      </c>
      <c r="L790" t="n">
        <v>0</v>
      </c>
      <c r="M790" t="n">
        <v>0</v>
      </c>
      <c r="N790" t="n">
        <v>0</v>
      </c>
      <c r="O790" t="n">
        <v>0</v>
      </c>
      <c r="P790" t="n">
        <v>0</v>
      </c>
      <c r="Q790" t="n">
        <v>0</v>
      </c>
      <c r="R790" s="2" t="inlineStr"/>
    </row>
    <row r="791" ht="15" customHeight="1">
      <c r="A791" t="inlineStr">
        <is>
          <t>A 23050-2025</t>
        </is>
      </c>
      <c r="B791" s="1" t="n">
        <v>45790.69971064815</v>
      </c>
      <c r="C791" s="1" t="n">
        <v>46142</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24902-2024</t>
        </is>
      </c>
      <c r="B792" s="1" t="n">
        <v>45461</v>
      </c>
      <c r="C792" s="1" t="n">
        <v>46142</v>
      </c>
      <c r="D792" t="inlineStr">
        <is>
          <t>SÖDERMANLANDS LÄN</t>
        </is>
      </c>
      <c r="E792" t="inlineStr">
        <is>
          <t>KATRINEHOLM</t>
        </is>
      </c>
      <c r="G792" t="n">
        <v>3.5</v>
      </c>
      <c r="H792" t="n">
        <v>0</v>
      </c>
      <c r="I792" t="n">
        <v>0</v>
      </c>
      <c r="J792" t="n">
        <v>0</v>
      </c>
      <c r="K792" t="n">
        <v>0</v>
      </c>
      <c r="L792" t="n">
        <v>0</v>
      </c>
      <c r="M792" t="n">
        <v>0</v>
      </c>
      <c r="N792" t="n">
        <v>0</v>
      </c>
      <c r="O792" t="n">
        <v>0</v>
      </c>
      <c r="P792" t="n">
        <v>0</v>
      </c>
      <c r="Q792" t="n">
        <v>0</v>
      </c>
      <c r="R792" s="2" t="inlineStr"/>
    </row>
    <row r="793" ht="15" customHeight="1">
      <c r="A793" t="inlineStr">
        <is>
          <t>A 2603-2025</t>
        </is>
      </c>
      <c r="B793" s="1" t="n">
        <v>45674</v>
      </c>
      <c r="C793" s="1" t="n">
        <v>46142</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24566-2025</t>
        </is>
      </c>
      <c r="B794" s="1" t="n">
        <v>45798.46452546296</v>
      </c>
      <c r="C794" s="1" t="n">
        <v>46142</v>
      </c>
      <c r="D794" t="inlineStr">
        <is>
          <t>SÖDERMANLANDS LÄN</t>
        </is>
      </c>
      <c r="E794" t="inlineStr">
        <is>
          <t>KATRINEHOLM</t>
        </is>
      </c>
      <c r="G794" t="n">
        <v>6.3</v>
      </c>
      <c r="H794" t="n">
        <v>0</v>
      </c>
      <c r="I794" t="n">
        <v>0</v>
      </c>
      <c r="J794" t="n">
        <v>0</v>
      </c>
      <c r="K794" t="n">
        <v>0</v>
      </c>
      <c r="L794" t="n">
        <v>0</v>
      </c>
      <c r="M794" t="n">
        <v>0</v>
      </c>
      <c r="N794" t="n">
        <v>0</v>
      </c>
      <c r="O794" t="n">
        <v>0</v>
      </c>
      <c r="P794" t="n">
        <v>0</v>
      </c>
      <c r="Q794" t="n">
        <v>0</v>
      </c>
      <c r="R794" s="2" t="inlineStr"/>
    </row>
    <row r="795" ht="15" customHeight="1">
      <c r="A795" t="inlineStr">
        <is>
          <t>A 24605-2025</t>
        </is>
      </c>
      <c r="B795" s="1" t="n">
        <v>45798.57403935185</v>
      </c>
      <c r="C795" s="1" t="n">
        <v>46142</v>
      </c>
      <c r="D795" t="inlineStr">
        <is>
          <t>SÖDERMANLANDS LÄN</t>
        </is>
      </c>
      <c r="E795" t="inlineStr">
        <is>
          <t>KATRINEHOLM</t>
        </is>
      </c>
      <c r="G795" t="n">
        <v>7</v>
      </c>
      <c r="H795" t="n">
        <v>0</v>
      </c>
      <c r="I795" t="n">
        <v>0</v>
      </c>
      <c r="J795" t="n">
        <v>0</v>
      </c>
      <c r="K795" t="n">
        <v>0</v>
      </c>
      <c r="L795" t="n">
        <v>0</v>
      </c>
      <c r="M795" t="n">
        <v>0</v>
      </c>
      <c r="N795" t="n">
        <v>0</v>
      </c>
      <c r="O795" t="n">
        <v>0</v>
      </c>
      <c r="P795" t="n">
        <v>0</v>
      </c>
      <c r="Q795" t="n">
        <v>0</v>
      </c>
      <c r="R795" s="2" t="inlineStr"/>
    </row>
    <row r="796" ht="15" customHeight="1">
      <c r="A796" t="inlineStr">
        <is>
          <t>A 56086-2023</t>
        </is>
      </c>
      <c r="B796" s="1" t="n">
        <v>45240</v>
      </c>
      <c r="C796" s="1" t="n">
        <v>46142</v>
      </c>
      <c r="D796" t="inlineStr">
        <is>
          <t>SÖDERMANLANDS LÄN</t>
        </is>
      </c>
      <c r="E796" t="inlineStr">
        <is>
          <t>KATRINEHOLM</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61423-2024</t>
        </is>
      </c>
      <c r="B797" s="1" t="n">
        <v>45646.45209490741</v>
      </c>
      <c r="C797" s="1" t="n">
        <v>46142</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41727-2024</t>
        </is>
      </c>
      <c r="B798" s="1" t="n">
        <v>45560</v>
      </c>
      <c r="C798" s="1" t="n">
        <v>46142</v>
      </c>
      <c r="D798" t="inlineStr">
        <is>
          <t>SÖDERMANLANDS LÄN</t>
        </is>
      </c>
      <c r="E798" t="inlineStr">
        <is>
          <t>KATRINEHOLM</t>
        </is>
      </c>
      <c r="G798" t="n">
        <v>3.9</v>
      </c>
      <c r="H798" t="n">
        <v>0</v>
      </c>
      <c r="I798" t="n">
        <v>0</v>
      </c>
      <c r="J798" t="n">
        <v>0</v>
      </c>
      <c r="K798" t="n">
        <v>0</v>
      </c>
      <c r="L798" t="n">
        <v>0</v>
      </c>
      <c r="M798" t="n">
        <v>0</v>
      </c>
      <c r="N798" t="n">
        <v>0</v>
      </c>
      <c r="O798" t="n">
        <v>0</v>
      </c>
      <c r="P798" t="n">
        <v>0</v>
      </c>
      <c r="Q798" t="n">
        <v>0</v>
      </c>
      <c r="R798" s="2" t="inlineStr"/>
    </row>
    <row r="799" ht="15" customHeight="1">
      <c r="A799" t="inlineStr">
        <is>
          <t>A 24717-2025</t>
        </is>
      </c>
      <c r="B799" s="1" t="n">
        <v>45799.27168981481</v>
      </c>
      <c r="C799" s="1" t="n">
        <v>46142</v>
      </c>
      <c r="D799" t="inlineStr">
        <is>
          <t>SÖDERMANLANDS LÄN</t>
        </is>
      </c>
      <c r="E799" t="inlineStr">
        <is>
          <t>KATRINEHOLM</t>
        </is>
      </c>
      <c r="G799" t="n">
        <v>24.5</v>
      </c>
      <c r="H799" t="n">
        <v>0</v>
      </c>
      <c r="I799" t="n">
        <v>0</v>
      </c>
      <c r="J799" t="n">
        <v>0</v>
      </c>
      <c r="K799" t="n">
        <v>0</v>
      </c>
      <c r="L799" t="n">
        <v>0</v>
      </c>
      <c r="M799" t="n">
        <v>0</v>
      </c>
      <c r="N799" t="n">
        <v>0</v>
      </c>
      <c r="O799" t="n">
        <v>0</v>
      </c>
      <c r="P799" t="n">
        <v>0</v>
      </c>
      <c r="Q799" t="n">
        <v>0</v>
      </c>
      <c r="R799" s="2" t="inlineStr"/>
    </row>
    <row r="800" ht="15" customHeight="1">
      <c r="A800" t="inlineStr">
        <is>
          <t>A 53999-2023</t>
        </is>
      </c>
      <c r="B800" s="1" t="n">
        <v>45231</v>
      </c>
      <c r="C800" s="1" t="n">
        <v>46142</v>
      </c>
      <c r="D800" t="inlineStr">
        <is>
          <t>SÖDERMANLANDS LÄN</t>
        </is>
      </c>
      <c r="E800" t="inlineStr">
        <is>
          <t>KATRINEHOLM</t>
        </is>
      </c>
      <c r="G800" t="n">
        <v>5.4</v>
      </c>
      <c r="H800" t="n">
        <v>0</v>
      </c>
      <c r="I800" t="n">
        <v>0</v>
      </c>
      <c r="J800" t="n">
        <v>0</v>
      </c>
      <c r="K800" t="n">
        <v>0</v>
      </c>
      <c r="L800" t="n">
        <v>0</v>
      </c>
      <c r="M800" t="n">
        <v>0</v>
      </c>
      <c r="N800" t="n">
        <v>0</v>
      </c>
      <c r="O800" t="n">
        <v>0</v>
      </c>
      <c r="P800" t="n">
        <v>0</v>
      </c>
      <c r="Q800" t="n">
        <v>0</v>
      </c>
      <c r="R800" s="2" t="inlineStr"/>
    </row>
    <row r="801">
      <c r="A801" t="inlineStr">
        <is>
          <t>A 24719-2025</t>
        </is>
      </c>
      <c r="B801" s="1" t="n">
        <v>45799</v>
      </c>
      <c r="C801" s="1" t="n">
        <v>46142</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2026-04-30T11:07:40Z</dcterms:created>
  <dcterms:modified xmlns:dcterms="http://purl.org/dc/terms/" xmlns:xsi="http://www.w3.org/2001/XMLSchema-instance" xsi:type="dcterms:W3CDTF">2026-04-30T11:07:41Z</dcterms:modified>
</cp:coreProperties>
</file>