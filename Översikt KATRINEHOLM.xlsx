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45657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45657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45657</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45657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45657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45657</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45657</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45657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45657</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45657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45657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45657</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45657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45657</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45657</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45657</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45657</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45657</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45657</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45657</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45657</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45657</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45657</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45657</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45657</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45657</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45657</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45657</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45657</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45657</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45657</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45657</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45657</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45657</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45657</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45657</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45657</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45657</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45657</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45657</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45657</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45657</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45657</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45657</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45657</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45657</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45657</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45657</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18283-2020</t>
        </is>
      </c>
      <c r="B50" s="1" t="n">
        <v>43928</v>
      </c>
      <c r="C50" s="1" t="n">
        <v>45657</v>
      </c>
      <c r="D50" t="inlineStr">
        <is>
          <t>SÖDERMANLANDS LÄN</t>
        </is>
      </c>
      <c r="E50" t="inlineStr">
        <is>
          <t>KATRINEHOLM</t>
        </is>
      </c>
      <c r="F50" t="inlineStr">
        <is>
          <t>Kommuner</t>
        </is>
      </c>
      <c r="G50" t="n">
        <v>8.1</v>
      </c>
      <c r="H50" t="n">
        <v>1</v>
      </c>
      <c r="I50" t="n">
        <v>0</v>
      </c>
      <c r="J50" t="n">
        <v>0</v>
      </c>
      <c r="K50" t="n">
        <v>1</v>
      </c>
      <c r="L50" t="n">
        <v>0</v>
      </c>
      <c r="M50" t="n">
        <v>0</v>
      </c>
      <c r="N50" t="n">
        <v>0</v>
      </c>
      <c r="O50" t="n">
        <v>1</v>
      </c>
      <c r="P50" t="n">
        <v>1</v>
      </c>
      <c r="Q50" t="n">
        <v>1</v>
      </c>
      <c r="R50" s="2" t="inlineStr">
        <is>
          <t>Knärot</t>
        </is>
      </c>
      <c r="S50">
        <f>HYPERLINK("https://klasma.github.io/Logging_0483/artfynd/A 18283-2020 artfynd.xlsx", "A 18283-2020")</f>
        <v/>
      </c>
      <c r="T50">
        <f>HYPERLINK("https://klasma.github.io/Logging_0483/kartor/A 18283-2020 karta.png", "A 18283-2020")</f>
        <v/>
      </c>
      <c r="U50">
        <f>HYPERLINK("https://klasma.github.io/Logging_0483/knärot/A 18283-2020 karta knärot.png", "A 18283-2020")</f>
        <v/>
      </c>
      <c r="V50">
        <f>HYPERLINK("https://klasma.github.io/Logging_0483/klagomål/A 18283-2020 FSC-klagomål.docx", "A 18283-2020")</f>
        <v/>
      </c>
      <c r="W50">
        <f>HYPERLINK("https://klasma.github.io/Logging_0483/klagomålsmail/A 18283-2020 FSC-klagomål mail.docx", "A 18283-2020")</f>
        <v/>
      </c>
      <c r="X50">
        <f>HYPERLINK("https://klasma.github.io/Logging_0483/tillsyn/A 18283-2020 tillsynsbegäran.docx", "A 18283-2020")</f>
        <v/>
      </c>
      <c r="Y50">
        <f>HYPERLINK("https://klasma.github.io/Logging_0483/tillsynsmail/A 18283-2020 tillsynsbegäran mail.docx", "A 18283-2020")</f>
        <v/>
      </c>
    </row>
    <row r="51" ht="15" customHeight="1">
      <c r="A51" t="inlineStr">
        <is>
          <t>A 21808-2020</t>
        </is>
      </c>
      <c r="B51" s="1" t="n">
        <v>43958</v>
      </c>
      <c r="C51" s="1" t="n">
        <v>45657</v>
      </c>
      <c r="D51" t="inlineStr">
        <is>
          <t>SÖDERMANLANDS LÄN</t>
        </is>
      </c>
      <c r="E51" t="inlineStr">
        <is>
          <t>KATRINEHOLM</t>
        </is>
      </c>
      <c r="G51" t="n">
        <v>3.5</v>
      </c>
      <c r="H51" t="n">
        <v>0</v>
      </c>
      <c r="I51" t="n">
        <v>1</v>
      </c>
      <c r="J51" t="n">
        <v>0</v>
      </c>
      <c r="K51" t="n">
        <v>0</v>
      </c>
      <c r="L51" t="n">
        <v>0</v>
      </c>
      <c r="M51" t="n">
        <v>0</v>
      </c>
      <c r="N51" t="n">
        <v>0</v>
      </c>
      <c r="O51" t="n">
        <v>0</v>
      </c>
      <c r="P51" t="n">
        <v>0</v>
      </c>
      <c r="Q51" t="n">
        <v>1</v>
      </c>
      <c r="R51" s="2" t="inlineStr">
        <is>
          <t>Blomkålssvamp</t>
        </is>
      </c>
      <c r="S51">
        <f>HYPERLINK("https://klasma.github.io/Logging_0483/artfynd/A 21808-2020 artfynd.xlsx", "A 21808-2020")</f>
        <v/>
      </c>
      <c r="T51">
        <f>HYPERLINK("https://klasma.github.io/Logging_0483/kartor/A 21808-2020 karta.png", "A 21808-2020")</f>
        <v/>
      </c>
      <c r="V51">
        <f>HYPERLINK("https://klasma.github.io/Logging_0483/klagomål/A 21808-2020 FSC-klagomål.docx", "A 21808-2020")</f>
        <v/>
      </c>
      <c r="W51">
        <f>HYPERLINK("https://klasma.github.io/Logging_0483/klagomålsmail/A 21808-2020 FSC-klagomål mail.docx", "A 21808-2020")</f>
        <v/>
      </c>
      <c r="X51">
        <f>HYPERLINK("https://klasma.github.io/Logging_0483/tillsyn/A 21808-2020 tillsynsbegäran.docx", "A 21808-2020")</f>
        <v/>
      </c>
      <c r="Y51">
        <f>HYPERLINK("https://klasma.github.io/Logging_0483/tillsynsmail/A 21808-2020 tillsynsbegäran mail.docx", "A 21808-2020")</f>
        <v/>
      </c>
    </row>
    <row r="52" ht="15" customHeight="1">
      <c r="A52" t="inlineStr">
        <is>
          <t>A 47989-2020</t>
        </is>
      </c>
      <c r="B52" s="1" t="n">
        <v>44099</v>
      </c>
      <c r="C52" s="1" t="n">
        <v>45657</v>
      </c>
      <c r="D52" t="inlineStr">
        <is>
          <t>SÖDERMANLANDS LÄN</t>
        </is>
      </c>
      <c r="E52" t="inlineStr">
        <is>
          <t>KATRINEHOLM</t>
        </is>
      </c>
      <c r="F52" t="inlineStr">
        <is>
          <t>Övriga statliga verk och myndigheter</t>
        </is>
      </c>
      <c r="G52" t="n">
        <v>4.7</v>
      </c>
      <c r="H52" t="n">
        <v>0</v>
      </c>
      <c r="I52" t="n">
        <v>1</v>
      </c>
      <c r="J52" t="n">
        <v>0</v>
      </c>
      <c r="K52" t="n">
        <v>0</v>
      </c>
      <c r="L52" t="n">
        <v>0</v>
      </c>
      <c r="M52" t="n">
        <v>0</v>
      </c>
      <c r="N52" t="n">
        <v>0</v>
      </c>
      <c r="O52" t="n">
        <v>0</v>
      </c>
      <c r="P52" t="n">
        <v>0</v>
      </c>
      <c r="Q52" t="n">
        <v>1</v>
      </c>
      <c r="R52" s="2" t="inlineStr">
        <is>
          <t>Stubbspretmossa</t>
        </is>
      </c>
      <c r="S52">
        <f>HYPERLINK("https://klasma.github.io/Logging_0483/artfynd/A 47989-2020 artfynd.xlsx", "A 47989-2020")</f>
        <v/>
      </c>
      <c r="T52">
        <f>HYPERLINK("https://klasma.github.io/Logging_0483/kartor/A 47989-2020 karta.png", "A 47989-2020")</f>
        <v/>
      </c>
      <c r="V52">
        <f>HYPERLINK("https://klasma.github.io/Logging_0483/klagomål/A 47989-2020 FSC-klagomål.docx", "A 47989-2020")</f>
        <v/>
      </c>
      <c r="W52">
        <f>HYPERLINK("https://klasma.github.io/Logging_0483/klagomålsmail/A 47989-2020 FSC-klagomål mail.docx", "A 47989-2020")</f>
        <v/>
      </c>
      <c r="X52">
        <f>HYPERLINK("https://klasma.github.io/Logging_0483/tillsyn/A 47989-2020 tillsynsbegäran.docx", "A 47989-2020")</f>
        <v/>
      </c>
      <c r="Y52">
        <f>HYPERLINK("https://klasma.github.io/Logging_0483/tillsynsmail/A 47989-2020 tillsynsbegäran mail.docx", "A 47989-2020")</f>
        <v/>
      </c>
    </row>
    <row r="53" ht="15" customHeight="1">
      <c r="A53" t="inlineStr">
        <is>
          <t>A 66876-2020</t>
        </is>
      </c>
      <c r="B53" s="1" t="n">
        <v>44180</v>
      </c>
      <c r="C53" s="1" t="n">
        <v>45657</v>
      </c>
      <c r="D53" t="inlineStr">
        <is>
          <t>SÖDERMANLANDS LÄN</t>
        </is>
      </c>
      <c r="E53" t="inlineStr">
        <is>
          <t>KATRINEHOLM</t>
        </is>
      </c>
      <c r="G53" t="n">
        <v>3.7</v>
      </c>
      <c r="H53" t="n">
        <v>0</v>
      </c>
      <c r="I53" t="n">
        <v>1</v>
      </c>
      <c r="J53" t="n">
        <v>0</v>
      </c>
      <c r="K53" t="n">
        <v>0</v>
      </c>
      <c r="L53" t="n">
        <v>0</v>
      </c>
      <c r="M53" t="n">
        <v>0</v>
      </c>
      <c r="N53" t="n">
        <v>0</v>
      </c>
      <c r="O53" t="n">
        <v>0</v>
      </c>
      <c r="P53" t="n">
        <v>0</v>
      </c>
      <c r="Q53" t="n">
        <v>1</v>
      </c>
      <c r="R53" s="2" t="inlineStr">
        <is>
          <t>Dvärghäxört</t>
        </is>
      </c>
      <c r="S53">
        <f>HYPERLINK("https://klasma.github.io/Logging_0483/artfynd/A 66876-2020 artfynd.xlsx", "A 66876-2020")</f>
        <v/>
      </c>
      <c r="T53">
        <f>HYPERLINK("https://klasma.github.io/Logging_0483/kartor/A 66876-2020 karta.png", "A 66876-2020")</f>
        <v/>
      </c>
      <c r="V53">
        <f>HYPERLINK("https://klasma.github.io/Logging_0483/klagomål/A 66876-2020 FSC-klagomål.docx", "A 66876-2020")</f>
        <v/>
      </c>
      <c r="W53">
        <f>HYPERLINK("https://klasma.github.io/Logging_0483/klagomålsmail/A 66876-2020 FSC-klagomål mail.docx", "A 66876-2020")</f>
        <v/>
      </c>
      <c r="X53">
        <f>HYPERLINK("https://klasma.github.io/Logging_0483/tillsyn/A 66876-2020 tillsynsbegäran.docx", "A 66876-2020")</f>
        <v/>
      </c>
      <c r="Y53">
        <f>HYPERLINK("https://klasma.github.io/Logging_0483/tillsynsmail/A 66876-2020 tillsynsbegäran mail.docx", "A 66876-2020")</f>
        <v/>
      </c>
    </row>
    <row r="54" ht="15" customHeight="1">
      <c r="A54" t="inlineStr">
        <is>
          <t>A 43536-2021</t>
        </is>
      </c>
      <c r="B54" s="1" t="n">
        <v>44433</v>
      </c>
      <c r="C54" s="1" t="n">
        <v>45657</v>
      </c>
      <c r="D54" t="inlineStr">
        <is>
          <t>SÖDERMANLANDS LÄN</t>
        </is>
      </c>
      <c r="E54" t="inlineStr">
        <is>
          <t>KATRINEHOLM</t>
        </is>
      </c>
      <c r="G54" t="n">
        <v>6</v>
      </c>
      <c r="H54" t="n">
        <v>0</v>
      </c>
      <c r="I54" t="n">
        <v>0</v>
      </c>
      <c r="J54" t="n">
        <v>1</v>
      </c>
      <c r="K54" t="n">
        <v>0</v>
      </c>
      <c r="L54" t="n">
        <v>0</v>
      </c>
      <c r="M54" t="n">
        <v>0</v>
      </c>
      <c r="N54" t="n">
        <v>0</v>
      </c>
      <c r="O54" t="n">
        <v>1</v>
      </c>
      <c r="P54" t="n">
        <v>0</v>
      </c>
      <c r="Q54" t="n">
        <v>1</v>
      </c>
      <c r="R54" s="2" t="inlineStr">
        <is>
          <t>Pilblad</t>
        </is>
      </c>
      <c r="S54">
        <f>HYPERLINK("https://klasma.github.io/Logging_0483/artfynd/A 43536-2021 artfynd.xlsx", "A 43536-2021")</f>
        <v/>
      </c>
      <c r="T54">
        <f>HYPERLINK("https://klasma.github.io/Logging_0483/kartor/A 43536-2021 karta.png", "A 43536-2021")</f>
        <v/>
      </c>
      <c r="V54">
        <f>HYPERLINK("https://klasma.github.io/Logging_0483/klagomål/A 43536-2021 FSC-klagomål.docx", "A 43536-2021")</f>
        <v/>
      </c>
      <c r="W54">
        <f>HYPERLINK("https://klasma.github.io/Logging_0483/klagomålsmail/A 43536-2021 FSC-klagomål mail.docx", "A 43536-2021")</f>
        <v/>
      </c>
      <c r="X54">
        <f>HYPERLINK("https://klasma.github.io/Logging_0483/tillsyn/A 43536-2021 tillsynsbegäran.docx", "A 43536-2021")</f>
        <v/>
      </c>
      <c r="Y54">
        <f>HYPERLINK("https://klasma.github.io/Logging_0483/tillsynsmail/A 43536-2021 tillsynsbegäran mail.docx", "A 43536-2021")</f>
        <v/>
      </c>
    </row>
    <row r="55" ht="15" customHeight="1">
      <c r="A55" t="inlineStr">
        <is>
          <t>A 57519-2021</t>
        </is>
      </c>
      <c r="B55" s="1" t="n">
        <v>44483</v>
      </c>
      <c r="C55" s="1" t="n">
        <v>45657</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65184-2021</t>
        </is>
      </c>
      <c r="B56" s="1" t="n">
        <v>44512</v>
      </c>
      <c r="C56" s="1" t="n">
        <v>45657</v>
      </c>
      <c r="D56" t="inlineStr">
        <is>
          <t>SÖDERMANLANDS LÄN</t>
        </is>
      </c>
      <c r="E56" t="inlineStr">
        <is>
          <t>KATRINEHOLM</t>
        </is>
      </c>
      <c r="G56" t="n">
        <v>1.8</v>
      </c>
      <c r="H56" t="n">
        <v>1</v>
      </c>
      <c r="I56" t="n">
        <v>0</v>
      </c>
      <c r="J56" t="n">
        <v>1</v>
      </c>
      <c r="K56" t="n">
        <v>0</v>
      </c>
      <c r="L56" t="n">
        <v>0</v>
      </c>
      <c r="M56" t="n">
        <v>0</v>
      </c>
      <c r="N56" t="n">
        <v>0</v>
      </c>
      <c r="O56" t="n">
        <v>1</v>
      </c>
      <c r="P56" t="n">
        <v>0</v>
      </c>
      <c r="Q56" t="n">
        <v>1</v>
      </c>
      <c r="R56" s="2" t="inlineStr">
        <is>
          <t>Gulsparv</t>
        </is>
      </c>
      <c r="S56">
        <f>HYPERLINK("https://klasma.github.io/Logging_0483/artfynd/A 65184-2021 artfynd.xlsx", "A 65184-2021")</f>
        <v/>
      </c>
      <c r="T56">
        <f>HYPERLINK("https://klasma.github.io/Logging_0483/kartor/A 65184-2021 karta.png", "A 65184-2021")</f>
        <v/>
      </c>
      <c r="V56">
        <f>HYPERLINK("https://klasma.github.io/Logging_0483/klagomål/A 65184-2021 FSC-klagomål.docx", "A 65184-2021")</f>
        <v/>
      </c>
      <c r="W56">
        <f>HYPERLINK("https://klasma.github.io/Logging_0483/klagomålsmail/A 65184-2021 FSC-klagomål mail.docx", "A 65184-2021")</f>
        <v/>
      </c>
      <c r="X56">
        <f>HYPERLINK("https://klasma.github.io/Logging_0483/tillsyn/A 65184-2021 tillsynsbegäran.docx", "A 65184-2021")</f>
        <v/>
      </c>
      <c r="Y56">
        <f>HYPERLINK("https://klasma.github.io/Logging_0483/tillsynsmail/A 65184-2021 tillsynsbegäran mail.docx", "A 65184-2021")</f>
        <v/>
      </c>
      <c r="Z56">
        <f>HYPERLINK("https://klasma.github.io/Logging_0483/fåglar/A 65184-2021 prioriterade fågelarter.docx", "A 65184-2021")</f>
        <v/>
      </c>
    </row>
    <row r="57" ht="15" customHeight="1">
      <c r="A57" t="inlineStr">
        <is>
          <t>A 72851-2021</t>
        </is>
      </c>
      <c r="B57" s="1" t="n">
        <v>44546</v>
      </c>
      <c r="C57" s="1" t="n">
        <v>45657</v>
      </c>
      <c r="D57" t="inlineStr">
        <is>
          <t>SÖDERMANLANDS LÄN</t>
        </is>
      </c>
      <c r="E57" t="inlineStr">
        <is>
          <t>KATRINEHOLM</t>
        </is>
      </c>
      <c r="G57" t="n">
        <v>0.7</v>
      </c>
      <c r="H57" t="n">
        <v>0</v>
      </c>
      <c r="I57" t="n">
        <v>0</v>
      </c>
      <c r="J57" t="n">
        <v>1</v>
      </c>
      <c r="K57" t="n">
        <v>0</v>
      </c>
      <c r="L57" t="n">
        <v>0</v>
      </c>
      <c r="M57" t="n">
        <v>0</v>
      </c>
      <c r="N57" t="n">
        <v>0</v>
      </c>
      <c r="O57" t="n">
        <v>1</v>
      </c>
      <c r="P57" t="n">
        <v>0</v>
      </c>
      <c r="Q57" t="n">
        <v>1</v>
      </c>
      <c r="R57" s="2" t="inlineStr">
        <is>
          <t>Klasefibbla</t>
        </is>
      </c>
      <c r="S57">
        <f>HYPERLINK("https://klasma.github.io/Logging_0483/artfynd/A 72851-2021 artfynd.xlsx", "A 72851-2021")</f>
        <v/>
      </c>
      <c r="T57">
        <f>HYPERLINK("https://klasma.github.io/Logging_0483/kartor/A 72851-2021 karta.png", "A 72851-2021")</f>
        <v/>
      </c>
      <c r="V57">
        <f>HYPERLINK("https://klasma.github.io/Logging_0483/klagomål/A 72851-2021 FSC-klagomål.docx", "A 72851-2021")</f>
        <v/>
      </c>
      <c r="W57">
        <f>HYPERLINK("https://klasma.github.io/Logging_0483/klagomålsmail/A 72851-2021 FSC-klagomål mail.docx", "A 72851-2021")</f>
        <v/>
      </c>
      <c r="X57">
        <f>HYPERLINK("https://klasma.github.io/Logging_0483/tillsyn/A 72851-2021 tillsynsbegäran.docx", "A 72851-2021")</f>
        <v/>
      </c>
      <c r="Y57">
        <f>HYPERLINK("https://klasma.github.io/Logging_0483/tillsynsmail/A 72851-2021 tillsynsbegäran mail.docx", "A 72851-2021")</f>
        <v/>
      </c>
    </row>
    <row r="58" ht="15" customHeight="1">
      <c r="A58" t="inlineStr">
        <is>
          <t>A 6076-2022</t>
        </is>
      </c>
      <c r="B58" s="1" t="n">
        <v>44599</v>
      </c>
      <c r="C58" s="1" t="n">
        <v>45657</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6768-2022</t>
        </is>
      </c>
      <c r="B59" s="1" t="n">
        <v>44602</v>
      </c>
      <c r="C59" s="1" t="n">
        <v>45657</v>
      </c>
      <c r="D59" t="inlineStr">
        <is>
          <t>SÖDERMANLANDS LÄN</t>
        </is>
      </c>
      <c r="E59" t="inlineStr">
        <is>
          <t>KATRINEHOLM</t>
        </is>
      </c>
      <c r="G59" t="n">
        <v>12</v>
      </c>
      <c r="H59" t="n">
        <v>0</v>
      </c>
      <c r="I59" t="n">
        <v>0</v>
      </c>
      <c r="J59" t="n">
        <v>1</v>
      </c>
      <c r="K59" t="n">
        <v>0</v>
      </c>
      <c r="L59" t="n">
        <v>0</v>
      </c>
      <c r="M59" t="n">
        <v>0</v>
      </c>
      <c r="N59" t="n">
        <v>0</v>
      </c>
      <c r="O59" t="n">
        <v>1</v>
      </c>
      <c r="P59" t="n">
        <v>0</v>
      </c>
      <c r="Q59" t="n">
        <v>1</v>
      </c>
      <c r="R59" s="2" t="inlineStr">
        <is>
          <t>Igelkott</t>
        </is>
      </c>
      <c r="S59">
        <f>HYPERLINK("https://klasma.github.io/Logging_0483/artfynd/A 6768-2022 artfynd.xlsx", "A 6768-2022")</f>
        <v/>
      </c>
      <c r="T59">
        <f>HYPERLINK("https://klasma.github.io/Logging_0483/kartor/A 6768-2022 karta.png", "A 6768-2022")</f>
        <v/>
      </c>
      <c r="V59">
        <f>HYPERLINK("https://klasma.github.io/Logging_0483/klagomål/A 6768-2022 FSC-klagomål.docx", "A 6768-2022")</f>
        <v/>
      </c>
      <c r="W59">
        <f>HYPERLINK("https://klasma.github.io/Logging_0483/klagomålsmail/A 6768-2022 FSC-klagomål mail.docx", "A 6768-2022")</f>
        <v/>
      </c>
      <c r="X59">
        <f>HYPERLINK("https://klasma.github.io/Logging_0483/tillsyn/A 6768-2022 tillsynsbegäran.docx", "A 6768-2022")</f>
        <v/>
      </c>
      <c r="Y59">
        <f>HYPERLINK("https://klasma.github.io/Logging_0483/tillsynsmail/A 6768-2022 tillsynsbegäran mail.docx", "A 6768-2022")</f>
        <v/>
      </c>
    </row>
    <row r="60" ht="15" customHeight="1">
      <c r="A60" t="inlineStr">
        <is>
          <t>A 16458-2022</t>
        </is>
      </c>
      <c r="B60" s="1" t="n">
        <v>44671</v>
      </c>
      <c r="C60" s="1" t="n">
        <v>45657</v>
      </c>
      <c r="D60" t="inlineStr">
        <is>
          <t>SÖDERMANLANDS LÄN</t>
        </is>
      </c>
      <c r="E60" t="inlineStr">
        <is>
          <t>KATRINEHOLM</t>
        </is>
      </c>
      <c r="G60" t="n">
        <v>16.4</v>
      </c>
      <c r="H60" t="n">
        <v>1</v>
      </c>
      <c r="I60" t="n">
        <v>0</v>
      </c>
      <c r="J60" t="n">
        <v>1</v>
      </c>
      <c r="K60" t="n">
        <v>0</v>
      </c>
      <c r="L60" t="n">
        <v>0</v>
      </c>
      <c r="M60" t="n">
        <v>0</v>
      </c>
      <c r="N60" t="n">
        <v>0</v>
      </c>
      <c r="O60" t="n">
        <v>1</v>
      </c>
      <c r="P60" t="n">
        <v>0</v>
      </c>
      <c r="Q60" t="n">
        <v>1</v>
      </c>
      <c r="R60" s="2" t="inlineStr">
        <is>
          <t>Duvhök</t>
        </is>
      </c>
      <c r="S60">
        <f>HYPERLINK("https://klasma.github.io/Logging_0483/artfynd/A 16458-2022 artfynd.xlsx", "A 16458-2022")</f>
        <v/>
      </c>
      <c r="T60">
        <f>HYPERLINK("https://klasma.github.io/Logging_0483/kartor/A 16458-2022 karta.png", "A 16458-2022")</f>
        <v/>
      </c>
      <c r="V60">
        <f>HYPERLINK("https://klasma.github.io/Logging_0483/klagomål/A 16458-2022 FSC-klagomål.docx", "A 16458-2022")</f>
        <v/>
      </c>
      <c r="W60">
        <f>HYPERLINK("https://klasma.github.io/Logging_0483/klagomålsmail/A 16458-2022 FSC-klagomål mail.docx", "A 16458-2022")</f>
        <v/>
      </c>
      <c r="X60">
        <f>HYPERLINK("https://klasma.github.io/Logging_0483/tillsyn/A 16458-2022 tillsynsbegäran.docx", "A 16458-2022")</f>
        <v/>
      </c>
      <c r="Y60">
        <f>HYPERLINK("https://klasma.github.io/Logging_0483/tillsynsmail/A 16458-2022 tillsynsbegäran mail.docx", "A 16458-2022")</f>
        <v/>
      </c>
      <c r="Z60">
        <f>HYPERLINK("https://klasma.github.io/Logging_0483/fåglar/A 16458-2022 prioriterade fågelarter.docx", "A 16458-2022")</f>
        <v/>
      </c>
    </row>
    <row r="61" ht="15" customHeight="1">
      <c r="A61" t="inlineStr">
        <is>
          <t>A 25724-2022</t>
        </is>
      </c>
      <c r="B61" s="1" t="n">
        <v>44733</v>
      </c>
      <c r="C61" s="1" t="n">
        <v>45657</v>
      </c>
      <c r="D61" t="inlineStr">
        <is>
          <t>SÖDERMANLANDS LÄN</t>
        </is>
      </c>
      <c r="E61" t="inlineStr">
        <is>
          <t>KATRINEHOLM</t>
        </is>
      </c>
      <c r="G61" t="n">
        <v>0.8</v>
      </c>
      <c r="H61" t="n">
        <v>0</v>
      </c>
      <c r="I61" t="n">
        <v>1</v>
      </c>
      <c r="J61" t="n">
        <v>0</v>
      </c>
      <c r="K61" t="n">
        <v>0</v>
      </c>
      <c r="L61" t="n">
        <v>0</v>
      </c>
      <c r="M61" t="n">
        <v>0</v>
      </c>
      <c r="N61" t="n">
        <v>0</v>
      </c>
      <c r="O61" t="n">
        <v>0</v>
      </c>
      <c r="P61" t="n">
        <v>0</v>
      </c>
      <c r="Q61" t="n">
        <v>1</v>
      </c>
      <c r="R61" s="2" t="inlineStr">
        <is>
          <t>Kamjordstjärna</t>
        </is>
      </c>
      <c r="S61">
        <f>HYPERLINK("https://klasma.github.io/Logging_0483/artfynd/A 25724-2022 artfynd.xlsx", "A 25724-2022")</f>
        <v/>
      </c>
      <c r="T61">
        <f>HYPERLINK("https://klasma.github.io/Logging_0483/kartor/A 25724-2022 karta.png", "A 25724-2022")</f>
        <v/>
      </c>
      <c r="V61">
        <f>HYPERLINK("https://klasma.github.io/Logging_0483/klagomål/A 25724-2022 FSC-klagomål.docx", "A 25724-2022")</f>
        <v/>
      </c>
      <c r="W61">
        <f>HYPERLINK("https://klasma.github.io/Logging_0483/klagomålsmail/A 25724-2022 FSC-klagomål mail.docx", "A 25724-2022")</f>
        <v/>
      </c>
      <c r="X61">
        <f>HYPERLINK("https://klasma.github.io/Logging_0483/tillsyn/A 25724-2022 tillsynsbegäran.docx", "A 25724-2022")</f>
        <v/>
      </c>
      <c r="Y61">
        <f>HYPERLINK("https://klasma.github.io/Logging_0483/tillsynsmail/A 25724-2022 tillsynsbegäran mail.docx", "A 25724-2022")</f>
        <v/>
      </c>
    </row>
    <row r="62" ht="15" customHeight="1">
      <c r="A62" t="inlineStr">
        <is>
          <t>A 28985-2022</t>
        </is>
      </c>
      <c r="B62" s="1" t="n">
        <v>44749</v>
      </c>
      <c r="C62" s="1" t="n">
        <v>45657</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30727-2022</t>
        </is>
      </c>
      <c r="B63" s="1" t="n">
        <v>44763</v>
      </c>
      <c r="C63" s="1" t="n">
        <v>45657</v>
      </c>
      <c r="D63" t="inlineStr">
        <is>
          <t>SÖDERMANLANDS LÄN</t>
        </is>
      </c>
      <c r="E63" t="inlineStr">
        <is>
          <t>KATRINEHOLM</t>
        </is>
      </c>
      <c r="F63" t="inlineStr">
        <is>
          <t>Allmännings- och besparingsskogar</t>
        </is>
      </c>
      <c r="G63" t="n">
        <v>6.6</v>
      </c>
      <c r="H63" t="n">
        <v>1</v>
      </c>
      <c r="I63" t="n">
        <v>0</v>
      </c>
      <c r="J63" t="n">
        <v>0</v>
      </c>
      <c r="K63" t="n">
        <v>1</v>
      </c>
      <c r="L63" t="n">
        <v>0</v>
      </c>
      <c r="M63" t="n">
        <v>0</v>
      </c>
      <c r="N63" t="n">
        <v>0</v>
      </c>
      <c r="O63" t="n">
        <v>1</v>
      </c>
      <c r="P63" t="n">
        <v>1</v>
      </c>
      <c r="Q63" t="n">
        <v>1</v>
      </c>
      <c r="R63" s="2" t="inlineStr">
        <is>
          <t>Knärot</t>
        </is>
      </c>
      <c r="S63">
        <f>HYPERLINK("https://klasma.github.io/Logging_0483/artfynd/A 30727-2022 artfynd.xlsx", "A 30727-2022")</f>
        <v/>
      </c>
      <c r="T63">
        <f>HYPERLINK("https://klasma.github.io/Logging_0483/kartor/A 30727-2022 karta.png", "A 30727-2022")</f>
        <v/>
      </c>
      <c r="U63">
        <f>HYPERLINK("https://klasma.github.io/Logging_0483/knärot/A 30727-2022 karta knärot.png", "A 30727-2022")</f>
        <v/>
      </c>
      <c r="V63">
        <f>HYPERLINK("https://klasma.github.io/Logging_0483/klagomål/A 30727-2022 FSC-klagomål.docx", "A 30727-2022")</f>
        <v/>
      </c>
      <c r="W63">
        <f>HYPERLINK("https://klasma.github.io/Logging_0483/klagomålsmail/A 30727-2022 FSC-klagomål mail.docx", "A 30727-2022")</f>
        <v/>
      </c>
      <c r="X63">
        <f>HYPERLINK("https://klasma.github.io/Logging_0483/tillsyn/A 30727-2022 tillsynsbegäran.docx", "A 30727-2022")</f>
        <v/>
      </c>
      <c r="Y63">
        <f>HYPERLINK("https://klasma.github.io/Logging_0483/tillsynsmail/A 30727-2022 tillsynsbegäran mail.docx", "A 30727-2022")</f>
        <v/>
      </c>
    </row>
    <row r="64" ht="15" customHeight="1">
      <c r="A64" t="inlineStr">
        <is>
          <t>A 36220-2022</t>
        </is>
      </c>
      <c r="B64" s="1" t="n">
        <v>44803</v>
      </c>
      <c r="C64" s="1" t="n">
        <v>45657</v>
      </c>
      <c r="D64" t="inlineStr">
        <is>
          <t>SÖDERMANLANDS LÄN</t>
        </is>
      </c>
      <c r="E64" t="inlineStr">
        <is>
          <t>KATRINEHOLM</t>
        </is>
      </c>
      <c r="G64" t="n">
        <v>3.1</v>
      </c>
      <c r="H64" t="n">
        <v>0</v>
      </c>
      <c r="I64" t="n">
        <v>1</v>
      </c>
      <c r="J64" t="n">
        <v>0</v>
      </c>
      <c r="K64" t="n">
        <v>0</v>
      </c>
      <c r="L64" t="n">
        <v>0</v>
      </c>
      <c r="M64" t="n">
        <v>0</v>
      </c>
      <c r="N64" t="n">
        <v>0</v>
      </c>
      <c r="O64" t="n">
        <v>0</v>
      </c>
      <c r="P64" t="n">
        <v>0</v>
      </c>
      <c r="Q64" t="n">
        <v>1</v>
      </c>
      <c r="R64" s="2" t="inlineStr">
        <is>
          <t>Granbräken</t>
        </is>
      </c>
      <c r="S64">
        <f>HYPERLINK("https://klasma.github.io/Logging_0483/artfynd/A 36220-2022 artfynd.xlsx", "A 36220-2022")</f>
        <v/>
      </c>
      <c r="T64">
        <f>HYPERLINK("https://klasma.github.io/Logging_0483/kartor/A 36220-2022 karta.png", "A 36220-2022")</f>
        <v/>
      </c>
      <c r="V64">
        <f>HYPERLINK("https://klasma.github.io/Logging_0483/klagomål/A 36220-2022 FSC-klagomål.docx", "A 36220-2022")</f>
        <v/>
      </c>
      <c r="W64">
        <f>HYPERLINK("https://klasma.github.io/Logging_0483/klagomålsmail/A 36220-2022 FSC-klagomål mail.docx", "A 36220-2022")</f>
        <v/>
      </c>
      <c r="X64">
        <f>HYPERLINK("https://klasma.github.io/Logging_0483/tillsyn/A 36220-2022 tillsynsbegäran.docx", "A 36220-2022")</f>
        <v/>
      </c>
      <c r="Y64">
        <f>HYPERLINK("https://klasma.github.io/Logging_0483/tillsynsmail/A 36220-2022 tillsynsbegäran mail.docx", "A 36220-2022")</f>
        <v/>
      </c>
    </row>
    <row r="65" ht="15" customHeight="1">
      <c r="A65" t="inlineStr">
        <is>
          <t>A 42745-2022</t>
        </is>
      </c>
      <c r="B65" s="1" t="n">
        <v>44831</v>
      </c>
      <c r="C65" s="1" t="n">
        <v>45657</v>
      </c>
      <c r="D65" t="inlineStr">
        <is>
          <t>SÖDERMANLANDS LÄN</t>
        </is>
      </c>
      <c r="E65" t="inlineStr">
        <is>
          <t>KATRINEHOLM</t>
        </is>
      </c>
      <c r="G65" t="n">
        <v>4.6</v>
      </c>
      <c r="H65" t="n">
        <v>0</v>
      </c>
      <c r="I65" t="n">
        <v>0</v>
      </c>
      <c r="J65" t="n">
        <v>1</v>
      </c>
      <c r="K65" t="n">
        <v>0</v>
      </c>
      <c r="L65" t="n">
        <v>0</v>
      </c>
      <c r="M65" t="n">
        <v>0</v>
      </c>
      <c r="N65" t="n">
        <v>0</v>
      </c>
      <c r="O65" t="n">
        <v>1</v>
      </c>
      <c r="P65" t="n">
        <v>0</v>
      </c>
      <c r="Q65" t="n">
        <v>1</v>
      </c>
      <c r="R65" s="2" t="inlineStr">
        <is>
          <t>Svedjenäva</t>
        </is>
      </c>
      <c r="S65">
        <f>HYPERLINK("https://klasma.github.io/Logging_0483/artfynd/A 42745-2022 artfynd.xlsx", "A 42745-2022")</f>
        <v/>
      </c>
      <c r="T65">
        <f>HYPERLINK("https://klasma.github.io/Logging_0483/kartor/A 42745-2022 karta.png", "A 42745-2022")</f>
        <v/>
      </c>
      <c r="V65">
        <f>HYPERLINK("https://klasma.github.io/Logging_0483/klagomål/A 42745-2022 FSC-klagomål.docx", "A 42745-2022")</f>
        <v/>
      </c>
      <c r="W65">
        <f>HYPERLINK("https://klasma.github.io/Logging_0483/klagomålsmail/A 42745-2022 FSC-klagomål mail.docx", "A 42745-2022")</f>
        <v/>
      </c>
      <c r="X65">
        <f>HYPERLINK("https://klasma.github.io/Logging_0483/tillsyn/A 42745-2022 tillsynsbegäran.docx", "A 42745-2022")</f>
        <v/>
      </c>
      <c r="Y65">
        <f>HYPERLINK("https://klasma.github.io/Logging_0483/tillsynsmail/A 42745-2022 tillsynsbegäran mail.docx", "A 42745-2022")</f>
        <v/>
      </c>
    </row>
    <row r="66" ht="15" customHeight="1">
      <c r="A66" t="inlineStr">
        <is>
          <t>A 44262-2022</t>
        </is>
      </c>
      <c r="B66" s="1" t="n">
        <v>44839</v>
      </c>
      <c r="C66" s="1" t="n">
        <v>45657</v>
      </c>
      <c r="D66" t="inlineStr">
        <is>
          <t>SÖDERMANLANDS LÄN</t>
        </is>
      </c>
      <c r="E66" t="inlineStr">
        <is>
          <t>KATRINEHOLM</t>
        </is>
      </c>
      <c r="G66" t="n">
        <v>0.1</v>
      </c>
      <c r="H66" t="n">
        <v>1</v>
      </c>
      <c r="I66" t="n">
        <v>0</v>
      </c>
      <c r="J66" t="n">
        <v>0</v>
      </c>
      <c r="K66" t="n">
        <v>1</v>
      </c>
      <c r="L66" t="n">
        <v>0</v>
      </c>
      <c r="M66" t="n">
        <v>0</v>
      </c>
      <c r="N66" t="n">
        <v>0</v>
      </c>
      <c r="O66" t="n">
        <v>1</v>
      </c>
      <c r="P66" t="n">
        <v>1</v>
      </c>
      <c r="Q66" t="n">
        <v>1</v>
      </c>
      <c r="R66" s="2" t="inlineStr">
        <is>
          <t>Bombmurkla</t>
        </is>
      </c>
      <c r="S66">
        <f>HYPERLINK("https://klasma.github.io/Logging_0483/artfynd/A 44262-2022 artfynd.xlsx", "A 44262-2022")</f>
        <v/>
      </c>
      <c r="T66">
        <f>HYPERLINK("https://klasma.github.io/Logging_0483/kartor/A 44262-2022 karta.png", "A 44262-2022")</f>
        <v/>
      </c>
      <c r="V66">
        <f>HYPERLINK("https://klasma.github.io/Logging_0483/klagomål/A 44262-2022 FSC-klagomål.docx", "A 44262-2022")</f>
        <v/>
      </c>
      <c r="W66">
        <f>HYPERLINK("https://klasma.github.io/Logging_0483/klagomålsmail/A 44262-2022 FSC-klagomål mail.docx", "A 44262-2022")</f>
        <v/>
      </c>
      <c r="X66">
        <f>HYPERLINK("https://klasma.github.io/Logging_0483/tillsyn/A 44262-2022 tillsynsbegäran.docx", "A 44262-2022")</f>
        <v/>
      </c>
      <c r="Y66">
        <f>HYPERLINK("https://klasma.github.io/Logging_0483/tillsynsmail/A 44262-2022 tillsynsbegäran mail.docx", "A 44262-2022")</f>
        <v/>
      </c>
    </row>
    <row r="67" ht="15" customHeight="1">
      <c r="A67" t="inlineStr">
        <is>
          <t>A 48822-2022</t>
        </is>
      </c>
      <c r="B67" s="1" t="n">
        <v>44854</v>
      </c>
      <c r="C67" s="1" t="n">
        <v>45657</v>
      </c>
      <c r="D67" t="inlineStr">
        <is>
          <t>SÖDERMANLANDS LÄN</t>
        </is>
      </c>
      <c r="E67" t="inlineStr">
        <is>
          <t>KATRINEHOLM</t>
        </is>
      </c>
      <c r="G67" t="n">
        <v>8.6</v>
      </c>
      <c r="H67" t="n">
        <v>0</v>
      </c>
      <c r="I67" t="n">
        <v>1</v>
      </c>
      <c r="J67" t="n">
        <v>0</v>
      </c>
      <c r="K67" t="n">
        <v>0</v>
      </c>
      <c r="L67" t="n">
        <v>0</v>
      </c>
      <c r="M67" t="n">
        <v>0</v>
      </c>
      <c r="N67" t="n">
        <v>0</v>
      </c>
      <c r="O67" t="n">
        <v>0</v>
      </c>
      <c r="P67" t="n">
        <v>0</v>
      </c>
      <c r="Q67" t="n">
        <v>1</v>
      </c>
      <c r="R67" s="2" t="inlineStr">
        <is>
          <t>Vågbandad barkbock</t>
        </is>
      </c>
      <c r="S67">
        <f>HYPERLINK("https://klasma.github.io/Logging_0483/artfynd/A 48822-2022 artfynd.xlsx", "A 48822-2022")</f>
        <v/>
      </c>
      <c r="T67">
        <f>HYPERLINK("https://klasma.github.io/Logging_0483/kartor/A 48822-2022 karta.png", "A 48822-2022")</f>
        <v/>
      </c>
      <c r="V67">
        <f>HYPERLINK("https://klasma.github.io/Logging_0483/klagomål/A 48822-2022 FSC-klagomål.docx", "A 48822-2022")</f>
        <v/>
      </c>
      <c r="W67">
        <f>HYPERLINK("https://klasma.github.io/Logging_0483/klagomålsmail/A 48822-2022 FSC-klagomål mail.docx", "A 48822-2022")</f>
        <v/>
      </c>
      <c r="X67">
        <f>HYPERLINK("https://klasma.github.io/Logging_0483/tillsyn/A 48822-2022 tillsynsbegäran.docx", "A 48822-2022")</f>
        <v/>
      </c>
      <c r="Y67">
        <f>HYPERLINK("https://klasma.github.io/Logging_0483/tillsynsmail/A 48822-2022 tillsynsbegäran mail.docx", "A 48822-2022")</f>
        <v/>
      </c>
    </row>
    <row r="68" ht="15" customHeight="1">
      <c r="A68" t="inlineStr">
        <is>
          <t>A 53871-2022</t>
        </is>
      </c>
      <c r="B68" s="1" t="n">
        <v>44876</v>
      </c>
      <c r="C68" s="1" t="n">
        <v>45657</v>
      </c>
      <c r="D68" t="inlineStr">
        <is>
          <t>SÖDERMANLANDS LÄN</t>
        </is>
      </c>
      <c r="E68" t="inlineStr">
        <is>
          <t>KATRINEHOLM</t>
        </is>
      </c>
      <c r="G68" t="n">
        <v>5.3</v>
      </c>
      <c r="H68" t="n">
        <v>1</v>
      </c>
      <c r="I68" t="n">
        <v>0</v>
      </c>
      <c r="J68" t="n">
        <v>0</v>
      </c>
      <c r="K68" t="n">
        <v>0</v>
      </c>
      <c r="L68" t="n">
        <v>0</v>
      </c>
      <c r="M68" t="n">
        <v>0</v>
      </c>
      <c r="N68" t="n">
        <v>0</v>
      </c>
      <c r="O68" t="n">
        <v>0</v>
      </c>
      <c r="P68" t="n">
        <v>0</v>
      </c>
      <c r="Q68" t="n">
        <v>1</v>
      </c>
      <c r="R68" s="2" t="inlineStr">
        <is>
          <t>Törnskata</t>
        </is>
      </c>
      <c r="S68">
        <f>HYPERLINK("https://klasma.github.io/Logging_0483/artfynd/A 53871-2022 artfynd.xlsx", "A 53871-2022")</f>
        <v/>
      </c>
      <c r="T68">
        <f>HYPERLINK("https://klasma.github.io/Logging_0483/kartor/A 53871-2022 karta.png", "A 53871-2022")</f>
        <v/>
      </c>
      <c r="V68">
        <f>HYPERLINK("https://klasma.github.io/Logging_0483/klagomål/A 53871-2022 FSC-klagomål.docx", "A 53871-2022")</f>
        <v/>
      </c>
      <c r="W68">
        <f>HYPERLINK("https://klasma.github.io/Logging_0483/klagomålsmail/A 53871-2022 FSC-klagomål mail.docx", "A 53871-2022")</f>
        <v/>
      </c>
      <c r="X68">
        <f>HYPERLINK("https://klasma.github.io/Logging_0483/tillsyn/A 53871-2022 tillsynsbegäran.docx", "A 53871-2022")</f>
        <v/>
      </c>
      <c r="Y68">
        <f>HYPERLINK("https://klasma.github.io/Logging_0483/tillsynsmail/A 53871-2022 tillsynsbegäran mail.docx", "A 53871-2022")</f>
        <v/>
      </c>
      <c r="Z68">
        <f>HYPERLINK("https://klasma.github.io/Logging_0483/fåglar/A 53871-2022 prioriterade fågelarter.docx", "A 53871-2022")</f>
        <v/>
      </c>
    </row>
    <row r="69" ht="15" customHeight="1">
      <c r="A69" t="inlineStr">
        <is>
          <t>A 56074-2022</t>
        </is>
      </c>
      <c r="B69" s="1" t="n">
        <v>44889</v>
      </c>
      <c r="C69" s="1" t="n">
        <v>45657</v>
      </c>
      <c r="D69" t="inlineStr">
        <is>
          <t>SÖDERMANLANDS LÄN</t>
        </is>
      </c>
      <c r="E69" t="inlineStr">
        <is>
          <t>KATRINEHOLM</t>
        </is>
      </c>
      <c r="G69" t="n">
        <v>13.6</v>
      </c>
      <c r="H69" t="n">
        <v>1</v>
      </c>
      <c r="I69" t="n">
        <v>0</v>
      </c>
      <c r="J69" t="n">
        <v>0</v>
      </c>
      <c r="K69" t="n">
        <v>0</v>
      </c>
      <c r="L69" t="n">
        <v>0</v>
      </c>
      <c r="M69" t="n">
        <v>0</v>
      </c>
      <c r="N69" t="n">
        <v>0</v>
      </c>
      <c r="O69" t="n">
        <v>0</v>
      </c>
      <c r="P69" t="n">
        <v>0</v>
      </c>
      <c r="Q69" t="n">
        <v>1</v>
      </c>
      <c r="R69" s="2" t="inlineStr">
        <is>
          <t>Revlummer</t>
        </is>
      </c>
      <c r="S69">
        <f>HYPERLINK("https://klasma.github.io/Logging_0483/artfynd/A 56074-2022 artfynd.xlsx", "A 56074-2022")</f>
        <v/>
      </c>
      <c r="T69">
        <f>HYPERLINK("https://klasma.github.io/Logging_0483/kartor/A 56074-2022 karta.png", "A 56074-2022")</f>
        <v/>
      </c>
      <c r="V69">
        <f>HYPERLINK("https://klasma.github.io/Logging_0483/klagomål/A 56074-2022 FSC-klagomål.docx", "A 56074-2022")</f>
        <v/>
      </c>
      <c r="W69">
        <f>HYPERLINK("https://klasma.github.io/Logging_0483/klagomålsmail/A 56074-2022 FSC-klagomål mail.docx", "A 56074-2022")</f>
        <v/>
      </c>
      <c r="X69">
        <f>HYPERLINK("https://klasma.github.io/Logging_0483/tillsyn/A 56074-2022 tillsynsbegäran.docx", "A 56074-2022")</f>
        <v/>
      </c>
      <c r="Y69">
        <f>HYPERLINK("https://klasma.github.io/Logging_0483/tillsynsmail/A 56074-2022 tillsynsbegäran mail.docx", "A 56074-2022")</f>
        <v/>
      </c>
    </row>
    <row r="70" ht="15" customHeight="1">
      <c r="A70" t="inlineStr">
        <is>
          <t>A 12238-2023</t>
        </is>
      </c>
      <c r="B70" s="1" t="n">
        <v>44995</v>
      </c>
      <c r="C70" s="1" t="n">
        <v>45657</v>
      </c>
      <c r="D70" t="inlineStr">
        <is>
          <t>SÖDERMANLANDS LÄN</t>
        </is>
      </c>
      <c r="E70" t="inlineStr">
        <is>
          <t>KATRINEHOLM</t>
        </is>
      </c>
      <c r="F70" t="inlineStr">
        <is>
          <t>Övriga Aktiebolag</t>
        </is>
      </c>
      <c r="G70" t="n">
        <v>58</v>
      </c>
      <c r="H70" t="n">
        <v>0</v>
      </c>
      <c r="I70" t="n">
        <v>0</v>
      </c>
      <c r="J70" t="n">
        <v>1</v>
      </c>
      <c r="K70" t="n">
        <v>0</v>
      </c>
      <c r="L70" t="n">
        <v>0</v>
      </c>
      <c r="M70" t="n">
        <v>0</v>
      </c>
      <c r="N70" t="n">
        <v>0</v>
      </c>
      <c r="O70" t="n">
        <v>1</v>
      </c>
      <c r="P70" t="n">
        <v>0</v>
      </c>
      <c r="Q70" t="n">
        <v>1</v>
      </c>
      <c r="R70" s="2" t="inlineStr">
        <is>
          <t>Skogsklocka</t>
        </is>
      </c>
      <c r="S70">
        <f>HYPERLINK("https://klasma.github.io/Logging_0483/artfynd/A 12238-2023 artfynd.xlsx", "A 12238-2023")</f>
        <v/>
      </c>
      <c r="T70">
        <f>HYPERLINK("https://klasma.github.io/Logging_0483/kartor/A 12238-2023 karta.png", "A 12238-2023")</f>
        <v/>
      </c>
      <c r="V70">
        <f>HYPERLINK("https://klasma.github.io/Logging_0483/klagomål/A 12238-2023 FSC-klagomål.docx", "A 12238-2023")</f>
        <v/>
      </c>
      <c r="W70">
        <f>HYPERLINK("https://klasma.github.io/Logging_0483/klagomålsmail/A 12238-2023 FSC-klagomål mail.docx", "A 12238-2023")</f>
        <v/>
      </c>
      <c r="X70">
        <f>HYPERLINK("https://klasma.github.io/Logging_0483/tillsyn/A 12238-2023 tillsynsbegäran.docx", "A 12238-2023")</f>
        <v/>
      </c>
      <c r="Y70">
        <f>HYPERLINK("https://klasma.github.io/Logging_0483/tillsynsmail/A 12238-2023 tillsynsbegäran mail.docx", "A 12238-2023")</f>
        <v/>
      </c>
    </row>
    <row r="71" ht="15" customHeight="1">
      <c r="A71" t="inlineStr">
        <is>
          <t>A 11890-2023</t>
        </is>
      </c>
      <c r="B71" s="1" t="n">
        <v>44995</v>
      </c>
      <c r="C71" s="1" t="n">
        <v>45657</v>
      </c>
      <c r="D71" t="inlineStr">
        <is>
          <t>SÖDERMANLANDS LÄN</t>
        </is>
      </c>
      <c r="E71" t="inlineStr">
        <is>
          <t>KATRINEHOLM</t>
        </is>
      </c>
      <c r="F71" t="inlineStr">
        <is>
          <t>Kommuner</t>
        </is>
      </c>
      <c r="G71" t="n">
        <v>6.7</v>
      </c>
      <c r="H71" t="n">
        <v>1</v>
      </c>
      <c r="I71" t="n">
        <v>1</v>
      </c>
      <c r="J71" t="n">
        <v>0</v>
      </c>
      <c r="K71" t="n">
        <v>0</v>
      </c>
      <c r="L71" t="n">
        <v>0</v>
      </c>
      <c r="M71" t="n">
        <v>0</v>
      </c>
      <c r="N71" t="n">
        <v>0</v>
      </c>
      <c r="O71" t="n">
        <v>0</v>
      </c>
      <c r="P71" t="n">
        <v>0</v>
      </c>
      <c r="Q71" t="n">
        <v>1</v>
      </c>
      <c r="R71" s="2" t="inlineStr">
        <is>
          <t>Skogsknipprot</t>
        </is>
      </c>
      <c r="S71">
        <f>HYPERLINK("https://klasma.github.io/Logging_0483/artfynd/A 11890-2023 artfynd.xlsx", "A 11890-2023")</f>
        <v/>
      </c>
      <c r="T71">
        <f>HYPERLINK("https://klasma.github.io/Logging_0483/kartor/A 11890-2023 karta.png", "A 11890-2023")</f>
        <v/>
      </c>
      <c r="V71">
        <f>HYPERLINK("https://klasma.github.io/Logging_0483/klagomål/A 11890-2023 FSC-klagomål.docx", "A 11890-2023")</f>
        <v/>
      </c>
      <c r="W71">
        <f>HYPERLINK("https://klasma.github.io/Logging_0483/klagomålsmail/A 11890-2023 FSC-klagomål mail.docx", "A 11890-2023")</f>
        <v/>
      </c>
      <c r="X71">
        <f>HYPERLINK("https://klasma.github.io/Logging_0483/tillsyn/A 11890-2023 tillsynsbegäran.docx", "A 11890-2023")</f>
        <v/>
      </c>
      <c r="Y71">
        <f>HYPERLINK("https://klasma.github.io/Logging_0483/tillsynsmail/A 11890-2023 tillsynsbegäran mail.docx", "A 11890-2023")</f>
        <v/>
      </c>
    </row>
    <row r="72" ht="15" customHeight="1">
      <c r="A72" t="inlineStr">
        <is>
          <t>A 14013-2023</t>
        </is>
      </c>
      <c r="B72" s="1" t="n">
        <v>45007</v>
      </c>
      <c r="C72" s="1" t="n">
        <v>45657</v>
      </c>
      <c r="D72" t="inlineStr">
        <is>
          <t>SÖDERMANLANDS LÄN</t>
        </is>
      </c>
      <c r="E72" t="inlineStr">
        <is>
          <t>KATRINEHOLM</t>
        </is>
      </c>
      <c r="G72" t="n">
        <v>10.8</v>
      </c>
      <c r="H72" t="n">
        <v>1</v>
      </c>
      <c r="I72" t="n">
        <v>0</v>
      </c>
      <c r="J72" t="n">
        <v>1</v>
      </c>
      <c r="K72" t="n">
        <v>0</v>
      </c>
      <c r="L72" t="n">
        <v>0</v>
      </c>
      <c r="M72" t="n">
        <v>0</v>
      </c>
      <c r="N72" t="n">
        <v>0</v>
      </c>
      <c r="O72" t="n">
        <v>1</v>
      </c>
      <c r="P72" t="n">
        <v>0</v>
      </c>
      <c r="Q72" t="n">
        <v>1</v>
      </c>
      <c r="R72" s="2" t="inlineStr">
        <is>
          <t>Grönsångare</t>
        </is>
      </c>
      <c r="S72">
        <f>HYPERLINK("https://klasma.github.io/Logging_0483/artfynd/A 14013-2023 artfynd.xlsx", "A 14013-2023")</f>
        <v/>
      </c>
      <c r="T72">
        <f>HYPERLINK("https://klasma.github.io/Logging_0483/kartor/A 14013-2023 karta.png", "A 14013-2023")</f>
        <v/>
      </c>
      <c r="V72">
        <f>HYPERLINK("https://klasma.github.io/Logging_0483/klagomål/A 14013-2023 FSC-klagomål.docx", "A 14013-2023")</f>
        <v/>
      </c>
      <c r="W72">
        <f>HYPERLINK("https://klasma.github.io/Logging_0483/klagomålsmail/A 14013-2023 FSC-klagomål mail.docx", "A 14013-2023")</f>
        <v/>
      </c>
      <c r="X72">
        <f>HYPERLINK("https://klasma.github.io/Logging_0483/tillsyn/A 14013-2023 tillsynsbegäran.docx", "A 14013-2023")</f>
        <v/>
      </c>
      <c r="Y72">
        <f>HYPERLINK("https://klasma.github.io/Logging_0483/tillsynsmail/A 14013-2023 tillsynsbegäran mail.docx", "A 14013-2023")</f>
        <v/>
      </c>
      <c r="Z72">
        <f>HYPERLINK("https://klasma.github.io/Logging_0483/fåglar/A 14013-2023 prioriterade fågelarter.docx", "A 14013-2023")</f>
        <v/>
      </c>
    </row>
    <row r="73" ht="15" customHeight="1">
      <c r="A73" t="inlineStr">
        <is>
          <t>A 23568-2023</t>
        </is>
      </c>
      <c r="B73" s="1" t="n">
        <v>45077</v>
      </c>
      <c r="C73" s="1" t="n">
        <v>45657</v>
      </c>
      <c r="D73" t="inlineStr">
        <is>
          <t>SÖDERMANLANDS LÄN</t>
        </is>
      </c>
      <c r="E73" t="inlineStr">
        <is>
          <t>KATRINEHOLM</t>
        </is>
      </c>
      <c r="F73" t="inlineStr">
        <is>
          <t>Kommuner</t>
        </is>
      </c>
      <c r="G73" t="n">
        <v>1.4</v>
      </c>
      <c r="H73" t="n">
        <v>0</v>
      </c>
      <c r="I73" t="n">
        <v>0</v>
      </c>
      <c r="J73" t="n">
        <v>1</v>
      </c>
      <c r="K73" t="n">
        <v>0</v>
      </c>
      <c r="L73" t="n">
        <v>0</v>
      </c>
      <c r="M73" t="n">
        <v>0</v>
      </c>
      <c r="N73" t="n">
        <v>0</v>
      </c>
      <c r="O73" t="n">
        <v>1</v>
      </c>
      <c r="P73" t="n">
        <v>0</v>
      </c>
      <c r="Q73" t="n">
        <v>1</v>
      </c>
      <c r="R73" s="2" t="inlineStr">
        <is>
          <t>Fyrflikig jordstjärna</t>
        </is>
      </c>
      <c r="S73">
        <f>HYPERLINK("https://klasma.github.io/Logging_0483/artfynd/A 23568-2023 artfynd.xlsx", "A 23568-2023")</f>
        <v/>
      </c>
      <c r="T73">
        <f>HYPERLINK("https://klasma.github.io/Logging_0483/kartor/A 23568-2023 karta.png", "A 23568-2023")</f>
        <v/>
      </c>
      <c r="V73">
        <f>HYPERLINK("https://klasma.github.io/Logging_0483/klagomål/A 23568-2023 FSC-klagomål.docx", "A 23568-2023")</f>
        <v/>
      </c>
      <c r="W73">
        <f>HYPERLINK("https://klasma.github.io/Logging_0483/klagomålsmail/A 23568-2023 FSC-klagomål mail.docx", "A 23568-2023")</f>
        <v/>
      </c>
      <c r="X73">
        <f>HYPERLINK("https://klasma.github.io/Logging_0483/tillsyn/A 23568-2023 tillsynsbegäran.docx", "A 23568-2023")</f>
        <v/>
      </c>
      <c r="Y73">
        <f>HYPERLINK("https://klasma.github.io/Logging_0483/tillsynsmail/A 23568-2023 tillsynsbegäran mail.docx", "A 23568-2023")</f>
        <v/>
      </c>
    </row>
    <row r="74" ht="15" customHeight="1">
      <c r="A74" t="inlineStr">
        <is>
          <t>A 26950-2023</t>
        </is>
      </c>
      <c r="B74" s="1" t="n">
        <v>45091</v>
      </c>
      <c r="C74" s="1" t="n">
        <v>45657</v>
      </c>
      <c r="D74" t="inlineStr">
        <is>
          <t>SÖDERMANLANDS LÄN</t>
        </is>
      </c>
      <c r="E74" t="inlineStr">
        <is>
          <t>KATRINEHOLM</t>
        </is>
      </c>
      <c r="G74" t="n">
        <v>13.5</v>
      </c>
      <c r="H74" t="n">
        <v>1</v>
      </c>
      <c r="I74" t="n">
        <v>0</v>
      </c>
      <c r="J74" t="n">
        <v>1</v>
      </c>
      <c r="K74" t="n">
        <v>0</v>
      </c>
      <c r="L74" t="n">
        <v>0</v>
      </c>
      <c r="M74" t="n">
        <v>0</v>
      </c>
      <c r="N74" t="n">
        <v>0</v>
      </c>
      <c r="O74" t="n">
        <v>1</v>
      </c>
      <c r="P74" t="n">
        <v>0</v>
      </c>
      <c r="Q74" t="n">
        <v>1</v>
      </c>
      <c r="R74" s="2" t="inlineStr">
        <is>
          <t>Havsörn</t>
        </is>
      </c>
      <c r="S74">
        <f>HYPERLINK("https://klasma.github.io/Logging_0483/artfynd/A 26950-2023 artfynd.xlsx", "A 26950-2023")</f>
        <v/>
      </c>
      <c r="T74">
        <f>HYPERLINK("https://klasma.github.io/Logging_0483/kartor/A 26950-2023 karta.png", "A 26950-2023")</f>
        <v/>
      </c>
      <c r="V74">
        <f>HYPERLINK("https://klasma.github.io/Logging_0483/klagomål/A 26950-2023 FSC-klagomål.docx", "A 26950-2023")</f>
        <v/>
      </c>
      <c r="W74">
        <f>HYPERLINK("https://klasma.github.io/Logging_0483/klagomålsmail/A 26950-2023 FSC-klagomål mail.docx", "A 26950-2023")</f>
        <v/>
      </c>
      <c r="X74">
        <f>HYPERLINK("https://klasma.github.io/Logging_0483/tillsyn/A 26950-2023 tillsynsbegäran.docx", "A 26950-2023")</f>
        <v/>
      </c>
      <c r="Y74">
        <f>HYPERLINK("https://klasma.github.io/Logging_0483/tillsynsmail/A 26950-2023 tillsynsbegäran mail.docx", "A 26950-2023")</f>
        <v/>
      </c>
      <c r="Z74">
        <f>HYPERLINK("https://klasma.github.io/Logging_0483/fåglar/A 26950-2023 prioriterade fågelarter.docx", "A 26950-2023")</f>
        <v/>
      </c>
    </row>
    <row r="75" ht="15" customHeight="1">
      <c r="A75" t="inlineStr">
        <is>
          <t>A 30229-2023</t>
        </is>
      </c>
      <c r="B75" s="1" t="n">
        <v>45099</v>
      </c>
      <c r="C75" s="1" t="n">
        <v>45657</v>
      </c>
      <c r="D75" t="inlineStr">
        <is>
          <t>SÖDERMANLANDS LÄN</t>
        </is>
      </c>
      <c r="E75" t="inlineStr">
        <is>
          <t>KATRINEHOLM</t>
        </is>
      </c>
      <c r="G75" t="n">
        <v>11.8</v>
      </c>
      <c r="H75" t="n">
        <v>0</v>
      </c>
      <c r="I75" t="n">
        <v>0</v>
      </c>
      <c r="J75" t="n">
        <v>1</v>
      </c>
      <c r="K75" t="n">
        <v>0</v>
      </c>
      <c r="L75" t="n">
        <v>0</v>
      </c>
      <c r="M75" t="n">
        <v>0</v>
      </c>
      <c r="N75" t="n">
        <v>0</v>
      </c>
      <c r="O75" t="n">
        <v>1</v>
      </c>
      <c r="P75" t="n">
        <v>0</v>
      </c>
      <c r="Q75" t="n">
        <v>1</v>
      </c>
      <c r="R75" s="2" t="inlineStr">
        <is>
          <t>Silversmygare</t>
        </is>
      </c>
      <c r="S75">
        <f>HYPERLINK("https://klasma.github.io/Logging_0483/artfynd/A 30229-2023 artfynd.xlsx", "A 30229-2023")</f>
        <v/>
      </c>
      <c r="T75">
        <f>HYPERLINK("https://klasma.github.io/Logging_0483/kartor/A 30229-2023 karta.png", "A 30229-2023")</f>
        <v/>
      </c>
      <c r="V75">
        <f>HYPERLINK("https://klasma.github.io/Logging_0483/klagomål/A 30229-2023 FSC-klagomål.docx", "A 30229-2023")</f>
        <v/>
      </c>
      <c r="W75">
        <f>HYPERLINK("https://klasma.github.io/Logging_0483/klagomålsmail/A 30229-2023 FSC-klagomål mail.docx", "A 30229-2023")</f>
        <v/>
      </c>
      <c r="X75">
        <f>HYPERLINK("https://klasma.github.io/Logging_0483/tillsyn/A 30229-2023 tillsynsbegäran.docx", "A 30229-2023")</f>
        <v/>
      </c>
      <c r="Y75">
        <f>HYPERLINK("https://klasma.github.io/Logging_0483/tillsynsmail/A 30229-2023 tillsynsbegäran mail.docx", "A 30229-2023")</f>
        <v/>
      </c>
    </row>
    <row r="76" ht="15" customHeight="1">
      <c r="A76" t="inlineStr">
        <is>
          <t>A 30045-2023</t>
        </is>
      </c>
      <c r="B76" s="1" t="n">
        <v>45110</v>
      </c>
      <c r="C76" s="1" t="n">
        <v>45657</v>
      </c>
      <c r="D76" t="inlineStr">
        <is>
          <t>SÖDERMANLANDS LÄN</t>
        </is>
      </c>
      <c r="E76" t="inlineStr">
        <is>
          <t>KATRINEHOLM</t>
        </is>
      </c>
      <c r="F76" t="inlineStr">
        <is>
          <t>Holmen skog AB</t>
        </is>
      </c>
      <c r="G76" t="n">
        <v>1.5</v>
      </c>
      <c r="H76" t="n">
        <v>0</v>
      </c>
      <c r="I76" t="n">
        <v>0</v>
      </c>
      <c r="J76" t="n">
        <v>1</v>
      </c>
      <c r="K76" t="n">
        <v>0</v>
      </c>
      <c r="L76" t="n">
        <v>0</v>
      </c>
      <c r="M76" t="n">
        <v>0</v>
      </c>
      <c r="N76" t="n">
        <v>0</v>
      </c>
      <c r="O76" t="n">
        <v>1</v>
      </c>
      <c r="P76" t="n">
        <v>0</v>
      </c>
      <c r="Q76" t="n">
        <v>1</v>
      </c>
      <c r="R76" s="2" t="inlineStr">
        <is>
          <t>Tallticka</t>
        </is>
      </c>
      <c r="S76">
        <f>HYPERLINK("https://klasma.github.io/Logging_0483/artfynd/A 30045-2023 artfynd.xlsx", "A 30045-2023")</f>
        <v/>
      </c>
      <c r="T76">
        <f>HYPERLINK("https://klasma.github.io/Logging_0483/kartor/A 30045-2023 karta.png", "A 30045-2023")</f>
        <v/>
      </c>
      <c r="V76">
        <f>HYPERLINK("https://klasma.github.io/Logging_0483/klagomål/A 30045-2023 FSC-klagomål.docx", "A 30045-2023")</f>
        <v/>
      </c>
      <c r="W76">
        <f>HYPERLINK("https://klasma.github.io/Logging_0483/klagomålsmail/A 30045-2023 FSC-klagomål mail.docx", "A 30045-2023")</f>
        <v/>
      </c>
      <c r="X76">
        <f>HYPERLINK("https://klasma.github.io/Logging_0483/tillsyn/A 30045-2023 tillsynsbegäran.docx", "A 30045-2023")</f>
        <v/>
      </c>
      <c r="Y76">
        <f>HYPERLINK("https://klasma.github.io/Logging_0483/tillsynsmail/A 30045-2023 tillsynsbegäran mail.docx", "A 30045-2023")</f>
        <v/>
      </c>
    </row>
    <row r="77" ht="15" customHeight="1">
      <c r="A77" t="inlineStr">
        <is>
          <t>A 30124-2023</t>
        </is>
      </c>
      <c r="B77" s="1" t="n">
        <v>45110</v>
      </c>
      <c r="C77" s="1" t="n">
        <v>45657</v>
      </c>
      <c r="D77" t="inlineStr">
        <is>
          <t>SÖDERMANLANDS LÄN</t>
        </is>
      </c>
      <c r="E77" t="inlineStr">
        <is>
          <t>KATRINEHOLM</t>
        </is>
      </c>
      <c r="G77" t="n">
        <v>1.8</v>
      </c>
      <c r="H77" t="n">
        <v>1</v>
      </c>
      <c r="I77" t="n">
        <v>0</v>
      </c>
      <c r="J77" t="n">
        <v>0</v>
      </c>
      <c r="K77" t="n">
        <v>1</v>
      </c>
      <c r="L77" t="n">
        <v>0</v>
      </c>
      <c r="M77" t="n">
        <v>0</v>
      </c>
      <c r="N77" t="n">
        <v>0</v>
      </c>
      <c r="O77" t="n">
        <v>1</v>
      </c>
      <c r="P77" t="n">
        <v>1</v>
      </c>
      <c r="Q77" t="n">
        <v>1</v>
      </c>
      <c r="R77" s="2" t="inlineStr">
        <is>
          <t>Bombmurkla</t>
        </is>
      </c>
      <c r="S77">
        <f>HYPERLINK("https://klasma.github.io/Logging_0483/artfynd/A 30124-2023 artfynd.xlsx", "A 30124-2023")</f>
        <v/>
      </c>
      <c r="T77">
        <f>HYPERLINK("https://klasma.github.io/Logging_0483/kartor/A 30124-2023 karta.png", "A 30124-2023")</f>
        <v/>
      </c>
      <c r="V77">
        <f>HYPERLINK("https://klasma.github.io/Logging_0483/klagomål/A 30124-2023 FSC-klagomål.docx", "A 30124-2023")</f>
        <v/>
      </c>
      <c r="W77">
        <f>HYPERLINK("https://klasma.github.io/Logging_0483/klagomålsmail/A 30124-2023 FSC-klagomål mail.docx", "A 30124-2023")</f>
        <v/>
      </c>
      <c r="X77">
        <f>HYPERLINK("https://klasma.github.io/Logging_0483/tillsyn/A 30124-2023 tillsynsbegäran.docx", "A 30124-2023")</f>
        <v/>
      </c>
      <c r="Y77">
        <f>HYPERLINK("https://klasma.github.io/Logging_0483/tillsynsmail/A 30124-2023 tillsynsbegäran mail.docx", "A 30124-2023")</f>
        <v/>
      </c>
    </row>
    <row r="78" ht="15" customHeight="1">
      <c r="A78" t="inlineStr">
        <is>
          <t>A 33801-2023</t>
        </is>
      </c>
      <c r="B78" s="1" t="n">
        <v>45133</v>
      </c>
      <c r="C78" s="1" t="n">
        <v>45657</v>
      </c>
      <c r="D78" t="inlineStr">
        <is>
          <t>SÖDERMANLANDS LÄN</t>
        </is>
      </c>
      <c r="E78" t="inlineStr">
        <is>
          <t>KATRINEHOLM</t>
        </is>
      </c>
      <c r="G78" t="n">
        <v>2.1</v>
      </c>
      <c r="H78" t="n">
        <v>1</v>
      </c>
      <c r="I78" t="n">
        <v>0</v>
      </c>
      <c r="J78" t="n">
        <v>0</v>
      </c>
      <c r="K78" t="n">
        <v>0</v>
      </c>
      <c r="L78" t="n">
        <v>0</v>
      </c>
      <c r="M78" t="n">
        <v>0</v>
      </c>
      <c r="N78" t="n">
        <v>0</v>
      </c>
      <c r="O78" t="n">
        <v>0</v>
      </c>
      <c r="P78" t="n">
        <v>0</v>
      </c>
      <c r="Q78" t="n">
        <v>1</v>
      </c>
      <c r="R78" s="2" t="inlineStr">
        <is>
          <t>Blåsippa</t>
        </is>
      </c>
      <c r="S78">
        <f>HYPERLINK("https://klasma.github.io/Logging_0483/artfynd/A 33801-2023 artfynd.xlsx", "A 33801-2023")</f>
        <v/>
      </c>
      <c r="T78">
        <f>HYPERLINK("https://klasma.github.io/Logging_0483/kartor/A 33801-2023 karta.png", "A 33801-2023")</f>
        <v/>
      </c>
      <c r="V78">
        <f>HYPERLINK("https://klasma.github.io/Logging_0483/klagomål/A 33801-2023 FSC-klagomål.docx", "A 33801-2023")</f>
        <v/>
      </c>
      <c r="W78">
        <f>HYPERLINK("https://klasma.github.io/Logging_0483/klagomålsmail/A 33801-2023 FSC-klagomål mail.docx", "A 33801-2023")</f>
        <v/>
      </c>
      <c r="X78">
        <f>HYPERLINK("https://klasma.github.io/Logging_0483/tillsyn/A 33801-2023 tillsynsbegäran.docx", "A 33801-2023")</f>
        <v/>
      </c>
      <c r="Y78">
        <f>HYPERLINK("https://klasma.github.io/Logging_0483/tillsynsmail/A 33801-2023 tillsynsbegäran mail.docx", "A 33801-2023")</f>
        <v/>
      </c>
    </row>
    <row r="79" ht="15" customHeight="1">
      <c r="A79" t="inlineStr">
        <is>
          <t>A 42936-2023</t>
        </is>
      </c>
      <c r="B79" s="1" t="n">
        <v>45182</v>
      </c>
      <c r="C79" s="1" t="n">
        <v>45657</v>
      </c>
      <c r="D79" t="inlineStr">
        <is>
          <t>SÖDERMANLANDS LÄN</t>
        </is>
      </c>
      <c r="E79" t="inlineStr">
        <is>
          <t>KATRINEHOLM</t>
        </is>
      </c>
      <c r="F79" t="inlineStr">
        <is>
          <t>Övriga Aktiebolag</t>
        </is>
      </c>
      <c r="G79" t="n">
        <v>36.8</v>
      </c>
      <c r="H79" t="n">
        <v>0</v>
      </c>
      <c r="I79" t="n">
        <v>1</v>
      </c>
      <c r="J79" t="n">
        <v>0</v>
      </c>
      <c r="K79" t="n">
        <v>0</v>
      </c>
      <c r="L79" t="n">
        <v>0</v>
      </c>
      <c r="M79" t="n">
        <v>0</v>
      </c>
      <c r="N79" t="n">
        <v>0</v>
      </c>
      <c r="O79" t="n">
        <v>0</v>
      </c>
      <c r="P79" t="n">
        <v>0</v>
      </c>
      <c r="Q79" t="n">
        <v>1</v>
      </c>
      <c r="R79" s="2" t="inlineStr">
        <is>
          <t>Blomkålssvamp</t>
        </is>
      </c>
      <c r="S79">
        <f>HYPERLINK("https://klasma.github.io/Logging_0483/artfynd/A 42936-2023 artfynd.xlsx", "A 42936-2023")</f>
        <v/>
      </c>
      <c r="T79">
        <f>HYPERLINK("https://klasma.github.io/Logging_0483/kartor/A 42936-2023 karta.png", "A 42936-2023")</f>
        <v/>
      </c>
      <c r="U79">
        <f>HYPERLINK("https://klasma.github.io/Logging_0483/knärot/A 42936-2023 karta knärot.png", "A 42936-2023")</f>
        <v/>
      </c>
      <c r="V79">
        <f>HYPERLINK("https://klasma.github.io/Logging_0483/klagomål/A 42936-2023 FSC-klagomål.docx", "A 42936-2023")</f>
        <v/>
      </c>
      <c r="W79">
        <f>HYPERLINK("https://klasma.github.io/Logging_0483/klagomålsmail/A 42936-2023 FSC-klagomål mail.docx", "A 42936-2023")</f>
        <v/>
      </c>
      <c r="X79">
        <f>HYPERLINK("https://klasma.github.io/Logging_0483/tillsyn/A 42936-2023 tillsynsbegäran.docx", "A 42936-2023")</f>
        <v/>
      </c>
      <c r="Y79">
        <f>HYPERLINK("https://klasma.github.io/Logging_0483/tillsynsmail/A 42936-2023 tillsynsbegäran mail.docx", "A 42936-2023")</f>
        <v/>
      </c>
    </row>
    <row r="80" ht="15" customHeight="1">
      <c r="A80" t="inlineStr">
        <is>
          <t>A 42942-2023</t>
        </is>
      </c>
      <c r="B80" s="1" t="n">
        <v>45182</v>
      </c>
      <c r="C80" s="1" t="n">
        <v>45657</v>
      </c>
      <c r="D80" t="inlineStr">
        <is>
          <t>SÖDERMANLANDS LÄN</t>
        </is>
      </c>
      <c r="E80" t="inlineStr">
        <is>
          <t>KATRINEHOLM</t>
        </is>
      </c>
      <c r="F80" t="inlineStr">
        <is>
          <t>Övriga Aktiebolag</t>
        </is>
      </c>
      <c r="G80" t="n">
        <v>17.4</v>
      </c>
      <c r="H80" t="n">
        <v>0</v>
      </c>
      <c r="I80" t="n">
        <v>0</v>
      </c>
      <c r="J80" t="n">
        <v>1</v>
      </c>
      <c r="K80" t="n">
        <v>0</v>
      </c>
      <c r="L80" t="n">
        <v>0</v>
      </c>
      <c r="M80" t="n">
        <v>0</v>
      </c>
      <c r="N80" t="n">
        <v>0</v>
      </c>
      <c r="O80" t="n">
        <v>1</v>
      </c>
      <c r="P80" t="n">
        <v>0</v>
      </c>
      <c r="Q80" t="n">
        <v>1</v>
      </c>
      <c r="R80" s="2" t="inlineStr">
        <is>
          <t>Rödlånke</t>
        </is>
      </c>
      <c r="S80">
        <f>HYPERLINK("https://klasma.github.io/Logging_0483/artfynd/A 42942-2023 artfynd.xlsx", "A 42942-2023")</f>
        <v/>
      </c>
      <c r="T80">
        <f>HYPERLINK("https://klasma.github.io/Logging_0483/kartor/A 42942-2023 karta.png", "A 42942-2023")</f>
        <v/>
      </c>
      <c r="V80">
        <f>HYPERLINK("https://klasma.github.io/Logging_0483/klagomål/A 42942-2023 FSC-klagomål.docx", "A 42942-2023")</f>
        <v/>
      </c>
      <c r="W80">
        <f>HYPERLINK("https://klasma.github.io/Logging_0483/klagomålsmail/A 42942-2023 FSC-klagomål mail.docx", "A 42942-2023")</f>
        <v/>
      </c>
      <c r="X80">
        <f>HYPERLINK("https://klasma.github.io/Logging_0483/tillsyn/A 42942-2023 tillsynsbegäran.docx", "A 42942-2023")</f>
        <v/>
      </c>
      <c r="Y80">
        <f>HYPERLINK("https://klasma.github.io/Logging_0483/tillsynsmail/A 42942-2023 tillsynsbegäran mail.docx", "A 42942-2023")</f>
        <v/>
      </c>
    </row>
    <row r="81" ht="15" customHeight="1">
      <c r="A81" t="inlineStr">
        <is>
          <t>A 44632-2023</t>
        </is>
      </c>
      <c r="B81" s="1" t="n">
        <v>45184</v>
      </c>
      <c r="C81" s="1" t="n">
        <v>45657</v>
      </c>
      <c r="D81" t="inlineStr">
        <is>
          <t>SÖDERMANLANDS LÄN</t>
        </is>
      </c>
      <c r="E81" t="inlineStr">
        <is>
          <t>KATRINEHOLM</t>
        </is>
      </c>
      <c r="G81" t="n">
        <v>6.2</v>
      </c>
      <c r="H81" t="n">
        <v>0</v>
      </c>
      <c r="I81" t="n">
        <v>0</v>
      </c>
      <c r="J81" t="n">
        <v>1</v>
      </c>
      <c r="K81" t="n">
        <v>0</v>
      </c>
      <c r="L81" t="n">
        <v>0</v>
      </c>
      <c r="M81" t="n">
        <v>0</v>
      </c>
      <c r="N81" t="n">
        <v>0</v>
      </c>
      <c r="O81" t="n">
        <v>1</v>
      </c>
      <c r="P81" t="n">
        <v>0</v>
      </c>
      <c r="Q81" t="n">
        <v>1</v>
      </c>
      <c r="R81" s="2" t="inlineStr">
        <is>
          <t>Motaggsvamp</t>
        </is>
      </c>
      <c r="S81">
        <f>HYPERLINK("https://klasma.github.io/Logging_0483/artfynd/A 44632-2023 artfynd.xlsx", "A 44632-2023")</f>
        <v/>
      </c>
      <c r="T81">
        <f>HYPERLINK("https://klasma.github.io/Logging_0483/kartor/A 44632-2023 karta.png", "A 44632-2023")</f>
        <v/>
      </c>
      <c r="V81">
        <f>HYPERLINK("https://klasma.github.io/Logging_0483/klagomål/A 44632-2023 FSC-klagomål.docx", "A 44632-2023")</f>
        <v/>
      </c>
      <c r="W81">
        <f>HYPERLINK("https://klasma.github.io/Logging_0483/klagomålsmail/A 44632-2023 FSC-klagomål mail.docx", "A 44632-2023")</f>
        <v/>
      </c>
      <c r="X81">
        <f>HYPERLINK("https://klasma.github.io/Logging_0483/tillsyn/A 44632-2023 tillsynsbegäran.docx", "A 44632-2023")</f>
        <v/>
      </c>
      <c r="Y81">
        <f>HYPERLINK("https://klasma.github.io/Logging_0483/tillsynsmail/A 44632-2023 tillsynsbegäran mail.docx", "A 44632-2023")</f>
        <v/>
      </c>
    </row>
    <row r="82" ht="15" customHeight="1">
      <c r="A82" t="inlineStr">
        <is>
          <t>A 52768-2023</t>
        </is>
      </c>
      <c r="B82" s="1" t="n">
        <v>45226</v>
      </c>
      <c r="C82" s="1" t="n">
        <v>45657</v>
      </c>
      <c r="D82" t="inlineStr">
        <is>
          <t>SÖDERMANLANDS LÄN</t>
        </is>
      </c>
      <c r="E82" t="inlineStr">
        <is>
          <t>KATRINEHOLM</t>
        </is>
      </c>
      <c r="G82" t="n">
        <v>2.1</v>
      </c>
      <c r="H82" t="n">
        <v>0</v>
      </c>
      <c r="I82" t="n">
        <v>0</v>
      </c>
      <c r="J82" t="n">
        <v>1</v>
      </c>
      <c r="K82" t="n">
        <v>0</v>
      </c>
      <c r="L82" t="n">
        <v>0</v>
      </c>
      <c r="M82" t="n">
        <v>0</v>
      </c>
      <c r="N82" t="n">
        <v>0</v>
      </c>
      <c r="O82" t="n">
        <v>1</v>
      </c>
      <c r="P82" t="n">
        <v>0</v>
      </c>
      <c r="Q82" t="n">
        <v>1</v>
      </c>
      <c r="R82" s="2" t="inlineStr">
        <is>
          <t>Tallticka</t>
        </is>
      </c>
      <c r="S82">
        <f>HYPERLINK("https://klasma.github.io/Logging_0483/artfynd/A 52768-2023 artfynd.xlsx", "A 52768-2023")</f>
        <v/>
      </c>
      <c r="T82">
        <f>HYPERLINK("https://klasma.github.io/Logging_0483/kartor/A 52768-2023 karta.png", "A 52768-2023")</f>
        <v/>
      </c>
      <c r="V82">
        <f>HYPERLINK("https://klasma.github.io/Logging_0483/klagomål/A 52768-2023 FSC-klagomål.docx", "A 52768-2023")</f>
        <v/>
      </c>
      <c r="W82">
        <f>HYPERLINK("https://klasma.github.io/Logging_0483/klagomålsmail/A 52768-2023 FSC-klagomål mail.docx", "A 52768-2023")</f>
        <v/>
      </c>
      <c r="X82">
        <f>HYPERLINK("https://klasma.github.io/Logging_0483/tillsyn/A 52768-2023 tillsynsbegäran.docx", "A 52768-2023")</f>
        <v/>
      </c>
      <c r="Y82">
        <f>HYPERLINK("https://klasma.github.io/Logging_0483/tillsynsmail/A 52768-2023 tillsynsbegäran mail.docx", "A 52768-2023")</f>
        <v/>
      </c>
    </row>
    <row r="83" ht="15" customHeight="1">
      <c r="A83" t="inlineStr">
        <is>
          <t>A 53154-2023</t>
        </is>
      </c>
      <c r="B83" s="1" t="n">
        <v>45229</v>
      </c>
      <c r="C83" s="1" t="n">
        <v>45657</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Skogsduva</t>
        </is>
      </c>
      <c r="S83">
        <f>HYPERLINK("https://klasma.github.io/Logging_0483/artfynd/A 53154-2023 artfynd.xlsx", "A 53154-2023")</f>
        <v/>
      </c>
      <c r="T83">
        <f>HYPERLINK("https://klasma.github.io/Logging_0483/kartor/A 53154-2023 karta.png", "A 53154-2023")</f>
        <v/>
      </c>
      <c r="V83">
        <f>HYPERLINK("https://klasma.github.io/Logging_0483/klagomål/A 53154-2023 FSC-klagomål.docx", "A 53154-2023")</f>
        <v/>
      </c>
      <c r="W83">
        <f>HYPERLINK("https://klasma.github.io/Logging_0483/klagomålsmail/A 53154-2023 FSC-klagomål mail.docx", "A 53154-2023")</f>
        <v/>
      </c>
      <c r="X83">
        <f>HYPERLINK("https://klasma.github.io/Logging_0483/tillsyn/A 53154-2023 tillsynsbegäran.docx", "A 53154-2023")</f>
        <v/>
      </c>
      <c r="Y83">
        <f>HYPERLINK("https://klasma.github.io/Logging_0483/tillsynsmail/A 53154-2023 tillsynsbegäran mail.docx", "A 53154-2023")</f>
        <v/>
      </c>
      <c r="Z83">
        <f>HYPERLINK("https://klasma.github.io/Logging_0483/fåglar/A 53154-2023 prioriterade fågelarter.docx", "A 53154-2023")</f>
        <v/>
      </c>
    </row>
    <row r="84" ht="15" customHeight="1">
      <c r="A84" t="inlineStr">
        <is>
          <t>A 21312-2024</t>
        </is>
      </c>
      <c r="B84" s="1" t="n">
        <v>45440</v>
      </c>
      <c r="C84" s="1" t="n">
        <v>45657</v>
      </c>
      <c r="D84" t="inlineStr">
        <is>
          <t>SÖDERMANLANDS LÄN</t>
        </is>
      </c>
      <c r="E84" t="inlineStr">
        <is>
          <t>KATRINEHOLM</t>
        </is>
      </c>
      <c r="G84" t="n">
        <v>2</v>
      </c>
      <c r="H84" t="n">
        <v>1</v>
      </c>
      <c r="I84" t="n">
        <v>0</v>
      </c>
      <c r="J84" t="n">
        <v>0</v>
      </c>
      <c r="K84" t="n">
        <v>0</v>
      </c>
      <c r="L84" t="n">
        <v>0</v>
      </c>
      <c r="M84" t="n">
        <v>0</v>
      </c>
      <c r="N84" t="n">
        <v>0</v>
      </c>
      <c r="O84" t="n">
        <v>0</v>
      </c>
      <c r="P84" t="n">
        <v>0</v>
      </c>
      <c r="Q84" t="n">
        <v>1</v>
      </c>
      <c r="R84" s="2" t="inlineStr">
        <is>
          <t>Blåsippa</t>
        </is>
      </c>
      <c r="S84">
        <f>HYPERLINK("https://klasma.github.io/Logging_0483/artfynd/A 21312-2024 artfynd.xlsx", "A 21312-2024")</f>
        <v/>
      </c>
      <c r="T84">
        <f>HYPERLINK("https://klasma.github.io/Logging_0483/kartor/A 21312-2024 karta.png", "A 21312-2024")</f>
        <v/>
      </c>
      <c r="V84">
        <f>HYPERLINK("https://klasma.github.io/Logging_0483/klagomål/A 21312-2024 FSC-klagomål.docx", "A 21312-2024")</f>
        <v/>
      </c>
      <c r="W84">
        <f>HYPERLINK("https://klasma.github.io/Logging_0483/klagomålsmail/A 21312-2024 FSC-klagomål mail.docx", "A 21312-2024")</f>
        <v/>
      </c>
      <c r="X84">
        <f>HYPERLINK("https://klasma.github.io/Logging_0483/tillsyn/A 21312-2024 tillsynsbegäran.docx", "A 21312-2024")</f>
        <v/>
      </c>
      <c r="Y84">
        <f>HYPERLINK("https://klasma.github.io/Logging_0483/tillsynsmail/A 21312-2024 tillsynsbegäran mail.docx", "A 21312-2024")</f>
        <v/>
      </c>
    </row>
    <row r="85" ht="15" customHeight="1">
      <c r="A85" t="inlineStr">
        <is>
          <t>A 43919-2024</t>
        </is>
      </c>
      <c r="B85" s="1" t="n">
        <v>45570</v>
      </c>
      <c r="C85" s="1" t="n">
        <v>45657</v>
      </c>
      <c r="D85" t="inlineStr">
        <is>
          <t>SÖDERMANLANDS LÄN</t>
        </is>
      </c>
      <c r="E85" t="inlineStr">
        <is>
          <t>KATRINEHOLM</t>
        </is>
      </c>
      <c r="G85" t="n">
        <v>4</v>
      </c>
      <c r="H85" t="n">
        <v>1</v>
      </c>
      <c r="I85" t="n">
        <v>0</v>
      </c>
      <c r="J85" t="n">
        <v>0</v>
      </c>
      <c r="K85" t="n">
        <v>0</v>
      </c>
      <c r="L85" t="n">
        <v>0</v>
      </c>
      <c r="M85" t="n">
        <v>0</v>
      </c>
      <c r="N85" t="n">
        <v>0</v>
      </c>
      <c r="O85" t="n">
        <v>0</v>
      </c>
      <c r="P85" t="n">
        <v>0</v>
      </c>
      <c r="Q85" t="n">
        <v>1</v>
      </c>
      <c r="R85" s="2" t="inlineStr">
        <is>
          <t>Mattlummer</t>
        </is>
      </c>
      <c r="S85">
        <f>HYPERLINK("https://klasma.github.io/Logging_0483/artfynd/A 43919-2024 artfynd.xlsx", "A 43919-2024")</f>
        <v/>
      </c>
      <c r="T85">
        <f>HYPERLINK("https://klasma.github.io/Logging_0483/kartor/A 43919-2024 karta.png", "A 43919-2024")</f>
        <v/>
      </c>
      <c r="V85">
        <f>HYPERLINK("https://klasma.github.io/Logging_0483/klagomål/A 43919-2024 FSC-klagomål.docx", "A 43919-2024")</f>
        <v/>
      </c>
      <c r="W85">
        <f>HYPERLINK("https://klasma.github.io/Logging_0483/klagomålsmail/A 43919-2024 FSC-klagomål mail.docx", "A 43919-2024")</f>
        <v/>
      </c>
      <c r="X85">
        <f>HYPERLINK("https://klasma.github.io/Logging_0483/tillsyn/A 43919-2024 tillsynsbegäran.docx", "A 43919-2024")</f>
        <v/>
      </c>
      <c r="Y85">
        <f>HYPERLINK("https://klasma.github.io/Logging_0483/tillsynsmail/A 43919-2024 tillsynsbegäran mail.docx", "A 43919-2024")</f>
        <v/>
      </c>
    </row>
    <row r="86" ht="15" customHeight="1">
      <c r="A86" t="inlineStr">
        <is>
          <t>A 44413-2024</t>
        </is>
      </c>
      <c r="B86" s="1" t="n">
        <v>45573</v>
      </c>
      <c r="C86" s="1" t="n">
        <v>45657</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48004-2024</t>
        </is>
      </c>
      <c r="B87" s="1" t="n">
        <v>45589</v>
      </c>
      <c r="C87" s="1" t="n">
        <v>45657</v>
      </c>
      <c r="D87" t="inlineStr">
        <is>
          <t>SÖDERMANLANDS LÄN</t>
        </is>
      </c>
      <c r="E87" t="inlineStr">
        <is>
          <t>KATRINEHOLM</t>
        </is>
      </c>
      <c r="G87" t="n">
        <v>2.2</v>
      </c>
      <c r="H87" t="n">
        <v>0</v>
      </c>
      <c r="I87" t="n">
        <v>0</v>
      </c>
      <c r="J87" t="n">
        <v>0</v>
      </c>
      <c r="K87" t="n">
        <v>1</v>
      </c>
      <c r="L87" t="n">
        <v>0</v>
      </c>
      <c r="M87" t="n">
        <v>0</v>
      </c>
      <c r="N87" t="n">
        <v>0</v>
      </c>
      <c r="O87" t="n">
        <v>1</v>
      </c>
      <c r="P87" t="n">
        <v>1</v>
      </c>
      <c r="Q87" t="n">
        <v>1</v>
      </c>
      <c r="R87" s="2" t="inlineStr">
        <is>
          <t>Grenticka</t>
        </is>
      </c>
      <c r="S87">
        <f>HYPERLINK("https://klasma.github.io/Logging_0483/artfynd/A 48004-2024 artfynd.xlsx", "A 48004-2024")</f>
        <v/>
      </c>
      <c r="T87">
        <f>HYPERLINK("https://klasma.github.io/Logging_0483/kartor/A 48004-2024 karta.png", "A 48004-2024")</f>
        <v/>
      </c>
      <c r="V87">
        <f>HYPERLINK("https://klasma.github.io/Logging_0483/klagomål/A 48004-2024 FSC-klagomål.docx", "A 48004-2024")</f>
        <v/>
      </c>
      <c r="W87">
        <f>HYPERLINK("https://klasma.github.io/Logging_0483/klagomålsmail/A 48004-2024 FSC-klagomål mail.docx", "A 48004-2024")</f>
        <v/>
      </c>
      <c r="X87">
        <f>HYPERLINK("https://klasma.github.io/Logging_0483/tillsyn/A 48004-2024 tillsynsbegäran.docx", "A 48004-2024")</f>
        <v/>
      </c>
      <c r="Y87">
        <f>HYPERLINK("https://klasma.github.io/Logging_0483/tillsynsmail/A 48004-2024 tillsynsbegäran mail.docx", "A 48004-2024")</f>
        <v/>
      </c>
    </row>
    <row r="88" ht="15" customHeight="1">
      <c r="A88" t="inlineStr">
        <is>
          <t>A 18431-2019</t>
        </is>
      </c>
      <c r="B88" s="1" t="n">
        <v>43559</v>
      </c>
      <c r="C88" s="1" t="n">
        <v>45657</v>
      </c>
      <c r="D88" t="inlineStr">
        <is>
          <t>SÖDERMANLANDS LÄN</t>
        </is>
      </c>
      <c r="E88" t="inlineStr">
        <is>
          <t>KATRINEHOLM</t>
        </is>
      </c>
      <c r="G88" t="n">
        <v>2.4</v>
      </c>
      <c r="H88" t="n">
        <v>0</v>
      </c>
      <c r="I88" t="n">
        <v>0</v>
      </c>
      <c r="J88" t="n">
        <v>0</v>
      </c>
      <c r="K88" t="n">
        <v>0</v>
      </c>
      <c r="L88" t="n">
        <v>0</v>
      </c>
      <c r="M88" t="n">
        <v>0</v>
      </c>
      <c r="N88" t="n">
        <v>0</v>
      </c>
      <c r="O88" t="n">
        <v>0</v>
      </c>
      <c r="P88" t="n">
        <v>0</v>
      </c>
      <c r="Q88" t="n">
        <v>0</v>
      </c>
      <c r="R88" s="2" t="inlineStr"/>
    </row>
    <row r="89" ht="15" customHeight="1">
      <c r="A89" t="inlineStr">
        <is>
          <t>A 18869-2019</t>
        </is>
      </c>
      <c r="B89" s="1" t="n">
        <v>43563</v>
      </c>
      <c r="C89" s="1" t="n">
        <v>45657</v>
      </c>
      <c r="D89" t="inlineStr">
        <is>
          <t>SÖDERMANLANDS LÄN</t>
        </is>
      </c>
      <c r="E89" t="inlineStr">
        <is>
          <t>KATRINEHOLM</t>
        </is>
      </c>
      <c r="G89" t="n">
        <v>1.4</v>
      </c>
      <c r="H89" t="n">
        <v>0</v>
      </c>
      <c r="I89" t="n">
        <v>0</v>
      </c>
      <c r="J89" t="n">
        <v>0</v>
      </c>
      <c r="K89" t="n">
        <v>0</v>
      </c>
      <c r="L89" t="n">
        <v>0</v>
      </c>
      <c r="M89" t="n">
        <v>0</v>
      </c>
      <c r="N89" t="n">
        <v>0</v>
      </c>
      <c r="O89" t="n">
        <v>0</v>
      </c>
      <c r="P89" t="n">
        <v>0</v>
      </c>
      <c r="Q89" t="n">
        <v>0</v>
      </c>
      <c r="R89" s="2" t="inlineStr"/>
    </row>
    <row r="90" ht="15" customHeight="1">
      <c r="A90" t="inlineStr">
        <is>
          <t>A 19374-2019</t>
        </is>
      </c>
      <c r="B90" s="1" t="n">
        <v>43565</v>
      </c>
      <c r="C90" s="1" t="n">
        <v>45657</v>
      </c>
      <c r="D90" t="inlineStr">
        <is>
          <t>SÖDERMANLANDS LÄN</t>
        </is>
      </c>
      <c r="E90" t="inlineStr">
        <is>
          <t>KATRINEHOLM</t>
        </is>
      </c>
      <c r="G90" t="n">
        <v>1.7</v>
      </c>
      <c r="H90" t="n">
        <v>0</v>
      </c>
      <c r="I90" t="n">
        <v>0</v>
      </c>
      <c r="J90" t="n">
        <v>0</v>
      </c>
      <c r="K90" t="n">
        <v>0</v>
      </c>
      <c r="L90" t="n">
        <v>0</v>
      </c>
      <c r="M90" t="n">
        <v>0</v>
      </c>
      <c r="N90" t="n">
        <v>0</v>
      </c>
      <c r="O90" t="n">
        <v>0</v>
      </c>
      <c r="P90" t="n">
        <v>0</v>
      </c>
      <c r="Q90" t="n">
        <v>0</v>
      </c>
      <c r="R90" s="2" t="inlineStr"/>
    </row>
    <row r="91" ht="15" customHeight="1">
      <c r="A91" t="inlineStr">
        <is>
          <t>A 20084-2019</t>
        </is>
      </c>
      <c r="B91" s="1" t="n">
        <v>43570</v>
      </c>
      <c r="C91" s="1" t="n">
        <v>45657</v>
      </c>
      <c r="D91" t="inlineStr">
        <is>
          <t>SÖDERMANLANDS LÄN</t>
        </is>
      </c>
      <c r="E91" t="inlineStr">
        <is>
          <t>KATRINEHOLM</t>
        </is>
      </c>
      <c r="G91" t="n">
        <v>0.7</v>
      </c>
      <c r="H91" t="n">
        <v>0</v>
      </c>
      <c r="I91" t="n">
        <v>0</v>
      </c>
      <c r="J91" t="n">
        <v>0</v>
      </c>
      <c r="K91" t="n">
        <v>0</v>
      </c>
      <c r="L91" t="n">
        <v>0</v>
      </c>
      <c r="M91" t="n">
        <v>0</v>
      </c>
      <c r="N91" t="n">
        <v>0</v>
      </c>
      <c r="O91" t="n">
        <v>0</v>
      </c>
      <c r="P91" t="n">
        <v>0</v>
      </c>
      <c r="Q91" t="n">
        <v>0</v>
      </c>
      <c r="R91" s="2" t="inlineStr"/>
    </row>
    <row r="92" ht="15" customHeight="1">
      <c r="A92" t="inlineStr">
        <is>
          <t>A 20081-2019</t>
        </is>
      </c>
      <c r="B92" s="1" t="n">
        <v>43570</v>
      </c>
      <c r="C92" s="1" t="n">
        <v>45657</v>
      </c>
      <c r="D92" t="inlineStr">
        <is>
          <t>SÖDERMANLANDS LÄN</t>
        </is>
      </c>
      <c r="E92" t="inlineStr">
        <is>
          <t>KATRINEHOLM</t>
        </is>
      </c>
      <c r="G92" t="n">
        <v>2.8</v>
      </c>
      <c r="H92" t="n">
        <v>0</v>
      </c>
      <c r="I92" t="n">
        <v>0</v>
      </c>
      <c r="J92" t="n">
        <v>0</v>
      </c>
      <c r="K92" t="n">
        <v>0</v>
      </c>
      <c r="L92" t="n">
        <v>0</v>
      </c>
      <c r="M92" t="n">
        <v>0</v>
      </c>
      <c r="N92" t="n">
        <v>0</v>
      </c>
      <c r="O92" t="n">
        <v>0</v>
      </c>
      <c r="P92" t="n">
        <v>0</v>
      </c>
      <c r="Q92" t="n">
        <v>0</v>
      </c>
      <c r="R92" s="2" t="inlineStr"/>
    </row>
    <row r="93" ht="15" customHeight="1">
      <c r="A93" t="inlineStr">
        <is>
          <t>A 20089-2019</t>
        </is>
      </c>
      <c r="B93" s="1" t="n">
        <v>43570</v>
      </c>
      <c r="C93" s="1" t="n">
        <v>45657</v>
      </c>
      <c r="D93" t="inlineStr">
        <is>
          <t>SÖDERMANLANDS LÄN</t>
        </is>
      </c>
      <c r="E93" t="inlineStr">
        <is>
          <t>KATRINEHOLM</t>
        </is>
      </c>
      <c r="G93" t="n">
        <v>1.6</v>
      </c>
      <c r="H93" t="n">
        <v>0</v>
      </c>
      <c r="I93" t="n">
        <v>0</v>
      </c>
      <c r="J93" t="n">
        <v>0</v>
      </c>
      <c r="K93" t="n">
        <v>0</v>
      </c>
      <c r="L93" t="n">
        <v>0</v>
      </c>
      <c r="M93" t="n">
        <v>0</v>
      </c>
      <c r="N93" t="n">
        <v>0</v>
      </c>
      <c r="O93" t="n">
        <v>0</v>
      </c>
      <c r="P93" t="n">
        <v>0</v>
      </c>
      <c r="Q93" t="n">
        <v>0</v>
      </c>
      <c r="R93" s="2" t="inlineStr"/>
    </row>
    <row r="94" ht="15" customHeight="1">
      <c r="A94" t="inlineStr">
        <is>
          <t>A 21994-2019</t>
        </is>
      </c>
      <c r="B94" s="1" t="n">
        <v>43581</v>
      </c>
      <c r="C94" s="1" t="n">
        <v>45657</v>
      </c>
      <c r="D94" t="inlineStr">
        <is>
          <t>SÖDERMANLANDS LÄN</t>
        </is>
      </c>
      <c r="E94" t="inlineStr">
        <is>
          <t>KATRINEHOLM</t>
        </is>
      </c>
      <c r="G94" t="n">
        <v>0.9</v>
      </c>
      <c r="H94" t="n">
        <v>0</v>
      </c>
      <c r="I94" t="n">
        <v>0</v>
      </c>
      <c r="J94" t="n">
        <v>0</v>
      </c>
      <c r="K94" t="n">
        <v>0</v>
      </c>
      <c r="L94" t="n">
        <v>0</v>
      </c>
      <c r="M94" t="n">
        <v>0</v>
      </c>
      <c r="N94" t="n">
        <v>0</v>
      </c>
      <c r="O94" t="n">
        <v>0</v>
      </c>
      <c r="P94" t="n">
        <v>0</v>
      </c>
      <c r="Q94" t="n">
        <v>0</v>
      </c>
      <c r="R94" s="2" t="inlineStr"/>
    </row>
    <row r="95" ht="15" customHeight="1">
      <c r="A95" t="inlineStr">
        <is>
          <t>A 22691-2019</t>
        </is>
      </c>
      <c r="B95" s="1" t="n">
        <v>43588</v>
      </c>
      <c r="C95" s="1" t="n">
        <v>45657</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22839-2019</t>
        </is>
      </c>
      <c r="B96" s="1" t="n">
        <v>43591</v>
      </c>
      <c r="C96" s="1" t="n">
        <v>45657</v>
      </c>
      <c r="D96" t="inlineStr">
        <is>
          <t>SÖDERMANLANDS LÄN</t>
        </is>
      </c>
      <c r="E96" t="inlineStr">
        <is>
          <t>KATRINEHOLM</t>
        </is>
      </c>
      <c r="G96" t="n">
        <v>4.2</v>
      </c>
      <c r="H96" t="n">
        <v>0</v>
      </c>
      <c r="I96" t="n">
        <v>0</v>
      </c>
      <c r="J96" t="n">
        <v>0</v>
      </c>
      <c r="K96" t="n">
        <v>0</v>
      </c>
      <c r="L96" t="n">
        <v>0</v>
      </c>
      <c r="M96" t="n">
        <v>0</v>
      </c>
      <c r="N96" t="n">
        <v>0</v>
      </c>
      <c r="O96" t="n">
        <v>0</v>
      </c>
      <c r="P96" t="n">
        <v>0</v>
      </c>
      <c r="Q96" t="n">
        <v>0</v>
      </c>
      <c r="R96" s="2" t="inlineStr"/>
    </row>
    <row r="97" ht="15" customHeight="1">
      <c r="A97" t="inlineStr">
        <is>
          <t>A 23679-2019</t>
        </is>
      </c>
      <c r="B97" s="1" t="n">
        <v>43594</v>
      </c>
      <c r="C97" s="1" t="n">
        <v>45657</v>
      </c>
      <c r="D97" t="inlineStr">
        <is>
          <t>SÖDERMANLANDS LÄN</t>
        </is>
      </c>
      <c r="E97" t="inlineStr">
        <is>
          <t>KATRINEHOLM</t>
        </is>
      </c>
      <c r="G97" t="n">
        <v>0.5</v>
      </c>
      <c r="H97" t="n">
        <v>0</v>
      </c>
      <c r="I97" t="n">
        <v>0</v>
      </c>
      <c r="J97" t="n">
        <v>0</v>
      </c>
      <c r="K97" t="n">
        <v>0</v>
      </c>
      <c r="L97" t="n">
        <v>0</v>
      </c>
      <c r="M97" t="n">
        <v>0</v>
      </c>
      <c r="N97" t="n">
        <v>0</v>
      </c>
      <c r="O97" t="n">
        <v>0</v>
      </c>
      <c r="P97" t="n">
        <v>0</v>
      </c>
      <c r="Q97" t="n">
        <v>0</v>
      </c>
      <c r="R97" s="2" t="inlineStr"/>
    </row>
    <row r="98" ht="15" customHeight="1">
      <c r="A98" t="inlineStr">
        <is>
          <t>A 24192-2019</t>
        </is>
      </c>
      <c r="B98" s="1" t="n">
        <v>43599</v>
      </c>
      <c r="C98" s="1" t="n">
        <v>45657</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25195-2019</t>
        </is>
      </c>
      <c r="B99" s="1" t="n">
        <v>43605</v>
      </c>
      <c r="C99" s="1" t="n">
        <v>45657</v>
      </c>
      <c r="D99" t="inlineStr">
        <is>
          <t>SÖDERMANLANDS LÄN</t>
        </is>
      </c>
      <c r="E99" t="inlineStr">
        <is>
          <t>KATRINEHOLM</t>
        </is>
      </c>
      <c r="F99" t="inlineStr">
        <is>
          <t>Kommuner</t>
        </is>
      </c>
      <c r="G99" t="n">
        <v>1.6</v>
      </c>
      <c r="H99" t="n">
        <v>0</v>
      </c>
      <c r="I99" t="n">
        <v>0</v>
      </c>
      <c r="J99" t="n">
        <v>0</v>
      </c>
      <c r="K99" t="n">
        <v>0</v>
      </c>
      <c r="L99" t="n">
        <v>0</v>
      </c>
      <c r="M99" t="n">
        <v>0</v>
      </c>
      <c r="N99" t="n">
        <v>0</v>
      </c>
      <c r="O99" t="n">
        <v>0</v>
      </c>
      <c r="P99" t="n">
        <v>0</v>
      </c>
      <c r="Q99" t="n">
        <v>0</v>
      </c>
      <c r="R99" s="2" t="inlineStr"/>
    </row>
    <row r="100" ht="15" customHeight="1">
      <c r="A100" t="inlineStr">
        <is>
          <t>A 25570-2019</t>
        </is>
      </c>
      <c r="B100" s="1" t="n">
        <v>43607</v>
      </c>
      <c r="C100" s="1" t="n">
        <v>45657</v>
      </c>
      <c r="D100" t="inlineStr">
        <is>
          <t>SÖDERMANLANDS LÄN</t>
        </is>
      </c>
      <c r="E100" t="inlineStr">
        <is>
          <t>KATRINEHOLM</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25936-2019</t>
        </is>
      </c>
      <c r="B101" s="1" t="n">
        <v>43608</v>
      </c>
      <c r="C101" s="1" t="n">
        <v>45657</v>
      </c>
      <c r="D101" t="inlineStr">
        <is>
          <t>SÖDERMANLANDS LÄN</t>
        </is>
      </c>
      <c r="E101" t="inlineStr">
        <is>
          <t>KATRINEHOLM</t>
        </is>
      </c>
      <c r="F101" t="inlineStr">
        <is>
          <t>Övriga Aktiebolag</t>
        </is>
      </c>
      <c r="G101" t="n">
        <v>1.4</v>
      </c>
      <c r="H101" t="n">
        <v>0</v>
      </c>
      <c r="I101" t="n">
        <v>0</v>
      </c>
      <c r="J101" t="n">
        <v>0</v>
      </c>
      <c r="K101" t="n">
        <v>0</v>
      </c>
      <c r="L101" t="n">
        <v>0</v>
      </c>
      <c r="M101" t="n">
        <v>0</v>
      </c>
      <c r="N101" t="n">
        <v>0</v>
      </c>
      <c r="O101" t="n">
        <v>0</v>
      </c>
      <c r="P101" t="n">
        <v>0</v>
      </c>
      <c r="Q101" t="n">
        <v>0</v>
      </c>
      <c r="R101" s="2" t="inlineStr"/>
    </row>
    <row r="102" ht="15" customHeight="1">
      <c r="A102" t="inlineStr">
        <is>
          <t>A 26339-2019</t>
        </is>
      </c>
      <c r="B102" s="1" t="n">
        <v>43612</v>
      </c>
      <c r="C102" s="1" t="n">
        <v>45657</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26532-2019</t>
        </is>
      </c>
      <c r="B103" s="1" t="n">
        <v>43612</v>
      </c>
      <c r="C103" s="1" t="n">
        <v>45657</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28673-2019</t>
        </is>
      </c>
      <c r="B104" s="1" t="n">
        <v>43614</v>
      </c>
      <c r="C104" s="1" t="n">
        <v>45657</v>
      </c>
      <c r="D104" t="inlineStr">
        <is>
          <t>SÖDERMANLANDS LÄN</t>
        </is>
      </c>
      <c r="E104" t="inlineStr">
        <is>
          <t>KATRINEHOLM</t>
        </is>
      </c>
      <c r="F104" t="inlineStr">
        <is>
          <t>Allmännings- och besparingsskogar</t>
        </is>
      </c>
      <c r="G104" t="n">
        <v>1.3</v>
      </c>
      <c r="H104" t="n">
        <v>0</v>
      </c>
      <c r="I104" t="n">
        <v>0</v>
      </c>
      <c r="J104" t="n">
        <v>0</v>
      </c>
      <c r="K104" t="n">
        <v>0</v>
      </c>
      <c r="L104" t="n">
        <v>0</v>
      </c>
      <c r="M104" t="n">
        <v>0</v>
      </c>
      <c r="N104" t="n">
        <v>0</v>
      </c>
      <c r="O104" t="n">
        <v>0</v>
      </c>
      <c r="P104" t="n">
        <v>0</v>
      </c>
      <c r="Q104" t="n">
        <v>0</v>
      </c>
      <c r="R104" s="2" t="inlineStr"/>
    </row>
    <row r="105" ht="15" customHeight="1">
      <c r="A105" t="inlineStr">
        <is>
          <t>A 29433-2019</t>
        </is>
      </c>
      <c r="B105" s="1" t="n">
        <v>43623</v>
      </c>
      <c r="C105" s="1" t="n">
        <v>45657</v>
      </c>
      <c r="D105" t="inlineStr">
        <is>
          <t>SÖDERMANLANDS LÄN</t>
        </is>
      </c>
      <c r="E105" t="inlineStr">
        <is>
          <t>KATRINEHOLM</t>
        </is>
      </c>
      <c r="G105" t="n">
        <v>16.7</v>
      </c>
      <c r="H105" t="n">
        <v>0</v>
      </c>
      <c r="I105" t="n">
        <v>0</v>
      </c>
      <c r="J105" t="n">
        <v>0</v>
      </c>
      <c r="K105" t="n">
        <v>0</v>
      </c>
      <c r="L105" t="n">
        <v>0</v>
      </c>
      <c r="M105" t="n">
        <v>0</v>
      </c>
      <c r="N105" t="n">
        <v>0</v>
      </c>
      <c r="O105" t="n">
        <v>0</v>
      </c>
      <c r="P105" t="n">
        <v>0</v>
      </c>
      <c r="Q105" t="n">
        <v>0</v>
      </c>
      <c r="R105" s="2" t="inlineStr"/>
    </row>
    <row r="106" ht="15" customHeight="1">
      <c r="A106" t="inlineStr">
        <is>
          <t>A 30604-2019</t>
        </is>
      </c>
      <c r="B106" s="1" t="n">
        <v>43635</v>
      </c>
      <c r="C106" s="1" t="n">
        <v>45657</v>
      </c>
      <c r="D106" t="inlineStr">
        <is>
          <t>SÖDERMANLANDS LÄN</t>
        </is>
      </c>
      <c r="E106" t="inlineStr">
        <is>
          <t>KATRINEHOLM</t>
        </is>
      </c>
      <c r="G106" t="n">
        <v>5.4</v>
      </c>
      <c r="H106" t="n">
        <v>0</v>
      </c>
      <c r="I106" t="n">
        <v>0</v>
      </c>
      <c r="J106" t="n">
        <v>0</v>
      </c>
      <c r="K106" t="n">
        <v>0</v>
      </c>
      <c r="L106" t="n">
        <v>0</v>
      </c>
      <c r="M106" t="n">
        <v>0</v>
      </c>
      <c r="N106" t="n">
        <v>0</v>
      </c>
      <c r="O106" t="n">
        <v>0</v>
      </c>
      <c r="P106" t="n">
        <v>0</v>
      </c>
      <c r="Q106" t="n">
        <v>0</v>
      </c>
      <c r="R106" s="2" t="inlineStr"/>
    </row>
    <row r="107" ht="15" customHeight="1">
      <c r="A107" t="inlineStr">
        <is>
          <t>A 32194-2019</t>
        </is>
      </c>
      <c r="B107" s="1" t="n">
        <v>43643</v>
      </c>
      <c r="C107" s="1" t="n">
        <v>45657</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32555-2019</t>
        </is>
      </c>
      <c r="B108" s="1" t="n">
        <v>43645</v>
      </c>
      <c r="C108" s="1" t="n">
        <v>45657</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34856-2019</t>
        </is>
      </c>
      <c r="B109" s="1" t="n">
        <v>43650</v>
      </c>
      <c r="C109" s="1" t="n">
        <v>45657</v>
      </c>
      <c r="D109" t="inlineStr">
        <is>
          <t>SÖDERMANLANDS LÄN</t>
        </is>
      </c>
      <c r="E109" t="inlineStr">
        <is>
          <t>KATRINEHOLM</t>
        </is>
      </c>
      <c r="G109" t="n">
        <v>2.7</v>
      </c>
      <c r="H109" t="n">
        <v>0</v>
      </c>
      <c r="I109" t="n">
        <v>0</v>
      </c>
      <c r="J109" t="n">
        <v>0</v>
      </c>
      <c r="K109" t="n">
        <v>0</v>
      </c>
      <c r="L109" t="n">
        <v>0</v>
      </c>
      <c r="M109" t="n">
        <v>0</v>
      </c>
      <c r="N109" t="n">
        <v>0</v>
      </c>
      <c r="O109" t="n">
        <v>0</v>
      </c>
      <c r="P109" t="n">
        <v>0</v>
      </c>
      <c r="Q109" t="n">
        <v>0</v>
      </c>
      <c r="R109" s="2" t="inlineStr"/>
    </row>
    <row r="110" ht="15" customHeight="1">
      <c r="A110" t="inlineStr">
        <is>
          <t>A 35428-2019</t>
        </is>
      </c>
      <c r="B110" s="1" t="n">
        <v>43654</v>
      </c>
      <c r="C110" s="1" t="n">
        <v>45657</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36250-2019</t>
        </is>
      </c>
      <c r="B111" s="1" t="n">
        <v>43660</v>
      </c>
      <c r="C111" s="1" t="n">
        <v>45657</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36280-2019</t>
        </is>
      </c>
      <c r="B112" s="1" t="n">
        <v>43661</v>
      </c>
      <c r="C112" s="1" t="n">
        <v>45657</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36279-2019</t>
        </is>
      </c>
      <c r="B113" s="1" t="n">
        <v>43661</v>
      </c>
      <c r="C113" s="1" t="n">
        <v>45657</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35432-2019</t>
        </is>
      </c>
      <c r="B114" s="1" t="n">
        <v>43663</v>
      </c>
      <c r="C114" s="1" t="n">
        <v>45657</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35784-2019</t>
        </is>
      </c>
      <c r="B115" s="1" t="n">
        <v>43665</v>
      </c>
      <c r="C115" s="1" t="n">
        <v>45657</v>
      </c>
      <c r="D115" t="inlineStr">
        <is>
          <t>SÖDERMANLANDS LÄN</t>
        </is>
      </c>
      <c r="E115" t="inlineStr">
        <is>
          <t>KATRINEHOLM</t>
        </is>
      </c>
      <c r="G115" t="n">
        <v>1.3</v>
      </c>
      <c r="H115" t="n">
        <v>0</v>
      </c>
      <c r="I115" t="n">
        <v>0</v>
      </c>
      <c r="J115" t="n">
        <v>0</v>
      </c>
      <c r="K115" t="n">
        <v>0</v>
      </c>
      <c r="L115" t="n">
        <v>0</v>
      </c>
      <c r="M115" t="n">
        <v>0</v>
      </c>
      <c r="N115" t="n">
        <v>0</v>
      </c>
      <c r="O115" t="n">
        <v>0</v>
      </c>
      <c r="P115" t="n">
        <v>0</v>
      </c>
      <c r="Q115" t="n">
        <v>0</v>
      </c>
      <c r="R115" s="2" t="inlineStr"/>
    </row>
    <row r="116" ht="15" customHeight="1">
      <c r="A116" t="inlineStr">
        <is>
          <t>A 36613-2019</t>
        </is>
      </c>
      <c r="B116" s="1" t="n">
        <v>43669</v>
      </c>
      <c r="C116" s="1" t="n">
        <v>45657</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36603-2019</t>
        </is>
      </c>
      <c r="B117" s="1" t="n">
        <v>43669</v>
      </c>
      <c r="C117" s="1" t="n">
        <v>45657</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36408-2019</t>
        </is>
      </c>
      <c r="B118" s="1" t="n">
        <v>43670</v>
      </c>
      <c r="C118" s="1" t="n">
        <v>45657</v>
      </c>
      <c r="D118" t="inlineStr">
        <is>
          <t>SÖDERMANLANDS LÄN</t>
        </is>
      </c>
      <c r="E118" t="inlineStr">
        <is>
          <t>KATRINEHOLM</t>
        </is>
      </c>
      <c r="G118" t="n">
        <v>13.6</v>
      </c>
      <c r="H118" t="n">
        <v>0</v>
      </c>
      <c r="I118" t="n">
        <v>0</v>
      </c>
      <c r="J118" t="n">
        <v>0</v>
      </c>
      <c r="K118" t="n">
        <v>0</v>
      </c>
      <c r="L118" t="n">
        <v>0</v>
      </c>
      <c r="M118" t="n">
        <v>0</v>
      </c>
      <c r="N118" t="n">
        <v>0</v>
      </c>
      <c r="O118" t="n">
        <v>0</v>
      </c>
      <c r="P118" t="n">
        <v>0</v>
      </c>
      <c r="Q118" t="n">
        <v>0</v>
      </c>
      <c r="R118" s="2" t="inlineStr"/>
    </row>
    <row r="119" ht="15" customHeight="1">
      <c r="A119" t="inlineStr">
        <is>
          <t>A 36780-2019</t>
        </is>
      </c>
      <c r="B119" s="1" t="n">
        <v>43672</v>
      </c>
      <c r="C119" s="1" t="n">
        <v>45657</v>
      </c>
      <c r="D119" t="inlineStr">
        <is>
          <t>SÖDERMANLANDS LÄN</t>
        </is>
      </c>
      <c r="E119" t="inlineStr">
        <is>
          <t>KATRINEHOLM</t>
        </is>
      </c>
      <c r="G119" t="n">
        <v>0.4</v>
      </c>
      <c r="H119" t="n">
        <v>0</v>
      </c>
      <c r="I119" t="n">
        <v>0</v>
      </c>
      <c r="J119" t="n">
        <v>0</v>
      </c>
      <c r="K119" t="n">
        <v>0</v>
      </c>
      <c r="L119" t="n">
        <v>0</v>
      </c>
      <c r="M119" t="n">
        <v>0</v>
      </c>
      <c r="N119" t="n">
        <v>0</v>
      </c>
      <c r="O119" t="n">
        <v>0</v>
      </c>
      <c r="P119" t="n">
        <v>0</v>
      </c>
      <c r="Q119" t="n">
        <v>0</v>
      </c>
      <c r="R119" s="2" t="inlineStr"/>
    </row>
    <row r="120" ht="15" customHeight="1">
      <c r="A120" t="inlineStr">
        <is>
          <t>A 37321-2019</t>
        </is>
      </c>
      <c r="B120" s="1" t="n">
        <v>43678</v>
      </c>
      <c r="C120" s="1" t="n">
        <v>45657</v>
      </c>
      <c r="D120" t="inlineStr">
        <is>
          <t>SÖDERMANLANDS LÄN</t>
        </is>
      </c>
      <c r="E120" t="inlineStr">
        <is>
          <t>KATRINEHOLM</t>
        </is>
      </c>
      <c r="G120" t="n">
        <v>5.5</v>
      </c>
      <c r="H120" t="n">
        <v>0</v>
      </c>
      <c r="I120" t="n">
        <v>0</v>
      </c>
      <c r="J120" t="n">
        <v>0</v>
      </c>
      <c r="K120" t="n">
        <v>0</v>
      </c>
      <c r="L120" t="n">
        <v>0</v>
      </c>
      <c r="M120" t="n">
        <v>0</v>
      </c>
      <c r="N120" t="n">
        <v>0</v>
      </c>
      <c r="O120" t="n">
        <v>0</v>
      </c>
      <c r="P120" t="n">
        <v>0</v>
      </c>
      <c r="Q120" t="n">
        <v>0</v>
      </c>
      <c r="R120" s="2" t="inlineStr"/>
    </row>
    <row r="121" ht="15" customHeight="1">
      <c r="A121" t="inlineStr">
        <is>
          <t>A 37462-2019</t>
        </is>
      </c>
      <c r="B121" s="1" t="n">
        <v>43678</v>
      </c>
      <c r="C121" s="1" t="n">
        <v>45657</v>
      </c>
      <c r="D121" t="inlineStr">
        <is>
          <t>SÖDERMANLANDS LÄN</t>
        </is>
      </c>
      <c r="E121" t="inlineStr">
        <is>
          <t>KATRINEHOLM</t>
        </is>
      </c>
      <c r="G121" t="n">
        <v>1.4</v>
      </c>
      <c r="H121" t="n">
        <v>0</v>
      </c>
      <c r="I121" t="n">
        <v>0</v>
      </c>
      <c r="J121" t="n">
        <v>0</v>
      </c>
      <c r="K121" t="n">
        <v>0</v>
      </c>
      <c r="L121" t="n">
        <v>0</v>
      </c>
      <c r="M121" t="n">
        <v>0</v>
      </c>
      <c r="N121" t="n">
        <v>0</v>
      </c>
      <c r="O121" t="n">
        <v>0</v>
      </c>
      <c r="P121" t="n">
        <v>0</v>
      </c>
      <c r="Q121" t="n">
        <v>0</v>
      </c>
      <c r="R121" s="2" t="inlineStr"/>
    </row>
    <row r="122" ht="15" customHeight="1">
      <c r="A122" t="inlineStr">
        <is>
          <t>A 37420-2019</t>
        </is>
      </c>
      <c r="B122" s="1" t="n">
        <v>43678</v>
      </c>
      <c r="C122" s="1" t="n">
        <v>45657</v>
      </c>
      <c r="D122" t="inlineStr">
        <is>
          <t>SÖDERMANLANDS LÄN</t>
        </is>
      </c>
      <c r="E122" t="inlineStr">
        <is>
          <t>KATRINEHOLM</t>
        </is>
      </c>
      <c r="G122" t="n">
        <v>1.6</v>
      </c>
      <c r="H122" t="n">
        <v>0</v>
      </c>
      <c r="I122" t="n">
        <v>0</v>
      </c>
      <c r="J122" t="n">
        <v>0</v>
      </c>
      <c r="K122" t="n">
        <v>0</v>
      </c>
      <c r="L122" t="n">
        <v>0</v>
      </c>
      <c r="M122" t="n">
        <v>0</v>
      </c>
      <c r="N122" t="n">
        <v>0</v>
      </c>
      <c r="O122" t="n">
        <v>0</v>
      </c>
      <c r="P122" t="n">
        <v>0</v>
      </c>
      <c r="Q122" t="n">
        <v>0</v>
      </c>
      <c r="R122" s="2" t="inlineStr"/>
    </row>
    <row r="123" ht="15" customHeight="1">
      <c r="A123" t="inlineStr">
        <is>
          <t>A 39424-2019</t>
        </is>
      </c>
      <c r="B123" s="1" t="n">
        <v>43690</v>
      </c>
      <c r="C123" s="1" t="n">
        <v>45657</v>
      </c>
      <c r="D123" t="inlineStr">
        <is>
          <t>SÖDERMANLANDS LÄN</t>
        </is>
      </c>
      <c r="E123" t="inlineStr">
        <is>
          <t>KATRINEHOLM</t>
        </is>
      </c>
      <c r="G123" t="n">
        <v>25.1</v>
      </c>
      <c r="H123" t="n">
        <v>0</v>
      </c>
      <c r="I123" t="n">
        <v>0</v>
      </c>
      <c r="J123" t="n">
        <v>0</v>
      </c>
      <c r="K123" t="n">
        <v>0</v>
      </c>
      <c r="L123" t="n">
        <v>0</v>
      </c>
      <c r="M123" t="n">
        <v>0</v>
      </c>
      <c r="N123" t="n">
        <v>0</v>
      </c>
      <c r="O123" t="n">
        <v>0</v>
      </c>
      <c r="P123" t="n">
        <v>0</v>
      </c>
      <c r="Q123" t="n">
        <v>0</v>
      </c>
      <c r="R123" s="2" t="inlineStr"/>
    </row>
    <row r="124" ht="15" customHeight="1">
      <c r="A124" t="inlineStr">
        <is>
          <t>A 41126-2019</t>
        </is>
      </c>
      <c r="B124" s="1" t="n">
        <v>43691</v>
      </c>
      <c r="C124" s="1" t="n">
        <v>45657</v>
      </c>
      <c r="D124" t="inlineStr">
        <is>
          <t>SÖDERMANLANDS LÄN</t>
        </is>
      </c>
      <c r="E124" t="inlineStr">
        <is>
          <t>KATRINEHOLM</t>
        </is>
      </c>
      <c r="F124" t="inlineStr">
        <is>
          <t>Övriga Aktiebolag</t>
        </is>
      </c>
      <c r="G124" t="n">
        <v>1.7</v>
      </c>
      <c r="H124" t="n">
        <v>0</v>
      </c>
      <c r="I124" t="n">
        <v>0</v>
      </c>
      <c r="J124" t="n">
        <v>0</v>
      </c>
      <c r="K124" t="n">
        <v>0</v>
      </c>
      <c r="L124" t="n">
        <v>0</v>
      </c>
      <c r="M124" t="n">
        <v>0</v>
      </c>
      <c r="N124" t="n">
        <v>0</v>
      </c>
      <c r="O124" t="n">
        <v>0</v>
      </c>
      <c r="P124" t="n">
        <v>0</v>
      </c>
      <c r="Q124" t="n">
        <v>0</v>
      </c>
      <c r="R124" s="2" t="inlineStr"/>
    </row>
    <row r="125" ht="15" customHeight="1">
      <c r="A125" t="inlineStr">
        <is>
          <t>A 40455-2019</t>
        </is>
      </c>
      <c r="B125" s="1" t="n">
        <v>43696</v>
      </c>
      <c r="C125" s="1" t="n">
        <v>45657</v>
      </c>
      <c r="D125" t="inlineStr">
        <is>
          <t>SÖDERMANLANDS LÄN</t>
        </is>
      </c>
      <c r="E125" t="inlineStr">
        <is>
          <t>KATRINEHOLM</t>
        </is>
      </c>
      <c r="G125" t="n">
        <v>1</v>
      </c>
      <c r="H125" t="n">
        <v>0</v>
      </c>
      <c r="I125" t="n">
        <v>0</v>
      </c>
      <c r="J125" t="n">
        <v>0</v>
      </c>
      <c r="K125" t="n">
        <v>0</v>
      </c>
      <c r="L125" t="n">
        <v>0</v>
      </c>
      <c r="M125" t="n">
        <v>0</v>
      </c>
      <c r="N125" t="n">
        <v>0</v>
      </c>
      <c r="O125" t="n">
        <v>0</v>
      </c>
      <c r="P125" t="n">
        <v>0</v>
      </c>
      <c r="Q125" t="n">
        <v>0</v>
      </c>
      <c r="R125" s="2" t="inlineStr"/>
    </row>
    <row r="126" ht="15" customHeight="1">
      <c r="A126" t="inlineStr">
        <is>
          <t>A 40800-2019</t>
        </is>
      </c>
      <c r="B126" s="1" t="n">
        <v>43697</v>
      </c>
      <c r="C126" s="1" t="n">
        <v>45657</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40778-2019</t>
        </is>
      </c>
      <c r="B127" s="1" t="n">
        <v>43697</v>
      </c>
      <c r="C127" s="1" t="n">
        <v>45657</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40798-2019</t>
        </is>
      </c>
      <c r="B128" s="1" t="n">
        <v>43697</v>
      </c>
      <c r="C128" s="1" t="n">
        <v>45657</v>
      </c>
      <c r="D128" t="inlineStr">
        <is>
          <t>SÖDERMANLANDS LÄN</t>
        </is>
      </c>
      <c r="E128" t="inlineStr">
        <is>
          <t>KATRINEHOLM</t>
        </is>
      </c>
      <c r="G128" t="n">
        <v>4.8</v>
      </c>
      <c r="H128" t="n">
        <v>0</v>
      </c>
      <c r="I128" t="n">
        <v>0</v>
      </c>
      <c r="J128" t="n">
        <v>0</v>
      </c>
      <c r="K128" t="n">
        <v>0</v>
      </c>
      <c r="L128" t="n">
        <v>0</v>
      </c>
      <c r="M128" t="n">
        <v>0</v>
      </c>
      <c r="N128" t="n">
        <v>0</v>
      </c>
      <c r="O128" t="n">
        <v>0</v>
      </c>
      <c r="P128" t="n">
        <v>0</v>
      </c>
      <c r="Q128" t="n">
        <v>0</v>
      </c>
      <c r="R128" s="2" t="inlineStr"/>
    </row>
    <row r="129" ht="15" customHeight="1">
      <c r="A129" t="inlineStr">
        <is>
          <t>A 40812-2019</t>
        </is>
      </c>
      <c r="B129" s="1" t="n">
        <v>43697</v>
      </c>
      <c r="C129" s="1" t="n">
        <v>45657</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40773-2019</t>
        </is>
      </c>
      <c r="B130" s="1" t="n">
        <v>43697</v>
      </c>
      <c r="C130" s="1" t="n">
        <v>45657</v>
      </c>
      <c r="D130" t="inlineStr">
        <is>
          <t>SÖDERMANLANDS LÄN</t>
        </is>
      </c>
      <c r="E130" t="inlineStr">
        <is>
          <t>KATRINEHOLM</t>
        </is>
      </c>
      <c r="G130" t="n">
        <v>1.5</v>
      </c>
      <c r="H130" t="n">
        <v>0</v>
      </c>
      <c r="I130" t="n">
        <v>0</v>
      </c>
      <c r="J130" t="n">
        <v>0</v>
      </c>
      <c r="K130" t="n">
        <v>0</v>
      </c>
      <c r="L130" t="n">
        <v>0</v>
      </c>
      <c r="M130" t="n">
        <v>0</v>
      </c>
      <c r="N130" t="n">
        <v>0</v>
      </c>
      <c r="O130" t="n">
        <v>0</v>
      </c>
      <c r="P130" t="n">
        <v>0</v>
      </c>
      <c r="Q130" t="n">
        <v>0</v>
      </c>
      <c r="R130" s="2" t="inlineStr"/>
    </row>
    <row r="131" ht="15" customHeight="1">
      <c r="A131" t="inlineStr">
        <is>
          <t>A 40775-2019</t>
        </is>
      </c>
      <c r="B131" s="1" t="n">
        <v>43697</v>
      </c>
      <c r="C131" s="1" t="n">
        <v>45657</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40891-2019</t>
        </is>
      </c>
      <c r="B132" s="1" t="n">
        <v>43697</v>
      </c>
      <c r="C132" s="1" t="n">
        <v>45657</v>
      </c>
      <c r="D132" t="inlineStr">
        <is>
          <t>SÖDERMANLANDS LÄN</t>
        </is>
      </c>
      <c r="E132" t="inlineStr">
        <is>
          <t>KATRINEHOLM</t>
        </is>
      </c>
      <c r="G132" t="n">
        <v>10.5</v>
      </c>
      <c r="H132" t="n">
        <v>0</v>
      </c>
      <c r="I132" t="n">
        <v>0</v>
      </c>
      <c r="J132" t="n">
        <v>0</v>
      </c>
      <c r="K132" t="n">
        <v>0</v>
      </c>
      <c r="L132" t="n">
        <v>0</v>
      </c>
      <c r="M132" t="n">
        <v>0</v>
      </c>
      <c r="N132" t="n">
        <v>0</v>
      </c>
      <c r="O132" t="n">
        <v>0</v>
      </c>
      <c r="P132" t="n">
        <v>0</v>
      </c>
      <c r="Q132" t="n">
        <v>0</v>
      </c>
      <c r="R132" s="2" t="inlineStr"/>
    </row>
    <row r="133" ht="15" customHeight="1">
      <c r="A133" t="inlineStr">
        <is>
          <t>A 40820-2019</t>
        </is>
      </c>
      <c r="B133" s="1" t="n">
        <v>43697</v>
      </c>
      <c r="C133" s="1" t="n">
        <v>45657</v>
      </c>
      <c r="D133" t="inlineStr">
        <is>
          <t>SÖDERMANLANDS LÄN</t>
        </is>
      </c>
      <c r="E133" t="inlineStr">
        <is>
          <t>KATRINEHOLM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42618-2019</t>
        </is>
      </c>
      <c r="B134" s="1" t="n">
        <v>43699</v>
      </c>
      <c r="C134" s="1" t="n">
        <v>45657</v>
      </c>
      <c r="D134" t="inlineStr">
        <is>
          <t>SÖDERMANLANDS LÄN</t>
        </is>
      </c>
      <c r="E134" t="inlineStr">
        <is>
          <t>KATRINEHOLM</t>
        </is>
      </c>
      <c r="G134" t="n">
        <v>24.1</v>
      </c>
      <c r="H134" t="n">
        <v>0</v>
      </c>
      <c r="I134" t="n">
        <v>0</v>
      </c>
      <c r="J134" t="n">
        <v>0</v>
      </c>
      <c r="K134" t="n">
        <v>0</v>
      </c>
      <c r="L134" t="n">
        <v>0</v>
      </c>
      <c r="M134" t="n">
        <v>0</v>
      </c>
      <c r="N134" t="n">
        <v>0</v>
      </c>
      <c r="O134" t="n">
        <v>0</v>
      </c>
      <c r="P134" t="n">
        <v>0</v>
      </c>
      <c r="Q134" t="n">
        <v>0</v>
      </c>
      <c r="R134" s="2" t="inlineStr"/>
    </row>
    <row r="135" ht="15" customHeight="1">
      <c r="A135" t="inlineStr">
        <is>
          <t>A 42397-2019</t>
        </is>
      </c>
      <c r="B135" s="1" t="n">
        <v>43703</v>
      </c>
      <c r="C135" s="1" t="n">
        <v>45657</v>
      </c>
      <c r="D135" t="inlineStr">
        <is>
          <t>SÖDERMANLANDS LÄN</t>
        </is>
      </c>
      <c r="E135" t="inlineStr">
        <is>
          <t>KATRINEHOLM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42392-2019</t>
        </is>
      </c>
      <c r="B136" s="1" t="n">
        <v>43703</v>
      </c>
      <c r="C136" s="1" t="n">
        <v>45657</v>
      </c>
      <c r="D136" t="inlineStr">
        <is>
          <t>SÖDERMANLANDS LÄN</t>
        </is>
      </c>
      <c r="E136" t="inlineStr">
        <is>
          <t>KATRINEHOLM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42394-2019</t>
        </is>
      </c>
      <c r="B137" s="1" t="n">
        <v>43703</v>
      </c>
      <c r="C137" s="1" t="n">
        <v>45657</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42244-2019</t>
        </is>
      </c>
      <c r="B138" s="1" t="n">
        <v>43703</v>
      </c>
      <c r="C138" s="1" t="n">
        <v>45657</v>
      </c>
      <c r="D138" t="inlineStr">
        <is>
          <t>SÖDERMANLANDS LÄN</t>
        </is>
      </c>
      <c r="E138" t="inlineStr">
        <is>
          <t>KATRINEHOLM</t>
        </is>
      </c>
      <c r="G138" t="n">
        <v>1.6</v>
      </c>
      <c r="H138" t="n">
        <v>0</v>
      </c>
      <c r="I138" t="n">
        <v>0</v>
      </c>
      <c r="J138" t="n">
        <v>0</v>
      </c>
      <c r="K138" t="n">
        <v>0</v>
      </c>
      <c r="L138" t="n">
        <v>0</v>
      </c>
      <c r="M138" t="n">
        <v>0</v>
      </c>
      <c r="N138" t="n">
        <v>0</v>
      </c>
      <c r="O138" t="n">
        <v>0</v>
      </c>
      <c r="P138" t="n">
        <v>0</v>
      </c>
      <c r="Q138" t="n">
        <v>0</v>
      </c>
      <c r="R138" s="2" t="inlineStr"/>
    </row>
    <row r="139" ht="15" customHeight="1">
      <c r="A139" t="inlineStr">
        <is>
          <t>A 42897-2019</t>
        </is>
      </c>
      <c r="B139" s="1" t="n">
        <v>43705</v>
      </c>
      <c r="C139" s="1" t="n">
        <v>45657</v>
      </c>
      <c r="D139" t="inlineStr">
        <is>
          <t>SÖDERMANLANDS LÄN</t>
        </is>
      </c>
      <c r="E139" t="inlineStr">
        <is>
          <t>KATRINEHOLM</t>
        </is>
      </c>
      <c r="G139" t="n">
        <v>6</v>
      </c>
      <c r="H139" t="n">
        <v>0</v>
      </c>
      <c r="I139" t="n">
        <v>0</v>
      </c>
      <c r="J139" t="n">
        <v>0</v>
      </c>
      <c r="K139" t="n">
        <v>0</v>
      </c>
      <c r="L139" t="n">
        <v>0</v>
      </c>
      <c r="M139" t="n">
        <v>0</v>
      </c>
      <c r="N139" t="n">
        <v>0</v>
      </c>
      <c r="O139" t="n">
        <v>0</v>
      </c>
      <c r="P139" t="n">
        <v>0</v>
      </c>
      <c r="Q139" t="n">
        <v>0</v>
      </c>
      <c r="R139" s="2" t="inlineStr"/>
    </row>
    <row r="140" ht="15" customHeight="1">
      <c r="A140" t="inlineStr">
        <is>
          <t>A 44403-2019</t>
        </is>
      </c>
      <c r="B140" s="1" t="n">
        <v>43705</v>
      </c>
      <c r="C140" s="1" t="n">
        <v>45657</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43579-2019</t>
        </is>
      </c>
      <c r="B141" s="1" t="n">
        <v>43706</v>
      </c>
      <c r="C141" s="1" t="n">
        <v>45657</v>
      </c>
      <c r="D141" t="inlineStr">
        <is>
          <t>SÖDERMANLANDS LÄN</t>
        </is>
      </c>
      <c r="E141" t="inlineStr">
        <is>
          <t>KATRINEHOLM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43580-2019</t>
        </is>
      </c>
      <c r="B142" s="1" t="n">
        <v>43706</v>
      </c>
      <c r="C142" s="1" t="n">
        <v>45657</v>
      </c>
      <c r="D142" t="inlineStr">
        <is>
          <t>SÖDERMANLANDS LÄN</t>
        </is>
      </c>
      <c r="E142" t="inlineStr">
        <is>
          <t>KATRINEHOLM</t>
        </is>
      </c>
      <c r="G142" t="n">
        <v>3.6</v>
      </c>
      <c r="H142" t="n">
        <v>0</v>
      </c>
      <c r="I142" t="n">
        <v>0</v>
      </c>
      <c r="J142" t="n">
        <v>0</v>
      </c>
      <c r="K142" t="n">
        <v>0</v>
      </c>
      <c r="L142" t="n">
        <v>0</v>
      </c>
      <c r="M142" t="n">
        <v>0</v>
      </c>
      <c r="N142" t="n">
        <v>0</v>
      </c>
      <c r="O142" t="n">
        <v>0</v>
      </c>
      <c r="P142" t="n">
        <v>0</v>
      </c>
      <c r="Q142" t="n">
        <v>0</v>
      </c>
      <c r="R142" s="2" t="inlineStr"/>
    </row>
    <row r="143" ht="15" customHeight="1">
      <c r="A143" t="inlineStr">
        <is>
          <t>A 43575-2019</t>
        </is>
      </c>
      <c r="B143" s="1" t="n">
        <v>43706</v>
      </c>
      <c r="C143" s="1" t="n">
        <v>45657</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43577-2019</t>
        </is>
      </c>
      <c r="B144" s="1" t="n">
        <v>43706</v>
      </c>
      <c r="C144" s="1" t="n">
        <v>45657</v>
      </c>
      <c r="D144" t="inlineStr">
        <is>
          <t>SÖDERMANLANDS LÄN</t>
        </is>
      </c>
      <c r="E144" t="inlineStr">
        <is>
          <t>KATRINEHOLM</t>
        </is>
      </c>
      <c r="G144" t="n">
        <v>1.8</v>
      </c>
      <c r="H144" t="n">
        <v>0</v>
      </c>
      <c r="I144" t="n">
        <v>0</v>
      </c>
      <c r="J144" t="n">
        <v>0</v>
      </c>
      <c r="K144" t="n">
        <v>0</v>
      </c>
      <c r="L144" t="n">
        <v>0</v>
      </c>
      <c r="M144" t="n">
        <v>0</v>
      </c>
      <c r="N144" t="n">
        <v>0</v>
      </c>
      <c r="O144" t="n">
        <v>0</v>
      </c>
      <c r="P144" t="n">
        <v>0</v>
      </c>
      <c r="Q144" t="n">
        <v>0</v>
      </c>
      <c r="R144" s="2" t="inlineStr"/>
    </row>
    <row r="145" ht="15" customHeight="1">
      <c r="A145" t="inlineStr">
        <is>
          <t>A 45332-2019</t>
        </is>
      </c>
      <c r="B145" s="1" t="n">
        <v>43709</v>
      </c>
      <c r="C145" s="1" t="n">
        <v>45657</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45326-2019</t>
        </is>
      </c>
      <c r="B146" s="1" t="n">
        <v>43709</v>
      </c>
      <c r="C146" s="1" t="n">
        <v>45657</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44215-2019</t>
        </is>
      </c>
      <c r="B147" s="1" t="n">
        <v>43710</v>
      </c>
      <c r="C147" s="1" t="n">
        <v>45657</v>
      </c>
      <c r="D147" t="inlineStr">
        <is>
          <t>SÖDERMANLANDS LÄN</t>
        </is>
      </c>
      <c r="E147" t="inlineStr">
        <is>
          <t>KATRINEHOLM</t>
        </is>
      </c>
      <c r="G147" t="n">
        <v>3.1</v>
      </c>
      <c r="H147" t="n">
        <v>0</v>
      </c>
      <c r="I147" t="n">
        <v>0</v>
      </c>
      <c r="J147" t="n">
        <v>0</v>
      </c>
      <c r="K147" t="n">
        <v>0</v>
      </c>
      <c r="L147" t="n">
        <v>0</v>
      </c>
      <c r="M147" t="n">
        <v>0</v>
      </c>
      <c r="N147" t="n">
        <v>0</v>
      </c>
      <c r="O147" t="n">
        <v>0</v>
      </c>
      <c r="P147" t="n">
        <v>0</v>
      </c>
      <c r="Q147" t="n">
        <v>0</v>
      </c>
      <c r="R147" s="2" t="inlineStr"/>
    </row>
    <row r="148" ht="15" customHeight="1">
      <c r="A148" t="inlineStr">
        <is>
          <t>A 44276-2019</t>
        </is>
      </c>
      <c r="B148" s="1" t="n">
        <v>43710</v>
      </c>
      <c r="C148" s="1" t="n">
        <v>45657</v>
      </c>
      <c r="D148" t="inlineStr">
        <is>
          <t>SÖDERMANLANDS LÄN</t>
        </is>
      </c>
      <c r="E148" t="inlineStr">
        <is>
          <t>KATRINEHOLM</t>
        </is>
      </c>
      <c r="G148" t="n">
        <v>14.2</v>
      </c>
      <c r="H148" t="n">
        <v>0</v>
      </c>
      <c r="I148" t="n">
        <v>0</v>
      </c>
      <c r="J148" t="n">
        <v>0</v>
      </c>
      <c r="K148" t="n">
        <v>0</v>
      </c>
      <c r="L148" t="n">
        <v>0</v>
      </c>
      <c r="M148" t="n">
        <v>0</v>
      </c>
      <c r="N148" t="n">
        <v>0</v>
      </c>
      <c r="O148" t="n">
        <v>0</v>
      </c>
      <c r="P148" t="n">
        <v>0</v>
      </c>
      <c r="Q148" t="n">
        <v>0</v>
      </c>
      <c r="R148" s="2" t="inlineStr"/>
    </row>
    <row r="149" ht="15" customHeight="1">
      <c r="A149" t="inlineStr">
        <is>
          <t>A 44283-2019</t>
        </is>
      </c>
      <c r="B149" s="1" t="n">
        <v>43710</v>
      </c>
      <c r="C149" s="1" t="n">
        <v>45657</v>
      </c>
      <c r="D149" t="inlineStr">
        <is>
          <t>SÖDERMANLANDS LÄN</t>
        </is>
      </c>
      <c r="E149" t="inlineStr">
        <is>
          <t>KATRINEHOLM</t>
        </is>
      </c>
      <c r="G149" t="n">
        <v>10.5</v>
      </c>
      <c r="H149" t="n">
        <v>0</v>
      </c>
      <c r="I149" t="n">
        <v>0</v>
      </c>
      <c r="J149" t="n">
        <v>0</v>
      </c>
      <c r="K149" t="n">
        <v>0</v>
      </c>
      <c r="L149" t="n">
        <v>0</v>
      </c>
      <c r="M149" t="n">
        <v>0</v>
      </c>
      <c r="N149" t="n">
        <v>0</v>
      </c>
      <c r="O149" t="n">
        <v>0</v>
      </c>
      <c r="P149" t="n">
        <v>0</v>
      </c>
      <c r="Q149" t="n">
        <v>0</v>
      </c>
      <c r="R149" s="2" t="inlineStr"/>
    </row>
    <row r="150" ht="15" customHeight="1">
      <c r="A150" t="inlineStr">
        <is>
          <t>A 44184-2019</t>
        </is>
      </c>
      <c r="B150" s="1" t="n">
        <v>43710</v>
      </c>
      <c r="C150" s="1" t="n">
        <v>45657</v>
      </c>
      <c r="D150" t="inlineStr">
        <is>
          <t>SÖDERMANLANDS LÄN</t>
        </is>
      </c>
      <c r="E150" t="inlineStr">
        <is>
          <t>KATRINEHOLM</t>
        </is>
      </c>
      <c r="G150" t="n">
        <v>1.6</v>
      </c>
      <c r="H150" t="n">
        <v>0</v>
      </c>
      <c r="I150" t="n">
        <v>0</v>
      </c>
      <c r="J150" t="n">
        <v>0</v>
      </c>
      <c r="K150" t="n">
        <v>0</v>
      </c>
      <c r="L150" t="n">
        <v>0</v>
      </c>
      <c r="M150" t="n">
        <v>0</v>
      </c>
      <c r="N150" t="n">
        <v>0</v>
      </c>
      <c r="O150" t="n">
        <v>0</v>
      </c>
      <c r="P150" t="n">
        <v>0</v>
      </c>
      <c r="Q150" t="n">
        <v>0</v>
      </c>
      <c r="R150" s="2" t="inlineStr"/>
    </row>
    <row r="151" ht="15" customHeight="1">
      <c r="A151" t="inlineStr">
        <is>
          <t>A 44286-2019</t>
        </is>
      </c>
      <c r="B151" s="1" t="n">
        <v>43710</v>
      </c>
      <c r="C151" s="1" t="n">
        <v>45657</v>
      </c>
      <c r="D151" t="inlineStr">
        <is>
          <t>SÖDERMANLANDS LÄN</t>
        </is>
      </c>
      <c r="E151" t="inlineStr">
        <is>
          <t>KATRINEHOLM</t>
        </is>
      </c>
      <c r="G151" t="n">
        <v>18.9</v>
      </c>
      <c r="H151" t="n">
        <v>0</v>
      </c>
      <c r="I151" t="n">
        <v>0</v>
      </c>
      <c r="J151" t="n">
        <v>0</v>
      </c>
      <c r="K151" t="n">
        <v>0</v>
      </c>
      <c r="L151" t="n">
        <v>0</v>
      </c>
      <c r="M151" t="n">
        <v>0</v>
      </c>
      <c r="N151" t="n">
        <v>0</v>
      </c>
      <c r="O151" t="n">
        <v>0</v>
      </c>
      <c r="P151" t="n">
        <v>0</v>
      </c>
      <c r="Q151" t="n">
        <v>0</v>
      </c>
      <c r="R151" s="2" t="inlineStr"/>
    </row>
    <row r="152" ht="15" customHeight="1">
      <c r="A152" t="inlineStr">
        <is>
          <t>A 45318-2019</t>
        </is>
      </c>
      <c r="B152" s="1" t="n">
        <v>43710</v>
      </c>
      <c r="C152" s="1" t="n">
        <v>45657</v>
      </c>
      <c r="D152" t="inlineStr">
        <is>
          <t>SÖDERMANLANDS LÄN</t>
        </is>
      </c>
      <c r="E152" t="inlineStr">
        <is>
          <t>KATRINEHOLM</t>
        </is>
      </c>
      <c r="G152" t="n">
        <v>7</v>
      </c>
      <c r="H152" t="n">
        <v>0</v>
      </c>
      <c r="I152" t="n">
        <v>0</v>
      </c>
      <c r="J152" t="n">
        <v>0</v>
      </c>
      <c r="K152" t="n">
        <v>0</v>
      </c>
      <c r="L152" t="n">
        <v>0</v>
      </c>
      <c r="M152" t="n">
        <v>0</v>
      </c>
      <c r="N152" t="n">
        <v>0</v>
      </c>
      <c r="O152" t="n">
        <v>0</v>
      </c>
      <c r="P152" t="n">
        <v>0</v>
      </c>
      <c r="Q152" t="n">
        <v>0</v>
      </c>
      <c r="R152" s="2" t="inlineStr"/>
    </row>
    <row r="153" ht="15" customHeight="1">
      <c r="A153" t="inlineStr">
        <is>
          <t>A 45642-2019</t>
        </is>
      </c>
      <c r="B153" s="1" t="n">
        <v>43711</v>
      </c>
      <c r="C153" s="1" t="n">
        <v>45657</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45780-2019</t>
        </is>
      </c>
      <c r="B154" s="1" t="n">
        <v>43711</v>
      </c>
      <c r="C154" s="1" t="n">
        <v>45657</v>
      </c>
      <c r="D154" t="inlineStr">
        <is>
          <t>SÖDERMANLANDS LÄN</t>
        </is>
      </c>
      <c r="E154" t="inlineStr">
        <is>
          <t>KATRINEHOLM</t>
        </is>
      </c>
      <c r="F154" t="inlineStr">
        <is>
          <t>Övriga Aktiebolag</t>
        </is>
      </c>
      <c r="G154" t="n">
        <v>16.5</v>
      </c>
      <c r="H154" t="n">
        <v>0</v>
      </c>
      <c r="I154" t="n">
        <v>0</v>
      </c>
      <c r="J154" t="n">
        <v>0</v>
      </c>
      <c r="K154" t="n">
        <v>0</v>
      </c>
      <c r="L154" t="n">
        <v>0</v>
      </c>
      <c r="M154" t="n">
        <v>0</v>
      </c>
      <c r="N154" t="n">
        <v>0</v>
      </c>
      <c r="O154" t="n">
        <v>0</v>
      </c>
      <c r="P154" t="n">
        <v>0</v>
      </c>
      <c r="Q154" t="n">
        <v>0</v>
      </c>
      <c r="R154" s="2" t="inlineStr"/>
    </row>
    <row r="155" ht="15" customHeight="1">
      <c r="A155" t="inlineStr">
        <is>
          <t>A 44862-2019</t>
        </is>
      </c>
      <c r="B155" s="1" t="n">
        <v>43712</v>
      </c>
      <c r="C155" s="1" t="n">
        <v>45657</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44859-2019</t>
        </is>
      </c>
      <c r="B156" s="1" t="n">
        <v>43712</v>
      </c>
      <c r="C156" s="1" t="n">
        <v>45657</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45246-2019</t>
        </is>
      </c>
      <c r="B157" s="1" t="n">
        <v>43713</v>
      </c>
      <c r="C157" s="1" t="n">
        <v>45657</v>
      </c>
      <c r="D157" t="inlineStr">
        <is>
          <t>SÖDERMANLANDS LÄN</t>
        </is>
      </c>
      <c r="E157" t="inlineStr">
        <is>
          <t>KATRINEHOLM</t>
        </is>
      </c>
      <c r="G157" t="n">
        <v>3.2</v>
      </c>
      <c r="H157" t="n">
        <v>0</v>
      </c>
      <c r="I157" t="n">
        <v>0</v>
      </c>
      <c r="J157" t="n">
        <v>0</v>
      </c>
      <c r="K157" t="n">
        <v>0</v>
      </c>
      <c r="L157" t="n">
        <v>0</v>
      </c>
      <c r="M157" t="n">
        <v>0</v>
      </c>
      <c r="N157" t="n">
        <v>0</v>
      </c>
      <c r="O157" t="n">
        <v>0</v>
      </c>
      <c r="P157" t="n">
        <v>0</v>
      </c>
      <c r="Q157" t="n">
        <v>0</v>
      </c>
      <c r="R157" s="2" t="inlineStr"/>
    </row>
    <row r="158" ht="15" customHeight="1">
      <c r="A158" t="inlineStr">
        <is>
          <t>A 45248-2019</t>
        </is>
      </c>
      <c r="B158" s="1" t="n">
        <v>43713</v>
      </c>
      <c r="C158" s="1" t="n">
        <v>45657</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47935-2019</t>
        </is>
      </c>
      <c r="B159" s="1" t="n">
        <v>43725</v>
      </c>
      <c r="C159" s="1" t="n">
        <v>45657</v>
      </c>
      <c r="D159" t="inlineStr">
        <is>
          <t>SÖDERMANLANDS LÄN</t>
        </is>
      </c>
      <c r="E159" t="inlineStr">
        <is>
          <t>KATRINEHOLM</t>
        </is>
      </c>
      <c r="G159" t="n">
        <v>1.9</v>
      </c>
      <c r="H159" t="n">
        <v>0</v>
      </c>
      <c r="I159" t="n">
        <v>0</v>
      </c>
      <c r="J159" t="n">
        <v>0</v>
      </c>
      <c r="K159" t="n">
        <v>0</v>
      </c>
      <c r="L159" t="n">
        <v>0</v>
      </c>
      <c r="M159" t="n">
        <v>0</v>
      </c>
      <c r="N159" t="n">
        <v>0</v>
      </c>
      <c r="O159" t="n">
        <v>0</v>
      </c>
      <c r="P159" t="n">
        <v>0</v>
      </c>
      <c r="Q159" t="n">
        <v>0</v>
      </c>
      <c r="R159" s="2" t="inlineStr"/>
    </row>
    <row r="160" ht="15" customHeight="1">
      <c r="A160" t="inlineStr">
        <is>
          <t>A 48581-2019</t>
        </is>
      </c>
      <c r="B160" s="1" t="n">
        <v>43727</v>
      </c>
      <c r="C160" s="1" t="n">
        <v>45657</v>
      </c>
      <c r="D160" t="inlineStr">
        <is>
          <t>SÖDERMANLANDS LÄN</t>
        </is>
      </c>
      <c r="E160" t="inlineStr">
        <is>
          <t>KATRINEHOLM</t>
        </is>
      </c>
      <c r="G160" t="n">
        <v>14.3</v>
      </c>
      <c r="H160" t="n">
        <v>0</v>
      </c>
      <c r="I160" t="n">
        <v>0</v>
      </c>
      <c r="J160" t="n">
        <v>0</v>
      </c>
      <c r="K160" t="n">
        <v>0</v>
      </c>
      <c r="L160" t="n">
        <v>0</v>
      </c>
      <c r="M160" t="n">
        <v>0</v>
      </c>
      <c r="N160" t="n">
        <v>0</v>
      </c>
      <c r="O160" t="n">
        <v>0</v>
      </c>
      <c r="P160" t="n">
        <v>0</v>
      </c>
      <c r="Q160" t="n">
        <v>0</v>
      </c>
      <c r="R160" s="2" t="inlineStr"/>
    </row>
    <row r="161" ht="15" customHeight="1">
      <c r="A161" t="inlineStr">
        <is>
          <t>A 49346-2019</t>
        </is>
      </c>
      <c r="B161" s="1" t="n">
        <v>43731</v>
      </c>
      <c r="C161" s="1" t="n">
        <v>45657</v>
      </c>
      <c r="D161" t="inlineStr">
        <is>
          <t>SÖDERMANLANDS LÄN</t>
        </is>
      </c>
      <c r="E161" t="inlineStr">
        <is>
          <t>KATRINEHOLM</t>
        </is>
      </c>
      <c r="G161" t="n">
        <v>4.1</v>
      </c>
      <c r="H161" t="n">
        <v>0</v>
      </c>
      <c r="I161" t="n">
        <v>0</v>
      </c>
      <c r="J161" t="n">
        <v>0</v>
      </c>
      <c r="K161" t="n">
        <v>0</v>
      </c>
      <c r="L161" t="n">
        <v>0</v>
      </c>
      <c r="M161" t="n">
        <v>0</v>
      </c>
      <c r="N161" t="n">
        <v>0</v>
      </c>
      <c r="O161" t="n">
        <v>0</v>
      </c>
      <c r="P161" t="n">
        <v>0</v>
      </c>
      <c r="Q161" t="n">
        <v>0</v>
      </c>
      <c r="R161" s="2" t="inlineStr"/>
    </row>
    <row r="162" ht="15" customHeight="1">
      <c r="A162" t="inlineStr">
        <is>
          <t>A 51109-2019</t>
        </is>
      </c>
      <c r="B162" s="1" t="n">
        <v>43739</v>
      </c>
      <c r="C162" s="1" t="n">
        <v>45657</v>
      </c>
      <c r="D162" t="inlineStr">
        <is>
          <t>SÖDERMANLANDS LÄN</t>
        </is>
      </c>
      <c r="E162" t="inlineStr">
        <is>
          <t>KATRINEHOLM</t>
        </is>
      </c>
      <c r="G162" t="n">
        <v>7.8</v>
      </c>
      <c r="H162" t="n">
        <v>0</v>
      </c>
      <c r="I162" t="n">
        <v>0</v>
      </c>
      <c r="J162" t="n">
        <v>0</v>
      </c>
      <c r="K162" t="n">
        <v>0</v>
      </c>
      <c r="L162" t="n">
        <v>0</v>
      </c>
      <c r="M162" t="n">
        <v>0</v>
      </c>
      <c r="N162" t="n">
        <v>0</v>
      </c>
      <c r="O162" t="n">
        <v>0</v>
      </c>
      <c r="P162" t="n">
        <v>0</v>
      </c>
      <c r="Q162" t="n">
        <v>0</v>
      </c>
      <c r="R162" s="2" t="inlineStr"/>
    </row>
    <row r="163" ht="15" customHeight="1">
      <c r="A163" t="inlineStr">
        <is>
          <t>A 51233-2019</t>
        </is>
      </c>
      <c r="B163" s="1" t="n">
        <v>43739</v>
      </c>
      <c r="C163" s="1" t="n">
        <v>45657</v>
      </c>
      <c r="D163" t="inlineStr">
        <is>
          <t>SÖDERMANLANDS LÄN</t>
        </is>
      </c>
      <c r="E163" t="inlineStr">
        <is>
          <t>KATRINEHOLM</t>
        </is>
      </c>
      <c r="G163" t="n">
        <v>7.4</v>
      </c>
      <c r="H163" t="n">
        <v>0</v>
      </c>
      <c r="I163" t="n">
        <v>0</v>
      </c>
      <c r="J163" t="n">
        <v>0</v>
      </c>
      <c r="K163" t="n">
        <v>0</v>
      </c>
      <c r="L163" t="n">
        <v>0</v>
      </c>
      <c r="M163" t="n">
        <v>0</v>
      </c>
      <c r="N163" t="n">
        <v>0</v>
      </c>
      <c r="O163" t="n">
        <v>0</v>
      </c>
      <c r="P163" t="n">
        <v>0</v>
      </c>
      <c r="Q163" t="n">
        <v>0</v>
      </c>
      <c r="R163" s="2" t="inlineStr"/>
    </row>
    <row r="164" ht="15" customHeight="1">
      <c r="A164" t="inlineStr">
        <is>
          <t>A 51871-2019</t>
        </is>
      </c>
      <c r="B164" s="1" t="n">
        <v>43741</v>
      </c>
      <c r="C164" s="1" t="n">
        <v>45657</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54305-2019</t>
        </is>
      </c>
      <c r="B165" s="1" t="n">
        <v>43745</v>
      </c>
      <c r="C165" s="1" t="n">
        <v>45657</v>
      </c>
      <c r="D165" t="inlineStr">
        <is>
          <t>SÖDERMANLANDS LÄN</t>
        </is>
      </c>
      <c r="E165" t="inlineStr">
        <is>
          <t>KATRINEHOLM</t>
        </is>
      </c>
      <c r="G165" t="n">
        <v>9.6</v>
      </c>
      <c r="H165" t="n">
        <v>0</v>
      </c>
      <c r="I165" t="n">
        <v>0</v>
      </c>
      <c r="J165" t="n">
        <v>0</v>
      </c>
      <c r="K165" t="n">
        <v>0</v>
      </c>
      <c r="L165" t="n">
        <v>0</v>
      </c>
      <c r="M165" t="n">
        <v>0</v>
      </c>
      <c r="N165" t="n">
        <v>0</v>
      </c>
      <c r="O165" t="n">
        <v>0</v>
      </c>
      <c r="P165" t="n">
        <v>0</v>
      </c>
      <c r="Q165" t="n">
        <v>0</v>
      </c>
      <c r="R165" s="2" t="inlineStr"/>
    </row>
    <row r="166" ht="15" customHeight="1">
      <c r="A166" t="inlineStr">
        <is>
          <t>A 54310-2019</t>
        </is>
      </c>
      <c r="B166" s="1" t="n">
        <v>43745</v>
      </c>
      <c r="C166" s="1" t="n">
        <v>45657</v>
      </c>
      <c r="D166" t="inlineStr">
        <is>
          <t>SÖDERMANLANDS LÄN</t>
        </is>
      </c>
      <c r="E166" t="inlineStr">
        <is>
          <t>KATRINEHOLM</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54321-2019</t>
        </is>
      </c>
      <c r="B167" s="1" t="n">
        <v>43745</v>
      </c>
      <c r="C167" s="1" t="n">
        <v>45657</v>
      </c>
      <c r="D167" t="inlineStr">
        <is>
          <t>SÖDERMANLANDS LÄN</t>
        </is>
      </c>
      <c r="E167" t="inlineStr">
        <is>
          <t>KATRINEHOLM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53762-2019</t>
        </is>
      </c>
      <c r="B168" s="1" t="n">
        <v>43750</v>
      </c>
      <c r="C168" s="1" t="n">
        <v>45657</v>
      </c>
      <c r="D168" t="inlineStr">
        <is>
          <t>SÖDERMANLANDS LÄN</t>
        </is>
      </c>
      <c r="E168" t="inlineStr">
        <is>
          <t>KATRINEHOLM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54263-2019</t>
        </is>
      </c>
      <c r="B169" s="1" t="n">
        <v>43753</v>
      </c>
      <c r="C169" s="1" t="n">
        <v>45657</v>
      </c>
      <c r="D169" t="inlineStr">
        <is>
          <t>SÖDERMANLANDS LÄN</t>
        </is>
      </c>
      <c r="E169" t="inlineStr">
        <is>
          <t>KATRINEHOLM</t>
        </is>
      </c>
      <c r="G169" t="n">
        <v>2</v>
      </c>
      <c r="H169" t="n">
        <v>0</v>
      </c>
      <c r="I169" t="n">
        <v>0</v>
      </c>
      <c r="J169" t="n">
        <v>0</v>
      </c>
      <c r="K169" t="n">
        <v>0</v>
      </c>
      <c r="L169" t="n">
        <v>0</v>
      </c>
      <c r="M169" t="n">
        <v>0</v>
      </c>
      <c r="N169" t="n">
        <v>0</v>
      </c>
      <c r="O169" t="n">
        <v>0</v>
      </c>
      <c r="P169" t="n">
        <v>0</v>
      </c>
      <c r="Q169" t="n">
        <v>0</v>
      </c>
      <c r="R169" s="2" t="inlineStr"/>
    </row>
    <row r="170" ht="15" customHeight="1">
      <c r="A170" t="inlineStr">
        <is>
          <t>A 55232-2019</t>
        </is>
      </c>
      <c r="B170" s="1" t="n">
        <v>43753</v>
      </c>
      <c r="C170" s="1" t="n">
        <v>45657</v>
      </c>
      <c r="D170" t="inlineStr">
        <is>
          <t>SÖDERMANLANDS LÄN</t>
        </is>
      </c>
      <c r="E170" t="inlineStr">
        <is>
          <t>KATRINEHOLM</t>
        </is>
      </c>
      <c r="G170" t="n">
        <v>4</v>
      </c>
      <c r="H170" t="n">
        <v>0</v>
      </c>
      <c r="I170" t="n">
        <v>0</v>
      </c>
      <c r="J170" t="n">
        <v>0</v>
      </c>
      <c r="K170" t="n">
        <v>0</v>
      </c>
      <c r="L170" t="n">
        <v>0</v>
      </c>
      <c r="M170" t="n">
        <v>0</v>
      </c>
      <c r="N170" t="n">
        <v>0</v>
      </c>
      <c r="O170" t="n">
        <v>0</v>
      </c>
      <c r="P170" t="n">
        <v>0</v>
      </c>
      <c r="Q170" t="n">
        <v>0</v>
      </c>
      <c r="R170" s="2" t="inlineStr"/>
    </row>
    <row r="171" ht="15" customHeight="1">
      <c r="A171" t="inlineStr">
        <is>
          <t>A 54248-2019</t>
        </is>
      </c>
      <c r="B171" s="1" t="n">
        <v>43753</v>
      </c>
      <c r="C171" s="1" t="n">
        <v>45657</v>
      </c>
      <c r="D171" t="inlineStr">
        <is>
          <t>SÖDERMANLANDS LÄN</t>
        </is>
      </c>
      <c r="E171" t="inlineStr">
        <is>
          <t>KATRINEHOLM</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45657</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45657</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45657</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45657</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45657</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45657</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45657</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45657</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45657</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45657</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45657</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45657</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45657</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45657</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45657</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45657</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45657</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45657</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45657</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45657</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45657</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45657</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45657</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45657</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45657</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45657</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45657</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45657</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45657</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45657</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45657</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45657</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45657</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45657</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45657</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45657</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45657</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45657</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45657</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45657</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45657</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45657</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45657</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45657</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45657</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45657</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45657</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45657</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45657</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45657</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45657</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45657</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45657</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45657</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45657</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45657</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45657</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45657</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45657</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45657</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45657</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45657</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45657</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45657</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45657</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45657</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45657</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45657</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45657</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45657</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45657</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45657</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45657</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45657</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45657</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45657</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45657</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45657</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45657</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45657</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45657</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45657</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45657</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45657</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45657</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45657</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45657</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45657</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45657</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45657</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45657</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45657</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45657</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45657</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45657</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45657</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45657</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45657</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45657</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45657</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45657</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45657</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45657</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45657</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45657</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45657</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45657</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45657</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45657</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45657</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45657</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45657</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45657</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45657</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45657</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45657</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45657</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45657</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45657</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45657</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45657</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45657</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45657</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45657</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45657</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45657</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45657</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45657</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45657</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45657</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45657</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45657</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45657</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45657</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45657</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45657</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45657</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45657</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45657</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45657</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45657</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45657</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45657</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45657</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45657</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45657</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45657</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45657</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45657</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45657</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45657</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45657</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45657</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45657</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45657</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45657</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45657</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45657</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45657</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45657</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45657</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45657</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45657</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45657</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45657</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45657</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45657</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45657</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45657</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45657</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45657</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45657</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45657</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45657</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45657</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45657</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45657</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45657</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45657</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45657</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45657</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45657</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45657</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45657</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45657</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45657</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45657</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45657</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45657</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45657</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45657</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45657</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45657</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45657</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45657</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45657</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45657</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45657</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45657</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45657</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45657</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45657</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45657</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45657</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45657</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45657</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45657</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45657</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45657</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45657</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45657</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45657</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45657</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45657</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45657</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45657</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45657</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45657</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45657</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45657</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45657</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45657</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45657</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45657</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45657</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45657</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45657</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45657</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45657</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45657</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45657</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45657</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45657</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45657</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45657</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45657</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45657</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45657</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45657</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45657</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45657</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45657</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45657</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45657</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45657</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45657</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45657</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45657</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45657</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45657</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45657</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45657</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45657</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45657</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45657</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45657</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45657</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45657</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45657</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45657</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45657</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45657</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45657</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45657</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45657</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45657</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45657</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45657</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45657</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45657</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45657</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45657</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45657</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45657</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45657</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45657</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45657</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45657</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45657</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45657</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45657</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45657</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45657</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45657</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45657</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45657</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45657</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45657</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45657</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45657</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45657</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45657</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45657</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45657</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45657</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45657</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45657</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45657</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45657</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45657</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45657</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45657</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45657</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45657</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45657</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45657</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45657</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45657</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45657</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45657</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45657</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45657</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45657</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45657</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45657</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45657</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45657</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45657</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45657</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45657</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45657</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45657</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45657</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45657</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45657</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45657</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45657</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45657</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45657</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45657</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45657</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45657</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45657</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45657</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45657</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45657</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45657</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45657</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45657</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45657</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45657</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45657</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45657</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45657</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45657</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45657</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45657</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45657</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45657</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45657</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45657</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45657</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45657</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45657</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45657</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45657</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45657</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45657</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45657</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45657</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45657</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45657</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45657</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45657</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45657</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45657</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45657</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45657</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45657</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45657</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45657</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45657</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45657</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45657</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45657</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45657</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45657</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45657</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45657</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45657</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45657</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45657</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45657</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45657</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45657</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45657</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45657</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45657</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45657</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45657</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45657</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45657</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45657</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45657</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45657</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45657</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45657</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45657</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45657</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45657</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45657</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45657</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45657</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45657</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45657</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45657</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45657</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45657</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45657</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45657</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45657</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45657</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45657</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45657</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45657</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45657</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45657</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45657</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45657</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45657</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45657</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45657</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45657</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45657</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45657</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45657</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45657</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45657</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45657</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45657</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45657</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45657</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45657</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45657</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45657</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45657</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45657</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45657</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45657</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45657</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45657</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45657</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45657</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45657</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45657</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45657</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45657</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45657</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45657</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45657</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45657</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45657</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45657</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45657</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45657</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45657</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45657</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45657</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45657</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45657</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45657</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45657</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45657</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45657</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45657</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45657</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45657</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45657</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45657</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45657</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45657</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45657</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45657</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45657</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45657</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45657</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45657</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45657</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45657</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45657</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45657</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45657</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45657</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45657</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45657</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45657</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45657</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45657</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45657</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45657</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45657</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45657</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45657</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45657</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45657</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45657</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45657</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45657</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45657</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45657</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45657</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45657</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45657</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45657</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45657</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45657</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45657</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45657</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45657</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45657</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45657</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45657</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45657</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45657</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45657</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45657</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45657</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45657</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45657</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45657</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45657</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45657</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45657</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45657</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45657</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45657</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45657</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45657</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45657</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45657</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45657</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45657</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45657</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45657</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45657</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45657</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45657</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45657</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45657</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45657</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45657</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45657</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45657</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45657</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45657</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45657</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45657</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45657</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45657</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45657</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45657</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45657</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45657</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45657</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45657</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45657</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45657</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45657</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45657</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45657</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45657</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45657</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45657</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45657</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45657</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45657</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45657</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45657</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45657</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45657</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45657</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45657</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45657</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45657</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45657</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45657</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45657</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45657</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45657</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45657</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45657</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45657</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45657</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45657</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45657</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45657</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45657</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45657</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45657</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45657</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45657</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45657</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45657</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45657</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45657</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45657</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45657</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45657</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45657</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45657</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45657</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45657</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45657</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45657</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45657</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45657</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45657</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45657</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45657</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45657</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45657</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45657</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45657</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45657</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45657</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45657</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45657</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45657</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45657</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45657</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45657</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45657</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45657</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45657</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45657</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45657</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45657</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45657</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45657</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45657</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45657</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45657</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45657</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45657</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45657</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45657</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45657</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45657</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45657</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45657</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45657</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45657</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45657</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45657</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45657</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45657</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45657</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45657</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45657</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45657</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45657</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45657</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45657</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45657</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45657</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45657</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45657</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45657</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45657</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45657</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45657</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45657</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45657</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45657</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45657</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45657</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45657</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45657</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45657</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45657</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45657</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45657</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45657</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45657</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45657</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45657</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45657</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45657</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45657</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45657</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45657</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45657</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45657</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45657</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45657</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45657</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45657</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45657</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45657</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45657</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45657</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45657</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45657</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45657</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45657</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45657</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45657</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45657</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45657</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45657</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45657</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45657</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45657</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45657</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45657</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45657</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45657</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45657</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45657</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45657</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45657</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45657</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45657</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45657</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45657</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45657</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45657</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45657</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45657</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45657</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45657</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45657</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45657</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45657</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45657</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45657</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45657</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45657</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45657</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45657</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45657</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45657</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45657</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45657</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45657</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45657</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45657</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45657</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45657</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45657</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45657</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45657</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45657</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45657</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45657</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45657</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45657</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45657</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45657</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45657</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45657</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45657</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45657</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45657</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45657</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45657</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45657</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45657</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45657</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45657</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45657</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45657</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45657</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45657</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45657</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45657</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45657</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45657</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45657</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45657</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45657</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45657</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45657</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45657</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45657</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45657</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45657</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45657</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45657</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45657</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45657</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45657</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45657</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45657</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45657</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45657</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45657</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45657</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45657</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45657</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45657</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45657</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45657</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45657</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45657</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45657</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45657</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45657</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45657</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45657</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45657</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45657</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45657</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45657</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45657</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45657</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45657</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45657</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45657</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45657</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45657</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45657</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45657</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45657</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45657</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45657</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45657</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45657</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45657</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45657</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45657</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45657</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45657</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45657</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45657</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45657</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45657</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45657</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45657</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45657</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45657</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45657</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45657</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45657</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45657</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45657</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45657</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45657</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45657</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45657</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45657</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45657</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45657</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45657</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45657</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45657</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45657</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45657</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45657</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45657</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45657</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45657</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45657</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45657</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45657</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45657</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45657</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45657</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45657</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45657</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45657</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45657</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45657</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45657</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45657</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45657</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45657</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45657</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45657</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45657</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45657</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45657</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45657</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45657</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45657</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45657</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45657</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45657</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45657</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45657</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45657</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45657</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45657</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45657</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45657</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45657</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45657</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45657</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45657</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45657</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45657</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45657</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45657</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45657</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45657</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45657</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45657</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45657</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45657</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45657</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45657</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45657</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45657</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45657</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45657</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45657</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45657</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45657</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45657</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45657</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45657</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45657</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45657</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45657</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45657</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45657</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45657</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45657</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45657</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45657</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45657</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45657</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45657</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45657</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45657</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45657</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45657</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45657</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45657</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45657</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45657</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45657</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45657</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45657</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45657</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45657</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45657</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45657</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45657</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45657</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45657</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45657</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45657</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45657</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45657</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45657</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45657</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45657</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45657</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45657</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45657</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45657</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45657</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45657</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45657</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45657</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45657</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45657</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45657</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45657</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45657</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45657</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45657</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45657</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45657</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45657</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45657</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45657</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45657</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45657</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45657</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45657</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45657</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45657</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45657</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45657</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45657</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45657</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45657</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45657</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45657</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45657</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45657</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45657</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45657</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45657</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45657</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45657</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45657</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45657</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45657</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45657</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45657</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45657</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45657</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45657</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45657</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45657</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45657</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45657</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45657</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45657</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45657</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45657</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45657</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45657</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45657</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45657</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45657</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45657</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45657</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45657</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45657</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45657</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45657</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45657</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45657</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45657</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45657</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45657</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45657</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45657</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45657</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45657</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45657</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45657</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45657</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45657</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45657</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45657</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45657</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45657</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45657</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45657</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45657</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45657</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45657</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45657</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45657</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45657</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45657</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45657</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45657</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45657</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45657</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45657</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45657</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45657</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45657</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45657</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45657</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45657</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45657</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45657</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45657</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45657</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45657</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45657</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45657</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45657</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45657</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45657</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45657</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45657</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45657</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45657</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45657</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45657</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45657</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45657</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45657</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45657</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45657</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45657</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45657</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45657</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45657</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45657</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45657</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45657</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45657</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45657</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45657</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45657</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45657</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45657</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45657</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45657</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45657</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45657</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45657</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45657</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45657</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45657</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45657</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45657</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45657</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45657</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45657</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45657</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45657</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45657</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45657</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45657</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45657</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45657</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45657</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45657</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45657</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45657</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45657</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45657</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45657</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45657</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45657</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45657</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45657</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45657</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45657</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45657</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45657</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45657</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45657</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45657</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45657</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45657</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45657</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45657</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45657</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45657</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45657</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45657</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45657</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45657</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45657</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45657</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45657</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45657</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45657</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45657</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45657</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45657</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45657</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45657</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45657</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45657</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45657</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45657</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45657</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45657</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45657</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45657</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45657</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45657</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45657</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45657</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45657</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45657</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45657</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45657</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45657</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45657</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45657</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45657</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45657</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45657</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45657</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45657</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45657</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45657</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45657</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45657</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45657</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45657</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45657</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45657</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45657</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45657</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45657</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45657</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45657</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45657</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45657</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45657</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45657</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45657</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45657</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45657</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45657</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45657</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45657</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45657</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45657</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45657</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45657</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45657</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45657</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45657</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45657</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45657</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45657</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45657</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45657</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45657</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45657</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45657</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45657</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45657</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45657</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45657</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45657</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45657</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45657</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45657</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58522-2024</t>
        </is>
      </c>
      <c r="B1386" s="1" t="n">
        <v>45635</v>
      </c>
      <c r="C1386" s="1" t="n">
        <v>45657</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45657</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45657</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45657</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61394-2024</t>
        </is>
      </c>
      <c r="B1390" s="1" t="n">
        <v>45646</v>
      </c>
      <c r="C1390" s="1" t="n">
        <v>45657</v>
      </c>
      <c r="D1390" t="inlineStr">
        <is>
          <t>SÖDERMANLANDS LÄN</t>
        </is>
      </c>
      <c r="E1390" t="inlineStr">
        <is>
          <t>KATRINEHOLM</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61398-2024</t>
        </is>
      </c>
      <c r="B1391" s="1" t="n">
        <v>45646</v>
      </c>
      <c r="C1391" s="1" t="n">
        <v>45657</v>
      </c>
      <c r="D1391" t="inlineStr">
        <is>
          <t>SÖDERMANLANDS LÄN</t>
        </is>
      </c>
      <c r="E1391" t="inlineStr">
        <is>
          <t>KATRINEHOLM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61410-2024</t>
        </is>
      </c>
      <c r="B1392" s="1" t="n">
        <v>45646</v>
      </c>
      <c r="C1392" s="1" t="n">
        <v>45657</v>
      </c>
      <c r="D1392" t="inlineStr">
        <is>
          <t>SÖDERMANLANDS LÄN</t>
        </is>
      </c>
      <c r="E1392" t="inlineStr">
        <is>
          <t>KATRINEHOLM</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61423-2024</t>
        </is>
      </c>
      <c r="B1393" s="1" t="n">
        <v>45646</v>
      </c>
      <c r="C1393" s="1" t="n">
        <v>45657</v>
      </c>
      <c r="D1393" t="inlineStr">
        <is>
          <t>SÖDERMANLANDS LÄN</t>
        </is>
      </c>
      <c r="E1393" t="inlineStr">
        <is>
          <t>KATRINEHOLM</t>
        </is>
      </c>
      <c r="G1393" t="n">
        <v>1.2</v>
      </c>
      <c r="H1393" t="n">
        <v>0</v>
      </c>
      <c r="I1393" t="n">
        <v>0</v>
      </c>
      <c r="J1393" t="n">
        <v>0</v>
      </c>
      <c r="K1393" t="n">
        <v>0</v>
      </c>
      <c r="L1393" t="n">
        <v>0</v>
      </c>
      <c r="M1393" t="n">
        <v>0</v>
      </c>
      <c r="N1393" t="n">
        <v>0</v>
      </c>
      <c r="O1393" t="n">
        <v>0</v>
      </c>
      <c r="P1393" t="n">
        <v>0</v>
      </c>
      <c r="Q1393" t="n">
        <v>0</v>
      </c>
      <c r="R1393" s="2" t="inlineStr"/>
    </row>
    <row r="1394">
      <c r="A1394" t="inlineStr">
        <is>
          <t>A 61431-2024</t>
        </is>
      </c>
      <c r="B1394" s="1" t="n">
        <v>45646</v>
      </c>
      <c r="C1394" s="1" t="n">
        <v>45657</v>
      </c>
      <c r="D1394" t="inlineStr">
        <is>
          <t>SÖDERMANLANDS LÄN</t>
        </is>
      </c>
      <c r="E1394" t="inlineStr">
        <is>
          <t>KATRINEHOLM</t>
        </is>
      </c>
      <c r="G1394" t="n">
        <v>0.8</v>
      </c>
      <c r="H1394" t="n">
        <v>0</v>
      </c>
      <c r="I1394" t="n">
        <v>0</v>
      </c>
      <c r="J1394" t="n">
        <v>0</v>
      </c>
      <c r="K1394" t="n">
        <v>0</v>
      </c>
      <c r="L1394" t="n">
        <v>0</v>
      </c>
      <c r="M1394" t="n">
        <v>0</v>
      </c>
      <c r="N1394" t="n">
        <v>0</v>
      </c>
      <c r="O1394" t="n">
        <v>0</v>
      </c>
      <c r="P1394" t="n">
        <v>0</v>
      </c>
      <c r="Q1394" t="n">
        <v>0</v>
      </c>
      <c r="R1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2024-12-31T15:45:51Z</dcterms:created>
  <dcterms:modified xmlns:dcterms="http://purl.org/dc/terms/" xmlns:xsi="http://www.w3.org/2001/XMLSchema-instance" xsi:type="dcterms:W3CDTF">2024-12-31T15:45:52Z</dcterms:modified>
</cp:coreProperties>
</file>