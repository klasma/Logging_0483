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45987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45987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45987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45987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45987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45987</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45987</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45987</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45987</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45987</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45987</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45987</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45987</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24718-2025</t>
        </is>
      </c>
      <c r="B25" s="1" t="n">
        <v>45799</v>
      </c>
      <c r="C25" s="1" t="n">
        <v>45987</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14858-2023</t>
        </is>
      </c>
      <c r="B26" s="1" t="n">
        <v>45014</v>
      </c>
      <c r="C26" s="1" t="n">
        <v>45987</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70501-2021</t>
        </is>
      </c>
      <c r="B27" s="1" t="n">
        <v>44536</v>
      </c>
      <c r="C27" s="1" t="n">
        <v>45987</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45987</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1150-2025</t>
        </is>
      </c>
      <c r="B29" s="1" t="n">
        <v>45666</v>
      </c>
      <c r="C29" s="1" t="n">
        <v>45987</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45987</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45987</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45987</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45987</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45987</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45987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11890-2023</t>
        </is>
      </c>
      <c r="B37" s="1" t="n">
        <v>44995</v>
      </c>
      <c r="C37" s="1" t="n">
        <v>45987</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27926-2025</t>
        </is>
      </c>
      <c r="B38" s="1" t="n">
        <v>45814</v>
      </c>
      <c r="C38" s="1" t="n">
        <v>45987</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42055-2025</t>
        </is>
      </c>
      <c r="B39" s="1" t="n">
        <v>45903</v>
      </c>
      <c r="C39" s="1" t="n">
        <v>45987</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16458-2022</t>
        </is>
      </c>
      <c r="B40" s="1" t="n">
        <v>44671</v>
      </c>
      <c r="C40" s="1" t="n">
        <v>45987</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23568-2023</t>
        </is>
      </c>
      <c r="B41" s="1" t="n">
        <v>45077</v>
      </c>
      <c r="C41" s="1" t="n">
        <v>45987</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45987</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57519-2021</t>
        </is>
      </c>
      <c r="B43" s="1" t="n">
        <v>44483</v>
      </c>
      <c r="C43" s="1" t="n">
        <v>45987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41980-2025</t>
        </is>
      </c>
      <c r="B44" s="1" t="n">
        <v>45903</v>
      </c>
      <c r="C44" s="1" t="n">
        <v>45987</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44486-2023</t>
        </is>
      </c>
      <c r="B45" s="1" t="n">
        <v>45183</v>
      </c>
      <c r="C45" s="1" t="n">
        <v>45987</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45987</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45987</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48199-2025</t>
        </is>
      </c>
      <c r="B48" s="1" t="n">
        <v>45933.47856481482</v>
      </c>
      <c r="C48" s="1" t="n">
        <v>45987</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33801-2023</t>
        </is>
      </c>
      <c r="B49" s="1" t="n">
        <v>45133</v>
      </c>
      <c r="C49" s="1" t="n">
        <v>45987</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45987</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45987</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7305-2024</t>
        </is>
      </c>
      <c r="B52" s="1" t="n">
        <v>45344</v>
      </c>
      <c r="C52" s="1" t="n">
        <v>45987</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45987</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45987</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45987</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45987</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45987</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45987</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45987</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45987</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45987</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45987</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45987</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45987</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45987</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45987</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45987</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45987</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45987</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45987</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45987</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45987</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45987</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45987</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45987</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45987</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45987</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45987</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45987</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45987</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45987</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45987</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45987</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45987</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45987</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45987</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45987</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45987</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45987</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45987</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45987</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45987</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45987</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45987</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45987</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45987</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45987</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45987</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45987</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45987</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45987</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45987</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34070-2022</t>
        </is>
      </c>
      <c r="B107" s="1" t="n">
        <v>44791.42287037037</v>
      </c>
      <c r="C107" s="1" t="n">
        <v>45987</v>
      </c>
      <c r="D107" t="inlineStr">
        <is>
          <t>SÖDERMANLANDS LÄN</t>
        </is>
      </c>
      <c r="E107" t="inlineStr">
        <is>
          <t>KATRINEHOLM</t>
        </is>
      </c>
      <c r="G107" t="n">
        <v>1.8</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45987</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64463-2020</t>
        </is>
      </c>
      <c r="B109" s="1" t="n">
        <v>44168</v>
      </c>
      <c r="C109" s="1" t="n">
        <v>45987</v>
      </c>
      <c r="D109" t="inlineStr">
        <is>
          <t>SÖDERMANLANDS LÄN</t>
        </is>
      </c>
      <c r="E109" t="inlineStr">
        <is>
          <t>KATRINEHOLM</t>
        </is>
      </c>
      <c r="G109" t="n">
        <v>0.7</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45987</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53349-2021</t>
        </is>
      </c>
      <c r="B111" s="1" t="n">
        <v>44468</v>
      </c>
      <c r="C111" s="1" t="n">
        <v>45987</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45987</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45987</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45987</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45987</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45987</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45987</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45987</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61236-2021</t>
        </is>
      </c>
      <c r="B119" s="1" t="n">
        <v>44498.53755787037</v>
      </c>
      <c r="C119" s="1" t="n">
        <v>45987</v>
      </c>
      <c r="D119" t="inlineStr">
        <is>
          <t>SÖDERMANLANDS LÄN</t>
        </is>
      </c>
      <c r="E119" t="inlineStr">
        <is>
          <t>KATRINEHOLM</t>
        </is>
      </c>
      <c r="G119" t="n">
        <v>3.9</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45987</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45987</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45987</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45987</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45987</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45987</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45987</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45987</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45987</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45987</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45987</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45987</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45987</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45987</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45987</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45987</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45987</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45987</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45987</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45987</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45987</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45987</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45987</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45987</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45987</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45987</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45987</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45987</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6533-2022</t>
        </is>
      </c>
      <c r="B152" s="1" t="n">
        <v>44601</v>
      </c>
      <c r="C152" s="1" t="n">
        <v>45987</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45987</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45987</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45987</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45987</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45987</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45987</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45987</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45987</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45987</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45987</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45987</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53822-2023</t>
        </is>
      </c>
      <c r="B164" s="1" t="n">
        <v>45231.40846064815</v>
      </c>
      <c r="C164" s="1" t="n">
        <v>45987</v>
      </c>
      <c r="D164" t="inlineStr">
        <is>
          <t>SÖDERMANLANDS LÄN</t>
        </is>
      </c>
      <c r="E164" t="inlineStr">
        <is>
          <t>KATRINEHOLM</t>
        </is>
      </c>
      <c r="G164" t="n">
        <v>0.6</v>
      </c>
      <c r="H164" t="n">
        <v>0</v>
      </c>
      <c r="I164" t="n">
        <v>0</v>
      </c>
      <c r="J164" t="n">
        <v>0</v>
      </c>
      <c r="K164" t="n">
        <v>0</v>
      </c>
      <c r="L164" t="n">
        <v>0</v>
      </c>
      <c r="M164" t="n">
        <v>0</v>
      </c>
      <c r="N164" t="n">
        <v>0</v>
      </c>
      <c r="O164" t="n">
        <v>0</v>
      </c>
      <c r="P164" t="n">
        <v>0</v>
      </c>
      <c r="Q164" t="n">
        <v>0</v>
      </c>
      <c r="R164" s="2" t="inlineStr"/>
    </row>
    <row r="165" ht="15" customHeight="1">
      <c r="A165" t="inlineStr">
        <is>
          <t>A 30981-2022</t>
        </is>
      </c>
      <c r="B165" s="1" t="n">
        <v>44768</v>
      </c>
      <c r="C165" s="1" t="n">
        <v>45987</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45987</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45987</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45987</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45987</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45987</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45987</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35088-2022</t>
        </is>
      </c>
      <c r="B172" s="1" t="n">
        <v>44797</v>
      </c>
      <c r="C172" s="1" t="n">
        <v>45987</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45987</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45987</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45987</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45987</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45987</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45987</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45987</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45987</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45987</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45987</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45987</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45987</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45987</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45987</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45987</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45987</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45987</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45987</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45987</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45987</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45987</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45987</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45987</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45987</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65162-2021</t>
        </is>
      </c>
      <c r="B197" s="1" t="n">
        <v>44512</v>
      </c>
      <c r="C197" s="1" t="n">
        <v>45987</v>
      </c>
      <c r="D197" t="inlineStr">
        <is>
          <t>SÖDERMANLANDS LÄN</t>
        </is>
      </c>
      <c r="E197" t="inlineStr">
        <is>
          <t>KATRINEHOLM</t>
        </is>
      </c>
      <c r="G197" t="n">
        <v>1</v>
      </c>
      <c r="H197" t="n">
        <v>0</v>
      </c>
      <c r="I197" t="n">
        <v>0</v>
      </c>
      <c r="J197" t="n">
        <v>0</v>
      </c>
      <c r="K197" t="n">
        <v>0</v>
      </c>
      <c r="L197" t="n">
        <v>0</v>
      </c>
      <c r="M197" t="n">
        <v>0</v>
      </c>
      <c r="N197" t="n">
        <v>0</v>
      </c>
      <c r="O197" t="n">
        <v>0</v>
      </c>
      <c r="P197" t="n">
        <v>0</v>
      </c>
      <c r="Q197" t="n">
        <v>0</v>
      </c>
      <c r="R197" s="2" t="inlineStr"/>
    </row>
    <row r="198" ht="15" customHeight="1">
      <c r="A198" t="inlineStr">
        <is>
          <t>A 12068-2021</t>
        </is>
      </c>
      <c r="B198" s="1" t="n">
        <v>44266</v>
      </c>
      <c r="C198" s="1" t="n">
        <v>45987</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45987</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45987</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45987</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45147-2021</t>
        </is>
      </c>
      <c r="B202" s="1" t="n">
        <v>44439</v>
      </c>
      <c r="C202" s="1" t="n">
        <v>45987</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45987</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45987</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33538-2022</t>
        </is>
      </c>
      <c r="B205" s="1" t="n">
        <v>44789</v>
      </c>
      <c r="C205" s="1" t="n">
        <v>45987</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35188-2022</t>
        </is>
      </c>
      <c r="B206" s="1" t="n">
        <v>44797</v>
      </c>
      <c r="C206" s="1" t="n">
        <v>45987</v>
      </c>
      <c r="D206" t="inlineStr">
        <is>
          <t>SÖDERMANLANDS LÄN</t>
        </is>
      </c>
      <c r="E206" t="inlineStr">
        <is>
          <t>KATRINEHOLM</t>
        </is>
      </c>
      <c r="G206" t="n">
        <v>3</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45987</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46569-2022</t>
        </is>
      </c>
      <c r="B208" s="1" t="n">
        <v>44847</v>
      </c>
      <c r="C208" s="1" t="n">
        <v>45987</v>
      </c>
      <c r="D208" t="inlineStr">
        <is>
          <t>SÖDERMANLANDS LÄN</t>
        </is>
      </c>
      <c r="E208" t="inlineStr">
        <is>
          <t>KATRINEHOLM</t>
        </is>
      </c>
      <c r="G208" t="n">
        <v>1.7</v>
      </c>
      <c r="H208" t="n">
        <v>0</v>
      </c>
      <c r="I208" t="n">
        <v>0</v>
      </c>
      <c r="J208" t="n">
        <v>0</v>
      </c>
      <c r="K208" t="n">
        <v>0</v>
      </c>
      <c r="L208" t="n">
        <v>0</v>
      </c>
      <c r="M208" t="n">
        <v>0</v>
      </c>
      <c r="N208" t="n">
        <v>0</v>
      </c>
      <c r="O208" t="n">
        <v>0</v>
      </c>
      <c r="P208" t="n">
        <v>0</v>
      </c>
      <c r="Q208" t="n">
        <v>0</v>
      </c>
      <c r="R208" s="2" t="inlineStr"/>
    </row>
    <row r="209" ht="15" customHeight="1">
      <c r="A209" t="inlineStr">
        <is>
          <t>A 36210-2022</t>
        </is>
      </c>
      <c r="B209" s="1" t="n">
        <v>44803.47950231482</v>
      </c>
      <c r="C209" s="1" t="n">
        <v>45987</v>
      </c>
      <c r="D209" t="inlineStr">
        <is>
          <t>SÖDERMANLANDS LÄN</t>
        </is>
      </c>
      <c r="E209" t="inlineStr">
        <is>
          <t>KATRINEHOLM</t>
        </is>
      </c>
      <c r="G209" t="n">
        <v>1.6</v>
      </c>
      <c r="H209" t="n">
        <v>0</v>
      </c>
      <c r="I209" t="n">
        <v>0</v>
      </c>
      <c r="J209" t="n">
        <v>0</v>
      </c>
      <c r="K209" t="n">
        <v>0</v>
      </c>
      <c r="L209" t="n">
        <v>0</v>
      </c>
      <c r="M209" t="n">
        <v>0</v>
      </c>
      <c r="N209" t="n">
        <v>0</v>
      </c>
      <c r="O209" t="n">
        <v>0</v>
      </c>
      <c r="P209" t="n">
        <v>0</v>
      </c>
      <c r="Q209" t="n">
        <v>0</v>
      </c>
      <c r="R209" s="2" t="inlineStr"/>
    </row>
    <row r="210" ht="15" customHeight="1">
      <c r="A210" t="inlineStr">
        <is>
          <t>A 7705-2021</t>
        </is>
      </c>
      <c r="B210" s="1" t="n">
        <v>44242</v>
      </c>
      <c r="C210" s="1" t="n">
        <v>45987</v>
      </c>
      <c r="D210" t="inlineStr">
        <is>
          <t>SÖDERMANLANDS LÄN</t>
        </is>
      </c>
      <c r="E210" t="inlineStr">
        <is>
          <t>KATRINEHOLM</t>
        </is>
      </c>
      <c r="F210" t="inlineStr">
        <is>
          <t>Allmännings- och besparingsskogar</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48682-2022</t>
        </is>
      </c>
      <c r="B211" s="1" t="n">
        <v>44859</v>
      </c>
      <c r="C211" s="1" t="n">
        <v>45987</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3090-2025</t>
        </is>
      </c>
      <c r="B212" s="1" t="n">
        <v>45678</v>
      </c>
      <c r="C212" s="1" t="n">
        <v>45987</v>
      </c>
      <c r="D212" t="inlineStr">
        <is>
          <t>SÖDERMANLANDS LÄN</t>
        </is>
      </c>
      <c r="E212" t="inlineStr">
        <is>
          <t>KATRINEHOLM</t>
        </is>
      </c>
      <c r="F212" t="inlineStr">
        <is>
          <t>Kyrkan</t>
        </is>
      </c>
      <c r="G212" t="n">
        <v>6.9</v>
      </c>
      <c r="H212" t="n">
        <v>0</v>
      </c>
      <c r="I212" t="n">
        <v>0</v>
      </c>
      <c r="J212" t="n">
        <v>0</v>
      </c>
      <c r="K212" t="n">
        <v>0</v>
      </c>
      <c r="L212" t="n">
        <v>0</v>
      </c>
      <c r="M212" t="n">
        <v>0</v>
      </c>
      <c r="N212" t="n">
        <v>0</v>
      </c>
      <c r="O212" t="n">
        <v>0</v>
      </c>
      <c r="P212" t="n">
        <v>0</v>
      </c>
      <c r="Q212" t="n">
        <v>0</v>
      </c>
      <c r="R212" s="2" t="inlineStr"/>
    </row>
    <row r="213" ht="15" customHeight="1">
      <c r="A213" t="inlineStr">
        <is>
          <t>A 17246-2024</t>
        </is>
      </c>
      <c r="B213" s="1" t="n">
        <v>45414</v>
      </c>
      <c r="C213" s="1" t="n">
        <v>45987</v>
      </c>
      <c r="D213" t="inlineStr">
        <is>
          <t>SÖDERMANLANDS LÄN</t>
        </is>
      </c>
      <c r="E213" t="inlineStr">
        <is>
          <t>KATRINEHOLM</t>
        </is>
      </c>
      <c r="F213" t="inlineStr">
        <is>
          <t>Allmännings- och besparingsskogar</t>
        </is>
      </c>
      <c r="G213" t="n">
        <v>13.7</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45987</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45987</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20460-2025</t>
        </is>
      </c>
      <c r="B216" s="1" t="n">
        <v>45775.52854166667</v>
      </c>
      <c r="C216" s="1" t="n">
        <v>45987</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6091-2025</t>
        </is>
      </c>
      <c r="B217" s="1" t="n">
        <v>45697</v>
      </c>
      <c r="C217" s="1" t="n">
        <v>45987</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6093-2025</t>
        </is>
      </c>
      <c r="B218" s="1" t="n">
        <v>45697</v>
      </c>
      <c r="C218" s="1" t="n">
        <v>45987</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42015-2022</t>
        </is>
      </c>
      <c r="B219" s="1" t="n">
        <v>44830.4649074074</v>
      </c>
      <c r="C219" s="1" t="n">
        <v>45987</v>
      </c>
      <c r="D219" t="inlineStr">
        <is>
          <t>SÖDERMANLANDS LÄN</t>
        </is>
      </c>
      <c r="E219" t="inlineStr">
        <is>
          <t>KATRINEHOLM</t>
        </is>
      </c>
      <c r="G219" t="n">
        <v>3.8</v>
      </c>
      <c r="H219" t="n">
        <v>0</v>
      </c>
      <c r="I219" t="n">
        <v>0</v>
      </c>
      <c r="J219" t="n">
        <v>0</v>
      </c>
      <c r="K219" t="n">
        <v>0</v>
      </c>
      <c r="L219" t="n">
        <v>0</v>
      </c>
      <c r="M219" t="n">
        <v>0</v>
      </c>
      <c r="N219" t="n">
        <v>0</v>
      </c>
      <c r="O219" t="n">
        <v>0</v>
      </c>
      <c r="P219" t="n">
        <v>0</v>
      </c>
      <c r="Q219" t="n">
        <v>0</v>
      </c>
      <c r="R219" s="2" t="inlineStr"/>
    </row>
    <row r="220" ht="15" customHeight="1">
      <c r="A220" t="inlineStr">
        <is>
          <t>A 42020-2022</t>
        </is>
      </c>
      <c r="B220" s="1" t="n">
        <v>44830.46849537037</v>
      </c>
      <c r="C220" s="1" t="n">
        <v>45987</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55846-2022</t>
        </is>
      </c>
      <c r="B221" s="1" t="n">
        <v>44888</v>
      </c>
      <c r="C221" s="1" t="n">
        <v>45987</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53722-2023</t>
        </is>
      </c>
      <c r="B222" s="1" t="n">
        <v>45230</v>
      </c>
      <c r="C222" s="1" t="n">
        <v>45987</v>
      </c>
      <c r="D222" t="inlineStr">
        <is>
          <t>SÖDERMANLANDS LÄN</t>
        </is>
      </c>
      <c r="E222" t="inlineStr">
        <is>
          <t>KATRINEHOLM</t>
        </is>
      </c>
      <c r="F222" t="inlineStr">
        <is>
          <t>Allmännings- och besparingsskogar</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48520-2023</t>
        </is>
      </c>
      <c r="B223" s="1" t="n">
        <v>45208</v>
      </c>
      <c r="C223" s="1" t="n">
        <v>45987</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41966-2023</t>
        </is>
      </c>
      <c r="B224" s="1" t="n">
        <v>45177</v>
      </c>
      <c r="C224" s="1" t="n">
        <v>45987</v>
      </c>
      <c r="D224" t="inlineStr">
        <is>
          <t>SÖDERMANLANDS LÄN</t>
        </is>
      </c>
      <c r="E224" t="inlineStr">
        <is>
          <t>KATRINEHOLM</t>
        </is>
      </c>
      <c r="G224" t="n">
        <v>36.9</v>
      </c>
      <c r="H224" t="n">
        <v>0</v>
      </c>
      <c r="I224" t="n">
        <v>0</v>
      </c>
      <c r="J224" t="n">
        <v>0</v>
      </c>
      <c r="K224" t="n">
        <v>0</v>
      </c>
      <c r="L224" t="n">
        <v>0</v>
      </c>
      <c r="M224" t="n">
        <v>0</v>
      </c>
      <c r="N224" t="n">
        <v>0</v>
      </c>
      <c r="O224" t="n">
        <v>0</v>
      </c>
      <c r="P224" t="n">
        <v>0</v>
      </c>
      <c r="Q224" t="n">
        <v>0</v>
      </c>
      <c r="R224" s="2" t="inlineStr"/>
    </row>
    <row r="225" ht="15" customHeight="1">
      <c r="A225" t="inlineStr">
        <is>
          <t>A 56661-2021</t>
        </is>
      </c>
      <c r="B225" s="1" t="n">
        <v>44481.24327546296</v>
      </c>
      <c r="C225" s="1" t="n">
        <v>45987</v>
      </c>
      <c r="D225" t="inlineStr">
        <is>
          <t>SÖDERMANLANDS LÄN</t>
        </is>
      </c>
      <c r="E225" t="inlineStr">
        <is>
          <t>KATRINEHOLM</t>
        </is>
      </c>
      <c r="G225" t="n">
        <v>5.8</v>
      </c>
      <c r="H225" t="n">
        <v>0</v>
      </c>
      <c r="I225" t="n">
        <v>0</v>
      </c>
      <c r="J225" t="n">
        <v>0</v>
      </c>
      <c r="K225" t="n">
        <v>0</v>
      </c>
      <c r="L225" t="n">
        <v>0</v>
      </c>
      <c r="M225" t="n">
        <v>0</v>
      </c>
      <c r="N225" t="n">
        <v>0</v>
      </c>
      <c r="O225" t="n">
        <v>0</v>
      </c>
      <c r="P225" t="n">
        <v>0</v>
      </c>
      <c r="Q225" t="n">
        <v>0</v>
      </c>
      <c r="R225" s="2" t="inlineStr"/>
    </row>
    <row r="226" ht="15" customHeight="1">
      <c r="A226" t="inlineStr">
        <is>
          <t>A 28394-2023</t>
        </is>
      </c>
      <c r="B226" s="1" t="n">
        <v>45100</v>
      </c>
      <c r="C226" s="1" t="n">
        <v>45987</v>
      </c>
      <c r="D226" t="inlineStr">
        <is>
          <t>SÖDERMANLANDS LÄN</t>
        </is>
      </c>
      <c r="E226" t="inlineStr">
        <is>
          <t>KATRINEHOLM</t>
        </is>
      </c>
      <c r="G226" t="n">
        <v>4.2</v>
      </c>
      <c r="H226" t="n">
        <v>0</v>
      </c>
      <c r="I226" t="n">
        <v>0</v>
      </c>
      <c r="J226" t="n">
        <v>0</v>
      </c>
      <c r="K226" t="n">
        <v>0</v>
      </c>
      <c r="L226" t="n">
        <v>0</v>
      </c>
      <c r="M226" t="n">
        <v>0</v>
      </c>
      <c r="N226" t="n">
        <v>0</v>
      </c>
      <c r="O226" t="n">
        <v>0</v>
      </c>
      <c r="P226" t="n">
        <v>0</v>
      </c>
      <c r="Q226" t="n">
        <v>0</v>
      </c>
      <c r="R226" s="2" t="inlineStr"/>
    </row>
    <row r="227" ht="15" customHeight="1">
      <c r="A227" t="inlineStr">
        <is>
          <t>A 4122-2023</t>
        </is>
      </c>
      <c r="B227" s="1" t="n">
        <v>44952</v>
      </c>
      <c r="C227" s="1" t="n">
        <v>45987</v>
      </c>
      <c r="D227" t="inlineStr">
        <is>
          <t>SÖDERMANLANDS LÄN</t>
        </is>
      </c>
      <c r="E227" t="inlineStr">
        <is>
          <t>KATRINEHOLM</t>
        </is>
      </c>
      <c r="G227" t="n">
        <v>9</v>
      </c>
      <c r="H227" t="n">
        <v>0</v>
      </c>
      <c r="I227" t="n">
        <v>0</v>
      </c>
      <c r="J227" t="n">
        <v>0</v>
      </c>
      <c r="K227" t="n">
        <v>0</v>
      </c>
      <c r="L227" t="n">
        <v>0</v>
      </c>
      <c r="M227" t="n">
        <v>0</v>
      </c>
      <c r="N227" t="n">
        <v>0</v>
      </c>
      <c r="O227" t="n">
        <v>0</v>
      </c>
      <c r="P227" t="n">
        <v>0</v>
      </c>
      <c r="Q227" t="n">
        <v>0</v>
      </c>
      <c r="R227" s="2" t="inlineStr"/>
    </row>
    <row r="228" ht="15" customHeight="1">
      <c r="A228" t="inlineStr">
        <is>
          <t>A 55863-2022</t>
        </is>
      </c>
      <c r="B228" s="1" t="n">
        <v>44888</v>
      </c>
      <c r="C228" s="1" t="n">
        <v>45987</v>
      </c>
      <c r="D228" t="inlineStr">
        <is>
          <t>SÖDERMANLANDS LÄN</t>
        </is>
      </c>
      <c r="E228" t="inlineStr">
        <is>
          <t>KATRINEHOLM</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55865-2022</t>
        </is>
      </c>
      <c r="B229" s="1" t="n">
        <v>44888</v>
      </c>
      <c r="C229" s="1" t="n">
        <v>45987</v>
      </c>
      <c r="D229" t="inlineStr">
        <is>
          <t>SÖDERMANLANDS LÄN</t>
        </is>
      </c>
      <c r="E229" t="inlineStr">
        <is>
          <t>KATRINEHOLM</t>
        </is>
      </c>
      <c r="G229" t="n">
        <v>9.1</v>
      </c>
      <c r="H229" t="n">
        <v>0</v>
      </c>
      <c r="I229" t="n">
        <v>0</v>
      </c>
      <c r="J229" t="n">
        <v>0</v>
      </c>
      <c r="K229" t="n">
        <v>0</v>
      </c>
      <c r="L229" t="n">
        <v>0</v>
      </c>
      <c r="M229" t="n">
        <v>0</v>
      </c>
      <c r="N229" t="n">
        <v>0</v>
      </c>
      <c r="O229" t="n">
        <v>0</v>
      </c>
      <c r="P229" t="n">
        <v>0</v>
      </c>
      <c r="Q229" t="n">
        <v>0</v>
      </c>
      <c r="R229" s="2" t="inlineStr"/>
    </row>
    <row r="230" ht="15" customHeight="1">
      <c r="A230" t="inlineStr">
        <is>
          <t>A 55795-2023</t>
        </is>
      </c>
      <c r="B230" s="1" t="n">
        <v>45239.54861111111</v>
      </c>
      <c r="C230" s="1" t="n">
        <v>45987</v>
      </c>
      <c r="D230" t="inlineStr">
        <is>
          <t>SÖDERMANLANDS LÄN</t>
        </is>
      </c>
      <c r="E230" t="inlineStr">
        <is>
          <t>KATRINEHOLM</t>
        </is>
      </c>
      <c r="G230" t="n">
        <v>7</v>
      </c>
      <c r="H230" t="n">
        <v>0</v>
      </c>
      <c r="I230" t="n">
        <v>0</v>
      </c>
      <c r="J230" t="n">
        <v>0</v>
      </c>
      <c r="K230" t="n">
        <v>0</v>
      </c>
      <c r="L230" t="n">
        <v>0</v>
      </c>
      <c r="M230" t="n">
        <v>0</v>
      </c>
      <c r="N230" t="n">
        <v>0</v>
      </c>
      <c r="O230" t="n">
        <v>0</v>
      </c>
      <c r="P230" t="n">
        <v>0</v>
      </c>
      <c r="Q230" t="n">
        <v>0</v>
      </c>
      <c r="R230" s="2" t="inlineStr"/>
    </row>
    <row r="231" ht="15" customHeight="1">
      <c r="A231" t="inlineStr">
        <is>
          <t>A 29502-2023</t>
        </is>
      </c>
      <c r="B231" s="1" t="n">
        <v>45106</v>
      </c>
      <c r="C231" s="1" t="n">
        <v>45987</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42111-2022</t>
        </is>
      </c>
      <c r="B232" s="1" t="n">
        <v>44830</v>
      </c>
      <c r="C232" s="1" t="n">
        <v>45987</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24284-2024</t>
        </is>
      </c>
      <c r="B233" s="1" t="n">
        <v>45457</v>
      </c>
      <c r="C233" s="1" t="n">
        <v>45987</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55122-2022</t>
        </is>
      </c>
      <c r="B234" s="1" t="n">
        <v>44886.65092592593</v>
      </c>
      <c r="C234" s="1" t="n">
        <v>45987</v>
      </c>
      <c r="D234" t="inlineStr">
        <is>
          <t>SÖDERMANLANDS LÄN</t>
        </is>
      </c>
      <c r="E234" t="inlineStr">
        <is>
          <t>KATRINEHOLM</t>
        </is>
      </c>
      <c r="G234" t="n">
        <v>6.5</v>
      </c>
      <c r="H234" t="n">
        <v>0</v>
      </c>
      <c r="I234" t="n">
        <v>0</v>
      </c>
      <c r="J234" t="n">
        <v>0</v>
      </c>
      <c r="K234" t="n">
        <v>0</v>
      </c>
      <c r="L234" t="n">
        <v>0</v>
      </c>
      <c r="M234" t="n">
        <v>0</v>
      </c>
      <c r="N234" t="n">
        <v>0</v>
      </c>
      <c r="O234" t="n">
        <v>0</v>
      </c>
      <c r="P234" t="n">
        <v>0</v>
      </c>
      <c r="Q234" t="n">
        <v>0</v>
      </c>
      <c r="R234" s="2" t="inlineStr"/>
    </row>
    <row r="235" ht="15" customHeight="1">
      <c r="A235" t="inlineStr">
        <is>
          <t>A 17746-2024</t>
        </is>
      </c>
      <c r="B235" s="1" t="n">
        <v>45415</v>
      </c>
      <c r="C235" s="1" t="n">
        <v>45987</v>
      </c>
      <c r="D235" t="inlineStr">
        <is>
          <t>SÖDERMANLANDS LÄN</t>
        </is>
      </c>
      <c r="E235" t="inlineStr">
        <is>
          <t>KATRINEHOLM</t>
        </is>
      </c>
      <c r="G235" t="n">
        <v>7.8</v>
      </c>
      <c r="H235" t="n">
        <v>0</v>
      </c>
      <c r="I235" t="n">
        <v>0</v>
      </c>
      <c r="J235" t="n">
        <v>0</v>
      </c>
      <c r="K235" t="n">
        <v>0</v>
      </c>
      <c r="L235" t="n">
        <v>0</v>
      </c>
      <c r="M235" t="n">
        <v>0</v>
      </c>
      <c r="N235" t="n">
        <v>0</v>
      </c>
      <c r="O235" t="n">
        <v>0</v>
      </c>
      <c r="P235" t="n">
        <v>0</v>
      </c>
      <c r="Q235" t="n">
        <v>0</v>
      </c>
      <c r="R235" s="2" t="inlineStr"/>
    </row>
    <row r="236" ht="15" customHeight="1">
      <c r="A236" t="inlineStr">
        <is>
          <t>A 33712-2022</t>
        </is>
      </c>
      <c r="B236" s="1" t="n">
        <v>44789</v>
      </c>
      <c r="C236" s="1" t="n">
        <v>45987</v>
      </c>
      <c r="D236" t="inlineStr">
        <is>
          <t>SÖDERMANLANDS LÄN</t>
        </is>
      </c>
      <c r="E236" t="inlineStr">
        <is>
          <t>KATRINEHOLM</t>
        </is>
      </c>
      <c r="G236" t="n">
        <v>4.3</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45987</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33717-2022</t>
        </is>
      </c>
      <c r="B238" s="1" t="n">
        <v>44789</v>
      </c>
      <c r="C238" s="1" t="n">
        <v>45987</v>
      </c>
      <c r="D238" t="inlineStr">
        <is>
          <t>SÖDERMANLANDS LÄN</t>
        </is>
      </c>
      <c r="E238" t="inlineStr">
        <is>
          <t>KATRINEHOLM</t>
        </is>
      </c>
      <c r="G238" t="n">
        <v>4.4</v>
      </c>
      <c r="H238" t="n">
        <v>0</v>
      </c>
      <c r="I238" t="n">
        <v>0</v>
      </c>
      <c r="J238" t="n">
        <v>0</v>
      </c>
      <c r="K238" t="n">
        <v>0</v>
      </c>
      <c r="L238" t="n">
        <v>0</v>
      </c>
      <c r="M238" t="n">
        <v>0</v>
      </c>
      <c r="N238" t="n">
        <v>0</v>
      </c>
      <c r="O238" t="n">
        <v>0</v>
      </c>
      <c r="P238" t="n">
        <v>0</v>
      </c>
      <c r="Q238" t="n">
        <v>0</v>
      </c>
      <c r="R238" s="2" t="inlineStr"/>
    </row>
    <row r="239" ht="15" customHeight="1">
      <c r="A239" t="inlineStr">
        <is>
          <t>A 33752-2023</t>
        </is>
      </c>
      <c r="B239" s="1" t="n">
        <v>45120</v>
      </c>
      <c r="C239" s="1" t="n">
        <v>45987</v>
      </c>
      <c r="D239" t="inlineStr">
        <is>
          <t>SÖDERMANLANDS LÄN</t>
        </is>
      </c>
      <c r="E239" t="inlineStr">
        <is>
          <t>KATRINEHOLM</t>
        </is>
      </c>
      <c r="G239" t="n">
        <v>1</v>
      </c>
      <c r="H239" t="n">
        <v>0</v>
      </c>
      <c r="I239" t="n">
        <v>0</v>
      </c>
      <c r="J239" t="n">
        <v>0</v>
      </c>
      <c r="K239" t="n">
        <v>0</v>
      </c>
      <c r="L239" t="n">
        <v>0</v>
      </c>
      <c r="M239" t="n">
        <v>0</v>
      </c>
      <c r="N239" t="n">
        <v>0</v>
      </c>
      <c r="O239" t="n">
        <v>0</v>
      </c>
      <c r="P239" t="n">
        <v>0</v>
      </c>
      <c r="Q239" t="n">
        <v>0</v>
      </c>
      <c r="R239" s="2" t="inlineStr"/>
    </row>
    <row r="240" ht="15" customHeight="1">
      <c r="A240" t="inlineStr">
        <is>
          <t>A 51128-2021</t>
        </is>
      </c>
      <c r="B240" s="1" t="n">
        <v>44460</v>
      </c>
      <c r="C240" s="1" t="n">
        <v>45987</v>
      </c>
      <c r="D240" t="inlineStr">
        <is>
          <t>SÖDERMANLANDS LÄN</t>
        </is>
      </c>
      <c r="E240" t="inlineStr">
        <is>
          <t>KATRINEHOLM</t>
        </is>
      </c>
      <c r="G240" t="n">
        <v>7.8</v>
      </c>
      <c r="H240" t="n">
        <v>0</v>
      </c>
      <c r="I240" t="n">
        <v>0</v>
      </c>
      <c r="J240" t="n">
        <v>0</v>
      </c>
      <c r="K240" t="n">
        <v>0</v>
      </c>
      <c r="L240" t="n">
        <v>0</v>
      </c>
      <c r="M240" t="n">
        <v>0</v>
      </c>
      <c r="N240" t="n">
        <v>0</v>
      </c>
      <c r="O240" t="n">
        <v>0</v>
      </c>
      <c r="P240" t="n">
        <v>0</v>
      </c>
      <c r="Q240" t="n">
        <v>0</v>
      </c>
      <c r="R240" s="2" t="inlineStr"/>
    </row>
    <row r="241" ht="15" customHeight="1">
      <c r="A241" t="inlineStr">
        <is>
          <t>A 24179-2024</t>
        </is>
      </c>
      <c r="B241" s="1" t="n">
        <v>45456.83059027778</v>
      </c>
      <c r="C241" s="1" t="n">
        <v>45987</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51264-2021</t>
        </is>
      </c>
      <c r="B242" s="1" t="n">
        <v>44461</v>
      </c>
      <c r="C242" s="1" t="n">
        <v>45987</v>
      </c>
      <c r="D242" t="inlineStr">
        <is>
          <t>SÖDERMANLANDS LÄN</t>
        </is>
      </c>
      <c r="E242" t="inlineStr">
        <is>
          <t>KATRINEHOLM</t>
        </is>
      </c>
      <c r="G242" t="n">
        <v>3.1</v>
      </c>
      <c r="H242" t="n">
        <v>0</v>
      </c>
      <c r="I242" t="n">
        <v>0</v>
      </c>
      <c r="J242" t="n">
        <v>0</v>
      </c>
      <c r="K242" t="n">
        <v>0</v>
      </c>
      <c r="L242" t="n">
        <v>0</v>
      </c>
      <c r="M242" t="n">
        <v>0</v>
      </c>
      <c r="N242" t="n">
        <v>0</v>
      </c>
      <c r="O242" t="n">
        <v>0</v>
      </c>
      <c r="P242" t="n">
        <v>0</v>
      </c>
      <c r="Q242" t="n">
        <v>0</v>
      </c>
      <c r="R242" s="2" t="inlineStr"/>
    </row>
    <row r="243" ht="15" customHeight="1">
      <c r="A243" t="inlineStr">
        <is>
          <t>A 45376-2022</t>
        </is>
      </c>
      <c r="B243" s="1" t="n">
        <v>44844</v>
      </c>
      <c r="C243" s="1" t="n">
        <v>45987</v>
      </c>
      <c r="D243" t="inlineStr">
        <is>
          <t>SÖDERMANLANDS LÄN</t>
        </is>
      </c>
      <c r="E243" t="inlineStr">
        <is>
          <t>KATRINEHOLM</t>
        </is>
      </c>
      <c r="G243" t="n">
        <v>4.7</v>
      </c>
      <c r="H243" t="n">
        <v>0</v>
      </c>
      <c r="I243" t="n">
        <v>0</v>
      </c>
      <c r="J243" t="n">
        <v>0</v>
      </c>
      <c r="K243" t="n">
        <v>0</v>
      </c>
      <c r="L243" t="n">
        <v>0</v>
      </c>
      <c r="M243" t="n">
        <v>0</v>
      </c>
      <c r="N243" t="n">
        <v>0</v>
      </c>
      <c r="O243" t="n">
        <v>0</v>
      </c>
      <c r="P243" t="n">
        <v>0</v>
      </c>
      <c r="Q243" t="n">
        <v>0</v>
      </c>
      <c r="R243" s="2" t="inlineStr"/>
    </row>
    <row r="244" ht="15" customHeight="1">
      <c r="A244" t="inlineStr">
        <is>
          <t>A 36767-2022</t>
        </is>
      </c>
      <c r="B244" s="1" t="n">
        <v>44805</v>
      </c>
      <c r="C244" s="1" t="n">
        <v>45987</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3980-2024</t>
        </is>
      </c>
      <c r="B245" s="1" t="n">
        <v>45322</v>
      </c>
      <c r="C245" s="1" t="n">
        <v>45987</v>
      </c>
      <c r="D245" t="inlineStr">
        <is>
          <t>SÖDERMANLANDS LÄN</t>
        </is>
      </c>
      <c r="E245" t="inlineStr">
        <is>
          <t>KATRINEHOLM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45987</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64713-2023</t>
        </is>
      </c>
      <c r="B247" s="1" t="n">
        <v>45281</v>
      </c>
      <c r="C247" s="1" t="n">
        <v>45987</v>
      </c>
      <c r="D247" t="inlineStr">
        <is>
          <t>SÖDERMANLANDS LÄN</t>
        </is>
      </c>
      <c r="E247" t="inlineStr">
        <is>
          <t>KATRINEHOLM</t>
        </is>
      </c>
      <c r="G247" t="n">
        <v>4.9</v>
      </c>
      <c r="H247" t="n">
        <v>0</v>
      </c>
      <c r="I247" t="n">
        <v>0</v>
      </c>
      <c r="J247" t="n">
        <v>0</v>
      </c>
      <c r="K247" t="n">
        <v>0</v>
      </c>
      <c r="L247" t="n">
        <v>0</v>
      </c>
      <c r="M247" t="n">
        <v>0</v>
      </c>
      <c r="N247" t="n">
        <v>0</v>
      </c>
      <c r="O247" t="n">
        <v>0</v>
      </c>
      <c r="P247" t="n">
        <v>0</v>
      </c>
      <c r="Q247" t="n">
        <v>0</v>
      </c>
      <c r="R247" s="2" t="inlineStr"/>
    </row>
    <row r="248" ht="15" customHeight="1">
      <c r="A248" t="inlineStr">
        <is>
          <t>A 60677-2021</t>
        </is>
      </c>
      <c r="B248" s="1" t="n">
        <v>44495</v>
      </c>
      <c r="C248" s="1" t="n">
        <v>45987</v>
      </c>
      <c r="D248" t="inlineStr">
        <is>
          <t>SÖDERMANLANDS LÄN</t>
        </is>
      </c>
      <c r="E248" t="inlineStr">
        <is>
          <t>KATRINEHOLM</t>
        </is>
      </c>
      <c r="G248" t="n">
        <v>1.8</v>
      </c>
      <c r="H248" t="n">
        <v>0</v>
      </c>
      <c r="I248" t="n">
        <v>0</v>
      </c>
      <c r="J248" t="n">
        <v>0</v>
      </c>
      <c r="K248" t="n">
        <v>0</v>
      </c>
      <c r="L248" t="n">
        <v>0</v>
      </c>
      <c r="M248" t="n">
        <v>0</v>
      </c>
      <c r="N248" t="n">
        <v>0</v>
      </c>
      <c r="O248" t="n">
        <v>0</v>
      </c>
      <c r="P248" t="n">
        <v>0</v>
      </c>
      <c r="Q248" t="n">
        <v>0</v>
      </c>
      <c r="R248" s="2" t="inlineStr"/>
    </row>
    <row r="249" ht="15" customHeight="1">
      <c r="A249" t="inlineStr">
        <is>
          <t>A 43088-2022</t>
        </is>
      </c>
      <c r="B249" s="1" t="n">
        <v>44833</v>
      </c>
      <c r="C249" s="1" t="n">
        <v>45987</v>
      </c>
      <c r="D249" t="inlineStr">
        <is>
          <t>SÖDERMANLANDS LÄN</t>
        </is>
      </c>
      <c r="E249" t="inlineStr">
        <is>
          <t>KATRINEHOLM</t>
        </is>
      </c>
      <c r="G249" t="n">
        <v>6.6</v>
      </c>
      <c r="H249" t="n">
        <v>0</v>
      </c>
      <c r="I249" t="n">
        <v>0</v>
      </c>
      <c r="J249" t="n">
        <v>0</v>
      </c>
      <c r="K249" t="n">
        <v>0</v>
      </c>
      <c r="L249" t="n">
        <v>0</v>
      </c>
      <c r="M249" t="n">
        <v>0</v>
      </c>
      <c r="N249" t="n">
        <v>0</v>
      </c>
      <c r="O249" t="n">
        <v>0</v>
      </c>
      <c r="P249" t="n">
        <v>0</v>
      </c>
      <c r="Q249" t="n">
        <v>0</v>
      </c>
      <c r="R249" s="2" t="inlineStr"/>
    </row>
    <row r="250" ht="15" customHeight="1">
      <c r="A250" t="inlineStr">
        <is>
          <t>A 28582-2024</t>
        </is>
      </c>
      <c r="B250" s="1" t="n">
        <v>45478.40751157407</v>
      </c>
      <c r="C250" s="1" t="n">
        <v>45987</v>
      </c>
      <c r="D250" t="inlineStr">
        <is>
          <t>SÖDERMANLANDS LÄN</t>
        </is>
      </c>
      <c r="E250" t="inlineStr">
        <is>
          <t>KATRINEHOLM</t>
        </is>
      </c>
      <c r="F250" t="inlineStr">
        <is>
          <t>Övriga Aktiebolag</t>
        </is>
      </c>
      <c r="G250" t="n">
        <v>4</v>
      </c>
      <c r="H250" t="n">
        <v>0</v>
      </c>
      <c r="I250" t="n">
        <v>0</v>
      </c>
      <c r="J250" t="n">
        <v>0</v>
      </c>
      <c r="K250" t="n">
        <v>0</v>
      </c>
      <c r="L250" t="n">
        <v>0</v>
      </c>
      <c r="M250" t="n">
        <v>0</v>
      </c>
      <c r="N250" t="n">
        <v>0</v>
      </c>
      <c r="O250" t="n">
        <v>0</v>
      </c>
      <c r="P250" t="n">
        <v>0</v>
      </c>
      <c r="Q250" t="n">
        <v>0</v>
      </c>
      <c r="R250" s="2" t="inlineStr"/>
    </row>
    <row r="251" ht="15" customHeight="1">
      <c r="A251" t="inlineStr">
        <is>
          <t>A 26081-2024</t>
        </is>
      </c>
      <c r="B251" s="1" t="n">
        <v>45462</v>
      </c>
      <c r="C251" s="1" t="n">
        <v>45987</v>
      </c>
      <c r="D251" t="inlineStr">
        <is>
          <t>SÖDERMANLANDS LÄN</t>
        </is>
      </c>
      <c r="E251" t="inlineStr">
        <is>
          <t>KATRINEHOLM</t>
        </is>
      </c>
      <c r="G251" t="n">
        <v>4.1</v>
      </c>
      <c r="H251" t="n">
        <v>0</v>
      </c>
      <c r="I251" t="n">
        <v>0</v>
      </c>
      <c r="J251" t="n">
        <v>0</v>
      </c>
      <c r="K251" t="n">
        <v>0</v>
      </c>
      <c r="L251" t="n">
        <v>0</v>
      </c>
      <c r="M251" t="n">
        <v>0</v>
      </c>
      <c r="N251" t="n">
        <v>0</v>
      </c>
      <c r="O251" t="n">
        <v>0</v>
      </c>
      <c r="P251" t="n">
        <v>0</v>
      </c>
      <c r="Q251" t="n">
        <v>0</v>
      </c>
      <c r="R251" s="2" t="inlineStr"/>
    </row>
    <row r="252" ht="15" customHeight="1">
      <c r="A252" t="inlineStr">
        <is>
          <t>A 30242-2023</t>
        </is>
      </c>
      <c r="B252" s="1" t="n">
        <v>45099</v>
      </c>
      <c r="C252" s="1" t="n">
        <v>45987</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35228-2025</t>
        </is>
      </c>
      <c r="B253" s="1" t="n">
        <v>45853</v>
      </c>
      <c r="C253" s="1" t="n">
        <v>45987</v>
      </c>
      <c r="D253" t="inlineStr">
        <is>
          <t>SÖDERMANLANDS LÄN</t>
        </is>
      </c>
      <c r="E253" t="inlineStr">
        <is>
          <t>KATRINEHOLM</t>
        </is>
      </c>
      <c r="G253" t="n">
        <v>1.1</v>
      </c>
      <c r="H253" t="n">
        <v>0</v>
      </c>
      <c r="I253" t="n">
        <v>0</v>
      </c>
      <c r="J253" t="n">
        <v>0</v>
      </c>
      <c r="K253" t="n">
        <v>0</v>
      </c>
      <c r="L253" t="n">
        <v>0</v>
      </c>
      <c r="M253" t="n">
        <v>0</v>
      </c>
      <c r="N253" t="n">
        <v>0</v>
      </c>
      <c r="O253" t="n">
        <v>0</v>
      </c>
      <c r="P253" t="n">
        <v>0</v>
      </c>
      <c r="Q253" t="n">
        <v>0</v>
      </c>
      <c r="R253" s="2" t="inlineStr"/>
    </row>
    <row r="254" ht="15" customHeight="1">
      <c r="A254" t="inlineStr">
        <is>
          <t>A 69117-2021</t>
        </is>
      </c>
      <c r="B254" s="1" t="n">
        <v>44530.82445601852</v>
      </c>
      <c r="C254" s="1" t="n">
        <v>45987</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38308-2021</t>
        </is>
      </c>
      <c r="B255" s="1" t="n">
        <v>44406</v>
      </c>
      <c r="C255" s="1" t="n">
        <v>45987</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55172-2022</t>
        </is>
      </c>
      <c r="B256" s="1" t="n">
        <v>44886</v>
      </c>
      <c r="C256" s="1" t="n">
        <v>45987</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67337-2021</t>
        </is>
      </c>
      <c r="B257" s="1" t="n">
        <v>44523</v>
      </c>
      <c r="C257" s="1" t="n">
        <v>45987</v>
      </c>
      <c r="D257" t="inlineStr">
        <is>
          <t>SÖDERMANLANDS LÄN</t>
        </is>
      </c>
      <c r="E257" t="inlineStr">
        <is>
          <t>KATRINEHOLM</t>
        </is>
      </c>
      <c r="G257" t="n">
        <v>5.2</v>
      </c>
      <c r="H257" t="n">
        <v>0</v>
      </c>
      <c r="I257" t="n">
        <v>0</v>
      </c>
      <c r="J257" t="n">
        <v>0</v>
      </c>
      <c r="K257" t="n">
        <v>0</v>
      </c>
      <c r="L257" t="n">
        <v>0</v>
      </c>
      <c r="M257" t="n">
        <v>0</v>
      </c>
      <c r="N257" t="n">
        <v>0</v>
      </c>
      <c r="O257" t="n">
        <v>0</v>
      </c>
      <c r="P257" t="n">
        <v>0</v>
      </c>
      <c r="Q257" t="n">
        <v>0</v>
      </c>
      <c r="R257" s="2" t="inlineStr"/>
    </row>
    <row r="258" ht="15" customHeight="1">
      <c r="A258" t="inlineStr">
        <is>
          <t>A 2603-2025</t>
        </is>
      </c>
      <c r="B258" s="1" t="n">
        <v>45674</v>
      </c>
      <c r="C258" s="1" t="n">
        <v>45987</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29394-2024</t>
        </is>
      </c>
      <c r="B259" s="1" t="n">
        <v>45483</v>
      </c>
      <c r="C259" s="1" t="n">
        <v>45987</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50032-2022</t>
        </is>
      </c>
      <c r="B260" s="1" t="n">
        <v>44860</v>
      </c>
      <c r="C260" s="1" t="n">
        <v>45987</v>
      </c>
      <c r="D260" t="inlineStr">
        <is>
          <t>SÖDERMANLANDS LÄN</t>
        </is>
      </c>
      <c r="E260" t="inlineStr">
        <is>
          <t>KATRINEHOLM</t>
        </is>
      </c>
      <c r="G260" t="n">
        <v>7.5</v>
      </c>
      <c r="H260" t="n">
        <v>0</v>
      </c>
      <c r="I260" t="n">
        <v>0</v>
      </c>
      <c r="J260" t="n">
        <v>0</v>
      </c>
      <c r="K260" t="n">
        <v>0</v>
      </c>
      <c r="L260" t="n">
        <v>0</v>
      </c>
      <c r="M260" t="n">
        <v>0</v>
      </c>
      <c r="N260" t="n">
        <v>0</v>
      </c>
      <c r="O260" t="n">
        <v>0</v>
      </c>
      <c r="P260" t="n">
        <v>0</v>
      </c>
      <c r="Q260" t="n">
        <v>0</v>
      </c>
      <c r="R260" s="2" t="inlineStr"/>
    </row>
    <row r="261" ht="15" customHeight="1">
      <c r="A261" t="inlineStr">
        <is>
          <t>A 26713-2024</t>
        </is>
      </c>
      <c r="B261" s="1" t="n">
        <v>45470</v>
      </c>
      <c r="C261" s="1" t="n">
        <v>45987</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43837-2022</t>
        </is>
      </c>
      <c r="B262" s="1" t="n">
        <v>44838</v>
      </c>
      <c r="C262" s="1" t="n">
        <v>45987</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57510-2021</t>
        </is>
      </c>
      <c r="B263" s="1" t="n">
        <v>44483</v>
      </c>
      <c r="C263" s="1" t="n">
        <v>45987</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24566-2025</t>
        </is>
      </c>
      <c r="B264" s="1" t="n">
        <v>45798.46452546296</v>
      </c>
      <c r="C264" s="1" t="n">
        <v>45987</v>
      </c>
      <c r="D264" t="inlineStr">
        <is>
          <t>SÖDERMANLANDS LÄN</t>
        </is>
      </c>
      <c r="E264" t="inlineStr">
        <is>
          <t>KATRINEHOLM</t>
        </is>
      </c>
      <c r="G264" t="n">
        <v>6.3</v>
      </c>
      <c r="H264" t="n">
        <v>0</v>
      </c>
      <c r="I264" t="n">
        <v>0</v>
      </c>
      <c r="J264" t="n">
        <v>0</v>
      </c>
      <c r="K264" t="n">
        <v>0</v>
      </c>
      <c r="L264" t="n">
        <v>0</v>
      </c>
      <c r="M264" t="n">
        <v>0</v>
      </c>
      <c r="N264" t="n">
        <v>0</v>
      </c>
      <c r="O264" t="n">
        <v>0</v>
      </c>
      <c r="P264" t="n">
        <v>0</v>
      </c>
      <c r="Q264" t="n">
        <v>0</v>
      </c>
      <c r="R264" s="2" t="inlineStr"/>
    </row>
    <row r="265" ht="15" customHeight="1">
      <c r="A265" t="inlineStr">
        <is>
          <t>A 24605-2025</t>
        </is>
      </c>
      <c r="B265" s="1" t="n">
        <v>45798.57403935185</v>
      </c>
      <c r="C265" s="1" t="n">
        <v>45987</v>
      </c>
      <c r="D265" t="inlineStr">
        <is>
          <t>SÖDERMANLANDS LÄN</t>
        </is>
      </c>
      <c r="E265" t="inlineStr">
        <is>
          <t>KATRINEHOLM</t>
        </is>
      </c>
      <c r="G265" t="n">
        <v>7</v>
      </c>
      <c r="H265" t="n">
        <v>0</v>
      </c>
      <c r="I265" t="n">
        <v>0</v>
      </c>
      <c r="J265" t="n">
        <v>0</v>
      </c>
      <c r="K265" t="n">
        <v>0</v>
      </c>
      <c r="L265" t="n">
        <v>0</v>
      </c>
      <c r="M265" t="n">
        <v>0</v>
      </c>
      <c r="N265" t="n">
        <v>0</v>
      </c>
      <c r="O265" t="n">
        <v>0</v>
      </c>
      <c r="P265" t="n">
        <v>0</v>
      </c>
      <c r="Q265" t="n">
        <v>0</v>
      </c>
      <c r="R265" s="2" t="inlineStr"/>
    </row>
    <row r="266" ht="15" customHeight="1">
      <c r="A266" t="inlineStr">
        <is>
          <t>A 55732-2023</t>
        </is>
      </c>
      <c r="B266" s="1" t="n">
        <v>45239</v>
      </c>
      <c r="C266" s="1" t="n">
        <v>45987</v>
      </c>
      <c r="D266" t="inlineStr">
        <is>
          <t>SÖDERMANLANDS LÄN</t>
        </is>
      </c>
      <c r="E266" t="inlineStr">
        <is>
          <t>KATRINEHOLM</t>
        </is>
      </c>
      <c r="G266" t="n">
        <v>0.9</v>
      </c>
      <c r="H266" t="n">
        <v>0</v>
      </c>
      <c r="I266" t="n">
        <v>0</v>
      </c>
      <c r="J266" t="n">
        <v>0</v>
      </c>
      <c r="K266" t="n">
        <v>0</v>
      </c>
      <c r="L266" t="n">
        <v>0</v>
      </c>
      <c r="M266" t="n">
        <v>0</v>
      </c>
      <c r="N266" t="n">
        <v>0</v>
      </c>
      <c r="O266" t="n">
        <v>0</v>
      </c>
      <c r="P266" t="n">
        <v>0</v>
      </c>
      <c r="Q266" t="n">
        <v>0</v>
      </c>
      <c r="R266" s="2" t="inlineStr"/>
    </row>
    <row r="267" ht="15" customHeight="1">
      <c r="A267" t="inlineStr">
        <is>
          <t>A 40159-2023</t>
        </is>
      </c>
      <c r="B267" s="1" t="n">
        <v>45169</v>
      </c>
      <c r="C267" s="1" t="n">
        <v>45987</v>
      </c>
      <c r="D267" t="inlineStr">
        <is>
          <t>SÖDERMANLANDS LÄN</t>
        </is>
      </c>
      <c r="E267" t="inlineStr">
        <is>
          <t>KATRINEHOLM</t>
        </is>
      </c>
      <c r="F267" t="inlineStr">
        <is>
          <t>Övriga Aktiebolag</t>
        </is>
      </c>
      <c r="G267" t="n">
        <v>1.1</v>
      </c>
      <c r="H267" t="n">
        <v>0</v>
      </c>
      <c r="I267" t="n">
        <v>0</v>
      </c>
      <c r="J267" t="n">
        <v>0</v>
      </c>
      <c r="K267" t="n">
        <v>0</v>
      </c>
      <c r="L267" t="n">
        <v>0</v>
      </c>
      <c r="M267" t="n">
        <v>0</v>
      </c>
      <c r="N267" t="n">
        <v>0</v>
      </c>
      <c r="O267" t="n">
        <v>0</v>
      </c>
      <c r="P267" t="n">
        <v>0</v>
      </c>
      <c r="Q267" t="n">
        <v>0</v>
      </c>
      <c r="R267" s="2" t="inlineStr"/>
    </row>
    <row r="268" ht="15" customHeight="1">
      <c r="A268" t="inlineStr">
        <is>
          <t>A 28675-2024</t>
        </is>
      </c>
      <c r="B268" s="1" t="n">
        <v>45478</v>
      </c>
      <c r="C268" s="1" t="n">
        <v>45987</v>
      </c>
      <c r="D268" t="inlineStr">
        <is>
          <t>SÖDERMANLANDS LÄN</t>
        </is>
      </c>
      <c r="E268" t="inlineStr">
        <is>
          <t>KATRINEHOLM</t>
        </is>
      </c>
      <c r="F268" t="inlineStr">
        <is>
          <t>Övriga Aktiebolag</t>
        </is>
      </c>
      <c r="G268" t="n">
        <v>3.5</v>
      </c>
      <c r="H268" t="n">
        <v>0</v>
      </c>
      <c r="I268" t="n">
        <v>0</v>
      </c>
      <c r="J268" t="n">
        <v>0</v>
      </c>
      <c r="K268" t="n">
        <v>0</v>
      </c>
      <c r="L268" t="n">
        <v>0</v>
      </c>
      <c r="M268" t="n">
        <v>0</v>
      </c>
      <c r="N268" t="n">
        <v>0</v>
      </c>
      <c r="O268" t="n">
        <v>0</v>
      </c>
      <c r="P268" t="n">
        <v>0</v>
      </c>
      <c r="Q268" t="n">
        <v>0</v>
      </c>
      <c r="R268" s="2" t="inlineStr"/>
    </row>
    <row r="269" ht="15" customHeight="1">
      <c r="A269" t="inlineStr">
        <is>
          <t>A 27875-2024</t>
        </is>
      </c>
      <c r="B269" s="1" t="n">
        <v>45475</v>
      </c>
      <c r="C269" s="1" t="n">
        <v>45987</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56086-2023</t>
        </is>
      </c>
      <c r="B270" s="1" t="n">
        <v>45240</v>
      </c>
      <c r="C270" s="1" t="n">
        <v>45987</v>
      </c>
      <c r="D270" t="inlineStr">
        <is>
          <t>SÖDERMANLANDS LÄN</t>
        </is>
      </c>
      <c r="E270" t="inlineStr">
        <is>
          <t>KATRINEHOLM</t>
        </is>
      </c>
      <c r="F270" t="inlineStr">
        <is>
          <t>Kyrkan</t>
        </is>
      </c>
      <c r="G270" t="n">
        <v>17</v>
      </c>
      <c r="H270" t="n">
        <v>0</v>
      </c>
      <c r="I270" t="n">
        <v>0</v>
      </c>
      <c r="J270" t="n">
        <v>0</v>
      </c>
      <c r="K270" t="n">
        <v>0</v>
      </c>
      <c r="L270" t="n">
        <v>0</v>
      </c>
      <c r="M270" t="n">
        <v>0</v>
      </c>
      <c r="N270" t="n">
        <v>0</v>
      </c>
      <c r="O270" t="n">
        <v>0</v>
      </c>
      <c r="P270" t="n">
        <v>0</v>
      </c>
      <c r="Q270" t="n">
        <v>0</v>
      </c>
      <c r="R270" s="2" t="inlineStr"/>
    </row>
    <row r="271" ht="15" customHeight="1">
      <c r="A271" t="inlineStr">
        <is>
          <t>A 27376-2024</t>
        </is>
      </c>
      <c r="B271" s="1" t="n">
        <v>45473.88313657408</v>
      </c>
      <c r="C271" s="1" t="n">
        <v>45987</v>
      </c>
      <c r="D271" t="inlineStr">
        <is>
          <t>SÖDERMANLANDS LÄN</t>
        </is>
      </c>
      <c r="E271" t="inlineStr">
        <is>
          <t>KATRINEHOLM</t>
        </is>
      </c>
      <c r="F271" t="inlineStr">
        <is>
          <t>Kommuner</t>
        </is>
      </c>
      <c r="G271" t="n">
        <v>2.8</v>
      </c>
      <c r="H271" t="n">
        <v>0</v>
      </c>
      <c r="I271" t="n">
        <v>0</v>
      </c>
      <c r="J271" t="n">
        <v>0</v>
      </c>
      <c r="K271" t="n">
        <v>0</v>
      </c>
      <c r="L271" t="n">
        <v>0</v>
      </c>
      <c r="M271" t="n">
        <v>0</v>
      </c>
      <c r="N271" t="n">
        <v>0</v>
      </c>
      <c r="O271" t="n">
        <v>0</v>
      </c>
      <c r="P271" t="n">
        <v>0</v>
      </c>
      <c r="Q271" t="n">
        <v>0</v>
      </c>
      <c r="R271" s="2" t="inlineStr"/>
    </row>
    <row r="272" ht="15" customHeight="1">
      <c r="A272" t="inlineStr">
        <is>
          <t>A 28995-2024</t>
        </is>
      </c>
      <c r="B272" s="1" t="n">
        <v>45481.49899305555</v>
      </c>
      <c r="C272" s="1" t="n">
        <v>45987</v>
      </c>
      <c r="D272" t="inlineStr">
        <is>
          <t>SÖDERMANLANDS LÄN</t>
        </is>
      </c>
      <c r="E272" t="inlineStr">
        <is>
          <t>KATRINEHOLM</t>
        </is>
      </c>
      <c r="G272" t="n">
        <v>0.9</v>
      </c>
      <c r="H272" t="n">
        <v>0</v>
      </c>
      <c r="I272" t="n">
        <v>0</v>
      </c>
      <c r="J272" t="n">
        <v>0</v>
      </c>
      <c r="K272" t="n">
        <v>0</v>
      </c>
      <c r="L272" t="n">
        <v>0</v>
      </c>
      <c r="M272" t="n">
        <v>0</v>
      </c>
      <c r="N272" t="n">
        <v>0</v>
      </c>
      <c r="O272" t="n">
        <v>0</v>
      </c>
      <c r="P272" t="n">
        <v>0</v>
      </c>
      <c r="Q272" t="n">
        <v>0</v>
      </c>
      <c r="R272" s="2" t="inlineStr"/>
    </row>
    <row r="273" ht="15" customHeight="1">
      <c r="A273" t="inlineStr">
        <is>
          <t>A 44989-2022</t>
        </is>
      </c>
      <c r="B273" s="1" t="n">
        <v>44840</v>
      </c>
      <c r="C273" s="1" t="n">
        <v>45987</v>
      </c>
      <c r="D273" t="inlineStr">
        <is>
          <t>SÖDERMANLANDS LÄN</t>
        </is>
      </c>
      <c r="E273" t="inlineStr">
        <is>
          <t>KATRINEHOLM</t>
        </is>
      </c>
      <c r="G273" t="n">
        <v>6</v>
      </c>
      <c r="H273" t="n">
        <v>0</v>
      </c>
      <c r="I273" t="n">
        <v>0</v>
      </c>
      <c r="J273" t="n">
        <v>0</v>
      </c>
      <c r="K273" t="n">
        <v>0</v>
      </c>
      <c r="L273" t="n">
        <v>0</v>
      </c>
      <c r="M273" t="n">
        <v>0</v>
      </c>
      <c r="N273" t="n">
        <v>0</v>
      </c>
      <c r="O273" t="n">
        <v>0</v>
      </c>
      <c r="P273" t="n">
        <v>0</v>
      </c>
      <c r="Q273" t="n">
        <v>0</v>
      </c>
      <c r="R273" s="2" t="inlineStr"/>
    </row>
    <row r="274" ht="15" customHeight="1">
      <c r="A274" t="inlineStr">
        <is>
          <t>A 48259-2022</t>
        </is>
      </c>
      <c r="B274" s="1" t="n">
        <v>44858</v>
      </c>
      <c r="C274" s="1" t="n">
        <v>45987</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61423-2024</t>
        </is>
      </c>
      <c r="B275" s="1" t="n">
        <v>45646.45209490741</v>
      </c>
      <c r="C275" s="1" t="n">
        <v>45987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28992-2024</t>
        </is>
      </c>
      <c r="B276" s="1" t="n">
        <v>45481.49289351852</v>
      </c>
      <c r="C276" s="1" t="n">
        <v>45987</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41727-2024</t>
        </is>
      </c>
      <c r="B277" s="1" t="n">
        <v>45560</v>
      </c>
      <c r="C277" s="1" t="n">
        <v>45987</v>
      </c>
      <c r="D277" t="inlineStr">
        <is>
          <t>SÖDERMANLANDS LÄN</t>
        </is>
      </c>
      <c r="E277" t="inlineStr">
        <is>
          <t>KATRINEHOLM</t>
        </is>
      </c>
      <c r="G277" t="n">
        <v>3.9</v>
      </c>
      <c r="H277" t="n">
        <v>0</v>
      </c>
      <c r="I277" t="n">
        <v>0</v>
      </c>
      <c r="J277" t="n">
        <v>0</v>
      </c>
      <c r="K277" t="n">
        <v>0</v>
      </c>
      <c r="L277" t="n">
        <v>0</v>
      </c>
      <c r="M277" t="n">
        <v>0</v>
      </c>
      <c r="N277" t="n">
        <v>0</v>
      </c>
      <c r="O277" t="n">
        <v>0</v>
      </c>
      <c r="P277" t="n">
        <v>0</v>
      </c>
      <c r="Q277" t="n">
        <v>0</v>
      </c>
      <c r="R277" s="2" t="inlineStr"/>
    </row>
    <row r="278" ht="15" customHeight="1">
      <c r="A278" t="inlineStr">
        <is>
          <t>A 7322-2023</t>
        </is>
      </c>
      <c r="B278" s="1" t="n">
        <v>44970</v>
      </c>
      <c r="C278" s="1" t="n">
        <v>45987</v>
      </c>
      <c r="D278" t="inlineStr">
        <is>
          <t>SÖDERMANLANDS LÄN</t>
        </is>
      </c>
      <c r="E278" t="inlineStr">
        <is>
          <t>KATRINEHOLM</t>
        </is>
      </c>
      <c r="G278" t="n">
        <v>2.1</v>
      </c>
      <c r="H278" t="n">
        <v>0</v>
      </c>
      <c r="I278" t="n">
        <v>0</v>
      </c>
      <c r="J278" t="n">
        <v>0</v>
      </c>
      <c r="K278" t="n">
        <v>0</v>
      </c>
      <c r="L278" t="n">
        <v>0</v>
      </c>
      <c r="M278" t="n">
        <v>0</v>
      </c>
      <c r="N278" t="n">
        <v>0</v>
      </c>
      <c r="O278" t="n">
        <v>0</v>
      </c>
      <c r="P278" t="n">
        <v>0</v>
      </c>
      <c r="Q278" t="n">
        <v>0</v>
      </c>
      <c r="R278" s="2" t="inlineStr"/>
    </row>
    <row r="279" ht="15" customHeight="1">
      <c r="A279" t="inlineStr">
        <is>
          <t>A 2093-2025</t>
        </is>
      </c>
      <c r="B279" s="1" t="n">
        <v>45672</v>
      </c>
      <c r="C279" s="1" t="n">
        <v>45987</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27886-2024</t>
        </is>
      </c>
      <c r="B280" s="1" t="n">
        <v>45475</v>
      </c>
      <c r="C280" s="1" t="n">
        <v>45987</v>
      </c>
      <c r="D280" t="inlineStr">
        <is>
          <t>SÖDERMANLANDS LÄN</t>
        </is>
      </c>
      <c r="E280" t="inlineStr">
        <is>
          <t>KATRINEHOLM</t>
        </is>
      </c>
      <c r="G280" t="n">
        <v>10.3</v>
      </c>
      <c r="H280" t="n">
        <v>0</v>
      </c>
      <c r="I280" t="n">
        <v>0</v>
      </c>
      <c r="J280" t="n">
        <v>0</v>
      </c>
      <c r="K280" t="n">
        <v>0</v>
      </c>
      <c r="L280" t="n">
        <v>0</v>
      </c>
      <c r="M280" t="n">
        <v>0</v>
      </c>
      <c r="N280" t="n">
        <v>0</v>
      </c>
      <c r="O280" t="n">
        <v>0</v>
      </c>
      <c r="P280" t="n">
        <v>0</v>
      </c>
      <c r="Q280" t="n">
        <v>0</v>
      </c>
      <c r="R280" s="2" t="inlineStr"/>
    </row>
    <row r="281" ht="15" customHeight="1">
      <c r="A281" t="inlineStr">
        <is>
          <t>A 28427-2024</t>
        </is>
      </c>
      <c r="B281" s="1" t="n">
        <v>45477.64910879629</v>
      </c>
      <c r="C281" s="1" t="n">
        <v>45987</v>
      </c>
      <c r="D281" t="inlineStr">
        <is>
          <t>SÖDERMANLANDS LÄN</t>
        </is>
      </c>
      <c r="E281" t="inlineStr">
        <is>
          <t>KATRINEHOLM</t>
        </is>
      </c>
      <c r="G281" t="n">
        <v>5.9</v>
      </c>
      <c r="H281" t="n">
        <v>0</v>
      </c>
      <c r="I281" t="n">
        <v>0</v>
      </c>
      <c r="J281" t="n">
        <v>0</v>
      </c>
      <c r="K281" t="n">
        <v>0</v>
      </c>
      <c r="L281" t="n">
        <v>0</v>
      </c>
      <c r="M281" t="n">
        <v>0</v>
      </c>
      <c r="N281" t="n">
        <v>0</v>
      </c>
      <c r="O281" t="n">
        <v>0</v>
      </c>
      <c r="P281" t="n">
        <v>0</v>
      </c>
      <c r="Q281" t="n">
        <v>0</v>
      </c>
      <c r="R281" s="2" t="inlineStr"/>
    </row>
    <row r="282" ht="15" customHeight="1">
      <c r="A282" t="inlineStr">
        <is>
          <t>A 24717-2025</t>
        </is>
      </c>
      <c r="B282" s="1" t="n">
        <v>45799.27168981481</v>
      </c>
      <c r="C282" s="1" t="n">
        <v>45987</v>
      </c>
      <c r="D282" t="inlineStr">
        <is>
          <t>SÖDERMANLANDS LÄN</t>
        </is>
      </c>
      <c r="E282" t="inlineStr">
        <is>
          <t>KATRINEHOLM</t>
        </is>
      </c>
      <c r="G282" t="n">
        <v>24.5</v>
      </c>
      <c r="H282" t="n">
        <v>0</v>
      </c>
      <c r="I282" t="n">
        <v>0</v>
      </c>
      <c r="J282" t="n">
        <v>0</v>
      </c>
      <c r="K282" t="n">
        <v>0</v>
      </c>
      <c r="L282" t="n">
        <v>0</v>
      </c>
      <c r="M282" t="n">
        <v>0</v>
      </c>
      <c r="N282" t="n">
        <v>0</v>
      </c>
      <c r="O282" t="n">
        <v>0</v>
      </c>
      <c r="P282" t="n">
        <v>0</v>
      </c>
      <c r="Q282" t="n">
        <v>0</v>
      </c>
      <c r="R282" s="2" t="inlineStr"/>
    </row>
    <row r="283" ht="15" customHeight="1">
      <c r="A283" t="inlineStr">
        <is>
          <t>A 53999-2023</t>
        </is>
      </c>
      <c r="B283" s="1" t="n">
        <v>45231</v>
      </c>
      <c r="C283" s="1" t="n">
        <v>45987</v>
      </c>
      <c r="D283" t="inlineStr">
        <is>
          <t>SÖDERMANLANDS LÄN</t>
        </is>
      </c>
      <c r="E283" t="inlineStr">
        <is>
          <t>KATRINEHOLM</t>
        </is>
      </c>
      <c r="G283" t="n">
        <v>5.4</v>
      </c>
      <c r="H283" t="n">
        <v>0</v>
      </c>
      <c r="I283" t="n">
        <v>0</v>
      </c>
      <c r="J283" t="n">
        <v>0</v>
      </c>
      <c r="K283" t="n">
        <v>0</v>
      </c>
      <c r="L283" t="n">
        <v>0</v>
      </c>
      <c r="M283" t="n">
        <v>0</v>
      </c>
      <c r="N283" t="n">
        <v>0</v>
      </c>
      <c r="O283" t="n">
        <v>0</v>
      </c>
      <c r="P283" t="n">
        <v>0</v>
      </c>
      <c r="Q283" t="n">
        <v>0</v>
      </c>
      <c r="R283" s="2" t="inlineStr"/>
    </row>
    <row r="284" ht="15" customHeight="1">
      <c r="A284" t="inlineStr">
        <is>
          <t>A 24719-2025</t>
        </is>
      </c>
      <c r="B284" s="1" t="n">
        <v>45799</v>
      </c>
      <c r="C284" s="1" t="n">
        <v>45987</v>
      </c>
      <c r="D284" t="inlineStr">
        <is>
          <t>SÖDERMANLANDS LÄN</t>
        </is>
      </c>
      <c r="E284" t="inlineStr">
        <is>
          <t>KATRINEHOLM</t>
        </is>
      </c>
      <c r="G284" t="n">
        <v>1.8</v>
      </c>
      <c r="H284" t="n">
        <v>0</v>
      </c>
      <c r="I284" t="n">
        <v>0</v>
      </c>
      <c r="J284" t="n">
        <v>0</v>
      </c>
      <c r="K284" t="n">
        <v>0</v>
      </c>
      <c r="L284" t="n">
        <v>0</v>
      </c>
      <c r="M284" t="n">
        <v>0</v>
      </c>
      <c r="N284" t="n">
        <v>0</v>
      </c>
      <c r="O284" t="n">
        <v>0</v>
      </c>
      <c r="P284" t="n">
        <v>0</v>
      </c>
      <c r="Q284" t="n">
        <v>0</v>
      </c>
      <c r="R284" s="2" t="inlineStr"/>
    </row>
    <row r="285" ht="15" customHeight="1">
      <c r="A285" t="inlineStr">
        <is>
          <t>A 38708-2025</t>
        </is>
      </c>
      <c r="B285" s="1" t="n">
        <v>45885</v>
      </c>
      <c r="C285" s="1" t="n">
        <v>45987</v>
      </c>
      <c r="D285" t="inlineStr">
        <is>
          <t>SÖDERMANLANDS LÄN</t>
        </is>
      </c>
      <c r="E285" t="inlineStr">
        <is>
          <t>KATRINEHOLM</t>
        </is>
      </c>
      <c r="G285" t="n">
        <v>1.9</v>
      </c>
      <c r="H285" t="n">
        <v>0</v>
      </c>
      <c r="I285" t="n">
        <v>0</v>
      </c>
      <c r="J285" t="n">
        <v>0</v>
      </c>
      <c r="K285" t="n">
        <v>0</v>
      </c>
      <c r="L285" t="n">
        <v>0</v>
      </c>
      <c r="M285" t="n">
        <v>0</v>
      </c>
      <c r="N285" t="n">
        <v>0</v>
      </c>
      <c r="O285" t="n">
        <v>0</v>
      </c>
      <c r="P285" t="n">
        <v>0</v>
      </c>
      <c r="Q285" t="n">
        <v>0</v>
      </c>
      <c r="R285" s="2" t="inlineStr"/>
    </row>
    <row r="286" ht="15" customHeight="1">
      <c r="A286" t="inlineStr">
        <is>
          <t>A 25363-2023</t>
        </is>
      </c>
      <c r="B286" s="1" t="n">
        <v>45088.83840277778</v>
      </c>
      <c r="C286" s="1" t="n">
        <v>45987</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6722-2022</t>
        </is>
      </c>
      <c r="B287" s="1" t="n">
        <v>44602</v>
      </c>
      <c r="C287" s="1" t="n">
        <v>45987</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6763-2022</t>
        </is>
      </c>
      <c r="B288" s="1" t="n">
        <v>44602</v>
      </c>
      <c r="C288" s="1" t="n">
        <v>45987</v>
      </c>
      <c r="D288" t="inlineStr">
        <is>
          <t>SÖDERMANLANDS LÄN</t>
        </is>
      </c>
      <c r="E288" t="inlineStr">
        <is>
          <t>KATRINEHOLM</t>
        </is>
      </c>
      <c r="G288" t="n">
        <v>6.7</v>
      </c>
      <c r="H288" t="n">
        <v>0</v>
      </c>
      <c r="I288" t="n">
        <v>0</v>
      </c>
      <c r="J288" t="n">
        <v>0</v>
      </c>
      <c r="K288" t="n">
        <v>0</v>
      </c>
      <c r="L288" t="n">
        <v>0</v>
      </c>
      <c r="M288" t="n">
        <v>0</v>
      </c>
      <c r="N288" t="n">
        <v>0</v>
      </c>
      <c r="O288" t="n">
        <v>0</v>
      </c>
      <c r="P288" t="n">
        <v>0</v>
      </c>
      <c r="Q288" t="n">
        <v>0</v>
      </c>
      <c r="R288" s="2" t="inlineStr"/>
    </row>
    <row r="289" ht="15" customHeight="1">
      <c r="A289" t="inlineStr">
        <is>
          <t>A 5790-2022</t>
        </is>
      </c>
      <c r="B289" s="1" t="n">
        <v>44596.55368055555</v>
      </c>
      <c r="C289" s="1" t="n">
        <v>45987</v>
      </c>
      <c r="D289" t="inlineStr">
        <is>
          <t>SÖDERMANLANDS LÄN</t>
        </is>
      </c>
      <c r="E289" t="inlineStr">
        <is>
          <t>KATRINEHOLM</t>
        </is>
      </c>
      <c r="G289" t="n">
        <v>0.6</v>
      </c>
      <c r="H289" t="n">
        <v>0</v>
      </c>
      <c r="I289" t="n">
        <v>0</v>
      </c>
      <c r="J289" t="n">
        <v>0</v>
      </c>
      <c r="K289" t="n">
        <v>0</v>
      </c>
      <c r="L289" t="n">
        <v>0</v>
      </c>
      <c r="M289" t="n">
        <v>0</v>
      </c>
      <c r="N289" t="n">
        <v>0</v>
      </c>
      <c r="O289" t="n">
        <v>0</v>
      </c>
      <c r="P289" t="n">
        <v>0</v>
      </c>
      <c r="Q289" t="n">
        <v>0</v>
      </c>
      <c r="R289" s="2" t="inlineStr"/>
    </row>
    <row r="290" ht="15" customHeight="1">
      <c r="A290" t="inlineStr">
        <is>
          <t>A 14313-2024</t>
        </is>
      </c>
      <c r="B290" s="1" t="n">
        <v>45393</v>
      </c>
      <c r="C290" s="1" t="n">
        <v>45987</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29397-2024</t>
        </is>
      </c>
      <c r="B291" s="1" t="n">
        <v>45483</v>
      </c>
      <c r="C291" s="1" t="n">
        <v>45987</v>
      </c>
      <c r="D291" t="inlineStr">
        <is>
          <t>SÖDERMANLANDS LÄN</t>
        </is>
      </c>
      <c r="E291" t="inlineStr">
        <is>
          <t>KATRINEHOLM</t>
        </is>
      </c>
      <c r="G291" t="n">
        <v>3.4</v>
      </c>
      <c r="H291" t="n">
        <v>0</v>
      </c>
      <c r="I291" t="n">
        <v>0</v>
      </c>
      <c r="J291" t="n">
        <v>0</v>
      </c>
      <c r="K291" t="n">
        <v>0</v>
      </c>
      <c r="L291" t="n">
        <v>0</v>
      </c>
      <c r="M291" t="n">
        <v>0</v>
      </c>
      <c r="N291" t="n">
        <v>0</v>
      </c>
      <c r="O291" t="n">
        <v>0</v>
      </c>
      <c r="P291" t="n">
        <v>0</v>
      </c>
      <c r="Q291" t="n">
        <v>0</v>
      </c>
      <c r="R291" s="2" t="inlineStr"/>
    </row>
    <row r="292" ht="15" customHeight="1">
      <c r="A292" t="inlineStr">
        <is>
          <t>A 25786-2025</t>
        </is>
      </c>
      <c r="B292" s="1" t="n">
        <v>45804.37456018518</v>
      </c>
      <c r="C292" s="1" t="n">
        <v>45987</v>
      </c>
      <c r="D292" t="inlineStr">
        <is>
          <t>SÖDERMANLANDS LÄN</t>
        </is>
      </c>
      <c r="E292" t="inlineStr">
        <is>
          <t>KATRINEHOLM</t>
        </is>
      </c>
      <c r="F292" t="inlineStr">
        <is>
          <t>Holmen skog AB</t>
        </is>
      </c>
      <c r="G292" t="n">
        <v>1.3</v>
      </c>
      <c r="H292" t="n">
        <v>0</v>
      </c>
      <c r="I292" t="n">
        <v>0</v>
      </c>
      <c r="J292" t="n">
        <v>0</v>
      </c>
      <c r="K292" t="n">
        <v>0</v>
      </c>
      <c r="L292" t="n">
        <v>0</v>
      </c>
      <c r="M292" t="n">
        <v>0</v>
      </c>
      <c r="N292" t="n">
        <v>0</v>
      </c>
      <c r="O292" t="n">
        <v>0</v>
      </c>
      <c r="P292" t="n">
        <v>0</v>
      </c>
      <c r="Q292" t="n">
        <v>0</v>
      </c>
      <c r="R292" s="2" t="inlineStr"/>
    </row>
    <row r="293" ht="15" customHeight="1">
      <c r="A293" t="inlineStr">
        <is>
          <t>A 33278-2024</t>
        </is>
      </c>
      <c r="B293" s="1" t="n">
        <v>45518</v>
      </c>
      <c r="C293" s="1" t="n">
        <v>45987</v>
      </c>
      <c r="D293" t="inlineStr">
        <is>
          <t>SÖDERMANLANDS LÄN</t>
        </is>
      </c>
      <c r="E293" t="inlineStr">
        <is>
          <t>KATRINEHOLM</t>
        </is>
      </c>
      <c r="G293" t="n">
        <v>2.1</v>
      </c>
      <c r="H293" t="n">
        <v>0</v>
      </c>
      <c r="I293" t="n">
        <v>0</v>
      </c>
      <c r="J293" t="n">
        <v>0</v>
      </c>
      <c r="K293" t="n">
        <v>0</v>
      </c>
      <c r="L293" t="n">
        <v>0</v>
      </c>
      <c r="M293" t="n">
        <v>0</v>
      </c>
      <c r="N293" t="n">
        <v>0</v>
      </c>
      <c r="O293" t="n">
        <v>0</v>
      </c>
      <c r="P293" t="n">
        <v>0</v>
      </c>
      <c r="Q293" t="n">
        <v>0</v>
      </c>
      <c r="R293" s="2" t="inlineStr"/>
    </row>
    <row r="294" ht="15" customHeight="1">
      <c r="A294" t="inlineStr">
        <is>
          <t>A 39645-2025</t>
        </is>
      </c>
      <c r="B294" s="1" t="n">
        <v>45890</v>
      </c>
      <c r="C294" s="1" t="n">
        <v>45987</v>
      </c>
      <c r="D294" t="inlineStr">
        <is>
          <t>SÖDERMANLANDS LÄN</t>
        </is>
      </c>
      <c r="E294" t="inlineStr">
        <is>
          <t>KATRINEHOLM</t>
        </is>
      </c>
      <c r="G294" t="n">
        <v>0.2</v>
      </c>
      <c r="H294" t="n">
        <v>0</v>
      </c>
      <c r="I294" t="n">
        <v>0</v>
      </c>
      <c r="J294" t="n">
        <v>0</v>
      </c>
      <c r="K294" t="n">
        <v>0</v>
      </c>
      <c r="L294" t="n">
        <v>0</v>
      </c>
      <c r="M294" t="n">
        <v>0</v>
      </c>
      <c r="N294" t="n">
        <v>0</v>
      </c>
      <c r="O294" t="n">
        <v>0</v>
      </c>
      <c r="P294" t="n">
        <v>0</v>
      </c>
      <c r="Q294" t="n">
        <v>0</v>
      </c>
      <c r="R294" s="2" t="inlineStr"/>
    </row>
    <row r="295" ht="15" customHeight="1">
      <c r="A295" t="inlineStr">
        <is>
          <t>A 26154-2025</t>
        </is>
      </c>
      <c r="B295" s="1" t="n">
        <v>45805.43341435185</v>
      </c>
      <c r="C295" s="1" t="n">
        <v>45987</v>
      </c>
      <c r="D295" t="inlineStr">
        <is>
          <t>SÖDERMANLANDS LÄN</t>
        </is>
      </c>
      <c r="E295" t="inlineStr">
        <is>
          <t>KATRINEHOLM</t>
        </is>
      </c>
      <c r="G295" t="n">
        <v>4.5</v>
      </c>
      <c r="H295" t="n">
        <v>0</v>
      </c>
      <c r="I295" t="n">
        <v>0</v>
      </c>
      <c r="J295" t="n">
        <v>0</v>
      </c>
      <c r="K295" t="n">
        <v>0</v>
      </c>
      <c r="L295" t="n">
        <v>0</v>
      </c>
      <c r="M295" t="n">
        <v>0</v>
      </c>
      <c r="N295" t="n">
        <v>0</v>
      </c>
      <c r="O295" t="n">
        <v>0</v>
      </c>
      <c r="P295" t="n">
        <v>0</v>
      </c>
      <c r="Q295" t="n">
        <v>0</v>
      </c>
      <c r="R295" s="2" t="inlineStr"/>
    </row>
    <row r="296" ht="15" customHeight="1">
      <c r="A296" t="inlineStr">
        <is>
          <t>A 26156-2025</t>
        </is>
      </c>
      <c r="B296" s="1" t="n">
        <v>45805.43864583333</v>
      </c>
      <c r="C296" s="1" t="n">
        <v>45987</v>
      </c>
      <c r="D296" t="inlineStr">
        <is>
          <t>SÖDERMANLANDS LÄN</t>
        </is>
      </c>
      <c r="E296" t="inlineStr">
        <is>
          <t>KATRINEHOLM</t>
        </is>
      </c>
      <c r="G296" t="n">
        <v>4.1</v>
      </c>
      <c r="H296" t="n">
        <v>0</v>
      </c>
      <c r="I296" t="n">
        <v>0</v>
      </c>
      <c r="J296" t="n">
        <v>0</v>
      </c>
      <c r="K296" t="n">
        <v>0</v>
      </c>
      <c r="L296" t="n">
        <v>0</v>
      </c>
      <c r="M296" t="n">
        <v>0</v>
      </c>
      <c r="N296" t="n">
        <v>0</v>
      </c>
      <c r="O296" t="n">
        <v>0</v>
      </c>
      <c r="P296" t="n">
        <v>0</v>
      </c>
      <c r="Q296" t="n">
        <v>0</v>
      </c>
      <c r="R296" s="2" t="inlineStr"/>
    </row>
    <row r="297" ht="15" customHeight="1">
      <c r="A297" t="inlineStr">
        <is>
          <t>A 9714-2024</t>
        </is>
      </c>
      <c r="B297" s="1" t="n">
        <v>45362</v>
      </c>
      <c r="C297" s="1" t="n">
        <v>45987</v>
      </c>
      <c r="D297" t="inlineStr">
        <is>
          <t>SÖDERMANLANDS LÄN</t>
        </is>
      </c>
      <c r="E297" t="inlineStr">
        <is>
          <t>KATRINEHOLM</t>
        </is>
      </c>
      <c r="G297" t="n">
        <v>4</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45987</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45987</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24619-2024</t>
        </is>
      </c>
      <c r="B300" s="1" t="n">
        <v>45460</v>
      </c>
      <c r="C300" s="1" t="n">
        <v>45987</v>
      </c>
      <c r="D300" t="inlineStr">
        <is>
          <t>SÖDERMANLANDS LÄN</t>
        </is>
      </c>
      <c r="E300" t="inlineStr">
        <is>
          <t>KATRINEHOLM</t>
        </is>
      </c>
      <c r="G300" t="n">
        <v>4.7</v>
      </c>
      <c r="H300" t="n">
        <v>0</v>
      </c>
      <c r="I300" t="n">
        <v>0</v>
      </c>
      <c r="J300" t="n">
        <v>0</v>
      </c>
      <c r="K300" t="n">
        <v>0</v>
      </c>
      <c r="L300" t="n">
        <v>0</v>
      </c>
      <c r="M300" t="n">
        <v>0</v>
      </c>
      <c r="N300" t="n">
        <v>0</v>
      </c>
      <c r="O300" t="n">
        <v>0</v>
      </c>
      <c r="P300" t="n">
        <v>0</v>
      </c>
      <c r="Q300" t="n">
        <v>0</v>
      </c>
      <c r="R300" s="2" t="inlineStr"/>
    </row>
    <row r="301" ht="15" customHeight="1">
      <c r="A301" t="inlineStr">
        <is>
          <t>A 9699-2024</t>
        </is>
      </c>
      <c r="B301" s="1" t="n">
        <v>45362</v>
      </c>
      <c r="C301" s="1" t="n">
        <v>45987</v>
      </c>
      <c r="D301" t="inlineStr">
        <is>
          <t>SÖDERMANLANDS LÄN</t>
        </is>
      </c>
      <c r="E301" t="inlineStr">
        <is>
          <t>KATRINEHOLM</t>
        </is>
      </c>
      <c r="G301" t="n">
        <v>7.7</v>
      </c>
      <c r="H301" t="n">
        <v>0</v>
      </c>
      <c r="I301" t="n">
        <v>0</v>
      </c>
      <c r="J301" t="n">
        <v>0</v>
      </c>
      <c r="K301" t="n">
        <v>0</v>
      </c>
      <c r="L301" t="n">
        <v>0</v>
      </c>
      <c r="M301" t="n">
        <v>0</v>
      </c>
      <c r="N301" t="n">
        <v>0</v>
      </c>
      <c r="O301" t="n">
        <v>0</v>
      </c>
      <c r="P301" t="n">
        <v>0</v>
      </c>
      <c r="Q301" t="n">
        <v>0</v>
      </c>
      <c r="R301" s="2" t="inlineStr"/>
    </row>
    <row r="302" ht="15" customHeight="1">
      <c r="A302" t="inlineStr">
        <is>
          <t>A 59474-2021</t>
        </is>
      </c>
      <c r="B302" s="1" t="n">
        <v>44491</v>
      </c>
      <c r="C302" s="1" t="n">
        <v>45987</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14239-2024</t>
        </is>
      </c>
      <c r="B303" s="1" t="n">
        <v>45393</v>
      </c>
      <c r="C303" s="1" t="n">
        <v>45987</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14248-2024</t>
        </is>
      </c>
      <c r="B304" s="1" t="n">
        <v>45393</v>
      </c>
      <c r="C304" s="1" t="n">
        <v>45987</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11635-2023</t>
        </is>
      </c>
      <c r="B305" s="1" t="n">
        <v>44994</v>
      </c>
      <c r="C305" s="1" t="n">
        <v>45987</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65485-2020</t>
        </is>
      </c>
      <c r="B306" s="1" t="n">
        <v>44173</v>
      </c>
      <c r="C306" s="1" t="n">
        <v>45987</v>
      </c>
      <c r="D306" t="inlineStr">
        <is>
          <t>SÖDERMANLANDS LÄN</t>
        </is>
      </c>
      <c r="E306" t="inlineStr">
        <is>
          <t>KATRINEHOLM</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10932-2023</t>
        </is>
      </c>
      <c r="B307" s="1" t="n">
        <v>44985</v>
      </c>
      <c r="C307" s="1" t="n">
        <v>45987</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39737-2025</t>
        </is>
      </c>
      <c r="B308" s="1" t="n">
        <v>45891</v>
      </c>
      <c r="C308" s="1" t="n">
        <v>45987</v>
      </c>
      <c r="D308" t="inlineStr">
        <is>
          <t>SÖDERMANLANDS LÄN</t>
        </is>
      </c>
      <c r="E308" t="inlineStr">
        <is>
          <t>KATRINEHOLM</t>
        </is>
      </c>
      <c r="F308" t="inlineStr">
        <is>
          <t>Holmen skog AB</t>
        </is>
      </c>
      <c r="G308" t="n">
        <v>1.6</v>
      </c>
      <c r="H308" t="n">
        <v>0</v>
      </c>
      <c r="I308" t="n">
        <v>0</v>
      </c>
      <c r="J308" t="n">
        <v>0</v>
      </c>
      <c r="K308" t="n">
        <v>0</v>
      </c>
      <c r="L308" t="n">
        <v>0</v>
      </c>
      <c r="M308" t="n">
        <v>0</v>
      </c>
      <c r="N308" t="n">
        <v>0</v>
      </c>
      <c r="O308" t="n">
        <v>0</v>
      </c>
      <c r="P308" t="n">
        <v>0</v>
      </c>
      <c r="Q308" t="n">
        <v>0</v>
      </c>
      <c r="R308" s="2" t="inlineStr"/>
    </row>
    <row r="309" ht="15" customHeight="1">
      <c r="A309" t="inlineStr">
        <is>
          <t>A 39847-2025</t>
        </is>
      </c>
      <c r="B309" s="1" t="n">
        <v>45891.58381944444</v>
      </c>
      <c r="C309" s="1" t="n">
        <v>45987</v>
      </c>
      <c r="D309" t="inlineStr">
        <is>
          <t>SÖDERMANLANDS LÄN</t>
        </is>
      </c>
      <c r="E309" t="inlineStr">
        <is>
          <t>KATRINEHOLM</t>
        </is>
      </c>
      <c r="F309" t="inlineStr">
        <is>
          <t>Holmen skog AB</t>
        </is>
      </c>
      <c r="G309" t="n">
        <v>2.5</v>
      </c>
      <c r="H309" t="n">
        <v>0</v>
      </c>
      <c r="I309" t="n">
        <v>0</v>
      </c>
      <c r="J309" t="n">
        <v>0</v>
      </c>
      <c r="K309" t="n">
        <v>0</v>
      </c>
      <c r="L309" t="n">
        <v>0</v>
      </c>
      <c r="M309" t="n">
        <v>0</v>
      </c>
      <c r="N309" t="n">
        <v>0</v>
      </c>
      <c r="O309" t="n">
        <v>0</v>
      </c>
      <c r="P309" t="n">
        <v>0</v>
      </c>
      <c r="Q309" t="n">
        <v>0</v>
      </c>
      <c r="R309" s="2" t="inlineStr"/>
    </row>
    <row r="310" ht="15" customHeight="1">
      <c r="A310" t="inlineStr">
        <is>
          <t>A 6087-2022</t>
        </is>
      </c>
      <c r="B310" s="1" t="n">
        <v>44599.61034722222</v>
      </c>
      <c r="C310" s="1" t="n">
        <v>45987</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8957-2024</t>
        </is>
      </c>
      <c r="B311" s="1" t="n">
        <v>45357.45089120371</v>
      </c>
      <c r="C311" s="1" t="n">
        <v>45987</v>
      </c>
      <c r="D311" t="inlineStr">
        <is>
          <t>SÖDERMANLANDS LÄN</t>
        </is>
      </c>
      <c r="E311" t="inlineStr">
        <is>
          <t>KATRINEHOLM</t>
        </is>
      </c>
      <c r="G311" t="n">
        <v>3.6</v>
      </c>
      <c r="H311" t="n">
        <v>0</v>
      </c>
      <c r="I311" t="n">
        <v>0</v>
      </c>
      <c r="J311" t="n">
        <v>0</v>
      </c>
      <c r="K311" t="n">
        <v>0</v>
      </c>
      <c r="L311" t="n">
        <v>0</v>
      </c>
      <c r="M311" t="n">
        <v>0</v>
      </c>
      <c r="N311" t="n">
        <v>0</v>
      </c>
      <c r="O311" t="n">
        <v>0</v>
      </c>
      <c r="P311" t="n">
        <v>0</v>
      </c>
      <c r="Q311" t="n">
        <v>0</v>
      </c>
      <c r="R311" s="2" t="inlineStr"/>
    </row>
    <row r="312" ht="15" customHeight="1">
      <c r="A312" t="inlineStr">
        <is>
          <t>A 42896-2024</t>
        </is>
      </c>
      <c r="B312" s="1" t="n">
        <v>45566.82973379629</v>
      </c>
      <c r="C312" s="1" t="n">
        <v>45987</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7747-2024</t>
        </is>
      </c>
      <c r="B313" s="1" t="n">
        <v>45348</v>
      </c>
      <c r="C313" s="1" t="n">
        <v>45987</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7753-2024</t>
        </is>
      </c>
      <c r="B314" s="1" t="n">
        <v>45348</v>
      </c>
      <c r="C314" s="1" t="n">
        <v>45987</v>
      </c>
      <c r="D314" t="inlineStr">
        <is>
          <t>SÖDERMANLANDS LÄN</t>
        </is>
      </c>
      <c r="E314" t="inlineStr">
        <is>
          <t>KATRINEHOLM</t>
        </is>
      </c>
      <c r="G314" t="n">
        <v>13.4</v>
      </c>
      <c r="H314" t="n">
        <v>0</v>
      </c>
      <c r="I314" t="n">
        <v>0</v>
      </c>
      <c r="J314" t="n">
        <v>0</v>
      </c>
      <c r="K314" t="n">
        <v>0</v>
      </c>
      <c r="L314" t="n">
        <v>0</v>
      </c>
      <c r="M314" t="n">
        <v>0</v>
      </c>
      <c r="N314" t="n">
        <v>0</v>
      </c>
      <c r="O314" t="n">
        <v>0</v>
      </c>
      <c r="P314" t="n">
        <v>0</v>
      </c>
      <c r="Q314" t="n">
        <v>0</v>
      </c>
      <c r="R314" s="2" t="inlineStr"/>
    </row>
    <row r="315" ht="15" customHeight="1">
      <c r="A315" t="inlineStr">
        <is>
          <t>A 5935-2023</t>
        </is>
      </c>
      <c r="B315" s="1" t="n">
        <v>44963</v>
      </c>
      <c r="C315" s="1" t="n">
        <v>45987</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10732-2022</t>
        </is>
      </c>
      <c r="B316" s="1" t="n">
        <v>44627.34033564815</v>
      </c>
      <c r="C316" s="1" t="n">
        <v>45987</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27534-2025</t>
        </is>
      </c>
      <c r="B317" s="1" t="n">
        <v>45813</v>
      </c>
      <c r="C317" s="1" t="n">
        <v>45987</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27552-2025</t>
        </is>
      </c>
      <c r="B318" s="1" t="n">
        <v>45813</v>
      </c>
      <c r="C318" s="1" t="n">
        <v>45987</v>
      </c>
      <c r="D318" t="inlineStr">
        <is>
          <t>SÖDERMANLANDS LÄN</t>
        </is>
      </c>
      <c r="E318" t="inlineStr">
        <is>
          <t>KATRINEHOLM</t>
        </is>
      </c>
      <c r="G318" t="n">
        <v>0.7</v>
      </c>
      <c r="H318" t="n">
        <v>0</v>
      </c>
      <c r="I318" t="n">
        <v>0</v>
      </c>
      <c r="J318" t="n">
        <v>0</v>
      </c>
      <c r="K318" t="n">
        <v>0</v>
      </c>
      <c r="L318" t="n">
        <v>0</v>
      </c>
      <c r="M318" t="n">
        <v>0</v>
      </c>
      <c r="N318" t="n">
        <v>0</v>
      </c>
      <c r="O318" t="n">
        <v>0</v>
      </c>
      <c r="P318" t="n">
        <v>0</v>
      </c>
      <c r="Q318" t="n">
        <v>0</v>
      </c>
      <c r="R318" s="2" t="inlineStr"/>
    </row>
    <row r="319" ht="15" customHeight="1">
      <c r="A319" t="inlineStr">
        <is>
          <t>A 41074-2025</t>
        </is>
      </c>
      <c r="B319" s="1" t="n">
        <v>45898</v>
      </c>
      <c r="C319" s="1" t="n">
        <v>45987</v>
      </c>
      <c r="D319" t="inlineStr">
        <is>
          <t>SÖDERMANLANDS LÄN</t>
        </is>
      </c>
      <c r="E319" t="inlineStr">
        <is>
          <t>KATRINEHOLM</t>
        </is>
      </c>
      <c r="F319" t="inlineStr">
        <is>
          <t>Allmännings- och besparingsskogar</t>
        </is>
      </c>
      <c r="G319" t="n">
        <v>4.8</v>
      </c>
      <c r="H319" t="n">
        <v>0</v>
      </c>
      <c r="I319" t="n">
        <v>0</v>
      </c>
      <c r="J319" t="n">
        <v>0</v>
      </c>
      <c r="K319" t="n">
        <v>0</v>
      </c>
      <c r="L319" t="n">
        <v>0</v>
      </c>
      <c r="M319" t="n">
        <v>0</v>
      </c>
      <c r="N319" t="n">
        <v>0</v>
      </c>
      <c r="O319" t="n">
        <v>0</v>
      </c>
      <c r="P319" t="n">
        <v>0</v>
      </c>
      <c r="Q319" t="n">
        <v>0</v>
      </c>
      <c r="R319" s="2" t="inlineStr"/>
    </row>
    <row r="320" ht="15" customHeight="1">
      <c r="A320" t="inlineStr">
        <is>
          <t>A 27636-2025</t>
        </is>
      </c>
      <c r="B320" s="1" t="n">
        <v>45813.57603009259</v>
      </c>
      <c r="C320" s="1" t="n">
        <v>45987</v>
      </c>
      <c r="D320" t="inlineStr">
        <is>
          <t>SÖDERMANLANDS LÄN</t>
        </is>
      </c>
      <c r="E320" t="inlineStr">
        <is>
          <t>KATRINEHOLM</t>
        </is>
      </c>
      <c r="G320" t="n">
        <v>0.6</v>
      </c>
      <c r="H320" t="n">
        <v>0</v>
      </c>
      <c r="I320" t="n">
        <v>0</v>
      </c>
      <c r="J320" t="n">
        <v>0</v>
      </c>
      <c r="K320" t="n">
        <v>0</v>
      </c>
      <c r="L320" t="n">
        <v>0</v>
      </c>
      <c r="M320" t="n">
        <v>0</v>
      </c>
      <c r="N320" t="n">
        <v>0</v>
      </c>
      <c r="O320" t="n">
        <v>0</v>
      </c>
      <c r="P320" t="n">
        <v>0</v>
      </c>
      <c r="Q320" t="n">
        <v>0</v>
      </c>
      <c r="R320" s="2" t="inlineStr"/>
    </row>
    <row r="321" ht="15" customHeight="1">
      <c r="A321" t="inlineStr">
        <is>
          <t>A 24600-2025</t>
        </is>
      </c>
      <c r="B321" s="1" t="n">
        <v>45798.56348379629</v>
      </c>
      <c r="C321" s="1" t="n">
        <v>45987</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3939-2022</t>
        </is>
      </c>
      <c r="B322" s="1" t="n">
        <v>44587</v>
      </c>
      <c r="C322" s="1" t="n">
        <v>45987</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56074-2022</t>
        </is>
      </c>
      <c r="B323" s="1" t="n">
        <v>44889</v>
      </c>
      <c r="C323" s="1" t="n">
        <v>45987</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c r="T323">
        <f>HYPERLINK("https://klasma.github.io/Logging_0483/kartor/A 56074-2022 karta.png", "A 56074-2022")</f>
        <v/>
      </c>
      <c r="V323">
        <f>HYPERLINK("https://klasma.github.io/Logging_0483/klagomål/A 56074-2022 FSC-klagomål.docx", "A 56074-2022")</f>
        <v/>
      </c>
      <c r="W323">
        <f>HYPERLINK("https://klasma.github.io/Logging_0483/klagomålsmail/A 56074-2022 FSC-klagomål mail.docx", "A 56074-2022")</f>
        <v/>
      </c>
      <c r="X323">
        <f>HYPERLINK("https://klasma.github.io/Logging_0483/tillsyn/A 56074-2022 tillsynsbegäran.docx", "A 56074-2022")</f>
        <v/>
      </c>
      <c r="Y323">
        <f>HYPERLINK("https://klasma.github.io/Logging_0483/tillsynsmail/A 56074-2022 tillsynsbegäran mail.docx", "A 56074-2022")</f>
        <v/>
      </c>
    </row>
    <row r="324" ht="15" customHeight="1">
      <c r="A324" t="inlineStr">
        <is>
          <t>A 41498-2025</t>
        </is>
      </c>
      <c r="B324" s="1" t="n">
        <v>45901.49755787037</v>
      </c>
      <c r="C324" s="1" t="n">
        <v>45987</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41548-2025</t>
        </is>
      </c>
      <c r="B325" s="1" t="n">
        <v>45901</v>
      </c>
      <c r="C325" s="1" t="n">
        <v>45987</v>
      </c>
      <c r="D325" t="inlineStr">
        <is>
          <t>SÖDERMANLANDS LÄN</t>
        </is>
      </c>
      <c r="E325" t="inlineStr">
        <is>
          <t>KATRINEHOLM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35608-2024</t>
        </is>
      </c>
      <c r="B326" s="1" t="n">
        <v>45531</v>
      </c>
      <c r="C326" s="1" t="n">
        <v>45987</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61915-2021</t>
        </is>
      </c>
      <c r="B327" s="1" t="n">
        <v>44502.36780092592</v>
      </c>
      <c r="C327" s="1" t="n">
        <v>45987</v>
      </c>
      <c r="D327" t="inlineStr">
        <is>
          <t>SÖDERMANLANDS LÄN</t>
        </is>
      </c>
      <c r="E327" t="inlineStr">
        <is>
          <t>KATRINEHOLM</t>
        </is>
      </c>
      <c r="G327" t="n">
        <v>2.6</v>
      </c>
      <c r="H327" t="n">
        <v>0</v>
      </c>
      <c r="I327" t="n">
        <v>0</v>
      </c>
      <c r="J327" t="n">
        <v>0</v>
      </c>
      <c r="K327" t="n">
        <v>0</v>
      </c>
      <c r="L327" t="n">
        <v>0</v>
      </c>
      <c r="M327" t="n">
        <v>0</v>
      </c>
      <c r="N327" t="n">
        <v>0</v>
      </c>
      <c r="O327" t="n">
        <v>0</v>
      </c>
      <c r="P327" t="n">
        <v>0</v>
      </c>
      <c r="Q327" t="n">
        <v>0</v>
      </c>
      <c r="R327" s="2" t="inlineStr"/>
    </row>
    <row r="328" ht="15" customHeight="1">
      <c r="A328" t="inlineStr">
        <is>
          <t>A 49341-2024</t>
        </is>
      </c>
      <c r="B328" s="1" t="n">
        <v>45595</v>
      </c>
      <c r="C328" s="1" t="n">
        <v>45987</v>
      </c>
      <c r="D328" t="inlineStr">
        <is>
          <t>SÖDERMANLANDS LÄN</t>
        </is>
      </c>
      <c r="E328" t="inlineStr">
        <is>
          <t>KATRINEHOLM</t>
        </is>
      </c>
      <c r="G328" t="n">
        <v>10</v>
      </c>
      <c r="H328" t="n">
        <v>0</v>
      </c>
      <c r="I328" t="n">
        <v>0</v>
      </c>
      <c r="J328" t="n">
        <v>0</v>
      </c>
      <c r="K328" t="n">
        <v>0</v>
      </c>
      <c r="L328" t="n">
        <v>0</v>
      </c>
      <c r="M328" t="n">
        <v>0</v>
      </c>
      <c r="N328" t="n">
        <v>0</v>
      </c>
      <c r="O328" t="n">
        <v>0</v>
      </c>
      <c r="P328" t="n">
        <v>0</v>
      </c>
      <c r="Q328" t="n">
        <v>0</v>
      </c>
      <c r="R328" s="2" t="inlineStr"/>
    </row>
    <row r="329" ht="15" customHeight="1">
      <c r="A329" t="inlineStr">
        <is>
          <t>A 41633-2025</t>
        </is>
      </c>
      <c r="B329" s="1" t="n">
        <v>45901</v>
      </c>
      <c r="C329" s="1" t="n">
        <v>45987</v>
      </c>
      <c r="D329" t="inlineStr">
        <is>
          <t>SÖDERMANLANDS LÄN</t>
        </is>
      </c>
      <c r="E329" t="inlineStr">
        <is>
          <t>KATRINEHOLM</t>
        </is>
      </c>
      <c r="G329" t="n">
        <v>2.1</v>
      </c>
      <c r="H329" t="n">
        <v>0</v>
      </c>
      <c r="I329" t="n">
        <v>0</v>
      </c>
      <c r="J329" t="n">
        <v>0</v>
      </c>
      <c r="K329" t="n">
        <v>0</v>
      </c>
      <c r="L329" t="n">
        <v>0</v>
      </c>
      <c r="M329" t="n">
        <v>0</v>
      </c>
      <c r="N329" t="n">
        <v>0</v>
      </c>
      <c r="O329" t="n">
        <v>0</v>
      </c>
      <c r="P329" t="n">
        <v>0</v>
      </c>
      <c r="Q329" t="n">
        <v>0</v>
      </c>
      <c r="R329" s="2" t="inlineStr"/>
    </row>
    <row r="330" ht="15" customHeight="1">
      <c r="A330" t="inlineStr">
        <is>
          <t>A 41632-2025</t>
        </is>
      </c>
      <c r="B330" s="1" t="n">
        <v>45901</v>
      </c>
      <c r="C330" s="1" t="n">
        <v>45987</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41648-2025</t>
        </is>
      </c>
      <c r="B331" s="1" t="n">
        <v>45902.32601851852</v>
      </c>
      <c r="C331" s="1" t="n">
        <v>45987</v>
      </c>
      <c r="D331" t="inlineStr">
        <is>
          <t>SÖDERMANLANDS LÄN</t>
        </is>
      </c>
      <c r="E331" t="inlineStr">
        <is>
          <t>KATRINEHOLM</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41793-2025</t>
        </is>
      </c>
      <c r="B332" s="1" t="n">
        <v>45902</v>
      </c>
      <c r="C332" s="1" t="n">
        <v>45987</v>
      </c>
      <c r="D332" t="inlineStr">
        <is>
          <t>SÖDERMANLANDS LÄN</t>
        </is>
      </c>
      <c r="E332" t="inlineStr">
        <is>
          <t>KATRINEHOLM</t>
        </is>
      </c>
      <c r="G332" t="n">
        <v>1.1</v>
      </c>
      <c r="H332" t="n">
        <v>0</v>
      </c>
      <c r="I332" t="n">
        <v>0</v>
      </c>
      <c r="J332" t="n">
        <v>0</v>
      </c>
      <c r="K332" t="n">
        <v>0</v>
      </c>
      <c r="L332" t="n">
        <v>0</v>
      </c>
      <c r="M332" t="n">
        <v>0</v>
      </c>
      <c r="N332" t="n">
        <v>0</v>
      </c>
      <c r="O332" t="n">
        <v>0</v>
      </c>
      <c r="P332" t="n">
        <v>0</v>
      </c>
      <c r="Q332" t="n">
        <v>0</v>
      </c>
      <c r="R332" s="2" t="inlineStr"/>
    </row>
    <row r="333" ht="15" customHeight="1">
      <c r="A333" t="inlineStr">
        <is>
          <t>A 12633-2022</t>
        </is>
      </c>
      <c r="B333" s="1" t="n">
        <v>44638</v>
      </c>
      <c r="C333" s="1" t="n">
        <v>45987</v>
      </c>
      <c r="D333" t="inlineStr">
        <is>
          <t>SÖDERMANLANDS LÄN</t>
        </is>
      </c>
      <c r="E333" t="inlineStr">
        <is>
          <t>KATRINEHOLM</t>
        </is>
      </c>
      <c r="G333" t="n">
        <v>6.4</v>
      </c>
      <c r="H333" t="n">
        <v>0</v>
      </c>
      <c r="I333" t="n">
        <v>0</v>
      </c>
      <c r="J333" t="n">
        <v>0</v>
      </c>
      <c r="K333" t="n">
        <v>0</v>
      </c>
      <c r="L333" t="n">
        <v>0</v>
      </c>
      <c r="M333" t="n">
        <v>0</v>
      </c>
      <c r="N333" t="n">
        <v>0</v>
      </c>
      <c r="O333" t="n">
        <v>0</v>
      </c>
      <c r="P333" t="n">
        <v>0</v>
      </c>
      <c r="Q333" t="n">
        <v>0</v>
      </c>
      <c r="R333" s="2" t="inlineStr"/>
    </row>
    <row r="334" ht="15" customHeight="1">
      <c r="A334" t="inlineStr">
        <is>
          <t>A 8917-2024</t>
        </is>
      </c>
      <c r="B334" s="1" t="n">
        <v>45357.37618055556</v>
      </c>
      <c r="C334" s="1" t="n">
        <v>45987</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4656-2023</t>
        </is>
      </c>
      <c r="B335" s="1" t="n">
        <v>44957</v>
      </c>
      <c r="C335" s="1" t="n">
        <v>45987</v>
      </c>
      <c r="D335" t="inlineStr">
        <is>
          <t>SÖDERMANLANDS LÄN</t>
        </is>
      </c>
      <c r="E335" t="inlineStr">
        <is>
          <t>KATRINEHOLM</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29189-2025</t>
        </is>
      </c>
      <c r="B336" s="1" t="n">
        <v>45822</v>
      </c>
      <c r="C336" s="1" t="n">
        <v>45987</v>
      </c>
      <c r="D336" t="inlineStr">
        <is>
          <t>SÖDERMANLANDS LÄN</t>
        </is>
      </c>
      <c r="E336" t="inlineStr">
        <is>
          <t>KATRINEHOLM</t>
        </is>
      </c>
      <c r="G336" t="n">
        <v>3.5</v>
      </c>
      <c r="H336" t="n">
        <v>0</v>
      </c>
      <c r="I336" t="n">
        <v>0</v>
      </c>
      <c r="J336" t="n">
        <v>0</v>
      </c>
      <c r="K336" t="n">
        <v>0</v>
      </c>
      <c r="L336" t="n">
        <v>0</v>
      </c>
      <c r="M336" t="n">
        <v>0</v>
      </c>
      <c r="N336" t="n">
        <v>0</v>
      </c>
      <c r="O336" t="n">
        <v>0</v>
      </c>
      <c r="P336" t="n">
        <v>0</v>
      </c>
      <c r="Q336" t="n">
        <v>0</v>
      </c>
      <c r="R336" s="2" t="inlineStr"/>
    </row>
    <row r="337" ht="15" customHeight="1">
      <c r="A337" t="inlineStr">
        <is>
          <t>A 59093-2024</t>
        </is>
      </c>
      <c r="B337" s="1" t="n">
        <v>45636</v>
      </c>
      <c r="C337" s="1" t="n">
        <v>45987</v>
      </c>
      <c r="D337" t="inlineStr">
        <is>
          <t>SÖDERMANLANDS LÄN</t>
        </is>
      </c>
      <c r="E337" t="inlineStr">
        <is>
          <t>KATRINEHOLM</t>
        </is>
      </c>
      <c r="G337" t="n">
        <v>2.8</v>
      </c>
      <c r="H337" t="n">
        <v>0</v>
      </c>
      <c r="I337" t="n">
        <v>0</v>
      </c>
      <c r="J337" t="n">
        <v>0</v>
      </c>
      <c r="K337" t="n">
        <v>0</v>
      </c>
      <c r="L337" t="n">
        <v>0</v>
      </c>
      <c r="M337" t="n">
        <v>0</v>
      </c>
      <c r="N337" t="n">
        <v>0</v>
      </c>
      <c r="O337" t="n">
        <v>0</v>
      </c>
      <c r="P337" t="n">
        <v>0</v>
      </c>
      <c r="Q337" t="n">
        <v>0</v>
      </c>
      <c r="R337" s="2" t="inlineStr"/>
    </row>
    <row r="338" ht="15" customHeight="1">
      <c r="A338" t="inlineStr">
        <is>
          <t>A 50934-2025</t>
        </is>
      </c>
      <c r="B338" s="1" t="n">
        <v>45946.69195601852</v>
      </c>
      <c r="C338" s="1" t="n">
        <v>45987</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38872-2024</t>
        </is>
      </c>
      <c r="B339" s="1" t="n">
        <v>45547</v>
      </c>
      <c r="C339" s="1" t="n">
        <v>45987</v>
      </c>
      <c r="D339" t="inlineStr">
        <is>
          <t>SÖDERMANLANDS LÄN</t>
        </is>
      </c>
      <c r="E339" t="inlineStr">
        <is>
          <t>KATRINEHOLM</t>
        </is>
      </c>
      <c r="G339" t="n">
        <v>5.7</v>
      </c>
      <c r="H339" t="n">
        <v>0</v>
      </c>
      <c r="I339" t="n">
        <v>0</v>
      </c>
      <c r="J339" t="n">
        <v>0</v>
      </c>
      <c r="K339" t="n">
        <v>0</v>
      </c>
      <c r="L339" t="n">
        <v>0</v>
      </c>
      <c r="M339" t="n">
        <v>0</v>
      </c>
      <c r="N339" t="n">
        <v>0</v>
      </c>
      <c r="O339" t="n">
        <v>0</v>
      </c>
      <c r="P339" t="n">
        <v>0</v>
      </c>
      <c r="Q339" t="n">
        <v>0</v>
      </c>
      <c r="R339" s="2" t="inlineStr"/>
    </row>
    <row r="340" ht="15" customHeight="1">
      <c r="A340" t="inlineStr">
        <is>
          <t>A 30050-2025</t>
        </is>
      </c>
      <c r="B340" s="1" t="n">
        <v>45826.59151620371</v>
      </c>
      <c r="C340" s="1" t="n">
        <v>45987</v>
      </c>
      <c r="D340" t="inlineStr">
        <is>
          <t>SÖDERMANLANDS LÄN</t>
        </is>
      </c>
      <c r="E340" t="inlineStr">
        <is>
          <t>KATRINEHOLM</t>
        </is>
      </c>
      <c r="G340" t="n">
        <v>7.9</v>
      </c>
      <c r="H340" t="n">
        <v>0</v>
      </c>
      <c r="I340" t="n">
        <v>0</v>
      </c>
      <c r="J340" t="n">
        <v>0</v>
      </c>
      <c r="K340" t="n">
        <v>0</v>
      </c>
      <c r="L340" t="n">
        <v>0</v>
      </c>
      <c r="M340" t="n">
        <v>0</v>
      </c>
      <c r="N340" t="n">
        <v>0</v>
      </c>
      <c r="O340" t="n">
        <v>0</v>
      </c>
      <c r="P340" t="n">
        <v>0</v>
      </c>
      <c r="Q340" t="n">
        <v>0</v>
      </c>
      <c r="R340" s="2" t="inlineStr"/>
    </row>
    <row r="341" ht="15" customHeight="1">
      <c r="A341" t="inlineStr">
        <is>
          <t>A 30070-2025</t>
        </is>
      </c>
      <c r="B341" s="1" t="n">
        <v>45826.63324074074</v>
      </c>
      <c r="C341" s="1" t="n">
        <v>45987</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69600-2020</t>
        </is>
      </c>
      <c r="B342" s="1" t="n">
        <v>44195</v>
      </c>
      <c r="C342" s="1" t="n">
        <v>45987</v>
      </c>
      <c r="D342" t="inlineStr">
        <is>
          <t>SÖDERMANLANDS LÄN</t>
        </is>
      </c>
      <c r="E342" t="inlineStr">
        <is>
          <t>KATRINEHOLM</t>
        </is>
      </c>
      <c r="G342" t="n">
        <v>11.3</v>
      </c>
      <c r="H342" t="n">
        <v>0</v>
      </c>
      <c r="I342" t="n">
        <v>0</v>
      </c>
      <c r="J342" t="n">
        <v>0</v>
      </c>
      <c r="K342" t="n">
        <v>0</v>
      </c>
      <c r="L342" t="n">
        <v>0</v>
      </c>
      <c r="M342" t="n">
        <v>0</v>
      </c>
      <c r="N342" t="n">
        <v>0</v>
      </c>
      <c r="O342" t="n">
        <v>0</v>
      </c>
      <c r="P342" t="n">
        <v>0</v>
      </c>
      <c r="Q342" t="n">
        <v>0</v>
      </c>
      <c r="R342" s="2" t="inlineStr"/>
    </row>
    <row r="343" ht="15" customHeight="1">
      <c r="A343" t="inlineStr">
        <is>
          <t>A 30287-2025</t>
        </is>
      </c>
      <c r="B343" s="1" t="n">
        <v>45827</v>
      </c>
      <c r="C343" s="1" t="n">
        <v>45987</v>
      </c>
      <c r="D343" t="inlineStr">
        <is>
          <t>SÖDERMANLANDS LÄN</t>
        </is>
      </c>
      <c r="E343" t="inlineStr">
        <is>
          <t>KATRINEHOLM</t>
        </is>
      </c>
      <c r="G343" t="n">
        <v>10.2</v>
      </c>
      <c r="H343" t="n">
        <v>0</v>
      </c>
      <c r="I343" t="n">
        <v>0</v>
      </c>
      <c r="J343" t="n">
        <v>0</v>
      </c>
      <c r="K343" t="n">
        <v>0</v>
      </c>
      <c r="L343" t="n">
        <v>0</v>
      </c>
      <c r="M343" t="n">
        <v>0</v>
      </c>
      <c r="N343" t="n">
        <v>0</v>
      </c>
      <c r="O343" t="n">
        <v>0</v>
      </c>
      <c r="P343" t="n">
        <v>0</v>
      </c>
      <c r="Q343" t="n">
        <v>0</v>
      </c>
      <c r="R343" s="2" t="inlineStr"/>
    </row>
    <row r="344" ht="15" customHeight="1">
      <c r="A344" t="inlineStr">
        <is>
          <t>A 30350-2025</t>
        </is>
      </c>
      <c r="B344" s="1" t="n">
        <v>45827.53319444445</v>
      </c>
      <c r="C344" s="1" t="n">
        <v>45987</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30352-2025</t>
        </is>
      </c>
      <c r="B345" s="1" t="n">
        <v>45827</v>
      </c>
      <c r="C345" s="1" t="n">
        <v>45987</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9932-2023</t>
        </is>
      </c>
      <c r="B346" s="1" t="n">
        <v>44985.46709490741</v>
      </c>
      <c r="C346" s="1" t="n">
        <v>45987</v>
      </c>
      <c r="D346" t="inlineStr">
        <is>
          <t>SÖDERMANLANDS LÄN</t>
        </is>
      </c>
      <c r="E346" t="inlineStr">
        <is>
          <t>KATRINEHOLM</t>
        </is>
      </c>
      <c r="G346" t="n">
        <v>0.3</v>
      </c>
      <c r="H346" t="n">
        <v>0</v>
      </c>
      <c r="I346" t="n">
        <v>0</v>
      </c>
      <c r="J346" t="n">
        <v>0</v>
      </c>
      <c r="K346" t="n">
        <v>0</v>
      </c>
      <c r="L346" t="n">
        <v>0</v>
      </c>
      <c r="M346" t="n">
        <v>0</v>
      </c>
      <c r="N346" t="n">
        <v>0</v>
      </c>
      <c r="O346" t="n">
        <v>0</v>
      </c>
      <c r="P346" t="n">
        <v>0</v>
      </c>
      <c r="Q346" t="n">
        <v>0</v>
      </c>
      <c r="R346" s="2" t="inlineStr"/>
    </row>
    <row r="347" ht="15" customHeight="1">
      <c r="A347" t="inlineStr">
        <is>
          <t>A 30386-2025</t>
        </is>
      </c>
      <c r="B347" s="1" t="n">
        <v>45827</v>
      </c>
      <c r="C347" s="1" t="n">
        <v>45987</v>
      </c>
      <c r="D347" t="inlineStr">
        <is>
          <t>SÖDERMANLANDS LÄN</t>
        </is>
      </c>
      <c r="E347" t="inlineStr">
        <is>
          <t>KATRINEHOLM</t>
        </is>
      </c>
      <c r="G347" t="n">
        <v>5.6</v>
      </c>
      <c r="H347" t="n">
        <v>0</v>
      </c>
      <c r="I347" t="n">
        <v>0</v>
      </c>
      <c r="J347" t="n">
        <v>0</v>
      </c>
      <c r="K347" t="n">
        <v>0</v>
      </c>
      <c r="L347" t="n">
        <v>0</v>
      </c>
      <c r="M347" t="n">
        <v>0</v>
      </c>
      <c r="N347" t="n">
        <v>0</v>
      </c>
      <c r="O347" t="n">
        <v>0</v>
      </c>
      <c r="P347" t="n">
        <v>0</v>
      </c>
      <c r="Q347" t="n">
        <v>0</v>
      </c>
      <c r="R347" s="2" t="inlineStr"/>
    </row>
    <row r="348" ht="15" customHeight="1">
      <c r="A348" t="inlineStr">
        <is>
          <t>A 30402-2025</t>
        </is>
      </c>
      <c r="B348" s="1" t="n">
        <v>45827</v>
      </c>
      <c r="C348" s="1" t="n">
        <v>45987</v>
      </c>
      <c r="D348" t="inlineStr">
        <is>
          <t>SÖDERMANLANDS LÄN</t>
        </is>
      </c>
      <c r="E348" t="inlineStr">
        <is>
          <t>KATRINEHOLM</t>
        </is>
      </c>
      <c r="G348" t="n">
        <v>7.1</v>
      </c>
      <c r="H348" t="n">
        <v>0</v>
      </c>
      <c r="I348" t="n">
        <v>0</v>
      </c>
      <c r="J348" t="n">
        <v>0</v>
      </c>
      <c r="K348" t="n">
        <v>0</v>
      </c>
      <c r="L348" t="n">
        <v>0</v>
      </c>
      <c r="M348" t="n">
        <v>0</v>
      </c>
      <c r="N348" t="n">
        <v>0</v>
      </c>
      <c r="O348" t="n">
        <v>0</v>
      </c>
      <c r="P348" t="n">
        <v>0</v>
      </c>
      <c r="Q348" t="n">
        <v>0</v>
      </c>
      <c r="R348" s="2" t="inlineStr"/>
    </row>
    <row r="349" ht="15" customHeight="1">
      <c r="A349" t="inlineStr">
        <is>
          <t>A 42686-2025</t>
        </is>
      </c>
      <c r="B349" s="1" t="n">
        <v>45908.35550925926</v>
      </c>
      <c r="C349" s="1" t="n">
        <v>45987</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42799-2025</t>
        </is>
      </c>
      <c r="B350" s="1" t="n">
        <v>45907</v>
      </c>
      <c r="C350" s="1" t="n">
        <v>45987</v>
      </c>
      <c r="D350" t="inlineStr">
        <is>
          <t>SÖDERMANLANDS LÄN</t>
        </is>
      </c>
      <c r="E350" t="inlineStr">
        <is>
          <t>KATRINEHOLM</t>
        </is>
      </c>
      <c r="G350" t="n">
        <v>3.9</v>
      </c>
      <c r="H350" t="n">
        <v>0</v>
      </c>
      <c r="I350" t="n">
        <v>0</v>
      </c>
      <c r="J350" t="n">
        <v>0</v>
      </c>
      <c r="K350" t="n">
        <v>0</v>
      </c>
      <c r="L350" t="n">
        <v>0</v>
      </c>
      <c r="M350" t="n">
        <v>0</v>
      </c>
      <c r="N350" t="n">
        <v>0</v>
      </c>
      <c r="O350" t="n">
        <v>0</v>
      </c>
      <c r="P350" t="n">
        <v>0</v>
      </c>
      <c r="Q350" t="n">
        <v>0</v>
      </c>
      <c r="R350" s="2" t="inlineStr"/>
    </row>
    <row r="351" ht="15" customHeight="1">
      <c r="A351" t="inlineStr">
        <is>
          <t>A 9192-2023</t>
        </is>
      </c>
      <c r="B351" s="1" t="n">
        <v>44980</v>
      </c>
      <c r="C351" s="1" t="n">
        <v>45987</v>
      </c>
      <c r="D351" t="inlineStr">
        <is>
          <t>SÖDERMANLANDS LÄN</t>
        </is>
      </c>
      <c r="E351" t="inlineStr">
        <is>
          <t>KATRINEHOLM</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15399-2022</t>
        </is>
      </c>
      <c r="B352" s="1" t="n">
        <v>44659</v>
      </c>
      <c r="C352" s="1" t="n">
        <v>45987</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11872-2023</t>
        </is>
      </c>
      <c r="B353" s="1" t="n">
        <v>44995</v>
      </c>
      <c r="C353" s="1" t="n">
        <v>45987</v>
      </c>
      <c r="D353" t="inlineStr">
        <is>
          <t>SÖDERMANLANDS LÄN</t>
        </is>
      </c>
      <c r="E353" t="inlineStr">
        <is>
          <t>KATRINEHOLM</t>
        </is>
      </c>
      <c r="F353" t="inlineStr">
        <is>
          <t>Kommuner</t>
        </is>
      </c>
      <c r="G353" t="n">
        <v>0.9</v>
      </c>
      <c r="H353" t="n">
        <v>0</v>
      </c>
      <c r="I353" t="n">
        <v>0</v>
      </c>
      <c r="J353" t="n">
        <v>0</v>
      </c>
      <c r="K353" t="n">
        <v>0</v>
      </c>
      <c r="L353" t="n">
        <v>0</v>
      </c>
      <c r="M353" t="n">
        <v>0</v>
      </c>
      <c r="N353" t="n">
        <v>0</v>
      </c>
      <c r="O353" t="n">
        <v>0</v>
      </c>
      <c r="P353" t="n">
        <v>0</v>
      </c>
      <c r="Q353" t="n">
        <v>0</v>
      </c>
      <c r="R353" s="2" t="inlineStr"/>
    </row>
    <row r="354" ht="15" customHeight="1">
      <c r="A354" t="inlineStr">
        <is>
          <t>A 42474-2025</t>
        </is>
      </c>
      <c r="B354" s="1" t="n">
        <v>45905.46659722222</v>
      </c>
      <c r="C354" s="1" t="n">
        <v>45987</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51367-2025</t>
        </is>
      </c>
      <c r="B355" s="1" t="n">
        <v>45950.44700231482</v>
      </c>
      <c r="C355" s="1" t="n">
        <v>45987</v>
      </c>
      <c r="D355" t="inlineStr">
        <is>
          <t>SÖDERMANLANDS LÄN</t>
        </is>
      </c>
      <c r="E355" t="inlineStr">
        <is>
          <t>KATRINEHOLM</t>
        </is>
      </c>
      <c r="G355" t="n">
        <v>2.7</v>
      </c>
      <c r="H355" t="n">
        <v>0</v>
      </c>
      <c r="I355" t="n">
        <v>0</v>
      </c>
      <c r="J355" t="n">
        <v>0</v>
      </c>
      <c r="K355" t="n">
        <v>0</v>
      </c>
      <c r="L355" t="n">
        <v>0</v>
      </c>
      <c r="M355" t="n">
        <v>0</v>
      </c>
      <c r="N355" t="n">
        <v>0</v>
      </c>
      <c r="O355" t="n">
        <v>0</v>
      </c>
      <c r="P355" t="n">
        <v>0</v>
      </c>
      <c r="Q355" t="n">
        <v>0</v>
      </c>
      <c r="R355" s="2" t="inlineStr"/>
    </row>
    <row r="356" ht="15" customHeight="1">
      <c r="A356" t="inlineStr">
        <is>
          <t>A 49092-2024</t>
        </is>
      </c>
      <c r="B356" s="1" t="n">
        <v>45594.63619212963</v>
      </c>
      <c r="C356" s="1" t="n">
        <v>45987</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49095-2024</t>
        </is>
      </c>
      <c r="B357" s="1" t="n">
        <v>45594.63828703704</v>
      </c>
      <c r="C357" s="1" t="n">
        <v>45987</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45987</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65077-2020</t>
        </is>
      </c>
      <c r="B359" s="1" t="n">
        <v>44172</v>
      </c>
      <c r="C359" s="1" t="n">
        <v>45987</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36-2023</t>
        </is>
      </c>
      <c r="B360" s="1" t="n">
        <v>44928.36578703704</v>
      </c>
      <c r="C360" s="1" t="n">
        <v>45987</v>
      </c>
      <c r="D360" t="inlineStr">
        <is>
          <t>SÖDERMANLANDS LÄN</t>
        </is>
      </c>
      <c r="E360" t="inlineStr">
        <is>
          <t>KATRINEHOLM</t>
        </is>
      </c>
      <c r="G360" t="n">
        <v>3.7</v>
      </c>
      <c r="H360" t="n">
        <v>0</v>
      </c>
      <c r="I360" t="n">
        <v>0</v>
      </c>
      <c r="J360" t="n">
        <v>0</v>
      </c>
      <c r="K360" t="n">
        <v>0</v>
      </c>
      <c r="L360" t="n">
        <v>0</v>
      </c>
      <c r="M360" t="n">
        <v>0</v>
      </c>
      <c r="N360" t="n">
        <v>0</v>
      </c>
      <c r="O360" t="n">
        <v>0</v>
      </c>
      <c r="P360" t="n">
        <v>0</v>
      </c>
      <c r="Q360" t="n">
        <v>0</v>
      </c>
      <c r="R360" s="2" t="inlineStr"/>
    </row>
    <row r="361" ht="15" customHeight="1">
      <c r="A361" t="inlineStr">
        <is>
          <t>A 31376-2025</t>
        </is>
      </c>
      <c r="B361" s="1" t="n">
        <v>45833</v>
      </c>
      <c r="C361" s="1" t="n">
        <v>45987</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10341-2022</t>
        </is>
      </c>
      <c r="B362" s="1" t="n">
        <v>44623</v>
      </c>
      <c r="C362" s="1" t="n">
        <v>45987</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51780-2025</t>
        </is>
      </c>
      <c r="B363" s="1" t="n">
        <v>45951.65725694445</v>
      </c>
      <c r="C363" s="1" t="n">
        <v>45987</v>
      </c>
      <c r="D363" t="inlineStr">
        <is>
          <t>SÖDERMANLANDS LÄN</t>
        </is>
      </c>
      <c r="E363" t="inlineStr">
        <is>
          <t>KATRINEHOLM</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45987</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45987</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31392-2025</t>
        </is>
      </c>
      <c r="B366" s="1" t="n">
        <v>45833</v>
      </c>
      <c r="C366" s="1" t="n">
        <v>45987</v>
      </c>
      <c r="D366" t="inlineStr">
        <is>
          <t>SÖDERMANLANDS LÄN</t>
        </is>
      </c>
      <c r="E366" t="inlineStr">
        <is>
          <t>KATRINEHOLM</t>
        </is>
      </c>
      <c r="G366" t="n">
        <v>5</v>
      </c>
      <c r="H366" t="n">
        <v>0</v>
      </c>
      <c r="I366" t="n">
        <v>0</v>
      </c>
      <c r="J366" t="n">
        <v>0</v>
      </c>
      <c r="K366" t="n">
        <v>0</v>
      </c>
      <c r="L366" t="n">
        <v>0</v>
      </c>
      <c r="M366" t="n">
        <v>0</v>
      </c>
      <c r="N366" t="n">
        <v>0</v>
      </c>
      <c r="O366" t="n">
        <v>0</v>
      </c>
      <c r="P366" t="n">
        <v>0</v>
      </c>
      <c r="Q366" t="n">
        <v>0</v>
      </c>
      <c r="R366" s="2" t="inlineStr"/>
    </row>
    <row r="367" ht="15" customHeight="1">
      <c r="A367" t="inlineStr">
        <is>
          <t>A 51774-2025</t>
        </is>
      </c>
      <c r="B367" s="1" t="n">
        <v>45951.65359953704</v>
      </c>
      <c r="C367" s="1" t="n">
        <v>45987</v>
      </c>
      <c r="D367" t="inlineStr">
        <is>
          <t>SÖDERMANLANDS LÄN</t>
        </is>
      </c>
      <c r="E367" t="inlineStr">
        <is>
          <t>KATRINEHOLM</t>
        </is>
      </c>
      <c r="F367" t="inlineStr">
        <is>
          <t>Allmännings- och besparingsskogar</t>
        </is>
      </c>
      <c r="G367" t="n">
        <v>3.7</v>
      </c>
      <c r="H367" t="n">
        <v>0</v>
      </c>
      <c r="I367" t="n">
        <v>0</v>
      </c>
      <c r="J367" t="n">
        <v>0</v>
      </c>
      <c r="K367" t="n">
        <v>0</v>
      </c>
      <c r="L367" t="n">
        <v>0</v>
      </c>
      <c r="M367" t="n">
        <v>0</v>
      </c>
      <c r="N367" t="n">
        <v>0</v>
      </c>
      <c r="O367" t="n">
        <v>0</v>
      </c>
      <c r="P367" t="n">
        <v>0</v>
      </c>
      <c r="Q367" t="n">
        <v>0</v>
      </c>
      <c r="R367" s="2" t="inlineStr"/>
    </row>
    <row r="368" ht="15" customHeight="1">
      <c r="A368" t="inlineStr">
        <is>
          <t>A 51783-2025</t>
        </is>
      </c>
      <c r="B368" s="1" t="n">
        <v>45951.67546296296</v>
      </c>
      <c r="C368" s="1" t="n">
        <v>45987</v>
      </c>
      <c r="D368" t="inlineStr">
        <is>
          <t>SÖDERMANLANDS LÄN</t>
        </is>
      </c>
      <c r="E368" t="inlineStr">
        <is>
          <t>KATRINEHOLM</t>
        </is>
      </c>
      <c r="F368" t="inlineStr">
        <is>
          <t>Allmännings- och besparingsskogar</t>
        </is>
      </c>
      <c r="G368" t="n">
        <v>5.8</v>
      </c>
      <c r="H368" t="n">
        <v>0</v>
      </c>
      <c r="I368" t="n">
        <v>0</v>
      </c>
      <c r="J368" t="n">
        <v>0</v>
      </c>
      <c r="K368" t="n">
        <v>0</v>
      </c>
      <c r="L368" t="n">
        <v>0</v>
      </c>
      <c r="M368" t="n">
        <v>0</v>
      </c>
      <c r="N368" t="n">
        <v>0</v>
      </c>
      <c r="O368" t="n">
        <v>0</v>
      </c>
      <c r="P368" t="n">
        <v>0</v>
      </c>
      <c r="Q368" t="n">
        <v>0</v>
      </c>
      <c r="R368" s="2" t="inlineStr"/>
    </row>
    <row r="369" ht="15" customHeight="1">
      <c r="A369" t="inlineStr">
        <is>
          <t>A 6807-2023</t>
        </is>
      </c>
      <c r="B369" s="1" t="n">
        <v>44964</v>
      </c>
      <c r="C369" s="1" t="n">
        <v>45987</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9668-2023</t>
        </is>
      </c>
      <c r="B370" s="1" t="n">
        <v>44984.41238425926</v>
      </c>
      <c r="C370" s="1" t="n">
        <v>45987</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31386-2025</t>
        </is>
      </c>
      <c r="B371" s="1" t="n">
        <v>45833.45259259259</v>
      </c>
      <c r="C371" s="1" t="n">
        <v>45987</v>
      </c>
      <c r="D371" t="inlineStr">
        <is>
          <t>SÖDERMANLANDS LÄN</t>
        </is>
      </c>
      <c r="E371" t="inlineStr">
        <is>
          <t>KATRINEHOLM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9044-2022</t>
        </is>
      </c>
      <c r="B372" s="1" t="n">
        <v>44602</v>
      </c>
      <c r="C372" s="1" t="n">
        <v>45987</v>
      </c>
      <c r="D372" t="inlineStr">
        <is>
          <t>SÖDERMANLANDS LÄN</t>
        </is>
      </c>
      <c r="E372" t="inlineStr">
        <is>
          <t>KATRINEHOLM</t>
        </is>
      </c>
      <c r="G372" t="n">
        <v>5.8</v>
      </c>
      <c r="H372" t="n">
        <v>0</v>
      </c>
      <c r="I372" t="n">
        <v>0</v>
      </c>
      <c r="J372" t="n">
        <v>0</v>
      </c>
      <c r="K372" t="n">
        <v>0</v>
      </c>
      <c r="L372" t="n">
        <v>0</v>
      </c>
      <c r="M372" t="n">
        <v>0</v>
      </c>
      <c r="N372" t="n">
        <v>0</v>
      </c>
      <c r="O372" t="n">
        <v>0</v>
      </c>
      <c r="P372" t="n">
        <v>0</v>
      </c>
      <c r="Q372" t="n">
        <v>0</v>
      </c>
      <c r="R372" s="2" t="inlineStr"/>
    </row>
    <row r="373" ht="15" customHeight="1">
      <c r="A373" t="inlineStr">
        <is>
          <t>A 31990-2025</t>
        </is>
      </c>
      <c r="B373" s="1" t="n">
        <v>45835.36697916667</v>
      </c>
      <c r="C373" s="1" t="n">
        <v>45987</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48091-2024</t>
        </is>
      </c>
      <c r="B374" s="1" t="n">
        <v>45590</v>
      </c>
      <c r="C374" s="1" t="n">
        <v>45987</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24097-2022</t>
        </is>
      </c>
      <c r="B375" s="1" t="n">
        <v>44725.39371527778</v>
      </c>
      <c r="C375" s="1" t="n">
        <v>45987</v>
      </c>
      <c r="D375" t="inlineStr">
        <is>
          <t>SÖDERMANLANDS LÄN</t>
        </is>
      </c>
      <c r="E375" t="inlineStr">
        <is>
          <t>KATRINEHOLM</t>
        </is>
      </c>
      <c r="G375" t="n">
        <v>6.5</v>
      </c>
      <c r="H375" t="n">
        <v>0</v>
      </c>
      <c r="I375" t="n">
        <v>0</v>
      </c>
      <c r="J375" t="n">
        <v>0</v>
      </c>
      <c r="K375" t="n">
        <v>0</v>
      </c>
      <c r="L375" t="n">
        <v>0</v>
      </c>
      <c r="M375" t="n">
        <v>0</v>
      </c>
      <c r="N375" t="n">
        <v>0</v>
      </c>
      <c r="O375" t="n">
        <v>0</v>
      </c>
      <c r="P375" t="n">
        <v>0</v>
      </c>
      <c r="Q375" t="n">
        <v>0</v>
      </c>
      <c r="R375" s="2" t="inlineStr"/>
    </row>
    <row r="376" ht="15" customHeight="1">
      <c r="A376" t="inlineStr">
        <is>
          <t>A 52242-2025</t>
        </is>
      </c>
      <c r="B376" s="1" t="n">
        <v>45953.46886574074</v>
      </c>
      <c r="C376" s="1" t="n">
        <v>45987</v>
      </c>
      <c r="D376" t="inlineStr">
        <is>
          <t>SÖDERMANLANDS LÄN</t>
        </is>
      </c>
      <c r="E376" t="inlineStr">
        <is>
          <t>KATRINEHOLM</t>
        </is>
      </c>
      <c r="G376" t="n">
        <v>5.3</v>
      </c>
      <c r="H376" t="n">
        <v>0</v>
      </c>
      <c r="I376" t="n">
        <v>0</v>
      </c>
      <c r="J376" t="n">
        <v>0</v>
      </c>
      <c r="K376" t="n">
        <v>0</v>
      </c>
      <c r="L376" t="n">
        <v>0</v>
      </c>
      <c r="M376" t="n">
        <v>0</v>
      </c>
      <c r="N376" t="n">
        <v>0</v>
      </c>
      <c r="O376" t="n">
        <v>0</v>
      </c>
      <c r="P376" t="n">
        <v>0</v>
      </c>
      <c r="Q376" t="n">
        <v>0</v>
      </c>
      <c r="R376" s="2" t="inlineStr"/>
    </row>
    <row r="377" ht="15" customHeight="1">
      <c r="A377" t="inlineStr">
        <is>
          <t>A 33077-2025</t>
        </is>
      </c>
      <c r="B377" s="1" t="n">
        <v>45840.45864583334</v>
      </c>
      <c r="C377" s="1" t="n">
        <v>45987</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46670-2021</t>
        </is>
      </c>
      <c r="B378" s="1" t="n">
        <v>44445</v>
      </c>
      <c r="C378" s="1" t="n">
        <v>45987</v>
      </c>
      <c r="D378" t="inlineStr">
        <is>
          <t>SÖDERMANLANDS LÄN</t>
        </is>
      </c>
      <c r="E378" t="inlineStr">
        <is>
          <t>KATRINEHOLM</t>
        </is>
      </c>
      <c r="G378" t="n">
        <v>4.4</v>
      </c>
      <c r="H378" t="n">
        <v>0</v>
      </c>
      <c r="I378" t="n">
        <v>0</v>
      </c>
      <c r="J378" t="n">
        <v>0</v>
      </c>
      <c r="K378" t="n">
        <v>0</v>
      </c>
      <c r="L378" t="n">
        <v>0</v>
      </c>
      <c r="M378" t="n">
        <v>0</v>
      </c>
      <c r="N378" t="n">
        <v>0</v>
      </c>
      <c r="O378" t="n">
        <v>0</v>
      </c>
      <c r="P378" t="n">
        <v>0</v>
      </c>
      <c r="Q378" t="n">
        <v>0</v>
      </c>
      <c r="R378" s="2" t="inlineStr"/>
    </row>
    <row r="379" ht="15" customHeight="1">
      <c r="A379" t="inlineStr">
        <is>
          <t>A 52239-2025</t>
        </is>
      </c>
      <c r="B379" s="1" t="n">
        <v>45953.46193287037</v>
      </c>
      <c r="C379" s="1" t="n">
        <v>45987</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62954-2023</t>
        </is>
      </c>
      <c r="B380" s="1" t="n">
        <v>45272.55362268518</v>
      </c>
      <c r="C380" s="1" t="n">
        <v>45987</v>
      </c>
      <c r="D380" t="inlineStr">
        <is>
          <t>SÖDERMANLANDS LÄN</t>
        </is>
      </c>
      <c r="E380" t="inlineStr">
        <is>
          <t>KATRINEHOLM</t>
        </is>
      </c>
      <c r="G380" t="n">
        <v>2.3</v>
      </c>
      <c r="H380" t="n">
        <v>0</v>
      </c>
      <c r="I380" t="n">
        <v>0</v>
      </c>
      <c r="J380" t="n">
        <v>0</v>
      </c>
      <c r="K380" t="n">
        <v>0</v>
      </c>
      <c r="L380" t="n">
        <v>0</v>
      </c>
      <c r="M380" t="n">
        <v>0</v>
      </c>
      <c r="N380" t="n">
        <v>0</v>
      </c>
      <c r="O380" t="n">
        <v>0</v>
      </c>
      <c r="P380" t="n">
        <v>0</v>
      </c>
      <c r="Q380" t="n">
        <v>0</v>
      </c>
      <c r="R380" s="2" t="inlineStr"/>
    </row>
    <row r="381" ht="15" customHeight="1">
      <c r="A381" t="inlineStr">
        <is>
          <t>A 33096-2025</t>
        </is>
      </c>
      <c r="B381" s="1" t="n">
        <v>45840.47563657408</v>
      </c>
      <c r="C381" s="1" t="n">
        <v>45987</v>
      </c>
      <c r="D381" t="inlineStr">
        <is>
          <t>SÖDERMANLANDS LÄN</t>
        </is>
      </c>
      <c r="E381" t="inlineStr">
        <is>
          <t>KATRINEHOLM</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33101-2025</t>
        </is>
      </c>
      <c r="B382" s="1" t="n">
        <v>45840.47953703703</v>
      </c>
      <c r="C382" s="1" t="n">
        <v>45987</v>
      </c>
      <c r="D382" t="inlineStr">
        <is>
          <t>SÖDERMANLANDS LÄN</t>
        </is>
      </c>
      <c r="E382" t="inlineStr">
        <is>
          <t>KATRINEHOLM</t>
        </is>
      </c>
      <c r="G382" t="n">
        <v>4.4</v>
      </c>
      <c r="H382" t="n">
        <v>0</v>
      </c>
      <c r="I382" t="n">
        <v>0</v>
      </c>
      <c r="J382" t="n">
        <v>0</v>
      </c>
      <c r="K382" t="n">
        <v>0</v>
      </c>
      <c r="L382" t="n">
        <v>0</v>
      </c>
      <c r="M382" t="n">
        <v>0</v>
      </c>
      <c r="N382" t="n">
        <v>0</v>
      </c>
      <c r="O382" t="n">
        <v>0</v>
      </c>
      <c r="P382" t="n">
        <v>0</v>
      </c>
      <c r="Q382" t="n">
        <v>0</v>
      </c>
      <c r="R382" s="2" t="inlineStr"/>
    </row>
    <row r="383" ht="15" customHeight="1">
      <c r="A383" t="inlineStr">
        <is>
          <t>A 33090-2025</t>
        </is>
      </c>
      <c r="B383" s="1" t="n">
        <v>45840.46840277778</v>
      </c>
      <c r="C383" s="1" t="n">
        <v>45987</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33084-2025</t>
        </is>
      </c>
      <c r="B384" s="1" t="n">
        <v>45840.46559027778</v>
      </c>
      <c r="C384" s="1" t="n">
        <v>45987</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33129-2025</t>
        </is>
      </c>
      <c r="B385" s="1" t="n">
        <v>45840.50141203704</v>
      </c>
      <c r="C385" s="1" t="n">
        <v>45987</v>
      </c>
      <c r="D385" t="inlineStr">
        <is>
          <t>SÖDERMANLANDS LÄN</t>
        </is>
      </c>
      <c r="E385" t="inlineStr">
        <is>
          <t>KATRINEHOLM</t>
        </is>
      </c>
      <c r="G385" t="n">
        <v>2.6</v>
      </c>
      <c r="H385" t="n">
        <v>0</v>
      </c>
      <c r="I385" t="n">
        <v>0</v>
      </c>
      <c r="J385" t="n">
        <v>0</v>
      </c>
      <c r="K385" t="n">
        <v>0</v>
      </c>
      <c r="L385" t="n">
        <v>0</v>
      </c>
      <c r="M385" t="n">
        <v>0</v>
      </c>
      <c r="N385" t="n">
        <v>0</v>
      </c>
      <c r="O385" t="n">
        <v>0</v>
      </c>
      <c r="P385" t="n">
        <v>0</v>
      </c>
      <c r="Q385" t="n">
        <v>0</v>
      </c>
      <c r="R385" s="2" t="inlineStr"/>
    </row>
    <row r="386" ht="15" customHeight="1">
      <c r="A386" t="inlineStr">
        <is>
          <t>A 58651-2023</t>
        </is>
      </c>
      <c r="B386" s="1" t="n">
        <v>45247</v>
      </c>
      <c r="C386" s="1" t="n">
        <v>45987</v>
      </c>
      <c r="D386" t="inlineStr">
        <is>
          <t>SÖDERMANLANDS LÄN</t>
        </is>
      </c>
      <c r="E386" t="inlineStr">
        <is>
          <t>KATRINEHOLM</t>
        </is>
      </c>
      <c r="G386" t="n">
        <v>2.7</v>
      </c>
      <c r="H386" t="n">
        <v>0</v>
      </c>
      <c r="I386" t="n">
        <v>0</v>
      </c>
      <c r="J386" t="n">
        <v>0</v>
      </c>
      <c r="K386" t="n">
        <v>0</v>
      </c>
      <c r="L386" t="n">
        <v>0</v>
      </c>
      <c r="M386" t="n">
        <v>0</v>
      </c>
      <c r="N386" t="n">
        <v>0</v>
      </c>
      <c r="O386" t="n">
        <v>0</v>
      </c>
      <c r="P386" t="n">
        <v>0</v>
      </c>
      <c r="Q386" t="n">
        <v>0</v>
      </c>
      <c r="R386" s="2" t="inlineStr"/>
    </row>
    <row r="387" ht="15" customHeight="1">
      <c r="A387" t="inlineStr">
        <is>
          <t>A 12238-2021</t>
        </is>
      </c>
      <c r="B387" s="1" t="n">
        <v>44266</v>
      </c>
      <c r="C387" s="1" t="n">
        <v>45987</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33577-2025</t>
        </is>
      </c>
      <c r="B388" s="1" t="n">
        <v>45841.59056712963</v>
      </c>
      <c r="C388" s="1" t="n">
        <v>45987</v>
      </c>
      <c r="D388" t="inlineStr">
        <is>
          <t>SÖDERMANLANDS LÄN</t>
        </is>
      </c>
      <c r="E388" t="inlineStr">
        <is>
          <t>KATRINEHOLM</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52744-2025</t>
        </is>
      </c>
      <c r="B389" s="1" t="n">
        <v>45957.38387731482</v>
      </c>
      <c r="C389" s="1" t="n">
        <v>45987</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33469-2025</t>
        </is>
      </c>
      <c r="B390" s="1" t="n">
        <v>45841.48686342593</v>
      </c>
      <c r="C390" s="1" t="n">
        <v>45987</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33812-2025</t>
        </is>
      </c>
      <c r="B391" s="1" t="n">
        <v>45842</v>
      </c>
      <c r="C391" s="1" t="n">
        <v>45987</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33815-2025</t>
        </is>
      </c>
      <c r="B392" s="1" t="n">
        <v>45842</v>
      </c>
      <c r="C392" s="1" t="n">
        <v>45987</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6446-2022</t>
        </is>
      </c>
      <c r="B393" s="1" t="n">
        <v>44600</v>
      </c>
      <c r="C393" s="1" t="n">
        <v>45987</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6762-2025</t>
        </is>
      </c>
      <c r="B394" s="1" t="n">
        <v>45700</v>
      </c>
      <c r="C394" s="1" t="n">
        <v>45987</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20213-2025</t>
        </is>
      </c>
      <c r="B395" s="1" t="n">
        <v>45772.63453703704</v>
      </c>
      <c r="C395" s="1" t="n">
        <v>45987</v>
      </c>
      <c r="D395" t="inlineStr">
        <is>
          <t>SÖDERMANLANDS LÄN</t>
        </is>
      </c>
      <c r="E395" t="inlineStr">
        <is>
          <t>KATRINEHOLM</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44071-2025</t>
        </is>
      </c>
      <c r="B396" s="1" t="n">
        <v>45915</v>
      </c>
      <c r="C396" s="1" t="n">
        <v>45987</v>
      </c>
      <c r="D396" t="inlineStr">
        <is>
          <t>SÖDERMANLANDS LÄN</t>
        </is>
      </c>
      <c r="E396" t="inlineStr">
        <is>
          <t>KATRINEHOLM</t>
        </is>
      </c>
      <c r="G396" t="n">
        <v>3.1</v>
      </c>
      <c r="H396" t="n">
        <v>0</v>
      </c>
      <c r="I396" t="n">
        <v>0</v>
      </c>
      <c r="J396" t="n">
        <v>0</v>
      </c>
      <c r="K396" t="n">
        <v>0</v>
      </c>
      <c r="L396" t="n">
        <v>0</v>
      </c>
      <c r="M396" t="n">
        <v>0</v>
      </c>
      <c r="N396" t="n">
        <v>0</v>
      </c>
      <c r="O396" t="n">
        <v>0</v>
      </c>
      <c r="P396" t="n">
        <v>0</v>
      </c>
      <c r="Q396" t="n">
        <v>0</v>
      </c>
      <c r="R396" s="2" t="inlineStr"/>
    </row>
    <row r="397" ht="15" customHeight="1">
      <c r="A397" t="inlineStr">
        <is>
          <t>A 51923-2023</t>
        </is>
      </c>
      <c r="B397" s="1" t="n">
        <v>45223</v>
      </c>
      <c r="C397" s="1" t="n">
        <v>45987</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43975-2025</t>
        </is>
      </c>
      <c r="B398" s="1" t="n">
        <v>45915.41148148148</v>
      </c>
      <c r="C398" s="1" t="n">
        <v>45987</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53338-2025</t>
        </is>
      </c>
      <c r="B399" s="1" t="n">
        <v>45959.40447916667</v>
      </c>
      <c r="C399" s="1" t="n">
        <v>45987</v>
      </c>
      <c r="D399" t="inlineStr">
        <is>
          <t>SÖDERMANLANDS LÄN</t>
        </is>
      </c>
      <c r="E399" t="inlineStr">
        <is>
          <t>KATRINEHOLM</t>
        </is>
      </c>
      <c r="G399" t="n">
        <v>2.9</v>
      </c>
      <c r="H399" t="n">
        <v>0</v>
      </c>
      <c r="I399" t="n">
        <v>0</v>
      </c>
      <c r="J399" t="n">
        <v>0</v>
      </c>
      <c r="K399" t="n">
        <v>0</v>
      </c>
      <c r="L399" t="n">
        <v>0</v>
      </c>
      <c r="M399" t="n">
        <v>0</v>
      </c>
      <c r="N399" t="n">
        <v>0</v>
      </c>
      <c r="O399" t="n">
        <v>0</v>
      </c>
      <c r="P399" t="n">
        <v>0</v>
      </c>
      <c r="Q399" t="n">
        <v>0</v>
      </c>
      <c r="R399" s="2" t="inlineStr"/>
    </row>
    <row r="400" ht="15" customHeight="1">
      <c r="A400" t="inlineStr">
        <is>
          <t>A 18386-2025</t>
        </is>
      </c>
      <c r="B400" s="1" t="n">
        <v>45762</v>
      </c>
      <c r="C400" s="1" t="n">
        <v>45987</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3125-2024</t>
        </is>
      </c>
      <c r="B401" s="1" t="n">
        <v>45316</v>
      </c>
      <c r="C401" s="1" t="n">
        <v>45987</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35183-2022</t>
        </is>
      </c>
      <c r="B402" s="1" t="n">
        <v>44797</v>
      </c>
      <c r="C402" s="1" t="n">
        <v>45987</v>
      </c>
      <c r="D402" t="inlineStr">
        <is>
          <t>SÖDERMANLANDS LÄN</t>
        </is>
      </c>
      <c r="E402" t="inlineStr">
        <is>
          <t>KATRINEHOLM</t>
        </is>
      </c>
      <c r="G402" t="n">
        <v>4.6</v>
      </c>
      <c r="H402" t="n">
        <v>0</v>
      </c>
      <c r="I402" t="n">
        <v>0</v>
      </c>
      <c r="J402" t="n">
        <v>0</v>
      </c>
      <c r="K402" t="n">
        <v>0</v>
      </c>
      <c r="L402" t="n">
        <v>0</v>
      </c>
      <c r="M402" t="n">
        <v>0</v>
      </c>
      <c r="N402" t="n">
        <v>0</v>
      </c>
      <c r="O402" t="n">
        <v>0</v>
      </c>
      <c r="P402" t="n">
        <v>0</v>
      </c>
      <c r="Q402" t="n">
        <v>0</v>
      </c>
      <c r="R402" s="2" t="inlineStr"/>
    </row>
    <row r="403" ht="15" customHeight="1">
      <c r="A403" t="inlineStr">
        <is>
          <t>A 42519-2024</t>
        </is>
      </c>
      <c r="B403" s="1" t="n">
        <v>45565</v>
      </c>
      <c r="C403" s="1" t="n">
        <v>45987</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35156-2025</t>
        </is>
      </c>
      <c r="B404" s="1" t="n">
        <v>45852</v>
      </c>
      <c r="C404" s="1" t="n">
        <v>45987</v>
      </c>
      <c r="D404" t="inlineStr">
        <is>
          <t>SÖDERMANLANDS LÄN</t>
        </is>
      </c>
      <c r="E404" t="inlineStr">
        <is>
          <t>KATRINEHOLM</t>
        </is>
      </c>
      <c r="G404" t="n">
        <v>5.7</v>
      </c>
      <c r="H404" t="n">
        <v>0</v>
      </c>
      <c r="I404" t="n">
        <v>0</v>
      </c>
      <c r="J404" t="n">
        <v>0</v>
      </c>
      <c r="K404" t="n">
        <v>0</v>
      </c>
      <c r="L404" t="n">
        <v>0</v>
      </c>
      <c r="M404" t="n">
        <v>0</v>
      </c>
      <c r="N404" t="n">
        <v>0</v>
      </c>
      <c r="O404" t="n">
        <v>0</v>
      </c>
      <c r="P404" t="n">
        <v>0</v>
      </c>
      <c r="Q404" t="n">
        <v>0</v>
      </c>
      <c r="R404" s="2" t="inlineStr"/>
    </row>
    <row r="405" ht="15" customHeight="1">
      <c r="A405" t="inlineStr">
        <is>
          <t>A 35152-2025</t>
        </is>
      </c>
      <c r="B405" s="1" t="n">
        <v>45852</v>
      </c>
      <c r="C405" s="1" t="n">
        <v>45987</v>
      </c>
      <c r="D405" t="inlineStr">
        <is>
          <t>SÖDERMANLANDS LÄN</t>
        </is>
      </c>
      <c r="E405" t="inlineStr">
        <is>
          <t>KATRINEHOLM</t>
        </is>
      </c>
      <c r="G405" t="n">
        <v>4.6</v>
      </c>
      <c r="H405" t="n">
        <v>0</v>
      </c>
      <c r="I405" t="n">
        <v>0</v>
      </c>
      <c r="J405" t="n">
        <v>0</v>
      </c>
      <c r="K405" t="n">
        <v>0</v>
      </c>
      <c r="L405" t="n">
        <v>0</v>
      </c>
      <c r="M405" t="n">
        <v>0</v>
      </c>
      <c r="N405" t="n">
        <v>0</v>
      </c>
      <c r="O405" t="n">
        <v>0</v>
      </c>
      <c r="P405" t="n">
        <v>0</v>
      </c>
      <c r="Q405" t="n">
        <v>0</v>
      </c>
      <c r="R405" s="2" t="inlineStr"/>
    </row>
    <row r="406" ht="15" customHeight="1">
      <c r="A406" t="inlineStr">
        <is>
          <t>A 35165-2025</t>
        </is>
      </c>
      <c r="B406" s="1" t="n">
        <v>45852.72320601852</v>
      </c>
      <c r="C406" s="1" t="n">
        <v>45987</v>
      </c>
      <c r="D406" t="inlineStr">
        <is>
          <t>SÖDERMANLANDS LÄN</t>
        </is>
      </c>
      <c r="E406" t="inlineStr">
        <is>
          <t>KATRINEHOLM</t>
        </is>
      </c>
      <c r="F406" t="inlineStr">
        <is>
          <t>Övriga Aktiebolag</t>
        </is>
      </c>
      <c r="G406" t="n">
        <v>20.7</v>
      </c>
      <c r="H406" t="n">
        <v>0</v>
      </c>
      <c r="I406" t="n">
        <v>0</v>
      </c>
      <c r="J406" t="n">
        <v>0</v>
      </c>
      <c r="K406" t="n">
        <v>0</v>
      </c>
      <c r="L406" t="n">
        <v>0</v>
      </c>
      <c r="M406" t="n">
        <v>0</v>
      </c>
      <c r="N406" t="n">
        <v>0</v>
      </c>
      <c r="O406" t="n">
        <v>0</v>
      </c>
      <c r="P406" t="n">
        <v>0</v>
      </c>
      <c r="Q406" t="n">
        <v>0</v>
      </c>
      <c r="R406" s="2" t="inlineStr"/>
    </row>
    <row r="407" ht="15" customHeight="1">
      <c r="A407" t="inlineStr">
        <is>
          <t>A 20826-2022</t>
        </is>
      </c>
      <c r="B407" s="1" t="n">
        <v>44701.44754629629</v>
      </c>
      <c r="C407" s="1" t="n">
        <v>45987</v>
      </c>
      <c r="D407" t="inlineStr">
        <is>
          <t>SÖDERMANLANDS LÄN</t>
        </is>
      </c>
      <c r="E407" t="inlineStr">
        <is>
          <t>KATRINEHOLM</t>
        </is>
      </c>
      <c r="G407" t="n">
        <v>6.8</v>
      </c>
      <c r="H407" t="n">
        <v>0</v>
      </c>
      <c r="I407" t="n">
        <v>0</v>
      </c>
      <c r="J407" t="n">
        <v>0</v>
      </c>
      <c r="K407" t="n">
        <v>0</v>
      </c>
      <c r="L407" t="n">
        <v>0</v>
      </c>
      <c r="M407" t="n">
        <v>0</v>
      </c>
      <c r="N407" t="n">
        <v>0</v>
      </c>
      <c r="O407" t="n">
        <v>0</v>
      </c>
      <c r="P407" t="n">
        <v>0</v>
      </c>
      <c r="Q407" t="n">
        <v>0</v>
      </c>
      <c r="R407" s="2" t="inlineStr"/>
    </row>
    <row r="408" ht="15" customHeight="1">
      <c r="A408" t="inlineStr">
        <is>
          <t>A 20846-2022</t>
        </is>
      </c>
      <c r="B408" s="1" t="n">
        <v>44701.4744212963</v>
      </c>
      <c r="C408" s="1" t="n">
        <v>45987</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35149-2025</t>
        </is>
      </c>
      <c r="B409" s="1" t="n">
        <v>45852</v>
      </c>
      <c r="C409" s="1" t="n">
        <v>45987</v>
      </c>
      <c r="D409" t="inlineStr">
        <is>
          <t>SÖDERMANLANDS LÄN</t>
        </is>
      </c>
      <c r="E409" t="inlineStr">
        <is>
          <t>KATRINEHOLM</t>
        </is>
      </c>
      <c r="G409" t="n">
        <v>2.3</v>
      </c>
      <c r="H409" t="n">
        <v>0</v>
      </c>
      <c r="I409" t="n">
        <v>0</v>
      </c>
      <c r="J409" t="n">
        <v>0</v>
      </c>
      <c r="K409" t="n">
        <v>0</v>
      </c>
      <c r="L409" t="n">
        <v>0</v>
      </c>
      <c r="M409" t="n">
        <v>0</v>
      </c>
      <c r="N409" t="n">
        <v>0</v>
      </c>
      <c r="O409" t="n">
        <v>0</v>
      </c>
      <c r="P409" t="n">
        <v>0</v>
      </c>
      <c r="Q409" t="n">
        <v>0</v>
      </c>
      <c r="R409" s="2" t="inlineStr"/>
    </row>
    <row r="410" ht="15" customHeight="1">
      <c r="A410" t="inlineStr">
        <is>
          <t>A 35161-2025</t>
        </is>
      </c>
      <c r="B410" s="1" t="n">
        <v>45852.70716435185</v>
      </c>
      <c r="C410" s="1" t="n">
        <v>45987</v>
      </c>
      <c r="D410" t="inlineStr">
        <is>
          <t>SÖDERMANLANDS LÄN</t>
        </is>
      </c>
      <c r="E410" t="inlineStr">
        <is>
          <t>KATRINEHOLM</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35084-2025</t>
        </is>
      </c>
      <c r="B411" s="1" t="n">
        <v>45852</v>
      </c>
      <c r="C411" s="1" t="n">
        <v>45987</v>
      </c>
      <c r="D411" t="inlineStr">
        <is>
          <t>SÖDERMANLANDS LÄN</t>
        </is>
      </c>
      <c r="E411" t="inlineStr">
        <is>
          <t>KATRINEHOLM</t>
        </is>
      </c>
      <c r="G411" t="n">
        <v>3.2</v>
      </c>
      <c r="H411" t="n">
        <v>0</v>
      </c>
      <c r="I411" t="n">
        <v>0</v>
      </c>
      <c r="J411" t="n">
        <v>0</v>
      </c>
      <c r="K411" t="n">
        <v>0</v>
      </c>
      <c r="L411" t="n">
        <v>0</v>
      </c>
      <c r="M411" t="n">
        <v>0</v>
      </c>
      <c r="N411" t="n">
        <v>0</v>
      </c>
      <c r="O411" t="n">
        <v>0</v>
      </c>
      <c r="P411" t="n">
        <v>0</v>
      </c>
      <c r="Q411" t="n">
        <v>0</v>
      </c>
      <c r="R411" s="2" t="inlineStr"/>
    </row>
    <row r="412" ht="15" customHeight="1">
      <c r="A412" t="inlineStr">
        <is>
          <t>A 35145-2025</t>
        </is>
      </c>
      <c r="B412" s="1" t="n">
        <v>45852</v>
      </c>
      <c r="C412" s="1" t="n">
        <v>45987</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34439-2025</t>
        </is>
      </c>
      <c r="B413" s="1" t="n">
        <v>45845</v>
      </c>
      <c r="C413" s="1" t="n">
        <v>45987</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35157-2025</t>
        </is>
      </c>
      <c r="B414" s="1" t="n">
        <v>45852</v>
      </c>
      <c r="C414" s="1" t="n">
        <v>45987</v>
      </c>
      <c r="D414" t="inlineStr">
        <is>
          <t>SÖDERMANLANDS LÄN</t>
        </is>
      </c>
      <c r="E414" t="inlineStr">
        <is>
          <t>KATRINEHOLM</t>
        </is>
      </c>
      <c r="G414" t="n">
        <v>3.7</v>
      </c>
      <c r="H414" t="n">
        <v>0</v>
      </c>
      <c r="I414" t="n">
        <v>0</v>
      </c>
      <c r="J414" t="n">
        <v>0</v>
      </c>
      <c r="K414" t="n">
        <v>0</v>
      </c>
      <c r="L414" t="n">
        <v>0</v>
      </c>
      <c r="M414" t="n">
        <v>0</v>
      </c>
      <c r="N414" t="n">
        <v>0</v>
      </c>
      <c r="O414" t="n">
        <v>0</v>
      </c>
      <c r="P414" t="n">
        <v>0</v>
      </c>
      <c r="Q414" t="n">
        <v>0</v>
      </c>
      <c r="R414" s="2" t="inlineStr"/>
    </row>
    <row r="415" ht="15" customHeight="1">
      <c r="A415" t="inlineStr">
        <is>
          <t>A 35158-2025</t>
        </is>
      </c>
      <c r="B415" s="1" t="n">
        <v>45852</v>
      </c>
      <c r="C415" s="1" t="n">
        <v>45987</v>
      </c>
      <c r="D415" t="inlineStr">
        <is>
          <t>SÖDERMANLANDS LÄN</t>
        </is>
      </c>
      <c r="E415" t="inlineStr">
        <is>
          <t>KATRINEHOLM</t>
        </is>
      </c>
      <c r="G415" t="n">
        <v>1.2</v>
      </c>
      <c r="H415" t="n">
        <v>0</v>
      </c>
      <c r="I415" t="n">
        <v>0</v>
      </c>
      <c r="J415" t="n">
        <v>0</v>
      </c>
      <c r="K415" t="n">
        <v>0</v>
      </c>
      <c r="L415" t="n">
        <v>0</v>
      </c>
      <c r="M415" t="n">
        <v>0</v>
      </c>
      <c r="N415" t="n">
        <v>0</v>
      </c>
      <c r="O415" t="n">
        <v>0</v>
      </c>
      <c r="P415" t="n">
        <v>0</v>
      </c>
      <c r="Q415" t="n">
        <v>0</v>
      </c>
      <c r="R415" s="2" t="inlineStr"/>
    </row>
    <row r="416" ht="15" customHeight="1">
      <c r="A416" t="inlineStr">
        <is>
          <t>A 49078-2024</t>
        </is>
      </c>
      <c r="B416" s="1" t="n">
        <v>45594.62556712963</v>
      </c>
      <c r="C416" s="1" t="n">
        <v>45987</v>
      </c>
      <c r="D416" t="inlineStr">
        <is>
          <t>SÖDERMANLANDS LÄN</t>
        </is>
      </c>
      <c r="E416" t="inlineStr">
        <is>
          <t>KATRINEHOLM</t>
        </is>
      </c>
      <c r="F416" t="inlineStr">
        <is>
          <t>Övriga Aktiebolag</t>
        </is>
      </c>
      <c r="G416" t="n">
        <v>0.4</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45987</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51440-2024</t>
        </is>
      </c>
      <c r="B418" s="1" t="n">
        <v>45604</v>
      </c>
      <c r="C418" s="1" t="n">
        <v>45987</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47879-2023</t>
        </is>
      </c>
      <c r="B419" s="1" t="n">
        <v>45204</v>
      </c>
      <c r="C419" s="1" t="n">
        <v>45987</v>
      </c>
      <c r="D419" t="inlineStr">
        <is>
          <t>SÖDERMANLANDS LÄN</t>
        </is>
      </c>
      <c r="E419" t="inlineStr">
        <is>
          <t>KATRINEHOLM</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12975-2022</t>
        </is>
      </c>
      <c r="B420" s="1" t="n">
        <v>44643</v>
      </c>
      <c r="C420" s="1" t="n">
        <v>45987</v>
      </c>
      <c r="D420" t="inlineStr">
        <is>
          <t>SÖDERMANLANDS LÄN</t>
        </is>
      </c>
      <c r="E420" t="inlineStr">
        <is>
          <t>KATRINEHOLM</t>
        </is>
      </c>
      <c r="G420" t="n">
        <v>2.4</v>
      </c>
      <c r="H420" t="n">
        <v>0</v>
      </c>
      <c r="I420" t="n">
        <v>0</v>
      </c>
      <c r="J420" t="n">
        <v>0</v>
      </c>
      <c r="K420" t="n">
        <v>0</v>
      </c>
      <c r="L420" t="n">
        <v>0</v>
      </c>
      <c r="M420" t="n">
        <v>0</v>
      </c>
      <c r="N420" t="n">
        <v>0</v>
      </c>
      <c r="O420" t="n">
        <v>0</v>
      </c>
      <c r="P420" t="n">
        <v>0</v>
      </c>
      <c r="Q420" t="n">
        <v>0</v>
      </c>
      <c r="R420" s="2" t="inlineStr"/>
    </row>
    <row r="421" ht="15" customHeight="1">
      <c r="A421" t="inlineStr">
        <is>
          <t>A 51260-2021</t>
        </is>
      </c>
      <c r="B421" s="1" t="n">
        <v>44461</v>
      </c>
      <c r="C421" s="1" t="n">
        <v>45987</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53843-2023</t>
        </is>
      </c>
      <c r="B422" s="1" t="n">
        <v>45230</v>
      </c>
      <c r="C422" s="1" t="n">
        <v>45987</v>
      </c>
      <c r="D422" t="inlineStr">
        <is>
          <t>SÖDERMANLANDS LÄN</t>
        </is>
      </c>
      <c r="E422" t="inlineStr">
        <is>
          <t>KATRINEHOLM</t>
        </is>
      </c>
      <c r="G422" t="n">
        <v>14.2</v>
      </c>
      <c r="H422" t="n">
        <v>0</v>
      </c>
      <c r="I422" t="n">
        <v>0</v>
      </c>
      <c r="J422" t="n">
        <v>0</v>
      </c>
      <c r="K422" t="n">
        <v>0</v>
      </c>
      <c r="L422" t="n">
        <v>0</v>
      </c>
      <c r="M422" t="n">
        <v>0</v>
      </c>
      <c r="N422" t="n">
        <v>0</v>
      </c>
      <c r="O422" t="n">
        <v>0</v>
      </c>
      <c r="P422" t="n">
        <v>0</v>
      </c>
      <c r="Q422" t="n">
        <v>0</v>
      </c>
      <c r="R422" s="2" t="inlineStr"/>
    </row>
    <row r="423" ht="15" customHeight="1">
      <c r="A423" t="inlineStr">
        <is>
          <t>A 34176-2025</t>
        </is>
      </c>
      <c r="B423" s="1" t="n">
        <v>45845</v>
      </c>
      <c r="C423" s="1" t="n">
        <v>45987</v>
      </c>
      <c r="D423" t="inlineStr">
        <is>
          <t>SÖDERMANLANDS LÄN</t>
        </is>
      </c>
      <c r="E423" t="inlineStr">
        <is>
          <t>KATRINEHOLM</t>
        </is>
      </c>
      <c r="G423" t="n">
        <v>0.5</v>
      </c>
      <c r="H423" t="n">
        <v>0</v>
      </c>
      <c r="I423" t="n">
        <v>0</v>
      </c>
      <c r="J423" t="n">
        <v>0</v>
      </c>
      <c r="K423" t="n">
        <v>0</v>
      </c>
      <c r="L423" t="n">
        <v>0</v>
      </c>
      <c r="M423" t="n">
        <v>0</v>
      </c>
      <c r="N423" t="n">
        <v>0</v>
      </c>
      <c r="O423" t="n">
        <v>0</v>
      </c>
      <c r="P423" t="n">
        <v>0</v>
      </c>
      <c r="Q423" t="n">
        <v>0</v>
      </c>
      <c r="R423" s="2" t="inlineStr"/>
    </row>
    <row r="424" ht="15" customHeight="1">
      <c r="A424" t="inlineStr">
        <is>
          <t>A 48763-2024</t>
        </is>
      </c>
      <c r="B424" s="1" t="n">
        <v>45593.60288194445</v>
      </c>
      <c r="C424" s="1" t="n">
        <v>45987</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14478-2023</t>
        </is>
      </c>
      <c r="B425" s="1" t="n">
        <v>45012.66421296296</v>
      </c>
      <c r="C425" s="1" t="n">
        <v>45987</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20921-2023</t>
        </is>
      </c>
      <c r="B426" s="1" t="n">
        <v>45061</v>
      </c>
      <c r="C426" s="1" t="n">
        <v>45987</v>
      </c>
      <c r="D426" t="inlineStr">
        <is>
          <t>SÖDERMANLANDS LÄN</t>
        </is>
      </c>
      <c r="E426" t="inlineStr">
        <is>
          <t>KATRINEHOLM</t>
        </is>
      </c>
      <c r="G426" t="n">
        <v>8.9</v>
      </c>
      <c r="H426" t="n">
        <v>0</v>
      </c>
      <c r="I426" t="n">
        <v>0</v>
      </c>
      <c r="J426" t="n">
        <v>0</v>
      </c>
      <c r="K426" t="n">
        <v>0</v>
      </c>
      <c r="L426" t="n">
        <v>0</v>
      </c>
      <c r="M426" t="n">
        <v>0</v>
      </c>
      <c r="N426" t="n">
        <v>0</v>
      </c>
      <c r="O426" t="n">
        <v>0</v>
      </c>
      <c r="P426" t="n">
        <v>0</v>
      </c>
      <c r="Q426" t="n">
        <v>0</v>
      </c>
      <c r="R426" s="2" t="inlineStr"/>
    </row>
    <row r="427" ht="15" customHeight="1">
      <c r="A427" t="inlineStr">
        <is>
          <t>A 12930-2023</t>
        </is>
      </c>
      <c r="B427" s="1" t="n">
        <v>45001</v>
      </c>
      <c r="C427" s="1" t="n">
        <v>45987</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12938-2023</t>
        </is>
      </c>
      <c r="B428" s="1" t="n">
        <v>45001</v>
      </c>
      <c r="C428" s="1" t="n">
        <v>45987</v>
      </c>
      <c r="D428" t="inlineStr">
        <is>
          <t>SÖDERMANLANDS LÄN</t>
        </is>
      </c>
      <c r="E428" t="inlineStr">
        <is>
          <t>KATRINEHOLM</t>
        </is>
      </c>
      <c r="G428" t="n">
        <v>0.4</v>
      </c>
      <c r="H428" t="n">
        <v>0</v>
      </c>
      <c r="I428" t="n">
        <v>0</v>
      </c>
      <c r="J428" t="n">
        <v>0</v>
      </c>
      <c r="K428" t="n">
        <v>0</v>
      </c>
      <c r="L428" t="n">
        <v>0</v>
      </c>
      <c r="M428" t="n">
        <v>0</v>
      </c>
      <c r="N428" t="n">
        <v>0</v>
      </c>
      <c r="O428" t="n">
        <v>0</v>
      </c>
      <c r="P428" t="n">
        <v>0</v>
      </c>
      <c r="Q428" t="n">
        <v>0</v>
      </c>
      <c r="R428" s="2" t="inlineStr"/>
    </row>
    <row r="429" ht="15" customHeight="1">
      <c r="A429" t="inlineStr">
        <is>
          <t>A 12559-2023</t>
        </is>
      </c>
      <c r="B429" s="1" t="n">
        <v>45000.36373842593</v>
      </c>
      <c r="C429" s="1" t="n">
        <v>45987</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7704-2023</t>
        </is>
      </c>
      <c r="B430" s="1" t="n">
        <v>44968</v>
      </c>
      <c r="C430" s="1" t="n">
        <v>45987</v>
      </c>
      <c r="D430" t="inlineStr">
        <is>
          <t>SÖDERMANLANDS LÄN</t>
        </is>
      </c>
      <c r="E430" t="inlineStr">
        <is>
          <t>KATRINEHOLM</t>
        </is>
      </c>
      <c r="G430" t="n">
        <v>7.3</v>
      </c>
      <c r="H430" t="n">
        <v>0</v>
      </c>
      <c r="I430" t="n">
        <v>0</v>
      </c>
      <c r="J430" t="n">
        <v>0</v>
      </c>
      <c r="K430" t="n">
        <v>0</v>
      </c>
      <c r="L430" t="n">
        <v>0</v>
      </c>
      <c r="M430" t="n">
        <v>0</v>
      </c>
      <c r="N430" t="n">
        <v>0</v>
      </c>
      <c r="O430" t="n">
        <v>0</v>
      </c>
      <c r="P430" t="n">
        <v>0</v>
      </c>
      <c r="Q430" t="n">
        <v>0</v>
      </c>
      <c r="R430" s="2" t="inlineStr"/>
    </row>
    <row r="431" ht="15" customHeight="1">
      <c r="A431" t="inlineStr">
        <is>
          <t>A 49122-2024</t>
        </is>
      </c>
      <c r="B431" s="1" t="n">
        <v>45594</v>
      </c>
      <c r="C431" s="1" t="n">
        <v>45987</v>
      </c>
      <c r="D431" t="inlineStr">
        <is>
          <t>SÖDERMANLANDS LÄN</t>
        </is>
      </c>
      <c r="E431" t="inlineStr">
        <is>
          <t>KATRINEHOLM</t>
        </is>
      </c>
      <c r="G431" t="n">
        <v>19.4</v>
      </c>
      <c r="H431" t="n">
        <v>0</v>
      </c>
      <c r="I431" t="n">
        <v>0</v>
      </c>
      <c r="J431" t="n">
        <v>0</v>
      </c>
      <c r="K431" t="n">
        <v>0</v>
      </c>
      <c r="L431" t="n">
        <v>0</v>
      </c>
      <c r="M431" t="n">
        <v>0</v>
      </c>
      <c r="N431" t="n">
        <v>0</v>
      </c>
      <c r="O431" t="n">
        <v>0</v>
      </c>
      <c r="P431" t="n">
        <v>0</v>
      </c>
      <c r="Q431" t="n">
        <v>0</v>
      </c>
      <c r="R431" s="2" t="inlineStr"/>
    </row>
    <row r="432" ht="15" customHeight="1">
      <c r="A432" t="inlineStr">
        <is>
          <t>A 12937-2023</t>
        </is>
      </c>
      <c r="B432" s="1" t="n">
        <v>45001</v>
      </c>
      <c r="C432" s="1" t="n">
        <v>45987</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11127-2023</t>
        </is>
      </c>
      <c r="B433" s="1" t="n">
        <v>44987</v>
      </c>
      <c r="C433" s="1" t="n">
        <v>45987</v>
      </c>
      <c r="D433" t="inlineStr">
        <is>
          <t>SÖDERMANLANDS LÄN</t>
        </is>
      </c>
      <c r="E433" t="inlineStr">
        <is>
          <t>KATRINEHOLM</t>
        </is>
      </c>
      <c r="G433" t="n">
        <v>4.3</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45987</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27345-2023</t>
        </is>
      </c>
      <c r="B435" s="1" t="n">
        <v>45096</v>
      </c>
      <c r="C435" s="1" t="n">
        <v>45987</v>
      </c>
      <c r="D435" t="inlineStr">
        <is>
          <t>SÖDERMANLANDS LÄN</t>
        </is>
      </c>
      <c r="E435" t="inlineStr">
        <is>
          <t>KATRINEHOLM</t>
        </is>
      </c>
      <c r="G435" t="n">
        <v>1.4</v>
      </c>
      <c r="H435" t="n">
        <v>0</v>
      </c>
      <c r="I435" t="n">
        <v>0</v>
      </c>
      <c r="J435" t="n">
        <v>0</v>
      </c>
      <c r="K435" t="n">
        <v>0</v>
      </c>
      <c r="L435" t="n">
        <v>0</v>
      </c>
      <c r="M435" t="n">
        <v>0</v>
      </c>
      <c r="N435" t="n">
        <v>0</v>
      </c>
      <c r="O435" t="n">
        <v>0</v>
      </c>
      <c r="P435" t="n">
        <v>0</v>
      </c>
      <c r="Q435" t="n">
        <v>0</v>
      </c>
      <c r="R435" s="2" t="inlineStr"/>
    </row>
    <row r="436" ht="15" customHeight="1">
      <c r="A436" t="inlineStr">
        <is>
          <t>A 1151-2025</t>
        </is>
      </c>
      <c r="B436" s="1" t="n">
        <v>45666</v>
      </c>
      <c r="C436" s="1" t="n">
        <v>45987</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6808-2023</t>
        </is>
      </c>
      <c r="B437" s="1" t="n">
        <v>44964</v>
      </c>
      <c r="C437" s="1" t="n">
        <v>45987</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54395-2025</t>
        </is>
      </c>
      <c r="B438" s="1" t="n">
        <v>45964</v>
      </c>
      <c r="C438" s="1" t="n">
        <v>45987</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36590-2025</t>
        </is>
      </c>
      <c r="B439" s="1" t="n">
        <v>45870</v>
      </c>
      <c r="C439" s="1" t="n">
        <v>45987</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61394-2024</t>
        </is>
      </c>
      <c r="B440" s="1" t="n">
        <v>45646.42061342593</v>
      </c>
      <c r="C440" s="1" t="n">
        <v>45987</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26684-2025</t>
        </is>
      </c>
      <c r="B441" s="1" t="n">
        <v>45810</v>
      </c>
      <c r="C441" s="1" t="n">
        <v>45987</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54359-2025</t>
        </is>
      </c>
      <c r="B442" s="1" t="n">
        <v>45964</v>
      </c>
      <c r="C442" s="1" t="n">
        <v>45987</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55029-2025</t>
        </is>
      </c>
      <c r="B443" s="1" t="n">
        <v>45967.63784722222</v>
      </c>
      <c r="C443" s="1" t="n">
        <v>45987</v>
      </c>
      <c r="D443" t="inlineStr">
        <is>
          <t>SÖDERMANLANDS LÄN</t>
        </is>
      </c>
      <c r="E443" t="inlineStr">
        <is>
          <t>KATRINEHOLM</t>
        </is>
      </c>
      <c r="G443" t="n">
        <v>10.1</v>
      </c>
      <c r="H443" t="n">
        <v>0</v>
      </c>
      <c r="I443" t="n">
        <v>0</v>
      </c>
      <c r="J443" t="n">
        <v>0</v>
      </c>
      <c r="K443" t="n">
        <v>0</v>
      </c>
      <c r="L443" t="n">
        <v>0</v>
      </c>
      <c r="M443" t="n">
        <v>0</v>
      </c>
      <c r="N443" t="n">
        <v>0</v>
      </c>
      <c r="O443" t="n">
        <v>0</v>
      </c>
      <c r="P443" t="n">
        <v>0</v>
      </c>
      <c r="Q443" t="n">
        <v>0</v>
      </c>
      <c r="R443" s="2" t="inlineStr"/>
    </row>
    <row r="444" ht="15" customHeight="1">
      <c r="A444" t="inlineStr">
        <is>
          <t>A 12227-2025</t>
        </is>
      </c>
      <c r="B444" s="1" t="n">
        <v>45729.56836805555</v>
      </c>
      <c r="C444" s="1" t="n">
        <v>45987</v>
      </c>
      <c r="D444" t="inlineStr">
        <is>
          <t>SÖDERMANLANDS LÄN</t>
        </is>
      </c>
      <c r="E444" t="inlineStr">
        <is>
          <t>KATRINEHOLM</t>
        </is>
      </c>
      <c r="G444" t="n">
        <v>7</v>
      </c>
      <c r="H444" t="n">
        <v>0</v>
      </c>
      <c r="I444" t="n">
        <v>0</v>
      </c>
      <c r="J444" t="n">
        <v>0</v>
      </c>
      <c r="K444" t="n">
        <v>0</v>
      </c>
      <c r="L444" t="n">
        <v>0</v>
      </c>
      <c r="M444" t="n">
        <v>0</v>
      </c>
      <c r="N444" t="n">
        <v>0</v>
      </c>
      <c r="O444" t="n">
        <v>0</v>
      </c>
      <c r="P444" t="n">
        <v>0</v>
      </c>
      <c r="Q444" t="n">
        <v>0</v>
      </c>
      <c r="R444" s="2" t="inlineStr"/>
    </row>
    <row r="445" ht="15" customHeight="1">
      <c r="A445" t="inlineStr">
        <is>
          <t>A 46288-2025</t>
        </is>
      </c>
      <c r="B445" s="1" t="n">
        <v>45925.38545138889</v>
      </c>
      <c r="C445" s="1" t="n">
        <v>45987</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54873-2025</t>
        </is>
      </c>
      <c r="B446" s="1" t="n">
        <v>45967.30731481482</v>
      </c>
      <c r="C446" s="1" t="n">
        <v>45987</v>
      </c>
      <c r="D446" t="inlineStr">
        <is>
          <t>SÖDERMANLANDS LÄN</t>
        </is>
      </c>
      <c r="E446" t="inlineStr">
        <is>
          <t>KATRINEHOLM</t>
        </is>
      </c>
      <c r="G446" t="n">
        <v>2.7</v>
      </c>
      <c r="H446" t="n">
        <v>0</v>
      </c>
      <c r="I446" t="n">
        <v>0</v>
      </c>
      <c r="J446" t="n">
        <v>0</v>
      </c>
      <c r="K446" t="n">
        <v>0</v>
      </c>
      <c r="L446" t="n">
        <v>0</v>
      </c>
      <c r="M446" t="n">
        <v>0</v>
      </c>
      <c r="N446" t="n">
        <v>0</v>
      </c>
      <c r="O446" t="n">
        <v>0</v>
      </c>
      <c r="P446" t="n">
        <v>0</v>
      </c>
      <c r="Q446" t="n">
        <v>0</v>
      </c>
      <c r="R446" s="2" t="inlineStr"/>
    </row>
    <row r="447" ht="15" customHeight="1">
      <c r="A447" t="inlineStr">
        <is>
          <t>A 18339-2023</t>
        </is>
      </c>
      <c r="B447" s="1" t="n">
        <v>45041</v>
      </c>
      <c r="C447" s="1" t="n">
        <v>45987</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58522-2024</t>
        </is>
      </c>
      <c r="B448" s="1" t="n">
        <v>45635.43770833333</v>
      </c>
      <c r="C448" s="1" t="n">
        <v>45987</v>
      </c>
      <c r="D448" t="inlineStr">
        <is>
          <t>SÖDERMANLANDS LÄN</t>
        </is>
      </c>
      <c r="E448" t="inlineStr">
        <is>
          <t>KATRINEHOLM</t>
        </is>
      </c>
      <c r="G448" t="n">
        <v>2</v>
      </c>
      <c r="H448" t="n">
        <v>0</v>
      </c>
      <c r="I448" t="n">
        <v>0</v>
      </c>
      <c r="J448" t="n">
        <v>0</v>
      </c>
      <c r="K448" t="n">
        <v>0</v>
      </c>
      <c r="L448" t="n">
        <v>0</v>
      </c>
      <c r="M448" t="n">
        <v>0</v>
      </c>
      <c r="N448" t="n">
        <v>0</v>
      </c>
      <c r="O448" t="n">
        <v>0</v>
      </c>
      <c r="P448" t="n">
        <v>0</v>
      </c>
      <c r="Q448" t="n">
        <v>0</v>
      </c>
      <c r="R448" s="2" t="inlineStr"/>
    </row>
    <row r="449" ht="15" customHeight="1">
      <c r="A449" t="inlineStr">
        <is>
          <t>A 50021-2023</t>
        </is>
      </c>
      <c r="B449" s="1" t="n">
        <v>45215</v>
      </c>
      <c r="C449" s="1" t="n">
        <v>45987</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37043-2025</t>
        </is>
      </c>
      <c r="B450" s="1" t="n">
        <v>45875.3396412037</v>
      </c>
      <c r="C450" s="1" t="n">
        <v>45987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46524-2025</t>
        </is>
      </c>
      <c r="B451" s="1" t="n">
        <v>45926</v>
      </c>
      <c r="C451" s="1" t="n">
        <v>45987</v>
      </c>
      <c r="D451" t="inlineStr">
        <is>
          <t>SÖDERMANLANDS LÄN</t>
        </is>
      </c>
      <c r="E451" t="inlineStr">
        <is>
          <t>KATRINEHOLM</t>
        </is>
      </c>
      <c r="G451" t="n">
        <v>5.7</v>
      </c>
      <c r="H451" t="n">
        <v>0</v>
      </c>
      <c r="I451" t="n">
        <v>0</v>
      </c>
      <c r="J451" t="n">
        <v>0</v>
      </c>
      <c r="K451" t="n">
        <v>0</v>
      </c>
      <c r="L451" t="n">
        <v>0</v>
      </c>
      <c r="M451" t="n">
        <v>0</v>
      </c>
      <c r="N451" t="n">
        <v>0</v>
      </c>
      <c r="O451" t="n">
        <v>0</v>
      </c>
      <c r="P451" t="n">
        <v>0</v>
      </c>
      <c r="Q451" t="n">
        <v>0</v>
      </c>
      <c r="R451" s="2" t="inlineStr"/>
    </row>
    <row r="452" ht="15" customHeight="1">
      <c r="A452" t="inlineStr">
        <is>
          <t>A 47889-2023</t>
        </is>
      </c>
      <c r="B452" s="1" t="n">
        <v>45204</v>
      </c>
      <c r="C452" s="1" t="n">
        <v>45987</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54999-2025</t>
        </is>
      </c>
      <c r="B453" s="1" t="n">
        <v>45967.59880787037</v>
      </c>
      <c r="C453" s="1" t="n">
        <v>45987</v>
      </c>
      <c r="D453" t="inlineStr">
        <is>
          <t>SÖDERMANLANDS LÄN</t>
        </is>
      </c>
      <c r="E453" t="inlineStr">
        <is>
          <t>KATRINEHOLM</t>
        </is>
      </c>
      <c r="G453" t="n">
        <v>8.5</v>
      </c>
      <c r="H453" t="n">
        <v>0</v>
      </c>
      <c r="I453" t="n">
        <v>0</v>
      </c>
      <c r="J453" t="n">
        <v>0</v>
      </c>
      <c r="K453" t="n">
        <v>0</v>
      </c>
      <c r="L453" t="n">
        <v>0</v>
      </c>
      <c r="M453" t="n">
        <v>0</v>
      </c>
      <c r="N453" t="n">
        <v>0</v>
      </c>
      <c r="O453" t="n">
        <v>0</v>
      </c>
      <c r="P453" t="n">
        <v>0</v>
      </c>
      <c r="Q453" t="n">
        <v>0</v>
      </c>
      <c r="R453" s="2" t="inlineStr"/>
    </row>
    <row r="454" ht="15" customHeight="1">
      <c r="A454" t="inlineStr">
        <is>
          <t>A 34732-2022</t>
        </is>
      </c>
      <c r="B454" s="1" t="n">
        <v>44795</v>
      </c>
      <c r="C454" s="1" t="n">
        <v>45987</v>
      </c>
      <c r="D454" t="inlineStr">
        <is>
          <t>SÖDERMANLANDS LÄN</t>
        </is>
      </c>
      <c r="E454" t="inlineStr">
        <is>
          <t>KATRINEHOLM</t>
        </is>
      </c>
      <c r="G454" t="n">
        <v>3</v>
      </c>
      <c r="H454" t="n">
        <v>0</v>
      </c>
      <c r="I454" t="n">
        <v>0</v>
      </c>
      <c r="J454" t="n">
        <v>0</v>
      </c>
      <c r="K454" t="n">
        <v>0</v>
      </c>
      <c r="L454" t="n">
        <v>0</v>
      </c>
      <c r="M454" t="n">
        <v>0</v>
      </c>
      <c r="N454" t="n">
        <v>0</v>
      </c>
      <c r="O454" t="n">
        <v>0</v>
      </c>
      <c r="P454" t="n">
        <v>0</v>
      </c>
      <c r="Q454" t="n">
        <v>0</v>
      </c>
      <c r="R454" s="2" t="inlineStr"/>
    </row>
    <row r="455" ht="15" customHeight="1">
      <c r="A455" t="inlineStr">
        <is>
          <t>A 55831-2025</t>
        </is>
      </c>
      <c r="B455" s="1" t="n">
        <v>45972.81034722222</v>
      </c>
      <c r="C455" s="1" t="n">
        <v>45987</v>
      </c>
      <c r="D455" t="inlineStr">
        <is>
          <t>SÖDERMANLANDS LÄN</t>
        </is>
      </c>
      <c r="E455" t="inlineStr">
        <is>
          <t>KATRINEHOLM</t>
        </is>
      </c>
      <c r="G455" t="n">
        <v>6.2</v>
      </c>
      <c r="H455" t="n">
        <v>0</v>
      </c>
      <c r="I455" t="n">
        <v>0</v>
      </c>
      <c r="J455" t="n">
        <v>0</v>
      </c>
      <c r="K455" t="n">
        <v>0</v>
      </c>
      <c r="L455" t="n">
        <v>0</v>
      </c>
      <c r="M455" t="n">
        <v>0</v>
      </c>
      <c r="N455" t="n">
        <v>0</v>
      </c>
      <c r="O455" t="n">
        <v>0</v>
      </c>
      <c r="P455" t="n">
        <v>0</v>
      </c>
      <c r="Q455" t="n">
        <v>0</v>
      </c>
      <c r="R455" s="2" t="inlineStr"/>
    </row>
    <row r="456" ht="15" customHeight="1">
      <c r="A456" t="inlineStr">
        <is>
          <t>A 55832-2025</t>
        </is>
      </c>
      <c r="B456" s="1" t="n">
        <v>45972.81768518518</v>
      </c>
      <c r="C456" s="1" t="n">
        <v>45987</v>
      </c>
      <c r="D456" t="inlineStr">
        <is>
          <t>SÖDERMANLANDS LÄN</t>
        </is>
      </c>
      <c r="E456" t="inlineStr">
        <is>
          <t>KATRINEHOLM</t>
        </is>
      </c>
      <c r="G456" t="n">
        <v>2</v>
      </c>
      <c r="H456" t="n">
        <v>0</v>
      </c>
      <c r="I456" t="n">
        <v>0</v>
      </c>
      <c r="J456" t="n">
        <v>0</v>
      </c>
      <c r="K456" t="n">
        <v>0</v>
      </c>
      <c r="L456" t="n">
        <v>0</v>
      </c>
      <c r="M456" t="n">
        <v>0</v>
      </c>
      <c r="N456" t="n">
        <v>0</v>
      </c>
      <c r="O456" t="n">
        <v>0</v>
      </c>
      <c r="P456" t="n">
        <v>0</v>
      </c>
      <c r="Q456" t="n">
        <v>0</v>
      </c>
      <c r="R456" s="2" t="inlineStr"/>
    </row>
    <row r="457" ht="15" customHeight="1">
      <c r="A457" t="inlineStr">
        <is>
          <t>A 11543-2025</t>
        </is>
      </c>
      <c r="B457" s="1" t="n">
        <v>45727.34248842593</v>
      </c>
      <c r="C457" s="1" t="n">
        <v>45987</v>
      </c>
      <c r="D457" t="inlineStr">
        <is>
          <t>SÖDERMANLANDS LÄN</t>
        </is>
      </c>
      <c r="E457" t="inlineStr">
        <is>
          <t>KATRINEHOLM</t>
        </is>
      </c>
      <c r="G457" t="n">
        <v>3.6</v>
      </c>
      <c r="H457" t="n">
        <v>0</v>
      </c>
      <c r="I457" t="n">
        <v>0</v>
      </c>
      <c r="J457" t="n">
        <v>0</v>
      </c>
      <c r="K457" t="n">
        <v>0</v>
      </c>
      <c r="L457" t="n">
        <v>0</v>
      </c>
      <c r="M457" t="n">
        <v>0</v>
      </c>
      <c r="N457" t="n">
        <v>0</v>
      </c>
      <c r="O457" t="n">
        <v>0</v>
      </c>
      <c r="P457" t="n">
        <v>0</v>
      </c>
      <c r="Q457" t="n">
        <v>0</v>
      </c>
      <c r="R457" s="2" t="inlineStr"/>
    </row>
    <row r="458" ht="15" customHeight="1">
      <c r="A458" t="inlineStr">
        <is>
          <t>A 32166-2022</t>
        </is>
      </c>
      <c r="B458" s="1" t="n">
        <v>44781</v>
      </c>
      <c r="C458" s="1" t="n">
        <v>45987</v>
      </c>
      <c r="D458" t="inlineStr">
        <is>
          <t>SÖDERMANLANDS LÄN</t>
        </is>
      </c>
      <c r="E458" t="inlineStr">
        <is>
          <t>KATRINEHOLM</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32169-2022</t>
        </is>
      </c>
      <c r="B459" s="1" t="n">
        <v>44781</v>
      </c>
      <c r="C459" s="1" t="n">
        <v>45987</v>
      </c>
      <c r="D459" t="inlineStr">
        <is>
          <t>SÖDERMANLANDS LÄN</t>
        </is>
      </c>
      <c r="E459" t="inlineStr">
        <is>
          <t>KATRINEHOLM</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35864-2023</t>
        </is>
      </c>
      <c r="B460" s="1" t="n">
        <v>45147</v>
      </c>
      <c r="C460" s="1" t="n">
        <v>45987</v>
      </c>
      <c r="D460" t="inlineStr">
        <is>
          <t>SÖDERMANLANDS LÄN</t>
        </is>
      </c>
      <c r="E460" t="inlineStr">
        <is>
          <t>KATRINEHOLM</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37827-2025</t>
        </is>
      </c>
      <c r="B461" s="1" t="n">
        <v>45881.40907407407</v>
      </c>
      <c r="C461" s="1" t="n">
        <v>45987</v>
      </c>
      <c r="D461" t="inlineStr">
        <is>
          <t>SÖDERMANLANDS LÄN</t>
        </is>
      </c>
      <c r="E461" t="inlineStr">
        <is>
          <t>KATRINEHOLM</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44637-2023</t>
        </is>
      </c>
      <c r="B462" s="1" t="n">
        <v>45189</v>
      </c>
      <c r="C462" s="1" t="n">
        <v>45987</v>
      </c>
      <c r="D462" t="inlineStr">
        <is>
          <t>SÖDERMANLANDS LÄN</t>
        </is>
      </c>
      <c r="E462" t="inlineStr">
        <is>
          <t>KATRINEHOLM</t>
        </is>
      </c>
      <c r="G462" t="n">
        <v>5.1</v>
      </c>
      <c r="H462" t="n">
        <v>0</v>
      </c>
      <c r="I462" t="n">
        <v>0</v>
      </c>
      <c r="J462" t="n">
        <v>0</v>
      </c>
      <c r="K462" t="n">
        <v>0</v>
      </c>
      <c r="L462" t="n">
        <v>0</v>
      </c>
      <c r="M462" t="n">
        <v>0</v>
      </c>
      <c r="N462" t="n">
        <v>0</v>
      </c>
      <c r="O462" t="n">
        <v>0</v>
      </c>
      <c r="P462" t="n">
        <v>0</v>
      </c>
      <c r="Q462" t="n">
        <v>0</v>
      </c>
      <c r="R462" s="2" t="inlineStr"/>
    </row>
    <row r="463" ht="15" customHeight="1">
      <c r="A463" t="inlineStr">
        <is>
          <t>A 55829-2025</t>
        </is>
      </c>
      <c r="B463" s="1" t="n">
        <v>45972.79274305556</v>
      </c>
      <c r="C463" s="1" t="n">
        <v>45987</v>
      </c>
      <c r="D463" t="inlineStr">
        <is>
          <t>SÖDERMANLANDS LÄN</t>
        </is>
      </c>
      <c r="E463" t="inlineStr">
        <is>
          <t>KATRINEHOLM</t>
        </is>
      </c>
      <c r="G463" t="n">
        <v>3.2</v>
      </c>
      <c r="H463" t="n">
        <v>0</v>
      </c>
      <c r="I463" t="n">
        <v>0</v>
      </c>
      <c r="J463" t="n">
        <v>0</v>
      </c>
      <c r="K463" t="n">
        <v>0</v>
      </c>
      <c r="L463" t="n">
        <v>0</v>
      </c>
      <c r="M463" t="n">
        <v>0</v>
      </c>
      <c r="N463" t="n">
        <v>0</v>
      </c>
      <c r="O463" t="n">
        <v>0</v>
      </c>
      <c r="P463" t="n">
        <v>0</v>
      </c>
      <c r="Q463" t="n">
        <v>0</v>
      </c>
      <c r="R463" s="2" t="inlineStr"/>
    </row>
    <row r="464" ht="15" customHeight="1">
      <c r="A464" t="inlineStr">
        <is>
          <t>A 39055-2022</t>
        </is>
      </c>
      <c r="B464" s="1" t="n">
        <v>44817</v>
      </c>
      <c r="C464" s="1" t="n">
        <v>45987</v>
      </c>
      <c r="D464" t="inlineStr">
        <is>
          <t>SÖDERMANLANDS LÄN</t>
        </is>
      </c>
      <c r="E464" t="inlineStr">
        <is>
          <t>KATRINEHOLM</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46257-2021</t>
        </is>
      </c>
      <c r="B465" s="1" t="n">
        <v>44442</v>
      </c>
      <c r="C465" s="1" t="n">
        <v>45987</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52769-2023</t>
        </is>
      </c>
      <c r="B466" s="1" t="n">
        <v>45226</v>
      </c>
      <c r="C466" s="1" t="n">
        <v>45987</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4758-2025</t>
        </is>
      </c>
      <c r="B467" s="1" t="n">
        <v>45688</v>
      </c>
      <c r="C467" s="1" t="n">
        <v>45987</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27852-2023</t>
        </is>
      </c>
      <c r="B468" s="1" t="n">
        <v>45098</v>
      </c>
      <c r="C468" s="1" t="n">
        <v>45987</v>
      </c>
      <c r="D468" t="inlineStr">
        <is>
          <t>SÖDERMANLANDS LÄN</t>
        </is>
      </c>
      <c r="E468" t="inlineStr">
        <is>
          <t>KATRINEHOLM</t>
        </is>
      </c>
      <c r="G468" t="n">
        <v>7.4</v>
      </c>
      <c r="H468" t="n">
        <v>0</v>
      </c>
      <c r="I468" t="n">
        <v>0</v>
      </c>
      <c r="J468" t="n">
        <v>0</v>
      </c>
      <c r="K468" t="n">
        <v>0</v>
      </c>
      <c r="L468" t="n">
        <v>0</v>
      </c>
      <c r="M468" t="n">
        <v>0</v>
      </c>
      <c r="N468" t="n">
        <v>0</v>
      </c>
      <c r="O468" t="n">
        <v>0</v>
      </c>
      <c r="P468" t="n">
        <v>0</v>
      </c>
      <c r="Q468" t="n">
        <v>0</v>
      </c>
      <c r="R468" s="2" t="inlineStr"/>
    </row>
    <row r="469" ht="15" customHeight="1">
      <c r="A469" t="inlineStr">
        <is>
          <t>A 56330-2025</t>
        </is>
      </c>
      <c r="B469" s="1" t="n">
        <v>45974.64094907408</v>
      </c>
      <c r="C469" s="1" t="n">
        <v>45987</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28304-2024</t>
        </is>
      </c>
      <c r="B470" s="1" t="n">
        <v>45477</v>
      </c>
      <c r="C470" s="1" t="n">
        <v>45987</v>
      </c>
      <c r="D470" t="inlineStr">
        <is>
          <t>SÖDERMANLANDS LÄN</t>
        </is>
      </c>
      <c r="E470" t="inlineStr">
        <is>
          <t>KATRINEHOLM</t>
        </is>
      </c>
      <c r="G470" t="n">
        <v>3.8</v>
      </c>
      <c r="H470" t="n">
        <v>0</v>
      </c>
      <c r="I470" t="n">
        <v>0</v>
      </c>
      <c r="J470" t="n">
        <v>0</v>
      </c>
      <c r="K470" t="n">
        <v>0</v>
      </c>
      <c r="L470" t="n">
        <v>0</v>
      </c>
      <c r="M470" t="n">
        <v>0</v>
      </c>
      <c r="N470" t="n">
        <v>0</v>
      </c>
      <c r="O470" t="n">
        <v>0</v>
      </c>
      <c r="P470" t="n">
        <v>0</v>
      </c>
      <c r="Q470" t="n">
        <v>0</v>
      </c>
      <c r="R470" s="2" t="inlineStr"/>
    </row>
    <row r="471" ht="15" customHeight="1">
      <c r="A471" t="inlineStr">
        <is>
          <t>A 61911-2021</t>
        </is>
      </c>
      <c r="B471" s="1" t="n">
        <v>44502.35746527778</v>
      </c>
      <c r="C471" s="1" t="n">
        <v>45987</v>
      </c>
      <c r="D471" t="inlineStr">
        <is>
          <t>SÖDERMANLANDS LÄN</t>
        </is>
      </c>
      <c r="E471" t="inlineStr">
        <is>
          <t>KATRINEHOLM</t>
        </is>
      </c>
      <c r="G471" t="n">
        <v>3.8</v>
      </c>
      <c r="H471" t="n">
        <v>0</v>
      </c>
      <c r="I471" t="n">
        <v>0</v>
      </c>
      <c r="J471" t="n">
        <v>0</v>
      </c>
      <c r="K471" t="n">
        <v>0</v>
      </c>
      <c r="L471" t="n">
        <v>0</v>
      </c>
      <c r="M471" t="n">
        <v>0</v>
      </c>
      <c r="N471" t="n">
        <v>0</v>
      </c>
      <c r="O471" t="n">
        <v>0</v>
      </c>
      <c r="P471" t="n">
        <v>0</v>
      </c>
      <c r="Q471" t="n">
        <v>0</v>
      </c>
      <c r="R471" s="2" t="inlineStr"/>
    </row>
    <row r="472" ht="15" customHeight="1">
      <c r="A472" t="inlineStr">
        <is>
          <t>A 42945-2023</t>
        </is>
      </c>
      <c r="B472" s="1" t="n">
        <v>45182.5793287037</v>
      </c>
      <c r="C472" s="1" t="n">
        <v>45987</v>
      </c>
      <c r="D472" t="inlineStr">
        <is>
          <t>SÖDERMANLANDS LÄN</t>
        </is>
      </c>
      <c r="E472" t="inlineStr">
        <is>
          <t>KATRINEHOLM</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42962-2023</t>
        </is>
      </c>
      <c r="B473" s="1" t="n">
        <v>45182</v>
      </c>
      <c r="C473" s="1" t="n">
        <v>45987</v>
      </c>
      <c r="D473" t="inlineStr">
        <is>
          <t>SÖDERMANLANDS LÄN</t>
        </is>
      </c>
      <c r="E473" t="inlineStr">
        <is>
          <t>KATRINEHOLM</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64657-2020</t>
        </is>
      </c>
      <c r="B474" s="1" t="n">
        <v>44169</v>
      </c>
      <c r="C474" s="1" t="n">
        <v>45987</v>
      </c>
      <c r="D474" t="inlineStr">
        <is>
          <t>SÖDERMANLANDS LÄN</t>
        </is>
      </c>
      <c r="E474" t="inlineStr">
        <is>
          <t>KATRINEHOLM</t>
        </is>
      </c>
      <c r="F474" t="inlineStr">
        <is>
          <t>Kyrkan</t>
        </is>
      </c>
      <c r="G474" t="n">
        <v>7.6</v>
      </c>
      <c r="H474" t="n">
        <v>0</v>
      </c>
      <c r="I474" t="n">
        <v>0</v>
      </c>
      <c r="J474" t="n">
        <v>0</v>
      </c>
      <c r="K474" t="n">
        <v>0</v>
      </c>
      <c r="L474" t="n">
        <v>0</v>
      </c>
      <c r="M474" t="n">
        <v>0</v>
      </c>
      <c r="N474" t="n">
        <v>0</v>
      </c>
      <c r="O474" t="n">
        <v>0</v>
      </c>
      <c r="P474" t="n">
        <v>0</v>
      </c>
      <c r="Q474" t="n">
        <v>0</v>
      </c>
      <c r="R474" s="2" t="inlineStr"/>
    </row>
    <row r="475" ht="15" customHeight="1">
      <c r="A475" t="inlineStr">
        <is>
          <t>A 44915-2022</t>
        </is>
      </c>
      <c r="B475" s="1" t="n">
        <v>44840</v>
      </c>
      <c r="C475" s="1" t="n">
        <v>45987</v>
      </c>
      <c r="D475" t="inlineStr">
        <is>
          <t>SÖDERMANLANDS LÄN</t>
        </is>
      </c>
      <c r="E475" t="inlineStr">
        <is>
          <t>KATRINEHOLM</t>
        </is>
      </c>
      <c r="G475" t="n">
        <v>6.3</v>
      </c>
      <c r="H475" t="n">
        <v>0</v>
      </c>
      <c r="I475" t="n">
        <v>0</v>
      </c>
      <c r="J475" t="n">
        <v>0</v>
      </c>
      <c r="K475" t="n">
        <v>0</v>
      </c>
      <c r="L475" t="n">
        <v>0</v>
      </c>
      <c r="M475" t="n">
        <v>0</v>
      </c>
      <c r="N475" t="n">
        <v>0</v>
      </c>
      <c r="O475" t="n">
        <v>0</v>
      </c>
      <c r="P475" t="n">
        <v>0</v>
      </c>
      <c r="Q475" t="n">
        <v>0</v>
      </c>
      <c r="R475" s="2" t="inlineStr"/>
    </row>
    <row r="476" ht="15" customHeight="1">
      <c r="A476" t="inlineStr">
        <is>
          <t>A 5953-2021</t>
        </is>
      </c>
      <c r="B476" s="1" t="n">
        <v>44231</v>
      </c>
      <c r="C476" s="1" t="n">
        <v>45987</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48097-2023</t>
        </is>
      </c>
      <c r="B477" s="1" t="n">
        <v>45205.31987268518</v>
      </c>
      <c r="C477" s="1" t="n">
        <v>45987</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45793-2022</t>
        </is>
      </c>
      <c r="B478" s="1" t="n">
        <v>44844</v>
      </c>
      <c r="C478" s="1" t="n">
        <v>45987</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40393-2022</t>
        </is>
      </c>
      <c r="B479" s="1" t="n">
        <v>44823</v>
      </c>
      <c r="C479" s="1" t="n">
        <v>45987</v>
      </c>
      <c r="D479" t="inlineStr">
        <is>
          <t>SÖDERMANLANDS LÄN</t>
        </is>
      </c>
      <c r="E479" t="inlineStr">
        <is>
          <t>KATRINEHOLM</t>
        </is>
      </c>
      <c r="G479" t="n">
        <v>1.3</v>
      </c>
      <c r="H479" t="n">
        <v>0</v>
      </c>
      <c r="I479" t="n">
        <v>0</v>
      </c>
      <c r="J479" t="n">
        <v>0</v>
      </c>
      <c r="K479" t="n">
        <v>0</v>
      </c>
      <c r="L479" t="n">
        <v>0</v>
      </c>
      <c r="M479" t="n">
        <v>0</v>
      </c>
      <c r="N479" t="n">
        <v>0</v>
      </c>
      <c r="O479" t="n">
        <v>0</v>
      </c>
      <c r="P479" t="n">
        <v>0</v>
      </c>
      <c r="Q479" t="n">
        <v>0</v>
      </c>
      <c r="R479" s="2" t="inlineStr"/>
    </row>
    <row r="480" ht="15" customHeight="1">
      <c r="A480" t="inlineStr">
        <is>
          <t>A 48685-2022</t>
        </is>
      </c>
      <c r="B480" s="1" t="n">
        <v>44859</v>
      </c>
      <c r="C480" s="1" t="n">
        <v>45987</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36133-2021</t>
        </is>
      </c>
      <c r="B481" s="1" t="n">
        <v>44386</v>
      </c>
      <c r="C481" s="1" t="n">
        <v>45987</v>
      </c>
      <c r="D481" t="inlineStr">
        <is>
          <t>SÖDERMANLANDS LÄN</t>
        </is>
      </c>
      <c r="E481" t="inlineStr">
        <is>
          <t>KATRINEHOLM</t>
        </is>
      </c>
      <c r="F481" t="inlineStr">
        <is>
          <t>Övriga Aktiebolag</t>
        </is>
      </c>
      <c r="G481" t="n">
        <v>8.9</v>
      </c>
      <c r="H481" t="n">
        <v>0</v>
      </c>
      <c r="I481" t="n">
        <v>0</v>
      </c>
      <c r="J481" t="n">
        <v>0</v>
      </c>
      <c r="K481" t="n">
        <v>0</v>
      </c>
      <c r="L481" t="n">
        <v>0</v>
      </c>
      <c r="M481" t="n">
        <v>0</v>
      </c>
      <c r="N481" t="n">
        <v>0</v>
      </c>
      <c r="O481" t="n">
        <v>0</v>
      </c>
      <c r="P481" t="n">
        <v>0</v>
      </c>
      <c r="Q481" t="n">
        <v>0</v>
      </c>
      <c r="R481" s="2" t="inlineStr"/>
    </row>
    <row r="482" ht="15" customHeight="1">
      <c r="A482" t="inlineStr">
        <is>
          <t>A 49700-2022</t>
        </is>
      </c>
      <c r="B482" s="1" t="n">
        <v>44862</v>
      </c>
      <c r="C482" s="1" t="n">
        <v>45987</v>
      </c>
      <c r="D482" t="inlineStr">
        <is>
          <t>SÖDERMANLANDS LÄN</t>
        </is>
      </c>
      <c r="E482" t="inlineStr">
        <is>
          <t>KATRINEHOLM</t>
        </is>
      </c>
      <c r="G482" t="n">
        <v>19.5</v>
      </c>
      <c r="H482" t="n">
        <v>0</v>
      </c>
      <c r="I482" t="n">
        <v>0</v>
      </c>
      <c r="J482" t="n">
        <v>0</v>
      </c>
      <c r="K482" t="n">
        <v>0</v>
      </c>
      <c r="L482" t="n">
        <v>0</v>
      </c>
      <c r="M482" t="n">
        <v>0</v>
      </c>
      <c r="N482" t="n">
        <v>0</v>
      </c>
      <c r="O482" t="n">
        <v>0</v>
      </c>
      <c r="P482" t="n">
        <v>0</v>
      </c>
      <c r="Q482" t="n">
        <v>0</v>
      </c>
      <c r="R482" s="2" t="inlineStr"/>
    </row>
    <row r="483" ht="15" customHeight="1">
      <c r="A483" t="inlineStr">
        <is>
          <t>A 56597-2025</t>
        </is>
      </c>
      <c r="B483" s="1" t="n">
        <v>45975.57271990741</v>
      </c>
      <c r="C483" s="1" t="n">
        <v>45987</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30276-2023</t>
        </is>
      </c>
      <c r="B484" s="1" t="n">
        <v>45110</v>
      </c>
      <c r="C484" s="1" t="n">
        <v>45987</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57265-2022</t>
        </is>
      </c>
      <c r="B485" s="1" t="n">
        <v>44895</v>
      </c>
      <c r="C485" s="1" t="n">
        <v>45987</v>
      </c>
      <c r="D485" t="inlineStr">
        <is>
          <t>SÖDERMANLANDS LÄN</t>
        </is>
      </c>
      <c r="E485" t="inlineStr">
        <is>
          <t>KATRINEHOLM</t>
        </is>
      </c>
      <c r="G485" t="n">
        <v>2</v>
      </c>
      <c r="H485" t="n">
        <v>0</v>
      </c>
      <c r="I485" t="n">
        <v>0</v>
      </c>
      <c r="J485" t="n">
        <v>0</v>
      </c>
      <c r="K485" t="n">
        <v>0</v>
      </c>
      <c r="L485" t="n">
        <v>0</v>
      </c>
      <c r="M485" t="n">
        <v>0</v>
      </c>
      <c r="N485" t="n">
        <v>0</v>
      </c>
      <c r="O485" t="n">
        <v>0</v>
      </c>
      <c r="P485" t="n">
        <v>0</v>
      </c>
      <c r="Q485" t="n">
        <v>0</v>
      </c>
      <c r="R485" s="2" t="inlineStr"/>
    </row>
    <row r="486" ht="15" customHeight="1">
      <c r="A486" t="inlineStr">
        <is>
          <t>A 50316-2023</t>
        </is>
      </c>
      <c r="B486" s="1" t="n">
        <v>45209</v>
      </c>
      <c r="C486" s="1" t="n">
        <v>45987</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52857-2021</t>
        </is>
      </c>
      <c r="B487" s="1" t="n">
        <v>44466</v>
      </c>
      <c r="C487" s="1" t="n">
        <v>45987</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60160-2022</t>
        </is>
      </c>
      <c r="B488" s="1" t="n">
        <v>44909</v>
      </c>
      <c r="C488" s="1" t="n">
        <v>45987</v>
      </c>
      <c r="D488" t="inlineStr">
        <is>
          <t>SÖDERMANLANDS LÄN</t>
        </is>
      </c>
      <c r="E488" t="inlineStr">
        <is>
          <t>KATRINEHOLM</t>
        </is>
      </c>
      <c r="F488" t="inlineStr">
        <is>
          <t>Allmännings- och besparingsskogar</t>
        </is>
      </c>
      <c r="G488" t="n">
        <v>2</v>
      </c>
      <c r="H488" t="n">
        <v>0</v>
      </c>
      <c r="I488" t="n">
        <v>0</v>
      </c>
      <c r="J488" t="n">
        <v>0</v>
      </c>
      <c r="K488" t="n">
        <v>0</v>
      </c>
      <c r="L488" t="n">
        <v>0</v>
      </c>
      <c r="M488" t="n">
        <v>0</v>
      </c>
      <c r="N488" t="n">
        <v>0</v>
      </c>
      <c r="O488" t="n">
        <v>0</v>
      </c>
      <c r="P488" t="n">
        <v>0</v>
      </c>
      <c r="Q488" t="n">
        <v>0</v>
      </c>
      <c r="R488" s="2" t="inlineStr"/>
    </row>
    <row r="489" ht="15" customHeight="1">
      <c r="A489" t="inlineStr">
        <is>
          <t>A 57323-2025</t>
        </is>
      </c>
      <c r="B489" s="1" t="n">
        <v>45980.32501157407</v>
      </c>
      <c r="C489" s="1" t="n">
        <v>45987</v>
      </c>
      <c r="D489" t="inlineStr">
        <is>
          <t>SÖDERMANLANDS LÄN</t>
        </is>
      </c>
      <c r="E489" t="inlineStr">
        <is>
          <t>KATRINEHOLM</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19442-2023</t>
        </is>
      </c>
      <c r="B490" s="1" t="n">
        <v>45050</v>
      </c>
      <c r="C490" s="1" t="n">
        <v>45987</v>
      </c>
      <c r="D490" t="inlineStr">
        <is>
          <t>SÖDERMANLANDS LÄN</t>
        </is>
      </c>
      <c r="E490" t="inlineStr">
        <is>
          <t>KATRINEHOLM</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50840-2022</t>
        </is>
      </c>
      <c r="B491" s="1" t="n">
        <v>44862</v>
      </c>
      <c r="C491" s="1" t="n">
        <v>45987</v>
      </c>
      <c r="D491" t="inlineStr">
        <is>
          <t>SÖDERMANLANDS LÄN</t>
        </is>
      </c>
      <c r="E491" t="inlineStr">
        <is>
          <t>KATRINEHOLM</t>
        </is>
      </c>
      <c r="G491" t="n">
        <v>4.2</v>
      </c>
      <c r="H491" t="n">
        <v>0</v>
      </c>
      <c r="I491" t="n">
        <v>0</v>
      </c>
      <c r="J491" t="n">
        <v>0</v>
      </c>
      <c r="K491" t="n">
        <v>0</v>
      </c>
      <c r="L491" t="n">
        <v>0</v>
      </c>
      <c r="M491" t="n">
        <v>0</v>
      </c>
      <c r="N491" t="n">
        <v>0</v>
      </c>
      <c r="O491" t="n">
        <v>0</v>
      </c>
      <c r="P491" t="n">
        <v>0</v>
      </c>
      <c r="Q491" t="n">
        <v>0</v>
      </c>
      <c r="R491" s="2" t="inlineStr"/>
    </row>
    <row r="492" ht="15" customHeight="1">
      <c r="A492" t="inlineStr">
        <is>
          <t>A 3060-2022</t>
        </is>
      </c>
      <c r="B492" s="1" t="n">
        <v>44582.40109953703</v>
      </c>
      <c r="C492" s="1" t="n">
        <v>45987</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6611-2023</t>
        </is>
      </c>
      <c r="B493" s="1" t="n">
        <v>44963</v>
      </c>
      <c r="C493" s="1" t="n">
        <v>45987</v>
      </c>
      <c r="D493" t="inlineStr">
        <is>
          <t>SÖDERMANLANDS LÄN</t>
        </is>
      </c>
      <c r="E493" t="inlineStr">
        <is>
          <t>KATRINEHOLM</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49743-2025</t>
        </is>
      </c>
      <c r="B494" s="1" t="n">
        <v>45940</v>
      </c>
      <c r="C494" s="1" t="n">
        <v>45987</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50804-2023</t>
        </is>
      </c>
      <c r="B495" s="1" t="n">
        <v>45211</v>
      </c>
      <c r="C495" s="1" t="n">
        <v>45987</v>
      </c>
      <c r="D495" t="inlineStr">
        <is>
          <t>SÖDERMANLANDS LÄN</t>
        </is>
      </c>
      <c r="E495" t="inlineStr">
        <is>
          <t>KATRINEHOLM</t>
        </is>
      </c>
      <c r="G495" t="n">
        <v>4</v>
      </c>
      <c r="H495" t="n">
        <v>0</v>
      </c>
      <c r="I495" t="n">
        <v>0</v>
      </c>
      <c r="J495" t="n">
        <v>0</v>
      </c>
      <c r="K495" t="n">
        <v>0</v>
      </c>
      <c r="L495" t="n">
        <v>0</v>
      </c>
      <c r="M495" t="n">
        <v>0</v>
      </c>
      <c r="N495" t="n">
        <v>0</v>
      </c>
      <c r="O495" t="n">
        <v>0</v>
      </c>
      <c r="P495" t="n">
        <v>0</v>
      </c>
      <c r="Q495" t="n">
        <v>0</v>
      </c>
      <c r="R495" s="2" t="inlineStr"/>
    </row>
    <row r="496" ht="15" customHeight="1">
      <c r="A496" t="inlineStr">
        <is>
          <t>A 20533-2023</t>
        </is>
      </c>
      <c r="B496" s="1" t="n">
        <v>45057</v>
      </c>
      <c r="C496" s="1" t="n">
        <v>45987</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c r="T496">
        <f>HYPERLINK("https://klasma.github.io/Logging_0483/kartor/A 20533-2023 karta.png", "A 20533-2023")</f>
        <v/>
      </c>
      <c r="V496">
        <f>HYPERLINK("https://klasma.github.io/Logging_0483/klagomål/A 20533-2023 FSC-klagomål.docx", "A 20533-2023")</f>
        <v/>
      </c>
      <c r="W496">
        <f>HYPERLINK("https://klasma.github.io/Logging_0483/klagomålsmail/A 20533-2023 FSC-klagomål mail.docx", "A 20533-2023")</f>
        <v/>
      </c>
      <c r="X496">
        <f>HYPERLINK("https://klasma.github.io/Logging_0483/tillsyn/A 20533-2023 tillsynsbegäran.docx", "A 20533-2023")</f>
        <v/>
      </c>
      <c r="Y496">
        <f>HYPERLINK("https://klasma.github.io/Logging_0483/tillsynsmail/A 20533-2023 tillsynsbegäran mail.docx", "A 20533-2023")</f>
        <v/>
      </c>
      <c r="Z496">
        <f>HYPERLINK("https://klasma.github.io/Logging_0483/fåglar/A 20533-2023 prioriterade fågelarter.docx", "A 20533-2023")</f>
        <v/>
      </c>
    </row>
    <row r="497" ht="15" customHeight="1">
      <c r="A497" t="inlineStr">
        <is>
          <t>A 43499-2021</t>
        </is>
      </c>
      <c r="B497" s="1" t="n">
        <v>44433</v>
      </c>
      <c r="C497" s="1" t="n">
        <v>45987</v>
      </c>
      <c r="D497" t="inlineStr">
        <is>
          <t>SÖDERMANLANDS LÄN</t>
        </is>
      </c>
      <c r="E497" t="inlineStr">
        <is>
          <t>KATRINEHOLM</t>
        </is>
      </c>
      <c r="F497" t="inlineStr">
        <is>
          <t>Övriga Aktiebolag</t>
        </is>
      </c>
      <c r="G497" t="n">
        <v>1.4</v>
      </c>
      <c r="H497" t="n">
        <v>0</v>
      </c>
      <c r="I497" t="n">
        <v>0</v>
      </c>
      <c r="J497" t="n">
        <v>0</v>
      </c>
      <c r="K497" t="n">
        <v>0</v>
      </c>
      <c r="L497" t="n">
        <v>0</v>
      </c>
      <c r="M497" t="n">
        <v>0</v>
      </c>
      <c r="N497" t="n">
        <v>0</v>
      </c>
      <c r="O497" t="n">
        <v>0</v>
      </c>
      <c r="P497" t="n">
        <v>0</v>
      </c>
      <c r="Q497" t="n">
        <v>0</v>
      </c>
      <c r="R497" s="2" t="inlineStr"/>
    </row>
    <row r="498" ht="15" customHeight="1">
      <c r="A498" t="inlineStr">
        <is>
          <t>A 53996-2023</t>
        </is>
      </c>
      <c r="B498" s="1" t="n">
        <v>45231</v>
      </c>
      <c r="C498" s="1" t="n">
        <v>45987</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33790-2024</t>
        </is>
      </c>
      <c r="B499" s="1" t="n">
        <v>45520.59179398148</v>
      </c>
      <c r="C499" s="1" t="n">
        <v>45987</v>
      </c>
      <c r="D499" t="inlineStr">
        <is>
          <t>SÖDERMANLANDS LÄN</t>
        </is>
      </c>
      <c r="E499" t="inlineStr">
        <is>
          <t>KATRINEHOLM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47456-2022</t>
        </is>
      </c>
      <c r="B500" s="1" t="n">
        <v>44852</v>
      </c>
      <c r="C500" s="1" t="n">
        <v>45987</v>
      </c>
      <c r="D500" t="inlineStr">
        <is>
          <t>SÖDERMANLANDS LÄN</t>
        </is>
      </c>
      <c r="E500" t="inlineStr">
        <is>
          <t>KATRINEHOLM</t>
        </is>
      </c>
      <c r="G500" t="n">
        <v>3.7</v>
      </c>
      <c r="H500" t="n">
        <v>0</v>
      </c>
      <c r="I500" t="n">
        <v>0</v>
      </c>
      <c r="J500" t="n">
        <v>0</v>
      </c>
      <c r="K500" t="n">
        <v>0</v>
      </c>
      <c r="L500" t="n">
        <v>0</v>
      </c>
      <c r="M500" t="n">
        <v>0</v>
      </c>
      <c r="N500" t="n">
        <v>0</v>
      </c>
      <c r="O500" t="n">
        <v>0</v>
      </c>
      <c r="P500" t="n">
        <v>0</v>
      </c>
      <c r="Q500" t="n">
        <v>0</v>
      </c>
      <c r="R500" s="2" t="inlineStr"/>
    </row>
    <row r="501" ht="15" customHeight="1">
      <c r="A501" t="inlineStr">
        <is>
          <t>A 23347-2023</t>
        </is>
      </c>
      <c r="B501" s="1" t="n">
        <v>45076</v>
      </c>
      <c r="C501" s="1" t="n">
        <v>45987</v>
      </c>
      <c r="D501" t="inlineStr">
        <is>
          <t>SÖDERMANLANDS LÄN</t>
        </is>
      </c>
      <c r="E501" t="inlineStr">
        <is>
          <t>KATRINEHOLM</t>
        </is>
      </c>
      <c r="G501" t="n">
        <v>4.3</v>
      </c>
      <c r="H501" t="n">
        <v>0</v>
      </c>
      <c r="I501" t="n">
        <v>0</v>
      </c>
      <c r="J501" t="n">
        <v>0</v>
      </c>
      <c r="K501" t="n">
        <v>0</v>
      </c>
      <c r="L501" t="n">
        <v>0</v>
      </c>
      <c r="M501" t="n">
        <v>0</v>
      </c>
      <c r="N501" t="n">
        <v>0</v>
      </c>
      <c r="O501" t="n">
        <v>0</v>
      </c>
      <c r="P501" t="n">
        <v>0</v>
      </c>
      <c r="Q501" t="n">
        <v>0</v>
      </c>
      <c r="R501" s="2" t="inlineStr"/>
    </row>
    <row r="502" ht="15" customHeight="1">
      <c r="A502" t="inlineStr">
        <is>
          <t>A 74354-2021</t>
        </is>
      </c>
      <c r="B502" s="1" t="n">
        <v>44559.57041666667</v>
      </c>
      <c r="C502" s="1" t="n">
        <v>45987</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57975-2025</t>
        </is>
      </c>
      <c r="B503" s="1" t="n">
        <v>45981</v>
      </c>
      <c r="C503" s="1" t="n">
        <v>45987</v>
      </c>
      <c r="D503" t="inlineStr">
        <is>
          <t>SÖDERMANLANDS LÄN</t>
        </is>
      </c>
      <c r="E503" t="inlineStr">
        <is>
          <t>KATRINEHOLM</t>
        </is>
      </c>
      <c r="G503" t="n">
        <v>3.1</v>
      </c>
      <c r="H503" t="n">
        <v>0</v>
      </c>
      <c r="I503" t="n">
        <v>0</v>
      </c>
      <c r="J503" t="n">
        <v>0</v>
      </c>
      <c r="K503" t="n">
        <v>0</v>
      </c>
      <c r="L503" t="n">
        <v>0</v>
      </c>
      <c r="M503" t="n">
        <v>0</v>
      </c>
      <c r="N503" t="n">
        <v>0</v>
      </c>
      <c r="O503" t="n">
        <v>0</v>
      </c>
      <c r="P503" t="n">
        <v>0</v>
      </c>
      <c r="Q503" t="n">
        <v>0</v>
      </c>
      <c r="R503" s="2" t="inlineStr"/>
    </row>
    <row r="504" ht="15" customHeight="1">
      <c r="A504" t="inlineStr">
        <is>
          <t>A 52348-2021</t>
        </is>
      </c>
      <c r="B504" s="1" t="n">
        <v>44464.49756944444</v>
      </c>
      <c r="C504" s="1" t="n">
        <v>45987</v>
      </c>
      <c r="D504" t="inlineStr">
        <is>
          <t>SÖDERMANLANDS LÄN</t>
        </is>
      </c>
      <c r="E504" t="inlineStr">
        <is>
          <t>KATRINEHOLM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56628-2021</t>
        </is>
      </c>
      <c r="B505" s="1" t="n">
        <v>44480</v>
      </c>
      <c r="C505" s="1" t="n">
        <v>45987</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45438-2021</t>
        </is>
      </c>
      <c r="B506" s="1" t="n">
        <v>44440</v>
      </c>
      <c r="C506" s="1" t="n">
        <v>45987</v>
      </c>
      <c r="D506" t="inlineStr">
        <is>
          <t>SÖDERMANLANDS LÄN</t>
        </is>
      </c>
      <c r="E506" t="inlineStr">
        <is>
          <t>KATRINEHOLM</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50061-2022</t>
        </is>
      </c>
      <c r="B507" s="1" t="n">
        <v>44865</v>
      </c>
      <c r="C507" s="1" t="n">
        <v>45987</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10446-2024</t>
        </is>
      </c>
      <c r="B508" s="1" t="n">
        <v>45366</v>
      </c>
      <c r="C508" s="1" t="n">
        <v>45987</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53860-2021</t>
        </is>
      </c>
      <c r="B509" s="1" t="n">
        <v>44467</v>
      </c>
      <c r="C509" s="1" t="n">
        <v>45987</v>
      </c>
      <c r="D509" t="inlineStr">
        <is>
          <t>SÖDERMANLANDS LÄN</t>
        </is>
      </c>
      <c r="E509" t="inlineStr">
        <is>
          <t>KATRINEHOLM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23842-2023</t>
        </is>
      </c>
      <c r="B510" s="1" t="n">
        <v>45075</v>
      </c>
      <c r="C510" s="1" t="n">
        <v>45987</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34263-2023</t>
        </is>
      </c>
      <c r="B511" s="1" t="n">
        <v>45138.60248842592</v>
      </c>
      <c r="C511" s="1" t="n">
        <v>45987</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46899-2022</t>
        </is>
      </c>
      <c r="B512" s="1" t="n">
        <v>44848</v>
      </c>
      <c r="C512" s="1" t="n">
        <v>45987</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55296-2022</t>
        </is>
      </c>
      <c r="B513" s="1" t="n">
        <v>44887</v>
      </c>
      <c r="C513" s="1" t="n">
        <v>45987</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58684-2025</t>
        </is>
      </c>
      <c r="B514" s="1" t="n">
        <v>45986.56953703704</v>
      </c>
      <c r="C514" s="1" t="n">
        <v>45987</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57524-2021</t>
        </is>
      </c>
      <c r="B515" s="1" t="n">
        <v>44483</v>
      </c>
      <c r="C515" s="1" t="n">
        <v>45987</v>
      </c>
      <c r="D515" t="inlineStr">
        <is>
          <t>SÖDERMANLANDS LÄN</t>
        </is>
      </c>
      <c r="E515" t="inlineStr">
        <is>
          <t>KATRINEHOLM</t>
        </is>
      </c>
      <c r="G515" t="n">
        <v>0.4</v>
      </c>
      <c r="H515" t="n">
        <v>0</v>
      </c>
      <c r="I515" t="n">
        <v>0</v>
      </c>
      <c r="J515" t="n">
        <v>0</v>
      </c>
      <c r="K515" t="n">
        <v>0</v>
      </c>
      <c r="L515" t="n">
        <v>0</v>
      </c>
      <c r="M515" t="n">
        <v>0</v>
      </c>
      <c r="N515" t="n">
        <v>0</v>
      </c>
      <c r="O515" t="n">
        <v>0</v>
      </c>
      <c r="P515" t="n">
        <v>0</v>
      </c>
      <c r="Q515" t="n">
        <v>0</v>
      </c>
      <c r="R515" s="2" t="inlineStr"/>
    </row>
    <row r="516" ht="15" customHeight="1">
      <c r="A516" t="inlineStr">
        <is>
          <t>A 931-2023</t>
        </is>
      </c>
      <c r="B516" s="1" t="n">
        <v>44932.74261574074</v>
      </c>
      <c r="C516" s="1" t="n">
        <v>45987</v>
      </c>
      <c r="D516" t="inlineStr">
        <is>
          <t>SÖDERMANLANDS LÄN</t>
        </is>
      </c>
      <c r="E516" t="inlineStr">
        <is>
          <t>KATRINEHOLM</t>
        </is>
      </c>
      <c r="G516" t="n">
        <v>4</v>
      </c>
      <c r="H516" t="n">
        <v>0</v>
      </c>
      <c r="I516" t="n">
        <v>0</v>
      </c>
      <c r="J516" t="n">
        <v>0</v>
      </c>
      <c r="K516" t="n">
        <v>0</v>
      </c>
      <c r="L516" t="n">
        <v>0</v>
      </c>
      <c r="M516" t="n">
        <v>0</v>
      </c>
      <c r="N516" t="n">
        <v>0</v>
      </c>
      <c r="O516" t="n">
        <v>0</v>
      </c>
      <c r="P516" t="n">
        <v>0</v>
      </c>
      <c r="Q516" t="n">
        <v>0</v>
      </c>
      <c r="R516" s="2" t="inlineStr"/>
    </row>
    <row r="517" ht="15" customHeight="1">
      <c r="A517" t="inlineStr">
        <is>
          <t>A 55171-2023</t>
        </is>
      </c>
      <c r="B517" s="1" t="n">
        <v>45231</v>
      </c>
      <c r="C517" s="1" t="n">
        <v>45987</v>
      </c>
      <c r="D517" t="inlineStr">
        <is>
          <t>SÖDERMANLANDS LÄN</t>
        </is>
      </c>
      <c r="E517" t="inlineStr">
        <is>
          <t>KATRINEHOLM</t>
        </is>
      </c>
      <c r="G517" t="n">
        <v>4.2</v>
      </c>
      <c r="H517" t="n">
        <v>0</v>
      </c>
      <c r="I517" t="n">
        <v>0</v>
      </c>
      <c r="J517" t="n">
        <v>0</v>
      </c>
      <c r="K517" t="n">
        <v>0</v>
      </c>
      <c r="L517" t="n">
        <v>0</v>
      </c>
      <c r="M517" t="n">
        <v>0</v>
      </c>
      <c r="N517" t="n">
        <v>0</v>
      </c>
      <c r="O517" t="n">
        <v>0</v>
      </c>
      <c r="P517" t="n">
        <v>0</v>
      </c>
      <c r="Q517" t="n">
        <v>0</v>
      </c>
      <c r="R517" s="2" t="inlineStr"/>
    </row>
    <row r="518" ht="15" customHeight="1">
      <c r="A518" t="inlineStr">
        <is>
          <t>A 53393-2023</t>
        </is>
      </c>
      <c r="B518" s="1" t="n">
        <v>45229</v>
      </c>
      <c r="C518" s="1" t="n">
        <v>45987</v>
      </c>
      <c r="D518" t="inlineStr">
        <is>
          <t>SÖDERMANLANDS LÄN</t>
        </is>
      </c>
      <c r="E518" t="inlineStr">
        <is>
          <t>KATRINEHOLM</t>
        </is>
      </c>
      <c r="F518" t="inlineStr">
        <is>
          <t>Kyrkan</t>
        </is>
      </c>
      <c r="G518" t="n">
        <v>5.6</v>
      </c>
      <c r="H518" t="n">
        <v>0</v>
      </c>
      <c r="I518" t="n">
        <v>0</v>
      </c>
      <c r="J518" t="n">
        <v>0</v>
      </c>
      <c r="K518" t="n">
        <v>0</v>
      </c>
      <c r="L518" t="n">
        <v>0</v>
      </c>
      <c r="M518" t="n">
        <v>0</v>
      </c>
      <c r="N518" t="n">
        <v>0</v>
      </c>
      <c r="O518" t="n">
        <v>0</v>
      </c>
      <c r="P518" t="n">
        <v>0</v>
      </c>
      <c r="Q518" t="n">
        <v>0</v>
      </c>
      <c r="R518" s="2" t="inlineStr"/>
    </row>
    <row r="519" ht="15" customHeight="1">
      <c r="A519" t="inlineStr">
        <is>
          <t>A 23031-2024</t>
        </is>
      </c>
      <c r="B519" s="1" t="n">
        <v>45450.38120370371</v>
      </c>
      <c r="C519" s="1" t="n">
        <v>45987</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22506-2023</t>
        </is>
      </c>
      <c r="B520" s="1" t="n">
        <v>45071.37393518518</v>
      </c>
      <c r="C520" s="1" t="n">
        <v>45987</v>
      </c>
      <c r="D520" t="inlineStr">
        <is>
          <t>SÖDERMANLANDS LÄN</t>
        </is>
      </c>
      <c r="E520" t="inlineStr">
        <is>
          <t>KATRINEHOLM</t>
        </is>
      </c>
      <c r="F520" t="inlineStr">
        <is>
          <t>Kyrkan</t>
        </is>
      </c>
      <c r="G520" t="n">
        <v>5.9</v>
      </c>
      <c r="H520" t="n">
        <v>0</v>
      </c>
      <c r="I520" t="n">
        <v>0</v>
      </c>
      <c r="J520" t="n">
        <v>0</v>
      </c>
      <c r="K520" t="n">
        <v>0</v>
      </c>
      <c r="L520" t="n">
        <v>0</v>
      </c>
      <c r="M520" t="n">
        <v>0</v>
      </c>
      <c r="N520" t="n">
        <v>0</v>
      </c>
      <c r="O520" t="n">
        <v>0</v>
      </c>
      <c r="P520" t="n">
        <v>0</v>
      </c>
      <c r="Q520" t="n">
        <v>0</v>
      </c>
      <c r="R520" s="2" t="inlineStr"/>
    </row>
    <row r="521" ht="15" customHeight="1">
      <c r="A521" t="inlineStr">
        <is>
          <t>A 12888-2025</t>
        </is>
      </c>
      <c r="B521" s="1" t="n">
        <v>45733</v>
      </c>
      <c r="C521" s="1" t="n">
        <v>45987</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22345-2023</t>
        </is>
      </c>
      <c r="B522" s="1" t="n">
        <v>45070</v>
      </c>
      <c r="C522" s="1" t="n">
        <v>45987</v>
      </c>
      <c r="D522" t="inlineStr">
        <is>
          <t>SÖDERMANLANDS LÄN</t>
        </is>
      </c>
      <c r="E522" t="inlineStr">
        <is>
          <t>KATRINEHOLM</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48877-2022</t>
        </is>
      </c>
      <c r="B523" s="1" t="n">
        <v>44859</v>
      </c>
      <c r="C523" s="1" t="n">
        <v>45987</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19868-2022</t>
        </is>
      </c>
      <c r="B524" s="1" t="n">
        <v>44696</v>
      </c>
      <c r="C524" s="1" t="n">
        <v>45987</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63188-2021</t>
        </is>
      </c>
      <c r="B525" s="1" t="n">
        <v>44507.56865740741</v>
      </c>
      <c r="C525" s="1" t="n">
        <v>45987</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63677-2020</t>
        </is>
      </c>
      <c r="B526" s="1" t="n">
        <v>44166</v>
      </c>
      <c r="C526" s="1" t="n">
        <v>45987</v>
      </c>
      <c r="D526" t="inlineStr">
        <is>
          <t>SÖDERMANLANDS LÄN</t>
        </is>
      </c>
      <c r="E526" t="inlineStr">
        <is>
          <t>KATRINEHOLM</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29843-2023</t>
        </is>
      </c>
      <c r="B527" s="1" t="n">
        <v>45107</v>
      </c>
      <c r="C527" s="1" t="n">
        <v>45987</v>
      </c>
      <c r="D527" t="inlineStr">
        <is>
          <t>SÖDERMANLANDS LÄN</t>
        </is>
      </c>
      <c r="E527" t="inlineStr">
        <is>
          <t>KATRINEHOLM</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5834-2025</t>
        </is>
      </c>
      <c r="B528" s="1" t="n">
        <v>45694</v>
      </c>
      <c r="C528" s="1" t="n">
        <v>45987</v>
      </c>
      <c r="D528" t="inlineStr">
        <is>
          <t>SÖDERMANLANDS LÄN</t>
        </is>
      </c>
      <c r="E528" t="inlineStr">
        <is>
          <t>KATRINEHOLM</t>
        </is>
      </c>
      <c r="G528" t="n">
        <v>3.3</v>
      </c>
      <c r="H528" t="n">
        <v>0</v>
      </c>
      <c r="I528" t="n">
        <v>0</v>
      </c>
      <c r="J528" t="n">
        <v>0</v>
      </c>
      <c r="K528" t="n">
        <v>0</v>
      </c>
      <c r="L528" t="n">
        <v>0</v>
      </c>
      <c r="M528" t="n">
        <v>0</v>
      </c>
      <c r="N528" t="n">
        <v>0</v>
      </c>
      <c r="O528" t="n">
        <v>0</v>
      </c>
      <c r="P528" t="n">
        <v>0</v>
      </c>
      <c r="Q528" t="n">
        <v>0</v>
      </c>
      <c r="R528" s="2" t="inlineStr"/>
    </row>
    <row r="529" ht="15" customHeight="1">
      <c r="A529" t="inlineStr">
        <is>
          <t>A 34981-2023</t>
        </is>
      </c>
      <c r="B529" s="1" t="n">
        <v>45142</v>
      </c>
      <c r="C529" s="1" t="n">
        <v>45987</v>
      </c>
      <c r="D529" t="inlineStr">
        <is>
          <t>SÖDERMANLANDS LÄN</t>
        </is>
      </c>
      <c r="E529" t="inlineStr">
        <is>
          <t>KATRINEHOLM</t>
        </is>
      </c>
      <c r="G529" t="n">
        <v>10</v>
      </c>
      <c r="H529" t="n">
        <v>0</v>
      </c>
      <c r="I529" t="n">
        <v>0</v>
      </c>
      <c r="J529" t="n">
        <v>0</v>
      </c>
      <c r="K529" t="n">
        <v>0</v>
      </c>
      <c r="L529" t="n">
        <v>0</v>
      </c>
      <c r="M529" t="n">
        <v>0</v>
      </c>
      <c r="N529" t="n">
        <v>0</v>
      </c>
      <c r="O529" t="n">
        <v>0</v>
      </c>
      <c r="P529" t="n">
        <v>0</v>
      </c>
      <c r="Q529" t="n">
        <v>0</v>
      </c>
      <c r="R529" s="2" t="inlineStr"/>
    </row>
    <row r="530" ht="15" customHeight="1">
      <c r="A530" t="inlineStr">
        <is>
          <t>A 73412-2021</t>
        </is>
      </c>
      <c r="B530" s="1" t="n">
        <v>44551</v>
      </c>
      <c r="C530" s="1" t="n">
        <v>45987</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53750-2022</t>
        </is>
      </c>
      <c r="B531" s="1" t="n">
        <v>44875</v>
      </c>
      <c r="C531" s="1" t="n">
        <v>45987</v>
      </c>
      <c r="D531" t="inlineStr">
        <is>
          <t>SÖDERMANLANDS LÄN</t>
        </is>
      </c>
      <c r="E531" t="inlineStr">
        <is>
          <t>KATRINEHOLM</t>
        </is>
      </c>
      <c r="F531" t="inlineStr">
        <is>
          <t>Övriga Aktiebolag</t>
        </is>
      </c>
      <c r="G531" t="n">
        <v>12.6</v>
      </c>
      <c r="H531" t="n">
        <v>0</v>
      </c>
      <c r="I531" t="n">
        <v>0</v>
      </c>
      <c r="J531" t="n">
        <v>0</v>
      </c>
      <c r="K531" t="n">
        <v>0</v>
      </c>
      <c r="L531" t="n">
        <v>0</v>
      </c>
      <c r="M531" t="n">
        <v>0</v>
      </c>
      <c r="N531" t="n">
        <v>0</v>
      </c>
      <c r="O531" t="n">
        <v>0</v>
      </c>
      <c r="P531" t="n">
        <v>0</v>
      </c>
      <c r="Q531" t="n">
        <v>0</v>
      </c>
      <c r="R531" s="2" t="inlineStr"/>
    </row>
    <row r="532" ht="15" customHeight="1">
      <c r="A532" t="inlineStr">
        <is>
          <t>A 14245-2024</t>
        </is>
      </c>
      <c r="B532" s="1" t="n">
        <v>45393</v>
      </c>
      <c r="C532" s="1" t="n">
        <v>45987</v>
      </c>
      <c r="D532" t="inlineStr">
        <is>
          <t>SÖDERMANLANDS LÄN</t>
        </is>
      </c>
      <c r="E532" t="inlineStr">
        <is>
          <t>KATRINEHOLM</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11104-2023</t>
        </is>
      </c>
      <c r="B533" s="1" t="n">
        <v>44992</v>
      </c>
      <c r="C533" s="1" t="n">
        <v>45987</v>
      </c>
      <c r="D533" t="inlineStr">
        <is>
          <t>SÖDERMANLANDS LÄN</t>
        </is>
      </c>
      <c r="E533" t="inlineStr">
        <is>
          <t>KATRINEHOLM</t>
        </is>
      </c>
      <c r="F533" t="inlineStr">
        <is>
          <t>Allmännings- och besparingsskogar</t>
        </is>
      </c>
      <c r="G533" t="n">
        <v>7.8</v>
      </c>
      <c r="H533" t="n">
        <v>0</v>
      </c>
      <c r="I533" t="n">
        <v>0</v>
      </c>
      <c r="J533" t="n">
        <v>0</v>
      </c>
      <c r="K533" t="n">
        <v>0</v>
      </c>
      <c r="L533" t="n">
        <v>0</v>
      </c>
      <c r="M533" t="n">
        <v>0</v>
      </c>
      <c r="N533" t="n">
        <v>0</v>
      </c>
      <c r="O533" t="n">
        <v>0</v>
      </c>
      <c r="P533" t="n">
        <v>0</v>
      </c>
      <c r="Q533" t="n">
        <v>0</v>
      </c>
      <c r="R533" s="2" t="inlineStr"/>
    </row>
    <row r="534" ht="15" customHeight="1">
      <c r="A534" t="inlineStr">
        <is>
          <t>A 4387-2024</t>
        </is>
      </c>
      <c r="B534" s="1" t="n">
        <v>45327.35068287037</v>
      </c>
      <c r="C534" s="1" t="n">
        <v>45987</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4872-2024</t>
        </is>
      </c>
      <c r="B535" s="1" t="n">
        <v>45329</v>
      </c>
      <c r="C535" s="1" t="n">
        <v>45987</v>
      </c>
      <c r="D535" t="inlineStr">
        <is>
          <t>SÖDERMANLANDS LÄN</t>
        </is>
      </c>
      <c r="E535" t="inlineStr">
        <is>
          <t>KATRINEHOLM</t>
        </is>
      </c>
      <c r="G535" t="n">
        <v>0.5</v>
      </c>
      <c r="H535" t="n">
        <v>0</v>
      </c>
      <c r="I535" t="n">
        <v>0</v>
      </c>
      <c r="J535" t="n">
        <v>0</v>
      </c>
      <c r="K535" t="n">
        <v>0</v>
      </c>
      <c r="L535" t="n">
        <v>0</v>
      </c>
      <c r="M535" t="n">
        <v>0</v>
      </c>
      <c r="N535" t="n">
        <v>0</v>
      </c>
      <c r="O535" t="n">
        <v>0</v>
      </c>
      <c r="P535" t="n">
        <v>0</v>
      </c>
      <c r="Q535" t="n">
        <v>0</v>
      </c>
      <c r="R535" s="2" t="inlineStr"/>
    </row>
    <row r="536" ht="15" customHeight="1">
      <c r="A536" t="inlineStr">
        <is>
          <t>A 29702-2021</t>
        </is>
      </c>
      <c r="B536" s="1" t="n">
        <v>44362</v>
      </c>
      <c r="C536" s="1" t="n">
        <v>45987</v>
      </c>
      <c r="D536" t="inlineStr">
        <is>
          <t>SÖDERMANLANDS LÄN</t>
        </is>
      </c>
      <c r="E536" t="inlineStr">
        <is>
          <t>KATRINEHOLM</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3986-2024</t>
        </is>
      </c>
      <c r="B537" s="1" t="n">
        <v>45322</v>
      </c>
      <c r="C537" s="1" t="n">
        <v>45987</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10996-2022</t>
        </is>
      </c>
      <c r="B538" s="1" t="n">
        <v>44628</v>
      </c>
      <c r="C538" s="1" t="n">
        <v>45987</v>
      </c>
      <c r="D538" t="inlineStr">
        <is>
          <t>SÖDERMANLANDS LÄN</t>
        </is>
      </c>
      <c r="E538" t="inlineStr">
        <is>
          <t>KATRINEHOLM</t>
        </is>
      </c>
      <c r="G538" t="n">
        <v>0.3</v>
      </c>
      <c r="H538" t="n">
        <v>0</v>
      </c>
      <c r="I538" t="n">
        <v>0</v>
      </c>
      <c r="J538" t="n">
        <v>0</v>
      </c>
      <c r="K538" t="n">
        <v>0</v>
      </c>
      <c r="L538" t="n">
        <v>0</v>
      </c>
      <c r="M538" t="n">
        <v>0</v>
      </c>
      <c r="N538" t="n">
        <v>0</v>
      </c>
      <c r="O538" t="n">
        <v>0</v>
      </c>
      <c r="P538" t="n">
        <v>0</v>
      </c>
      <c r="Q538" t="n">
        <v>0</v>
      </c>
      <c r="R538" s="2" t="inlineStr"/>
    </row>
    <row r="539" ht="15" customHeight="1">
      <c r="A539" t="inlineStr">
        <is>
          <t>A 42451-2023</t>
        </is>
      </c>
      <c r="B539" s="1" t="n">
        <v>45180</v>
      </c>
      <c r="C539" s="1" t="n">
        <v>45987</v>
      </c>
      <c r="D539" t="inlineStr">
        <is>
          <t>SÖDERMANLANDS LÄN</t>
        </is>
      </c>
      <c r="E539" t="inlineStr">
        <is>
          <t>KATRINEHOLM</t>
        </is>
      </c>
      <c r="G539" t="n">
        <v>3.8</v>
      </c>
      <c r="H539" t="n">
        <v>0</v>
      </c>
      <c r="I539" t="n">
        <v>0</v>
      </c>
      <c r="J539" t="n">
        <v>0</v>
      </c>
      <c r="K539" t="n">
        <v>0</v>
      </c>
      <c r="L539" t="n">
        <v>0</v>
      </c>
      <c r="M539" t="n">
        <v>0</v>
      </c>
      <c r="N539" t="n">
        <v>0</v>
      </c>
      <c r="O539" t="n">
        <v>0</v>
      </c>
      <c r="P539" t="n">
        <v>0</v>
      </c>
      <c r="Q539" t="n">
        <v>0</v>
      </c>
      <c r="R539" s="2" t="inlineStr"/>
    </row>
    <row r="540" ht="15" customHeight="1">
      <c r="A540" t="inlineStr">
        <is>
          <t>A 13113-2023</t>
        </is>
      </c>
      <c r="B540" s="1" t="n">
        <v>45002</v>
      </c>
      <c r="C540" s="1" t="n">
        <v>45987</v>
      </c>
      <c r="D540" t="inlineStr">
        <is>
          <t>SÖDERMANLANDS LÄN</t>
        </is>
      </c>
      <c r="E540" t="inlineStr">
        <is>
          <t>KATRINEHOLM</t>
        </is>
      </c>
      <c r="F540" t="inlineStr">
        <is>
          <t>Allmännings- och besparingsskogar</t>
        </is>
      </c>
      <c r="G540" t="n">
        <v>3.6</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45987</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27646-2023</t>
        </is>
      </c>
      <c r="B542" s="1" t="n">
        <v>45097</v>
      </c>
      <c r="C542" s="1" t="n">
        <v>45987</v>
      </c>
      <c r="D542" t="inlineStr">
        <is>
          <t>SÖDERMANLANDS LÄN</t>
        </is>
      </c>
      <c r="E542" t="inlineStr">
        <is>
          <t>KATRINEHOLM</t>
        </is>
      </c>
      <c r="G542" t="n">
        <v>2.4</v>
      </c>
      <c r="H542" t="n">
        <v>0</v>
      </c>
      <c r="I542" t="n">
        <v>0</v>
      </c>
      <c r="J542" t="n">
        <v>0</v>
      </c>
      <c r="K542" t="n">
        <v>0</v>
      </c>
      <c r="L542" t="n">
        <v>0</v>
      </c>
      <c r="M542" t="n">
        <v>0</v>
      </c>
      <c r="N542" t="n">
        <v>0</v>
      </c>
      <c r="O542" t="n">
        <v>0</v>
      </c>
      <c r="P542" t="n">
        <v>0</v>
      </c>
      <c r="Q542" t="n">
        <v>0</v>
      </c>
      <c r="R542" s="2" t="inlineStr"/>
    </row>
    <row r="543" ht="15" customHeight="1">
      <c r="A543" t="inlineStr">
        <is>
          <t>A 15235-2023</t>
        </is>
      </c>
      <c r="B543" s="1" t="n">
        <v>45019</v>
      </c>
      <c r="C543" s="1" t="n">
        <v>45987</v>
      </c>
      <c r="D543" t="inlineStr">
        <is>
          <t>SÖDERMANLANDS LÄN</t>
        </is>
      </c>
      <c r="E543" t="inlineStr">
        <is>
          <t>KATRINEHOLM</t>
        </is>
      </c>
      <c r="F543" t="inlineStr">
        <is>
          <t>Holmen skog AB</t>
        </is>
      </c>
      <c r="G543" t="n">
        <v>0.7</v>
      </c>
      <c r="H543" t="n">
        <v>0</v>
      </c>
      <c r="I543" t="n">
        <v>0</v>
      </c>
      <c r="J543" t="n">
        <v>0</v>
      </c>
      <c r="K543" t="n">
        <v>0</v>
      </c>
      <c r="L543" t="n">
        <v>0</v>
      </c>
      <c r="M543" t="n">
        <v>0</v>
      </c>
      <c r="N543" t="n">
        <v>0</v>
      </c>
      <c r="O543" t="n">
        <v>0</v>
      </c>
      <c r="P543" t="n">
        <v>0</v>
      </c>
      <c r="Q543" t="n">
        <v>0</v>
      </c>
      <c r="R543" s="2" t="inlineStr"/>
    </row>
    <row r="544" ht="15" customHeight="1">
      <c r="A544" t="inlineStr">
        <is>
          <t>A 25433-2024</t>
        </is>
      </c>
      <c r="B544" s="1" t="n">
        <v>45463</v>
      </c>
      <c r="C544" s="1" t="n">
        <v>45987</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22304-2024</t>
        </is>
      </c>
      <c r="B545" s="1" t="n">
        <v>45446.56626157407</v>
      </c>
      <c r="C545" s="1" t="n">
        <v>45987</v>
      </c>
      <c r="D545" t="inlineStr">
        <is>
          <t>SÖDERMANLANDS LÄN</t>
        </is>
      </c>
      <c r="E545" t="inlineStr">
        <is>
          <t>KATRINEHOLM</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14224-2024</t>
        </is>
      </c>
      <c r="B546" s="1" t="n">
        <v>45393</v>
      </c>
      <c r="C546" s="1" t="n">
        <v>45987</v>
      </c>
      <c r="D546" t="inlineStr">
        <is>
          <t>SÖDERMANLANDS LÄN</t>
        </is>
      </c>
      <c r="E546" t="inlineStr">
        <is>
          <t>KATRINEHOLM</t>
        </is>
      </c>
      <c r="F546" t="inlineStr">
        <is>
          <t>Sveaskog</t>
        </is>
      </c>
      <c r="G546" t="n">
        <v>7.6</v>
      </c>
      <c r="H546" t="n">
        <v>0</v>
      </c>
      <c r="I546" t="n">
        <v>0</v>
      </c>
      <c r="J546" t="n">
        <v>0</v>
      </c>
      <c r="K546" t="n">
        <v>0</v>
      </c>
      <c r="L546" t="n">
        <v>0</v>
      </c>
      <c r="M546" t="n">
        <v>0</v>
      </c>
      <c r="N546" t="n">
        <v>0</v>
      </c>
      <c r="O546" t="n">
        <v>0</v>
      </c>
      <c r="P546" t="n">
        <v>0</v>
      </c>
      <c r="Q546" t="n">
        <v>0</v>
      </c>
      <c r="R546" s="2" t="inlineStr"/>
    </row>
    <row r="547" ht="15" customHeight="1">
      <c r="A547" t="inlineStr">
        <is>
          <t>A 23341-2023</t>
        </is>
      </c>
      <c r="B547" s="1" t="n">
        <v>45076</v>
      </c>
      <c r="C547" s="1" t="n">
        <v>45987</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36366-2023</t>
        </is>
      </c>
      <c r="B548" s="1" t="n">
        <v>45152</v>
      </c>
      <c r="C548" s="1" t="n">
        <v>45987</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36021-2023</t>
        </is>
      </c>
      <c r="B549" s="1" t="n">
        <v>45148</v>
      </c>
      <c r="C549" s="1" t="n">
        <v>45987</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28597-2024</t>
        </is>
      </c>
      <c r="B550" s="1" t="n">
        <v>45478</v>
      </c>
      <c r="C550" s="1" t="n">
        <v>45987</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29198-2023</t>
        </is>
      </c>
      <c r="B551" s="1" t="n">
        <v>45105</v>
      </c>
      <c r="C551" s="1" t="n">
        <v>45987</v>
      </c>
      <c r="D551" t="inlineStr">
        <is>
          <t>SÖDERMANLANDS LÄN</t>
        </is>
      </c>
      <c r="E551" t="inlineStr">
        <is>
          <t>KATRINEHOLM</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45987</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41267-2023</t>
        </is>
      </c>
      <c r="B553" s="1" t="n">
        <v>45174</v>
      </c>
      <c r="C553" s="1" t="n">
        <v>45987</v>
      </c>
      <c r="D553" t="inlineStr">
        <is>
          <t>SÖDERMANLANDS LÄN</t>
        </is>
      </c>
      <c r="E553" t="inlineStr">
        <is>
          <t>KATRINEHOLM</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4650-2024</t>
        </is>
      </c>
      <c r="B554" s="1" t="n">
        <v>45328</v>
      </c>
      <c r="C554" s="1" t="n">
        <v>45987</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4652-2024</t>
        </is>
      </c>
      <c r="B555" s="1" t="n">
        <v>45328</v>
      </c>
      <c r="C555" s="1" t="n">
        <v>45987</v>
      </c>
      <c r="D555" t="inlineStr">
        <is>
          <t>SÖDERMANLANDS LÄN</t>
        </is>
      </c>
      <c r="E555" t="inlineStr">
        <is>
          <t>KATRINEHOLM</t>
        </is>
      </c>
      <c r="F555" t="inlineStr">
        <is>
          <t>Övriga Aktiebolag</t>
        </is>
      </c>
      <c r="G555" t="n">
        <v>6.1</v>
      </c>
      <c r="H555" t="n">
        <v>0</v>
      </c>
      <c r="I555" t="n">
        <v>0</v>
      </c>
      <c r="J555" t="n">
        <v>0</v>
      </c>
      <c r="K555" t="n">
        <v>0</v>
      </c>
      <c r="L555" t="n">
        <v>0</v>
      </c>
      <c r="M555" t="n">
        <v>0</v>
      </c>
      <c r="N555" t="n">
        <v>0</v>
      </c>
      <c r="O555" t="n">
        <v>0</v>
      </c>
      <c r="P555" t="n">
        <v>0</v>
      </c>
      <c r="Q555" t="n">
        <v>0</v>
      </c>
      <c r="R555" s="2" t="inlineStr"/>
    </row>
    <row r="556" ht="15" customHeight="1">
      <c r="A556" t="inlineStr">
        <is>
          <t>A 29008-2024</t>
        </is>
      </c>
      <c r="B556" s="1" t="n">
        <v>45481</v>
      </c>
      <c r="C556" s="1" t="n">
        <v>45987</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9936-2023</t>
        </is>
      </c>
      <c r="B557" s="1" t="n">
        <v>44985.47086805556</v>
      </c>
      <c r="C557" s="1" t="n">
        <v>45987</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4645-2024</t>
        </is>
      </c>
      <c r="B558" s="1" t="n">
        <v>45328</v>
      </c>
      <c r="C558" s="1" t="n">
        <v>45987</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36001-2024</t>
        </is>
      </c>
      <c r="B559" s="1" t="n">
        <v>45533.54609953704</v>
      </c>
      <c r="C559" s="1" t="n">
        <v>45987</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36832-2023</t>
        </is>
      </c>
      <c r="B560" s="1" t="n">
        <v>45153</v>
      </c>
      <c r="C560" s="1" t="n">
        <v>45987</v>
      </c>
      <c r="D560" t="inlineStr">
        <is>
          <t>SÖDERMANLANDS LÄN</t>
        </is>
      </c>
      <c r="E560" t="inlineStr">
        <is>
          <t>KATRINEHOLM</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28931-2024</t>
        </is>
      </c>
      <c r="B561" s="1" t="n">
        <v>45479</v>
      </c>
      <c r="C561" s="1" t="n">
        <v>45987</v>
      </c>
      <c r="D561" t="inlineStr">
        <is>
          <t>SÖDERMANLANDS LÄN</t>
        </is>
      </c>
      <c r="E561" t="inlineStr">
        <is>
          <t>KATRINEHOLM</t>
        </is>
      </c>
      <c r="G561" t="n">
        <v>7.4</v>
      </c>
      <c r="H561" t="n">
        <v>0</v>
      </c>
      <c r="I561" t="n">
        <v>0</v>
      </c>
      <c r="J561" t="n">
        <v>0</v>
      </c>
      <c r="K561" t="n">
        <v>0</v>
      </c>
      <c r="L561" t="n">
        <v>0</v>
      </c>
      <c r="M561" t="n">
        <v>0</v>
      </c>
      <c r="N561" t="n">
        <v>0</v>
      </c>
      <c r="O561" t="n">
        <v>0</v>
      </c>
      <c r="P561" t="n">
        <v>0</v>
      </c>
      <c r="Q561" t="n">
        <v>0</v>
      </c>
      <c r="R561" s="2" t="inlineStr"/>
    </row>
    <row r="562" ht="15" customHeight="1">
      <c r="A562" t="inlineStr">
        <is>
          <t>A 6810-2023</t>
        </is>
      </c>
      <c r="B562" s="1" t="n">
        <v>44964</v>
      </c>
      <c r="C562" s="1" t="n">
        <v>45987</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32944-2023</t>
        </is>
      </c>
      <c r="B563" s="1" t="n">
        <v>45125</v>
      </c>
      <c r="C563" s="1" t="n">
        <v>45987</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29977-2023</t>
        </is>
      </c>
      <c r="B564" s="1" t="n">
        <v>45108</v>
      </c>
      <c r="C564" s="1" t="n">
        <v>45987</v>
      </c>
      <c r="D564" t="inlineStr">
        <is>
          <t>SÖDERMANLANDS LÄN</t>
        </is>
      </c>
      <c r="E564" t="inlineStr">
        <is>
          <t>KATRINEHOLM</t>
        </is>
      </c>
      <c r="G564" t="n">
        <v>2.4</v>
      </c>
      <c r="H564" t="n">
        <v>0</v>
      </c>
      <c r="I564" t="n">
        <v>0</v>
      </c>
      <c r="J564" t="n">
        <v>0</v>
      </c>
      <c r="K564" t="n">
        <v>0</v>
      </c>
      <c r="L564" t="n">
        <v>0</v>
      </c>
      <c r="M564" t="n">
        <v>0</v>
      </c>
      <c r="N564" t="n">
        <v>0</v>
      </c>
      <c r="O564" t="n">
        <v>0</v>
      </c>
      <c r="P564" t="n">
        <v>0</v>
      </c>
      <c r="Q564" t="n">
        <v>0</v>
      </c>
      <c r="R564" s="2" t="inlineStr"/>
    </row>
    <row r="565" ht="15" customHeight="1">
      <c r="A565" t="inlineStr">
        <is>
          <t>A 5788-2022</t>
        </is>
      </c>
      <c r="B565" s="1" t="n">
        <v>44596.54990740741</v>
      </c>
      <c r="C565" s="1" t="n">
        <v>45987</v>
      </c>
      <c r="D565" t="inlineStr">
        <is>
          <t>SÖDERMANLANDS LÄN</t>
        </is>
      </c>
      <c r="E565" t="inlineStr">
        <is>
          <t>KATRINEHOLM</t>
        </is>
      </c>
      <c r="G565" t="n">
        <v>4.1</v>
      </c>
      <c r="H565" t="n">
        <v>0</v>
      </c>
      <c r="I565" t="n">
        <v>0</v>
      </c>
      <c r="J565" t="n">
        <v>0</v>
      </c>
      <c r="K565" t="n">
        <v>0</v>
      </c>
      <c r="L565" t="n">
        <v>0</v>
      </c>
      <c r="M565" t="n">
        <v>0</v>
      </c>
      <c r="N565" t="n">
        <v>0</v>
      </c>
      <c r="O565" t="n">
        <v>0</v>
      </c>
      <c r="P565" t="n">
        <v>0</v>
      </c>
      <c r="Q565" t="n">
        <v>0</v>
      </c>
      <c r="R565" s="2" t="inlineStr"/>
    </row>
    <row r="566" ht="15" customHeight="1">
      <c r="A566" t="inlineStr">
        <is>
          <t>A 20803-2024</t>
        </is>
      </c>
      <c r="B566" s="1" t="n">
        <v>45438</v>
      </c>
      <c r="C566" s="1" t="n">
        <v>45987</v>
      </c>
      <c r="D566" t="inlineStr">
        <is>
          <t>SÖDERMANLANDS LÄN</t>
        </is>
      </c>
      <c r="E566" t="inlineStr">
        <is>
          <t>KATRINEHOLM</t>
        </is>
      </c>
      <c r="G566" t="n">
        <v>1.5</v>
      </c>
      <c r="H566" t="n">
        <v>0</v>
      </c>
      <c r="I566" t="n">
        <v>0</v>
      </c>
      <c r="J566" t="n">
        <v>0</v>
      </c>
      <c r="K566" t="n">
        <v>0</v>
      </c>
      <c r="L566" t="n">
        <v>0</v>
      </c>
      <c r="M566" t="n">
        <v>0</v>
      </c>
      <c r="N566" t="n">
        <v>0</v>
      </c>
      <c r="O566" t="n">
        <v>0</v>
      </c>
      <c r="P566" t="n">
        <v>0</v>
      </c>
      <c r="Q566" t="n">
        <v>0</v>
      </c>
      <c r="R566" s="2" t="inlineStr"/>
    </row>
    <row r="567" ht="15" customHeight="1">
      <c r="A567" t="inlineStr">
        <is>
          <t>A 5795-2022</t>
        </is>
      </c>
      <c r="B567" s="1" t="n">
        <v>44596</v>
      </c>
      <c r="C567" s="1" t="n">
        <v>45987</v>
      </c>
      <c r="D567" t="inlineStr">
        <is>
          <t>SÖDERMANLANDS LÄN</t>
        </is>
      </c>
      <c r="E567" t="inlineStr">
        <is>
          <t>KATRINEHOLM</t>
        </is>
      </c>
      <c r="G567" t="n">
        <v>8.1</v>
      </c>
      <c r="H567" t="n">
        <v>0</v>
      </c>
      <c r="I567" t="n">
        <v>0</v>
      </c>
      <c r="J567" t="n">
        <v>0</v>
      </c>
      <c r="K567" t="n">
        <v>0</v>
      </c>
      <c r="L567" t="n">
        <v>0</v>
      </c>
      <c r="M567" t="n">
        <v>0</v>
      </c>
      <c r="N567" t="n">
        <v>0</v>
      </c>
      <c r="O567" t="n">
        <v>0</v>
      </c>
      <c r="P567" t="n">
        <v>0</v>
      </c>
      <c r="Q567" t="n">
        <v>0</v>
      </c>
      <c r="R567" s="2" t="inlineStr"/>
    </row>
    <row r="568" ht="15" customHeight="1">
      <c r="A568" t="inlineStr">
        <is>
          <t>A 3075-2022</t>
        </is>
      </c>
      <c r="B568" s="1" t="n">
        <v>44582</v>
      </c>
      <c r="C568" s="1" t="n">
        <v>45987</v>
      </c>
      <c r="D568" t="inlineStr">
        <is>
          <t>SÖDERMANLANDS LÄN</t>
        </is>
      </c>
      <c r="E568" t="inlineStr">
        <is>
          <t>KATRINEHOLM</t>
        </is>
      </c>
      <c r="G568" t="n">
        <v>3.5</v>
      </c>
      <c r="H568" t="n">
        <v>0</v>
      </c>
      <c r="I568" t="n">
        <v>0</v>
      </c>
      <c r="J568" t="n">
        <v>0</v>
      </c>
      <c r="K568" t="n">
        <v>0</v>
      </c>
      <c r="L568" t="n">
        <v>0</v>
      </c>
      <c r="M568" t="n">
        <v>0</v>
      </c>
      <c r="N568" t="n">
        <v>0</v>
      </c>
      <c r="O568" t="n">
        <v>0</v>
      </c>
      <c r="P568" t="n">
        <v>0</v>
      </c>
      <c r="Q568" t="n">
        <v>0</v>
      </c>
      <c r="R568" s="2" t="inlineStr"/>
    </row>
    <row r="569" ht="15" customHeight="1">
      <c r="A569" t="inlineStr">
        <is>
          <t>A 73409-2021</t>
        </is>
      </c>
      <c r="B569" s="1" t="n">
        <v>44551</v>
      </c>
      <c r="C569" s="1" t="n">
        <v>45987</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73415-2021</t>
        </is>
      </c>
      <c r="B570" s="1" t="n">
        <v>44551</v>
      </c>
      <c r="C570" s="1" t="n">
        <v>45987</v>
      </c>
      <c r="D570" t="inlineStr">
        <is>
          <t>SÖDERMANLANDS LÄN</t>
        </is>
      </c>
      <c r="E570" t="inlineStr">
        <is>
          <t>KATRINEHOLM</t>
        </is>
      </c>
      <c r="G570" t="n">
        <v>3.2</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44609.53502314815</v>
      </c>
      <c r="C571" s="1" t="n">
        <v>45987</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50935-2023</t>
        </is>
      </c>
      <c r="B572" s="1" t="n">
        <v>45211</v>
      </c>
      <c r="C572" s="1" t="n">
        <v>45987</v>
      </c>
      <c r="D572" t="inlineStr">
        <is>
          <t>SÖDERMANLANDS LÄN</t>
        </is>
      </c>
      <c r="E572" t="inlineStr">
        <is>
          <t>KATRINEHOLM</t>
        </is>
      </c>
      <c r="G572" t="n">
        <v>0.7</v>
      </c>
      <c r="H572" t="n">
        <v>0</v>
      </c>
      <c r="I572" t="n">
        <v>0</v>
      </c>
      <c r="J572" t="n">
        <v>0</v>
      </c>
      <c r="K572" t="n">
        <v>0</v>
      </c>
      <c r="L572" t="n">
        <v>0</v>
      </c>
      <c r="M572" t="n">
        <v>0</v>
      </c>
      <c r="N572" t="n">
        <v>0</v>
      </c>
      <c r="O572" t="n">
        <v>0</v>
      </c>
      <c r="P572" t="n">
        <v>0</v>
      </c>
      <c r="Q572" t="n">
        <v>0</v>
      </c>
      <c r="R572" s="2" t="inlineStr"/>
    </row>
    <row r="573" ht="15" customHeight="1">
      <c r="A573" t="inlineStr">
        <is>
          <t>A 6298-2024</t>
        </is>
      </c>
      <c r="B573" s="1" t="n">
        <v>45338.34245370371</v>
      </c>
      <c r="C573" s="1" t="n">
        <v>45987</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33001-2024</t>
        </is>
      </c>
      <c r="B574" s="1" t="n">
        <v>45517</v>
      </c>
      <c r="C574" s="1" t="n">
        <v>45987</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58175-2024</t>
        </is>
      </c>
      <c r="B575" s="1" t="n">
        <v>45632.46648148148</v>
      </c>
      <c r="C575" s="1" t="n">
        <v>45987</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53715-2023</t>
        </is>
      </c>
      <c r="B576" s="1" t="n">
        <v>45230</v>
      </c>
      <c r="C576" s="1" t="n">
        <v>45987</v>
      </c>
      <c r="D576" t="inlineStr">
        <is>
          <t>SÖDERMANLANDS LÄN</t>
        </is>
      </c>
      <c r="E576" t="inlineStr">
        <is>
          <t>KATRINEHOLM</t>
        </is>
      </c>
      <c r="F576" t="inlineStr">
        <is>
          <t>Allmännings- och besparingsskogar</t>
        </is>
      </c>
      <c r="G576" t="n">
        <v>5.6</v>
      </c>
      <c r="H576" t="n">
        <v>0</v>
      </c>
      <c r="I576" t="n">
        <v>0</v>
      </c>
      <c r="J576" t="n">
        <v>0</v>
      </c>
      <c r="K576" t="n">
        <v>0</v>
      </c>
      <c r="L576" t="n">
        <v>0</v>
      </c>
      <c r="M576" t="n">
        <v>0</v>
      </c>
      <c r="N576" t="n">
        <v>0</v>
      </c>
      <c r="O576" t="n">
        <v>0</v>
      </c>
      <c r="P576" t="n">
        <v>0</v>
      </c>
      <c r="Q576" t="n">
        <v>0</v>
      </c>
      <c r="R576" s="2" t="inlineStr"/>
    </row>
    <row r="577" ht="15" customHeight="1">
      <c r="A577" t="inlineStr">
        <is>
          <t>A 23705-2023</t>
        </is>
      </c>
      <c r="B577" s="1" t="n">
        <v>45077</v>
      </c>
      <c r="C577" s="1" t="n">
        <v>45987</v>
      </c>
      <c r="D577" t="inlineStr">
        <is>
          <t>SÖDERMANLANDS LÄN</t>
        </is>
      </c>
      <c r="E577" t="inlineStr">
        <is>
          <t>KATRINEHOLM</t>
        </is>
      </c>
      <c r="F577" t="inlineStr">
        <is>
          <t>Kyrkan</t>
        </is>
      </c>
      <c r="G577" t="n">
        <v>11.9</v>
      </c>
      <c r="H577" t="n">
        <v>0</v>
      </c>
      <c r="I577" t="n">
        <v>0</v>
      </c>
      <c r="J577" t="n">
        <v>0</v>
      </c>
      <c r="K577" t="n">
        <v>0</v>
      </c>
      <c r="L577" t="n">
        <v>0</v>
      </c>
      <c r="M577" t="n">
        <v>0</v>
      </c>
      <c r="N577" t="n">
        <v>0</v>
      </c>
      <c r="O577" t="n">
        <v>0</v>
      </c>
      <c r="P577" t="n">
        <v>0</v>
      </c>
      <c r="Q577" t="n">
        <v>0</v>
      </c>
      <c r="R577" s="2" t="inlineStr"/>
    </row>
    <row r="578" ht="15" customHeight="1">
      <c r="A578" t="inlineStr">
        <is>
          <t>A 39120-2023</t>
        </is>
      </c>
      <c r="B578" s="1" t="n">
        <v>45165</v>
      </c>
      <c r="C578" s="1" t="n">
        <v>45987</v>
      </c>
      <c r="D578" t="inlineStr">
        <is>
          <t>SÖDERMANLANDS LÄN</t>
        </is>
      </c>
      <c r="E578" t="inlineStr">
        <is>
          <t>KATRINEHOLM</t>
        </is>
      </c>
      <c r="G578" t="n">
        <v>4.4</v>
      </c>
      <c r="H578" t="n">
        <v>0</v>
      </c>
      <c r="I578" t="n">
        <v>0</v>
      </c>
      <c r="J578" t="n">
        <v>0</v>
      </c>
      <c r="K578" t="n">
        <v>0</v>
      </c>
      <c r="L578" t="n">
        <v>0</v>
      </c>
      <c r="M578" t="n">
        <v>0</v>
      </c>
      <c r="N578" t="n">
        <v>0</v>
      </c>
      <c r="O578" t="n">
        <v>0</v>
      </c>
      <c r="P578" t="n">
        <v>0</v>
      </c>
      <c r="Q578" t="n">
        <v>0</v>
      </c>
      <c r="R578" s="2" t="inlineStr"/>
    </row>
    <row r="579" ht="15" customHeight="1">
      <c r="A579" t="inlineStr">
        <is>
          <t>A 51397-2023</t>
        </is>
      </c>
      <c r="B579" s="1" t="n">
        <v>45214</v>
      </c>
      <c r="C579" s="1" t="n">
        <v>45987</v>
      </c>
      <c r="D579" t="inlineStr">
        <is>
          <t>SÖDERMANLANDS LÄN</t>
        </is>
      </c>
      <c r="E579" t="inlineStr">
        <is>
          <t>KATRINEHOLM</t>
        </is>
      </c>
      <c r="G579" t="n">
        <v>4.9</v>
      </c>
      <c r="H579" t="n">
        <v>0</v>
      </c>
      <c r="I579" t="n">
        <v>0</v>
      </c>
      <c r="J579" t="n">
        <v>0</v>
      </c>
      <c r="K579" t="n">
        <v>0</v>
      </c>
      <c r="L579" t="n">
        <v>0</v>
      </c>
      <c r="M579" t="n">
        <v>0</v>
      </c>
      <c r="N579" t="n">
        <v>0</v>
      </c>
      <c r="O579" t="n">
        <v>0</v>
      </c>
      <c r="P579" t="n">
        <v>0</v>
      </c>
      <c r="Q579" t="n">
        <v>0</v>
      </c>
      <c r="R579" s="2" t="inlineStr"/>
    </row>
    <row r="580" ht="15" customHeight="1">
      <c r="A580" t="inlineStr">
        <is>
          <t>A 19452-2023</t>
        </is>
      </c>
      <c r="B580" s="1" t="n">
        <v>45050</v>
      </c>
      <c r="C580" s="1" t="n">
        <v>45987</v>
      </c>
      <c r="D580" t="inlineStr">
        <is>
          <t>SÖDERMANLANDS LÄN</t>
        </is>
      </c>
      <c r="E580" t="inlineStr">
        <is>
          <t>KATRINEHOLM</t>
        </is>
      </c>
      <c r="F580" t="inlineStr">
        <is>
          <t>Holmen skog AB</t>
        </is>
      </c>
      <c r="G580" t="n">
        <v>4.7</v>
      </c>
      <c r="H580" t="n">
        <v>0</v>
      </c>
      <c r="I580" t="n">
        <v>0</v>
      </c>
      <c r="J580" t="n">
        <v>0</v>
      </c>
      <c r="K580" t="n">
        <v>0</v>
      </c>
      <c r="L580" t="n">
        <v>0</v>
      </c>
      <c r="M580" t="n">
        <v>0</v>
      </c>
      <c r="N580" t="n">
        <v>0</v>
      </c>
      <c r="O580" t="n">
        <v>0</v>
      </c>
      <c r="P580" t="n">
        <v>0</v>
      </c>
      <c r="Q580" t="n">
        <v>0</v>
      </c>
      <c r="R580" s="2" t="inlineStr"/>
    </row>
    <row r="581" ht="15" customHeight="1">
      <c r="A581" t="inlineStr">
        <is>
          <t>A 52658-2023</t>
        </is>
      </c>
      <c r="B581" s="1" t="n">
        <v>45225</v>
      </c>
      <c r="C581" s="1" t="n">
        <v>45987</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5320-2025</t>
        </is>
      </c>
      <c r="B582" s="1" t="n">
        <v>45692</v>
      </c>
      <c r="C582" s="1" t="n">
        <v>45987</v>
      </c>
      <c r="D582" t="inlineStr">
        <is>
          <t>SÖDERMANLANDS LÄN</t>
        </is>
      </c>
      <c r="E582" t="inlineStr">
        <is>
          <t>KATRINEHOLM</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2606-2025</t>
        </is>
      </c>
      <c r="B583" s="1" t="n">
        <v>45674</v>
      </c>
      <c r="C583" s="1" t="n">
        <v>45987</v>
      </c>
      <c r="D583" t="inlineStr">
        <is>
          <t>SÖDERMANLANDS LÄN</t>
        </is>
      </c>
      <c r="E583" t="inlineStr">
        <is>
          <t>KATRINEHOLM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39748-2022</t>
        </is>
      </c>
      <c r="B584" s="1" t="n">
        <v>44817</v>
      </c>
      <c r="C584" s="1" t="n">
        <v>45987</v>
      </c>
      <c r="D584" t="inlineStr">
        <is>
          <t>SÖDERMANLANDS LÄN</t>
        </is>
      </c>
      <c r="E584" t="inlineStr">
        <is>
          <t>KATRINEHOLM</t>
        </is>
      </c>
      <c r="G584" t="n">
        <v>10.2</v>
      </c>
      <c r="H584" t="n">
        <v>0</v>
      </c>
      <c r="I584" t="n">
        <v>0</v>
      </c>
      <c r="J584" t="n">
        <v>0</v>
      </c>
      <c r="K584" t="n">
        <v>0</v>
      </c>
      <c r="L584" t="n">
        <v>0</v>
      </c>
      <c r="M584" t="n">
        <v>0</v>
      </c>
      <c r="N584" t="n">
        <v>0</v>
      </c>
      <c r="O584" t="n">
        <v>0</v>
      </c>
      <c r="P584" t="n">
        <v>0</v>
      </c>
      <c r="Q584" t="n">
        <v>0</v>
      </c>
      <c r="R584" s="2" t="inlineStr"/>
    </row>
    <row r="585" ht="15" customHeight="1">
      <c r="A585" t="inlineStr">
        <is>
          <t>A 34731-2023</t>
        </is>
      </c>
      <c r="B585" s="1" t="n">
        <v>45141</v>
      </c>
      <c r="C585" s="1" t="n">
        <v>45987</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34739-2023</t>
        </is>
      </c>
      <c r="B586" s="1" t="n">
        <v>45141</v>
      </c>
      <c r="C586" s="1" t="n">
        <v>45987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20480-2022</t>
        </is>
      </c>
      <c r="B587" s="1" t="n">
        <v>44699</v>
      </c>
      <c r="C587" s="1" t="n">
        <v>45987</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50017-2023</t>
        </is>
      </c>
      <c r="B588" s="1" t="n">
        <v>45215</v>
      </c>
      <c r="C588" s="1" t="n">
        <v>45987</v>
      </c>
      <c r="D588" t="inlineStr">
        <is>
          <t>SÖDERMANLANDS LÄN</t>
        </is>
      </c>
      <c r="E588" t="inlineStr">
        <is>
          <t>KATRINEHOLM</t>
        </is>
      </c>
      <c r="G588" t="n">
        <v>0.9</v>
      </c>
      <c r="H588" t="n">
        <v>0</v>
      </c>
      <c r="I588" t="n">
        <v>0</v>
      </c>
      <c r="J588" t="n">
        <v>0</v>
      </c>
      <c r="K588" t="n">
        <v>0</v>
      </c>
      <c r="L588" t="n">
        <v>0</v>
      </c>
      <c r="M588" t="n">
        <v>0</v>
      </c>
      <c r="N588" t="n">
        <v>0</v>
      </c>
      <c r="O588" t="n">
        <v>0</v>
      </c>
      <c r="P588" t="n">
        <v>0</v>
      </c>
      <c r="Q588" t="n">
        <v>0</v>
      </c>
      <c r="R588" s="2" t="inlineStr"/>
    </row>
    <row r="589" ht="15" customHeight="1">
      <c r="A589" t="inlineStr">
        <is>
          <t>A 50018-2023</t>
        </is>
      </c>
      <c r="B589" s="1" t="n">
        <v>45215</v>
      </c>
      <c r="C589" s="1" t="n">
        <v>45987</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28508-2023</t>
        </is>
      </c>
      <c r="B590" s="1" t="n">
        <v>45103.46788194445</v>
      </c>
      <c r="C590" s="1" t="n">
        <v>45987</v>
      </c>
      <c r="D590" t="inlineStr">
        <is>
          <t>SÖDERMANLANDS LÄN</t>
        </is>
      </c>
      <c r="E590" t="inlineStr">
        <is>
          <t>KATRINEHOLM</t>
        </is>
      </c>
      <c r="F590" t="inlineStr">
        <is>
          <t>Kyrkan</t>
        </is>
      </c>
      <c r="G590" t="n">
        <v>20.5</v>
      </c>
      <c r="H590" t="n">
        <v>0</v>
      </c>
      <c r="I590" t="n">
        <v>0</v>
      </c>
      <c r="J590" t="n">
        <v>0</v>
      </c>
      <c r="K590" t="n">
        <v>0</v>
      </c>
      <c r="L590" t="n">
        <v>0</v>
      </c>
      <c r="M590" t="n">
        <v>0</v>
      </c>
      <c r="N590" t="n">
        <v>0</v>
      </c>
      <c r="O590" t="n">
        <v>0</v>
      </c>
      <c r="P590" t="n">
        <v>0</v>
      </c>
      <c r="Q590" t="n">
        <v>0</v>
      </c>
      <c r="R590" s="2" t="inlineStr"/>
    </row>
    <row r="591" ht="15" customHeight="1">
      <c r="A591" t="inlineStr">
        <is>
          <t>A 46075-2023</t>
        </is>
      </c>
      <c r="B591" s="1" t="n">
        <v>45196</v>
      </c>
      <c r="C591" s="1" t="n">
        <v>45987</v>
      </c>
      <c r="D591" t="inlineStr">
        <is>
          <t>SÖDERMANLANDS LÄN</t>
        </is>
      </c>
      <c r="E591" t="inlineStr">
        <is>
          <t>KATRINEHOLM</t>
        </is>
      </c>
      <c r="F591" t="inlineStr">
        <is>
          <t>Övriga Aktiebolag</t>
        </is>
      </c>
      <c r="G591" t="n">
        <v>9.5</v>
      </c>
      <c r="H591" t="n">
        <v>0</v>
      </c>
      <c r="I591" t="n">
        <v>0</v>
      </c>
      <c r="J591" t="n">
        <v>0</v>
      </c>
      <c r="K591" t="n">
        <v>0</v>
      </c>
      <c r="L591" t="n">
        <v>0</v>
      </c>
      <c r="M591" t="n">
        <v>0</v>
      </c>
      <c r="N591" t="n">
        <v>0</v>
      </c>
      <c r="O591" t="n">
        <v>0</v>
      </c>
      <c r="P591" t="n">
        <v>0</v>
      </c>
      <c r="Q591" t="n">
        <v>0</v>
      </c>
      <c r="R591" s="2" t="inlineStr"/>
    </row>
    <row r="592" ht="15" customHeight="1">
      <c r="A592" t="inlineStr">
        <is>
          <t>A 25823-2023</t>
        </is>
      </c>
      <c r="B592" s="1" t="n">
        <v>45090.55078703703</v>
      </c>
      <c r="C592" s="1" t="n">
        <v>45987</v>
      </c>
      <c r="D592" t="inlineStr">
        <is>
          <t>SÖDERMANLANDS LÄN</t>
        </is>
      </c>
      <c r="E592" t="inlineStr">
        <is>
          <t>KATRINEHOLM</t>
        </is>
      </c>
      <c r="F592" t="inlineStr">
        <is>
          <t>Kyrkan</t>
        </is>
      </c>
      <c r="G592" t="n">
        <v>10.2</v>
      </c>
      <c r="H592" t="n">
        <v>0</v>
      </c>
      <c r="I592" t="n">
        <v>0</v>
      </c>
      <c r="J592" t="n">
        <v>0</v>
      </c>
      <c r="K592" t="n">
        <v>0</v>
      </c>
      <c r="L592" t="n">
        <v>0</v>
      </c>
      <c r="M592" t="n">
        <v>0</v>
      </c>
      <c r="N592" t="n">
        <v>0</v>
      </c>
      <c r="O592" t="n">
        <v>0</v>
      </c>
      <c r="P592" t="n">
        <v>0</v>
      </c>
      <c r="Q592" t="n">
        <v>0</v>
      </c>
      <c r="R592" s="2" t="inlineStr"/>
    </row>
    <row r="593" ht="15" customHeight="1">
      <c r="A593" t="inlineStr">
        <is>
          <t>A 17360-2022</t>
        </is>
      </c>
      <c r="B593" s="1" t="n">
        <v>44678</v>
      </c>
      <c r="C593" s="1" t="n">
        <v>45987</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22295-2024</t>
        </is>
      </c>
      <c r="B594" s="1" t="n">
        <v>45446.56141203704</v>
      </c>
      <c r="C594" s="1" t="n">
        <v>45987</v>
      </c>
      <c r="D594" t="inlineStr">
        <is>
          <t>SÖDERMANLANDS LÄN</t>
        </is>
      </c>
      <c r="E594" t="inlineStr">
        <is>
          <t>KATRINEHOLM</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46700-2023</t>
        </is>
      </c>
      <c r="B595" s="1" t="n">
        <v>45194</v>
      </c>
      <c r="C595" s="1" t="n">
        <v>45987</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55590-2023</t>
        </is>
      </c>
      <c r="B596" s="1" t="n">
        <v>45238</v>
      </c>
      <c r="C596" s="1" t="n">
        <v>45987</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44664.55688657407</v>
      </c>
      <c r="C597" s="1" t="n">
        <v>45987</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45987</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32818-2023</t>
        </is>
      </c>
      <c r="B599" s="1" t="n">
        <v>45124.55633101852</v>
      </c>
      <c r="C599" s="1" t="n">
        <v>45987</v>
      </c>
      <c r="D599" t="inlineStr">
        <is>
          <t>SÖDERMANLANDS LÄN</t>
        </is>
      </c>
      <c r="E599" t="inlineStr">
        <is>
          <t>KATRINEHOLM</t>
        </is>
      </c>
      <c r="G599" t="n">
        <v>3.4</v>
      </c>
      <c r="H599" t="n">
        <v>0</v>
      </c>
      <c r="I599" t="n">
        <v>0</v>
      </c>
      <c r="J599" t="n">
        <v>0</v>
      </c>
      <c r="K599" t="n">
        <v>0</v>
      </c>
      <c r="L599" t="n">
        <v>0</v>
      </c>
      <c r="M599" t="n">
        <v>0</v>
      </c>
      <c r="N599" t="n">
        <v>0</v>
      </c>
      <c r="O599" t="n">
        <v>0</v>
      </c>
      <c r="P599" t="n">
        <v>0</v>
      </c>
      <c r="Q599" t="n">
        <v>0</v>
      </c>
      <c r="R599" s="2" t="inlineStr"/>
    </row>
    <row r="600" ht="15" customHeight="1">
      <c r="A600" t="inlineStr">
        <is>
          <t>A 20214-2025</t>
        </is>
      </c>
      <c r="B600" s="1" t="n">
        <v>45772.63540509259</v>
      </c>
      <c r="C600" s="1" t="n">
        <v>45987</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22272-2022</t>
        </is>
      </c>
      <c r="B601" s="1" t="n">
        <v>44712</v>
      </c>
      <c r="C601" s="1" t="n">
        <v>45987</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27334-2023</t>
        </is>
      </c>
      <c r="B602" s="1" t="n">
        <v>45096</v>
      </c>
      <c r="C602" s="1" t="n">
        <v>45987</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40186-2023</t>
        </is>
      </c>
      <c r="B603" s="1" t="n">
        <v>45169</v>
      </c>
      <c r="C603" s="1" t="n">
        <v>45987</v>
      </c>
      <c r="D603" t="inlineStr">
        <is>
          <t>SÖDERMANLANDS LÄN</t>
        </is>
      </c>
      <c r="E603" t="inlineStr">
        <is>
          <t>KATRINEHOLM</t>
        </is>
      </c>
      <c r="G603" t="n">
        <v>2.1</v>
      </c>
      <c r="H603" t="n">
        <v>0</v>
      </c>
      <c r="I603" t="n">
        <v>0</v>
      </c>
      <c r="J603" t="n">
        <v>0</v>
      </c>
      <c r="K603" t="n">
        <v>0</v>
      </c>
      <c r="L603" t="n">
        <v>0</v>
      </c>
      <c r="M603" t="n">
        <v>0</v>
      </c>
      <c r="N603" t="n">
        <v>0</v>
      </c>
      <c r="O603" t="n">
        <v>0</v>
      </c>
      <c r="P603" t="n">
        <v>0</v>
      </c>
      <c r="Q603" t="n">
        <v>0</v>
      </c>
      <c r="R603" s="2" t="inlineStr"/>
    </row>
    <row r="604" ht="15" customHeight="1">
      <c r="A604" t="inlineStr">
        <is>
          <t>A 47886-2023</t>
        </is>
      </c>
      <c r="B604" s="1" t="n">
        <v>45204</v>
      </c>
      <c r="C604" s="1" t="n">
        <v>45987</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36562-2023</t>
        </is>
      </c>
      <c r="B605" s="1" t="n">
        <v>45153</v>
      </c>
      <c r="C605" s="1" t="n">
        <v>45987</v>
      </c>
      <c r="D605" t="inlineStr">
        <is>
          <t>SÖDERMANLANDS LÄN</t>
        </is>
      </c>
      <c r="E605" t="inlineStr">
        <is>
          <t>KATRINEHOLM</t>
        </is>
      </c>
      <c r="G605" t="n">
        <v>5.8</v>
      </c>
      <c r="H605" t="n">
        <v>0</v>
      </c>
      <c r="I605" t="n">
        <v>0</v>
      </c>
      <c r="J605" t="n">
        <v>0</v>
      </c>
      <c r="K605" t="n">
        <v>0</v>
      </c>
      <c r="L605" t="n">
        <v>0</v>
      </c>
      <c r="M605" t="n">
        <v>0</v>
      </c>
      <c r="N605" t="n">
        <v>0</v>
      </c>
      <c r="O605" t="n">
        <v>0</v>
      </c>
      <c r="P605" t="n">
        <v>0</v>
      </c>
      <c r="Q605" t="n">
        <v>0</v>
      </c>
      <c r="R605" s="2" t="inlineStr"/>
    </row>
    <row r="606" ht="15" customHeight="1">
      <c r="A606" t="inlineStr">
        <is>
          <t>A 34539-2022</t>
        </is>
      </c>
      <c r="B606" s="1" t="n">
        <v>44793.50563657407</v>
      </c>
      <c r="C606" s="1" t="n">
        <v>45987</v>
      </c>
      <c r="D606" t="inlineStr">
        <is>
          <t>SÖDERMANLANDS LÄN</t>
        </is>
      </c>
      <c r="E606" t="inlineStr">
        <is>
          <t>KATRINEHOLM</t>
        </is>
      </c>
      <c r="G606" t="n">
        <v>1</v>
      </c>
      <c r="H606" t="n">
        <v>0</v>
      </c>
      <c r="I606" t="n">
        <v>0</v>
      </c>
      <c r="J606" t="n">
        <v>0</v>
      </c>
      <c r="K606" t="n">
        <v>0</v>
      </c>
      <c r="L606" t="n">
        <v>0</v>
      </c>
      <c r="M606" t="n">
        <v>0</v>
      </c>
      <c r="N606" t="n">
        <v>0</v>
      </c>
      <c r="O606" t="n">
        <v>0</v>
      </c>
      <c r="P606" t="n">
        <v>0</v>
      </c>
      <c r="Q606" t="n">
        <v>0</v>
      </c>
      <c r="R606" s="2" t="inlineStr"/>
    </row>
    <row r="607" ht="15" customHeight="1">
      <c r="A607" t="inlineStr">
        <is>
          <t>A 41205-2021</t>
        </is>
      </c>
      <c r="B607" s="1" t="n">
        <v>44424.38577546296</v>
      </c>
      <c r="C607" s="1" t="n">
        <v>45987</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24748-2024</t>
        </is>
      </c>
      <c r="B608" s="1" t="n">
        <v>45460.66567129629</v>
      </c>
      <c r="C608" s="1" t="n">
        <v>45987</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2298-2021</t>
        </is>
      </c>
      <c r="B609" s="1" t="n">
        <v>44212</v>
      </c>
      <c r="C609" s="1" t="n">
        <v>45987</v>
      </c>
      <c r="D609" t="inlineStr">
        <is>
          <t>SÖDERMANLANDS LÄN</t>
        </is>
      </c>
      <c r="E609" t="inlineStr">
        <is>
          <t>KATRINEHOLM</t>
        </is>
      </c>
      <c r="G609" t="n">
        <v>3.4</v>
      </c>
      <c r="H609" t="n">
        <v>0</v>
      </c>
      <c r="I609" t="n">
        <v>0</v>
      </c>
      <c r="J609" t="n">
        <v>0</v>
      </c>
      <c r="K609" t="n">
        <v>0</v>
      </c>
      <c r="L609" t="n">
        <v>0</v>
      </c>
      <c r="M609" t="n">
        <v>0</v>
      </c>
      <c r="N609" t="n">
        <v>0</v>
      </c>
      <c r="O609" t="n">
        <v>0</v>
      </c>
      <c r="P609" t="n">
        <v>0</v>
      </c>
      <c r="Q609" t="n">
        <v>0</v>
      </c>
      <c r="R609" s="2" t="inlineStr"/>
    </row>
    <row r="610" ht="15" customHeight="1">
      <c r="A610" t="inlineStr">
        <is>
          <t>A 40402-2022</t>
        </is>
      </c>
      <c r="B610" s="1" t="n">
        <v>44823.44353009259</v>
      </c>
      <c r="C610" s="1" t="n">
        <v>45987</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17792-2025</t>
        </is>
      </c>
      <c r="B611" s="1" t="n">
        <v>45758</v>
      </c>
      <c r="C611" s="1" t="n">
        <v>45987</v>
      </c>
      <c r="D611" t="inlineStr">
        <is>
          <t>SÖDERMANLANDS LÄN</t>
        </is>
      </c>
      <c r="E611" t="inlineStr">
        <is>
          <t>KATRINEHOLM</t>
        </is>
      </c>
      <c r="G611" t="n">
        <v>4.2</v>
      </c>
      <c r="H611" t="n">
        <v>0</v>
      </c>
      <c r="I611" t="n">
        <v>0</v>
      </c>
      <c r="J611" t="n">
        <v>0</v>
      </c>
      <c r="K611" t="n">
        <v>0</v>
      </c>
      <c r="L611" t="n">
        <v>0</v>
      </c>
      <c r="M611" t="n">
        <v>0</v>
      </c>
      <c r="N611" t="n">
        <v>0</v>
      </c>
      <c r="O611" t="n">
        <v>0</v>
      </c>
      <c r="P611" t="n">
        <v>0</v>
      </c>
      <c r="Q611" t="n">
        <v>0</v>
      </c>
      <c r="R611" s="2" t="inlineStr"/>
    </row>
    <row r="612" ht="15" customHeight="1">
      <c r="A612" t="inlineStr">
        <is>
          <t>A 17820-2025</t>
        </is>
      </c>
      <c r="B612" s="1" t="n">
        <v>45758</v>
      </c>
      <c r="C612" s="1" t="n">
        <v>45987</v>
      </c>
      <c r="D612" t="inlineStr">
        <is>
          <t>SÖDERMANLANDS LÄN</t>
        </is>
      </c>
      <c r="E612" t="inlineStr">
        <is>
          <t>KATRINEHOLM</t>
        </is>
      </c>
      <c r="G612" t="n">
        <v>5.9</v>
      </c>
      <c r="H612" t="n">
        <v>0</v>
      </c>
      <c r="I612" t="n">
        <v>0</v>
      </c>
      <c r="J612" t="n">
        <v>0</v>
      </c>
      <c r="K612" t="n">
        <v>0</v>
      </c>
      <c r="L612" t="n">
        <v>0</v>
      </c>
      <c r="M612" t="n">
        <v>0</v>
      </c>
      <c r="N612" t="n">
        <v>0</v>
      </c>
      <c r="O612" t="n">
        <v>0</v>
      </c>
      <c r="P612" t="n">
        <v>0</v>
      </c>
      <c r="Q612" t="n">
        <v>0</v>
      </c>
      <c r="R612" s="2" t="inlineStr"/>
    </row>
    <row r="613" ht="15" customHeight="1">
      <c r="A613" t="inlineStr">
        <is>
          <t>A 30387-2022</t>
        </is>
      </c>
      <c r="B613" s="1" t="n">
        <v>44760</v>
      </c>
      <c r="C613" s="1" t="n">
        <v>45987</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39052-2023</t>
        </is>
      </c>
      <c r="B614" s="1" t="n">
        <v>45163</v>
      </c>
      <c r="C614" s="1" t="n">
        <v>45987</v>
      </c>
      <c r="D614" t="inlineStr">
        <is>
          <t>SÖDERMANLANDS LÄN</t>
        </is>
      </c>
      <c r="E614" t="inlineStr">
        <is>
          <t>KATRINEHOLM</t>
        </is>
      </c>
      <c r="G614" t="n">
        <v>3</v>
      </c>
      <c r="H614" t="n">
        <v>0</v>
      </c>
      <c r="I614" t="n">
        <v>0</v>
      </c>
      <c r="J614" t="n">
        <v>0</v>
      </c>
      <c r="K614" t="n">
        <v>0</v>
      </c>
      <c r="L614" t="n">
        <v>0</v>
      </c>
      <c r="M614" t="n">
        <v>0</v>
      </c>
      <c r="N614" t="n">
        <v>0</v>
      </c>
      <c r="O614" t="n">
        <v>0</v>
      </c>
      <c r="P614" t="n">
        <v>0</v>
      </c>
      <c r="Q614" t="n">
        <v>0</v>
      </c>
      <c r="R614" s="2" t="inlineStr"/>
    </row>
    <row r="615" ht="15" customHeight="1">
      <c r="A615" t="inlineStr">
        <is>
          <t>A 8922-2024</t>
        </is>
      </c>
      <c r="B615" s="1" t="n">
        <v>45357.38601851852</v>
      </c>
      <c r="C615" s="1" t="n">
        <v>45987</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48160-2022</t>
        </is>
      </c>
      <c r="B616" s="1" t="n">
        <v>44853</v>
      </c>
      <c r="C616" s="1" t="n">
        <v>45987</v>
      </c>
      <c r="D616" t="inlineStr">
        <is>
          <t>SÖDERMANLANDS LÄN</t>
        </is>
      </c>
      <c r="E616" t="inlineStr">
        <is>
          <t>KATRINEHOLM</t>
        </is>
      </c>
      <c r="F616" t="inlineStr">
        <is>
          <t>Övriga statliga verk och myndigheter</t>
        </is>
      </c>
      <c r="G616" t="n">
        <v>2.2</v>
      </c>
      <c r="H616" t="n">
        <v>0</v>
      </c>
      <c r="I616" t="n">
        <v>0</v>
      </c>
      <c r="J616" t="n">
        <v>0</v>
      </c>
      <c r="K616" t="n">
        <v>0</v>
      </c>
      <c r="L616" t="n">
        <v>0</v>
      </c>
      <c r="M616" t="n">
        <v>0</v>
      </c>
      <c r="N616" t="n">
        <v>0</v>
      </c>
      <c r="O616" t="n">
        <v>0</v>
      </c>
      <c r="P616" t="n">
        <v>0</v>
      </c>
      <c r="Q616" t="n">
        <v>0</v>
      </c>
      <c r="R616" s="2" t="inlineStr"/>
    </row>
    <row r="617" ht="15" customHeight="1">
      <c r="A617" t="inlineStr">
        <is>
          <t>A 28317-2024</t>
        </is>
      </c>
      <c r="B617" s="1" t="n">
        <v>45477</v>
      </c>
      <c r="C617" s="1" t="n">
        <v>45987</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66393-2021</t>
        </is>
      </c>
      <c r="B618" s="1" t="n">
        <v>44518</v>
      </c>
      <c r="C618" s="1" t="n">
        <v>45987</v>
      </c>
      <c r="D618" t="inlineStr">
        <is>
          <t>SÖDERMANLANDS LÄN</t>
        </is>
      </c>
      <c r="E618" t="inlineStr">
        <is>
          <t>KATRINEHOLM</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47134-2022</t>
        </is>
      </c>
      <c r="B619" s="1" t="n">
        <v>44851</v>
      </c>
      <c r="C619" s="1" t="n">
        <v>45987</v>
      </c>
      <c r="D619" t="inlineStr">
        <is>
          <t>SÖDERMANLANDS LÄN</t>
        </is>
      </c>
      <c r="E619" t="inlineStr">
        <is>
          <t>KATRINEHOLM</t>
        </is>
      </c>
      <c r="F619" t="inlineStr">
        <is>
          <t>Övriga statliga verk och myndigheter</t>
        </is>
      </c>
      <c r="G619" t="n">
        <v>1.5</v>
      </c>
      <c r="H619" t="n">
        <v>0</v>
      </c>
      <c r="I619" t="n">
        <v>0</v>
      </c>
      <c r="J619" t="n">
        <v>0</v>
      </c>
      <c r="K619" t="n">
        <v>0</v>
      </c>
      <c r="L619" t="n">
        <v>0</v>
      </c>
      <c r="M619" t="n">
        <v>0</v>
      </c>
      <c r="N619" t="n">
        <v>0</v>
      </c>
      <c r="O619" t="n">
        <v>0</v>
      </c>
      <c r="P619" t="n">
        <v>0</v>
      </c>
      <c r="Q619" t="n">
        <v>0</v>
      </c>
      <c r="R619" s="2" t="inlineStr"/>
    </row>
    <row r="620" ht="15" customHeight="1">
      <c r="A620" t="inlineStr">
        <is>
          <t>A 1143-2024</t>
        </is>
      </c>
      <c r="B620" s="1" t="n">
        <v>45302</v>
      </c>
      <c r="C620" s="1" t="n">
        <v>45987</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3982-2024</t>
        </is>
      </c>
      <c r="B621" s="1" t="n">
        <v>45322</v>
      </c>
      <c r="C621" s="1" t="n">
        <v>45987</v>
      </c>
      <c r="D621" t="inlineStr">
        <is>
          <t>SÖDERMANLANDS LÄN</t>
        </is>
      </c>
      <c r="E621" t="inlineStr">
        <is>
          <t>KATRINEHOLM</t>
        </is>
      </c>
      <c r="G621" t="n">
        <v>3.7</v>
      </c>
      <c r="H621" t="n">
        <v>0</v>
      </c>
      <c r="I621" t="n">
        <v>0</v>
      </c>
      <c r="J621" t="n">
        <v>0</v>
      </c>
      <c r="K621" t="n">
        <v>0</v>
      </c>
      <c r="L621" t="n">
        <v>0</v>
      </c>
      <c r="M621" t="n">
        <v>0</v>
      </c>
      <c r="N621" t="n">
        <v>0</v>
      </c>
      <c r="O621" t="n">
        <v>0</v>
      </c>
      <c r="P621" t="n">
        <v>0</v>
      </c>
      <c r="Q621" t="n">
        <v>0</v>
      </c>
      <c r="R621" s="2" t="inlineStr"/>
    </row>
    <row r="622" ht="15" customHeight="1">
      <c r="A622" t="inlineStr">
        <is>
          <t>A 57263-2022</t>
        </is>
      </c>
      <c r="B622" s="1" t="n">
        <v>44895</v>
      </c>
      <c r="C622" s="1" t="n">
        <v>45987</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28431-2024</t>
        </is>
      </c>
      <c r="B623" s="1" t="n">
        <v>45477.65216435185</v>
      </c>
      <c r="C623" s="1" t="n">
        <v>45987</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62418-2023</t>
        </is>
      </c>
      <c r="B624" s="1" t="n">
        <v>45268</v>
      </c>
      <c r="C624" s="1" t="n">
        <v>45987</v>
      </c>
      <c r="D624" t="inlineStr">
        <is>
          <t>SÖDERMANLANDS LÄN</t>
        </is>
      </c>
      <c r="E624" t="inlineStr">
        <is>
          <t>KATRINEHOLM</t>
        </is>
      </c>
      <c r="G624" t="n">
        <v>3</v>
      </c>
      <c r="H624" t="n">
        <v>0</v>
      </c>
      <c r="I624" t="n">
        <v>0</v>
      </c>
      <c r="J624" t="n">
        <v>0</v>
      </c>
      <c r="K624" t="n">
        <v>0</v>
      </c>
      <c r="L624" t="n">
        <v>0</v>
      </c>
      <c r="M624" t="n">
        <v>0</v>
      </c>
      <c r="N624" t="n">
        <v>0</v>
      </c>
      <c r="O624" t="n">
        <v>0</v>
      </c>
      <c r="P624" t="n">
        <v>0</v>
      </c>
      <c r="Q624" t="n">
        <v>0</v>
      </c>
      <c r="R624" s="2" t="inlineStr"/>
    </row>
    <row r="625" ht="15" customHeight="1">
      <c r="A625" t="inlineStr">
        <is>
          <t>A 45142-2021</t>
        </is>
      </c>
      <c r="B625" s="1" t="n">
        <v>44439</v>
      </c>
      <c r="C625" s="1" t="n">
        <v>45987</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7191-2023</t>
        </is>
      </c>
      <c r="B626" s="1" t="n">
        <v>44965</v>
      </c>
      <c r="C626" s="1" t="n">
        <v>45987</v>
      </c>
      <c r="D626" t="inlineStr">
        <is>
          <t>SÖDERMANLANDS LÄN</t>
        </is>
      </c>
      <c r="E626" t="inlineStr">
        <is>
          <t>KATRINEHOLM</t>
        </is>
      </c>
      <c r="G626" t="n">
        <v>14.1</v>
      </c>
      <c r="H626" t="n">
        <v>0</v>
      </c>
      <c r="I626" t="n">
        <v>0</v>
      </c>
      <c r="J626" t="n">
        <v>0</v>
      </c>
      <c r="K626" t="n">
        <v>0</v>
      </c>
      <c r="L626" t="n">
        <v>0</v>
      </c>
      <c r="M626" t="n">
        <v>0</v>
      </c>
      <c r="N626" t="n">
        <v>0</v>
      </c>
      <c r="O626" t="n">
        <v>0</v>
      </c>
      <c r="P626" t="n">
        <v>0</v>
      </c>
      <c r="Q626" t="n">
        <v>0</v>
      </c>
      <c r="R626" s="2" t="inlineStr"/>
    </row>
    <row r="627" ht="15" customHeight="1">
      <c r="A627" t="inlineStr">
        <is>
          <t>A 66540-2021</t>
        </is>
      </c>
      <c r="B627" s="1" t="n">
        <v>44519</v>
      </c>
      <c r="C627" s="1" t="n">
        <v>45987</v>
      </c>
      <c r="D627" t="inlineStr">
        <is>
          <t>SÖDERMANLANDS LÄN</t>
        </is>
      </c>
      <c r="E627" t="inlineStr">
        <is>
          <t>KATRINEHOLM</t>
        </is>
      </c>
      <c r="F627" t="inlineStr">
        <is>
          <t>Holmen skog AB</t>
        </is>
      </c>
      <c r="G627" t="n">
        <v>0.4</v>
      </c>
      <c r="H627" t="n">
        <v>0</v>
      </c>
      <c r="I627" t="n">
        <v>0</v>
      </c>
      <c r="J627" t="n">
        <v>0</v>
      </c>
      <c r="K627" t="n">
        <v>0</v>
      </c>
      <c r="L627" t="n">
        <v>0</v>
      </c>
      <c r="M627" t="n">
        <v>0</v>
      </c>
      <c r="N627" t="n">
        <v>0</v>
      </c>
      <c r="O627" t="n">
        <v>0</v>
      </c>
      <c r="P627" t="n">
        <v>0</v>
      </c>
      <c r="Q627" t="n">
        <v>0</v>
      </c>
      <c r="R627" s="2" t="inlineStr"/>
    </row>
    <row r="628" ht="15" customHeight="1">
      <c r="A628" t="inlineStr">
        <is>
          <t>A 8394-2024</t>
        </is>
      </c>
      <c r="B628" s="1" t="n">
        <v>45352</v>
      </c>
      <c r="C628" s="1" t="n">
        <v>45987</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13658-2023</t>
        </is>
      </c>
      <c r="B629" s="1" t="n">
        <v>45006</v>
      </c>
      <c r="C629" s="1" t="n">
        <v>45987</v>
      </c>
      <c r="D629" t="inlineStr">
        <is>
          <t>SÖDERMANLANDS LÄN</t>
        </is>
      </c>
      <c r="E629" t="inlineStr">
        <is>
          <t>KATRINEHOLM</t>
        </is>
      </c>
      <c r="F629" t="inlineStr">
        <is>
          <t>Kyrkan</t>
        </is>
      </c>
      <c r="G629" t="n">
        <v>24.3</v>
      </c>
      <c r="H629" t="n">
        <v>0</v>
      </c>
      <c r="I629" t="n">
        <v>0</v>
      </c>
      <c r="J629" t="n">
        <v>0</v>
      </c>
      <c r="K629" t="n">
        <v>0</v>
      </c>
      <c r="L629" t="n">
        <v>0</v>
      </c>
      <c r="M629" t="n">
        <v>0</v>
      </c>
      <c r="N629" t="n">
        <v>0</v>
      </c>
      <c r="O629" t="n">
        <v>0</v>
      </c>
      <c r="P629" t="n">
        <v>0</v>
      </c>
      <c r="Q629" t="n">
        <v>0</v>
      </c>
      <c r="R629" s="2" t="inlineStr"/>
    </row>
    <row r="630" ht="15" customHeight="1">
      <c r="A630" t="inlineStr">
        <is>
          <t>A 61385-2023</t>
        </is>
      </c>
      <c r="B630" s="1" t="n">
        <v>45264.64241898148</v>
      </c>
      <c r="C630" s="1" t="n">
        <v>45987</v>
      </c>
      <c r="D630" t="inlineStr">
        <is>
          <t>SÖDERMANLANDS LÄN</t>
        </is>
      </c>
      <c r="E630" t="inlineStr">
        <is>
          <t>KATRINEHOLM</t>
        </is>
      </c>
      <c r="G630" t="n">
        <v>0.4</v>
      </c>
      <c r="H630" t="n">
        <v>0</v>
      </c>
      <c r="I630" t="n">
        <v>0</v>
      </c>
      <c r="J630" t="n">
        <v>0</v>
      </c>
      <c r="K630" t="n">
        <v>0</v>
      </c>
      <c r="L630" t="n">
        <v>0</v>
      </c>
      <c r="M630" t="n">
        <v>0</v>
      </c>
      <c r="N630" t="n">
        <v>0</v>
      </c>
      <c r="O630" t="n">
        <v>0</v>
      </c>
      <c r="P630" t="n">
        <v>0</v>
      </c>
      <c r="Q630" t="n">
        <v>0</v>
      </c>
      <c r="R630" s="2" t="inlineStr"/>
    </row>
    <row r="631" ht="15" customHeight="1">
      <c r="A631" t="inlineStr">
        <is>
          <t>A 55825-2022</t>
        </is>
      </c>
      <c r="B631" s="1" t="n">
        <v>44886</v>
      </c>
      <c r="C631" s="1" t="n">
        <v>45987</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55856-2022</t>
        </is>
      </c>
      <c r="B632" s="1" t="n">
        <v>44888</v>
      </c>
      <c r="C632" s="1" t="n">
        <v>45987</v>
      </c>
      <c r="D632" t="inlineStr">
        <is>
          <t>SÖDERMANLANDS LÄN</t>
        </is>
      </c>
      <c r="E632" t="inlineStr">
        <is>
          <t>KATRINEHOLM</t>
        </is>
      </c>
      <c r="G632" t="n">
        <v>5.6</v>
      </c>
      <c r="H632" t="n">
        <v>0</v>
      </c>
      <c r="I632" t="n">
        <v>0</v>
      </c>
      <c r="J632" t="n">
        <v>0</v>
      </c>
      <c r="K632" t="n">
        <v>0</v>
      </c>
      <c r="L632" t="n">
        <v>0</v>
      </c>
      <c r="M632" t="n">
        <v>0</v>
      </c>
      <c r="N632" t="n">
        <v>0</v>
      </c>
      <c r="O632" t="n">
        <v>0</v>
      </c>
      <c r="P632" t="n">
        <v>0</v>
      </c>
      <c r="Q632" t="n">
        <v>0</v>
      </c>
      <c r="R632" s="2" t="inlineStr"/>
    </row>
    <row r="633" ht="15" customHeight="1">
      <c r="A633" t="inlineStr">
        <is>
          <t>A 43513-2023</t>
        </is>
      </c>
      <c r="B633" s="1" t="n">
        <v>45184</v>
      </c>
      <c r="C633" s="1" t="n">
        <v>45987</v>
      </c>
      <c r="D633" t="inlineStr">
        <is>
          <t>SÖDERMANLANDS LÄN</t>
        </is>
      </c>
      <c r="E633" t="inlineStr">
        <is>
          <t>KATRINEHOLM</t>
        </is>
      </c>
      <c r="G633" t="n">
        <v>3.8</v>
      </c>
      <c r="H633" t="n">
        <v>0</v>
      </c>
      <c r="I633" t="n">
        <v>0</v>
      </c>
      <c r="J633" t="n">
        <v>0</v>
      </c>
      <c r="K633" t="n">
        <v>0</v>
      </c>
      <c r="L633" t="n">
        <v>0</v>
      </c>
      <c r="M633" t="n">
        <v>0</v>
      </c>
      <c r="N633" t="n">
        <v>0</v>
      </c>
      <c r="O633" t="n">
        <v>0</v>
      </c>
      <c r="P633" t="n">
        <v>0</v>
      </c>
      <c r="Q633" t="n">
        <v>0</v>
      </c>
      <c r="R633" s="2" t="inlineStr"/>
    </row>
    <row r="634" ht="15" customHeight="1">
      <c r="A634" t="inlineStr">
        <is>
          <t>A 8951-2024</t>
        </is>
      </c>
      <c r="B634" s="1" t="n">
        <v>45357.44695601852</v>
      </c>
      <c r="C634" s="1" t="n">
        <v>45987</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8955-2024</t>
        </is>
      </c>
      <c r="B635" s="1" t="n">
        <v>45357.44873842593</v>
      </c>
      <c r="C635" s="1" t="n">
        <v>45987</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15945-2024</t>
        </is>
      </c>
      <c r="B636" s="1" t="n">
        <v>45405.48912037037</v>
      </c>
      <c r="C636" s="1" t="n">
        <v>45987</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4655-2024</t>
        </is>
      </c>
      <c r="B637" s="1" t="n">
        <v>45328</v>
      </c>
      <c r="C637" s="1" t="n">
        <v>45987</v>
      </c>
      <c r="D637" t="inlineStr">
        <is>
          <t>SÖDERMANLANDS LÄN</t>
        </is>
      </c>
      <c r="E637" t="inlineStr">
        <is>
          <t>KATRINEHOLM</t>
        </is>
      </c>
      <c r="G637" t="n">
        <v>17.7</v>
      </c>
      <c r="H637" t="n">
        <v>0</v>
      </c>
      <c r="I637" t="n">
        <v>0</v>
      </c>
      <c r="J637" t="n">
        <v>0</v>
      </c>
      <c r="K637" t="n">
        <v>0</v>
      </c>
      <c r="L637" t="n">
        <v>0</v>
      </c>
      <c r="M637" t="n">
        <v>0</v>
      </c>
      <c r="N637" t="n">
        <v>0</v>
      </c>
      <c r="O637" t="n">
        <v>0</v>
      </c>
      <c r="P637" t="n">
        <v>0</v>
      </c>
      <c r="Q637" t="n">
        <v>0</v>
      </c>
      <c r="R637" s="2" t="inlineStr"/>
    </row>
    <row r="638" ht="15" customHeight="1">
      <c r="A638" t="inlineStr">
        <is>
          <t>A 53387-2023</t>
        </is>
      </c>
      <c r="B638" s="1" t="n">
        <v>45229</v>
      </c>
      <c r="C638" s="1" t="n">
        <v>45987</v>
      </c>
      <c r="D638" t="inlineStr">
        <is>
          <t>SÖDERMANLANDS LÄN</t>
        </is>
      </c>
      <c r="E638" t="inlineStr">
        <is>
          <t>KATRINEHOLM</t>
        </is>
      </c>
      <c r="F638" t="inlineStr">
        <is>
          <t>Kyrkan</t>
        </is>
      </c>
      <c r="G638" t="n">
        <v>7.4</v>
      </c>
      <c r="H638" t="n">
        <v>0</v>
      </c>
      <c r="I638" t="n">
        <v>0</v>
      </c>
      <c r="J638" t="n">
        <v>0</v>
      </c>
      <c r="K638" t="n">
        <v>0</v>
      </c>
      <c r="L638" t="n">
        <v>0</v>
      </c>
      <c r="M638" t="n">
        <v>0</v>
      </c>
      <c r="N638" t="n">
        <v>0</v>
      </c>
      <c r="O638" t="n">
        <v>0</v>
      </c>
      <c r="P638" t="n">
        <v>0</v>
      </c>
      <c r="Q638" t="n">
        <v>0</v>
      </c>
      <c r="R638" s="2" t="inlineStr"/>
    </row>
    <row r="639" ht="15" customHeight="1">
      <c r="A639" t="inlineStr">
        <is>
          <t>A 42590-2022</t>
        </is>
      </c>
      <c r="B639" s="1" t="n">
        <v>44831</v>
      </c>
      <c r="C639" s="1" t="n">
        <v>45987</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38883-2024</t>
        </is>
      </c>
      <c r="B640" s="1" t="n">
        <v>45547</v>
      </c>
      <c r="C640" s="1" t="n">
        <v>45987</v>
      </c>
      <c r="D640" t="inlineStr">
        <is>
          <t>SÖDERMANLANDS LÄN</t>
        </is>
      </c>
      <c r="E640" t="inlineStr">
        <is>
          <t>KATRINEHOLM</t>
        </is>
      </c>
      <c r="G640" t="n">
        <v>3.1</v>
      </c>
      <c r="H640" t="n">
        <v>0</v>
      </c>
      <c r="I640" t="n">
        <v>0</v>
      </c>
      <c r="J640" t="n">
        <v>0</v>
      </c>
      <c r="K640" t="n">
        <v>0</v>
      </c>
      <c r="L640" t="n">
        <v>0</v>
      </c>
      <c r="M640" t="n">
        <v>0</v>
      </c>
      <c r="N640" t="n">
        <v>0</v>
      </c>
      <c r="O640" t="n">
        <v>0</v>
      </c>
      <c r="P640" t="n">
        <v>0</v>
      </c>
      <c r="Q640" t="n">
        <v>0</v>
      </c>
      <c r="R640" s="2" t="inlineStr"/>
    </row>
    <row r="641" ht="15" customHeight="1">
      <c r="A641" t="inlineStr">
        <is>
          <t>A 4667-2024</t>
        </is>
      </c>
      <c r="B641" s="1" t="n">
        <v>45328.47</v>
      </c>
      <c r="C641" s="1" t="n">
        <v>45987</v>
      </c>
      <c r="D641" t="inlineStr">
        <is>
          <t>SÖDERMANLANDS LÄN</t>
        </is>
      </c>
      <c r="E641" t="inlineStr">
        <is>
          <t>KATRINEHOLM</t>
        </is>
      </c>
      <c r="F641" t="inlineStr">
        <is>
          <t>Övriga Aktiebolag</t>
        </is>
      </c>
      <c r="G641" t="n">
        <v>10.2</v>
      </c>
      <c r="H641" t="n">
        <v>0</v>
      </c>
      <c r="I641" t="n">
        <v>0</v>
      </c>
      <c r="J641" t="n">
        <v>0</v>
      </c>
      <c r="K641" t="n">
        <v>0</v>
      </c>
      <c r="L641" t="n">
        <v>0</v>
      </c>
      <c r="M641" t="n">
        <v>0</v>
      </c>
      <c r="N641" t="n">
        <v>0</v>
      </c>
      <c r="O641" t="n">
        <v>0</v>
      </c>
      <c r="P641" t="n">
        <v>0</v>
      </c>
      <c r="Q641" t="n">
        <v>0</v>
      </c>
      <c r="R641" s="2" t="inlineStr"/>
    </row>
    <row r="642" ht="15" customHeight="1">
      <c r="A642" t="inlineStr">
        <is>
          <t>A 39704-2023</t>
        </is>
      </c>
      <c r="B642" s="1" t="n">
        <v>45167</v>
      </c>
      <c r="C642" s="1" t="n">
        <v>45987</v>
      </c>
      <c r="D642" t="inlineStr">
        <is>
          <t>SÖDERMANLANDS LÄN</t>
        </is>
      </c>
      <c r="E642" t="inlineStr">
        <is>
          <t>KATRINEHOLM</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16087-2023</t>
        </is>
      </c>
      <c r="B643" s="1" t="n">
        <v>45026</v>
      </c>
      <c r="C643" s="1" t="n">
        <v>45987</v>
      </c>
      <c r="D643" t="inlineStr">
        <is>
          <t>SÖDERMANLANDS LÄN</t>
        </is>
      </c>
      <c r="E643" t="inlineStr">
        <is>
          <t>KATRINEHOLM</t>
        </is>
      </c>
      <c r="G643" t="n">
        <v>2</v>
      </c>
      <c r="H643" t="n">
        <v>0</v>
      </c>
      <c r="I643" t="n">
        <v>0</v>
      </c>
      <c r="J643" t="n">
        <v>0</v>
      </c>
      <c r="K643" t="n">
        <v>0</v>
      </c>
      <c r="L643" t="n">
        <v>0</v>
      </c>
      <c r="M643" t="n">
        <v>0</v>
      </c>
      <c r="N643" t="n">
        <v>0</v>
      </c>
      <c r="O643" t="n">
        <v>0</v>
      </c>
      <c r="P643" t="n">
        <v>0</v>
      </c>
      <c r="Q643" t="n">
        <v>0</v>
      </c>
      <c r="R643" s="2" t="inlineStr"/>
    </row>
    <row r="644" ht="15" customHeight="1">
      <c r="A644" t="inlineStr">
        <is>
          <t>A 28652-2024</t>
        </is>
      </c>
      <c r="B644" s="1" t="n">
        <v>45478</v>
      </c>
      <c r="C644" s="1" t="n">
        <v>45987</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42791-2023</t>
        </is>
      </c>
      <c r="B645" s="1" t="n">
        <v>45181.92876157408</v>
      </c>
      <c r="C645" s="1" t="n">
        <v>45987</v>
      </c>
      <c r="D645" t="inlineStr">
        <is>
          <t>SÖDERMANLANDS LÄN</t>
        </is>
      </c>
      <c r="E645" t="inlineStr">
        <is>
          <t>KATRINEHOLM</t>
        </is>
      </c>
      <c r="G645" t="n">
        <v>4.1</v>
      </c>
      <c r="H645" t="n">
        <v>0</v>
      </c>
      <c r="I645" t="n">
        <v>0</v>
      </c>
      <c r="J645" t="n">
        <v>0</v>
      </c>
      <c r="K645" t="n">
        <v>0</v>
      </c>
      <c r="L645" t="n">
        <v>0</v>
      </c>
      <c r="M645" t="n">
        <v>0</v>
      </c>
      <c r="N645" t="n">
        <v>0</v>
      </c>
      <c r="O645" t="n">
        <v>0</v>
      </c>
      <c r="P645" t="n">
        <v>0</v>
      </c>
      <c r="Q645" t="n">
        <v>0</v>
      </c>
      <c r="R645" s="2" t="inlineStr"/>
    </row>
    <row r="646" ht="15" customHeight="1">
      <c r="A646" t="inlineStr">
        <is>
          <t>A 42792-2023</t>
        </is>
      </c>
      <c r="B646" s="1" t="n">
        <v>45181.95491898148</v>
      </c>
      <c r="C646" s="1" t="n">
        <v>45987</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31740-2022</t>
        </is>
      </c>
      <c r="B647" s="1" t="n">
        <v>44776</v>
      </c>
      <c r="C647" s="1" t="n">
        <v>45987</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4679-2023</t>
        </is>
      </c>
      <c r="B648" s="1" t="n">
        <v>44957.44885416667</v>
      </c>
      <c r="C648" s="1" t="n">
        <v>45987</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6087-2021</t>
        </is>
      </c>
      <c r="B649" s="1" t="n">
        <v>44232</v>
      </c>
      <c r="C649" s="1" t="n">
        <v>45987</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48528-2021</t>
        </is>
      </c>
      <c r="B650" s="1" t="n">
        <v>44449</v>
      </c>
      <c r="C650" s="1" t="n">
        <v>45987</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48398-2022</t>
        </is>
      </c>
      <c r="B651" s="1" t="n">
        <v>44858.60809027778</v>
      </c>
      <c r="C651" s="1" t="n">
        <v>45987</v>
      </c>
      <c r="D651" t="inlineStr">
        <is>
          <t>SÖDERMANLANDS LÄN</t>
        </is>
      </c>
      <c r="E651" t="inlineStr">
        <is>
          <t>KATRINEHOLM</t>
        </is>
      </c>
      <c r="G651" t="n">
        <v>1.9</v>
      </c>
      <c r="H651" t="n">
        <v>0</v>
      </c>
      <c r="I651" t="n">
        <v>0</v>
      </c>
      <c r="J651" t="n">
        <v>0</v>
      </c>
      <c r="K651" t="n">
        <v>0</v>
      </c>
      <c r="L651" t="n">
        <v>0</v>
      </c>
      <c r="M651" t="n">
        <v>0</v>
      </c>
      <c r="N651" t="n">
        <v>0</v>
      </c>
      <c r="O651" t="n">
        <v>0</v>
      </c>
      <c r="P651" t="n">
        <v>0</v>
      </c>
      <c r="Q651" t="n">
        <v>0</v>
      </c>
      <c r="R651" s="2" t="inlineStr"/>
    </row>
    <row r="652" ht="15" customHeight="1">
      <c r="A652" t="inlineStr">
        <is>
          <t>A 6753-2022</t>
        </is>
      </c>
      <c r="B652" s="1" t="n">
        <v>44602</v>
      </c>
      <c r="C652" s="1" t="n">
        <v>45987</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15184-2023</t>
        </is>
      </c>
      <c r="B653" s="1" t="n">
        <v>45016</v>
      </c>
      <c r="C653" s="1" t="n">
        <v>45987</v>
      </c>
      <c r="D653" t="inlineStr">
        <is>
          <t>SÖDERMANLANDS LÄN</t>
        </is>
      </c>
      <c r="E653" t="inlineStr">
        <is>
          <t>KATRINEHOLM</t>
        </is>
      </c>
      <c r="G653" t="n">
        <v>1.1</v>
      </c>
      <c r="H653" t="n">
        <v>0</v>
      </c>
      <c r="I653" t="n">
        <v>0</v>
      </c>
      <c r="J653" t="n">
        <v>0</v>
      </c>
      <c r="K653" t="n">
        <v>0</v>
      </c>
      <c r="L653" t="n">
        <v>0</v>
      </c>
      <c r="M653" t="n">
        <v>0</v>
      </c>
      <c r="N653" t="n">
        <v>0</v>
      </c>
      <c r="O653" t="n">
        <v>0</v>
      </c>
      <c r="P653" t="n">
        <v>0</v>
      </c>
      <c r="Q653" t="n">
        <v>0</v>
      </c>
      <c r="R653" s="2" t="inlineStr"/>
    </row>
    <row r="654" ht="15" customHeight="1">
      <c r="A654" t="inlineStr">
        <is>
          <t>A 38826-2021</t>
        </is>
      </c>
      <c r="B654" s="1" t="n">
        <v>44411</v>
      </c>
      <c r="C654" s="1" t="n">
        <v>45987</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2297-2021</t>
        </is>
      </c>
      <c r="B655" s="1" t="n">
        <v>44212</v>
      </c>
      <c r="C655" s="1" t="n">
        <v>45987</v>
      </c>
      <c r="D655" t="inlineStr">
        <is>
          <t>SÖDERMANLANDS LÄN</t>
        </is>
      </c>
      <c r="E655" t="inlineStr">
        <is>
          <t>KATRINEHOLM</t>
        </is>
      </c>
      <c r="G655" t="n">
        <v>14.4</v>
      </c>
      <c r="H655" t="n">
        <v>0</v>
      </c>
      <c r="I655" t="n">
        <v>0</v>
      </c>
      <c r="J655" t="n">
        <v>0</v>
      </c>
      <c r="K655" t="n">
        <v>0</v>
      </c>
      <c r="L655" t="n">
        <v>0</v>
      </c>
      <c r="M655" t="n">
        <v>0</v>
      </c>
      <c r="N655" t="n">
        <v>0</v>
      </c>
      <c r="O655" t="n">
        <v>0</v>
      </c>
      <c r="P655" t="n">
        <v>0</v>
      </c>
      <c r="Q655" t="n">
        <v>0</v>
      </c>
      <c r="R655" s="2" t="inlineStr"/>
    </row>
    <row r="656" ht="15" customHeight="1">
      <c r="A656" t="inlineStr">
        <is>
          <t>A 9388-2021</t>
        </is>
      </c>
      <c r="B656" s="1" t="n">
        <v>44250</v>
      </c>
      <c r="C656" s="1" t="n">
        <v>45987</v>
      </c>
      <c r="D656" t="inlineStr">
        <is>
          <t>SÖDERMANLANDS LÄN</t>
        </is>
      </c>
      <c r="E656" t="inlineStr">
        <is>
          <t>KATRINEHOLM</t>
        </is>
      </c>
      <c r="G656" t="n">
        <v>5.4</v>
      </c>
      <c r="H656" t="n">
        <v>0</v>
      </c>
      <c r="I656" t="n">
        <v>0</v>
      </c>
      <c r="J656" t="n">
        <v>0</v>
      </c>
      <c r="K656" t="n">
        <v>0</v>
      </c>
      <c r="L656" t="n">
        <v>0</v>
      </c>
      <c r="M656" t="n">
        <v>0</v>
      </c>
      <c r="N656" t="n">
        <v>0</v>
      </c>
      <c r="O656" t="n">
        <v>0</v>
      </c>
      <c r="P656" t="n">
        <v>0</v>
      </c>
      <c r="Q656" t="n">
        <v>0</v>
      </c>
      <c r="R656" s="2" t="inlineStr"/>
    </row>
    <row r="657" ht="15" customHeight="1">
      <c r="A657" t="inlineStr">
        <is>
          <t>A 29830-2023</t>
        </is>
      </c>
      <c r="B657" s="1" t="n">
        <v>45107</v>
      </c>
      <c r="C657" s="1" t="n">
        <v>45987</v>
      </c>
      <c r="D657" t="inlineStr">
        <is>
          <t>SÖDERMANLANDS LÄN</t>
        </is>
      </c>
      <c r="E657" t="inlineStr">
        <is>
          <t>KATRINEHOLM</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65358-2020</t>
        </is>
      </c>
      <c r="B658" s="1" t="n">
        <v>44173</v>
      </c>
      <c r="C658" s="1" t="n">
        <v>45987</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19098-2022</t>
        </is>
      </c>
      <c r="B659" s="1" t="n">
        <v>44691.52616898148</v>
      </c>
      <c r="C659" s="1" t="n">
        <v>45987</v>
      </c>
      <c r="D659" t="inlineStr">
        <is>
          <t>SÖDERMANLANDS LÄN</t>
        </is>
      </c>
      <c r="E659" t="inlineStr">
        <is>
          <t>KATRINEHOLM</t>
        </is>
      </c>
      <c r="G659" t="n">
        <v>5.5</v>
      </c>
      <c r="H659" t="n">
        <v>0</v>
      </c>
      <c r="I659" t="n">
        <v>0</v>
      </c>
      <c r="J659" t="n">
        <v>0</v>
      </c>
      <c r="K659" t="n">
        <v>0</v>
      </c>
      <c r="L659" t="n">
        <v>0</v>
      </c>
      <c r="M659" t="n">
        <v>0</v>
      </c>
      <c r="N659" t="n">
        <v>0</v>
      </c>
      <c r="O659" t="n">
        <v>0</v>
      </c>
      <c r="P659" t="n">
        <v>0</v>
      </c>
      <c r="Q659" t="n">
        <v>0</v>
      </c>
      <c r="R659" s="2" t="inlineStr"/>
    </row>
    <row r="660" ht="15" customHeight="1">
      <c r="A660" t="inlineStr">
        <is>
          <t>A 6628-2022</t>
        </is>
      </c>
      <c r="B660" s="1" t="n">
        <v>44601.78850694445</v>
      </c>
      <c r="C660" s="1" t="n">
        <v>45987</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72984-2021</t>
        </is>
      </c>
      <c r="B661" s="1" t="n">
        <v>44549.74741898148</v>
      </c>
      <c r="C661" s="1" t="n">
        <v>45987</v>
      </c>
      <c r="D661" t="inlineStr">
        <is>
          <t>SÖDERMANLANDS LÄN</t>
        </is>
      </c>
      <c r="E661" t="inlineStr">
        <is>
          <t>KATRINEHOLM</t>
        </is>
      </c>
      <c r="G661" t="n">
        <v>4.9</v>
      </c>
      <c r="H661" t="n">
        <v>0</v>
      </c>
      <c r="I661" t="n">
        <v>0</v>
      </c>
      <c r="J661" t="n">
        <v>0</v>
      </c>
      <c r="K661" t="n">
        <v>0</v>
      </c>
      <c r="L661" t="n">
        <v>0</v>
      </c>
      <c r="M661" t="n">
        <v>0</v>
      </c>
      <c r="N661" t="n">
        <v>0</v>
      </c>
      <c r="O661" t="n">
        <v>0</v>
      </c>
      <c r="P661" t="n">
        <v>0</v>
      </c>
      <c r="Q661" t="n">
        <v>0</v>
      </c>
      <c r="R661" s="2" t="inlineStr"/>
    </row>
    <row r="662" ht="15" customHeight="1">
      <c r="A662" t="inlineStr">
        <is>
          <t>A 2325-2023</t>
        </is>
      </c>
      <c r="B662" s="1" t="n">
        <v>44942</v>
      </c>
      <c r="C662" s="1" t="n">
        <v>45987</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46011-2021</t>
        </is>
      </c>
      <c r="B663" s="1" t="n">
        <v>44441.88092592593</v>
      </c>
      <c r="C663" s="1" t="n">
        <v>45987</v>
      </c>
      <c r="D663" t="inlineStr">
        <is>
          <t>SÖDERMANLANDS LÄN</t>
        </is>
      </c>
      <c r="E663" t="inlineStr">
        <is>
          <t>KATRINEHOLM</t>
        </is>
      </c>
      <c r="G663" t="n">
        <v>4.7</v>
      </c>
      <c r="H663" t="n">
        <v>0</v>
      </c>
      <c r="I663" t="n">
        <v>0</v>
      </c>
      <c r="J663" t="n">
        <v>0</v>
      </c>
      <c r="K663" t="n">
        <v>0</v>
      </c>
      <c r="L663" t="n">
        <v>0</v>
      </c>
      <c r="M663" t="n">
        <v>0</v>
      </c>
      <c r="N663" t="n">
        <v>0</v>
      </c>
      <c r="O663" t="n">
        <v>0</v>
      </c>
      <c r="P663" t="n">
        <v>0</v>
      </c>
      <c r="Q663" t="n">
        <v>0</v>
      </c>
      <c r="R663" s="2" t="inlineStr"/>
    </row>
    <row r="664" ht="15" customHeight="1">
      <c r="A664" t="inlineStr">
        <is>
          <t>A 62140-2022</t>
        </is>
      </c>
      <c r="B664" s="1" t="n">
        <v>44922</v>
      </c>
      <c r="C664" s="1" t="n">
        <v>45987</v>
      </c>
      <c r="D664" t="inlineStr">
        <is>
          <t>SÖDERMANLANDS LÄN</t>
        </is>
      </c>
      <c r="E664" t="inlineStr">
        <is>
          <t>KATRINEHOLM</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33934-2022</t>
        </is>
      </c>
      <c r="B665" s="1" t="n">
        <v>44790</v>
      </c>
      <c r="C665" s="1" t="n">
        <v>45987</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13171-2024</t>
        </is>
      </c>
      <c r="B666" s="1" t="n">
        <v>45386</v>
      </c>
      <c r="C666" s="1" t="n">
        <v>45987</v>
      </c>
      <c r="D666" t="inlineStr">
        <is>
          <t>SÖDERMANLANDS LÄN</t>
        </is>
      </c>
      <c r="E666" t="inlineStr">
        <is>
          <t>KATRINEHOLM</t>
        </is>
      </c>
      <c r="G666" t="n">
        <v>1</v>
      </c>
      <c r="H666" t="n">
        <v>0</v>
      </c>
      <c r="I666" t="n">
        <v>0</v>
      </c>
      <c r="J666" t="n">
        <v>0</v>
      </c>
      <c r="K666" t="n">
        <v>0</v>
      </c>
      <c r="L666" t="n">
        <v>0</v>
      </c>
      <c r="M666" t="n">
        <v>0</v>
      </c>
      <c r="N666" t="n">
        <v>0</v>
      </c>
      <c r="O666" t="n">
        <v>0</v>
      </c>
      <c r="P666" t="n">
        <v>0</v>
      </c>
      <c r="Q666" t="n">
        <v>0</v>
      </c>
      <c r="R666" s="2" t="inlineStr"/>
    </row>
    <row r="667" ht="15" customHeight="1">
      <c r="A667" t="inlineStr">
        <is>
          <t>A 59384-2022</t>
        </is>
      </c>
      <c r="B667" s="1" t="n">
        <v>44905</v>
      </c>
      <c r="C667" s="1" t="n">
        <v>45987</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13086-2023</t>
        </is>
      </c>
      <c r="B668" s="1" t="n">
        <v>45002.42188657408</v>
      </c>
      <c r="C668" s="1" t="n">
        <v>45987</v>
      </c>
      <c r="D668" t="inlineStr">
        <is>
          <t>SÖDERMANLANDS LÄN</t>
        </is>
      </c>
      <c r="E668" t="inlineStr">
        <is>
          <t>KATRINEHOLM</t>
        </is>
      </c>
      <c r="G668" t="n">
        <v>2.2</v>
      </c>
      <c r="H668" t="n">
        <v>0</v>
      </c>
      <c r="I668" t="n">
        <v>0</v>
      </c>
      <c r="J668" t="n">
        <v>0</v>
      </c>
      <c r="K668" t="n">
        <v>0</v>
      </c>
      <c r="L668" t="n">
        <v>0</v>
      </c>
      <c r="M668" t="n">
        <v>0</v>
      </c>
      <c r="N668" t="n">
        <v>0</v>
      </c>
      <c r="O668" t="n">
        <v>0</v>
      </c>
      <c r="P668" t="n">
        <v>0</v>
      </c>
      <c r="Q668" t="n">
        <v>0</v>
      </c>
      <c r="R668" s="2" t="inlineStr"/>
    </row>
    <row r="669" ht="15" customHeight="1">
      <c r="A669" t="inlineStr">
        <is>
          <t>A 19670-2022</t>
        </is>
      </c>
      <c r="B669" s="1" t="n">
        <v>44694</v>
      </c>
      <c r="C669" s="1" t="n">
        <v>45987</v>
      </c>
      <c r="D669" t="inlineStr">
        <is>
          <t>SÖDERMANLANDS LÄN</t>
        </is>
      </c>
      <c r="E669" t="inlineStr">
        <is>
          <t>KATRINEHOLM</t>
        </is>
      </c>
      <c r="G669" t="n">
        <v>13.6</v>
      </c>
      <c r="H669" t="n">
        <v>0</v>
      </c>
      <c r="I669" t="n">
        <v>0</v>
      </c>
      <c r="J669" t="n">
        <v>0</v>
      </c>
      <c r="K669" t="n">
        <v>0</v>
      </c>
      <c r="L669" t="n">
        <v>0</v>
      </c>
      <c r="M669" t="n">
        <v>0</v>
      </c>
      <c r="N669" t="n">
        <v>0</v>
      </c>
      <c r="O669" t="n">
        <v>0</v>
      </c>
      <c r="P669" t="n">
        <v>0</v>
      </c>
      <c r="Q669" t="n">
        <v>0</v>
      </c>
      <c r="R669" s="2" t="inlineStr"/>
    </row>
    <row r="670" ht="15" customHeight="1">
      <c r="A670" t="inlineStr">
        <is>
          <t>A 19107-2022</t>
        </is>
      </c>
      <c r="B670" s="1" t="n">
        <v>44691.54077546296</v>
      </c>
      <c r="C670" s="1" t="n">
        <v>45987</v>
      </c>
      <c r="D670" t="inlineStr">
        <is>
          <t>SÖDERMANLANDS LÄN</t>
        </is>
      </c>
      <c r="E670" t="inlineStr">
        <is>
          <t>KATRINEHOLM</t>
        </is>
      </c>
      <c r="G670" t="n">
        <v>1</v>
      </c>
      <c r="H670" t="n">
        <v>0</v>
      </c>
      <c r="I670" t="n">
        <v>0</v>
      </c>
      <c r="J670" t="n">
        <v>0</v>
      </c>
      <c r="K670" t="n">
        <v>0</v>
      </c>
      <c r="L670" t="n">
        <v>0</v>
      </c>
      <c r="M670" t="n">
        <v>0</v>
      </c>
      <c r="N670" t="n">
        <v>0</v>
      </c>
      <c r="O670" t="n">
        <v>0</v>
      </c>
      <c r="P670" t="n">
        <v>0</v>
      </c>
      <c r="Q670" t="n">
        <v>0</v>
      </c>
      <c r="R670" s="2" t="inlineStr"/>
    </row>
    <row r="671" ht="15" customHeight="1">
      <c r="A671" t="inlineStr">
        <is>
          <t>A 30333-2023</t>
        </is>
      </c>
      <c r="B671" s="1" t="n">
        <v>45111</v>
      </c>
      <c r="C671" s="1" t="n">
        <v>45987</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6175-2023</t>
        </is>
      </c>
      <c r="B672" s="1" t="n">
        <v>44964</v>
      </c>
      <c r="C672" s="1" t="n">
        <v>45987</v>
      </c>
      <c r="D672" t="inlineStr">
        <is>
          <t>SÖDERMANLANDS LÄN</t>
        </is>
      </c>
      <c r="E672" t="inlineStr">
        <is>
          <t>KATRINEHOLM</t>
        </is>
      </c>
      <c r="G672" t="n">
        <v>11.2</v>
      </c>
      <c r="H672" t="n">
        <v>0</v>
      </c>
      <c r="I672" t="n">
        <v>0</v>
      </c>
      <c r="J672" t="n">
        <v>0</v>
      </c>
      <c r="K672" t="n">
        <v>0</v>
      </c>
      <c r="L672" t="n">
        <v>0</v>
      </c>
      <c r="M672" t="n">
        <v>0</v>
      </c>
      <c r="N672" t="n">
        <v>0</v>
      </c>
      <c r="O672" t="n">
        <v>0</v>
      </c>
      <c r="P672" t="n">
        <v>0</v>
      </c>
      <c r="Q672" t="n">
        <v>0</v>
      </c>
      <c r="R672" s="2" t="inlineStr"/>
    </row>
    <row r="673" ht="15" customHeight="1">
      <c r="A673" t="inlineStr">
        <is>
          <t>A 11875-2023</t>
        </is>
      </c>
      <c r="B673" s="1" t="n">
        <v>44995</v>
      </c>
      <c r="C673" s="1" t="n">
        <v>45987</v>
      </c>
      <c r="D673" t="inlineStr">
        <is>
          <t>SÖDERMANLANDS LÄN</t>
        </is>
      </c>
      <c r="E673" t="inlineStr">
        <is>
          <t>KATRINEHOLM</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6796-2022</t>
        </is>
      </c>
      <c r="B674" s="1" t="n">
        <v>44602</v>
      </c>
      <c r="C674" s="1" t="n">
        <v>45987</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13612-2023</t>
        </is>
      </c>
      <c r="B675" s="1" t="n">
        <v>45006</v>
      </c>
      <c r="C675" s="1" t="n">
        <v>45987</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45987</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8765-2023</t>
        </is>
      </c>
      <c r="B677" s="1" t="n">
        <v>44978.52131944444</v>
      </c>
      <c r="C677" s="1" t="n">
        <v>45987</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57154-2023</t>
        </is>
      </c>
      <c r="B678" s="1" t="n">
        <v>45245</v>
      </c>
      <c r="C678" s="1" t="n">
        <v>45987</v>
      </c>
      <c r="D678" t="inlineStr">
        <is>
          <t>SÖDERMANLANDS LÄN</t>
        </is>
      </c>
      <c r="E678" t="inlineStr">
        <is>
          <t>KATRINEHOLM</t>
        </is>
      </c>
      <c r="F678" t="inlineStr">
        <is>
          <t>Allmännings- och besparingsskogar</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21959-2022</t>
        </is>
      </c>
      <c r="B679" s="1" t="n">
        <v>44708</v>
      </c>
      <c r="C679" s="1" t="n">
        <v>45987</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51530-2023</t>
        </is>
      </c>
      <c r="B680" s="1" t="n">
        <v>45222</v>
      </c>
      <c r="C680" s="1" t="n">
        <v>45987</v>
      </c>
      <c r="D680" t="inlineStr">
        <is>
          <t>SÖDERMANLANDS LÄN</t>
        </is>
      </c>
      <c r="E680" t="inlineStr">
        <is>
          <t>KATRINEHOLM</t>
        </is>
      </c>
      <c r="G680" t="n">
        <v>0.9</v>
      </c>
      <c r="H680" t="n">
        <v>0</v>
      </c>
      <c r="I680" t="n">
        <v>0</v>
      </c>
      <c r="J680" t="n">
        <v>0</v>
      </c>
      <c r="K680" t="n">
        <v>0</v>
      </c>
      <c r="L680" t="n">
        <v>0</v>
      </c>
      <c r="M680" t="n">
        <v>0</v>
      </c>
      <c r="N680" t="n">
        <v>0</v>
      </c>
      <c r="O680" t="n">
        <v>0</v>
      </c>
      <c r="P680" t="n">
        <v>0</v>
      </c>
      <c r="Q680" t="n">
        <v>0</v>
      </c>
      <c r="R680" s="2" t="inlineStr"/>
    </row>
    <row r="681" ht="15" customHeight="1">
      <c r="A681" t="inlineStr">
        <is>
          <t>A 23916-2023</t>
        </is>
      </c>
      <c r="B681" s="1" t="n">
        <v>45075</v>
      </c>
      <c r="C681" s="1" t="n">
        <v>45987</v>
      </c>
      <c r="D681" t="inlineStr">
        <is>
          <t>SÖDERMANLANDS LÄN</t>
        </is>
      </c>
      <c r="E681" t="inlineStr">
        <is>
          <t>KATRINEHOLM</t>
        </is>
      </c>
      <c r="G681" t="n">
        <v>8</v>
      </c>
      <c r="H681" t="n">
        <v>0</v>
      </c>
      <c r="I681" t="n">
        <v>0</v>
      </c>
      <c r="J681" t="n">
        <v>0</v>
      </c>
      <c r="K681" t="n">
        <v>0</v>
      </c>
      <c r="L681" t="n">
        <v>0</v>
      </c>
      <c r="M681" t="n">
        <v>0</v>
      </c>
      <c r="N681" t="n">
        <v>0</v>
      </c>
      <c r="O681" t="n">
        <v>0</v>
      </c>
      <c r="P681" t="n">
        <v>0</v>
      </c>
      <c r="Q681" t="n">
        <v>0</v>
      </c>
      <c r="R681" s="2" t="inlineStr"/>
    </row>
    <row r="682" ht="15" customHeight="1">
      <c r="A682" t="inlineStr">
        <is>
          <t>A 38879-2024</t>
        </is>
      </c>
      <c r="B682" s="1" t="n">
        <v>45547</v>
      </c>
      <c r="C682" s="1" t="n">
        <v>45987</v>
      </c>
      <c r="D682" t="inlineStr">
        <is>
          <t>SÖDERMANLANDS LÄN</t>
        </is>
      </c>
      <c r="E682" t="inlineStr">
        <is>
          <t>KATRINEHOLM</t>
        </is>
      </c>
      <c r="G682" t="n">
        <v>2.6</v>
      </c>
      <c r="H682" t="n">
        <v>0</v>
      </c>
      <c r="I682" t="n">
        <v>0</v>
      </c>
      <c r="J682" t="n">
        <v>0</v>
      </c>
      <c r="K682" t="n">
        <v>0</v>
      </c>
      <c r="L682" t="n">
        <v>0</v>
      </c>
      <c r="M682" t="n">
        <v>0</v>
      </c>
      <c r="N682" t="n">
        <v>0</v>
      </c>
      <c r="O682" t="n">
        <v>0</v>
      </c>
      <c r="P682" t="n">
        <v>0</v>
      </c>
      <c r="Q682" t="n">
        <v>0</v>
      </c>
      <c r="R682" s="2" t="inlineStr"/>
    </row>
    <row r="683" ht="15" customHeight="1">
      <c r="A683" t="inlineStr">
        <is>
          <t>A 64657-2020</t>
        </is>
      </c>
      <c r="B683" s="1" t="n">
        <v>44169</v>
      </c>
      <c r="C683" s="1" t="n">
        <v>45987</v>
      </c>
      <c r="D683" t="inlineStr">
        <is>
          <t>SÖDERMANLANDS LÄN</t>
        </is>
      </c>
      <c r="E683" t="inlineStr">
        <is>
          <t>KATRINEHOLM</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9437-2022</t>
        </is>
      </c>
      <c r="B684" s="1" t="n">
        <v>44616.69246527777</v>
      </c>
      <c r="C684" s="1" t="n">
        <v>45987</v>
      </c>
      <c r="D684" t="inlineStr">
        <is>
          <t>SÖDERMANLANDS LÄN</t>
        </is>
      </c>
      <c r="E684" t="inlineStr">
        <is>
          <t>KATRINEHOLM</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25362-2023</t>
        </is>
      </c>
      <c r="B685" s="1" t="n">
        <v>45088.83430555555</v>
      </c>
      <c r="C685" s="1" t="n">
        <v>45987</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4662-2023</t>
        </is>
      </c>
      <c r="B686" s="1" t="n">
        <v>44957</v>
      </c>
      <c r="C686" s="1" t="n">
        <v>45987</v>
      </c>
      <c r="D686" t="inlineStr">
        <is>
          <t>SÖDERMANLANDS LÄN</t>
        </is>
      </c>
      <c r="E686" t="inlineStr">
        <is>
          <t>KATRINEHOLM</t>
        </is>
      </c>
      <c r="F686" t="inlineStr">
        <is>
          <t>Holmen skog AB</t>
        </is>
      </c>
      <c r="G686" t="n">
        <v>0.4</v>
      </c>
      <c r="H686" t="n">
        <v>0</v>
      </c>
      <c r="I686" t="n">
        <v>0</v>
      </c>
      <c r="J686" t="n">
        <v>0</v>
      </c>
      <c r="K686" t="n">
        <v>0</v>
      </c>
      <c r="L686" t="n">
        <v>0</v>
      </c>
      <c r="M686" t="n">
        <v>0</v>
      </c>
      <c r="N686" t="n">
        <v>0</v>
      </c>
      <c r="O686" t="n">
        <v>0</v>
      </c>
      <c r="P686" t="n">
        <v>0</v>
      </c>
      <c r="Q686" t="n">
        <v>0</v>
      </c>
      <c r="R686" s="2" t="inlineStr"/>
    </row>
    <row r="687" ht="15" customHeight="1">
      <c r="A687" t="inlineStr">
        <is>
          <t>A 19685-2022</t>
        </is>
      </c>
      <c r="B687" s="1" t="n">
        <v>44694</v>
      </c>
      <c r="C687" s="1" t="n">
        <v>45987</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62419-2023</t>
        </is>
      </c>
      <c r="B688" s="1" t="n">
        <v>45268</v>
      </c>
      <c r="C688" s="1" t="n">
        <v>45987</v>
      </c>
      <c r="D688" t="inlineStr">
        <is>
          <t>SÖDERMANLANDS LÄN</t>
        </is>
      </c>
      <c r="E688" t="inlineStr">
        <is>
          <t>KATRINEHOLM</t>
        </is>
      </c>
      <c r="G688" t="n">
        <v>9</v>
      </c>
      <c r="H688" t="n">
        <v>0</v>
      </c>
      <c r="I688" t="n">
        <v>0</v>
      </c>
      <c r="J688" t="n">
        <v>0</v>
      </c>
      <c r="K688" t="n">
        <v>0</v>
      </c>
      <c r="L688" t="n">
        <v>0</v>
      </c>
      <c r="M688" t="n">
        <v>0</v>
      </c>
      <c r="N688" t="n">
        <v>0</v>
      </c>
      <c r="O688" t="n">
        <v>0</v>
      </c>
      <c r="P688" t="n">
        <v>0</v>
      </c>
      <c r="Q688" t="n">
        <v>0</v>
      </c>
      <c r="R688" s="2" t="inlineStr"/>
    </row>
    <row r="689" ht="15" customHeight="1">
      <c r="A689" t="inlineStr">
        <is>
          <t>A 39897-2023</t>
        </is>
      </c>
      <c r="B689" s="1" t="n">
        <v>45168</v>
      </c>
      <c r="C689" s="1" t="n">
        <v>45987</v>
      </c>
      <c r="D689" t="inlineStr">
        <is>
          <t>SÖDERMANLANDS LÄN</t>
        </is>
      </c>
      <c r="E689" t="inlineStr">
        <is>
          <t>KATRINEHOLM</t>
        </is>
      </c>
      <c r="G689" t="n">
        <v>15.6</v>
      </c>
      <c r="H689" t="n">
        <v>0</v>
      </c>
      <c r="I689" t="n">
        <v>0</v>
      </c>
      <c r="J689" t="n">
        <v>0</v>
      </c>
      <c r="K689" t="n">
        <v>0</v>
      </c>
      <c r="L689" t="n">
        <v>0</v>
      </c>
      <c r="M689" t="n">
        <v>0</v>
      </c>
      <c r="N689" t="n">
        <v>0</v>
      </c>
      <c r="O689" t="n">
        <v>0</v>
      </c>
      <c r="P689" t="n">
        <v>0</v>
      </c>
      <c r="Q689" t="n">
        <v>0</v>
      </c>
      <c r="R689" s="2" t="inlineStr"/>
    </row>
    <row r="690" ht="15" customHeight="1">
      <c r="A690" t="inlineStr">
        <is>
          <t>A 23207-2023</t>
        </is>
      </c>
      <c r="B690" s="1" t="n">
        <v>45071</v>
      </c>
      <c r="C690" s="1" t="n">
        <v>45987</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42025-2022</t>
        </is>
      </c>
      <c r="B691" s="1" t="n">
        <v>44830.47399305556</v>
      </c>
      <c r="C691" s="1" t="n">
        <v>45987</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8791-2023</t>
        </is>
      </c>
      <c r="B692" s="1" t="n">
        <v>44978</v>
      </c>
      <c r="C692" s="1" t="n">
        <v>45987</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48253-2022</t>
        </is>
      </c>
      <c r="B693" s="1" t="n">
        <v>44858</v>
      </c>
      <c r="C693" s="1" t="n">
        <v>45987</v>
      </c>
      <c r="D693" t="inlineStr">
        <is>
          <t>SÖDERMANLANDS LÄN</t>
        </is>
      </c>
      <c r="E693" t="inlineStr">
        <is>
          <t>KATRINEHOLM</t>
        </is>
      </c>
      <c r="G693" t="n">
        <v>4.7</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45987</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31719-2024</t>
        </is>
      </c>
      <c r="B695" s="1" t="n">
        <v>45509</v>
      </c>
      <c r="C695" s="1" t="n">
        <v>45987</v>
      </c>
      <c r="D695" t="inlineStr">
        <is>
          <t>SÖDERMANLANDS LÄN</t>
        </is>
      </c>
      <c r="E695" t="inlineStr">
        <is>
          <t>KATRINEHOLM</t>
        </is>
      </c>
      <c r="F695" t="inlineStr">
        <is>
          <t>Kyrkan</t>
        </is>
      </c>
      <c r="G695" t="n">
        <v>11.9</v>
      </c>
      <c r="H695" t="n">
        <v>0</v>
      </c>
      <c r="I695" t="n">
        <v>0</v>
      </c>
      <c r="J695" t="n">
        <v>0</v>
      </c>
      <c r="K695" t="n">
        <v>0</v>
      </c>
      <c r="L695" t="n">
        <v>0</v>
      </c>
      <c r="M695" t="n">
        <v>0</v>
      </c>
      <c r="N695" t="n">
        <v>0</v>
      </c>
      <c r="O695" t="n">
        <v>0</v>
      </c>
      <c r="P695" t="n">
        <v>0</v>
      </c>
      <c r="Q695" t="n">
        <v>0</v>
      </c>
      <c r="R695" s="2" t="inlineStr"/>
    </row>
    <row r="696" ht="15" customHeight="1">
      <c r="A696" t="inlineStr">
        <is>
          <t>A 13175-2024</t>
        </is>
      </c>
      <c r="B696" s="1" t="n">
        <v>45386</v>
      </c>
      <c r="C696" s="1" t="n">
        <v>45987</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40744-2022</t>
        </is>
      </c>
      <c r="B697" s="1" t="n">
        <v>44824.55655092592</v>
      </c>
      <c r="C697" s="1" t="n">
        <v>45987</v>
      </c>
      <c r="D697" t="inlineStr">
        <is>
          <t>SÖDERMANLANDS LÄN</t>
        </is>
      </c>
      <c r="E697" t="inlineStr">
        <is>
          <t>KATRINEHOLM</t>
        </is>
      </c>
      <c r="G697" t="n">
        <v>3.7</v>
      </c>
      <c r="H697" t="n">
        <v>0</v>
      </c>
      <c r="I697" t="n">
        <v>0</v>
      </c>
      <c r="J697" t="n">
        <v>0</v>
      </c>
      <c r="K697" t="n">
        <v>0</v>
      </c>
      <c r="L697" t="n">
        <v>0</v>
      </c>
      <c r="M697" t="n">
        <v>0</v>
      </c>
      <c r="N697" t="n">
        <v>0</v>
      </c>
      <c r="O697" t="n">
        <v>0</v>
      </c>
      <c r="P697" t="n">
        <v>0</v>
      </c>
      <c r="Q697" t="n">
        <v>0</v>
      </c>
      <c r="R697" s="2" t="inlineStr"/>
    </row>
    <row r="698" ht="15" customHeight="1">
      <c r="A698" t="inlineStr">
        <is>
          <t>A 8761-2023</t>
        </is>
      </c>
      <c r="B698" s="1" t="n">
        <v>44978.49685185185</v>
      </c>
      <c r="C698" s="1" t="n">
        <v>45987</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8778-2023</t>
        </is>
      </c>
      <c r="B699" s="1" t="n">
        <v>44978.5737037037</v>
      </c>
      <c r="C699" s="1" t="n">
        <v>45987</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8457-2023</t>
        </is>
      </c>
      <c r="B700" s="1" t="n">
        <v>44977</v>
      </c>
      <c r="C700" s="1" t="n">
        <v>45987</v>
      </c>
      <c r="D700" t="inlineStr">
        <is>
          <t>SÖDERMANLANDS LÄN</t>
        </is>
      </c>
      <c r="E700" t="inlineStr">
        <is>
          <t>KATRINEHOLM</t>
        </is>
      </c>
      <c r="F700" t="inlineStr">
        <is>
          <t>Allmännings- och besparingsskogar</t>
        </is>
      </c>
      <c r="G700" t="n">
        <v>16.1</v>
      </c>
      <c r="H700" t="n">
        <v>0</v>
      </c>
      <c r="I700" t="n">
        <v>0</v>
      </c>
      <c r="J700" t="n">
        <v>0</v>
      </c>
      <c r="K700" t="n">
        <v>0</v>
      </c>
      <c r="L700" t="n">
        <v>0</v>
      </c>
      <c r="M700" t="n">
        <v>0</v>
      </c>
      <c r="N700" t="n">
        <v>0</v>
      </c>
      <c r="O700" t="n">
        <v>0</v>
      </c>
      <c r="P700" t="n">
        <v>0</v>
      </c>
      <c r="Q700" t="n">
        <v>0</v>
      </c>
      <c r="R700" s="2" t="inlineStr"/>
    </row>
    <row r="701" ht="15" customHeight="1">
      <c r="A701" t="inlineStr">
        <is>
          <t>A 7056-2022</t>
        </is>
      </c>
      <c r="B701" s="1" t="n">
        <v>44603</v>
      </c>
      <c r="C701" s="1" t="n">
        <v>45987</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32786-2022</t>
        </is>
      </c>
      <c r="B702" s="1" t="n">
        <v>44784</v>
      </c>
      <c r="C702" s="1" t="n">
        <v>45987</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7223-2022</t>
        </is>
      </c>
      <c r="B703" s="1" t="n">
        <v>44603</v>
      </c>
      <c r="C703" s="1" t="n">
        <v>45987</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7459-2022</t>
        </is>
      </c>
      <c r="B704" s="1" t="n">
        <v>44607.35009259259</v>
      </c>
      <c r="C704" s="1" t="n">
        <v>45987</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27375-2024</t>
        </is>
      </c>
      <c r="B705" s="1" t="n">
        <v>45473.87645833333</v>
      </c>
      <c r="C705" s="1" t="n">
        <v>45987</v>
      </c>
      <c r="D705" t="inlineStr">
        <is>
          <t>SÖDERMANLANDS LÄN</t>
        </is>
      </c>
      <c r="E705" t="inlineStr">
        <is>
          <t>KATRINEHOLM</t>
        </is>
      </c>
      <c r="F705" t="inlineStr">
        <is>
          <t>Kommuner</t>
        </is>
      </c>
      <c r="G705" t="n">
        <v>1.9</v>
      </c>
      <c r="H705" t="n">
        <v>0</v>
      </c>
      <c r="I705" t="n">
        <v>0</v>
      </c>
      <c r="J705" t="n">
        <v>0</v>
      </c>
      <c r="K705" t="n">
        <v>0</v>
      </c>
      <c r="L705" t="n">
        <v>0</v>
      </c>
      <c r="M705" t="n">
        <v>0</v>
      </c>
      <c r="N705" t="n">
        <v>0</v>
      </c>
      <c r="O705" t="n">
        <v>0</v>
      </c>
      <c r="P705" t="n">
        <v>0</v>
      </c>
      <c r="Q705" t="n">
        <v>0</v>
      </c>
      <c r="R705" s="2" t="inlineStr"/>
    </row>
    <row r="706" ht="15" customHeight="1">
      <c r="A706" t="inlineStr">
        <is>
          <t>A 20768-2022</t>
        </is>
      </c>
      <c r="B706" s="1" t="n">
        <v>44701.36431712963</v>
      </c>
      <c r="C706" s="1" t="n">
        <v>45987</v>
      </c>
      <c r="D706" t="inlineStr">
        <is>
          <t>SÖDERMANLANDS LÄN</t>
        </is>
      </c>
      <c r="E706" t="inlineStr">
        <is>
          <t>KATRINEHOLM</t>
        </is>
      </c>
      <c r="G706" t="n">
        <v>3.5</v>
      </c>
      <c r="H706" t="n">
        <v>0</v>
      </c>
      <c r="I706" t="n">
        <v>0</v>
      </c>
      <c r="J706" t="n">
        <v>0</v>
      </c>
      <c r="K706" t="n">
        <v>0</v>
      </c>
      <c r="L706" t="n">
        <v>0</v>
      </c>
      <c r="M706" t="n">
        <v>0</v>
      </c>
      <c r="N706" t="n">
        <v>0</v>
      </c>
      <c r="O706" t="n">
        <v>0</v>
      </c>
      <c r="P706" t="n">
        <v>0</v>
      </c>
      <c r="Q706" t="n">
        <v>0</v>
      </c>
      <c r="R706" s="2" t="inlineStr"/>
    </row>
    <row r="707" ht="15" customHeight="1">
      <c r="A707" t="inlineStr">
        <is>
          <t>A 15284-2023</t>
        </is>
      </c>
      <c r="B707" s="1" t="n">
        <v>45019</v>
      </c>
      <c r="C707" s="1" t="n">
        <v>45987</v>
      </c>
      <c r="D707" t="inlineStr">
        <is>
          <t>SÖDERMANLANDS LÄN</t>
        </is>
      </c>
      <c r="E707" t="inlineStr">
        <is>
          <t>KATRINEHOLM</t>
        </is>
      </c>
      <c r="F707" t="inlineStr">
        <is>
          <t>Allmännings- och besparingsskogar</t>
        </is>
      </c>
      <c r="G707" t="n">
        <v>17.4</v>
      </c>
      <c r="H707" t="n">
        <v>0</v>
      </c>
      <c r="I707" t="n">
        <v>0</v>
      </c>
      <c r="J707" t="n">
        <v>0</v>
      </c>
      <c r="K707" t="n">
        <v>0</v>
      </c>
      <c r="L707" t="n">
        <v>0</v>
      </c>
      <c r="M707" t="n">
        <v>0</v>
      </c>
      <c r="N707" t="n">
        <v>0</v>
      </c>
      <c r="O707" t="n">
        <v>0</v>
      </c>
      <c r="P707" t="n">
        <v>0</v>
      </c>
      <c r="Q707" t="n">
        <v>0</v>
      </c>
      <c r="R707" s="2" t="inlineStr"/>
    </row>
    <row r="708" ht="15" customHeight="1">
      <c r="A708" t="inlineStr">
        <is>
          <t>A 51613-2022</t>
        </is>
      </c>
      <c r="B708" s="1" t="n">
        <v>44871</v>
      </c>
      <c r="C708" s="1" t="n">
        <v>45987</v>
      </c>
      <c r="D708" t="inlineStr">
        <is>
          <t>SÖDERMANLANDS LÄN</t>
        </is>
      </c>
      <c r="E708" t="inlineStr">
        <is>
          <t>KATRINEHOLM</t>
        </is>
      </c>
      <c r="G708" t="n">
        <v>3</v>
      </c>
      <c r="H708" t="n">
        <v>0</v>
      </c>
      <c r="I708" t="n">
        <v>0</v>
      </c>
      <c r="J708" t="n">
        <v>0</v>
      </c>
      <c r="K708" t="n">
        <v>0</v>
      </c>
      <c r="L708" t="n">
        <v>0</v>
      </c>
      <c r="M708" t="n">
        <v>0</v>
      </c>
      <c r="N708" t="n">
        <v>0</v>
      </c>
      <c r="O708" t="n">
        <v>0</v>
      </c>
      <c r="P708" t="n">
        <v>0</v>
      </c>
      <c r="Q708" t="n">
        <v>0</v>
      </c>
      <c r="R708" s="2" t="inlineStr"/>
    </row>
    <row r="709" ht="15" customHeight="1">
      <c r="A709" t="inlineStr">
        <is>
          <t>A 37834-2023</t>
        </is>
      </c>
      <c r="B709" s="1" t="n">
        <v>45160</v>
      </c>
      <c r="C709" s="1" t="n">
        <v>45987</v>
      </c>
      <c r="D709" t="inlineStr">
        <is>
          <t>SÖDERMANLANDS LÄN</t>
        </is>
      </c>
      <c r="E709" t="inlineStr">
        <is>
          <t>KATRINEHOLM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8475-2023</t>
        </is>
      </c>
      <c r="B710" s="1" t="n">
        <v>44977</v>
      </c>
      <c r="C710" s="1" t="n">
        <v>45987</v>
      </c>
      <c r="D710" t="inlineStr">
        <is>
          <t>SÖDERMANLANDS LÄN</t>
        </is>
      </c>
      <c r="E710" t="inlineStr">
        <is>
          <t>KATRINEHOLM</t>
        </is>
      </c>
      <c r="F710" t="inlineStr">
        <is>
          <t>Allmännings- och besparingsskogar</t>
        </is>
      </c>
      <c r="G710" t="n">
        <v>8.1</v>
      </c>
      <c r="H710" t="n">
        <v>0</v>
      </c>
      <c r="I710" t="n">
        <v>0</v>
      </c>
      <c r="J710" t="n">
        <v>0</v>
      </c>
      <c r="K710" t="n">
        <v>0</v>
      </c>
      <c r="L710" t="n">
        <v>0</v>
      </c>
      <c r="M710" t="n">
        <v>0</v>
      </c>
      <c r="N710" t="n">
        <v>0</v>
      </c>
      <c r="O710" t="n">
        <v>0</v>
      </c>
      <c r="P710" t="n">
        <v>0</v>
      </c>
      <c r="Q710" t="n">
        <v>0</v>
      </c>
      <c r="R710" s="2" t="inlineStr"/>
    </row>
    <row r="711" ht="15" customHeight="1">
      <c r="A711" t="inlineStr">
        <is>
          <t>A 32890-2024</t>
        </is>
      </c>
      <c r="B711" s="1" t="n">
        <v>45516</v>
      </c>
      <c r="C711" s="1" t="n">
        <v>45987</v>
      </c>
      <c r="D711" t="inlineStr">
        <is>
          <t>SÖDERMANLANDS LÄN</t>
        </is>
      </c>
      <c r="E711" t="inlineStr">
        <is>
          <t>KATRINEHOLM</t>
        </is>
      </c>
      <c r="G711" t="n">
        <v>2.6</v>
      </c>
      <c r="H711" t="n">
        <v>0</v>
      </c>
      <c r="I711" t="n">
        <v>0</v>
      </c>
      <c r="J711" t="n">
        <v>0</v>
      </c>
      <c r="K711" t="n">
        <v>0</v>
      </c>
      <c r="L711" t="n">
        <v>0</v>
      </c>
      <c r="M711" t="n">
        <v>0</v>
      </c>
      <c r="N711" t="n">
        <v>0</v>
      </c>
      <c r="O711" t="n">
        <v>0</v>
      </c>
      <c r="P711" t="n">
        <v>0</v>
      </c>
      <c r="Q711" t="n">
        <v>0</v>
      </c>
      <c r="R711" s="2" t="inlineStr"/>
    </row>
    <row r="712" ht="15" customHeight="1">
      <c r="A712" t="inlineStr">
        <is>
          <t>A 2320-2023</t>
        </is>
      </c>
      <c r="B712" s="1" t="n">
        <v>44942.58850694444</v>
      </c>
      <c r="C712" s="1" t="n">
        <v>45987</v>
      </c>
      <c r="D712" t="inlineStr">
        <is>
          <t>SÖDERMANLANDS LÄN</t>
        </is>
      </c>
      <c r="E712" t="inlineStr">
        <is>
          <t>KATRINEHOLM</t>
        </is>
      </c>
      <c r="G712" t="n">
        <v>1.9</v>
      </c>
      <c r="H712" t="n">
        <v>0</v>
      </c>
      <c r="I712" t="n">
        <v>0</v>
      </c>
      <c r="J712" t="n">
        <v>0</v>
      </c>
      <c r="K712" t="n">
        <v>0</v>
      </c>
      <c r="L712" t="n">
        <v>0</v>
      </c>
      <c r="M712" t="n">
        <v>0</v>
      </c>
      <c r="N712" t="n">
        <v>0</v>
      </c>
      <c r="O712" t="n">
        <v>0</v>
      </c>
      <c r="P712" t="n">
        <v>0</v>
      </c>
      <c r="Q712" t="n">
        <v>0</v>
      </c>
      <c r="R712" s="2" t="inlineStr"/>
    </row>
    <row r="713" ht="15" customHeight="1">
      <c r="A713" t="inlineStr">
        <is>
          <t>A 59898-2022</t>
        </is>
      </c>
      <c r="B713" s="1" t="n">
        <v>44908</v>
      </c>
      <c r="C713" s="1" t="n">
        <v>45987</v>
      </c>
      <c r="D713" t="inlineStr">
        <is>
          <t>SÖDERMANLANDS LÄN</t>
        </is>
      </c>
      <c r="E713" t="inlineStr">
        <is>
          <t>KATRINEHOLM</t>
        </is>
      </c>
      <c r="G713" t="n">
        <v>4.8</v>
      </c>
      <c r="H713" t="n">
        <v>0</v>
      </c>
      <c r="I713" t="n">
        <v>0</v>
      </c>
      <c r="J713" t="n">
        <v>0</v>
      </c>
      <c r="K713" t="n">
        <v>0</v>
      </c>
      <c r="L713" t="n">
        <v>0</v>
      </c>
      <c r="M713" t="n">
        <v>0</v>
      </c>
      <c r="N713" t="n">
        <v>0</v>
      </c>
      <c r="O713" t="n">
        <v>0</v>
      </c>
      <c r="P713" t="n">
        <v>0</v>
      </c>
      <c r="Q713" t="n">
        <v>0</v>
      </c>
      <c r="R713" s="2" t="inlineStr"/>
    </row>
    <row r="714" ht="15" customHeight="1">
      <c r="A714" t="inlineStr">
        <is>
          <t>A 20326-2023</t>
        </is>
      </c>
      <c r="B714" s="1" t="n">
        <v>45056.46821759259</v>
      </c>
      <c r="C714" s="1" t="n">
        <v>45987</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15392-2023</t>
        </is>
      </c>
      <c r="B715" s="1" t="n">
        <v>45016</v>
      </c>
      <c r="C715" s="1" t="n">
        <v>45987</v>
      </c>
      <c r="D715" t="inlineStr">
        <is>
          <t>SÖDERMANLANDS LÄN</t>
        </is>
      </c>
      <c r="E715" t="inlineStr">
        <is>
          <t>KATRINEHOLM</t>
        </is>
      </c>
      <c r="F715" t="inlineStr">
        <is>
          <t>Övriga Aktiebolag</t>
        </is>
      </c>
      <c r="G715" t="n">
        <v>2.7</v>
      </c>
      <c r="H715" t="n">
        <v>0</v>
      </c>
      <c r="I715" t="n">
        <v>0</v>
      </c>
      <c r="J715" t="n">
        <v>0</v>
      </c>
      <c r="K715" t="n">
        <v>0</v>
      </c>
      <c r="L715" t="n">
        <v>0</v>
      </c>
      <c r="M715" t="n">
        <v>0</v>
      </c>
      <c r="N715" t="n">
        <v>0</v>
      </c>
      <c r="O715" t="n">
        <v>0</v>
      </c>
      <c r="P715" t="n">
        <v>0</v>
      </c>
      <c r="Q715" t="n">
        <v>0</v>
      </c>
      <c r="R715" s="2" t="inlineStr"/>
    </row>
    <row r="716" ht="15" customHeight="1">
      <c r="A716" t="inlineStr">
        <is>
          <t>A 45246-2023</t>
        </is>
      </c>
      <c r="B716" s="1" t="n">
        <v>45191</v>
      </c>
      <c r="C716" s="1" t="n">
        <v>45987</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2735-2025</t>
        </is>
      </c>
      <c r="B717" s="1" t="n">
        <v>45677</v>
      </c>
      <c r="C717" s="1" t="n">
        <v>45987</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49914-2023</t>
        </is>
      </c>
      <c r="B718" s="1" t="n">
        <v>45214</v>
      </c>
      <c r="C718" s="1" t="n">
        <v>45987</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17335-2023</t>
        </is>
      </c>
      <c r="B719" s="1" t="n">
        <v>45033</v>
      </c>
      <c r="C719" s="1" t="n">
        <v>45987</v>
      </c>
      <c r="D719" t="inlineStr">
        <is>
          <t>SÖDERMANLANDS LÄN</t>
        </is>
      </c>
      <c r="E719" t="inlineStr">
        <is>
          <t>KATRINEHOLM</t>
        </is>
      </c>
      <c r="G719" t="n">
        <v>3.3</v>
      </c>
      <c r="H719" t="n">
        <v>0</v>
      </c>
      <c r="I719" t="n">
        <v>0</v>
      </c>
      <c r="J719" t="n">
        <v>0</v>
      </c>
      <c r="K719" t="n">
        <v>0</v>
      </c>
      <c r="L719" t="n">
        <v>0</v>
      </c>
      <c r="M719" t="n">
        <v>0</v>
      </c>
      <c r="N719" t="n">
        <v>0</v>
      </c>
      <c r="O719" t="n">
        <v>0</v>
      </c>
      <c r="P719" t="n">
        <v>0</v>
      </c>
      <c r="Q719" t="n">
        <v>0</v>
      </c>
      <c r="R719" s="2" t="inlineStr"/>
    </row>
    <row r="720" ht="15" customHeight="1">
      <c r="A720" t="inlineStr">
        <is>
          <t>A 16605-2025</t>
        </is>
      </c>
      <c r="B720" s="1" t="n">
        <v>45753.61614583333</v>
      </c>
      <c r="C720" s="1" t="n">
        <v>45987</v>
      </c>
      <c r="D720" t="inlineStr">
        <is>
          <t>SÖDERMANLANDS LÄN</t>
        </is>
      </c>
      <c r="E720" t="inlineStr">
        <is>
          <t>KATRINEHOLM</t>
        </is>
      </c>
      <c r="G720" t="n">
        <v>5.2</v>
      </c>
      <c r="H720" t="n">
        <v>0</v>
      </c>
      <c r="I720" t="n">
        <v>0</v>
      </c>
      <c r="J720" t="n">
        <v>0</v>
      </c>
      <c r="K720" t="n">
        <v>0</v>
      </c>
      <c r="L720" t="n">
        <v>0</v>
      </c>
      <c r="M720" t="n">
        <v>0</v>
      </c>
      <c r="N720" t="n">
        <v>0</v>
      </c>
      <c r="O720" t="n">
        <v>0</v>
      </c>
      <c r="P720" t="n">
        <v>0</v>
      </c>
      <c r="Q720" t="n">
        <v>0</v>
      </c>
      <c r="R720" s="2" t="inlineStr"/>
    </row>
    <row r="721" ht="15" customHeight="1">
      <c r="A721" t="inlineStr">
        <is>
          <t>A 33141-2023</t>
        </is>
      </c>
      <c r="B721" s="1" t="n">
        <v>45126.65491898148</v>
      </c>
      <c r="C721" s="1" t="n">
        <v>45987</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58528-2024</t>
        </is>
      </c>
      <c r="B722" s="1" t="n">
        <v>45635.44527777778</v>
      </c>
      <c r="C722" s="1" t="n">
        <v>45987</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9899-2023</t>
        </is>
      </c>
      <c r="B723" s="1" t="n">
        <v>44985</v>
      </c>
      <c r="C723" s="1" t="n">
        <v>45987</v>
      </c>
      <c r="D723" t="inlineStr">
        <is>
          <t>SÖDERMANLANDS LÄN</t>
        </is>
      </c>
      <c r="E723" t="inlineStr">
        <is>
          <t>KATRINEHOLM</t>
        </is>
      </c>
      <c r="F723" t="inlineStr">
        <is>
          <t>Allmännings- och besparingsskogar</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8288-2023</t>
        </is>
      </c>
      <c r="B724" s="1" t="n">
        <v>44974</v>
      </c>
      <c r="C724" s="1" t="n">
        <v>45987</v>
      </c>
      <c r="D724" t="inlineStr">
        <is>
          <t>SÖDERMANLANDS LÄN</t>
        </is>
      </c>
      <c r="E724" t="inlineStr">
        <is>
          <t>KATRINEHOLM</t>
        </is>
      </c>
      <c r="F724" t="inlineStr">
        <is>
          <t>Allmännings- och besparingsskogar</t>
        </is>
      </c>
      <c r="G724" t="n">
        <v>5.6</v>
      </c>
      <c r="H724" t="n">
        <v>0</v>
      </c>
      <c r="I724" t="n">
        <v>0</v>
      </c>
      <c r="J724" t="n">
        <v>0</v>
      </c>
      <c r="K724" t="n">
        <v>0</v>
      </c>
      <c r="L724" t="n">
        <v>0</v>
      </c>
      <c r="M724" t="n">
        <v>0</v>
      </c>
      <c r="N724" t="n">
        <v>0</v>
      </c>
      <c r="O724" t="n">
        <v>0</v>
      </c>
      <c r="P724" t="n">
        <v>0</v>
      </c>
      <c r="Q724" t="n">
        <v>0</v>
      </c>
      <c r="R724" s="2" t="inlineStr"/>
    </row>
    <row r="725" ht="15" customHeight="1">
      <c r="A725" t="inlineStr">
        <is>
          <t>A 3317-2023</t>
        </is>
      </c>
      <c r="B725" s="1" t="n">
        <v>44945</v>
      </c>
      <c r="C725" s="1" t="n">
        <v>45987</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37185-2023</t>
        </is>
      </c>
      <c r="B726" s="1" t="n">
        <v>45154</v>
      </c>
      <c r="C726" s="1" t="n">
        <v>45987</v>
      </c>
      <c r="D726" t="inlineStr">
        <is>
          <t>SÖDERMANLANDS LÄN</t>
        </is>
      </c>
      <c r="E726" t="inlineStr">
        <is>
          <t>KATRINEHOLM</t>
        </is>
      </c>
      <c r="G726" t="n">
        <v>3</v>
      </c>
      <c r="H726" t="n">
        <v>0</v>
      </c>
      <c r="I726" t="n">
        <v>0</v>
      </c>
      <c r="J726" t="n">
        <v>0</v>
      </c>
      <c r="K726" t="n">
        <v>0</v>
      </c>
      <c r="L726" t="n">
        <v>0</v>
      </c>
      <c r="M726" t="n">
        <v>0</v>
      </c>
      <c r="N726" t="n">
        <v>0</v>
      </c>
      <c r="O726" t="n">
        <v>0</v>
      </c>
      <c r="P726" t="n">
        <v>0</v>
      </c>
      <c r="Q726" t="n">
        <v>0</v>
      </c>
      <c r="R726" s="2" t="inlineStr"/>
    </row>
    <row r="727" ht="15" customHeight="1">
      <c r="A727" t="inlineStr">
        <is>
          <t>A 51848-2022</t>
        </is>
      </c>
      <c r="B727" s="1" t="n">
        <v>44872.57752314815</v>
      </c>
      <c r="C727" s="1" t="n">
        <v>45987</v>
      </c>
      <c r="D727" t="inlineStr">
        <is>
          <t>SÖDERMANLANDS LÄN</t>
        </is>
      </c>
      <c r="E727" t="inlineStr">
        <is>
          <t>KATRINEHOLM</t>
        </is>
      </c>
      <c r="G727" t="n">
        <v>1.8</v>
      </c>
      <c r="H727" t="n">
        <v>0</v>
      </c>
      <c r="I727" t="n">
        <v>0</v>
      </c>
      <c r="J727" t="n">
        <v>0</v>
      </c>
      <c r="K727" t="n">
        <v>0</v>
      </c>
      <c r="L727" t="n">
        <v>0</v>
      </c>
      <c r="M727" t="n">
        <v>0</v>
      </c>
      <c r="N727" t="n">
        <v>0</v>
      </c>
      <c r="O727" t="n">
        <v>0</v>
      </c>
      <c r="P727" t="n">
        <v>0</v>
      </c>
      <c r="Q727" t="n">
        <v>0</v>
      </c>
      <c r="R727" s="2" t="inlineStr"/>
    </row>
    <row r="728" ht="15" customHeight="1">
      <c r="A728" t="inlineStr">
        <is>
          <t>A 49218-2023</t>
        </is>
      </c>
      <c r="B728" s="1" t="n">
        <v>45205</v>
      </c>
      <c r="C728" s="1" t="n">
        <v>45987</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55169-2022</t>
        </is>
      </c>
      <c r="B729" s="1" t="n">
        <v>44886</v>
      </c>
      <c r="C729" s="1" t="n">
        <v>45987</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1329-2025</t>
        </is>
      </c>
      <c r="B730" s="1" t="n">
        <v>45667</v>
      </c>
      <c r="C730" s="1" t="n">
        <v>45987</v>
      </c>
      <c r="D730" t="inlineStr">
        <is>
          <t>SÖDERMANLANDS LÄN</t>
        </is>
      </c>
      <c r="E730" t="inlineStr">
        <is>
          <t>KATRINEHOLM</t>
        </is>
      </c>
      <c r="G730" t="n">
        <v>2.7</v>
      </c>
      <c r="H730" t="n">
        <v>0</v>
      </c>
      <c r="I730" t="n">
        <v>0</v>
      </c>
      <c r="J730" t="n">
        <v>0</v>
      </c>
      <c r="K730" t="n">
        <v>0</v>
      </c>
      <c r="L730" t="n">
        <v>0</v>
      </c>
      <c r="M730" t="n">
        <v>0</v>
      </c>
      <c r="N730" t="n">
        <v>0</v>
      </c>
      <c r="O730" t="n">
        <v>0</v>
      </c>
      <c r="P730" t="n">
        <v>0</v>
      </c>
      <c r="Q730" t="n">
        <v>0</v>
      </c>
      <c r="R730" s="2" t="inlineStr"/>
    </row>
    <row r="731" ht="15" customHeight="1">
      <c r="A731" t="inlineStr">
        <is>
          <t>A 61398-2024</t>
        </is>
      </c>
      <c r="B731" s="1" t="n">
        <v>45646.42608796297</v>
      </c>
      <c r="C731" s="1" t="n">
        <v>45987</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24287-2024</t>
        </is>
      </c>
      <c r="B732" s="1" t="n">
        <v>45457</v>
      </c>
      <c r="C732" s="1" t="n">
        <v>45987</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8518-2023</t>
        </is>
      </c>
      <c r="B733" s="1" t="n">
        <v>44977</v>
      </c>
      <c r="C733" s="1" t="n">
        <v>45987</v>
      </c>
      <c r="D733" t="inlineStr">
        <is>
          <t>SÖDERMANLANDS LÄN</t>
        </is>
      </c>
      <c r="E733" t="inlineStr">
        <is>
          <t>KATRINEHOLM</t>
        </is>
      </c>
      <c r="F733" t="inlineStr">
        <is>
          <t>Allmännings- och besparingsskogar</t>
        </is>
      </c>
      <c r="G733" t="n">
        <v>35.3</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45987</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45987</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37542-2022</t>
        </is>
      </c>
      <c r="B736" s="1" t="n">
        <v>44809</v>
      </c>
      <c r="C736" s="1" t="n">
        <v>45987</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41229-2022</t>
        </is>
      </c>
      <c r="B737" s="1" t="n">
        <v>44825</v>
      </c>
      <c r="C737" s="1" t="n">
        <v>45987</v>
      </c>
      <c r="D737" t="inlineStr">
        <is>
          <t>SÖDERMANLANDS LÄN</t>
        </is>
      </c>
      <c r="E737" t="inlineStr">
        <is>
          <t>KATRINEHOLM</t>
        </is>
      </c>
      <c r="G737" t="n">
        <v>3.8</v>
      </c>
      <c r="H737" t="n">
        <v>0</v>
      </c>
      <c r="I737" t="n">
        <v>0</v>
      </c>
      <c r="J737" t="n">
        <v>0</v>
      </c>
      <c r="K737" t="n">
        <v>0</v>
      </c>
      <c r="L737" t="n">
        <v>0</v>
      </c>
      <c r="M737" t="n">
        <v>0</v>
      </c>
      <c r="N737" t="n">
        <v>0</v>
      </c>
      <c r="O737" t="n">
        <v>0</v>
      </c>
      <c r="P737" t="n">
        <v>0</v>
      </c>
      <c r="Q737" t="n">
        <v>0</v>
      </c>
      <c r="R737" s="2" t="inlineStr"/>
    </row>
    <row r="738" ht="15" customHeight="1">
      <c r="A738" t="inlineStr">
        <is>
          <t>A 64652-2023</t>
        </is>
      </c>
      <c r="B738" s="1" t="n">
        <v>45281</v>
      </c>
      <c r="C738" s="1" t="n">
        <v>45987</v>
      </c>
      <c r="D738" t="inlineStr">
        <is>
          <t>SÖDERMANLANDS LÄN</t>
        </is>
      </c>
      <c r="E738" t="inlineStr">
        <is>
          <t>KATRINEHOLM</t>
        </is>
      </c>
      <c r="F738" t="inlineStr">
        <is>
          <t>Övriga Aktiebolag</t>
        </is>
      </c>
      <c r="G738" t="n">
        <v>2.2</v>
      </c>
      <c r="H738" t="n">
        <v>0</v>
      </c>
      <c r="I738" t="n">
        <v>0</v>
      </c>
      <c r="J738" t="n">
        <v>0</v>
      </c>
      <c r="K738" t="n">
        <v>0</v>
      </c>
      <c r="L738" t="n">
        <v>0</v>
      </c>
      <c r="M738" t="n">
        <v>0</v>
      </c>
      <c r="N738" t="n">
        <v>0</v>
      </c>
      <c r="O738" t="n">
        <v>0</v>
      </c>
      <c r="P738" t="n">
        <v>0</v>
      </c>
      <c r="Q738" t="n">
        <v>0</v>
      </c>
      <c r="R738" s="2" t="inlineStr"/>
    </row>
    <row r="739" ht="15" customHeight="1">
      <c r="A739" t="inlineStr">
        <is>
          <t>A 51404-2023</t>
        </is>
      </c>
      <c r="B739" s="1" t="n">
        <v>45214</v>
      </c>
      <c r="C739" s="1" t="n">
        <v>45987</v>
      </c>
      <c r="D739" t="inlineStr">
        <is>
          <t>SÖDERMANLANDS LÄN</t>
        </is>
      </c>
      <c r="E739" t="inlineStr">
        <is>
          <t>KATRINEHOLM</t>
        </is>
      </c>
      <c r="G739" t="n">
        <v>9</v>
      </c>
      <c r="H739" t="n">
        <v>0</v>
      </c>
      <c r="I739" t="n">
        <v>0</v>
      </c>
      <c r="J739" t="n">
        <v>0</v>
      </c>
      <c r="K739" t="n">
        <v>0</v>
      </c>
      <c r="L739" t="n">
        <v>0</v>
      </c>
      <c r="M739" t="n">
        <v>0</v>
      </c>
      <c r="N739" t="n">
        <v>0</v>
      </c>
      <c r="O739" t="n">
        <v>0</v>
      </c>
      <c r="P739" t="n">
        <v>0</v>
      </c>
      <c r="Q739" t="n">
        <v>0</v>
      </c>
      <c r="R739" s="2" t="inlineStr"/>
    </row>
    <row r="740" ht="15" customHeight="1">
      <c r="A740" t="inlineStr">
        <is>
          <t>A 41946-2022</t>
        </is>
      </c>
      <c r="B740" s="1" t="n">
        <v>44830.38502314815</v>
      </c>
      <c r="C740" s="1" t="n">
        <v>45987</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3115-2024</t>
        </is>
      </c>
      <c r="B741" s="1" t="n">
        <v>45316.49630787037</v>
      </c>
      <c r="C741" s="1" t="n">
        <v>45987</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61431-2024</t>
        </is>
      </c>
      <c r="B742" s="1" t="n">
        <v>45646.45950231481</v>
      </c>
      <c r="C742" s="1" t="n">
        <v>45987</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44659-2023</t>
        </is>
      </c>
      <c r="B743" s="1" t="n">
        <v>45189</v>
      </c>
      <c r="C743" s="1" t="n">
        <v>45987</v>
      </c>
      <c r="D743" t="inlineStr">
        <is>
          <t>SÖDERMANLANDS LÄN</t>
        </is>
      </c>
      <c r="E743" t="inlineStr">
        <is>
          <t>KATRINEHOLM</t>
        </is>
      </c>
      <c r="G743" t="n">
        <v>3.5</v>
      </c>
      <c r="H743" t="n">
        <v>0</v>
      </c>
      <c r="I743" t="n">
        <v>0</v>
      </c>
      <c r="J743" t="n">
        <v>0</v>
      </c>
      <c r="K743" t="n">
        <v>0</v>
      </c>
      <c r="L743" t="n">
        <v>0</v>
      </c>
      <c r="M743" t="n">
        <v>0</v>
      </c>
      <c r="N743" t="n">
        <v>0</v>
      </c>
      <c r="O743" t="n">
        <v>0</v>
      </c>
      <c r="P743" t="n">
        <v>0</v>
      </c>
      <c r="Q743" t="n">
        <v>0</v>
      </c>
      <c r="R743" s="2" t="inlineStr"/>
    </row>
    <row r="744" ht="15" customHeight="1">
      <c r="A744" t="inlineStr">
        <is>
          <t>A 51446-2023</t>
        </is>
      </c>
      <c r="B744" s="1" t="n">
        <v>45220.48068287037</v>
      </c>
      <c r="C744" s="1" t="n">
        <v>45987</v>
      </c>
      <c r="D744" t="inlineStr">
        <is>
          <t>SÖDERMANLANDS LÄN</t>
        </is>
      </c>
      <c r="E744" t="inlineStr">
        <is>
          <t>KATRINEHOLM</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27955-2023</t>
        </is>
      </c>
      <c r="B745" s="1" t="n">
        <v>45098</v>
      </c>
      <c r="C745" s="1" t="n">
        <v>45987</v>
      </c>
      <c r="D745" t="inlineStr">
        <is>
          <t>SÖDERMANLANDS LÄN</t>
        </is>
      </c>
      <c r="E745" t="inlineStr">
        <is>
          <t>KATRINEHOLM</t>
        </is>
      </c>
      <c r="G745" t="n">
        <v>5.9</v>
      </c>
      <c r="H745" t="n">
        <v>0</v>
      </c>
      <c r="I745" t="n">
        <v>0</v>
      </c>
      <c r="J745" t="n">
        <v>0</v>
      </c>
      <c r="K745" t="n">
        <v>0</v>
      </c>
      <c r="L745" t="n">
        <v>0</v>
      </c>
      <c r="M745" t="n">
        <v>0</v>
      </c>
      <c r="N745" t="n">
        <v>0</v>
      </c>
      <c r="O745" t="n">
        <v>0</v>
      </c>
      <c r="P745" t="n">
        <v>0</v>
      </c>
      <c r="Q745" t="n">
        <v>0</v>
      </c>
      <c r="R745" s="2" t="inlineStr"/>
    </row>
    <row r="746" ht="15" customHeight="1">
      <c r="A746" t="inlineStr">
        <is>
          <t>A 4669-2023</t>
        </is>
      </c>
      <c r="B746" s="1" t="n">
        <v>44957</v>
      </c>
      <c r="C746" s="1" t="n">
        <v>45987</v>
      </c>
      <c r="D746" t="inlineStr">
        <is>
          <t>SÖDERMANLANDS LÄN</t>
        </is>
      </c>
      <c r="E746" t="inlineStr">
        <is>
          <t>KATRINEHOLM</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4724-2023</t>
        </is>
      </c>
      <c r="B747" s="1" t="n">
        <v>44957</v>
      </c>
      <c r="C747" s="1" t="n">
        <v>45987</v>
      </c>
      <c r="D747" t="inlineStr">
        <is>
          <t>SÖDERMANLANDS LÄN</t>
        </is>
      </c>
      <c r="E747" t="inlineStr">
        <is>
          <t>KATRINEHOLM</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7197-2023</t>
        </is>
      </c>
      <c r="B748" s="1" t="n">
        <v>44965</v>
      </c>
      <c r="C748" s="1" t="n">
        <v>45987</v>
      </c>
      <c r="D748" t="inlineStr">
        <is>
          <t>SÖDERMANLANDS LÄN</t>
        </is>
      </c>
      <c r="E748" t="inlineStr">
        <is>
          <t>KATRINEHOLM</t>
        </is>
      </c>
      <c r="G748" t="n">
        <v>5.3</v>
      </c>
      <c r="H748" t="n">
        <v>0</v>
      </c>
      <c r="I748" t="n">
        <v>0</v>
      </c>
      <c r="J748" t="n">
        <v>0</v>
      </c>
      <c r="K748" t="n">
        <v>0</v>
      </c>
      <c r="L748" t="n">
        <v>0</v>
      </c>
      <c r="M748" t="n">
        <v>0</v>
      </c>
      <c r="N748" t="n">
        <v>0</v>
      </c>
      <c r="O748" t="n">
        <v>0</v>
      </c>
      <c r="P748" t="n">
        <v>0</v>
      </c>
      <c r="Q748" t="n">
        <v>0</v>
      </c>
      <c r="R748" s="2" t="inlineStr"/>
    </row>
    <row r="749" ht="15" customHeight="1">
      <c r="A749" t="inlineStr">
        <is>
          <t>A 6092-2025</t>
        </is>
      </c>
      <c r="B749" s="1" t="n">
        <v>45697</v>
      </c>
      <c r="C749" s="1" t="n">
        <v>45987</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5327-2025</t>
        </is>
      </c>
      <c r="B750" s="1" t="n">
        <v>45692</v>
      </c>
      <c r="C750" s="1" t="n">
        <v>45987</v>
      </c>
      <c r="D750" t="inlineStr">
        <is>
          <t>SÖDERMANLANDS LÄN</t>
        </is>
      </c>
      <c r="E750" t="inlineStr">
        <is>
          <t>KATRINEHOLM</t>
        </is>
      </c>
      <c r="F750" t="inlineStr">
        <is>
          <t>Kommuner</t>
        </is>
      </c>
      <c r="G750" t="n">
        <v>0.5</v>
      </c>
      <c r="H750" t="n">
        <v>0</v>
      </c>
      <c r="I750" t="n">
        <v>0</v>
      </c>
      <c r="J750" t="n">
        <v>0</v>
      </c>
      <c r="K750" t="n">
        <v>0</v>
      </c>
      <c r="L750" t="n">
        <v>0</v>
      </c>
      <c r="M750" t="n">
        <v>0</v>
      </c>
      <c r="N750" t="n">
        <v>0</v>
      </c>
      <c r="O750" t="n">
        <v>0</v>
      </c>
      <c r="P750" t="n">
        <v>0</v>
      </c>
      <c r="Q750" t="n">
        <v>0</v>
      </c>
      <c r="R750" s="2" t="inlineStr"/>
    </row>
    <row r="751" ht="15" customHeight="1">
      <c r="A751" t="inlineStr">
        <is>
          <t>A 12929-2023</t>
        </is>
      </c>
      <c r="B751" s="1" t="n">
        <v>45001</v>
      </c>
      <c r="C751" s="1" t="n">
        <v>45987</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12932-2023</t>
        </is>
      </c>
      <c r="B752" s="1" t="n">
        <v>45001</v>
      </c>
      <c r="C752" s="1" t="n">
        <v>45987</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50626-2024</t>
        </is>
      </c>
      <c r="B753" s="1" t="n">
        <v>45601</v>
      </c>
      <c r="C753" s="1" t="n">
        <v>45987</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7398-2024</t>
        </is>
      </c>
      <c r="B754" s="1" t="n">
        <v>45345</v>
      </c>
      <c r="C754" s="1" t="n">
        <v>45987</v>
      </c>
      <c r="D754" t="inlineStr">
        <is>
          <t>SÖDERMANLANDS LÄN</t>
        </is>
      </c>
      <c r="E754" t="inlineStr">
        <is>
          <t>KATRINEHOLM</t>
        </is>
      </c>
      <c r="G754" t="n">
        <v>4.4</v>
      </c>
      <c r="H754" t="n">
        <v>0</v>
      </c>
      <c r="I754" t="n">
        <v>0</v>
      </c>
      <c r="J754" t="n">
        <v>0</v>
      </c>
      <c r="K754" t="n">
        <v>0</v>
      </c>
      <c r="L754" t="n">
        <v>0</v>
      </c>
      <c r="M754" t="n">
        <v>0</v>
      </c>
      <c r="N754" t="n">
        <v>0</v>
      </c>
      <c r="O754" t="n">
        <v>0</v>
      </c>
      <c r="P754" t="n">
        <v>0</v>
      </c>
      <c r="Q754" t="n">
        <v>0</v>
      </c>
      <c r="R754" s="2" t="inlineStr"/>
    </row>
    <row r="755" ht="15" customHeight="1">
      <c r="A755" t="inlineStr">
        <is>
          <t>A 14629-2023</t>
        </is>
      </c>
      <c r="B755" s="1" t="n">
        <v>45013</v>
      </c>
      <c r="C755" s="1" t="n">
        <v>45987</v>
      </c>
      <c r="D755" t="inlineStr">
        <is>
          <t>SÖDERMANLANDS LÄN</t>
        </is>
      </c>
      <c r="E755" t="inlineStr">
        <is>
          <t>KATRINEHOLM</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49116-2024</t>
        </is>
      </c>
      <c r="B756" s="1" t="n">
        <v>45594.6605787037</v>
      </c>
      <c r="C756" s="1" t="n">
        <v>45987</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2683-2025</t>
        </is>
      </c>
      <c r="B757" s="1" t="n">
        <v>45677</v>
      </c>
      <c r="C757" s="1" t="n">
        <v>45987</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61410-2024</t>
        </is>
      </c>
      <c r="B758" s="1" t="n">
        <v>45646.43950231482</v>
      </c>
      <c r="C758" s="1" t="n">
        <v>45987</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3315-2023</t>
        </is>
      </c>
      <c r="B759" s="1" t="n">
        <v>44945</v>
      </c>
      <c r="C759" s="1" t="n">
        <v>45987</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7867-2024</t>
        </is>
      </c>
      <c r="B760" s="1" t="n">
        <v>45350.32991898148</v>
      </c>
      <c r="C760" s="1" t="n">
        <v>45987</v>
      </c>
      <c r="D760" t="inlineStr">
        <is>
          <t>SÖDERMANLANDS LÄN</t>
        </is>
      </c>
      <c r="E760" t="inlineStr">
        <is>
          <t>KATRINEHOLM</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38869-2024</t>
        </is>
      </c>
      <c r="B761" s="1" t="n">
        <v>45547</v>
      </c>
      <c r="C761" s="1" t="n">
        <v>45987</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39010-2021</t>
        </is>
      </c>
      <c r="B762" s="1" t="n">
        <v>44412</v>
      </c>
      <c r="C762" s="1" t="n">
        <v>45987</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1091-2025</t>
        </is>
      </c>
      <c r="B763" s="1" t="n">
        <v>45666</v>
      </c>
      <c r="C763" s="1" t="n">
        <v>45987</v>
      </c>
      <c r="D763" t="inlineStr">
        <is>
          <t>SÖDERMANLANDS LÄN</t>
        </is>
      </c>
      <c r="E763" t="inlineStr">
        <is>
          <t>KATRINEHOLM</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45987</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23838-2021</t>
        </is>
      </c>
      <c r="B765" s="1" t="n">
        <v>44335</v>
      </c>
      <c r="C765" s="1" t="n">
        <v>45987</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32943-2024</t>
        </is>
      </c>
      <c r="B766" s="1" t="n">
        <v>45517</v>
      </c>
      <c r="C766" s="1" t="n">
        <v>45987</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22119-2025</t>
        </is>
      </c>
      <c r="B767" s="1" t="n">
        <v>45785</v>
      </c>
      <c r="C767" s="1" t="n">
        <v>45987</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22113-2025</t>
        </is>
      </c>
      <c r="B768" s="1" t="n">
        <v>45785</v>
      </c>
      <c r="C768" s="1" t="n">
        <v>45987</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24983-2024</t>
        </is>
      </c>
      <c r="B769" s="1" t="n">
        <v>45461</v>
      </c>
      <c r="C769" s="1" t="n">
        <v>45987</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45987</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22336-2025</t>
        </is>
      </c>
      <c r="B771" s="1" t="n">
        <v>45786.44217592593</v>
      </c>
      <c r="C771" s="1" t="n">
        <v>45987</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45987</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c r="A773" t="inlineStr">
        <is>
          <t>A 24902-2024</t>
        </is>
      </c>
      <c r="B773" s="1" t="n">
        <v>45461</v>
      </c>
      <c r="C773" s="1" t="n">
        <v>45987</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2025-11-26T10:24:51Z</dcterms:created>
  <dcterms:modified xmlns:dcterms="http://purl.org/dc/terms/" xmlns:xsi="http://www.w3.org/2001/XMLSchema-instance" xsi:type="dcterms:W3CDTF">2025-11-26T10:24:52Z</dcterms:modified>
</cp:coreProperties>
</file>