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46119</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46119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46119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46119</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46119</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46119</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46119</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46119</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46119</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46119</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13873-2026</t>
        </is>
      </c>
      <c r="B25" s="1" t="n">
        <v>46098.42672453704</v>
      </c>
      <c r="C25" s="1" t="n">
        <v>46119</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46119</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14655-2023</t>
        </is>
      </c>
      <c r="B27" s="1" t="n">
        <v>45013</v>
      </c>
      <c r="C27" s="1" t="n">
        <v>46119</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24718-2025</t>
        </is>
      </c>
      <c r="B28" s="1" t="n">
        <v>45799</v>
      </c>
      <c r="C28" s="1" t="n">
        <v>46119</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46119</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46119</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46119</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46119</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46119</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46119</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46119</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28985-2022</t>
        </is>
      </c>
      <c r="B36" s="1" t="n">
        <v>44749</v>
      </c>
      <c r="C36" s="1" t="n">
        <v>46119</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46119</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7305-2024</t>
        </is>
      </c>
      <c r="B38" s="1" t="n">
        <v>45344</v>
      </c>
      <c r="C38" s="1" t="n">
        <v>46119</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46119</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35163-2025</t>
        </is>
      </c>
      <c r="B40" s="1" t="n">
        <v>45852.71136574074</v>
      </c>
      <c r="C40" s="1" t="n">
        <v>46119</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12238-2023</t>
        </is>
      </c>
      <c r="B41" s="1" t="n">
        <v>44995</v>
      </c>
      <c r="C41" s="1" t="n">
        <v>46119</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46119</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42055-2025</t>
        </is>
      </c>
      <c r="B43" s="1" t="n">
        <v>45903</v>
      </c>
      <c r="C43" s="1" t="n">
        <v>46119</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11890-2023</t>
        </is>
      </c>
      <c r="B44" s="1" t="n">
        <v>44995</v>
      </c>
      <c r="C44" s="1" t="n">
        <v>46119</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41980-2025</t>
        </is>
      </c>
      <c r="B45" s="1" t="n">
        <v>45903</v>
      </c>
      <c r="C45" s="1" t="n">
        <v>46119</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33801-2023</t>
        </is>
      </c>
      <c r="B46" s="1" t="n">
        <v>45133</v>
      </c>
      <c r="C46" s="1" t="n">
        <v>46119</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48199-2025</t>
        </is>
      </c>
      <c r="B47" s="1" t="n">
        <v>45933.47856481482</v>
      </c>
      <c r="C47" s="1" t="n">
        <v>46119</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44413-2024</t>
        </is>
      </c>
      <c r="B48" s="1" t="n">
        <v>45573.77701388889</v>
      </c>
      <c r="C48" s="1" t="n">
        <v>46119</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57519-2021</t>
        </is>
      </c>
      <c r="B49" s="1" t="n">
        <v>44483</v>
      </c>
      <c r="C49" s="1" t="n">
        <v>46119</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55700-2025</t>
        </is>
      </c>
      <c r="B50" s="1" t="n">
        <v>45972.45605324074</v>
      </c>
      <c r="C50" s="1" t="n">
        <v>46119</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44486-2023</t>
        </is>
      </c>
      <c r="B51" s="1" t="n">
        <v>45183</v>
      </c>
      <c r="C51" s="1" t="n">
        <v>46119</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46119</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46119</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46119</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46119</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46119</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46119</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46119</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46119</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46119</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46119</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46119</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46119</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36856-2021</t>
        </is>
      </c>
      <c r="B64" s="1" t="n">
        <v>44393</v>
      </c>
      <c r="C64" s="1" t="n">
        <v>46119</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46119</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46119</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46119</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46119</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46119</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46119</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46119</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46119</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46119</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46119</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46119</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46119</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46119</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46119</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46119</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46119</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46119</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46119</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46119</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46119</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46119</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46119</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46119</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46119</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46119</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46119</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46119</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46119</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46119</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46119</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46119</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46119</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46119</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46119</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46119</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46119</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46119</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46119</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46119</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46119</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46119</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46119</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46119</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46119</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46119</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46119</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46119</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46119</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46119</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46119</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46119</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46119</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46119</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46119</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46119</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46119</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46119</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46119</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46119</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46119</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46119</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46119</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46119</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46119</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46119</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46119</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46119</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46119</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46119</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46119</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46119</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46119</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46119</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46119</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46119</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46119</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46119</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46119</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46119</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46119</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46119</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46119</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46119</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46119</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46119</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46119</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46119</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46119</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46119</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46119</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46119</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46119</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46119</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46119</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46119</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46119</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46119</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46119</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46119</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46119</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46119</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46119</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46119</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46119</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46119</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46119</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46119</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46119</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46119</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46119</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46119</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67351-2021</t>
        </is>
      </c>
      <c r="B177" s="1" t="n">
        <v>44523</v>
      </c>
      <c r="C177" s="1" t="n">
        <v>46119</v>
      </c>
      <c r="D177" t="inlineStr">
        <is>
          <t>SÖDERMANLANDS LÄN</t>
        </is>
      </c>
      <c r="E177" t="inlineStr">
        <is>
          <t>KATRINEHOLM</t>
        </is>
      </c>
      <c r="G177" t="n">
        <v>5.4</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46119</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24098-2022</t>
        </is>
      </c>
      <c r="B179" s="1" t="n">
        <v>44725</v>
      </c>
      <c r="C179" s="1" t="n">
        <v>46119</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46119</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65162-2021</t>
        </is>
      </c>
      <c r="B181" s="1" t="n">
        <v>44512</v>
      </c>
      <c r="C181" s="1" t="n">
        <v>46119</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30567-2022</t>
        </is>
      </c>
      <c r="B182" s="1" t="n">
        <v>44762</v>
      </c>
      <c r="C182" s="1" t="n">
        <v>46119</v>
      </c>
      <c r="D182" t="inlineStr">
        <is>
          <t>SÖDERMANLANDS LÄN</t>
        </is>
      </c>
      <c r="E182" t="inlineStr">
        <is>
          <t>KATRINEHOLM</t>
        </is>
      </c>
      <c r="F182" t="inlineStr">
        <is>
          <t>Övriga Aktiebolag</t>
        </is>
      </c>
      <c r="G182" t="n">
        <v>0.5</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46119</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46119</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46119</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46119</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46119</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46119</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46119</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40393-2022</t>
        </is>
      </c>
      <c r="B190" s="1" t="n">
        <v>44823</v>
      </c>
      <c r="C190" s="1" t="n">
        <v>46119</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46119</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46119</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46119</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48259-2022</t>
        </is>
      </c>
      <c r="B194" s="1" t="n">
        <v>44858</v>
      </c>
      <c r="C194" s="1" t="n">
        <v>46119</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55034-2021</t>
        </is>
      </c>
      <c r="B195" s="1" t="n">
        <v>44474</v>
      </c>
      <c r="C195" s="1" t="n">
        <v>46119</v>
      </c>
      <c r="D195" t="inlineStr">
        <is>
          <t>SÖDERMANLANDS LÄN</t>
        </is>
      </c>
      <c r="E195" t="inlineStr">
        <is>
          <t>KATRINEHOLM</t>
        </is>
      </c>
      <c r="G195" t="n">
        <v>5</v>
      </c>
      <c r="H195" t="n">
        <v>0</v>
      </c>
      <c r="I195" t="n">
        <v>0</v>
      </c>
      <c r="J195" t="n">
        <v>0</v>
      </c>
      <c r="K195" t="n">
        <v>0</v>
      </c>
      <c r="L195" t="n">
        <v>0</v>
      </c>
      <c r="M195" t="n">
        <v>0</v>
      </c>
      <c r="N195" t="n">
        <v>0</v>
      </c>
      <c r="O195" t="n">
        <v>0</v>
      </c>
      <c r="P195" t="n">
        <v>0</v>
      </c>
      <c r="Q195" t="n">
        <v>0</v>
      </c>
      <c r="R195" s="2" t="inlineStr"/>
    </row>
    <row r="196" ht="15" customHeight="1">
      <c r="A196" t="inlineStr">
        <is>
          <t>A 24287-2024</t>
        </is>
      </c>
      <c r="B196" s="1" t="n">
        <v>45457</v>
      </c>
      <c r="C196" s="1" t="n">
        <v>46119</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29397-2024</t>
        </is>
      </c>
      <c r="B197" s="1" t="n">
        <v>45483</v>
      </c>
      <c r="C197" s="1" t="n">
        <v>46119</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33934-2022</t>
        </is>
      </c>
      <c r="B198" s="1" t="n">
        <v>44790</v>
      </c>
      <c r="C198" s="1" t="n">
        <v>46119</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6807-2023</t>
        </is>
      </c>
      <c r="B199" s="1" t="n">
        <v>44964</v>
      </c>
      <c r="C199" s="1" t="n">
        <v>46119</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30276-2023</t>
        </is>
      </c>
      <c r="B200" s="1" t="n">
        <v>45110</v>
      </c>
      <c r="C200" s="1" t="n">
        <v>46119</v>
      </c>
      <c r="D200" t="inlineStr">
        <is>
          <t>SÖDERMANLANDS LÄN</t>
        </is>
      </c>
      <c r="E200" t="inlineStr">
        <is>
          <t>KATRINEHOLM</t>
        </is>
      </c>
      <c r="G200" t="n">
        <v>2.3</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46119</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46119</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24179-2024</t>
        </is>
      </c>
      <c r="B203" s="1" t="n">
        <v>45456.83059027778</v>
      </c>
      <c r="C203" s="1" t="n">
        <v>46119</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42791-2023</t>
        </is>
      </c>
      <c r="B204" s="1" t="n">
        <v>45181.92876157408</v>
      </c>
      <c r="C204" s="1" t="n">
        <v>46119</v>
      </c>
      <c r="D204" t="inlineStr">
        <is>
          <t>SÖDERMANLANDS LÄN</t>
        </is>
      </c>
      <c r="E204" t="inlineStr">
        <is>
          <t>KATRINEHOLM</t>
        </is>
      </c>
      <c r="G204" t="n">
        <v>4.1</v>
      </c>
      <c r="H204" t="n">
        <v>0</v>
      </c>
      <c r="I204" t="n">
        <v>0</v>
      </c>
      <c r="J204" t="n">
        <v>0</v>
      </c>
      <c r="K204" t="n">
        <v>0</v>
      </c>
      <c r="L204" t="n">
        <v>0</v>
      </c>
      <c r="M204" t="n">
        <v>0</v>
      </c>
      <c r="N204" t="n">
        <v>0</v>
      </c>
      <c r="O204" t="n">
        <v>0</v>
      </c>
      <c r="P204" t="n">
        <v>0</v>
      </c>
      <c r="Q204" t="n">
        <v>0</v>
      </c>
      <c r="R204" s="2" t="inlineStr"/>
    </row>
    <row r="205" ht="15" customHeight="1">
      <c r="A205" t="inlineStr">
        <is>
          <t>A 42792-2023</t>
        </is>
      </c>
      <c r="B205" s="1" t="n">
        <v>45181.95491898148</v>
      </c>
      <c r="C205" s="1" t="n">
        <v>46119</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32786-2022</t>
        </is>
      </c>
      <c r="B206" s="1" t="n">
        <v>44784</v>
      </c>
      <c r="C206" s="1" t="n">
        <v>46119</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46119</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46119</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74354-2021</t>
        </is>
      </c>
      <c r="B209" s="1" t="n">
        <v>44559.57041666667</v>
      </c>
      <c r="C209" s="1" t="n">
        <v>46119</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46119</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24748-2024</t>
        </is>
      </c>
      <c r="B211" s="1" t="n">
        <v>45460.66567129629</v>
      </c>
      <c r="C211" s="1" t="n">
        <v>46119</v>
      </c>
      <c r="D211" t="inlineStr">
        <is>
          <t>SÖDERMANLANDS LÄN</t>
        </is>
      </c>
      <c r="E211" t="inlineStr">
        <is>
          <t>KATRINEHOLM</t>
        </is>
      </c>
      <c r="G211" t="n">
        <v>3.3</v>
      </c>
      <c r="H211" t="n">
        <v>0</v>
      </c>
      <c r="I211" t="n">
        <v>0</v>
      </c>
      <c r="J211" t="n">
        <v>0</v>
      </c>
      <c r="K211" t="n">
        <v>0</v>
      </c>
      <c r="L211" t="n">
        <v>0</v>
      </c>
      <c r="M211" t="n">
        <v>0</v>
      </c>
      <c r="N211" t="n">
        <v>0</v>
      </c>
      <c r="O211" t="n">
        <v>0</v>
      </c>
      <c r="P211" t="n">
        <v>0</v>
      </c>
      <c r="Q211" t="n">
        <v>0</v>
      </c>
      <c r="R211" s="2" t="inlineStr"/>
    </row>
    <row r="212" ht="15" customHeight="1">
      <c r="A212" t="inlineStr">
        <is>
          <t>A 45793-2022</t>
        </is>
      </c>
      <c r="B212" s="1" t="n">
        <v>44844</v>
      </c>
      <c r="C212" s="1" t="n">
        <v>46119</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44915-2022</t>
        </is>
      </c>
      <c r="B213" s="1" t="n">
        <v>44840</v>
      </c>
      <c r="C213" s="1" t="n">
        <v>46119</v>
      </c>
      <c r="D213" t="inlineStr">
        <is>
          <t>SÖDERMANLANDS LÄN</t>
        </is>
      </c>
      <c r="E213" t="inlineStr">
        <is>
          <t>KATRINEHOLM</t>
        </is>
      </c>
      <c r="G213" t="n">
        <v>6.3</v>
      </c>
      <c r="H213" t="n">
        <v>0</v>
      </c>
      <c r="I213" t="n">
        <v>0</v>
      </c>
      <c r="J213" t="n">
        <v>0</v>
      </c>
      <c r="K213" t="n">
        <v>0</v>
      </c>
      <c r="L213" t="n">
        <v>0</v>
      </c>
      <c r="M213" t="n">
        <v>0</v>
      </c>
      <c r="N213" t="n">
        <v>0</v>
      </c>
      <c r="O213" t="n">
        <v>0</v>
      </c>
      <c r="P213" t="n">
        <v>0</v>
      </c>
      <c r="Q213" t="n">
        <v>0</v>
      </c>
      <c r="R213" s="2" t="inlineStr"/>
    </row>
    <row r="214" ht="15" customHeight="1">
      <c r="A214" t="inlineStr">
        <is>
          <t>A 32890-2024</t>
        </is>
      </c>
      <c r="B214" s="1" t="n">
        <v>45516</v>
      </c>
      <c r="C214" s="1" t="n">
        <v>46119</v>
      </c>
      <c r="D214" t="inlineStr">
        <is>
          <t>SÖDERMANLANDS LÄN</t>
        </is>
      </c>
      <c r="E214" t="inlineStr">
        <is>
          <t>KATRINEHOLM</t>
        </is>
      </c>
      <c r="G214" t="n">
        <v>2.6</v>
      </c>
      <c r="H214" t="n">
        <v>0</v>
      </c>
      <c r="I214" t="n">
        <v>0</v>
      </c>
      <c r="J214" t="n">
        <v>0</v>
      </c>
      <c r="K214" t="n">
        <v>0</v>
      </c>
      <c r="L214" t="n">
        <v>0</v>
      </c>
      <c r="M214" t="n">
        <v>0</v>
      </c>
      <c r="N214" t="n">
        <v>0</v>
      </c>
      <c r="O214" t="n">
        <v>0</v>
      </c>
      <c r="P214" t="n">
        <v>0</v>
      </c>
      <c r="Q214" t="n">
        <v>0</v>
      </c>
      <c r="R214" s="2" t="inlineStr"/>
    </row>
    <row r="215" ht="15" customHeight="1">
      <c r="A215" t="inlineStr">
        <is>
          <t>A 15184-2023</t>
        </is>
      </c>
      <c r="B215" s="1" t="n">
        <v>45016</v>
      </c>
      <c r="C215" s="1" t="n">
        <v>46119</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45438-2021</t>
        </is>
      </c>
      <c r="B216" s="1" t="n">
        <v>44440</v>
      </c>
      <c r="C216" s="1" t="n">
        <v>46119</v>
      </c>
      <c r="D216" t="inlineStr">
        <is>
          <t>SÖDERMANLANDS LÄN</t>
        </is>
      </c>
      <c r="E216" t="inlineStr">
        <is>
          <t>KATRINEHOLM</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4387-2024</t>
        </is>
      </c>
      <c r="B217" s="1" t="n">
        <v>45327.35068287037</v>
      </c>
      <c r="C217" s="1" t="n">
        <v>46119</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18386-2025</t>
        </is>
      </c>
      <c r="B218" s="1" t="n">
        <v>45762</v>
      </c>
      <c r="C218" s="1" t="n">
        <v>46119</v>
      </c>
      <c r="D218" t="inlineStr">
        <is>
          <t>SÖDERMANLANDS LÄN</t>
        </is>
      </c>
      <c r="E218" t="inlineStr">
        <is>
          <t>KATRINEHOLM</t>
        </is>
      </c>
      <c r="G218" t="n">
        <v>0.5</v>
      </c>
      <c r="H218" t="n">
        <v>0</v>
      </c>
      <c r="I218" t="n">
        <v>0</v>
      </c>
      <c r="J218" t="n">
        <v>0</v>
      </c>
      <c r="K218" t="n">
        <v>0</v>
      </c>
      <c r="L218" t="n">
        <v>0</v>
      </c>
      <c r="M218" t="n">
        <v>0</v>
      </c>
      <c r="N218" t="n">
        <v>0</v>
      </c>
      <c r="O218" t="n">
        <v>0</v>
      </c>
      <c r="P218" t="n">
        <v>0</v>
      </c>
      <c r="Q218" t="n">
        <v>0</v>
      </c>
      <c r="R218" s="2" t="inlineStr"/>
    </row>
    <row r="219" ht="15" customHeight="1">
      <c r="A219" t="inlineStr">
        <is>
          <t>A 39704-2023</t>
        </is>
      </c>
      <c r="B219" s="1" t="n">
        <v>45167</v>
      </c>
      <c r="C219" s="1" t="n">
        <v>46119</v>
      </c>
      <c r="D219" t="inlineStr">
        <is>
          <t>SÖDERMANLANDS LÄN</t>
        </is>
      </c>
      <c r="E219" t="inlineStr">
        <is>
          <t>KATRINEHOLM</t>
        </is>
      </c>
      <c r="F219" t="inlineStr">
        <is>
          <t>Övriga Aktiebolag</t>
        </is>
      </c>
      <c r="G219" t="n">
        <v>3.4</v>
      </c>
      <c r="H219" t="n">
        <v>0</v>
      </c>
      <c r="I219" t="n">
        <v>0</v>
      </c>
      <c r="J219" t="n">
        <v>0</v>
      </c>
      <c r="K219" t="n">
        <v>0</v>
      </c>
      <c r="L219" t="n">
        <v>0</v>
      </c>
      <c r="M219" t="n">
        <v>0</v>
      </c>
      <c r="N219" t="n">
        <v>0</v>
      </c>
      <c r="O219" t="n">
        <v>0</v>
      </c>
      <c r="P219" t="n">
        <v>0</v>
      </c>
      <c r="Q219" t="n">
        <v>0</v>
      </c>
      <c r="R219" s="2" t="inlineStr"/>
    </row>
    <row r="220" ht="15" customHeight="1">
      <c r="A220" t="inlineStr">
        <is>
          <t>A 7398-2024</t>
        </is>
      </c>
      <c r="B220" s="1" t="n">
        <v>45345</v>
      </c>
      <c r="C220" s="1" t="n">
        <v>46119</v>
      </c>
      <c r="D220" t="inlineStr">
        <is>
          <t>SÖDERMANLANDS LÄN</t>
        </is>
      </c>
      <c r="E220" t="inlineStr">
        <is>
          <t>KATRINEHOLM</t>
        </is>
      </c>
      <c r="G220" t="n">
        <v>4.4</v>
      </c>
      <c r="H220" t="n">
        <v>0</v>
      </c>
      <c r="I220" t="n">
        <v>0</v>
      </c>
      <c r="J220" t="n">
        <v>0</v>
      </c>
      <c r="K220" t="n">
        <v>0</v>
      </c>
      <c r="L220" t="n">
        <v>0</v>
      </c>
      <c r="M220" t="n">
        <v>0</v>
      </c>
      <c r="N220" t="n">
        <v>0</v>
      </c>
      <c r="O220" t="n">
        <v>0</v>
      </c>
      <c r="P220" t="n">
        <v>0</v>
      </c>
      <c r="Q220" t="n">
        <v>0</v>
      </c>
      <c r="R220" s="2" t="inlineStr"/>
    </row>
    <row r="221" ht="15" customHeight="1">
      <c r="A221" t="inlineStr">
        <is>
          <t>A 8955-2024</t>
        </is>
      </c>
      <c r="B221" s="1" t="n">
        <v>45357.44873842593</v>
      </c>
      <c r="C221" s="1" t="n">
        <v>46119</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14313-2024</t>
        </is>
      </c>
      <c r="B222" s="1" t="n">
        <v>45393</v>
      </c>
      <c r="C222" s="1" t="n">
        <v>46119</v>
      </c>
      <c r="D222" t="inlineStr">
        <is>
          <t>SÖDERMANLANDS LÄN</t>
        </is>
      </c>
      <c r="E222" t="inlineStr">
        <is>
          <t>KATRINEHOLM</t>
        </is>
      </c>
      <c r="G222" t="n">
        <v>3.1</v>
      </c>
      <c r="H222" t="n">
        <v>0</v>
      </c>
      <c r="I222" t="n">
        <v>0</v>
      </c>
      <c r="J222" t="n">
        <v>0</v>
      </c>
      <c r="K222" t="n">
        <v>0</v>
      </c>
      <c r="L222" t="n">
        <v>0</v>
      </c>
      <c r="M222" t="n">
        <v>0</v>
      </c>
      <c r="N222" t="n">
        <v>0</v>
      </c>
      <c r="O222" t="n">
        <v>0</v>
      </c>
      <c r="P222" t="n">
        <v>0</v>
      </c>
      <c r="Q222" t="n">
        <v>0</v>
      </c>
      <c r="R222" s="2" t="inlineStr"/>
    </row>
    <row r="223" ht="15" customHeight="1">
      <c r="A223" t="inlineStr">
        <is>
          <t>A 12938-2023</t>
        </is>
      </c>
      <c r="B223" s="1" t="n">
        <v>45001</v>
      </c>
      <c r="C223" s="1" t="n">
        <v>46119</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36001-2024</t>
        </is>
      </c>
      <c r="B224" s="1" t="n">
        <v>45533.54609953704</v>
      </c>
      <c r="C224" s="1" t="n">
        <v>46119</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36-2023</t>
        </is>
      </c>
      <c r="B225" s="1" t="n">
        <v>44928.36578703704</v>
      </c>
      <c r="C225" s="1" t="n">
        <v>46119</v>
      </c>
      <c r="D225" t="inlineStr">
        <is>
          <t>SÖDERMANLANDS LÄN</t>
        </is>
      </c>
      <c r="E225" t="inlineStr">
        <is>
          <t>KATRINEHOLM</t>
        </is>
      </c>
      <c r="G225" t="n">
        <v>3.7</v>
      </c>
      <c r="H225" t="n">
        <v>0</v>
      </c>
      <c r="I225" t="n">
        <v>0</v>
      </c>
      <c r="J225" t="n">
        <v>0</v>
      </c>
      <c r="K225" t="n">
        <v>0</v>
      </c>
      <c r="L225" t="n">
        <v>0</v>
      </c>
      <c r="M225" t="n">
        <v>0</v>
      </c>
      <c r="N225" t="n">
        <v>0</v>
      </c>
      <c r="O225" t="n">
        <v>0</v>
      </c>
      <c r="P225" t="n">
        <v>0</v>
      </c>
      <c r="Q225" t="n">
        <v>0</v>
      </c>
      <c r="R225" s="2" t="inlineStr"/>
    </row>
    <row r="226" ht="15" customHeight="1">
      <c r="A226" t="inlineStr">
        <is>
          <t>A 3315-2023</t>
        </is>
      </c>
      <c r="B226" s="1" t="n">
        <v>44945</v>
      </c>
      <c r="C226" s="1" t="n">
        <v>46119</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46569-2022</t>
        </is>
      </c>
      <c r="B227" s="1" t="n">
        <v>44847</v>
      </c>
      <c r="C227" s="1" t="n">
        <v>46119</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2093-2025</t>
        </is>
      </c>
      <c r="B228" s="1" t="n">
        <v>45672</v>
      </c>
      <c r="C228" s="1" t="n">
        <v>46119</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19098-2022</t>
        </is>
      </c>
      <c r="B229" s="1" t="n">
        <v>44691.52616898148</v>
      </c>
      <c r="C229" s="1" t="n">
        <v>46119</v>
      </c>
      <c r="D229" t="inlineStr">
        <is>
          <t>SÖDERMANLANDS LÄN</t>
        </is>
      </c>
      <c r="E229" t="inlineStr">
        <is>
          <t>KATRINEHOLM</t>
        </is>
      </c>
      <c r="G229" t="n">
        <v>5.5</v>
      </c>
      <c r="H229" t="n">
        <v>0</v>
      </c>
      <c r="I229" t="n">
        <v>0</v>
      </c>
      <c r="J229" t="n">
        <v>0</v>
      </c>
      <c r="K229" t="n">
        <v>0</v>
      </c>
      <c r="L229" t="n">
        <v>0</v>
      </c>
      <c r="M229" t="n">
        <v>0</v>
      </c>
      <c r="N229" t="n">
        <v>0</v>
      </c>
      <c r="O229" t="n">
        <v>0</v>
      </c>
      <c r="P229" t="n">
        <v>0</v>
      </c>
      <c r="Q229" t="n">
        <v>0</v>
      </c>
      <c r="R229" s="2" t="inlineStr"/>
    </row>
    <row r="230" ht="15" customHeight="1">
      <c r="A230" t="inlineStr">
        <is>
          <t>A 51530-2023</t>
        </is>
      </c>
      <c r="B230" s="1" t="n">
        <v>45222</v>
      </c>
      <c r="C230" s="1" t="n">
        <v>46119</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15235-2023</t>
        </is>
      </c>
      <c r="B231" s="1" t="n">
        <v>45019</v>
      </c>
      <c r="C231" s="1" t="n">
        <v>46119</v>
      </c>
      <c r="D231" t="inlineStr">
        <is>
          <t>SÖDERMANLANDS LÄN</t>
        </is>
      </c>
      <c r="E231" t="inlineStr">
        <is>
          <t>KATRINEHOLM</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12930-2023</t>
        </is>
      </c>
      <c r="B232" s="1" t="n">
        <v>45001</v>
      </c>
      <c r="C232" s="1" t="n">
        <v>46119</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38308-2021</t>
        </is>
      </c>
      <c r="B233" s="1" t="n">
        <v>44406</v>
      </c>
      <c r="C233" s="1" t="n">
        <v>46119</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23031-2024</t>
        </is>
      </c>
      <c r="B234" s="1" t="n">
        <v>45450.38120370371</v>
      </c>
      <c r="C234" s="1" t="n">
        <v>46119</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20826-2022</t>
        </is>
      </c>
      <c r="B235" s="1" t="n">
        <v>44701.44754629629</v>
      </c>
      <c r="C235" s="1" t="n">
        <v>46119</v>
      </c>
      <c r="D235" t="inlineStr">
        <is>
          <t>SÖDERMANLANDS LÄN</t>
        </is>
      </c>
      <c r="E235" t="inlineStr">
        <is>
          <t>KATRINEHOLM</t>
        </is>
      </c>
      <c r="G235" t="n">
        <v>6.8</v>
      </c>
      <c r="H235" t="n">
        <v>0</v>
      </c>
      <c r="I235" t="n">
        <v>0</v>
      </c>
      <c r="J235" t="n">
        <v>0</v>
      </c>
      <c r="K235" t="n">
        <v>0</v>
      </c>
      <c r="L235" t="n">
        <v>0</v>
      </c>
      <c r="M235" t="n">
        <v>0</v>
      </c>
      <c r="N235" t="n">
        <v>0</v>
      </c>
      <c r="O235" t="n">
        <v>0</v>
      </c>
      <c r="P235" t="n">
        <v>0</v>
      </c>
      <c r="Q235" t="n">
        <v>0</v>
      </c>
      <c r="R235" s="2" t="inlineStr"/>
    </row>
    <row r="236" ht="15" customHeight="1">
      <c r="A236" t="inlineStr">
        <is>
          <t>A 20846-2022</t>
        </is>
      </c>
      <c r="B236" s="1" t="n">
        <v>44701.4744212963</v>
      </c>
      <c r="C236" s="1" t="n">
        <v>46119</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17246-2024</t>
        </is>
      </c>
      <c r="B237" s="1" t="n">
        <v>45414</v>
      </c>
      <c r="C237" s="1" t="n">
        <v>46119</v>
      </c>
      <c r="D237" t="inlineStr">
        <is>
          <t>SÖDERMANLANDS LÄN</t>
        </is>
      </c>
      <c r="E237" t="inlineStr">
        <is>
          <t>KATRINEHOLM</t>
        </is>
      </c>
      <c r="F237" t="inlineStr">
        <is>
          <t>Allmännings- och besparingsskogar</t>
        </is>
      </c>
      <c r="G237" t="n">
        <v>13.7</v>
      </c>
      <c r="H237" t="n">
        <v>0</v>
      </c>
      <c r="I237" t="n">
        <v>0</v>
      </c>
      <c r="J237" t="n">
        <v>0</v>
      </c>
      <c r="K237" t="n">
        <v>0</v>
      </c>
      <c r="L237" t="n">
        <v>0</v>
      </c>
      <c r="M237" t="n">
        <v>0</v>
      </c>
      <c r="N237" t="n">
        <v>0</v>
      </c>
      <c r="O237" t="n">
        <v>0</v>
      </c>
      <c r="P237" t="n">
        <v>0</v>
      </c>
      <c r="Q237" t="n">
        <v>0</v>
      </c>
      <c r="R237" s="2" t="inlineStr"/>
    </row>
    <row r="238" ht="15" customHeight="1">
      <c r="A238" t="inlineStr">
        <is>
          <t>A 15284-2023</t>
        </is>
      </c>
      <c r="B238" s="1" t="n">
        <v>45019</v>
      </c>
      <c r="C238" s="1" t="n">
        <v>46119</v>
      </c>
      <c r="D238" t="inlineStr">
        <is>
          <t>SÖDERMANLANDS LÄN</t>
        </is>
      </c>
      <c r="E238" t="inlineStr">
        <is>
          <t>KATRINEHOLM</t>
        </is>
      </c>
      <c r="F238" t="inlineStr">
        <is>
          <t>Allmännings- och besparingsskogar</t>
        </is>
      </c>
      <c r="G238" t="n">
        <v>17.4</v>
      </c>
      <c r="H238" t="n">
        <v>0</v>
      </c>
      <c r="I238" t="n">
        <v>0</v>
      </c>
      <c r="J238" t="n">
        <v>0</v>
      </c>
      <c r="K238" t="n">
        <v>0</v>
      </c>
      <c r="L238" t="n">
        <v>0</v>
      </c>
      <c r="M238" t="n">
        <v>0</v>
      </c>
      <c r="N238" t="n">
        <v>0</v>
      </c>
      <c r="O238" t="n">
        <v>0</v>
      </c>
      <c r="P238" t="n">
        <v>0</v>
      </c>
      <c r="Q238" t="n">
        <v>0</v>
      </c>
      <c r="R238" s="2" t="inlineStr"/>
    </row>
    <row r="239" ht="15" customHeight="1">
      <c r="A239" t="inlineStr">
        <is>
          <t>A 34739-2023</t>
        </is>
      </c>
      <c r="B239" s="1" t="n">
        <v>45141</v>
      </c>
      <c r="C239" s="1" t="n">
        <v>46119</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55856-2022</t>
        </is>
      </c>
      <c r="B240" s="1" t="n">
        <v>44888</v>
      </c>
      <c r="C240" s="1" t="n">
        <v>46119</v>
      </c>
      <c r="D240" t="inlineStr">
        <is>
          <t>SÖDERMANLANDS LÄN</t>
        </is>
      </c>
      <c r="E240" t="inlineStr">
        <is>
          <t>KATRINEHOLM</t>
        </is>
      </c>
      <c r="G240" t="n">
        <v>5.6</v>
      </c>
      <c r="H240" t="n">
        <v>0</v>
      </c>
      <c r="I240" t="n">
        <v>0</v>
      </c>
      <c r="J240" t="n">
        <v>0</v>
      </c>
      <c r="K240" t="n">
        <v>0</v>
      </c>
      <c r="L240" t="n">
        <v>0</v>
      </c>
      <c r="M240" t="n">
        <v>0</v>
      </c>
      <c r="N240" t="n">
        <v>0</v>
      </c>
      <c r="O240" t="n">
        <v>0</v>
      </c>
      <c r="P240" t="n">
        <v>0</v>
      </c>
      <c r="Q240" t="n">
        <v>0</v>
      </c>
      <c r="R240" s="2" t="inlineStr"/>
    </row>
    <row r="241" ht="15" customHeight="1">
      <c r="A241" t="inlineStr">
        <is>
          <t>A 36366-2023</t>
        </is>
      </c>
      <c r="B241" s="1" t="n">
        <v>45152</v>
      </c>
      <c r="C241" s="1" t="n">
        <v>46119</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37542-2022</t>
        </is>
      </c>
      <c r="B242" s="1" t="n">
        <v>44809</v>
      </c>
      <c r="C242" s="1" t="n">
        <v>46119</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9932-2023</t>
        </is>
      </c>
      <c r="B243" s="1" t="n">
        <v>44985.46709490741</v>
      </c>
      <c r="C243" s="1" t="n">
        <v>46119</v>
      </c>
      <c r="D243" t="inlineStr">
        <is>
          <t>SÖDERMANLANDS LÄN</t>
        </is>
      </c>
      <c r="E243" t="inlineStr">
        <is>
          <t>KATRINEHOLM</t>
        </is>
      </c>
      <c r="G243" t="n">
        <v>0.3</v>
      </c>
      <c r="H243" t="n">
        <v>0</v>
      </c>
      <c r="I243" t="n">
        <v>0</v>
      </c>
      <c r="J243" t="n">
        <v>0</v>
      </c>
      <c r="K243" t="n">
        <v>0</v>
      </c>
      <c r="L243" t="n">
        <v>0</v>
      </c>
      <c r="M243" t="n">
        <v>0</v>
      </c>
      <c r="N243" t="n">
        <v>0</v>
      </c>
      <c r="O243" t="n">
        <v>0</v>
      </c>
      <c r="P243" t="n">
        <v>0</v>
      </c>
      <c r="Q243" t="n">
        <v>0</v>
      </c>
      <c r="R243" s="2" t="inlineStr"/>
    </row>
    <row r="244" ht="15" customHeight="1">
      <c r="A244" t="inlineStr">
        <is>
          <t>A 41205-2021</t>
        </is>
      </c>
      <c r="B244" s="1" t="n">
        <v>44424.38577546296</v>
      </c>
      <c r="C244" s="1" t="n">
        <v>46119</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55296-2022</t>
        </is>
      </c>
      <c r="B245" s="1" t="n">
        <v>44887</v>
      </c>
      <c r="C245" s="1" t="n">
        <v>46119</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48520-2023</t>
        </is>
      </c>
      <c r="B246" s="1" t="n">
        <v>45208</v>
      </c>
      <c r="C246" s="1" t="n">
        <v>46119</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9693-2024</t>
        </is>
      </c>
      <c r="B247" s="1" t="n">
        <v>45362</v>
      </c>
      <c r="C247" s="1" t="n">
        <v>46119</v>
      </c>
      <c r="D247" t="inlineStr">
        <is>
          <t>SÖDERMANLANDS LÄN</t>
        </is>
      </c>
      <c r="E247" t="inlineStr">
        <is>
          <t>KATRINEHOLM</t>
        </is>
      </c>
      <c r="G247" t="n">
        <v>5.9</v>
      </c>
      <c r="H247" t="n">
        <v>0</v>
      </c>
      <c r="I247" t="n">
        <v>0</v>
      </c>
      <c r="J247" t="n">
        <v>0</v>
      </c>
      <c r="K247" t="n">
        <v>0</v>
      </c>
      <c r="L247" t="n">
        <v>0</v>
      </c>
      <c r="M247" t="n">
        <v>0</v>
      </c>
      <c r="N247" t="n">
        <v>0</v>
      </c>
      <c r="O247" t="n">
        <v>0</v>
      </c>
      <c r="P247" t="n">
        <v>0</v>
      </c>
      <c r="Q247" t="n">
        <v>0</v>
      </c>
      <c r="R247" s="2" t="inlineStr"/>
    </row>
    <row r="248" ht="15" customHeight="1">
      <c r="A248" t="inlineStr">
        <is>
          <t>A 42590-2022</t>
        </is>
      </c>
      <c r="B248" s="1" t="n">
        <v>44831</v>
      </c>
      <c r="C248" s="1" t="n">
        <v>46119</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32818-2023</t>
        </is>
      </c>
      <c r="B249" s="1" t="n">
        <v>45124.55633101852</v>
      </c>
      <c r="C249" s="1" t="n">
        <v>46119</v>
      </c>
      <c r="D249" t="inlineStr">
        <is>
          <t>SÖDERMANLANDS LÄN</t>
        </is>
      </c>
      <c r="E249" t="inlineStr">
        <is>
          <t>KATRINEHOLM</t>
        </is>
      </c>
      <c r="G249" t="n">
        <v>3.4</v>
      </c>
      <c r="H249" t="n">
        <v>0</v>
      </c>
      <c r="I249" t="n">
        <v>0</v>
      </c>
      <c r="J249" t="n">
        <v>0</v>
      </c>
      <c r="K249" t="n">
        <v>0</v>
      </c>
      <c r="L249" t="n">
        <v>0</v>
      </c>
      <c r="M249" t="n">
        <v>0</v>
      </c>
      <c r="N249" t="n">
        <v>0</v>
      </c>
      <c r="O249" t="n">
        <v>0</v>
      </c>
      <c r="P249" t="n">
        <v>0</v>
      </c>
      <c r="Q249" t="n">
        <v>0</v>
      </c>
      <c r="R249" s="2" t="inlineStr"/>
    </row>
    <row r="250" ht="15" customHeight="1">
      <c r="A250" t="inlineStr">
        <is>
          <t>A 17360-2022</t>
        </is>
      </c>
      <c r="B250" s="1" t="n">
        <v>44678</v>
      </c>
      <c r="C250" s="1" t="n">
        <v>46119</v>
      </c>
      <c r="D250" t="inlineStr">
        <is>
          <t>SÖDERMANLANDS LÄN</t>
        </is>
      </c>
      <c r="E250" t="inlineStr">
        <is>
          <t>KATRINEHOLM</t>
        </is>
      </c>
      <c r="G250" t="n">
        <v>4.5</v>
      </c>
      <c r="H250" t="n">
        <v>0</v>
      </c>
      <c r="I250" t="n">
        <v>0</v>
      </c>
      <c r="J250" t="n">
        <v>0</v>
      </c>
      <c r="K250" t="n">
        <v>0</v>
      </c>
      <c r="L250" t="n">
        <v>0</v>
      </c>
      <c r="M250" t="n">
        <v>0</v>
      </c>
      <c r="N250" t="n">
        <v>0</v>
      </c>
      <c r="O250" t="n">
        <v>0</v>
      </c>
      <c r="P250" t="n">
        <v>0</v>
      </c>
      <c r="Q250" t="n">
        <v>0</v>
      </c>
      <c r="R250" s="2" t="inlineStr"/>
    </row>
    <row r="251" ht="15" customHeight="1">
      <c r="A251" t="inlineStr">
        <is>
          <t>A 35864-2023</t>
        </is>
      </c>
      <c r="B251" s="1" t="n">
        <v>45147</v>
      </c>
      <c r="C251" s="1" t="n">
        <v>46119</v>
      </c>
      <c r="D251" t="inlineStr">
        <is>
          <t>SÖDERMANLANDS LÄN</t>
        </is>
      </c>
      <c r="E251" t="inlineStr">
        <is>
          <t>KATRINEHOLM</t>
        </is>
      </c>
      <c r="F251" t="inlineStr">
        <is>
          <t>Övriga Aktiebolag</t>
        </is>
      </c>
      <c r="G251" t="n">
        <v>4.7</v>
      </c>
      <c r="H251" t="n">
        <v>0</v>
      </c>
      <c r="I251" t="n">
        <v>0</v>
      </c>
      <c r="J251" t="n">
        <v>0</v>
      </c>
      <c r="K251" t="n">
        <v>0</v>
      </c>
      <c r="L251" t="n">
        <v>0</v>
      </c>
      <c r="M251" t="n">
        <v>0</v>
      </c>
      <c r="N251" t="n">
        <v>0</v>
      </c>
      <c r="O251" t="n">
        <v>0</v>
      </c>
      <c r="P251" t="n">
        <v>0</v>
      </c>
      <c r="Q251" t="n">
        <v>0</v>
      </c>
      <c r="R251" s="2" t="inlineStr"/>
    </row>
    <row r="252" ht="15" customHeight="1">
      <c r="A252" t="inlineStr">
        <is>
          <t>A 3982-2024</t>
        </is>
      </c>
      <c r="B252" s="1" t="n">
        <v>45322</v>
      </c>
      <c r="C252" s="1" t="n">
        <v>46119</v>
      </c>
      <c r="D252" t="inlineStr">
        <is>
          <t>SÖDERMANLANDS LÄN</t>
        </is>
      </c>
      <c r="E252" t="inlineStr">
        <is>
          <t>KATRINEHOLM</t>
        </is>
      </c>
      <c r="G252" t="n">
        <v>3.7</v>
      </c>
      <c r="H252" t="n">
        <v>0</v>
      </c>
      <c r="I252" t="n">
        <v>0</v>
      </c>
      <c r="J252" t="n">
        <v>0</v>
      </c>
      <c r="K252" t="n">
        <v>0</v>
      </c>
      <c r="L252" t="n">
        <v>0</v>
      </c>
      <c r="M252" t="n">
        <v>0</v>
      </c>
      <c r="N252" t="n">
        <v>0</v>
      </c>
      <c r="O252" t="n">
        <v>0</v>
      </c>
      <c r="P252" t="n">
        <v>0</v>
      </c>
      <c r="Q252" t="n">
        <v>0</v>
      </c>
      <c r="R252" s="2" t="inlineStr"/>
    </row>
    <row r="253" ht="15" customHeight="1">
      <c r="A253" t="inlineStr">
        <is>
          <t>A 13086-2023</t>
        </is>
      </c>
      <c r="B253" s="1" t="n">
        <v>45002.42188657408</v>
      </c>
      <c r="C253" s="1" t="n">
        <v>46119</v>
      </c>
      <c r="D253" t="inlineStr">
        <is>
          <t>SÖDERMANLANDS LÄN</t>
        </is>
      </c>
      <c r="E253" t="inlineStr">
        <is>
          <t>KATRINEHOLM</t>
        </is>
      </c>
      <c r="G253" t="n">
        <v>2.2</v>
      </c>
      <c r="H253" t="n">
        <v>0</v>
      </c>
      <c r="I253" t="n">
        <v>0</v>
      </c>
      <c r="J253" t="n">
        <v>0</v>
      </c>
      <c r="K253" t="n">
        <v>0</v>
      </c>
      <c r="L253" t="n">
        <v>0</v>
      </c>
      <c r="M253" t="n">
        <v>0</v>
      </c>
      <c r="N253" t="n">
        <v>0</v>
      </c>
      <c r="O253" t="n">
        <v>0</v>
      </c>
      <c r="P253" t="n">
        <v>0</v>
      </c>
      <c r="Q253" t="n">
        <v>0</v>
      </c>
      <c r="R253" s="2" t="inlineStr"/>
    </row>
    <row r="254" ht="15" customHeight="1">
      <c r="A254" t="inlineStr">
        <is>
          <t>A 6810-2023</t>
        </is>
      </c>
      <c r="B254" s="1" t="n">
        <v>44964</v>
      </c>
      <c r="C254" s="1" t="n">
        <v>46119</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11635-2023</t>
        </is>
      </c>
      <c r="B255" s="1" t="n">
        <v>44994</v>
      </c>
      <c r="C255" s="1" t="n">
        <v>46119</v>
      </c>
      <c r="D255" t="inlineStr">
        <is>
          <t>SÖDERMANLANDS LÄN</t>
        </is>
      </c>
      <c r="E255" t="inlineStr">
        <is>
          <t>KATRINEHOLM</t>
        </is>
      </c>
      <c r="G255" t="n">
        <v>4.3</v>
      </c>
      <c r="H255" t="n">
        <v>0</v>
      </c>
      <c r="I255" t="n">
        <v>0</v>
      </c>
      <c r="J255" t="n">
        <v>0</v>
      </c>
      <c r="K255" t="n">
        <v>0</v>
      </c>
      <c r="L255" t="n">
        <v>0</v>
      </c>
      <c r="M255" t="n">
        <v>0</v>
      </c>
      <c r="N255" t="n">
        <v>0</v>
      </c>
      <c r="O255" t="n">
        <v>0</v>
      </c>
      <c r="P255" t="n">
        <v>0</v>
      </c>
      <c r="Q255" t="n">
        <v>0</v>
      </c>
      <c r="R255" s="2" t="inlineStr"/>
    </row>
    <row r="256" ht="15" customHeight="1">
      <c r="A256" t="inlineStr">
        <is>
          <t>A 34732-2022</t>
        </is>
      </c>
      <c r="B256" s="1" t="n">
        <v>44795</v>
      </c>
      <c r="C256" s="1" t="n">
        <v>46119</v>
      </c>
      <c r="D256" t="inlineStr">
        <is>
          <t>SÖDERMANLANDS LÄN</t>
        </is>
      </c>
      <c r="E256" t="inlineStr">
        <is>
          <t>KATRINEHOLM</t>
        </is>
      </c>
      <c r="G256" t="n">
        <v>3</v>
      </c>
      <c r="H256" t="n">
        <v>0</v>
      </c>
      <c r="I256" t="n">
        <v>0</v>
      </c>
      <c r="J256" t="n">
        <v>0</v>
      </c>
      <c r="K256" t="n">
        <v>0</v>
      </c>
      <c r="L256" t="n">
        <v>0</v>
      </c>
      <c r="M256" t="n">
        <v>0</v>
      </c>
      <c r="N256" t="n">
        <v>0</v>
      </c>
      <c r="O256" t="n">
        <v>0</v>
      </c>
      <c r="P256" t="n">
        <v>0</v>
      </c>
      <c r="Q256" t="n">
        <v>0</v>
      </c>
      <c r="R256" s="2" t="inlineStr"/>
    </row>
    <row r="257" ht="15" customHeight="1">
      <c r="A257" t="inlineStr">
        <is>
          <t>A 17820-2025</t>
        </is>
      </c>
      <c r="B257" s="1" t="n">
        <v>45758</v>
      </c>
      <c r="C257" s="1" t="n">
        <v>46119</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57154-2023</t>
        </is>
      </c>
      <c r="B258" s="1" t="n">
        <v>45245</v>
      </c>
      <c r="C258" s="1" t="n">
        <v>46119</v>
      </c>
      <c r="D258" t="inlineStr">
        <is>
          <t>SÖDERMANLANDS LÄN</t>
        </is>
      </c>
      <c r="E258" t="inlineStr">
        <is>
          <t>KATRINEHOLM</t>
        </is>
      </c>
      <c r="F258" t="inlineStr">
        <is>
          <t>Allmännings- och besparingsskogar</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57265-2022</t>
        </is>
      </c>
      <c r="B259" s="1" t="n">
        <v>44895</v>
      </c>
      <c r="C259" s="1" t="n">
        <v>46119</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6298-2024</t>
        </is>
      </c>
      <c r="B260" s="1" t="n">
        <v>45338.34245370371</v>
      </c>
      <c r="C260" s="1" t="n">
        <v>46119</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48877-2022</t>
        </is>
      </c>
      <c r="B261" s="1" t="n">
        <v>44859</v>
      </c>
      <c r="C261" s="1" t="n">
        <v>46119</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23705-2023</t>
        </is>
      </c>
      <c r="B262" s="1" t="n">
        <v>45077</v>
      </c>
      <c r="C262" s="1" t="n">
        <v>46119</v>
      </c>
      <c r="D262" t="inlineStr">
        <is>
          <t>SÖDERMANLANDS LÄN</t>
        </is>
      </c>
      <c r="E262" t="inlineStr">
        <is>
          <t>KATRINEHOLM</t>
        </is>
      </c>
      <c r="F262" t="inlineStr">
        <is>
          <t>Kyrkan</t>
        </is>
      </c>
      <c r="G262" t="n">
        <v>11.9</v>
      </c>
      <c r="H262" t="n">
        <v>0</v>
      </c>
      <c r="I262" t="n">
        <v>0</v>
      </c>
      <c r="J262" t="n">
        <v>0</v>
      </c>
      <c r="K262" t="n">
        <v>0</v>
      </c>
      <c r="L262" t="n">
        <v>0</v>
      </c>
      <c r="M262" t="n">
        <v>0</v>
      </c>
      <c r="N262" t="n">
        <v>0</v>
      </c>
      <c r="O262" t="n">
        <v>0</v>
      </c>
      <c r="P262" t="n">
        <v>0</v>
      </c>
      <c r="Q262" t="n">
        <v>0</v>
      </c>
      <c r="R262" s="2" t="inlineStr"/>
    </row>
    <row r="263" ht="15" customHeight="1">
      <c r="A263" t="inlineStr">
        <is>
          <t>A 34539-2022</t>
        </is>
      </c>
      <c r="B263" s="1" t="n">
        <v>44793.50563657407</v>
      </c>
      <c r="C263" s="1" t="n">
        <v>46119</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7223-2022</t>
        </is>
      </c>
      <c r="B264" s="1" t="n">
        <v>44603</v>
      </c>
      <c r="C264" s="1" t="n">
        <v>46119</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3115-2024</t>
        </is>
      </c>
      <c r="B265" s="1" t="n">
        <v>45316.49630787037</v>
      </c>
      <c r="C265" s="1" t="n">
        <v>46119</v>
      </c>
      <c r="D265" t="inlineStr">
        <is>
          <t>SÖDERMANLANDS LÄN</t>
        </is>
      </c>
      <c r="E265" t="inlineStr">
        <is>
          <t>KATRINEHOLM</t>
        </is>
      </c>
      <c r="G265" t="n">
        <v>0.6</v>
      </c>
      <c r="H265" t="n">
        <v>0</v>
      </c>
      <c r="I265" t="n">
        <v>0</v>
      </c>
      <c r="J265" t="n">
        <v>0</v>
      </c>
      <c r="K265" t="n">
        <v>0</v>
      </c>
      <c r="L265" t="n">
        <v>0</v>
      </c>
      <c r="M265" t="n">
        <v>0</v>
      </c>
      <c r="N265" t="n">
        <v>0</v>
      </c>
      <c r="O265" t="n">
        <v>0</v>
      </c>
      <c r="P265" t="n">
        <v>0</v>
      </c>
      <c r="Q265" t="n">
        <v>0</v>
      </c>
      <c r="R265" s="2" t="inlineStr"/>
    </row>
    <row r="266" ht="15" customHeight="1">
      <c r="A266" t="inlineStr">
        <is>
          <t>A 52769-2023</t>
        </is>
      </c>
      <c r="B266" s="1" t="n">
        <v>45226</v>
      </c>
      <c r="C266" s="1" t="n">
        <v>46119</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51446-2023</t>
        </is>
      </c>
      <c r="B267" s="1" t="n">
        <v>45220.48068287037</v>
      </c>
      <c r="C267" s="1" t="n">
        <v>46119</v>
      </c>
      <c r="D267" t="inlineStr">
        <is>
          <t>SÖDERMANLANDS LÄN</t>
        </is>
      </c>
      <c r="E267" t="inlineStr">
        <is>
          <t>KATRINEHOLM</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50626-2024</t>
        </is>
      </c>
      <c r="B268" s="1" t="n">
        <v>45601</v>
      </c>
      <c r="C268" s="1" t="n">
        <v>46119</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35183-2022</t>
        </is>
      </c>
      <c r="B269" s="1" t="n">
        <v>44797</v>
      </c>
      <c r="C269" s="1" t="n">
        <v>46119</v>
      </c>
      <c r="D269" t="inlineStr">
        <is>
          <t>SÖDERMANLANDS LÄN</t>
        </is>
      </c>
      <c r="E269" t="inlineStr">
        <is>
          <t>KATRINEHOLM</t>
        </is>
      </c>
      <c r="G269" t="n">
        <v>4.6</v>
      </c>
      <c r="H269" t="n">
        <v>0</v>
      </c>
      <c r="I269" t="n">
        <v>0</v>
      </c>
      <c r="J269" t="n">
        <v>0</v>
      </c>
      <c r="K269" t="n">
        <v>0</v>
      </c>
      <c r="L269" t="n">
        <v>0</v>
      </c>
      <c r="M269" t="n">
        <v>0</v>
      </c>
      <c r="N269" t="n">
        <v>0</v>
      </c>
      <c r="O269" t="n">
        <v>0</v>
      </c>
      <c r="P269" t="n">
        <v>0</v>
      </c>
      <c r="Q269" t="n">
        <v>0</v>
      </c>
      <c r="R269" s="2" t="inlineStr"/>
    </row>
    <row r="270" ht="15" customHeight="1">
      <c r="A270" t="inlineStr">
        <is>
          <t>A 28931-2024</t>
        </is>
      </c>
      <c r="B270" s="1" t="n">
        <v>45479</v>
      </c>
      <c r="C270" s="1" t="n">
        <v>46119</v>
      </c>
      <c r="D270" t="inlineStr">
        <is>
          <t>SÖDERMANLANDS LÄN</t>
        </is>
      </c>
      <c r="E270" t="inlineStr">
        <is>
          <t>KATRINEHOLM</t>
        </is>
      </c>
      <c r="G270" t="n">
        <v>7.4</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46119</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12888-2025</t>
        </is>
      </c>
      <c r="B272" s="1" t="n">
        <v>45733</v>
      </c>
      <c r="C272" s="1" t="n">
        <v>46119</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30242-2023</t>
        </is>
      </c>
      <c r="B273" s="1" t="n">
        <v>45099</v>
      </c>
      <c r="C273" s="1" t="n">
        <v>46119</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7197-2023</t>
        </is>
      </c>
      <c r="B274" s="1" t="n">
        <v>44965</v>
      </c>
      <c r="C274" s="1" t="n">
        <v>46119</v>
      </c>
      <c r="D274" t="inlineStr">
        <is>
          <t>SÖDERMANLANDS LÄN</t>
        </is>
      </c>
      <c r="E274" t="inlineStr">
        <is>
          <t>KATRINEHOLM</t>
        </is>
      </c>
      <c r="G274" t="n">
        <v>5.3</v>
      </c>
      <c r="H274" t="n">
        <v>0</v>
      </c>
      <c r="I274" t="n">
        <v>0</v>
      </c>
      <c r="J274" t="n">
        <v>0</v>
      </c>
      <c r="K274" t="n">
        <v>0</v>
      </c>
      <c r="L274" t="n">
        <v>0</v>
      </c>
      <c r="M274" t="n">
        <v>0</v>
      </c>
      <c r="N274" t="n">
        <v>0</v>
      </c>
      <c r="O274" t="n">
        <v>0</v>
      </c>
      <c r="P274" t="n">
        <v>0</v>
      </c>
      <c r="Q274" t="n">
        <v>0</v>
      </c>
      <c r="R274" s="2" t="inlineStr"/>
    </row>
    <row r="275" ht="15" customHeight="1">
      <c r="A275" t="inlineStr">
        <is>
          <t>A 28394-2023</t>
        </is>
      </c>
      <c r="B275" s="1" t="n">
        <v>45100</v>
      </c>
      <c r="C275" s="1" t="n">
        <v>46119</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35156-2025</t>
        </is>
      </c>
      <c r="B276" s="1" t="n">
        <v>45852</v>
      </c>
      <c r="C276" s="1" t="n">
        <v>46119</v>
      </c>
      <c r="D276" t="inlineStr">
        <is>
          <t>SÖDERMANLANDS LÄN</t>
        </is>
      </c>
      <c r="E276" t="inlineStr">
        <is>
          <t>KATRINEHOLM</t>
        </is>
      </c>
      <c r="G276" t="n">
        <v>5.7</v>
      </c>
      <c r="H276" t="n">
        <v>0</v>
      </c>
      <c r="I276" t="n">
        <v>0</v>
      </c>
      <c r="J276" t="n">
        <v>0</v>
      </c>
      <c r="K276" t="n">
        <v>0</v>
      </c>
      <c r="L276" t="n">
        <v>0</v>
      </c>
      <c r="M276" t="n">
        <v>0</v>
      </c>
      <c r="N276" t="n">
        <v>0</v>
      </c>
      <c r="O276" t="n">
        <v>0</v>
      </c>
      <c r="P276" t="n">
        <v>0</v>
      </c>
      <c r="Q276" t="n">
        <v>0</v>
      </c>
      <c r="R276" s="2" t="inlineStr"/>
    </row>
    <row r="277" ht="15" customHeight="1">
      <c r="A277" t="inlineStr">
        <is>
          <t>A 35145-2025</t>
        </is>
      </c>
      <c r="B277" s="1" t="n">
        <v>45852</v>
      </c>
      <c r="C277" s="1" t="n">
        <v>46119</v>
      </c>
      <c r="D277" t="inlineStr">
        <is>
          <t>SÖDERMANLANDS LÄN</t>
        </is>
      </c>
      <c r="E277" t="inlineStr">
        <is>
          <t>KATRINEHOLM</t>
        </is>
      </c>
      <c r="G277" t="n">
        <v>3.1</v>
      </c>
      <c r="H277" t="n">
        <v>0</v>
      </c>
      <c r="I277" t="n">
        <v>0</v>
      </c>
      <c r="J277" t="n">
        <v>0</v>
      </c>
      <c r="K277" t="n">
        <v>0</v>
      </c>
      <c r="L277" t="n">
        <v>0</v>
      </c>
      <c r="M277" t="n">
        <v>0</v>
      </c>
      <c r="N277" t="n">
        <v>0</v>
      </c>
      <c r="O277" t="n">
        <v>0</v>
      </c>
      <c r="P277" t="n">
        <v>0</v>
      </c>
      <c r="Q277" t="n">
        <v>0</v>
      </c>
      <c r="R277" s="2" t="inlineStr"/>
    </row>
    <row r="278" ht="15" customHeight="1">
      <c r="A278" t="inlineStr">
        <is>
          <t>A 35157-2025</t>
        </is>
      </c>
      <c r="B278" s="1" t="n">
        <v>45852</v>
      </c>
      <c r="C278" s="1" t="n">
        <v>46119</v>
      </c>
      <c r="D278" t="inlineStr">
        <is>
          <t>SÖDERMANLANDS LÄN</t>
        </is>
      </c>
      <c r="E278" t="inlineStr">
        <is>
          <t>KATRINEHOLM</t>
        </is>
      </c>
      <c r="G278" t="n">
        <v>3.7</v>
      </c>
      <c r="H278" t="n">
        <v>0</v>
      </c>
      <c r="I278" t="n">
        <v>0</v>
      </c>
      <c r="J278" t="n">
        <v>0</v>
      </c>
      <c r="K278" t="n">
        <v>0</v>
      </c>
      <c r="L278" t="n">
        <v>0</v>
      </c>
      <c r="M278" t="n">
        <v>0</v>
      </c>
      <c r="N278" t="n">
        <v>0</v>
      </c>
      <c r="O278" t="n">
        <v>0</v>
      </c>
      <c r="P278" t="n">
        <v>0</v>
      </c>
      <c r="Q278" t="n">
        <v>0</v>
      </c>
      <c r="R278" s="2" t="inlineStr"/>
    </row>
    <row r="279" ht="15" customHeight="1">
      <c r="A279" t="inlineStr">
        <is>
          <t>A 35084-2025</t>
        </is>
      </c>
      <c r="B279" s="1" t="n">
        <v>45852</v>
      </c>
      <c r="C279" s="1" t="n">
        <v>46119</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35149-2025</t>
        </is>
      </c>
      <c r="B280" s="1" t="n">
        <v>45852</v>
      </c>
      <c r="C280" s="1" t="n">
        <v>46119</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35161-2025</t>
        </is>
      </c>
      <c r="B281" s="1" t="n">
        <v>45852.70716435185</v>
      </c>
      <c r="C281" s="1" t="n">
        <v>46119</v>
      </c>
      <c r="D281" t="inlineStr">
        <is>
          <t>SÖDERMANLANDS LÄN</t>
        </is>
      </c>
      <c r="E281" t="inlineStr">
        <is>
          <t>KATRINEHOLM</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35152-2025</t>
        </is>
      </c>
      <c r="B282" s="1" t="n">
        <v>45852</v>
      </c>
      <c r="C282" s="1" t="n">
        <v>46119</v>
      </c>
      <c r="D282" t="inlineStr">
        <is>
          <t>SÖDERMANLANDS LÄN</t>
        </is>
      </c>
      <c r="E282" t="inlineStr">
        <is>
          <t>KATRINEHOLM</t>
        </is>
      </c>
      <c r="G282" t="n">
        <v>4.6</v>
      </c>
      <c r="H282" t="n">
        <v>0</v>
      </c>
      <c r="I282" t="n">
        <v>0</v>
      </c>
      <c r="J282" t="n">
        <v>0</v>
      </c>
      <c r="K282" t="n">
        <v>0</v>
      </c>
      <c r="L282" t="n">
        <v>0</v>
      </c>
      <c r="M282" t="n">
        <v>0</v>
      </c>
      <c r="N282" t="n">
        <v>0</v>
      </c>
      <c r="O282" t="n">
        <v>0</v>
      </c>
      <c r="P282" t="n">
        <v>0</v>
      </c>
      <c r="Q282" t="n">
        <v>0</v>
      </c>
      <c r="R282" s="2" t="inlineStr"/>
    </row>
    <row r="283" ht="15" customHeight="1">
      <c r="A283" t="inlineStr">
        <is>
          <t>A 35165-2025</t>
        </is>
      </c>
      <c r="B283" s="1" t="n">
        <v>45852.72320601852</v>
      </c>
      <c r="C283" s="1" t="n">
        <v>46119</v>
      </c>
      <c r="D283" t="inlineStr">
        <is>
          <t>SÖDERMANLANDS LÄN</t>
        </is>
      </c>
      <c r="E283" t="inlineStr">
        <is>
          <t>KATRINEHOLM</t>
        </is>
      </c>
      <c r="F283" t="inlineStr">
        <is>
          <t>Övriga Aktiebolag</t>
        </is>
      </c>
      <c r="G283" t="n">
        <v>20.7</v>
      </c>
      <c r="H283" t="n">
        <v>0</v>
      </c>
      <c r="I283" t="n">
        <v>0</v>
      </c>
      <c r="J283" t="n">
        <v>0</v>
      </c>
      <c r="K283" t="n">
        <v>0</v>
      </c>
      <c r="L283" t="n">
        <v>0</v>
      </c>
      <c r="M283" t="n">
        <v>0</v>
      </c>
      <c r="N283" t="n">
        <v>0</v>
      </c>
      <c r="O283" t="n">
        <v>0</v>
      </c>
      <c r="P283" t="n">
        <v>0</v>
      </c>
      <c r="Q283" t="n">
        <v>0</v>
      </c>
      <c r="R283" s="2" t="inlineStr"/>
    </row>
    <row r="284" ht="15" customHeight="1">
      <c r="A284" t="inlineStr">
        <is>
          <t>A 35158-2025</t>
        </is>
      </c>
      <c r="B284" s="1" t="n">
        <v>45852</v>
      </c>
      <c r="C284" s="1" t="n">
        <v>46119</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34439-2025</t>
        </is>
      </c>
      <c r="B285" s="1" t="n">
        <v>45845</v>
      </c>
      <c r="C285" s="1" t="n">
        <v>46119</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25362-2023</t>
        </is>
      </c>
      <c r="B286" s="1" t="n">
        <v>45088.83430555555</v>
      </c>
      <c r="C286" s="1" t="n">
        <v>46119</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47456-2022</t>
        </is>
      </c>
      <c r="B287" s="1" t="n">
        <v>44852</v>
      </c>
      <c r="C287" s="1" t="n">
        <v>46119</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4656-2023</t>
        </is>
      </c>
      <c r="B288" s="1" t="n">
        <v>44957</v>
      </c>
      <c r="C288" s="1" t="n">
        <v>46119</v>
      </c>
      <c r="D288" t="inlineStr">
        <is>
          <t>SÖDERMANLANDS LÄN</t>
        </is>
      </c>
      <c r="E288" t="inlineStr">
        <is>
          <t>KATRINEHOLM</t>
        </is>
      </c>
      <c r="F288" t="inlineStr">
        <is>
          <t>Holmen skog AB</t>
        </is>
      </c>
      <c r="G288" t="n">
        <v>1.7</v>
      </c>
      <c r="H288" t="n">
        <v>0</v>
      </c>
      <c r="I288" t="n">
        <v>0</v>
      </c>
      <c r="J288" t="n">
        <v>0</v>
      </c>
      <c r="K288" t="n">
        <v>0</v>
      </c>
      <c r="L288" t="n">
        <v>0</v>
      </c>
      <c r="M288" t="n">
        <v>0</v>
      </c>
      <c r="N288" t="n">
        <v>0</v>
      </c>
      <c r="O288" t="n">
        <v>0</v>
      </c>
      <c r="P288" t="n">
        <v>0</v>
      </c>
      <c r="Q288" t="n">
        <v>0</v>
      </c>
      <c r="R288" s="2" t="inlineStr"/>
    </row>
    <row r="289" ht="15" customHeight="1">
      <c r="A289" t="inlineStr">
        <is>
          <t>A 49078-2024</t>
        </is>
      </c>
      <c r="B289" s="1" t="n">
        <v>45594.62556712963</v>
      </c>
      <c r="C289" s="1" t="n">
        <v>46119</v>
      </c>
      <c r="D289" t="inlineStr">
        <is>
          <t>SÖDERMANLANDS LÄN</t>
        </is>
      </c>
      <c r="E289" t="inlineStr">
        <is>
          <t>KATRINEHOLM</t>
        </is>
      </c>
      <c r="F289" t="inlineStr">
        <is>
          <t>Övriga Aktiebolag</t>
        </is>
      </c>
      <c r="G289" t="n">
        <v>0.4</v>
      </c>
      <c r="H289" t="n">
        <v>0</v>
      </c>
      <c r="I289" t="n">
        <v>0</v>
      </c>
      <c r="J289" t="n">
        <v>0</v>
      </c>
      <c r="K289" t="n">
        <v>0</v>
      </c>
      <c r="L289" t="n">
        <v>0</v>
      </c>
      <c r="M289" t="n">
        <v>0</v>
      </c>
      <c r="N289" t="n">
        <v>0</v>
      </c>
      <c r="O289" t="n">
        <v>0</v>
      </c>
      <c r="P289" t="n">
        <v>0</v>
      </c>
      <c r="Q289" t="n">
        <v>0</v>
      </c>
      <c r="R289" s="2" t="inlineStr"/>
    </row>
    <row r="290" ht="15" customHeight="1">
      <c r="A290" t="inlineStr">
        <is>
          <t>A 38708-2025</t>
        </is>
      </c>
      <c r="B290" s="1" t="n">
        <v>45885</v>
      </c>
      <c r="C290" s="1" t="n">
        <v>46119</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35188-2022</t>
        </is>
      </c>
      <c r="B291" s="1" t="n">
        <v>44797</v>
      </c>
      <c r="C291" s="1" t="n">
        <v>46119</v>
      </c>
      <c r="D291" t="inlineStr">
        <is>
          <t>SÖDERMANLANDS LÄN</t>
        </is>
      </c>
      <c r="E291" t="inlineStr">
        <is>
          <t>KATRINEHOLM</t>
        </is>
      </c>
      <c r="G291" t="n">
        <v>3</v>
      </c>
      <c r="H291" t="n">
        <v>0</v>
      </c>
      <c r="I291" t="n">
        <v>0</v>
      </c>
      <c r="J291" t="n">
        <v>0</v>
      </c>
      <c r="K291" t="n">
        <v>0</v>
      </c>
      <c r="L291" t="n">
        <v>0</v>
      </c>
      <c r="M291" t="n">
        <v>0</v>
      </c>
      <c r="N291" t="n">
        <v>0</v>
      </c>
      <c r="O291" t="n">
        <v>0</v>
      </c>
      <c r="P291" t="n">
        <v>0</v>
      </c>
      <c r="Q291" t="n">
        <v>0</v>
      </c>
      <c r="R291" s="2" t="inlineStr"/>
    </row>
    <row r="292" ht="15" customHeight="1">
      <c r="A292" t="inlineStr">
        <is>
          <t>A 5327-2025</t>
        </is>
      </c>
      <c r="B292" s="1" t="n">
        <v>45692</v>
      </c>
      <c r="C292" s="1" t="n">
        <v>46119</v>
      </c>
      <c r="D292" t="inlineStr">
        <is>
          <t>SÖDERMANLANDS LÄN</t>
        </is>
      </c>
      <c r="E292" t="inlineStr">
        <is>
          <t>KATRINEHOLM</t>
        </is>
      </c>
      <c r="F292" t="inlineStr">
        <is>
          <t>Kommuner</t>
        </is>
      </c>
      <c r="G292" t="n">
        <v>0.5</v>
      </c>
      <c r="H292" t="n">
        <v>0</v>
      </c>
      <c r="I292" t="n">
        <v>0</v>
      </c>
      <c r="J292" t="n">
        <v>0</v>
      </c>
      <c r="K292" t="n">
        <v>0</v>
      </c>
      <c r="L292" t="n">
        <v>0</v>
      </c>
      <c r="M292" t="n">
        <v>0</v>
      </c>
      <c r="N292" t="n">
        <v>0</v>
      </c>
      <c r="O292" t="n">
        <v>0</v>
      </c>
      <c r="P292" t="n">
        <v>0</v>
      </c>
      <c r="Q292" t="n">
        <v>0</v>
      </c>
      <c r="R292" s="2" t="inlineStr"/>
    </row>
    <row r="293" ht="15" customHeight="1">
      <c r="A293" t="inlineStr">
        <is>
          <t>A 34176-2025</t>
        </is>
      </c>
      <c r="B293" s="1" t="n">
        <v>45845</v>
      </c>
      <c r="C293" s="1" t="n">
        <v>46119</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6175-2023</t>
        </is>
      </c>
      <c r="B294" s="1" t="n">
        <v>44964</v>
      </c>
      <c r="C294" s="1" t="n">
        <v>46119</v>
      </c>
      <c r="D294" t="inlineStr">
        <is>
          <t>SÖDERMANLANDS LÄN</t>
        </is>
      </c>
      <c r="E294" t="inlineStr">
        <is>
          <t>KATRINEHOLM</t>
        </is>
      </c>
      <c r="G294" t="n">
        <v>11.2</v>
      </c>
      <c r="H294" t="n">
        <v>0</v>
      </c>
      <c r="I294" t="n">
        <v>0</v>
      </c>
      <c r="J294" t="n">
        <v>0</v>
      </c>
      <c r="K294" t="n">
        <v>0</v>
      </c>
      <c r="L294" t="n">
        <v>0</v>
      </c>
      <c r="M294" t="n">
        <v>0</v>
      </c>
      <c r="N294" t="n">
        <v>0</v>
      </c>
      <c r="O294" t="n">
        <v>0</v>
      </c>
      <c r="P294" t="n">
        <v>0</v>
      </c>
      <c r="Q294" t="n">
        <v>0</v>
      </c>
      <c r="R294" s="2" t="inlineStr"/>
    </row>
    <row r="295" ht="15" customHeight="1">
      <c r="A295" t="inlineStr">
        <is>
          <t>A 4655-2024</t>
        </is>
      </c>
      <c r="B295" s="1" t="n">
        <v>45328</v>
      </c>
      <c r="C295" s="1" t="n">
        <v>46119</v>
      </c>
      <c r="D295" t="inlineStr">
        <is>
          <t>SÖDERMANLANDS LÄN</t>
        </is>
      </c>
      <c r="E295" t="inlineStr">
        <is>
          <t>KATRINEHOLM</t>
        </is>
      </c>
      <c r="G295" t="n">
        <v>17.7</v>
      </c>
      <c r="H295" t="n">
        <v>0</v>
      </c>
      <c r="I295" t="n">
        <v>0</v>
      </c>
      <c r="J295" t="n">
        <v>0</v>
      </c>
      <c r="K295" t="n">
        <v>0</v>
      </c>
      <c r="L295" t="n">
        <v>0</v>
      </c>
      <c r="M295" t="n">
        <v>0</v>
      </c>
      <c r="N295" t="n">
        <v>0</v>
      </c>
      <c r="O295" t="n">
        <v>0</v>
      </c>
      <c r="P295" t="n">
        <v>0</v>
      </c>
      <c r="Q295" t="n">
        <v>0</v>
      </c>
      <c r="R295" s="2" t="inlineStr"/>
    </row>
    <row r="296" ht="15" customHeight="1">
      <c r="A296" t="inlineStr">
        <is>
          <t>A 44024-2021</t>
        </is>
      </c>
      <c r="B296" s="1" t="n">
        <v>44434</v>
      </c>
      <c r="C296" s="1" t="n">
        <v>46119</v>
      </c>
      <c r="D296" t="inlineStr">
        <is>
          <t>SÖDERMANLANDS LÄN</t>
        </is>
      </c>
      <c r="E296" t="inlineStr">
        <is>
          <t>KATRINEHOLM</t>
        </is>
      </c>
      <c r="G296" t="n">
        <v>13</v>
      </c>
      <c r="H296" t="n">
        <v>0</v>
      </c>
      <c r="I296" t="n">
        <v>0</v>
      </c>
      <c r="J296" t="n">
        <v>0</v>
      </c>
      <c r="K296" t="n">
        <v>0</v>
      </c>
      <c r="L296" t="n">
        <v>0</v>
      </c>
      <c r="M296" t="n">
        <v>0</v>
      </c>
      <c r="N296" t="n">
        <v>0</v>
      </c>
      <c r="O296" t="n">
        <v>0</v>
      </c>
      <c r="P296" t="n">
        <v>0</v>
      </c>
      <c r="Q296" t="n">
        <v>0</v>
      </c>
      <c r="R296" s="2" t="inlineStr"/>
    </row>
    <row r="297" ht="15" customHeight="1">
      <c r="A297" t="inlineStr">
        <is>
          <t>A 50316-2023</t>
        </is>
      </c>
      <c r="B297" s="1" t="n">
        <v>45209</v>
      </c>
      <c r="C297" s="1" t="n">
        <v>46119</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51404-2023</t>
        </is>
      </c>
      <c r="B298" s="1" t="n">
        <v>45214</v>
      </c>
      <c r="C298" s="1" t="n">
        <v>46119</v>
      </c>
      <c r="D298" t="inlineStr">
        <is>
          <t>SÖDERMANLANDS LÄN</t>
        </is>
      </c>
      <c r="E298" t="inlineStr">
        <is>
          <t>KATRINEHOLM</t>
        </is>
      </c>
      <c r="G298" t="n">
        <v>9</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46119</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15898-2022</t>
        </is>
      </c>
      <c r="B300" s="1" t="n">
        <v>44664.55688657407</v>
      </c>
      <c r="C300" s="1" t="n">
        <v>46119</v>
      </c>
      <c r="D300" t="inlineStr">
        <is>
          <t>SÖDERMANLANDS LÄN</t>
        </is>
      </c>
      <c r="E300" t="inlineStr">
        <is>
          <t>KATRINEHOLM</t>
        </is>
      </c>
      <c r="G300" t="n">
        <v>6.5</v>
      </c>
      <c r="H300" t="n">
        <v>0</v>
      </c>
      <c r="I300" t="n">
        <v>0</v>
      </c>
      <c r="J300" t="n">
        <v>0</v>
      </c>
      <c r="K300" t="n">
        <v>0</v>
      </c>
      <c r="L300" t="n">
        <v>0</v>
      </c>
      <c r="M300" t="n">
        <v>0</v>
      </c>
      <c r="N300" t="n">
        <v>0</v>
      </c>
      <c r="O300" t="n">
        <v>0</v>
      </c>
      <c r="P300" t="n">
        <v>0</v>
      </c>
      <c r="Q300" t="n">
        <v>0</v>
      </c>
      <c r="R300" s="2" t="inlineStr"/>
    </row>
    <row r="301" ht="15" customHeight="1">
      <c r="A301" t="inlineStr">
        <is>
          <t>A 15910-2022</t>
        </is>
      </c>
      <c r="B301" s="1" t="n">
        <v>44664</v>
      </c>
      <c r="C301" s="1" t="n">
        <v>46119</v>
      </c>
      <c r="D301" t="inlineStr">
        <is>
          <t>SÖDERMANLANDS LÄN</t>
        </is>
      </c>
      <c r="E301" t="inlineStr">
        <is>
          <t>KATRINEHOLM</t>
        </is>
      </c>
      <c r="G301" t="n">
        <v>5.6</v>
      </c>
      <c r="H301" t="n">
        <v>0</v>
      </c>
      <c r="I301" t="n">
        <v>0</v>
      </c>
      <c r="J301" t="n">
        <v>0</v>
      </c>
      <c r="K301" t="n">
        <v>0</v>
      </c>
      <c r="L301" t="n">
        <v>0</v>
      </c>
      <c r="M301" t="n">
        <v>0</v>
      </c>
      <c r="N301" t="n">
        <v>0</v>
      </c>
      <c r="O301" t="n">
        <v>0</v>
      </c>
      <c r="P301" t="n">
        <v>0</v>
      </c>
      <c r="Q301" t="n">
        <v>0</v>
      </c>
      <c r="R301" s="2" t="inlineStr"/>
    </row>
    <row r="302" ht="15" customHeight="1">
      <c r="A302" t="inlineStr">
        <is>
          <t>A 39737-2025</t>
        </is>
      </c>
      <c r="B302" s="1" t="n">
        <v>45891</v>
      </c>
      <c r="C302" s="1" t="n">
        <v>46119</v>
      </c>
      <c r="D302" t="inlineStr">
        <is>
          <t>SÖDERMANLANDS LÄN</t>
        </is>
      </c>
      <c r="E302" t="inlineStr">
        <is>
          <t>KATRINEHOLM</t>
        </is>
      </c>
      <c r="F302" t="inlineStr">
        <is>
          <t>Holmen skog AB</t>
        </is>
      </c>
      <c r="G302" t="n">
        <v>1.6</v>
      </c>
      <c r="H302" t="n">
        <v>0</v>
      </c>
      <c r="I302" t="n">
        <v>0</v>
      </c>
      <c r="J302" t="n">
        <v>0</v>
      </c>
      <c r="K302" t="n">
        <v>0</v>
      </c>
      <c r="L302" t="n">
        <v>0</v>
      </c>
      <c r="M302" t="n">
        <v>0</v>
      </c>
      <c r="N302" t="n">
        <v>0</v>
      </c>
      <c r="O302" t="n">
        <v>0</v>
      </c>
      <c r="P302" t="n">
        <v>0</v>
      </c>
      <c r="Q302" t="n">
        <v>0</v>
      </c>
      <c r="R302" s="2" t="inlineStr"/>
    </row>
    <row r="303" ht="15" customHeight="1">
      <c r="A303" t="inlineStr">
        <is>
          <t>A 12227-2025</t>
        </is>
      </c>
      <c r="B303" s="1" t="n">
        <v>45729.56836805555</v>
      </c>
      <c r="C303" s="1" t="n">
        <v>46119</v>
      </c>
      <c r="D303" t="inlineStr">
        <is>
          <t>SÖDERMANLANDS LÄN</t>
        </is>
      </c>
      <c r="E303" t="inlineStr">
        <is>
          <t>KATRINEHOLM</t>
        </is>
      </c>
      <c r="G303" t="n">
        <v>7</v>
      </c>
      <c r="H303" t="n">
        <v>0</v>
      </c>
      <c r="I303" t="n">
        <v>0</v>
      </c>
      <c r="J303" t="n">
        <v>0</v>
      </c>
      <c r="K303" t="n">
        <v>0</v>
      </c>
      <c r="L303" t="n">
        <v>0</v>
      </c>
      <c r="M303" t="n">
        <v>0</v>
      </c>
      <c r="N303" t="n">
        <v>0</v>
      </c>
      <c r="O303" t="n">
        <v>0</v>
      </c>
      <c r="P303" t="n">
        <v>0</v>
      </c>
      <c r="Q303" t="n">
        <v>0</v>
      </c>
      <c r="R303" s="2" t="inlineStr"/>
    </row>
    <row r="304" ht="15" customHeight="1">
      <c r="A304" t="inlineStr">
        <is>
          <t>A 64605-2023</t>
        </is>
      </c>
      <c r="B304" s="1" t="n">
        <v>45281</v>
      </c>
      <c r="C304" s="1" t="n">
        <v>46119</v>
      </c>
      <c r="D304" t="inlineStr">
        <is>
          <t>SÖDERMANLANDS LÄN</t>
        </is>
      </c>
      <c r="E304" t="inlineStr">
        <is>
          <t>KATRINEHOLM</t>
        </is>
      </c>
      <c r="G304" t="n">
        <v>0.5</v>
      </c>
      <c r="H304" t="n">
        <v>0</v>
      </c>
      <c r="I304" t="n">
        <v>0</v>
      </c>
      <c r="J304" t="n">
        <v>0</v>
      </c>
      <c r="K304" t="n">
        <v>0</v>
      </c>
      <c r="L304" t="n">
        <v>0</v>
      </c>
      <c r="M304" t="n">
        <v>0</v>
      </c>
      <c r="N304" t="n">
        <v>0</v>
      </c>
      <c r="O304" t="n">
        <v>0</v>
      </c>
      <c r="P304" t="n">
        <v>0</v>
      </c>
      <c r="Q304" t="n">
        <v>0</v>
      </c>
      <c r="R304" s="2" t="inlineStr"/>
    </row>
    <row r="305" ht="15" customHeight="1">
      <c r="A305" t="inlineStr">
        <is>
          <t>A 64652-2023</t>
        </is>
      </c>
      <c r="B305" s="1" t="n">
        <v>45281</v>
      </c>
      <c r="C305" s="1" t="n">
        <v>46119</v>
      </c>
      <c r="D305" t="inlineStr">
        <is>
          <t>SÖDERMANLANDS LÄN</t>
        </is>
      </c>
      <c r="E305" t="inlineStr">
        <is>
          <t>KATRINEHOLM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36590-2025</t>
        </is>
      </c>
      <c r="B306" s="1" t="n">
        <v>45870</v>
      </c>
      <c r="C306" s="1" t="n">
        <v>46119</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39847-2025</t>
        </is>
      </c>
      <c r="B307" s="1" t="n">
        <v>45891.58381944444</v>
      </c>
      <c r="C307" s="1" t="n">
        <v>46119</v>
      </c>
      <c r="D307" t="inlineStr">
        <is>
          <t>SÖDERMANLANDS LÄN</t>
        </is>
      </c>
      <c r="E307" t="inlineStr">
        <is>
          <t>KATRINEHOLM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50021-2023</t>
        </is>
      </c>
      <c r="B308" s="1" t="n">
        <v>45215</v>
      </c>
      <c r="C308" s="1" t="n">
        <v>46119</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39663-2025</t>
        </is>
      </c>
      <c r="B309" s="1" t="n">
        <v>45890</v>
      </c>
      <c r="C309" s="1" t="n">
        <v>46119</v>
      </c>
      <c r="D309" t="inlineStr">
        <is>
          <t>SÖDERMANLANDS LÄN</t>
        </is>
      </c>
      <c r="E309" t="inlineStr">
        <is>
          <t>KATRINEHOLM</t>
        </is>
      </c>
      <c r="G309" t="n">
        <v>0.5</v>
      </c>
      <c r="H309" t="n">
        <v>0</v>
      </c>
      <c r="I309" t="n">
        <v>0</v>
      </c>
      <c r="J309" t="n">
        <v>0</v>
      </c>
      <c r="K309" t="n">
        <v>0</v>
      </c>
      <c r="L309" t="n">
        <v>0</v>
      </c>
      <c r="M309" t="n">
        <v>0</v>
      </c>
      <c r="N309" t="n">
        <v>0</v>
      </c>
      <c r="O309" t="n">
        <v>0</v>
      </c>
      <c r="P309" t="n">
        <v>0</v>
      </c>
      <c r="Q309" t="n">
        <v>0</v>
      </c>
      <c r="R309" s="2" t="inlineStr"/>
    </row>
    <row r="310" ht="15" customHeight="1">
      <c r="A310" t="inlineStr">
        <is>
          <t>A 26684-2025</t>
        </is>
      </c>
      <c r="B310" s="1" t="n">
        <v>45810</v>
      </c>
      <c r="C310" s="1" t="n">
        <v>46119</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39645-2025</t>
        </is>
      </c>
      <c r="B311" s="1" t="n">
        <v>45890</v>
      </c>
      <c r="C311" s="1" t="n">
        <v>46119</v>
      </c>
      <c r="D311" t="inlineStr">
        <is>
          <t>SÖDERMANLANDS LÄN</t>
        </is>
      </c>
      <c r="E311" t="inlineStr">
        <is>
          <t>KATRINEHOLM</t>
        </is>
      </c>
      <c r="G311" t="n">
        <v>0.2</v>
      </c>
      <c r="H311" t="n">
        <v>0</v>
      </c>
      <c r="I311" t="n">
        <v>0</v>
      </c>
      <c r="J311" t="n">
        <v>0</v>
      </c>
      <c r="K311" t="n">
        <v>0</v>
      </c>
      <c r="L311" t="n">
        <v>0</v>
      </c>
      <c r="M311" t="n">
        <v>0</v>
      </c>
      <c r="N311" t="n">
        <v>0</v>
      </c>
      <c r="O311" t="n">
        <v>0</v>
      </c>
      <c r="P311" t="n">
        <v>0</v>
      </c>
      <c r="Q311" t="n">
        <v>0</v>
      </c>
      <c r="R311" s="2" t="inlineStr"/>
    </row>
    <row r="312" ht="15" customHeight="1">
      <c r="A312" t="inlineStr">
        <is>
          <t>A 29830-2023</t>
        </is>
      </c>
      <c r="B312" s="1" t="n">
        <v>45107</v>
      </c>
      <c r="C312" s="1" t="n">
        <v>46119</v>
      </c>
      <c r="D312" t="inlineStr">
        <is>
          <t>SÖDERMANLANDS LÄN</t>
        </is>
      </c>
      <c r="E312" t="inlineStr">
        <is>
          <t>KATRINEHOLM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37043-2025</t>
        </is>
      </c>
      <c r="B313" s="1" t="n">
        <v>45875.3396412037</v>
      </c>
      <c r="C313" s="1" t="n">
        <v>46119</v>
      </c>
      <c r="D313" t="inlineStr">
        <is>
          <t>SÖDERMANLANDS LÄN</t>
        </is>
      </c>
      <c r="E313" t="inlineStr">
        <is>
          <t>KATRINEHOLM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28582-2024</t>
        </is>
      </c>
      <c r="B314" s="1" t="n">
        <v>45478.40751157407</v>
      </c>
      <c r="C314" s="1" t="n">
        <v>46119</v>
      </c>
      <c r="D314" t="inlineStr">
        <is>
          <t>SÖDERMANLANDS LÄN</t>
        </is>
      </c>
      <c r="E314" t="inlineStr">
        <is>
          <t>KATRINEHOLM</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29394-2024</t>
        </is>
      </c>
      <c r="B315" s="1" t="n">
        <v>45483</v>
      </c>
      <c r="C315" s="1" t="n">
        <v>46119</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46011-2021</t>
        </is>
      </c>
      <c r="B316" s="1" t="n">
        <v>44441.88092592593</v>
      </c>
      <c r="C316" s="1" t="n">
        <v>46119</v>
      </c>
      <c r="D316" t="inlineStr">
        <is>
          <t>SÖDERMANLANDS LÄN</t>
        </is>
      </c>
      <c r="E316" t="inlineStr">
        <is>
          <t>KATRINEHOLM</t>
        </is>
      </c>
      <c r="G316" t="n">
        <v>4.7</v>
      </c>
      <c r="H316" t="n">
        <v>0</v>
      </c>
      <c r="I316" t="n">
        <v>0</v>
      </c>
      <c r="J316" t="n">
        <v>0</v>
      </c>
      <c r="K316" t="n">
        <v>0</v>
      </c>
      <c r="L316" t="n">
        <v>0</v>
      </c>
      <c r="M316" t="n">
        <v>0</v>
      </c>
      <c r="N316" t="n">
        <v>0</v>
      </c>
      <c r="O316" t="n">
        <v>0</v>
      </c>
      <c r="P316" t="n">
        <v>0</v>
      </c>
      <c r="Q316" t="n">
        <v>0</v>
      </c>
      <c r="R316" s="2" t="inlineStr"/>
    </row>
    <row r="317" ht="15" customHeight="1">
      <c r="A317" t="inlineStr">
        <is>
          <t>A 30387-2022</t>
        </is>
      </c>
      <c r="B317" s="1" t="n">
        <v>44760</v>
      </c>
      <c r="C317" s="1" t="n">
        <v>46119</v>
      </c>
      <c r="D317" t="inlineStr">
        <is>
          <t>SÖDERMANLANDS LÄN</t>
        </is>
      </c>
      <c r="E317" t="inlineStr">
        <is>
          <t>KATRINEHOLM</t>
        </is>
      </c>
      <c r="G317" t="n">
        <v>1.9</v>
      </c>
      <c r="H317" t="n">
        <v>0</v>
      </c>
      <c r="I317" t="n">
        <v>0</v>
      </c>
      <c r="J317" t="n">
        <v>0</v>
      </c>
      <c r="K317" t="n">
        <v>0</v>
      </c>
      <c r="L317" t="n">
        <v>0</v>
      </c>
      <c r="M317" t="n">
        <v>0</v>
      </c>
      <c r="N317" t="n">
        <v>0</v>
      </c>
      <c r="O317" t="n">
        <v>0</v>
      </c>
      <c r="P317" t="n">
        <v>0</v>
      </c>
      <c r="Q317" t="n">
        <v>0</v>
      </c>
      <c r="R317" s="2" t="inlineStr"/>
    </row>
    <row r="318" ht="15" customHeight="1">
      <c r="A318" t="inlineStr">
        <is>
          <t>A 61394-2024</t>
        </is>
      </c>
      <c r="B318" s="1" t="n">
        <v>45646.42061342593</v>
      </c>
      <c r="C318" s="1" t="n">
        <v>46119</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46119</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931-2023</t>
        </is>
      </c>
      <c r="B320" s="1" t="n">
        <v>44932.74261574074</v>
      </c>
      <c r="C320" s="1" t="n">
        <v>46119</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41074-2025</t>
        </is>
      </c>
      <c r="B321" s="1" t="n">
        <v>45898</v>
      </c>
      <c r="C321" s="1" t="n">
        <v>46119</v>
      </c>
      <c r="D321" t="inlineStr">
        <is>
          <t>SÖDERMANLANDS LÄN</t>
        </is>
      </c>
      <c r="E321" t="inlineStr">
        <is>
          <t>KATRINEHOLM</t>
        </is>
      </c>
      <c r="F321" t="inlineStr">
        <is>
          <t>Allmännings- och besparingsskogar</t>
        </is>
      </c>
      <c r="G321" t="n">
        <v>4.8</v>
      </c>
      <c r="H321" t="n">
        <v>0</v>
      </c>
      <c r="I321" t="n">
        <v>0</v>
      </c>
      <c r="J321" t="n">
        <v>0</v>
      </c>
      <c r="K321" t="n">
        <v>0</v>
      </c>
      <c r="L321" t="n">
        <v>0</v>
      </c>
      <c r="M321" t="n">
        <v>0</v>
      </c>
      <c r="N321" t="n">
        <v>0</v>
      </c>
      <c r="O321" t="n">
        <v>0</v>
      </c>
      <c r="P321" t="n">
        <v>0</v>
      </c>
      <c r="Q321" t="n">
        <v>0</v>
      </c>
      <c r="R321" s="2" t="inlineStr"/>
    </row>
    <row r="322" ht="15" customHeight="1">
      <c r="A322" t="inlineStr">
        <is>
          <t>A 38883-2024</t>
        </is>
      </c>
      <c r="B322" s="1" t="n">
        <v>45547</v>
      </c>
      <c r="C322" s="1" t="n">
        <v>46119</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6796-2022</t>
        </is>
      </c>
      <c r="B323" s="1" t="n">
        <v>44602</v>
      </c>
      <c r="C323" s="1" t="n">
        <v>46119</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52857-2021</t>
        </is>
      </c>
      <c r="B324" s="1" t="n">
        <v>44466</v>
      </c>
      <c r="C324" s="1" t="n">
        <v>46119</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41633-2025</t>
        </is>
      </c>
      <c r="B325" s="1" t="n">
        <v>45901</v>
      </c>
      <c r="C325" s="1" t="n">
        <v>46119</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42015-2022</t>
        </is>
      </c>
      <c r="B326" s="1" t="n">
        <v>44830.4649074074</v>
      </c>
      <c r="C326" s="1" t="n">
        <v>46119</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42020-2022</t>
        </is>
      </c>
      <c r="B327" s="1" t="n">
        <v>44830.46849537037</v>
      </c>
      <c r="C327" s="1" t="n">
        <v>46119</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8394-2024</t>
        </is>
      </c>
      <c r="B328" s="1" t="n">
        <v>45352</v>
      </c>
      <c r="C328" s="1" t="n">
        <v>46119</v>
      </c>
      <c r="D328" t="inlineStr">
        <is>
          <t>SÖDERMANLANDS LÄN</t>
        </is>
      </c>
      <c r="E328" t="inlineStr">
        <is>
          <t>KATRINEHOLM</t>
        </is>
      </c>
      <c r="G328" t="n">
        <v>4</v>
      </c>
      <c r="H328" t="n">
        <v>0</v>
      </c>
      <c r="I328" t="n">
        <v>0</v>
      </c>
      <c r="J328" t="n">
        <v>0</v>
      </c>
      <c r="K328" t="n">
        <v>0</v>
      </c>
      <c r="L328" t="n">
        <v>0</v>
      </c>
      <c r="M328" t="n">
        <v>0</v>
      </c>
      <c r="N328" t="n">
        <v>0</v>
      </c>
      <c r="O328" t="n">
        <v>0</v>
      </c>
      <c r="P328" t="n">
        <v>0</v>
      </c>
      <c r="Q328" t="n">
        <v>0</v>
      </c>
      <c r="R328" s="2" t="inlineStr"/>
    </row>
    <row r="329" ht="15" customHeight="1">
      <c r="A329" t="inlineStr">
        <is>
          <t>A 14239-2024</t>
        </is>
      </c>
      <c r="B329" s="1" t="n">
        <v>45393</v>
      </c>
      <c r="C329" s="1" t="n">
        <v>46119</v>
      </c>
      <c r="D329" t="inlineStr">
        <is>
          <t>SÖDERMANLANDS LÄN</t>
        </is>
      </c>
      <c r="E329" t="inlineStr">
        <is>
          <t>KATRINEHOLM</t>
        </is>
      </c>
      <c r="G329" t="n">
        <v>2.7</v>
      </c>
      <c r="H329" t="n">
        <v>0</v>
      </c>
      <c r="I329" t="n">
        <v>0</v>
      </c>
      <c r="J329" t="n">
        <v>0</v>
      </c>
      <c r="K329" t="n">
        <v>0</v>
      </c>
      <c r="L329" t="n">
        <v>0</v>
      </c>
      <c r="M329" t="n">
        <v>0</v>
      </c>
      <c r="N329" t="n">
        <v>0</v>
      </c>
      <c r="O329" t="n">
        <v>0</v>
      </c>
      <c r="P329" t="n">
        <v>0</v>
      </c>
      <c r="Q329" t="n">
        <v>0</v>
      </c>
      <c r="R329" s="2" t="inlineStr"/>
    </row>
    <row r="330" ht="15" customHeight="1">
      <c r="A330" t="inlineStr">
        <is>
          <t>A 14248-2024</t>
        </is>
      </c>
      <c r="B330" s="1" t="n">
        <v>45393</v>
      </c>
      <c r="C330" s="1" t="n">
        <v>46119</v>
      </c>
      <c r="D330" t="inlineStr">
        <is>
          <t>SÖDERMANLANDS LÄN</t>
        </is>
      </c>
      <c r="E330" t="inlineStr">
        <is>
          <t>KATRINEHOLM</t>
        </is>
      </c>
      <c r="G330" t="n">
        <v>1.4</v>
      </c>
      <c r="H330" t="n">
        <v>0</v>
      </c>
      <c r="I330" t="n">
        <v>0</v>
      </c>
      <c r="J330" t="n">
        <v>0</v>
      </c>
      <c r="K330" t="n">
        <v>0</v>
      </c>
      <c r="L330" t="n">
        <v>0</v>
      </c>
      <c r="M330" t="n">
        <v>0</v>
      </c>
      <c r="N330" t="n">
        <v>0</v>
      </c>
      <c r="O330" t="n">
        <v>0</v>
      </c>
      <c r="P330" t="n">
        <v>0</v>
      </c>
      <c r="Q330" t="n">
        <v>0</v>
      </c>
      <c r="R330" s="2" t="inlineStr"/>
    </row>
    <row r="331" ht="15" customHeight="1">
      <c r="A331" t="inlineStr">
        <is>
          <t>A 25716-2022</t>
        </is>
      </c>
      <c r="B331" s="1" t="n">
        <v>44733.39600694444</v>
      </c>
      <c r="C331" s="1" t="n">
        <v>46119</v>
      </c>
      <c r="D331" t="inlineStr">
        <is>
          <t>SÖDERMANLANDS LÄN</t>
        </is>
      </c>
      <c r="E331" t="inlineStr">
        <is>
          <t>KATRINEHOLM</t>
        </is>
      </c>
      <c r="G331" t="n">
        <v>3.4</v>
      </c>
      <c r="H331" t="n">
        <v>0</v>
      </c>
      <c r="I331" t="n">
        <v>0</v>
      </c>
      <c r="J331" t="n">
        <v>0</v>
      </c>
      <c r="K331" t="n">
        <v>0</v>
      </c>
      <c r="L331" t="n">
        <v>0</v>
      </c>
      <c r="M331" t="n">
        <v>0</v>
      </c>
      <c r="N331" t="n">
        <v>0</v>
      </c>
      <c r="O331" t="n">
        <v>0</v>
      </c>
      <c r="P331" t="n">
        <v>0</v>
      </c>
      <c r="Q331" t="n">
        <v>0</v>
      </c>
      <c r="R331" s="2" t="inlineStr"/>
    </row>
    <row r="332" ht="15" customHeight="1">
      <c r="A332" t="inlineStr">
        <is>
          <t>A 23842-2023</t>
        </is>
      </c>
      <c r="B332" s="1" t="n">
        <v>45075</v>
      </c>
      <c r="C332" s="1" t="n">
        <v>46119</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41632-2025</t>
        </is>
      </c>
      <c r="B333" s="1" t="n">
        <v>45901</v>
      </c>
      <c r="C333" s="1" t="n">
        <v>46119</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46700-2023</t>
        </is>
      </c>
      <c r="B334" s="1" t="n">
        <v>45194</v>
      </c>
      <c r="C334" s="1" t="n">
        <v>46119</v>
      </c>
      <c r="D334" t="inlineStr">
        <is>
          <t>SÖDERMANLANDS LÄN</t>
        </is>
      </c>
      <c r="E334" t="inlineStr">
        <is>
          <t>KATRINEHOLM</t>
        </is>
      </c>
      <c r="G334" t="n">
        <v>3</v>
      </c>
      <c r="H334" t="n">
        <v>0</v>
      </c>
      <c r="I334" t="n">
        <v>0</v>
      </c>
      <c r="J334" t="n">
        <v>0</v>
      </c>
      <c r="K334" t="n">
        <v>0</v>
      </c>
      <c r="L334" t="n">
        <v>0</v>
      </c>
      <c r="M334" t="n">
        <v>0</v>
      </c>
      <c r="N334" t="n">
        <v>0</v>
      </c>
      <c r="O334" t="n">
        <v>0</v>
      </c>
      <c r="P334" t="n">
        <v>0</v>
      </c>
      <c r="Q334" t="n">
        <v>0</v>
      </c>
      <c r="R334" s="2" t="inlineStr"/>
    </row>
    <row r="335" ht="15" customHeight="1">
      <c r="A335" t="inlineStr">
        <is>
          <t>A 41498-2025</t>
        </is>
      </c>
      <c r="B335" s="1" t="n">
        <v>45901.49755787037</v>
      </c>
      <c r="C335" s="1" t="n">
        <v>46119</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11543-2025</t>
        </is>
      </c>
      <c r="B336" s="1" t="n">
        <v>45727.34248842593</v>
      </c>
      <c r="C336" s="1" t="n">
        <v>46119</v>
      </c>
      <c r="D336" t="inlineStr">
        <is>
          <t>SÖDERMANLANDS LÄN</t>
        </is>
      </c>
      <c r="E336" t="inlineStr">
        <is>
          <t>KATRINEHOLM</t>
        </is>
      </c>
      <c r="G336" t="n">
        <v>3.6</v>
      </c>
      <c r="H336" t="n">
        <v>0</v>
      </c>
      <c r="I336" t="n">
        <v>0</v>
      </c>
      <c r="J336" t="n">
        <v>0</v>
      </c>
      <c r="K336" t="n">
        <v>0</v>
      </c>
      <c r="L336" t="n">
        <v>0</v>
      </c>
      <c r="M336" t="n">
        <v>0</v>
      </c>
      <c r="N336" t="n">
        <v>0</v>
      </c>
      <c r="O336" t="n">
        <v>0</v>
      </c>
      <c r="P336" t="n">
        <v>0</v>
      </c>
      <c r="Q336" t="n">
        <v>0</v>
      </c>
      <c r="R336" s="2" t="inlineStr"/>
    </row>
    <row r="337" ht="15" customHeight="1">
      <c r="A337" t="inlineStr">
        <is>
          <t>A 35228-2025</t>
        </is>
      </c>
      <c r="B337" s="1" t="n">
        <v>45853</v>
      </c>
      <c r="C337" s="1" t="n">
        <v>46119</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41648-2025</t>
        </is>
      </c>
      <c r="B338" s="1" t="n">
        <v>45902.32601851852</v>
      </c>
      <c r="C338" s="1" t="n">
        <v>46119</v>
      </c>
      <c r="D338" t="inlineStr">
        <is>
          <t>SÖDERMANLANDS LÄN</t>
        </is>
      </c>
      <c r="E338" t="inlineStr">
        <is>
          <t>KATRINEHOLM</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49341-2024</t>
        </is>
      </c>
      <c r="B339" s="1" t="n">
        <v>45595</v>
      </c>
      <c r="C339" s="1" t="n">
        <v>46119</v>
      </c>
      <c r="D339" t="inlineStr">
        <is>
          <t>SÖDERMANLANDS LÄN</t>
        </is>
      </c>
      <c r="E339" t="inlineStr">
        <is>
          <t>KATRINEHOLM</t>
        </is>
      </c>
      <c r="G339" t="n">
        <v>10</v>
      </c>
      <c r="H339" t="n">
        <v>0</v>
      </c>
      <c r="I339" t="n">
        <v>0</v>
      </c>
      <c r="J339" t="n">
        <v>0</v>
      </c>
      <c r="K339" t="n">
        <v>0</v>
      </c>
      <c r="L339" t="n">
        <v>0</v>
      </c>
      <c r="M339" t="n">
        <v>0</v>
      </c>
      <c r="N339" t="n">
        <v>0</v>
      </c>
      <c r="O339" t="n">
        <v>0</v>
      </c>
      <c r="P339" t="n">
        <v>0</v>
      </c>
      <c r="Q339" t="n">
        <v>0</v>
      </c>
      <c r="R339" s="2" t="inlineStr"/>
    </row>
    <row r="340" ht="15" customHeight="1">
      <c r="A340" t="inlineStr">
        <is>
          <t>A 41793-2025</t>
        </is>
      </c>
      <c r="B340" s="1" t="n">
        <v>45902</v>
      </c>
      <c r="C340" s="1" t="n">
        <v>46119</v>
      </c>
      <c r="D340" t="inlineStr">
        <is>
          <t>SÖDERMANLANDS LÄN</t>
        </is>
      </c>
      <c r="E340" t="inlineStr">
        <is>
          <t>KATRINEHOLM</t>
        </is>
      </c>
      <c r="G340" t="n">
        <v>1.1</v>
      </c>
      <c r="H340" t="n">
        <v>0</v>
      </c>
      <c r="I340" t="n">
        <v>0</v>
      </c>
      <c r="J340" t="n">
        <v>0</v>
      </c>
      <c r="K340" t="n">
        <v>0</v>
      </c>
      <c r="L340" t="n">
        <v>0</v>
      </c>
      <c r="M340" t="n">
        <v>0</v>
      </c>
      <c r="N340" t="n">
        <v>0</v>
      </c>
      <c r="O340" t="n">
        <v>0</v>
      </c>
      <c r="P340" t="n">
        <v>0</v>
      </c>
      <c r="Q340" t="n">
        <v>0</v>
      </c>
      <c r="R340" s="2" t="inlineStr"/>
    </row>
    <row r="341" ht="15" customHeight="1">
      <c r="A341" t="inlineStr">
        <is>
          <t>A 50032-2022</t>
        </is>
      </c>
      <c r="B341" s="1" t="n">
        <v>44860</v>
      </c>
      <c r="C341" s="1" t="n">
        <v>46119</v>
      </c>
      <c r="D341" t="inlineStr">
        <is>
          <t>SÖDERMANLANDS LÄN</t>
        </is>
      </c>
      <c r="E341" t="inlineStr">
        <is>
          <t>KATRINEHOLM</t>
        </is>
      </c>
      <c r="G341" t="n">
        <v>7.5</v>
      </c>
      <c r="H341" t="n">
        <v>0</v>
      </c>
      <c r="I341" t="n">
        <v>0</v>
      </c>
      <c r="J341" t="n">
        <v>0</v>
      </c>
      <c r="K341" t="n">
        <v>0</v>
      </c>
      <c r="L341" t="n">
        <v>0</v>
      </c>
      <c r="M341" t="n">
        <v>0</v>
      </c>
      <c r="N341" t="n">
        <v>0</v>
      </c>
      <c r="O341" t="n">
        <v>0</v>
      </c>
      <c r="P341" t="n">
        <v>0</v>
      </c>
      <c r="Q341" t="n">
        <v>0</v>
      </c>
      <c r="R341" s="2" t="inlineStr"/>
    </row>
    <row r="342" ht="15" customHeight="1">
      <c r="A342" t="inlineStr">
        <is>
          <t>A 50804-2023</t>
        </is>
      </c>
      <c r="B342" s="1" t="n">
        <v>45211</v>
      </c>
      <c r="C342" s="1" t="n">
        <v>46119</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42474-2025</t>
        </is>
      </c>
      <c r="B343" s="1" t="n">
        <v>45905.46659722222</v>
      </c>
      <c r="C343" s="1" t="n">
        <v>46119</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29502-2023</t>
        </is>
      </c>
      <c r="B344" s="1" t="n">
        <v>45106</v>
      </c>
      <c r="C344" s="1" t="n">
        <v>46119</v>
      </c>
      <c r="D344" t="inlineStr">
        <is>
          <t>SÖDERMANLANDS LÄN</t>
        </is>
      </c>
      <c r="E344" t="inlineStr">
        <is>
          <t>KATRINEHOLM</t>
        </is>
      </c>
      <c r="G344" t="n">
        <v>2.3</v>
      </c>
      <c r="H344" t="n">
        <v>0</v>
      </c>
      <c r="I344" t="n">
        <v>0</v>
      </c>
      <c r="J344" t="n">
        <v>0</v>
      </c>
      <c r="K344" t="n">
        <v>0</v>
      </c>
      <c r="L344" t="n">
        <v>0</v>
      </c>
      <c r="M344" t="n">
        <v>0</v>
      </c>
      <c r="N344" t="n">
        <v>0</v>
      </c>
      <c r="O344" t="n">
        <v>0</v>
      </c>
      <c r="P344" t="n">
        <v>0</v>
      </c>
      <c r="Q344" t="n">
        <v>0</v>
      </c>
      <c r="R344" s="2" t="inlineStr"/>
    </row>
    <row r="345" ht="15" customHeight="1">
      <c r="A345" t="inlineStr">
        <is>
          <t>A 56074-2022</t>
        </is>
      </c>
      <c r="B345" s="1" t="n">
        <v>44889</v>
      </c>
      <c r="C345" s="1" t="n">
        <v>46119</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c r="T345">
        <f>HYPERLINK("https://klasma.github.io/Logging_0483/kartor/A 56074-2022 karta.png", "A 56074-2022")</f>
        <v/>
      </c>
      <c r="V345">
        <f>HYPERLINK("https://klasma.github.io/Logging_0483/klagomål/A 56074-2022 FSC-klagomål.docx", "A 56074-2022")</f>
        <v/>
      </c>
      <c r="W345">
        <f>HYPERLINK("https://klasma.github.io/Logging_0483/klagomålsmail/A 56074-2022 FSC-klagomål mail.docx", "A 56074-2022")</f>
        <v/>
      </c>
      <c r="X345">
        <f>HYPERLINK("https://klasma.github.io/Logging_0483/tillsyn/A 56074-2022 tillsynsbegäran.docx", "A 56074-2022")</f>
        <v/>
      </c>
      <c r="Y345">
        <f>HYPERLINK("https://klasma.github.io/Logging_0483/tillsynsmail/A 56074-2022 tillsynsbegäran mail.docx", "A 56074-2022")</f>
        <v/>
      </c>
    </row>
    <row r="346" ht="15" customHeight="1">
      <c r="A346" t="inlineStr">
        <is>
          <t>A 42799-2025</t>
        </is>
      </c>
      <c r="B346" s="1" t="n">
        <v>45907</v>
      </c>
      <c r="C346" s="1" t="n">
        <v>46119</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8922-2024</t>
        </is>
      </c>
      <c r="B347" s="1" t="n">
        <v>45357.38601851852</v>
      </c>
      <c r="C347" s="1" t="n">
        <v>46119</v>
      </c>
      <c r="D347" t="inlineStr">
        <is>
          <t>SÖDERMANLANDS LÄN</t>
        </is>
      </c>
      <c r="E347" t="inlineStr">
        <is>
          <t>KATRINEHOLM</t>
        </is>
      </c>
      <c r="G347" t="n">
        <v>2.2</v>
      </c>
      <c r="H347" t="n">
        <v>0</v>
      </c>
      <c r="I347" t="n">
        <v>0</v>
      </c>
      <c r="J347" t="n">
        <v>0</v>
      </c>
      <c r="K347" t="n">
        <v>0</v>
      </c>
      <c r="L347" t="n">
        <v>0</v>
      </c>
      <c r="M347" t="n">
        <v>0</v>
      </c>
      <c r="N347" t="n">
        <v>0</v>
      </c>
      <c r="O347" t="n">
        <v>0</v>
      </c>
      <c r="P347" t="n">
        <v>0</v>
      </c>
      <c r="Q347" t="n">
        <v>0</v>
      </c>
      <c r="R347" s="2" t="inlineStr"/>
    </row>
    <row r="348" ht="15" customHeight="1">
      <c r="A348" t="inlineStr">
        <is>
          <t>A 45376-2022</t>
        </is>
      </c>
      <c r="B348" s="1" t="n">
        <v>44844</v>
      </c>
      <c r="C348" s="1" t="n">
        <v>46119</v>
      </c>
      <c r="D348" t="inlineStr">
        <is>
          <t>SÖDERMANLANDS LÄN</t>
        </is>
      </c>
      <c r="E348" t="inlineStr">
        <is>
          <t>KATRINEHOLM</t>
        </is>
      </c>
      <c r="G348" t="n">
        <v>4.7</v>
      </c>
      <c r="H348" t="n">
        <v>0</v>
      </c>
      <c r="I348" t="n">
        <v>0</v>
      </c>
      <c r="J348" t="n">
        <v>0</v>
      </c>
      <c r="K348" t="n">
        <v>0</v>
      </c>
      <c r="L348" t="n">
        <v>0</v>
      </c>
      <c r="M348" t="n">
        <v>0</v>
      </c>
      <c r="N348" t="n">
        <v>0</v>
      </c>
      <c r="O348" t="n">
        <v>0</v>
      </c>
      <c r="P348" t="n">
        <v>0</v>
      </c>
      <c r="Q348" t="n">
        <v>0</v>
      </c>
      <c r="R348" s="2" t="inlineStr"/>
    </row>
    <row r="349" ht="15" customHeight="1">
      <c r="A349" t="inlineStr">
        <is>
          <t>A 39748-2022</t>
        </is>
      </c>
      <c r="B349" s="1" t="n">
        <v>44817</v>
      </c>
      <c r="C349" s="1" t="n">
        <v>46119</v>
      </c>
      <c r="D349" t="inlineStr">
        <is>
          <t>SÖDERMANLANDS LÄN</t>
        </is>
      </c>
      <c r="E349" t="inlineStr">
        <is>
          <t>KATRINEHOLM</t>
        </is>
      </c>
      <c r="G349" t="n">
        <v>10.2</v>
      </c>
      <c r="H349" t="n">
        <v>0</v>
      </c>
      <c r="I349" t="n">
        <v>0</v>
      </c>
      <c r="J349" t="n">
        <v>0</v>
      </c>
      <c r="K349" t="n">
        <v>0</v>
      </c>
      <c r="L349" t="n">
        <v>0</v>
      </c>
      <c r="M349" t="n">
        <v>0</v>
      </c>
      <c r="N349" t="n">
        <v>0</v>
      </c>
      <c r="O349" t="n">
        <v>0</v>
      </c>
      <c r="P349" t="n">
        <v>0</v>
      </c>
      <c r="Q349" t="n">
        <v>0</v>
      </c>
      <c r="R349" s="2" t="inlineStr"/>
    </row>
    <row r="350" ht="15" customHeight="1">
      <c r="A350" t="inlineStr">
        <is>
          <t>A 42686-2025</t>
        </is>
      </c>
      <c r="B350" s="1" t="n">
        <v>45908.35550925926</v>
      </c>
      <c r="C350" s="1" t="n">
        <v>46119</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3090-2025</t>
        </is>
      </c>
      <c r="B351" s="1" t="n">
        <v>45678</v>
      </c>
      <c r="C351" s="1" t="n">
        <v>46119</v>
      </c>
      <c r="D351" t="inlineStr">
        <is>
          <t>SÖDERMANLANDS LÄN</t>
        </is>
      </c>
      <c r="E351" t="inlineStr">
        <is>
          <t>KATRINEHOLM</t>
        </is>
      </c>
      <c r="F351" t="inlineStr">
        <is>
          <t>Kyrkan</t>
        </is>
      </c>
      <c r="G351" t="n">
        <v>6.9</v>
      </c>
      <c r="H351" t="n">
        <v>0</v>
      </c>
      <c r="I351" t="n">
        <v>0</v>
      </c>
      <c r="J351" t="n">
        <v>0</v>
      </c>
      <c r="K351" t="n">
        <v>0</v>
      </c>
      <c r="L351" t="n">
        <v>0</v>
      </c>
      <c r="M351" t="n">
        <v>0</v>
      </c>
      <c r="N351" t="n">
        <v>0</v>
      </c>
      <c r="O351" t="n">
        <v>0</v>
      </c>
      <c r="P351" t="n">
        <v>0</v>
      </c>
      <c r="Q351" t="n">
        <v>0</v>
      </c>
      <c r="R351" s="2" t="inlineStr"/>
    </row>
    <row r="352" ht="15" customHeight="1">
      <c r="A352" t="inlineStr">
        <is>
          <t>A 28431-2024</t>
        </is>
      </c>
      <c r="B352" s="1" t="n">
        <v>45477.65216435185</v>
      </c>
      <c r="C352" s="1" t="n">
        <v>46119</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28427-2024</t>
        </is>
      </c>
      <c r="B353" s="1" t="n">
        <v>45477.64910879629</v>
      </c>
      <c r="C353" s="1" t="n">
        <v>46119</v>
      </c>
      <c r="D353" t="inlineStr">
        <is>
          <t>SÖDERMANLANDS LÄN</t>
        </is>
      </c>
      <c r="E353" t="inlineStr">
        <is>
          <t>KATRINEHOLM</t>
        </is>
      </c>
      <c r="G353" t="n">
        <v>5.9</v>
      </c>
      <c r="H353" t="n">
        <v>0</v>
      </c>
      <c r="I353" t="n">
        <v>0</v>
      </c>
      <c r="J353" t="n">
        <v>0</v>
      </c>
      <c r="K353" t="n">
        <v>0</v>
      </c>
      <c r="L353" t="n">
        <v>0</v>
      </c>
      <c r="M353" t="n">
        <v>0</v>
      </c>
      <c r="N353" t="n">
        <v>0</v>
      </c>
      <c r="O353" t="n">
        <v>0</v>
      </c>
      <c r="P353" t="n">
        <v>0</v>
      </c>
      <c r="Q353" t="n">
        <v>0</v>
      </c>
      <c r="R353" s="2" t="inlineStr"/>
    </row>
    <row r="354" ht="15" customHeight="1">
      <c r="A354" t="inlineStr">
        <is>
          <t>A 34981-2023</t>
        </is>
      </c>
      <c r="B354" s="1" t="n">
        <v>45142</v>
      </c>
      <c r="C354" s="1" t="n">
        <v>46119</v>
      </c>
      <c r="D354" t="inlineStr">
        <is>
          <t>SÖDERMANLANDS LÄN</t>
        </is>
      </c>
      <c r="E354" t="inlineStr">
        <is>
          <t>KATRINEHOLM</t>
        </is>
      </c>
      <c r="G354" t="n">
        <v>10</v>
      </c>
      <c r="H354" t="n">
        <v>0</v>
      </c>
      <c r="I354" t="n">
        <v>0</v>
      </c>
      <c r="J354" t="n">
        <v>0</v>
      </c>
      <c r="K354" t="n">
        <v>0</v>
      </c>
      <c r="L354" t="n">
        <v>0</v>
      </c>
      <c r="M354" t="n">
        <v>0</v>
      </c>
      <c r="N354" t="n">
        <v>0</v>
      </c>
      <c r="O354" t="n">
        <v>0</v>
      </c>
      <c r="P354" t="n">
        <v>0</v>
      </c>
      <c r="Q354" t="n">
        <v>0</v>
      </c>
      <c r="R354" s="2" t="inlineStr"/>
    </row>
    <row r="355" ht="15" customHeight="1">
      <c r="A355" t="inlineStr">
        <is>
          <t>A 31740-2022</t>
        </is>
      </c>
      <c r="B355" s="1" t="n">
        <v>44776</v>
      </c>
      <c r="C355" s="1" t="n">
        <v>46119</v>
      </c>
      <c r="D355" t="inlineStr">
        <is>
          <t>SÖDERMANLANDS LÄN</t>
        </is>
      </c>
      <c r="E355" t="inlineStr">
        <is>
          <t>KATRINEHOLM</t>
        </is>
      </c>
      <c r="G355" t="n">
        <v>1.1</v>
      </c>
      <c r="H355" t="n">
        <v>0</v>
      </c>
      <c r="I355" t="n">
        <v>0</v>
      </c>
      <c r="J355" t="n">
        <v>0</v>
      </c>
      <c r="K355" t="n">
        <v>0</v>
      </c>
      <c r="L355" t="n">
        <v>0</v>
      </c>
      <c r="M355" t="n">
        <v>0</v>
      </c>
      <c r="N355" t="n">
        <v>0</v>
      </c>
      <c r="O355" t="n">
        <v>0</v>
      </c>
      <c r="P355" t="n">
        <v>0</v>
      </c>
      <c r="Q355" t="n">
        <v>0</v>
      </c>
      <c r="R355" s="2" t="inlineStr"/>
    </row>
    <row r="356" ht="15" customHeight="1">
      <c r="A356" t="inlineStr">
        <is>
          <t>A 43975-2025</t>
        </is>
      </c>
      <c r="B356" s="1" t="n">
        <v>45915.41148148148</v>
      </c>
      <c r="C356" s="1" t="n">
        <v>46119</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53750-2022</t>
        </is>
      </c>
      <c r="B357" s="1" t="n">
        <v>44875</v>
      </c>
      <c r="C357" s="1" t="n">
        <v>46119</v>
      </c>
      <c r="D357" t="inlineStr">
        <is>
          <t>SÖDERMANLANDS LÄN</t>
        </is>
      </c>
      <c r="E357" t="inlineStr">
        <is>
          <t>KATRINEHOLM</t>
        </is>
      </c>
      <c r="F357" t="inlineStr">
        <is>
          <t>Övriga Aktiebolag</t>
        </is>
      </c>
      <c r="G357" t="n">
        <v>12.6</v>
      </c>
      <c r="H357" t="n">
        <v>0</v>
      </c>
      <c r="I357" t="n">
        <v>0</v>
      </c>
      <c r="J357" t="n">
        <v>0</v>
      </c>
      <c r="K357" t="n">
        <v>0</v>
      </c>
      <c r="L357" t="n">
        <v>0</v>
      </c>
      <c r="M357" t="n">
        <v>0</v>
      </c>
      <c r="N357" t="n">
        <v>0</v>
      </c>
      <c r="O357" t="n">
        <v>0</v>
      </c>
      <c r="P357" t="n">
        <v>0</v>
      </c>
      <c r="Q357" t="n">
        <v>0</v>
      </c>
      <c r="R357" s="2" t="inlineStr"/>
    </row>
    <row r="358" ht="15" customHeight="1">
      <c r="A358" t="inlineStr">
        <is>
          <t>A 47886-2023</t>
        </is>
      </c>
      <c r="B358" s="1" t="n">
        <v>45204</v>
      </c>
      <c r="C358" s="1" t="n">
        <v>46119</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3125-2024</t>
        </is>
      </c>
      <c r="B359" s="1" t="n">
        <v>45316</v>
      </c>
      <c r="C359" s="1" t="n">
        <v>46119</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8087-2022</t>
        </is>
      </c>
      <c r="B360" s="1" t="n">
        <v>44609.53502314815</v>
      </c>
      <c r="C360" s="1" t="n">
        <v>46119</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44071-2025</t>
        </is>
      </c>
      <c r="B361" s="1" t="n">
        <v>45915</v>
      </c>
      <c r="C361" s="1" t="n">
        <v>46119</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27852-2023</t>
        </is>
      </c>
      <c r="B362" s="1" t="n">
        <v>45098</v>
      </c>
      <c r="C362" s="1" t="n">
        <v>46119</v>
      </c>
      <c r="D362" t="inlineStr">
        <is>
          <t>SÖDERMANLANDS LÄN</t>
        </is>
      </c>
      <c r="E362" t="inlineStr">
        <is>
          <t>KATRINEHOLM</t>
        </is>
      </c>
      <c r="G362" t="n">
        <v>7.4</v>
      </c>
      <c r="H362" t="n">
        <v>0</v>
      </c>
      <c r="I362" t="n">
        <v>0</v>
      </c>
      <c r="J362" t="n">
        <v>0</v>
      </c>
      <c r="K362" t="n">
        <v>0</v>
      </c>
      <c r="L362" t="n">
        <v>0</v>
      </c>
      <c r="M362" t="n">
        <v>0</v>
      </c>
      <c r="N362" t="n">
        <v>0</v>
      </c>
      <c r="O362" t="n">
        <v>0</v>
      </c>
      <c r="P362" t="n">
        <v>0</v>
      </c>
      <c r="Q362" t="n">
        <v>0</v>
      </c>
      <c r="R362" s="2" t="inlineStr"/>
    </row>
    <row r="363" ht="15" customHeight="1">
      <c r="A363" t="inlineStr">
        <is>
          <t>A 1143-2024</t>
        </is>
      </c>
      <c r="B363" s="1" t="n">
        <v>45302</v>
      </c>
      <c r="C363" s="1" t="n">
        <v>46119</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3980-2024</t>
        </is>
      </c>
      <c r="B364" s="1" t="n">
        <v>45322</v>
      </c>
      <c r="C364" s="1" t="n">
        <v>46119</v>
      </c>
      <c r="D364" t="inlineStr">
        <is>
          <t>SÖDERMANLANDS LÄN</t>
        </is>
      </c>
      <c r="E364" t="inlineStr">
        <is>
          <t>KATRINEHOLM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17335-2023</t>
        </is>
      </c>
      <c r="B365" s="1" t="n">
        <v>45033</v>
      </c>
      <c r="C365" s="1" t="n">
        <v>46119</v>
      </c>
      <c r="D365" t="inlineStr">
        <is>
          <t>SÖDERMANLANDS LÄN</t>
        </is>
      </c>
      <c r="E365" t="inlineStr">
        <is>
          <t>KATRINEHOLM</t>
        </is>
      </c>
      <c r="G365" t="n">
        <v>3.3</v>
      </c>
      <c r="H365" t="n">
        <v>0</v>
      </c>
      <c r="I365" t="n">
        <v>0</v>
      </c>
      <c r="J365" t="n">
        <v>0</v>
      </c>
      <c r="K365" t="n">
        <v>0</v>
      </c>
      <c r="L365" t="n">
        <v>0</v>
      </c>
      <c r="M365" t="n">
        <v>0</v>
      </c>
      <c r="N365" t="n">
        <v>0</v>
      </c>
      <c r="O365" t="n">
        <v>0</v>
      </c>
      <c r="P365" t="n">
        <v>0</v>
      </c>
      <c r="Q365" t="n">
        <v>0</v>
      </c>
      <c r="R365" s="2" t="inlineStr"/>
    </row>
    <row r="366" ht="15" customHeight="1">
      <c r="A366" t="inlineStr">
        <is>
          <t>A 59898-2022</t>
        </is>
      </c>
      <c r="B366" s="1" t="n">
        <v>44908</v>
      </c>
      <c r="C366" s="1" t="n">
        <v>46119</v>
      </c>
      <c r="D366" t="inlineStr">
        <is>
          <t>SÖDERMANLANDS LÄN</t>
        </is>
      </c>
      <c r="E366" t="inlineStr">
        <is>
          <t>KATRINEHOLM</t>
        </is>
      </c>
      <c r="G366" t="n">
        <v>4.8</v>
      </c>
      <c r="H366" t="n">
        <v>0</v>
      </c>
      <c r="I366" t="n">
        <v>0</v>
      </c>
      <c r="J366" t="n">
        <v>0</v>
      </c>
      <c r="K366" t="n">
        <v>0</v>
      </c>
      <c r="L366" t="n">
        <v>0</v>
      </c>
      <c r="M366" t="n">
        <v>0</v>
      </c>
      <c r="N366" t="n">
        <v>0</v>
      </c>
      <c r="O366" t="n">
        <v>0</v>
      </c>
      <c r="P366" t="n">
        <v>0</v>
      </c>
      <c r="Q366" t="n">
        <v>0</v>
      </c>
      <c r="R366" s="2" t="inlineStr"/>
    </row>
    <row r="367" ht="15" customHeight="1">
      <c r="A367" t="inlineStr">
        <is>
          <t>A 73412-2021</t>
        </is>
      </c>
      <c r="B367" s="1" t="n">
        <v>44551</v>
      </c>
      <c r="C367" s="1" t="n">
        <v>46119</v>
      </c>
      <c r="D367" t="inlineStr">
        <is>
          <t>SÖDERMANLANDS LÄN</t>
        </is>
      </c>
      <c r="E367" t="inlineStr">
        <is>
          <t>KATRINEHOLM</t>
        </is>
      </c>
      <c r="G367" t="n">
        <v>2</v>
      </c>
      <c r="H367" t="n">
        <v>0</v>
      </c>
      <c r="I367" t="n">
        <v>0</v>
      </c>
      <c r="J367" t="n">
        <v>0</v>
      </c>
      <c r="K367" t="n">
        <v>0</v>
      </c>
      <c r="L367" t="n">
        <v>0</v>
      </c>
      <c r="M367" t="n">
        <v>0</v>
      </c>
      <c r="N367" t="n">
        <v>0</v>
      </c>
      <c r="O367" t="n">
        <v>0</v>
      </c>
      <c r="P367" t="n">
        <v>0</v>
      </c>
      <c r="Q367" t="n">
        <v>0</v>
      </c>
      <c r="R367" s="2" t="inlineStr"/>
    </row>
    <row r="368" ht="15" customHeight="1">
      <c r="A368" t="inlineStr">
        <is>
          <t>A 28995-2024</t>
        </is>
      </c>
      <c r="B368" s="1" t="n">
        <v>45481.49899305555</v>
      </c>
      <c r="C368" s="1" t="n">
        <v>46119</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28597-2024</t>
        </is>
      </c>
      <c r="B369" s="1" t="n">
        <v>45478</v>
      </c>
      <c r="C369" s="1" t="n">
        <v>46119</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46288-2025</t>
        </is>
      </c>
      <c r="B370" s="1" t="n">
        <v>45925.38545138889</v>
      </c>
      <c r="C370" s="1" t="n">
        <v>46119</v>
      </c>
      <c r="D370" t="inlineStr">
        <is>
          <t>SÖDERMANLANDS LÄN</t>
        </is>
      </c>
      <c r="E370" t="inlineStr">
        <is>
          <t>KATRINEHOLM</t>
        </is>
      </c>
      <c r="G370" t="n">
        <v>0.4</v>
      </c>
      <c r="H370" t="n">
        <v>0</v>
      </c>
      <c r="I370" t="n">
        <v>0</v>
      </c>
      <c r="J370" t="n">
        <v>0</v>
      </c>
      <c r="K370" t="n">
        <v>0</v>
      </c>
      <c r="L370" t="n">
        <v>0</v>
      </c>
      <c r="M370" t="n">
        <v>0</v>
      </c>
      <c r="N370" t="n">
        <v>0</v>
      </c>
      <c r="O370" t="n">
        <v>0</v>
      </c>
      <c r="P370" t="n">
        <v>0</v>
      </c>
      <c r="Q370" t="n">
        <v>0</v>
      </c>
      <c r="R370" s="2" t="inlineStr"/>
    </row>
    <row r="371" ht="15" customHeight="1">
      <c r="A371" t="inlineStr">
        <is>
          <t>A 41966-2023</t>
        </is>
      </c>
      <c r="B371" s="1" t="n">
        <v>45177</v>
      </c>
      <c r="C371" s="1" t="n">
        <v>46119</v>
      </c>
      <c r="D371" t="inlineStr">
        <is>
          <t>SÖDERMANLANDS LÄN</t>
        </is>
      </c>
      <c r="E371" t="inlineStr">
        <is>
          <t>KATRINEHOLM</t>
        </is>
      </c>
      <c r="G371" t="n">
        <v>36.9</v>
      </c>
      <c r="H371" t="n">
        <v>0</v>
      </c>
      <c r="I371" t="n">
        <v>0</v>
      </c>
      <c r="J371" t="n">
        <v>0</v>
      </c>
      <c r="K371" t="n">
        <v>0</v>
      </c>
      <c r="L371" t="n">
        <v>0</v>
      </c>
      <c r="M371" t="n">
        <v>0</v>
      </c>
      <c r="N371" t="n">
        <v>0</v>
      </c>
      <c r="O371" t="n">
        <v>0</v>
      </c>
      <c r="P371" t="n">
        <v>0</v>
      </c>
      <c r="Q371" t="n">
        <v>0</v>
      </c>
      <c r="R371" s="2" t="inlineStr"/>
    </row>
    <row r="372" ht="15" customHeight="1">
      <c r="A372" t="inlineStr">
        <is>
          <t>A 10446-2024</t>
        </is>
      </c>
      <c r="B372" s="1" t="n">
        <v>45366</v>
      </c>
      <c r="C372" s="1" t="n">
        <v>46119</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8761-2023</t>
        </is>
      </c>
      <c r="B373" s="1" t="n">
        <v>44978.49685185185</v>
      </c>
      <c r="C373" s="1" t="n">
        <v>46119</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8778-2023</t>
        </is>
      </c>
      <c r="B374" s="1" t="n">
        <v>44978.5737037037</v>
      </c>
      <c r="C374" s="1" t="n">
        <v>46119</v>
      </c>
      <c r="D374" t="inlineStr">
        <is>
          <t>SÖDERMANLANDS LÄN</t>
        </is>
      </c>
      <c r="E374" t="inlineStr">
        <is>
          <t>KATRINEHOLM</t>
        </is>
      </c>
      <c r="G374" t="n">
        <v>4.5</v>
      </c>
      <c r="H374" t="n">
        <v>0</v>
      </c>
      <c r="I374" t="n">
        <v>0</v>
      </c>
      <c r="J374" t="n">
        <v>0</v>
      </c>
      <c r="K374" t="n">
        <v>0</v>
      </c>
      <c r="L374" t="n">
        <v>0</v>
      </c>
      <c r="M374" t="n">
        <v>0</v>
      </c>
      <c r="N374" t="n">
        <v>0</v>
      </c>
      <c r="O374" t="n">
        <v>0</v>
      </c>
      <c r="P374" t="n">
        <v>0</v>
      </c>
      <c r="Q374" t="n">
        <v>0</v>
      </c>
      <c r="R374" s="2" t="inlineStr"/>
    </row>
    <row r="375" ht="15" customHeight="1">
      <c r="A375" t="inlineStr">
        <is>
          <t>A 15399-2022</t>
        </is>
      </c>
      <c r="B375" s="1" t="n">
        <v>44659</v>
      </c>
      <c r="C375" s="1" t="n">
        <v>46119</v>
      </c>
      <c r="D375" t="inlineStr">
        <is>
          <t>SÖDERMANLANDS LÄN</t>
        </is>
      </c>
      <c r="E375" t="inlineStr">
        <is>
          <t>KATRINEHOLM</t>
        </is>
      </c>
      <c r="G375" t="n">
        <v>5.6</v>
      </c>
      <c r="H375" t="n">
        <v>0</v>
      </c>
      <c r="I375" t="n">
        <v>0</v>
      </c>
      <c r="J375" t="n">
        <v>0</v>
      </c>
      <c r="K375" t="n">
        <v>0</v>
      </c>
      <c r="L375" t="n">
        <v>0</v>
      </c>
      <c r="M375" t="n">
        <v>0</v>
      </c>
      <c r="N375" t="n">
        <v>0</v>
      </c>
      <c r="O375" t="n">
        <v>0</v>
      </c>
      <c r="P375" t="n">
        <v>0</v>
      </c>
      <c r="Q375" t="n">
        <v>0</v>
      </c>
      <c r="R375" s="2" t="inlineStr"/>
    </row>
    <row r="376" ht="15" customHeight="1">
      <c r="A376" t="inlineStr">
        <is>
          <t>A 49116-2024</t>
        </is>
      </c>
      <c r="B376" s="1" t="n">
        <v>45594.6605787037</v>
      </c>
      <c r="C376" s="1" t="n">
        <v>46119</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6753-2022</t>
        </is>
      </c>
      <c r="B377" s="1" t="n">
        <v>44602</v>
      </c>
      <c r="C377" s="1" t="n">
        <v>46119</v>
      </c>
      <c r="D377" t="inlineStr">
        <is>
          <t>SÖDERMANLANDS LÄN</t>
        </is>
      </c>
      <c r="E377" t="inlineStr">
        <is>
          <t>KATRINEHOLM</t>
        </is>
      </c>
      <c r="G377" t="n">
        <v>4.3</v>
      </c>
      <c r="H377" t="n">
        <v>0</v>
      </c>
      <c r="I377" t="n">
        <v>0</v>
      </c>
      <c r="J377" t="n">
        <v>0</v>
      </c>
      <c r="K377" t="n">
        <v>0</v>
      </c>
      <c r="L377" t="n">
        <v>0</v>
      </c>
      <c r="M377" t="n">
        <v>0</v>
      </c>
      <c r="N377" t="n">
        <v>0</v>
      </c>
      <c r="O377" t="n">
        <v>0</v>
      </c>
      <c r="P377" t="n">
        <v>0</v>
      </c>
      <c r="Q377" t="n">
        <v>0</v>
      </c>
      <c r="R377" s="2" t="inlineStr"/>
    </row>
    <row r="378" ht="15" customHeight="1">
      <c r="A378" t="inlineStr">
        <is>
          <t>A 6763-2022</t>
        </is>
      </c>
      <c r="B378" s="1" t="n">
        <v>44602</v>
      </c>
      <c r="C378" s="1" t="n">
        <v>46119</v>
      </c>
      <c r="D378" t="inlineStr">
        <is>
          <t>SÖDERMANLANDS LÄN</t>
        </is>
      </c>
      <c r="E378" t="inlineStr">
        <is>
          <t>KATRINEHOLM</t>
        </is>
      </c>
      <c r="G378" t="n">
        <v>6.7</v>
      </c>
      <c r="H378" t="n">
        <v>0</v>
      </c>
      <c r="I378" t="n">
        <v>0</v>
      </c>
      <c r="J378" t="n">
        <v>0</v>
      </c>
      <c r="K378" t="n">
        <v>0</v>
      </c>
      <c r="L378" t="n">
        <v>0</v>
      </c>
      <c r="M378" t="n">
        <v>0</v>
      </c>
      <c r="N378" t="n">
        <v>0</v>
      </c>
      <c r="O378" t="n">
        <v>0</v>
      </c>
      <c r="P378" t="n">
        <v>0</v>
      </c>
      <c r="Q378" t="n">
        <v>0</v>
      </c>
      <c r="R378" s="2" t="inlineStr"/>
    </row>
    <row r="379" ht="15" customHeight="1">
      <c r="A379" t="inlineStr">
        <is>
          <t>A 46524-2025</t>
        </is>
      </c>
      <c r="B379" s="1" t="n">
        <v>45926</v>
      </c>
      <c r="C379" s="1" t="n">
        <v>46119</v>
      </c>
      <c r="D379" t="inlineStr">
        <is>
          <t>SÖDERMANLANDS LÄN</t>
        </is>
      </c>
      <c r="E379" t="inlineStr">
        <is>
          <t>KATRINEHOLM</t>
        </is>
      </c>
      <c r="G379" t="n">
        <v>5.7</v>
      </c>
      <c r="H379" t="n">
        <v>0</v>
      </c>
      <c r="I379" t="n">
        <v>0</v>
      </c>
      <c r="J379" t="n">
        <v>0</v>
      </c>
      <c r="K379" t="n">
        <v>0</v>
      </c>
      <c r="L379" t="n">
        <v>0</v>
      </c>
      <c r="M379" t="n">
        <v>0</v>
      </c>
      <c r="N379" t="n">
        <v>0</v>
      </c>
      <c r="O379" t="n">
        <v>0</v>
      </c>
      <c r="P379" t="n">
        <v>0</v>
      </c>
      <c r="Q379" t="n">
        <v>0</v>
      </c>
      <c r="R379" s="2" t="inlineStr"/>
    </row>
    <row r="380" ht="15" customHeight="1">
      <c r="A380" t="inlineStr">
        <is>
          <t>A 39068-2022</t>
        </is>
      </c>
      <c r="B380" s="1" t="n">
        <v>44816</v>
      </c>
      <c r="C380" s="1" t="n">
        <v>46119</v>
      </c>
      <c r="D380" t="inlineStr">
        <is>
          <t>SÖDERMANLANDS LÄN</t>
        </is>
      </c>
      <c r="E380" t="inlineStr">
        <is>
          <t>KATRINEHOLM</t>
        </is>
      </c>
      <c r="G380" t="n">
        <v>3.6</v>
      </c>
      <c r="H380" t="n">
        <v>0</v>
      </c>
      <c r="I380" t="n">
        <v>0</v>
      </c>
      <c r="J380" t="n">
        <v>0</v>
      </c>
      <c r="K380" t="n">
        <v>0</v>
      </c>
      <c r="L380" t="n">
        <v>0</v>
      </c>
      <c r="M380" t="n">
        <v>0</v>
      </c>
      <c r="N380" t="n">
        <v>0</v>
      </c>
      <c r="O380" t="n">
        <v>0</v>
      </c>
      <c r="P380" t="n">
        <v>0</v>
      </c>
      <c r="Q380" t="n">
        <v>0</v>
      </c>
      <c r="R380" s="2" t="inlineStr"/>
    </row>
    <row r="381" ht="15" customHeight="1">
      <c r="A381" t="inlineStr">
        <is>
          <t>A 66540-2021</t>
        </is>
      </c>
      <c r="B381" s="1" t="n">
        <v>44519</v>
      </c>
      <c r="C381" s="1" t="n">
        <v>46119</v>
      </c>
      <c r="D381" t="inlineStr">
        <is>
          <t>SÖDERMANLANDS LÄN</t>
        </is>
      </c>
      <c r="E381" t="inlineStr">
        <is>
          <t>KATRINEHOLM</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8288-2023</t>
        </is>
      </c>
      <c r="B382" s="1" t="n">
        <v>44974</v>
      </c>
      <c r="C382" s="1" t="n">
        <v>46119</v>
      </c>
      <c r="D382" t="inlineStr">
        <is>
          <t>SÖDERMANLANDS LÄN</t>
        </is>
      </c>
      <c r="E382" t="inlineStr">
        <is>
          <t>KATRINEHOLM</t>
        </is>
      </c>
      <c r="F382" t="inlineStr">
        <is>
          <t>Allmännings- och besparingsskogar</t>
        </is>
      </c>
      <c r="G382" t="n">
        <v>5.6</v>
      </c>
      <c r="H382" t="n">
        <v>0</v>
      </c>
      <c r="I382" t="n">
        <v>0</v>
      </c>
      <c r="J382" t="n">
        <v>0</v>
      </c>
      <c r="K382" t="n">
        <v>0</v>
      </c>
      <c r="L382" t="n">
        <v>0</v>
      </c>
      <c r="M382" t="n">
        <v>0</v>
      </c>
      <c r="N382" t="n">
        <v>0</v>
      </c>
      <c r="O382" t="n">
        <v>0</v>
      </c>
      <c r="P382" t="n">
        <v>0</v>
      </c>
      <c r="Q382" t="n">
        <v>0</v>
      </c>
      <c r="R382" s="2" t="inlineStr"/>
    </row>
    <row r="383" ht="15" customHeight="1">
      <c r="A383" t="inlineStr">
        <is>
          <t>A 45142-2021</t>
        </is>
      </c>
      <c r="B383" s="1" t="n">
        <v>44439</v>
      </c>
      <c r="C383" s="1" t="n">
        <v>46119</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5788-2022</t>
        </is>
      </c>
      <c r="B384" s="1" t="n">
        <v>44596.54990740741</v>
      </c>
      <c r="C384" s="1" t="n">
        <v>46119</v>
      </c>
      <c r="D384" t="inlineStr">
        <is>
          <t>SÖDERMANLANDS LÄN</t>
        </is>
      </c>
      <c r="E384" t="inlineStr">
        <is>
          <t>KATRINEHOLM</t>
        </is>
      </c>
      <c r="G384" t="n">
        <v>4.1</v>
      </c>
      <c r="H384" t="n">
        <v>0</v>
      </c>
      <c r="I384" t="n">
        <v>0</v>
      </c>
      <c r="J384" t="n">
        <v>0</v>
      </c>
      <c r="K384" t="n">
        <v>0</v>
      </c>
      <c r="L384" t="n">
        <v>0</v>
      </c>
      <c r="M384" t="n">
        <v>0</v>
      </c>
      <c r="N384" t="n">
        <v>0</v>
      </c>
      <c r="O384" t="n">
        <v>0</v>
      </c>
      <c r="P384" t="n">
        <v>0</v>
      </c>
      <c r="Q384" t="n">
        <v>0</v>
      </c>
      <c r="R384" s="2" t="inlineStr"/>
    </row>
    <row r="385" ht="15" customHeight="1">
      <c r="A385" t="inlineStr">
        <is>
          <t>A 5790-2022</t>
        </is>
      </c>
      <c r="B385" s="1" t="n">
        <v>44596.55368055555</v>
      </c>
      <c r="C385" s="1" t="n">
        <v>46119</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53387-2023</t>
        </is>
      </c>
      <c r="B386" s="1" t="n">
        <v>45229</v>
      </c>
      <c r="C386" s="1" t="n">
        <v>46119</v>
      </c>
      <c r="D386" t="inlineStr">
        <is>
          <t>SÖDERMANLANDS LÄN</t>
        </is>
      </c>
      <c r="E386" t="inlineStr">
        <is>
          <t>KATRINEHOLM</t>
        </is>
      </c>
      <c r="F386" t="inlineStr">
        <is>
          <t>Kyrkan</t>
        </is>
      </c>
      <c r="G386" t="n">
        <v>7.4</v>
      </c>
      <c r="H386" t="n">
        <v>0</v>
      </c>
      <c r="I386" t="n">
        <v>0</v>
      </c>
      <c r="J386" t="n">
        <v>0</v>
      </c>
      <c r="K386" t="n">
        <v>0</v>
      </c>
      <c r="L386" t="n">
        <v>0</v>
      </c>
      <c r="M386" t="n">
        <v>0</v>
      </c>
      <c r="N386" t="n">
        <v>0</v>
      </c>
      <c r="O386" t="n">
        <v>0</v>
      </c>
      <c r="P386" t="n">
        <v>0</v>
      </c>
      <c r="Q386" t="n">
        <v>0</v>
      </c>
      <c r="R386" s="2" t="inlineStr"/>
    </row>
    <row r="387" ht="15" customHeight="1">
      <c r="A387" t="inlineStr">
        <is>
          <t>A 55169-2022</t>
        </is>
      </c>
      <c r="B387" s="1" t="n">
        <v>44886</v>
      </c>
      <c r="C387" s="1" t="n">
        <v>46119</v>
      </c>
      <c r="D387" t="inlineStr">
        <is>
          <t>SÖDERMANLANDS LÄN</t>
        </is>
      </c>
      <c r="E387" t="inlineStr">
        <is>
          <t>KATRINEHOLM</t>
        </is>
      </c>
      <c r="G387" t="n">
        <v>1.3</v>
      </c>
      <c r="H387" t="n">
        <v>0</v>
      </c>
      <c r="I387" t="n">
        <v>0</v>
      </c>
      <c r="J387" t="n">
        <v>0</v>
      </c>
      <c r="K387" t="n">
        <v>0</v>
      </c>
      <c r="L387" t="n">
        <v>0</v>
      </c>
      <c r="M387" t="n">
        <v>0</v>
      </c>
      <c r="N387" t="n">
        <v>0</v>
      </c>
      <c r="O387" t="n">
        <v>0</v>
      </c>
      <c r="P387" t="n">
        <v>0</v>
      </c>
      <c r="Q387" t="n">
        <v>0</v>
      </c>
      <c r="R387" s="2" t="inlineStr"/>
    </row>
    <row r="388" ht="15" customHeight="1">
      <c r="A388" t="inlineStr">
        <is>
          <t>A 13612-2023</t>
        </is>
      </c>
      <c r="B388" s="1" t="n">
        <v>45006</v>
      </c>
      <c r="C388" s="1" t="n">
        <v>46119</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46119</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7747-2024</t>
        </is>
      </c>
      <c r="B390" s="1" t="n">
        <v>45348</v>
      </c>
      <c r="C390" s="1" t="n">
        <v>46119</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4650-2024</t>
        </is>
      </c>
      <c r="B391" s="1" t="n">
        <v>45328</v>
      </c>
      <c r="C391" s="1" t="n">
        <v>46119</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4652-2024</t>
        </is>
      </c>
      <c r="B392" s="1" t="n">
        <v>45328</v>
      </c>
      <c r="C392" s="1" t="n">
        <v>46119</v>
      </c>
      <c r="D392" t="inlineStr">
        <is>
          <t>SÖDERMANLANDS LÄN</t>
        </is>
      </c>
      <c r="E392" t="inlineStr">
        <is>
          <t>KATRINEHOLM</t>
        </is>
      </c>
      <c r="F392" t="inlineStr">
        <is>
          <t>Övriga Aktiebolag</t>
        </is>
      </c>
      <c r="G392" t="n">
        <v>6.1</v>
      </c>
      <c r="H392" t="n">
        <v>0</v>
      </c>
      <c r="I392" t="n">
        <v>0</v>
      </c>
      <c r="J392" t="n">
        <v>0</v>
      </c>
      <c r="K392" t="n">
        <v>0</v>
      </c>
      <c r="L392" t="n">
        <v>0</v>
      </c>
      <c r="M392" t="n">
        <v>0</v>
      </c>
      <c r="N392" t="n">
        <v>0</v>
      </c>
      <c r="O392" t="n">
        <v>0</v>
      </c>
      <c r="P392" t="n">
        <v>0</v>
      </c>
      <c r="Q392" t="n">
        <v>0</v>
      </c>
      <c r="R392" s="2" t="inlineStr"/>
    </row>
    <row r="393" ht="15" customHeight="1">
      <c r="A393" t="inlineStr">
        <is>
          <t>A 48253-2022</t>
        </is>
      </c>
      <c r="B393" s="1" t="n">
        <v>44858</v>
      </c>
      <c r="C393" s="1" t="n">
        <v>46119</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32166-2022</t>
        </is>
      </c>
      <c r="B394" s="1" t="n">
        <v>44781</v>
      </c>
      <c r="C394" s="1" t="n">
        <v>46119</v>
      </c>
      <c r="D394" t="inlineStr">
        <is>
          <t>SÖDERMANLANDS LÄN</t>
        </is>
      </c>
      <c r="E394" t="inlineStr">
        <is>
          <t>KATRINEHOLM</t>
        </is>
      </c>
      <c r="F394" t="inlineStr">
        <is>
          <t>Kommuner</t>
        </is>
      </c>
      <c r="G394" t="n">
        <v>0.5</v>
      </c>
      <c r="H394" t="n">
        <v>0</v>
      </c>
      <c r="I394" t="n">
        <v>0</v>
      </c>
      <c r="J394" t="n">
        <v>0</v>
      </c>
      <c r="K394" t="n">
        <v>0</v>
      </c>
      <c r="L394" t="n">
        <v>0</v>
      </c>
      <c r="M394" t="n">
        <v>0</v>
      </c>
      <c r="N394" t="n">
        <v>0</v>
      </c>
      <c r="O394" t="n">
        <v>0</v>
      </c>
      <c r="P394" t="n">
        <v>0</v>
      </c>
      <c r="Q394" t="n">
        <v>0</v>
      </c>
      <c r="R394" s="2" t="inlineStr"/>
    </row>
    <row r="395" ht="15" customHeight="1">
      <c r="A395" t="inlineStr">
        <is>
          <t>A 59384-2022</t>
        </is>
      </c>
      <c r="B395" s="1" t="n">
        <v>44905</v>
      </c>
      <c r="C395" s="1" t="n">
        <v>46119</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10996-2022</t>
        </is>
      </c>
      <c r="B396" s="1" t="n">
        <v>44628</v>
      </c>
      <c r="C396" s="1" t="n">
        <v>46119</v>
      </c>
      <c r="D396" t="inlineStr">
        <is>
          <t>SÖDERMANLANDS LÄN</t>
        </is>
      </c>
      <c r="E396" t="inlineStr">
        <is>
          <t>KATRINEHOLM</t>
        </is>
      </c>
      <c r="G396" t="n">
        <v>0.3</v>
      </c>
      <c r="H396" t="n">
        <v>0</v>
      </c>
      <c r="I396" t="n">
        <v>0</v>
      </c>
      <c r="J396" t="n">
        <v>0</v>
      </c>
      <c r="K396" t="n">
        <v>0</v>
      </c>
      <c r="L396" t="n">
        <v>0</v>
      </c>
      <c r="M396" t="n">
        <v>0</v>
      </c>
      <c r="N396" t="n">
        <v>0</v>
      </c>
      <c r="O396" t="n">
        <v>0</v>
      </c>
      <c r="P396" t="n">
        <v>0</v>
      </c>
      <c r="Q396" t="n">
        <v>0</v>
      </c>
      <c r="R396" s="2" t="inlineStr"/>
    </row>
    <row r="397" ht="15" customHeight="1">
      <c r="A397" t="inlineStr">
        <is>
          <t>A 25363-2023</t>
        </is>
      </c>
      <c r="B397" s="1" t="n">
        <v>45088.83840277778</v>
      </c>
      <c r="C397" s="1" t="n">
        <v>46119</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48398-2022</t>
        </is>
      </c>
      <c r="B398" s="1" t="n">
        <v>44858.60809027778</v>
      </c>
      <c r="C398" s="1" t="n">
        <v>46119</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46119</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15945-2024</t>
        </is>
      </c>
      <c r="B400" s="1" t="n">
        <v>45405.48912037037</v>
      </c>
      <c r="C400" s="1" t="n">
        <v>46119</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1329-2025</t>
        </is>
      </c>
      <c r="B401" s="1" t="n">
        <v>45667</v>
      </c>
      <c r="C401" s="1" t="n">
        <v>46119</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8475-2023</t>
        </is>
      </c>
      <c r="B402" s="1" t="n">
        <v>44977</v>
      </c>
      <c r="C402" s="1" t="n">
        <v>46119</v>
      </c>
      <c r="D402" t="inlineStr">
        <is>
          <t>SÖDERMANLANDS LÄN</t>
        </is>
      </c>
      <c r="E402" t="inlineStr">
        <is>
          <t>KATRINEHOLM</t>
        </is>
      </c>
      <c r="F402" t="inlineStr">
        <is>
          <t>Allmännings- och besparingsskogar</t>
        </is>
      </c>
      <c r="G402" t="n">
        <v>8.1</v>
      </c>
      <c r="H402" t="n">
        <v>0</v>
      </c>
      <c r="I402" t="n">
        <v>0</v>
      </c>
      <c r="J402" t="n">
        <v>0</v>
      </c>
      <c r="K402" t="n">
        <v>0</v>
      </c>
      <c r="L402" t="n">
        <v>0</v>
      </c>
      <c r="M402" t="n">
        <v>0</v>
      </c>
      <c r="N402" t="n">
        <v>0</v>
      </c>
      <c r="O402" t="n">
        <v>0</v>
      </c>
      <c r="P402" t="n">
        <v>0</v>
      </c>
      <c r="Q402" t="n">
        <v>0</v>
      </c>
      <c r="R402" s="2" t="inlineStr"/>
    </row>
    <row r="403" ht="15" customHeight="1">
      <c r="A403" t="inlineStr">
        <is>
          <t>A 8518-2023</t>
        </is>
      </c>
      <c r="B403" s="1" t="n">
        <v>44977</v>
      </c>
      <c r="C403" s="1" t="n">
        <v>46119</v>
      </c>
      <c r="D403" t="inlineStr">
        <is>
          <t>SÖDERMANLANDS LÄN</t>
        </is>
      </c>
      <c r="E403" t="inlineStr">
        <is>
          <t>KATRINEHOLM</t>
        </is>
      </c>
      <c r="F403" t="inlineStr">
        <is>
          <t>Allmännings- och besparingsskogar</t>
        </is>
      </c>
      <c r="G403" t="n">
        <v>35.3</v>
      </c>
      <c r="H403" t="n">
        <v>0</v>
      </c>
      <c r="I403" t="n">
        <v>0</v>
      </c>
      <c r="J403" t="n">
        <v>0</v>
      </c>
      <c r="K403" t="n">
        <v>0</v>
      </c>
      <c r="L403" t="n">
        <v>0</v>
      </c>
      <c r="M403" t="n">
        <v>0</v>
      </c>
      <c r="N403" t="n">
        <v>0</v>
      </c>
      <c r="O403" t="n">
        <v>0</v>
      </c>
      <c r="P403" t="n">
        <v>0</v>
      </c>
      <c r="Q403" t="n">
        <v>0</v>
      </c>
      <c r="R403" s="2" t="inlineStr"/>
    </row>
    <row r="404" ht="15" customHeight="1">
      <c r="A404" t="inlineStr">
        <is>
          <t>A 46670-2021</t>
        </is>
      </c>
      <c r="B404" s="1" t="n">
        <v>44445</v>
      </c>
      <c r="C404" s="1" t="n">
        <v>46119</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50934-2025</t>
        </is>
      </c>
      <c r="B405" s="1" t="n">
        <v>45946.69195601852</v>
      </c>
      <c r="C405" s="1" t="n">
        <v>46119</v>
      </c>
      <c r="D405" t="inlineStr">
        <is>
          <t>SÖDERMANLANDS LÄN</t>
        </is>
      </c>
      <c r="E405" t="inlineStr">
        <is>
          <t>KATRINEHOLM</t>
        </is>
      </c>
      <c r="G405" t="n">
        <v>2</v>
      </c>
      <c r="H405" t="n">
        <v>0</v>
      </c>
      <c r="I405" t="n">
        <v>0</v>
      </c>
      <c r="J405" t="n">
        <v>0</v>
      </c>
      <c r="K405" t="n">
        <v>0</v>
      </c>
      <c r="L405" t="n">
        <v>0</v>
      </c>
      <c r="M405" t="n">
        <v>0</v>
      </c>
      <c r="N405" t="n">
        <v>0</v>
      </c>
      <c r="O405" t="n">
        <v>0</v>
      </c>
      <c r="P405" t="n">
        <v>0</v>
      </c>
      <c r="Q405" t="n">
        <v>0</v>
      </c>
      <c r="R405" s="2" t="inlineStr"/>
    </row>
    <row r="406" ht="15" customHeight="1">
      <c r="A406" t="inlineStr">
        <is>
          <t>A 51774-2025</t>
        </is>
      </c>
      <c r="B406" s="1" t="n">
        <v>45951.65359953704</v>
      </c>
      <c r="C406" s="1" t="n">
        <v>46119</v>
      </c>
      <c r="D406" t="inlineStr">
        <is>
          <t>SÖDERMANLANDS LÄN</t>
        </is>
      </c>
      <c r="E406" t="inlineStr">
        <is>
          <t>KATRINEHOLM</t>
        </is>
      </c>
      <c r="F406" t="inlineStr">
        <is>
          <t>Allmännings- och besparingsskogar</t>
        </is>
      </c>
      <c r="G406" t="n">
        <v>3.7</v>
      </c>
      <c r="H406" t="n">
        <v>0</v>
      </c>
      <c r="I406" t="n">
        <v>0</v>
      </c>
      <c r="J406" t="n">
        <v>0</v>
      </c>
      <c r="K406" t="n">
        <v>0</v>
      </c>
      <c r="L406" t="n">
        <v>0</v>
      </c>
      <c r="M406" t="n">
        <v>0</v>
      </c>
      <c r="N406" t="n">
        <v>0</v>
      </c>
      <c r="O406" t="n">
        <v>0</v>
      </c>
      <c r="P406" t="n">
        <v>0</v>
      </c>
      <c r="Q406" t="n">
        <v>0</v>
      </c>
      <c r="R406" s="2" t="inlineStr"/>
    </row>
    <row r="407" ht="15" customHeight="1">
      <c r="A407" t="inlineStr">
        <is>
          <t>A 51783-2025</t>
        </is>
      </c>
      <c r="B407" s="1" t="n">
        <v>45951.67546296296</v>
      </c>
      <c r="C407" s="1" t="n">
        <v>46119</v>
      </c>
      <c r="D407" t="inlineStr">
        <is>
          <t>SÖDERMANLANDS LÄN</t>
        </is>
      </c>
      <c r="E407" t="inlineStr">
        <is>
          <t>KATRINEHOLM</t>
        </is>
      </c>
      <c r="F407" t="inlineStr">
        <is>
          <t>Allmännings- och besparingsskogar</t>
        </is>
      </c>
      <c r="G407" t="n">
        <v>5.8</v>
      </c>
      <c r="H407" t="n">
        <v>0</v>
      </c>
      <c r="I407" t="n">
        <v>0</v>
      </c>
      <c r="J407" t="n">
        <v>0</v>
      </c>
      <c r="K407" t="n">
        <v>0</v>
      </c>
      <c r="L407" t="n">
        <v>0</v>
      </c>
      <c r="M407" t="n">
        <v>0</v>
      </c>
      <c r="N407" t="n">
        <v>0</v>
      </c>
      <c r="O407" t="n">
        <v>0</v>
      </c>
      <c r="P407" t="n">
        <v>0</v>
      </c>
      <c r="Q407" t="n">
        <v>0</v>
      </c>
      <c r="R407" s="2" t="inlineStr"/>
    </row>
    <row r="408" ht="15" customHeight="1">
      <c r="A408" t="inlineStr">
        <is>
          <t>A 61911-2021</t>
        </is>
      </c>
      <c r="B408" s="1" t="n">
        <v>44502.35746527778</v>
      </c>
      <c r="C408" s="1" t="n">
        <v>46119</v>
      </c>
      <c r="D408" t="inlineStr">
        <is>
          <t>SÖDERMANLANDS LÄN</t>
        </is>
      </c>
      <c r="E408" t="inlineStr">
        <is>
          <t>KATRINEHOLM</t>
        </is>
      </c>
      <c r="G408" t="n">
        <v>3.8</v>
      </c>
      <c r="H408" t="n">
        <v>0</v>
      </c>
      <c r="I408" t="n">
        <v>0</v>
      </c>
      <c r="J408" t="n">
        <v>0</v>
      </c>
      <c r="K408" t="n">
        <v>0</v>
      </c>
      <c r="L408" t="n">
        <v>0</v>
      </c>
      <c r="M408" t="n">
        <v>0</v>
      </c>
      <c r="N408" t="n">
        <v>0</v>
      </c>
      <c r="O408" t="n">
        <v>0</v>
      </c>
      <c r="P408" t="n">
        <v>0</v>
      </c>
      <c r="Q408" t="n">
        <v>0</v>
      </c>
      <c r="R408" s="2" t="inlineStr"/>
    </row>
    <row r="409" ht="15" customHeight="1">
      <c r="A409" t="inlineStr">
        <is>
          <t>A 43513-2023</t>
        </is>
      </c>
      <c r="B409" s="1" t="n">
        <v>45184</v>
      </c>
      <c r="C409" s="1" t="n">
        <v>46119</v>
      </c>
      <c r="D409" t="inlineStr">
        <is>
          <t>SÖDERMANLANDS LÄN</t>
        </is>
      </c>
      <c r="E409" t="inlineStr">
        <is>
          <t>KATRINEHOLM</t>
        </is>
      </c>
      <c r="G409" t="n">
        <v>3.8</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46119</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51780-2025</t>
        </is>
      </c>
      <c r="B411" s="1" t="n">
        <v>45951.65725694445</v>
      </c>
      <c r="C411" s="1" t="n">
        <v>46119</v>
      </c>
      <c r="D411" t="inlineStr">
        <is>
          <t>SÖDERMANLANDS LÄN</t>
        </is>
      </c>
      <c r="E411" t="inlineStr">
        <is>
          <t>KATRINEHOLM</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46119</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52239-2025</t>
        </is>
      </c>
      <c r="B413" s="1" t="n">
        <v>45953.46193287037</v>
      </c>
      <c r="C413" s="1" t="n">
        <v>46119</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8791-2023</t>
        </is>
      </c>
      <c r="B414" s="1" t="n">
        <v>44978</v>
      </c>
      <c r="C414" s="1" t="n">
        <v>46119</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52242-2025</t>
        </is>
      </c>
      <c r="B415" s="1" t="n">
        <v>45953.46886574074</v>
      </c>
      <c r="C415" s="1" t="n">
        <v>46119</v>
      </c>
      <c r="D415" t="inlineStr">
        <is>
          <t>SÖDERMANLANDS LÄN</t>
        </is>
      </c>
      <c r="E415" t="inlineStr">
        <is>
          <t>KATRINEHOLM</t>
        </is>
      </c>
      <c r="G415" t="n">
        <v>5.3</v>
      </c>
      <c r="H415" t="n">
        <v>0</v>
      </c>
      <c r="I415" t="n">
        <v>0</v>
      </c>
      <c r="J415" t="n">
        <v>0</v>
      </c>
      <c r="K415" t="n">
        <v>0</v>
      </c>
      <c r="L415" t="n">
        <v>0</v>
      </c>
      <c r="M415" t="n">
        <v>0</v>
      </c>
      <c r="N415" t="n">
        <v>0</v>
      </c>
      <c r="O415" t="n">
        <v>0</v>
      </c>
      <c r="P415" t="n">
        <v>0</v>
      </c>
      <c r="Q415" t="n">
        <v>0</v>
      </c>
      <c r="R415" s="2" t="inlineStr"/>
    </row>
    <row r="416" ht="15" customHeight="1">
      <c r="A416" t="inlineStr">
        <is>
          <t>A 55825-2022</t>
        </is>
      </c>
      <c r="B416" s="1" t="n">
        <v>44886</v>
      </c>
      <c r="C416" s="1" t="n">
        <v>46119</v>
      </c>
      <c r="D416" t="inlineStr">
        <is>
          <t>SÖDERMANLANDS LÄN</t>
        </is>
      </c>
      <c r="E416" t="inlineStr">
        <is>
          <t>KATRINEHOLM</t>
        </is>
      </c>
      <c r="G416" t="n">
        <v>1.3</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46119</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62954-2023</t>
        </is>
      </c>
      <c r="B418" s="1" t="n">
        <v>45272.55362268518</v>
      </c>
      <c r="C418" s="1" t="n">
        <v>46119</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7191-2023</t>
        </is>
      </c>
      <c r="B419" s="1" t="n">
        <v>44965</v>
      </c>
      <c r="C419" s="1" t="n">
        <v>46119</v>
      </c>
      <c r="D419" t="inlineStr">
        <is>
          <t>SÖDERMANLANDS LÄN</t>
        </is>
      </c>
      <c r="E419" t="inlineStr">
        <is>
          <t>KATRINEHOLM</t>
        </is>
      </c>
      <c r="G419" t="n">
        <v>14.1</v>
      </c>
      <c r="H419" t="n">
        <v>0</v>
      </c>
      <c r="I419" t="n">
        <v>0</v>
      </c>
      <c r="J419" t="n">
        <v>0</v>
      </c>
      <c r="K419" t="n">
        <v>0</v>
      </c>
      <c r="L419" t="n">
        <v>0</v>
      </c>
      <c r="M419" t="n">
        <v>0</v>
      </c>
      <c r="N419" t="n">
        <v>0</v>
      </c>
      <c r="O419" t="n">
        <v>0</v>
      </c>
      <c r="P419" t="n">
        <v>0</v>
      </c>
      <c r="Q419" t="n">
        <v>0</v>
      </c>
      <c r="R419" s="2" t="inlineStr"/>
    </row>
    <row r="420" ht="15" customHeight="1">
      <c r="A420" t="inlineStr">
        <is>
          <t>A 37834-2023</t>
        </is>
      </c>
      <c r="B420" s="1" t="n">
        <v>45160</v>
      </c>
      <c r="C420" s="1" t="n">
        <v>46119</v>
      </c>
      <c r="D420" t="inlineStr">
        <is>
          <t>SÖDERMANLANDS LÄN</t>
        </is>
      </c>
      <c r="E420" t="inlineStr">
        <is>
          <t>KATRINEHOLM</t>
        </is>
      </c>
      <c r="F420" t="inlineStr">
        <is>
          <t>Kyrkan</t>
        </is>
      </c>
      <c r="G420" t="n">
        <v>2.8</v>
      </c>
      <c r="H420" t="n">
        <v>0</v>
      </c>
      <c r="I420" t="n">
        <v>0</v>
      </c>
      <c r="J420" t="n">
        <v>0</v>
      </c>
      <c r="K420" t="n">
        <v>0</v>
      </c>
      <c r="L420" t="n">
        <v>0</v>
      </c>
      <c r="M420" t="n">
        <v>0</v>
      </c>
      <c r="N420" t="n">
        <v>0</v>
      </c>
      <c r="O420" t="n">
        <v>0</v>
      </c>
      <c r="P420" t="n">
        <v>0</v>
      </c>
      <c r="Q420" t="n">
        <v>0</v>
      </c>
      <c r="R420" s="2" t="inlineStr"/>
    </row>
    <row r="421" ht="15" customHeight="1">
      <c r="A421" t="inlineStr">
        <is>
          <t>A 36210-2022</t>
        </is>
      </c>
      <c r="B421" s="1" t="n">
        <v>44803.47950231482</v>
      </c>
      <c r="C421" s="1" t="n">
        <v>46119</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19685-2022</t>
        </is>
      </c>
      <c r="B422" s="1" t="n">
        <v>44694</v>
      </c>
      <c r="C422" s="1" t="n">
        <v>46119</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46119</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8951-2024</t>
        </is>
      </c>
      <c r="B424" s="1" t="n">
        <v>45357.44695601852</v>
      </c>
      <c r="C424" s="1" t="n">
        <v>46119</v>
      </c>
      <c r="D424" t="inlineStr">
        <is>
          <t>SÖDERMANLANDS LÄN</t>
        </is>
      </c>
      <c r="E424" t="inlineStr">
        <is>
          <t>KATRINEHOLM</t>
        </is>
      </c>
      <c r="G424" t="n">
        <v>3.3</v>
      </c>
      <c r="H424" t="n">
        <v>0</v>
      </c>
      <c r="I424" t="n">
        <v>0</v>
      </c>
      <c r="J424" t="n">
        <v>0</v>
      </c>
      <c r="K424" t="n">
        <v>0</v>
      </c>
      <c r="L424" t="n">
        <v>0</v>
      </c>
      <c r="M424" t="n">
        <v>0</v>
      </c>
      <c r="N424" t="n">
        <v>0</v>
      </c>
      <c r="O424" t="n">
        <v>0</v>
      </c>
      <c r="P424" t="n">
        <v>0</v>
      </c>
      <c r="Q424" t="n">
        <v>0</v>
      </c>
      <c r="R424" s="2" t="inlineStr"/>
    </row>
    <row r="425" ht="15" customHeight="1">
      <c r="A425" t="inlineStr">
        <is>
          <t>A 14224-2024</t>
        </is>
      </c>
      <c r="B425" s="1" t="n">
        <v>45393</v>
      </c>
      <c r="C425" s="1" t="n">
        <v>46119</v>
      </c>
      <c r="D425" t="inlineStr">
        <is>
          <t>SÖDERMANLANDS LÄN</t>
        </is>
      </c>
      <c r="E425" t="inlineStr">
        <is>
          <t>KATRINEHOLM</t>
        </is>
      </c>
      <c r="F425" t="inlineStr">
        <is>
          <t>Sveaskog</t>
        </is>
      </c>
      <c r="G425" t="n">
        <v>7.6</v>
      </c>
      <c r="H425" t="n">
        <v>0</v>
      </c>
      <c r="I425" t="n">
        <v>0</v>
      </c>
      <c r="J425" t="n">
        <v>0</v>
      </c>
      <c r="K425" t="n">
        <v>0</v>
      </c>
      <c r="L425" t="n">
        <v>0</v>
      </c>
      <c r="M425" t="n">
        <v>0</v>
      </c>
      <c r="N425" t="n">
        <v>0</v>
      </c>
      <c r="O425" t="n">
        <v>0</v>
      </c>
      <c r="P425" t="n">
        <v>0</v>
      </c>
      <c r="Q425" t="n">
        <v>0</v>
      </c>
      <c r="R425" s="2" t="inlineStr"/>
    </row>
    <row r="426" ht="15" customHeight="1">
      <c r="A426" t="inlineStr">
        <is>
          <t>A 44989-2022</t>
        </is>
      </c>
      <c r="B426" s="1" t="n">
        <v>44840</v>
      </c>
      <c r="C426" s="1" t="n">
        <v>46119</v>
      </c>
      <c r="D426" t="inlineStr">
        <is>
          <t>SÖDERMANLANDS LÄN</t>
        </is>
      </c>
      <c r="E426" t="inlineStr">
        <is>
          <t>KATRINEHOLM</t>
        </is>
      </c>
      <c r="G426" t="n">
        <v>6</v>
      </c>
      <c r="H426" t="n">
        <v>0</v>
      </c>
      <c r="I426" t="n">
        <v>0</v>
      </c>
      <c r="J426" t="n">
        <v>0</v>
      </c>
      <c r="K426" t="n">
        <v>0</v>
      </c>
      <c r="L426" t="n">
        <v>0</v>
      </c>
      <c r="M426" t="n">
        <v>0</v>
      </c>
      <c r="N426" t="n">
        <v>0</v>
      </c>
      <c r="O426" t="n">
        <v>0</v>
      </c>
      <c r="P426" t="n">
        <v>0</v>
      </c>
      <c r="Q426" t="n">
        <v>0</v>
      </c>
      <c r="R426" s="2" t="inlineStr"/>
    </row>
    <row r="427" ht="15" customHeight="1">
      <c r="A427" t="inlineStr">
        <is>
          <t>A 57263-2022</t>
        </is>
      </c>
      <c r="B427" s="1" t="n">
        <v>44895</v>
      </c>
      <c r="C427" s="1" t="n">
        <v>46119</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49218-2023</t>
        </is>
      </c>
      <c r="B428" s="1" t="n">
        <v>45205</v>
      </c>
      <c r="C428" s="1" t="n">
        <v>46119</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4679-2023</t>
        </is>
      </c>
      <c r="B429" s="1" t="n">
        <v>44957.44885416667</v>
      </c>
      <c r="C429" s="1" t="n">
        <v>46119</v>
      </c>
      <c r="D429" t="inlineStr">
        <is>
          <t>SÖDERMANLANDS LÄN</t>
        </is>
      </c>
      <c r="E429" t="inlineStr">
        <is>
          <t>KATRINEHOLM</t>
        </is>
      </c>
      <c r="G429" t="n">
        <v>5.3</v>
      </c>
      <c r="H429" t="n">
        <v>0</v>
      </c>
      <c r="I429" t="n">
        <v>0</v>
      </c>
      <c r="J429" t="n">
        <v>0</v>
      </c>
      <c r="K429" t="n">
        <v>0</v>
      </c>
      <c r="L429" t="n">
        <v>0</v>
      </c>
      <c r="M429" t="n">
        <v>0</v>
      </c>
      <c r="N429" t="n">
        <v>0</v>
      </c>
      <c r="O429" t="n">
        <v>0</v>
      </c>
      <c r="P429" t="n">
        <v>0</v>
      </c>
      <c r="Q429" t="n">
        <v>0</v>
      </c>
      <c r="R429" s="2" t="inlineStr"/>
    </row>
    <row r="430" ht="15" customHeight="1">
      <c r="A430" t="inlineStr">
        <is>
          <t>A 53338-2025</t>
        </is>
      </c>
      <c r="B430" s="1" t="n">
        <v>45959.40447916667</v>
      </c>
      <c r="C430" s="1" t="n">
        <v>46119</v>
      </c>
      <c r="D430" t="inlineStr">
        <is>
          <t>SÖDERMANLANDS LÄN</t>
        </is>
      </c>
      <c r="E430" t="inlineStr">
        <is>
          <t>KATRINEHOLM</t>
        </is>
      </c>
      <c r="G430" t="n">
        <v>2.9</v>
      </c>
      <c r="H430" t="n">
        <v>0</v>
      </c>
      <c r="I430" t="n">
        <v>0</v>
      </c>
      <c r="J430" t="n">
        <v>0</v>
      </c>
      <c r="K430" t="n">
        <v>0</v>
      </c>
      <c r="L430" t="n">
        <v>0</v>
      </c>
      <c r="M430" t="n">
        <v>0</v>
      </c>
      <c r="N430" t="n">
        <v>0</v>
      </c>
      <c r="O430" t="n">
        <v>0</v>
      </c>
      <c r="P430" t="n">
        <v>0</v>
      </c>
      <c r="Q430" t="n">
        <v>0</v>
      </c>
      <c r="R430" s="2" t="inlineStr"/>
    </row>
    <row r="431" ht="15" customHeight="1">
      <c r="A431" t="inlineStr">
        <is>
          <t>A 33469-2025</t>
        </is>
      </c>
      <c r="B431" s="1" t="n">
        <v>45841.48686342593</v>
      </c>
      <c r="C431" s="1" t="n">
        <v>46119</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2320-2023</t>
        </is>
      </c>
      <c r="B432" s="1" t="n">
        <v>44942.58850694444</v>
      </c>
      <c r="C432" s="1" t="n">
        <v>46119</v>
      </c>
      <c r="D432" t="inlineStr">
        <is>
          <t>SÖDERMANLANDS LÄN</t>
        </is>
      </c>
      <c r="E432" t="inlineStr">
        <is>
          <t>KATRINEHOLM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2325-2023</t>
        </is>
      </c>
      <c r="B433" s="1" t="n">
        <v>44942</v>
      </c>
      <c r="C433" s="1" t="n">
        <v>46119</v>
      </c>
      <c r="D433" t="inlineStr">
        <is>
          <t>SÖDERMANLANDS LÄN</t>
        </is>
      </c>
      <c r="E433" t="inlineStr">
        <is>
          <t>KATRINEHOLM</t>
        </is>
      </c>
      <c r="G433" t="n">
        <v>5.6</v>
      </c>
      <c r="H433" t="n">
        <v>0</v>
      </c>
      <c r="I433" t="n">
        <v>0</v>
      </c>
      <c r="J433" t="n">
        <v>0</v>
      </c>
      <c r="K433" t="n">
        <v>0</v>
      </c>
      <c r="L433" t="n">
        <v>0</v>
      </c>
      <c r="M433" t="n">
        <v>0</v>
      </c>
      <c r="N433" t="n">
        <v>0</v>
      </c>
      <c r="O433" t="n">
        <v>0</v>
      </c>
      <c r="P433" t="n">
        <v>0</v>
      </c>
      <c r="Q433" t="n">
        <v>0</v>
      </c>
      <c r="R433" s="2" t="inlineStr"/>
    </row>
    <row r="434" ht="15" customHeight="1">
      <c r="A434" t="inlineStr">
        <is>
          <t>A 54395-2025</t>
        </is>
      </c>
      <c r="B434" s="1" t="n">
        <v>45964</v>
      </c>
      <c r="C434" s="1" t="n">
        <v>46119</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46119</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46119</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54359-2025</t>
        </is>
      </c>
      <c r="B437" s="1" t="n">
        <v>45964</v>
      </c>
      <c r="C437" s="1" t="n">
        <v>46119</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46119</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55732-2023</t>
        </is>
      </c>
      <c r="B439" s="1" t="n">
        <v>45239</v>
      </c>
      <c r="C439" s="1" t="n">
        <v>46119</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33077-2025</t>
        </is>
      </c>
      <c r="B440" s="1" t="n">
        <v>45840.45864583334</v>
      </c>
      <c r="C440" s="1" t="n">
        <v>46119</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33129-2025</t>
        </is>
      </c>
      <c r="B441" s="1" t="n">
        <v>45840.50141203704</v>
      </c>
      <c r="C441" s="1" t="n">
        <v>46119</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54999-2025</t>
        </is>
      </c>
      <c r="B442" s="1" t="n">
        <v>45967.59880787037</v>
      </c>
      <c r="C442" s="1" t="n">
        <v>46119</v>
      </c>
      <c r="D442" t="inlineStr">
        <is>
          <t>SÖDERMANLANDS LÄN</t>
        </is>
      </c>
      <c r="E442" t="inlineStr">
        <is>
          <t>KATRINEHOLM</t>
        </is>
      </c>
      <c r="G442" t="n">
        <v>8.5</v>
      </c>
      <c r="H442" t="n">
        <v>0</v>
      </c>
      <c r="I442" t="n">
        <v>0</v>
      </c>
      <c r="J442" t="n">
        <v>0</v>
      </c>
      <c r="K442" t="n">
        <v>0</v>
      </c>
      <c r="L442" t="n">
        <v>0</v>
      </c>
      <c r="M442" t="n">
        <v>0</v>
      </c>
      <c r="N442" t="n">
        <v>0</v>
      </c>
      <c r="O442" t="n">
        <v>0</v>
      </c>
      <c r="P442" t="n">
        <v>0</v>
      </c>
      <c r="Q442" t="n">
        <v>0</v>
      </c>
      <c r="R442" s="2" t="inlineStr"/>
    </row>
    <row r="443" ht="15" customHeight="1">
      <c r="A443" t="inlineStr">
        <is>
          <t>A 17792-2025</t>
        </is>
      </c>
      <c r="B443" s="1" t="n">
        <v>45758</v>
      </c>
      <c r="C443" s="1" t="n">
        <v>46119</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58473-2021</t>
        </is>
      </c>
      <c r="B444" s="1" t="n">
        <v>44488</v>
      </c>
      <c r="C444" s="1" t="n">
        <v>46119</v>
      </c>
      <c r="D444" t="inlineStr">
        <is>
          <t>SÖDERMANLANDS LÄN</t>
        </is>
      </c>
      <c r="E444" t="inlineStr">
        <is>
          <t>KATRINEHOLM</t>
        </is>
      </c>
      <c r="G444" t="n">
        <v>0.5</v>
      </c>
      <c r="H444" t="n">
        <v>0</v>
      </c>
      <c r="I444" t="n">
        <v>0</v>
      </c>
      <c r="J444" t="n">
        <v>0</v>
      </c>
      <c r="K444" t="n">
        <v>0</v>
      </c>
      <c r="L444" t="n">
        <v>0</v>
      </c>
      <c r="M444" t="n">
        <v>0</v>
      </c>
      <c r="N444" t="n">
        <v>0</v>
      </c>
      <c r="O444" t="n">
        <v>0</v>
      </c>
      <c r="P444" t="n">
        <v>0</v>
      </c>
      <c r="Q444" t="n">
        <v>0</v>
      </c>
      <c r="R444" s="2" t="inlineStr"/>
    </row>
    <row r="445" ht="15" customHeight="1">
      <c r="A445" t="inlineStr">
        <is>
          <t>A 55029-2025</t>
        </is>
      </c>
      <c r="B445" s="1" t="n">
        <v>45967.63784722222</v>
      </c>
      <c r="C445" s="1" t="n">
        <v>46119</v>
      </c>
      <c r="D445" t="inlineStr">
        <is>
          <t>SÖDERMANLANDS LÄN</t>
        </is>
      </c>
      <c r="E445" t="inlineStr">
        <is>
          <t>KATRINEHOLM</t>
        </is>
      </c>
      <c r="G445" t="n">
        <v>10.1</v>
      </c>
      <c r="H445" t="n">
        <v>0</v>
      </c>
      <c r="I445" t="n">
        <v>0</v>
      </c>
      <c r="J445" t="n">
        <v>0</v>
      </c>
      <c r="K445" t="n">
        <v>0</v>
      </c>
      <c r="L445" t="n">
        <v>0</v>
      </c>
      <c r="M445" t="n">
        <v>0</v>
      </c>
      <c r="N445" t="n">
        <v>0</v>
      </c>
      <c r="O445" t="n">
        <v>0</v>
      </c>
      <c r="P445" t="n">
        <v>0</v>
      </c>
      <c r="Q445" t="n">
        <v>0</v>
      </c>
      <c r="R445" s="2" t="inlineStr"/>
    </row>
    <row r="446" ht="15" customHeight="1">
      <c r="A446" t="inlineStr">
        <is>
          <t>A 53860-2021</t>
        </is>
      </c>
      <c r="B446" s="1" t="n">
        <v>44467</v>
      </c>
      <c r="C446" s="1" t="n">
        <v>46119</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20533-2023</t>
        </is>
      </c>
      <c r="B447" s="1" t="n">
        <v>45057</v>
      </c>
      <c r="C447" s="1" t="n">
        <v>46119</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c r="T447">
        <f>HYPERLINK("https://klasma.github.io/Logging_0483/kartor/A 20533-2023 karta.png", "A 20533-2023")</f>
        <v/>
      </c>
      <c r="V447">
        <f>HYPERLINK("https://klasma.github.io/Logging_0483/klagomål/A 20533-2023 FSC-klagomål.docx", "A 20533-2023")</f>
        <v/>
      </c>
      <c r="W447">
        <f>HYPERLINK("https://klasma.github.io/Logging_0483/klagomålsmail/A 20533-2023 FSC-klagomål mail.docx", "A 20533-2023")</f>
        <v/>
      </c>
      <c r="X447">
        <f>HYPERLINK("https://klasma.github.io/Logging_0483/tillsyn/A 20533-2023 tillsynsbegäran.docx", "A 20533-2023")</f>
        <v/>
      </c>
      <c r="Y447">
        <f>HYPERLINK("https://klasma.github.io/Logging_0483/tillsynsmail/A 20533-2023 tillsynsbegäran mail.docx", "A 20533-2023")</f>
        <v/>
      </c>
      <c r="Z447">
        <f>HYPERLINK("https://klasma.github.io/Logging_0483/fåglar/A 20533-2023 prioriterade fågelarter.docx", "A 20533-2023")</f>
        <v/>
      </c>
    </row>
    <row r="448" ht="15" customHeight="1">
      <c r="A448" t="inlineStr">
        <is>
          <t>A 29702-2021</t>
        </is>
      </c>
      <c r="B448" s="1" t="n">
        <v>44362</v>
      </c>
      <c r="C448" s="1" t="n">
        <v>46119</v>
      </c>
      <c r="D448" t="inlineStr">
        <is>
          <t>SÖDERMANLANDS LÄN</t>
        </is>
      </c>
      <c r="E448" t="inlineStr">
        <is>
          <t>KATRINEHOLM</t>
        </is>
      </c>
      <c r="F448" t="inlineStr">
        <is>
          <t>Holmen skog AB</t>
        </is>
      </c>
      <c r="G448" t="n">
        <v>0.3</v>
      </c>
      <c r="H448" t="n">
        <v>0</v>
      </c>
      <c r="I448" t="n">
        <v>0</v>
      </c>
      <c r="J448" t="n">
        <v>0</v>
      </c>
      <c r="K448" t="n">
        <v>0</v>
      </c>
      <c r="L448" t="n">
        <v>0</v>
      </c>
      <c r="M448" t="n">
        <v>0</v>
      </c>
      <c r="N448" t="n">
        <v>0</v>
      </c>
      <c r="O448" t="n">
        <v>0</v>
      </c>
      <c r="P448" t="n">
        <v>0</v>
      </c>
      <c r="Q448" t="n">
        <v>0</v>
      </c>
      <c r="R448" s="2" t="inlineStr"/>
    </row>
    <row r="449" ht="15" customHeight="1">
      <c r="A449" t="inlineStr">
        <is>
          <t>A 55829-2025</t>
        </is>
      </c>
      <c r="B449" s="1" t="n">
        <v>45972.79274305556</v>
      </c>
      <c r="C449" s="1" t="n">
        <v>46119</v>
      </c>
      <c r="D449" t="inlineStr">
        <is>
          <t>SÖDERMANLANDS LÄN</t>
        </is>
      </c>
      <c r="E449" t="inlineStr">
        <is>
          <t>KATRINEHOLM</t>
        </is>
      </c>
      <c r="G449" t="n">
        <v>3.2</v>
      </c>
      <c r="H449" t="n">
        <v>0</v>
      </c>
      <c r="I449" t="n">
        <v>0</v>
      </c>
      <c r="J449" t="n">
        <v>0</v>
      </c>
      <c r="K449" t="n">
        <v>0</v>
      </c>
      <c r="L449" t="n">
        <v>0</v>
      </c>
      <c r="M449" t="n">
        <v>0</v>
      </c>
      <c r="N449" t="n">
        <v>0</v>
      </c>
      <c r="O449" t="n">
        <v>0</v>
      </c>
      <c r="P449" t="n">
        <v>0</v>
      </c>
      <c r="Q449" t="n">
        <v>0</v>
      </c>
      <c r="R449" s="2" t="inlineStr"/>
    </row>
    <row r="450" ht="15" customHeight="1">
      <c r="A450" t="inlineStr">
        <is>
          <t>A 55832-2025</t>
        </is>
      </c>
      <c r="B450" s="1" t="n">
        <v>45972.81768518518</v>
      </c>
      <c r="C450" s="1" t="n">
        <v>46119</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4662-2023</t>
        </is>
      </c>
      <c r="B451" s="1" t="n">
        <v>44957</v>
      </c>
      <c r="C451" s="1" t="n">
        <v>46119</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55831-2025</t>
        </is>
      </c>
      <c r="B452" s="1" t="n">
        <v>45972.81034722222</v>
      </c>
      <c r="C452" s="1" t="n">
        <v>46119</v>
      </c>
      <c r="D452" t="inlineStr">
        <is>
          <t>SÖDERMANLANDS LÄN</t>
        </is>
      </c>
      <c r="E452" t="inlineStr">
        <is>
          <t>KATRINEHOLM</t>
        </is>
      </c>
      <c r="G452" t="n">
        <v>6.2</v>
      </c>
      <c r="H452" t="n">
        <v>0</v>
      </c>
      <c r="I452" t="n">
        <v>0</v>
      </c>
      <c r="J452" t="n">
        <v>0</v>
      </c>
      <c r="K452" t="n">
        <v>0</v>
      </c>
      <c r="L452" t="n">
        <v>0</v>
      </c>
      <c r="M452" t="n">
        <v>0</v>
      </c>
      <c r="N452" t="n">
        <v>0</v>
      </c>
      <c r="O452" t="n">
        <v>0</v>
      </c>
      <c r="P452" t="n">
        <v>0</v>
      </c>
      <c r="Q452" t="n">
        <v>0</v>
      </c>
      <c r="R452" s="2" t="inlineStr"/>
    </row>
    <row r="453" ht="15" customHeight="1">
      <c r="A453" t="inlineStr">
        <is>
          <t>A 22304-2024</t>
        </is>
      </c>
      <c r="B453" s="1" t="n">
        <v>45446.56626157407</v>
      </c>
      <c r="C453" s="1" t="n">
        <v>46119</v>
      </c>
      <c r="D453" t="inlineStr">
        <is>
          <t>SÖDERMANLANDS LÄN</t>
        </is>
      </c>
      <c r="E453" t="inlineStr">
        <is>
          <t>KATRINEHOLM</t>
        </is>
      </c>
      <c r="F453" t="inlineStr">
        <is>
          <t>Kommuner</t>
        </is>
      </c>
      <c r="G453" t="n">
        <v>0.7</v>
      </c>
      <c r="H453" t="n">
        <v>0</v>
      </c>
      <c r="I453" t="n">
        <v>0</v>
      </c>
      <c r="J453" t="n">
        <v>0</v>
      </c>
      <c r="K453" t="n">
        <v>0</v>
      </c>
      <c r="L453" t="n">
        <v>0</v>
      </c>
      <c r="M453" t="n">
        <v>0</v>
      </c>
      <c r="N453" t="n">
        <v>0</v>
      </c>
      <c r="O453" t="n">
        <v>0</v>
      </c>
      <c r="P453" t="n">
        <v>0</v>
      </c>
      <c r="Q453" t="n">
        <v>0</v>
      </c>
      <c r="R453" s="2" t="inlineStr"/>
    </row>
    <row r="454" ht="15" customHeight="1">
      <c r="A454" t="inlineStr">
        <is>
          <t>A 56330-2025</t>
        </is>
      </c>
      <c r="B454" s="1" t="n">
        <v>45974.64094907408</v>
      </c>
      <c r="C454" s="1" t="n">
        <v>46119</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13171-2024</t>
        </is>
      </c>
      <c r="B455" s="1" t="n">
        <v>45386</v>
      </c>
      <c r="C455" s="1" t="n">
        <v>46119</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56597-2025</t>
        </is>
      </c>
      <c r="B456" s="1" t="n">
        <v>45975.57271990741</v>
      </c>
      <c r="C456" s="1" t="n">
        <v>46119</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33752-2023</t>
        </is>
      </c>
      <c r="B457" s="1" t="n">
        <v>45120</v>
      </c>
      <c r="C457" s="1" t="n">
        <v>46119</v>
      </c>
      <c r="D457" t="inlineStr">
        <is>
          <t>SÖDERMANLANDS LÄN</t>
        </is>
      </c>
      <c r="E457" t="inlineStr">
        <is>
          <t>KATRINEHOLM</t>
        </is>
      </c>
      <c r="G457" t="n">
        <v>1</v>
      </c>
      <c r="H457" t="n">
        <v>0</v>
      </c>
      <c r="I457" t="n">
        <v>0</v>
      </c>
      <c r="J457" t="n">
        <v>0</v>
      </c>
      <c r="K457" t="n">
        <v>0</v>
      </c>
      <c r="L457" t="n">
        <v>0</v>
      </c>
      <c r="M457" t="n">
        <v>0</v>
      </c>
      <c r="N457" t="n">
        <v>0</v>
      </c>
      <c r="O457" t="n">
        <v>0</v>
      </c>
      <c r="P457" t="n">
        <v>0</v>
      </c>
      <c r="Q457" t="n">
        <v>0</v>
      </c>
      <c r="R457" s="2" t="inlineStr"/>
    </row>
    <row r="458" ht="15" customHeight="1">
      <c r="A458" t="inlineStr">
        <is>
          <t>A 28652-2024</t>
        </is>
      </c>
      <c r="B458" s="1" t="n">
        <v>45478</v>
      </c>
      <c r="C458" s="1" t="n">
        <v>46119</v>
      </c>
      <c r="D458" t="inlineStr">
        <is>
          <t>SÖDERMANLANDS LÄN</t>
        </is>
      </c>
      <c r="E458" t="inlineStr">
        <is>
          <t>KATRINEHOLM</t>
        </is>
      </c>
      <c r="G458" t="n">
        <v>1.4</v>
      </c>
      <c r="H458" t="n">
        <v>0</v>
      </c>
      <c r="I458" t="n">
        <v>0</v>
      </c>
      <c r="J458" t="n">
        <v>0</v>
      </c>
      <c r="K458" t="n">
        <v>0</v>
      </c>
      <c r="L458" t="n">
        <v>0</v>
      </c>
      <c r="M458" t="n">
        <v>0</v>
      </c>
      <c r="N458" t="n">
        <v>0</v>
      </c>
      <c r="O458" t="n">
        <v>0</v>
      </c>
      <c r="P458" t="n">
        <v>0</v>
      </c>
      <c r="Q458" t="n">
        <v>0</v>
      </c>
      <c r="R458" s="2" t="inlineStr"/>
    </row>
    <row r="459" ht="15" customHeight="1">
      <c r="A459" t="inlineStr">
        <is>
          <t>A 9936-2023</t>
        </is>
      </c>
      <c r="B459" s="1" t="n">
        <v>44985.47086805556</v>
      </c>
      <c r="C459" s="1" t="n">
        <v>46119</v>
      </c>
      <c r="D459" t="inlineStr">
        <is>
          <t>SÖDERMANLANDS LÄN</t>
        </is>
      </c>
      <c r="E459" t="inlineStr">
        <is>
          <t>KATRINEHOLM</t>
        </is>
      </c>
      <c r="G459" t="n">
        <v>0.4</v>
      </c>
      <c r="H459" t="n">
        <v>0</v>
      </c>
      <c r="I459" t="n">
        <v>0</v>
      </c>
      <c r="J459" t="n">
        <v>0</v>
      </c>
      <c r="K459" t="n">
        <v>0</v>
      </c>
      <c r="L459" t="n">
        <v>0</v>
      </c>
      <c r="M459" t="n">
        <v>0</v>
      </c>
      <c r="N459" t="n">
        <v>0</v>
      </c>
      <c r="O459" t="n">
        <v>0</v>
      </c>
      <c r="P459" t="n">
        <v>0</v>
      </c>
      <c r="Q459" t="n">
        <v>0</v>
      </c>
      <c r="R459" s="2" t="inlineStr"/>
    </row>
    <row r="460" ht="15" customHeight="1">
      <c r="A460" t="inlineStr">
        <is>
          <t>A 9192-2023</t>
        </is>
      </c>
      <c r="B460" s="1" t="n">
        <v>44980</v>
      </c>
      <c r="C460" s="1" t="n">
        <v>46119</v>
      </c>
      <c r="D460" t="inlineStr">
        <is>
          <t>SÖDERMANLANDS LÄN</t>
        </is>
      </c>
      <c r="E460" t="inlineStr">
        <is>
          <t>KATRINEHOLM</t>
        </is>
      </c>
      <c r="F460" t="inlineStr">
        <is>
          <t>Övriga Aktiebolag</t>
        </is>
      </c>
      <c r="G460" t="n">
        <v>1.6</v>
      </c>
      <c r="H460" t="n">
        <v>0</v>
      </c>
      <c r="I460" t="n">
        <v>0</v>
      </c>
      <c r="J460" t="n">
        <v>0</v>
      </c>
      <c r="K460" t="n">
        <v>0</v>
      </c>
      <c r="L460" t="n">
        <v>0</v>
      </c>
      <c r="M460" t="n">
        <v>0</v>
      </c>
      <c r="N460" t="n">
        <v>0</v>
      </c>
      <c r="O460" t="n">
        <v>0</v>
      </c>
      <c r="P460" t="n">
        <v>0</v>
      </c>
      <c r="Q460" t="n">
        <v>0</v>
      </c>
      <c r="R460" s="2" t="inlineStr"/>
    </row>
    <row r="461" ht="15" customHeight="1">
      <c r="A461" t="inlineStr">
        <is>
          <t>A 72984-2021</t>
        </is>
      </c>
      <c r="B461" s="1" t="n">
        <v>44549.74741898148</v>
      </c>
      <c r="C461" s="1" t="n">
        <v>46119</v>
      </c>
      <c r="D461" t="inlineStr">
        <is>
          <t>SÖDERMANLANDS LÄN</t>
        </is>
      </c>
      <c r="E461" t="inlineStr">
        <is>
          <t>KATRINEHOLM</t>
        </is>
      </c>
      <c r="G461" t="n">
        <v>4.9</v>
      </c>
      <c r="H461" t="n">
        <v>0</v>
      </c>
      <c r="I461" t="n">
        <v>0</v>
      </c>
      <c r="J461" t="n">
        <v>0</v>
      </c>
      <c r="K461" t="n">
        <v>0</v>
      </c>
      <c r="L461" t="n">
        <v>0</v>
      </c>
      <c r="M461" t="n">
        <v>0</v>
      </c>
      <c r="N461" t="n">
        <v>0</v>
      </c>
      <c r="O461" t="n">
        <v>0</v>
      </c>
      <c r="P461" t="n">
        <v>0</v>
      </c>
      <c r="Q461" t="n">
        <v>0</v>
      </c>
      <c r="R461" s="2" t="inlineStr"/>
    </row>
    <row r="462" ht="15" customHeight="1">
      <c r="A462" t="inlineStr">
        <is>
          <t>A 33712-2022</t>
        </is>
      </c>
      <c r="B462" s="1" t="n">
        <v>44789</v>
      </c>
      <c r="C462" s="1" t="n">
        <v>46119</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33717-2022</t>
        </is>
      </c>
      <c r="B463" s="1" t="n">
        <v>44789</v>
      </c>
      <c r="C463" s="1" t="n">
        <v>46119</v>
      </c>
      <c r="D463" t="inlineStr">
        <is>
          <t>SÖDERMANLANDS LÄN</t>
        </is>
      </c>
      <c r="E463" t="inlineStr">
        <is>
          <t>KATRINEHOLM</t>
        </is>
      </c>
      <c r="G463" t="n">
        <v>4.4</v>
      </c>
      <c r="H463" t="n">
        <v>0</v>
      </c>
      <c r="I463" t="n">
        <v>0</v>
      </c>
      <c r="J463" t="n">
        <v>0</v>
      </c>
      <c r="K463" t="n">
        <v>0</v>
      </c>
      <c r="L463" t="n">
        <v>0</v>
      </c>
      <c r="M463" t="n">
        <v>0</v>
      </c>
      <c r="N463" t="n">
        <v>0</v>
      </c>
      <c r="O463" t="n">
        <v>0</v>
      </c>
      <c r="P463" t="n">
        <v>0</v>
      </c>
      <c r="Q463" t="n">
        <v>0</v>
      </c>
      <c r="R463" s="2" t="inlineStr"/>
    </row>
    <row r="464" ht="15" customHeight="1">
      <c r="A464" t="inlineStr">
        <is>
          <t>A 51440-2024</t>
        </is>
      </c>
      <c r="B464" s="1" t="n">
        <v>45604</v>
      </c>
      <c r="C464" s="1" t="n">
        <v>46119</v>
      </c>
      <c r="D464" t="inlineStr">
        <is>
          <t>SÖDERMANLANDS LÄN</t>
        </is>
      </c>
      <c r="E464" t="inlineStr">
        <is>
          <t>KATRINEHOLM</t>
        </is>
      </c>
      <c r="G464" t="n">
        <v>4.7</v>
      </c>
      <c r="H464" t="n">
        <v>0</v>
      </c>
      <c r="I464" t="n">
        <v>0</v>
      </c>
      <c r="J464" t="n">
        <v>0</v>
      </c>
      <c r="K464" t="n">
        <v>0</v>
      </c>
      <c r="L464" t="n">
        <v>0</v>
      </c>
      <c r="M464" t="n">
        <v>0</v>
      </c>
      <c r="N464" t="n">
        <v>0</v>
      </c>
      <c r="O464" t="n">
        <v>0</v>
      </c>
      <c r="P464" t="n">
        <v>0</v>
      </c>
      <c r="Q464" t="n">
        <v>0</v>
      </c>
      <c r="R464" s="2" t="inlineStr"/>
    </row>
    <row r="465" ht="15" customHeight="1">
      <c r="A465" t="inlineStr">
        <is>
          <t>A 51260-2021</t>
        </is>
      </c>
      <c r="B465" s="1" t="n">
        <v>44461</v>
      </c>
      <c r="C465" s="1" t="n">
        <v>46119</v>
      </c>
      <c r="D465" t="inlineStr">
        <is>
          <t>SÖDERMANLANDS LÄN</t>
        </is>
      </c>
      <c r="E465" t="inlineStr">
        <is>
          <t>KATRINEHOLM</t>
        </is>
      </c>
      <c r="G465" t="n">
        <v>0.7</v>
      </c>
      <c r="H465" t="n">
        <v>0</v>
      </c>
      <c r="I465" t="n">
        <v>0</v>
      </c>
      <c r="J465" t="n">
        <v>0</v>
      </c>
      <c r="K465" t="n">
        <v>0</v>
      </c>
      <c r="L465" t="n">
        <v>0</v>
      </c>
      <c r="M465" t="n">
        <v>0</v>
      </c>
      <c r="N465" t="n">
        <v>0</v>
      </c>
      <c r="O465" t="n">
        <v>0</v>
      </c>
      <c r="P465" t="n">
        <v>0</v>
      </c>
      <c r="Q465" t="n">
        <v>0</v>
      </c>
      <c r="R465" s="2" t="inlineStr"/>
    </row>
    <row r="466" ht="15" customHeight="1">
      <c r="A466" t="inlineStr">
        <is>
          <t>A 57323-2025</t>
        </is>
      </c>
      <c r="B466" s="1" t="n">
        <v>45980.32501157407</v>
      </c>
      <c r="C466" s="1" t="n">
        <v>46119</v>
      </c>
      <c r="D466" t="inlineStr">
        <is>
          <t>SÖDERMANLANDS LÄN</t>
        </is>
      </c>
      <c r="E466" t="inlineStr">
        <is>
          <t>KATRINEHOLM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38879-2024</t>
        </is>
      </c>
      <c r="B467" s="1" t="n">
        <v>45547</v>
      </c>
      <c r="C467" s="1" t="n">
        <v>46119</v>
      </c>
      <c r="D467" t="inlineStr">
        <is>
          <t>SÖDERMANLANDS LÄN</t>
        </is>
      </c>
      <c r="E467" t="inlineStr">
        <is>
          <t>KATRINEHOLM</t>
        </is>
      </c>
      <c r="G467" t="n">
        <v>2.6</v>
      </c>
      <c r="H467" t="n">
        <v>0</v>
      </c>
      <c r="I467" t="n">
        <v>0</v>
      </c>
      <c r="J467" t="n">
        <v>0</v>
      </c>
      <c r="K467" t="n">
        <v>0</v>
      </c>
      <c r="L467" t="n">
        <v>0</v>
      </c>
      <c r="M467" t="n">
        <v>0</v>
      </c>
      <c r="N467" t="n">
        <v>0</v>
      </c>
      <c r="O467" t="n">
        <v>0</v>
      </c>
      <c r="P467" t="n">
        <v>0</v>
      </c>
      <c r="Q467" t="n">
        <v>0</v>
      </c>
      <c r="R467" s="2" t="inlineStr"/>
    </row>
    <row r="468" ht="15" customHeight="1">
      <c r="A468" t="inlineStr">
        <is>
          <t>A 57975-2025</t>
        </is>
      </c>
      <c r="B468" s="1" t="n">
        <v>45981</v>
      </c>
      <c r="C468" s="1" t="n">
        <v>46119</v>
      </c>
      <c r="D468" t="inlineStr">
        <is>
          <t>SÖDERMANLANDS LÄN</t>
        </is>
      </c>
      <c r="E468" t="inlineStr">
        <is>
          <t>KATRINEHOLM</t>
        </is>
      </c>
      <c r="G468" t="n">
        <v>3.1</v>
      </c>
      <c r="H468" t="n">
        <v>0</v>
      </c>
      <c r="I468" t="n">
        <v>0</v>
      </c>
      <c r="J468" t="n">
        <v>0</v>
      </c>
      <c r="K468" t="n">
        <v>0</v>
      </c>
      <c r="L468" t="n">
        <v>0</v>
      </c>
      <c r="M468" t="n">
        <v>0</v>
      </c>
      <c r="N468" t="n">
        <v>0</v>
      </c>
      <c r="O468" t="n">
        <v>0</v>
      </c>
      <c r="P468" t="n">
        <v>0</v>
      </c>
      <c r="Q468" t="n">
        <v>0</v>
      </c>
      <c r="R468" s="2" t="inlineStr"/>
    </row>
    <row r="469" ht="15" customHeight="1">
      <c r="A469" t="inlineStr">
        <is>
          <t>A 42945-2023</t>
        </is>
      </c>
      <c r="B469" s="1" t="n">
        <v>45182.5793287037</v>
      </c>
      <c r="C469" s="1" t="n">
        <v>46119</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42962-2023</t>
        </is>
      </c>
      <c r="B470" s="1" t="n">
        <v>45182</v>
      </c>
      <c r="C470" s="1" t="n">
        <v>46119</v>
      </c>
      <c r="D470" t="inlineStr">
        <is>
          <t>SÖDERMANLANDS LÄN</t>
        </is>
      </c>
      <c r="E470" t="inlineStr">
        <is>
          <t>KATRINEHOLM</t>
        </is>
      </c>
      <c r="F470" t="inlineStr">
        <is>
          <t>Övriga Aktiebolag</t>
        </is>
      </c>
      <c r="G470" t="n">
        <v>10.6</v>
      </c>
      <c r="H470" t="n">
        <v>0</v>
      </c>
      <c r="I470" t="n">
        <v>0</v>
      </c>
      <c r="J470" t="n">
        <v>0</v>
      </c>
      <c r="K470" t="n">
        <v>0</v>
      </c>
      <c r="L470" t="n">
        <v>0</v>
      </c>
      <c r="M470" t="n">
        <v>0</v>
      </c>
      <c r="N470" t="n">
        <v>0</v>
      </c>
      <c r="O470" t="n">
        <v>0</v>
      </c>
      <c r="P470" t="n">
        <v>0</v>
      </c>
      <c r="Q470" t="n">
        <v>0</v>
      </c>
      <c r="R470" s="2" t="inlineStr"/>
    </row>
    <row r="471" ht="15" customHeight="1">
      <c r="A471" t="inlineStr">
        <is>
          <t>A 33538-2022</t>
        </is>
      </c>
      <c r="B471" s="1" t="n">
        <v>44789</v>
      </c>
      <c r="C471" s="1" t="n">
        <v>46119</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16605-2025</t>
        </is>
      </c>
      <c r="B472" s="1" t="n">
        <v>45753.61614583333</v>
      </c>
      <c r="C472" s="1" t="n">
        <v>46119</v>
      </c>
      <c r="D472" t="inlineStr">
        <is>
          <t>SÖDERMANLANDS LÄN</t>
        </is>
      </c>
      <c r="E472" t="inlineStr">
        <is>
          <t>KATRINEHOLM</t>
        </is>
      </c>
      <c r="G472" t="n">
        <v>5.2</v>
      </c>
      <c r="H472" t="n">
        <v>0</v>
      </c>
      <c r="I472" t="n">
        <v>0</v>
      </c>
      <c r="J472" t="n">
        <v>0</v>
      </c>
      <c r="K472" t="n">
        <v>0</v>
      </c>
      <c r="L472" t="n">
        <v>0</v>
      </c>
      <c r="M472" t="n">
        <v>0</v>
      </c>
      <c r="N472" t="n">
        <v>0</v>
      </c>
      <c r="O472" t="n">
        <v>0</v>
      </c>
      <c r="P472" t="n">
        <v>0</v>
      </c>
      <c r="Q472" t="n">
        <v>0</v>
      </c>
      <c r="R472" s="2" t="inlineStr"/>
    </row>
    <row r="473" ht="15" customHeight="1">
      <c r="A473" t="inlineStr">
        <is>
          <t>A 73409-2021</t>
        </is>
      </c>
      <c r="B473" s="1" t="n">
        <v>44551</v>
      </c>
      <c r="C473" s="1" t="n">
        <v>46119</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73415-2021</t>
        </is>
      </c>
      <c r="B474" s="1" t="n">
        <v>44551</v>
      </c>
      <c r="C474" s="1" t="n">
        <v>46119</v>
      </c>
      <c r="D474" t="inlineStr">
        <is>
          <t>SÖDERMANLANDS LÄN</t>
        </is>
      </c>
      <c r="E474" t="inlineStr">
        <is>
          <t>KATRINEHOLM</t>
        </is>
      </c>
      <c r="G474" t="n">
        <v>3.2</v>
      </c>
      <c r="H474" t="n">
        <v>0</v>
      </c>
      <c r="I474" t="n">
        <v>0</v>
      </c>
      <c r="J474" t="n">
        <v>0</v>
      </c>
      <c r="K474" t="n">
        <v>0</v>
      </c>
      <c r="L474" t="n">
        <v>0</v>
      </c>
      <c r="M474" t="n">
        <v>0</v>
      </c>
      <c r="N474" t="n">
        <v>0</v>
      </c>
      <c r="O474" t="n">
        <v>0</v>
      </c>
      <c r="P474" t="n">
        <v>0</v>
      </c>
      <c r="Q474" t="n">
        <v>0</v>
      </c>
      <c r="R474" s="2" t="inlineStr"/>
    </row>
    <row r="475" ht="15" customHeight="1">
      <c r="A475" t="inlineStr">
        <is>
          <t>A 63188-2021</t>
        </is>
      </c>
      <c r="B475" s="1" t="n">
        <v>44507.56865740741</v>
      </c>
      <c r="C475" s="1" t="n">
        <v>46119</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64713-2023</t>
        </is>
      </c>
      <c r="B476" s="1" t="n">
        <v>45281</v>
      </c>
      <c r="C476" s="1" t="n">
        <v>46119</v>
      </c>
      <c r="D476" t="inlineStr">
        <is>
          <t>SÖDERMANLANDS LÄN</t>
        </is>
      </c>
      <c r="E476" t="inlineStr">
        <is>
          <t>KATRINEHOLM</t>
        </is>
      </c>
      <c r="G476" t="n">
        <v>4.9</v>
      </c>
      <c r="H476" t="n">
        <v>0</v>
      </c>
      <c r="I476" t="n">
        <v>0</v>
      </c>
      <c r="J476" t="n">
        <v>0</v>
      </c>
      <c r="K476" t="n">
        <v>0</v>
      </c>
      <c r="L476" t="n">
        <v>0</v>
      </c>
      <c r="M476" t="n">
        <v>0</v>
      </c>
      <c r="N476" t="n">
        <v>0</v>
      </c>
      <c r="O476" t="n">
        <v>0</v>
      </c>
      <c r="P476" t="n">
        <v>0</v>
      </c>
      <c r="Q476" t="n">
        <v>0</v>
      </c>
      <c r="R476" s="2" t="inlineStr"/>
    </row>
    <row r="477" ht="15" customHeight="1">
      <c r="A477" t="inlineStr">
        <is>
          <t>A 28304-2024</t>
        </is>
      </c>
      <c r="B477" s="1" t="n">
        <v>45477</v>
      </c>
      <c r="C477" s="1" t="n">
        <v>46119</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8457-2023</t>
        </is>
      </c>
      <c r="B478" s="1" t="n">
        <v>44977</v>
      </c>
      <c r="C478" s="1" t="n">
        <v>46119</v>
      </c>
      <c r="D478" t="inlineStr">
        <is>
          <t>SÖDERMANLANDS LÄN</t>
        </is>
      </c>
      <c r="E478" t="inlineStr">
        <is>
          <t>KATRINEHOLM</t>
        </is>
      </c>
      <c r="F478" t="inlineStr">
        <is>
          <t>Allmännings- och besparingsskogar</t>
        </is>
      </c>
      <c r="G478" t="n">
        <v>16.1</v>
      </c>
      <c r="H478" t="n">
        <v>0</v>
      </c>
      <c r="I478" t="n">
        <v>0</v>
      </c>
      <c r="J478" t="n">
        <v>0</v>
      </c>
      <c r="K478" t="n">
        <v>0</v>
      </c>
      <c r="L478" t="n">
        <v>0</v>
      </c>
      <c r="M478" t="n">
        <v>0</v>
      </c>
      <c r="N478" t="n">
        <v>0</v>
      </c>
      <c r="O478" t="n">
        <v>0</v>
      </c>
      <c r="P478" t="n">
        <v>0</v>
      </c>
      <c r="Q478" t="n">
        <v>0</v>
      </c>
      <c r="R478" s="2" t="inlineStr"/>
    </row>
    <row r="479" ht="15" customHeight="1">
      <c r="A479" t="inlineStr">
        <is>
          <t>A 7322-2023</t>
        </is>
      </c>
      <c r="B479" s="1" t="n">
        <v>44970</v>
      </c>
      <c r="C479" s="1" t="n">
        <v>46119</v>
      </c>
      <c r="D479" t="inlineStr">
        <is>
          <t>SÖDERMANLANDS LÄN</t>
        </is>
      </c>
      <c r="E479" t="inlineStr">
        <is>
          <t>KATRINEHOLM</t>
        </is>
      </c>
      <c r="G479" t="n">
        <v>2.1</v>
      </c>
      <c r="H479" t="n">
        <v>0</v>
      </c>
      <c r="I479" t="n">
        <v>0</v>
      </c>
      <c r="J479" t="n">
        <v>0</v>
      </c>
      <c r="K479" t="n">
        <v>0</v>
      </c>
      <c r="L479" t="n">
        <v>0</v>
      </c>
      <c r="M479" t="n">
        <v>0</v>
      </c>
      <c r="N479" t="n">
        <v>0</v>
      </c>
      <c r="O479" t="n">
        <v>0</v>
      </c>
      <c r="P479" t="n">
        <v>0</v>
      </c>
      <c r="Q479" t="n">
        <v>0</v>
      </c>
      <c r="R479" s="2" t="inlineStr"/>
    </row>
    <row r="480" ht="15" customHeight="1">
      <c r="A480" t="inlineStr">
        <is>
          <t>A 60160-2022</t>
        </is>
      </c>
      <c r="B480" s="1" t="n">
        <v>44909</v>
      </c>
      <c r="C480" s="1" t="n">
        <v>46119</v>
      </c>
      <c r="D480" t="inlineStr">
        <is>
          <t>SÖDERMANLANDS LÄN</t>
        </is>
      </c>
      <c r="E480" t="inlineStr">
        <is>
          <t>KATRINEHOLM</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48685-2022</t>
        </is>
      </c>
      <c r="B481" s="1" t="n">
        <v>44859</v>
      </c>
      <c r="C481" s="1" t="n">
        <v>46119</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42519-2024</t>
        </is>
      </c>
      <c r="B482" s="1" t="n">
        <v>45565</v>
      </c>
      <c r="C482" s="1" t="n">
        <v>46119</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59967-2025</t>
        </is>
      </c>
      <c r="B483" s="1" t="n">
        <v>45993.48525462963</v>
      </c>
      <c r="C483" s="1" t="n">
        <v>46119</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43499-2021</t>
        </is>
      </c>
      <c r="B484" s="1" t="n">
        <v>44433</v>
      </c>
      <c r="C484" s="1" t="n">
        <v>46119</v>
      </c>
      <c r="D484" t="inlineStr">
        <is>
          <t>SÖDERMANLANDS LÄN</t>
        </is>
      </c>
      <c r="E484" t="inlineStr">
        <is>
          <t>KATRINEHOLM</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32169-2022</t>
        </is>
      </c>
      <c r="B485" s="1" t="n">
        <v>44781</v>
      </c>
      <c r="C485" s="1" t="n">
        <v>46119</v>
      </c>
      <c r="D485" t="inlineStr">
        <is>
          <t>SÖDERMANLANDS LÄN</t>
        </is>
      </c>
      <c r="E485" t="inlineStr">
        <is>
          <t>KATRINEHOLM</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55122-2022</t>
        </is>
      </c>
      <c r="B486" s="1" t="n">
        <v>44886.65092592593</v>
      </c>
      <c r="C486" s="1" t="n">
        <v>46119</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43964-2022</t>
        </is>
      </c>
      <c r="B487" s="1" t="n">
        <v>44837</v>
      </c>
      <c r="C487" s="1" t="n">
        <v>46119</v>
      </c>
      <c r="D487" t="inlineStr">
        <is>
          <t>SÖDERMANLANDS LÄN</t>
        </is>
      </c>
      <c r="E487" t="inlineStr">
        <is>
          <t>KATRINEHOLM</t>
        </is>
      </c>
      <c r="G487" t="n">
        <v>3.6</v>
      </c>
      <c r="H487" t="n">
        <v>0</v>
      </c>
      <c r="I487" t="n">
        <v>0</v>
      </c>
      <c r="J487" t="n">
        <v>0</v>
      </c>
      <c r="K487" t="n">
        <v>0</v>
      </c>
      <c r="L487" t="n">
        <v>0</v>
      </c>
      <c r="M487" t="n">
        <v>0</v>
      </c>
      <c r="N487" t="n">
        <v>0</v>
      </c>
      <c r="O487" t="n">
        <v>0</v>
      </c>
      <c r="P487" t="n">
        <v>0</v>
      </c>
      <c r="Q487" t="n">
        <v>0</v>
      </c>
      <c r="R487" s="2" t="inlineStr"/>
    </row>
    <row r="488" ht="15" customHeight="1">
      <c r="A488" t="inlineStr">
        <is>
          <t>A 46075-2023</t>
        </is>
      </c>
      <c r="B488" s="1" t="n">
        <v>45196</v>
      </c>
      <c r="C488" s="1" t="n">
        <v>46119</v>
      </c>
      <c r="D488" t="inlineStr">
        <is>
          <t>SÖDERMANLANDS LÄN</t>
        </is>
      </c>
      <c r="E488" t="inlineStr">
        <is>
          <t>KATRINEHOLM</t>
        </is>
      </c>
      <c r="F488" t="inlineStr">
        <is>
          <t>Övriga Aktiebolag</t>
        </is>
      </c>
      <c r="G488" t="n">
        <v>9.5</v>
      </c>
      <c r="H488" t="n">
        <v>0</v>
      </c>
      <c r="I488" t="n">
        <v>0</v>
      </c>
      <c r="J488" t="n">
        <v>0</v>
      </c>
      <c r="K488" t="n">
        <v>0</v>
      </c>
      <c r="L488" t="n">
        <v>0</v>
      </c>
      <c r="M488" t="n">
        <v>0</v>
      </c>
      <c r="N488" t="n">
        <v>0</v>
      </c>
      <c r="O488" t="n">
        <v>0</v>
      </c>
      <c r="P488" t="n">
        <v>0</v>
      </c>
      <c r="Q488" t="n">
        <v>0</v>
      </c>
      <c r="R488" s="2" t="inlineStr"/>
    </row>
    <row r="489" ht="15" customHeight="1">
      <c r="A489" t="inlineStr">
        <is>
          <t>A 9992-2022</t>
        </is>
      </c>
      <c r="B489" s="1" t="n">
        <v>44621</v>
      </c>
      <c r="C489" s="1" t="n">
        <v>46119</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44659-2023</t>
        </is>
      </c>
      <c r="B490" s="1" t="n">
        <v>45189</v>
      </c>
      <c r="C490" s="1" t="n">
        <v>46119</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48682-2022</t>
        </is>
      </c>
      <c r="B491" s="1" t="n">
        <v>44859</v>
      </c>
      <c r="C491" s="1" t="n">
        <v>46119</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60678-2025</t>
        </is>
      </c>
      <c r="B492" s="1" t="n">
        <v>45996.56251157408</v>
      </c>
      <c r="C492" s="1" t="n">
        <v>46119</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61066-2025</t>
        </is>
      </c>
      <c r="B493" s="1" t="n">
        <v>46000.37695601852</v>
      </c>
      <c r="C493" s="1" t="n">
        <v>46119</v>
      </c>
      <c r="D493" t="inlineStr">
        <is>
          <t>SÖDERMANLANDS LÄN</t>
        </is>
      </c>
      <c r="E493" t="inlineStr">
        <is>
          <t>KATRINEHOLM</t>
        </is>
      </c>
      <c r="F493" t="inlineStr">
        <is>
          <t>Kyrkan</t>
        </is>
      </c>
      <c r="G493" t="n">
        <v>5</v>
      </c>
      <c r="H493" t="n">
        <v>0</v>
      </c>
      <c r="I493" t="n">
        <v>0</v>
      </c>
      <c r="J493" t="n">
        <v>0</v>
      </c>
      <c r="K493" t="n">
        <v>0</v>
      </c>
      <c r="L493" t="n">
        <v>0</v>
      </c>
      <c r="M493" t="n">
        <v>0</v>
      </c>
      <c r="N493" t="n">
        <v>0</v>
      </c>
      <c r="O493" t="n">
        <v>0</v>
      </c>
      <c r="P493" t="n">
        <v>0</v>
      </c>
      <c r="Q493" t="n">
        <v>0</v>
      </c>
      <c r="R493" s="2" t="inlineStr"/>
    </row>
    <row r="494" ht="15" customHeight="1">
      <c r="A494" t="inlineStr">
        <is>
          <t>A 14629-2023</t>
        </is>
      </c>
      <c r="B494" s="1" t="n">
        <v>45013</v>
      </c>
      <c r="C494" s="1" t="n">
        <v>46119</v>
      </c>
      <c r="D494" t="inlineStr">
        <is>
          <t>SÖDERMANLANDS LÄN</t>
        </is>
      </c>
      <c r="E494" t="inlineStr">
        <is>
          <t>KATRINEHOLM</t>
        </is>
      </c>
      <c r="F494" t="inlineStr">
        <is>
          <t>Holmen skog AB</t>
        </is>
      </c>
      <c r="G494" t="n">
        <v>1.3</v>
      </c>
      <c r="H494" t="n">
        <v>0</v>
      </c>
      <c r="I494" t="n">
        <v>0</v>
      </c>
      <c r="J494" t="n">
        <v>0</v>
      </c>
      <c r="K494" t="n">
        <v>0</v>
      </c>
      <c r="L494" t="n">
        <v>0</v>
      </c>
      <c r="M494" t="n">
        <v>0</v>
      </c>
      <c r="N494" t="n">
        <v>0</v>
      </c>
      <c r="O494" t="n">
        <v>0</v>
      </c>
      <c r="P494" t="n">
        <v>0</v>
      </c>
      <c r="Q494" t="n">
        <v>0</v>
      </c>
      <c r="R494" s="2" t="inlineStr"/>
    </row>
    <row r="495" ht="15" customHeight="1">
      <c r="A495" t="inlineStr">
        <is>
          <t>A 57524-2021</t>
        </is>
      </c>
      <c r="B495" s="1" t="n">
        <v>44483</v>
      </c>
      <c r="C495" s="1" t="n">
        <v>46119</v>
      </c>
      <c r="D495" t="inlineStr">
        <is>
          <t>SÖDERMANLANDS LÄN</t>
        </is>
      </c>
      <c r="E495" t="inlineStr">
        <is>
          <t>KATRINEHOLM</t>
        </is>
      </c>
      <c r="G495" t="n">
        <v>0.4</v>
      </c>
      <c r="H495" t="n">
        <v>0</v>
      </c>
      <c r="I495" t="n">
        <v>0</v>
      </c>
      <c r="J495" t="n">
        <v>0</v>
      </c>
      <c r="K495" t="n">
        <v>0</v>
      </c>
      <c r="L495" t="n">
        <v>0</v>
      </c>
      <c r="M495" t="n">
        <v>0</v>
      </c>
      <c r="N495" t="n">
        <v>0</v>
      </c>
      <c r="O495" t="n">
        <v>0</v>
      </c>
      <c r="P495" t="n">
        <v>0</v>
      </c>
      <c r="Q495" t="n">
        <v>0</v>
      </c>
      <c r="R495" s="2" t="inlineStr"/>
    </row>
    <row r="496" ht="15" customHeight="1">
      <c r="A496" t="inlineStr">
        <is>
          <t>A 61121-2025</t>
        </is>
      </c>
      <c r="B496" s="1" t="n">
        <v>46000.46746527778</v>
      </c>
      <c r="C496" s="1" t="n">
        <v>46119</v>
      </c>
      <c r="D496" t="inlineStr">
        <is>
          <t>SÖDERMANLANDS LÄN</t>
        </is>
      </c>
      <c r="E496" t="inlineStr">
        <is>
          <t>KATRINEHOLM</t>
        </is>
      </c>
      <c r="G496" t="n">
        <v>0.2</v>
      </c>
      <c r="H496" t="n">
        <v>0</v>
      </c>
      <c r="I496" t="n">
        <v>0</v>
      </c>
      <c r="J496" t="n">
        <v>0</v>
      </c>
      <c r="K496" t="n">
        <v>0</v>
      </c>
      <c r="L496" t="n">
        <v>0</v>
      </c>
      <c r="M496" t="n">
        <v>0</v>
      </c>
      <c r="N496" t="n">
        <v>0</v>
      </c>
      <c r="O496" t="n">
        <v>0</v>
      </c>
      <c r="P496" t="n">
        <v>0</v>
      </c>
      <c r="Q496" t="n">
        <v>0</v>
      </c>
      <c r="R496" s="2" t="inlineStr"/>
    </row>
    <row r="497" ht="15" customHeight="1">
      <c r="A497" t="inlineStr">
        <is>
          <t>A 27345-2023</t>
        </is>
      </c>
      <c r="B497" s="1" t="n">
        <v>45096</v>
      </c>
      <c r="C497" s="1" t="n">
        <v>46119</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53996-2023</t>
        </is>
      </c>
      <c r="B498" s="1" t="n">
        <v>45231</v>
      </c>
      <c r="C498" s="1" t="n">
        <v>46119</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61721-2025</t>
        </is>
      </c>
      <c r="B499" s="1" t="n">
        <v>46002.57778935185</v>
      </c>
      <c r="C499" s="1" t="n">
        <v>46119</v>
      </c>
      <c r="D499" t="inlineStr">
        <is>
          <t>SÖDERMANLANDS LÄN</t>
        </is>
      </c>
      <c r="E499" t="inlineStr">
        <is>
          <t>KATRINEHOLM</t>
        </is>
      </c>
      <c r="G499" t="n">
        <v>4.5</v>
      </c>
      <c r="H499" t="n">
        <v>0</v>
      </c>
      <c r="I499" t="n">
        <v>0</v>
      </c>
      <c r="J499" t="n">
        <v>0</v>
      </c>
      <c r="K499" t="n">
        <v>0</v>
      </c>
      <c r="L499" t="n">
        <v>0</v>
      </c>
      <c r="M499" t="n">
        <v>0</v>
      </c>
      <c r="N499" t="n">
        <v>0</v>
      </c>
      <c r="O499" t="n">
        <v>0</v>
      </c>
      <c r="P499" t="n">
        <v>0</v>
      </c>
      <c r="Q499" t="n">
        <v>0</v>
      </c>
      <c r="R499" s="2" t="inlineStr"/>
    </row>
    <row r="500" ht="15" customHeight="1">
      <c r="A500" t="inlineStr">
        <is>
          <t>A 11127-2023</t>
        </is>
      </c>
      <c r="B500" s="1" t="n">
        <v>44987</v>
      </c>
      <c r="C500" s="1" t="n">
        <v>46119</v>
      </c>
      <c r="D500" t="inlineStr">
        <is>
          <t>SÖDERMANLANDS LÄN</t>
        </is>
      </c>
      <c r="E500" t="inlineStr">
        <is>
          <t>KATRINEHOLM</t>
        </is>
      </c>
      <c r="G500" t="n">
        <v>4.3</v>
      </c>
      <c r="H500" t="n">
        <v>0</v>
      </c>
      <c r="I500" t="n">
        <v>0</v>
      </c>
      <c r="J500" t="n">
        <v>0</v>
      </c>
      <c r="K500" t="n">
        <v>0</v>
      </c>
      <c r="L500" t="n">
        <v>0</v>
      </c>
      <c r="M500" t="n">
        <v>0</v>
      </c>
      <c r="N500" t="n">
        <v>0</v>
      </c>
      <c r="O500" t="n">
        <v>0</v>
      </c>
      <c r="P500" t="n">
        <v>0</v>
      </c>
      <c r="Q500" t="n">
        <v>0</v>
      </c>
      <c r="R500" s="2" t="inlineStr"/>
    </row>
    <row r="501" ht="15" customHeight="1">
      <c r="A501" t="inlineStr">
        <is>
          <t>A 37185-2023</t>
        </is>
      </c>
      <c r="B501" s="1" t="n">
        <v>45154</v>
      </c>
      <c r="C501" s="1" t="n">
        <v>46119</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24284-2024</t>
        </is>
      </c>
      <c r="B502" s="1" t="n">
        <v>45457</v>
      </c>
      <c r="C502" s="1" t="n">
        <v>46119</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66393-2021</t>
        </is>
      </c>
      <c r="B503" s="1" t="n">
        <v>44518</v>
      </c>
      <c r="C503" s="1" t="n">
        <v>46119</v>
      </c>
      <c r="D503" t="inlineStr">
        <is>
          <t>SÖDERMANLANDS LÄN</t>
        </is>
      </c>
      <c r="E503" t="inlineStr">
        <is>
          <t>KATRINEHOLM</t>
        </is>
      </c>
      <c r="F503" t="inlineStr">
        <is>
          <t>Holmen skog AB</t>
        </is>
      </c>
      <c r="G503" t="n">
        <v>0.4</v>
      </c>
      <c r="H503" t="n">
        <v>0</v>
      </c>
      <c r="I503" t="n">
        <v>0</v>
      </c>
      <c r="J503" t="n">
        <v>0</v>
      </c>
      <c r="K503" t="n">
        <v>0</v>
      </c>
      <c r="L503" t="n">
        <v>0</v>
      </c>
      <c r="M503" t="n">
        <v>0</v>
      </c>
      <c r="N503" t="n">
        <v>0</v>
      </c>
      <c r="O503" t="n">
        <v>0</v>
      </c>
      <c r="P503" t="n">
        <v>0</v>
      </c>
      <c r="Q503" t="n">
        <v>0</v>
      </c>
      <c r="R503" s="2" t="inlineStr"/>
    </row>
    <row r="504" ht="15" customHeight="1">
      <c r="A504" t="inlineStr">
        <is>
          <t>A 50840-2022</t>
        </is>
      </c>
      <c r="B504" s="1" t="n">
        <v>44862</v>
      </c>
      <c r="C504" s="1" t="n">
        <v>46119</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13113-2023</t>
        </is>
      </c>
      <c r="B505" s="1" t="n">
        <v>45002</v>
      </c>
      <c r="C505" s="1" t="n">
        <v>46119</v>
      </c>
      <c r="D505" t="inlineStr">
        <is>
          <t>SÖDERMANLANDS LÄN</t>
        </is>
      </c>
      <c r="E505" t="inlineStr">
        <is>
          <t>KATRINEHOLM</t>
        </is>
      </c>
      <c r="F505" t="inlineStr">
        <is>
          <t>Allmännings- och besparingsskogar</t>
        </is>
      </c>
      <c r="G505" t="n">
        <v>3.6</v>
      </c>
      <c r="H505" t="n">
        <v>0</v>
      </c>
      <c r="I505" t="n">
        <v>0</v>
      </c>
      <c r="J505" t="n">
        <v>0</v>
      </c>
      <c r="K505" t="n">
        <v>0</v>
      </c>
      <c r="L505" t="n">
        <v>0</v>
      </c>
      <c r="M505" t="n">
        <v>0</v>
      </c>
      <c r="N505" t="n">
        <v>0</v>
      </c>
      <c r="O505" t="n">
        <v>0</v>
      </c>
      <c r="P505" t="n">
        <v>0</v>
      </c>
      <c r="Q505" t="n">
        <v>0</v>
      </c>
      <c r="R505" s="2" t="inlineStr"/>
    </row>
    <row r="506" ht="15" customHeight="1">
      <c r="A506" t="inlineStr">
        <is>
          <t>A 14245-2024</t>
        </is>
      </c>
      <c r="B506" s="1" t="n">
        <v>45393</v>
      </c>
      <c r="C506" s="1" t="n">
        <v>46119</v>
      </c>
      <c r="D506" t="inlineStr">
        <is>
          <t>SÖDERMANLANDS LÄN</t>
        </is>
      </c>
      <c r="E506" t="inlineStr">
        <is>
          <t>KATRINEHOLM</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36832-2023</t>
        </is>
      </c>
      <c r="B507" s="1" t="n">
        <v>45153</v>
      </c>
      <c r="C507" s="1" t="n">
        <v>46119</v>
      </c>
      <c r="D507" t="inlineStr">
        <is>
          <t>SÖDERMANLANDS LÄN</t>
        </is>
      </c>
      <c r="E507" t="inlineStr">
        <is>
          <t>KATRINEHOLM</t>
        </is>
      </c>
      <c r="F507" t="inlineStr">
        <is>
          <t>Övriga Aktiebolag</t>
        </is>
      </c>
      <c r="G507" t="n">
        <v>9</v>
      </c>
      <c r="H507" t="n">
        <v>0</v>
      </c>
      <c r="I507" t="n">
        <v>0</v>
      </c>
      <c r="J507" t="n">
        <v>0</v>
      </c>
      <c r="K507" t="n">
        <v>0</v>
      </c>
      <c r="L507" t="n">
        <v>0</v>
      </c>
      <c r="M507" t="n">
        <v>0</v>
      </c>
      <c r="N507" t="n">
        <v>0</v>
      </c>
      <c r="O507" t="n">
        <v>0</v>
      </c>
      <c r="P507" t="n">
        <v>0</v>
      </c>
      <c r="Q507" t="n">
        <v>0</v>
      </c>
      <c r="R507" s="2" t="inlineStr"/>
    </row>
    <row r="508" ht="15" customHeight="1">
      <c r="A508" t="inlineStr">
        <is>
          <t>A 39052-2023</t>
        </is>
      </c>
      <c r="B508" s="1" t="n">
        <v>45163</v>
      </c>
      <c r="C508" s="1" t="n">
        <v>46119</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63945-2025</t>
        </is>
      </c>
      <c r="B509" s="1" t="n">
        <v>46010</v>
      </c>
      <c r="C509" s="1" t="n">
        <v>46119</v>
      </c>
      <c r="D509" t="inlineStr">
        <is>
          <t>SÖDERMANLANDS LÄN</t>
        </is>
      </c>
      <c r="E509" t="inlineStr">
        <is>
          <t>KATRINEHOLM</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63947-2025</t>
        </is>
      </c>
      <c r="B510" s="1" t="n">
        <v>46010</v>
      </c>
      <c r="C510" s="1" t="n">
        <v>46119</v>
      </c>
      <c r="D510" t="inlineStr">
        <is>
          <t>SÖDERMANLANDS LÄN</t>
        </is>
      </c>
      <c r="E510" t="inlineStr">
        <is>
          <t>KATRINEHOLM</t>
        </is>
      </c>
      <c r="F510" t="inlineStr">
        <is>
          <t>Allmännings- och besparingsskogar</t>
        </is>
      </c>
      <c r="G510" t="n">
        <v>4.8</v>
      </c>
      <c r="H510" t="n">
        <v>0</v>
      </c>
      <c r="I510" t="n">
        <v>0</v>
      </c>
      <c r="J510" t="n">
        <v>0</v>
      </c>
      <c r="K510" t="n">
        <v>0</v>
      </c>
      <c r="L510" t="n">
        <v>0</v>
      </c>
      <c r="M510" t="n">
        <v>0</v>
      </c>
      <c r="N510" t="n">
        <v>0</v>
      </c>
      <c r="O510" t="n">
        <v>0</v>
      </c>
      <c r="P510" t="n">
        <v>0</v>
      </c>
      <c r="Q510" t="n">
        <v>0</v>
      </c>
      <c r="R510" s="2" t="inlineStr"/>
    </row>
    <row r="511" ht="15" customHeight="1">
      <c r="A511" t="inlineStr">
        <is>
          <t>A 63949-2025</t>
        </is>
      </c>
      <c r="B511" s="1" t="n">
        <v>46010</v>
      </c>
      <c r="C511" s="1" t="n">
        <v>46119</v>
      </c>
      <c r="D511" t="inlineStr">
        <is>
          <t>SÖDERMANLANDS LÄN</t>
        </is>
      </c>
      <c r="E511" t="inlineStr">
        <is>
          <t>KATRINEHOLM</t>
        </is>
      </c>
      <c r="F511" t="inlineStr">
        <is>
          <t>Allmännings- och besparingsskogar</t>
        </is>
      </c>
      <c r="G511" t="n">
        <v>5.1</v>
      </c>
      <c r="H511" t="n">
        <v>0</v>
      </c>
      <c r="I511" t="n">
        <v>0</v>
      </c>
      <c r="J511" t="n">
        <v>0</v>
      </c>
      <c r="K511" t="n">
        <v>0</v>
      </c>
      <c r="L511" t="n">
        <v>0</v>
      </c>
      <c r="M511" t="n">
        <v>0</v>
      </c>
      <c r="N511" t="n">
        <v>0</v>
      </c>
      <c r="O511" t="n">
        <v>0</v>
      </c>
      <c r="P511" t="n">
        <v>0</v>
      </c>
      <c r="Q511" t="n">
        <v>0</v>
      </c>
      <c r="R511" s="2" t="inlineStr"/>
    </row>
    <row r="512" ht="15" customHeight="1">
      <c r="A512" t="inlineStr">
        <is>
          <t>A 63948-2025</t>
        </is>
      </c>
      <c r="B512" s="1" t="n">
        <v>46010</v>
      </c>
      <c r="C512" s="1" t="n">
        <v>46119</v>
      </c>
      <c r="D512" t="inlineStr">
        <is>
          <t>SÖDERMANLANDS LÄN</t>
        </is>
      </c>
      <c r="E512" t="inlineStr">
        <is>
          <t>KATRINEHOLM</t>
        </is>
      </c>
      <c r="F512" t="inlineStr">
        <is>
          <t>Allmännings- och besparingsskogar</t>
        </is>
      </c>
      <c r="G512" t="n">
        <v>4.9</v>
      </c>
      <c r="H512" t="n">
        <v>0</v>
      </c>
      <c r="I512" t="n">
        <v>0</v>
      </c>
      <c r="J512" t="n">
        <v>0</v>
      </c>
      <c r="K512" t="n">
        <v>0</v>
      </c>
      <c r="L512" t="n">
        <v>0</v>
      </c>
      <c r="M512" t="n">
        <v>0</v>
      </c>
      <c r="N512" t="n">
        <v>0</v>
      </c>
      <c r="O512" t="n">
        <v>0</v>
      </c>
      <c r="P512" t="n">
        <v>0</v>
      </c>
      <c r="Q512" t="n">
        <v>0</v>
      </c>
      <c r="R512" s="2" t="inlineStr"/>
    </row>
    <row r="513" ht="15" customHeight="1">
      <c r="A513" t="inlineStr">
        <is>
          <t>A 41946-2022</t>
        </is>
      </c>
      <c r="B513" s="1" t="n">
        <v>44830.38502314815</v>
      </c>
      <c r="C513" s="1" t="n">
        <v>46119</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row>
    <row r="514" ht="15" customHeight="1">
      <c r="A514" t="inlineStr">
        <is>
          <t>A 51613-2022</t>
        </is>
      </c>
      <c r="B514" s="1" t="n">
        <v>44871</v>
      </c>
      <c r="C514" s="1" t="n">
        <v>46119</v>
      </c>
      <c r="D514" t="inlineStr">
        <is>
          <t>SÖDERMANLANDS LÄN</t>
        </is>
      </c>
      <c r="E514" t="inlineStr">
        <is>
          <t>KATRINEHOLM</t>
        </is>
      </c>
      <c r="G514" t="n">
        <v>3</v>
      </c>
      <c r="H514" t="n">
        <v>0</v>
      </c>
      <c r="I514" t="n">
        <v>0</v>
      </c>
      <c r="J514" t="n">
        <v>0</v>
      </c>
      <c r="K514" t="n">
        <v>0</v>
      </c>
      <c r="L514" t="n">
        <v>0</v>
      </c>
      <c r="M514" t="n">
        <v>0</v>
      </c>
      <c r="N514" t="n">
        <v>0</v>
      </c>
      <c r="O514" t="n">
        <v>0</v>
      </c>
      <c r="P514" t="n">
        <v>0</v>
      </c>
      <c r="Q514" t="n">
        <v>0</v>
      </c>
      <c r="R514" s="2" t="inlineStr"/>
    </row>
    <row r="515" ht="15" customHeight="1">
      <c r="A515" t="inlineStr">
        <is>
          <t>A 27886-2024</t>
        </is>
      </c>
      <c r="B515" s="1" t="n">
        <v>45475</v>
      </c>
      <c r="C515" s="1" t="n">
        <v>46119</v>
      </c>
      <c r="D515" t="inlineStr">
        <is>
          <t>SÖDERMANLANDS LÄN</t>
        </is>
      </c>
      <c r="E515" t="inlineStr">
        <is>
          <t>KATRINEHOLM</t>
        </is>
      </c>
      <c r="G515" t="n">
        <v>10.3</v>
      </c>
      <c r="H515" t="n">
        <v>0</v>
      </c>
      <c r="I515" t="n">
        <v>0</v>
      </c>
      <c r="J515" t="n">
        <v>0</v>
      </c>
      <c r="K515" t="n">
        <v>0</v>
      </c>
      <c r="L515" t="n">
        <v>0</v>
      </c>
      <c r="M515" t="n">
        <v>0</v>
      </c>
      <c r="N515" t="n">
        <v>0</v>
      </c>
      <c r="O515" t="n">
        <v>0</v>
      </c>
      <c r="P515" t="n">
        <v>0</v>
      </c>
      <c r="Q515" t="n">
        <v>0</v>
      </c>
      <c r="R515" s="2" t="inlineStr"/>
    </row>
    <row r="516" ht="15" customHeight="1">
      <c r="A516" t="inlineStr">
        <is>
          <t>A 19868-2022</t>
        </is>
      </c>
      <c r="B516" s="1" t="n">
        <v>44696</v>
      </c>
      <c r="C516" s="1" t="n">
        <v>46119</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58651-2023</t>
        </is>
      </c>
      <c r="B517" s="1" t="n">
        <v>45247</v>
      </c>
      <c r="C517" s="1" t="n">
        <v>46119</v>
      </c>
      <c r="D517" t="inlineStr">
        <is>
          <t>SÖDERMANLANDS LÄN</t>
        </is>
      </c>
      <c r="E517" t="inlineStr">
        <is>
          <t>KATRINEHOLM</t>
        </is>
      </c>
      <c r="G517" t="n">
        <v>2.7</v>
      </c>
      <c r="H517" t="n">
        <v>0</v>
      </c>
      <c r="I517" t="n">
        <v>0</v>
      </c>
      <c r="J517" t="n">
        <v>0</v>
      </c>
      <c r="K517" t="n">
        <v>0</v>
      </c>
      <c r="L517" t="n">
        <v>0</v>
      </c>
      <c r="M517" t="n">
        <v>0</v>
      </c>
      <c r="N517" t="n">
        <v>0</v>
      </c>
      <c r="O517" t="n">
        <v>0</v>
      </c>
      <c r="P517" t="n">
        <v>0</v>
      </c>
      <c r="Q517" t="n">
        <v>0</v>
      </c>
      <c r="R517" s="2" t="inlineStr"/>
    </row>
    <row r="518" ht="15" customHeight="1">
      <c r="A518" t="inlineStr">
        <is>
          <t>A 8765-2023</t>
        </is>
      </c>
      <c r="B518" s="1" t="n">
        <v>44978.52131944444</v>
      </c>
      <c r="C518" s="1" t="n">
        <v>46119</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28992-2024</t>
        </is>
      </c>
      <c r="B519" s="1" t="n">
        <v>45481.49289351852</v>
      </c>
      <c r="C519" s="1" t="n">
        <v>46119</v>
      </c>
      <c r="D519" t="inlineStr">
        <is>
          <t>SÖDERMANLANDS LÄN</t>
        </is>
      </c>
      <c r="E519" t="inlineStr">
        <is>
          <t>KATRINEHOLM</t>
        </is>
      </c>
      <c r="G519" t="n">
        <v>2.3</v>
      </c>
      <c r="H519" t="n">
        <v>0</v>
      </c>
      <c r="I519" t="n">
        <v>0</v>
      </c>
      <c r="J519" t="n">
        <v>0</v>
      </c>
      <c r="K519" t="n">
        <v>0</v>
      </c>
      <c r="L519" t="n">
        <v>0</v>
      </c>
      <c r="M519" t="n">
        <v>0</v>
      </c>
      <c r="N519" t="n">
        <v>0</v>
      </c>
      <c r="O519" t="n">
        <v>0</v>
      </c>
      <c r="P519" t="n">
        <v>0</v>
      </c>
      <c r="Q519" t="n">
        <v>0</v>
      </c>
      <c r="R519" s="2" t="inlineStr"/>
    </row>
    <row r="520" ht="15" customHeight="1">
      <c r="A520" t="inlineStr">
        <is>
          <t>A 25433-2024</t>
        </is>
      </c>
      <c r="B520" s="1" t="n">
        <v>45463</v>
      </c>
      <c r="C520" s="1" t="n">
        <v>46119</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63895-2025</t>
        </is>
      </c>
      <c r="B521" s="1" t="n">
        <v>46020</v>
      </c>
      <c r="C521" s="1" t="n">
        <v>46119</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54873-2025</t>
        </is>
      </c>
      <c r="B522" s="1" t="n">
        <v>45967</v>
      </c>
      <c r="C522" s="1" t="n">
        <v>46119</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42111-2022</t>
        </is>
      </c>
      <c r="B523" s="1" t="n">
        <v>44830</v>
      </c>
      <c r="C523" s="1" t="n">
        <v>46119</v>
      </c>
      <c r="D523" t="inlineStr">
        <is>
          <t>SÖDERMANLANDS LÄN</t>
        </is>
      </c>
      <c r="E523" t="inlineStr">
        <is>
          <t>KATRINEHOLM</t>
        </is>
      </c>
      <c r="G523" t="n">
        <v>2.5</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46119</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1114-2026</t>
        </is>
      </c>
      <c r="B525" s="1" t="n">
        <v>46030.684375</v>
      </c>
      <c r="C525" s="1" t="n">
        <v>46119</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1112-2026</t>
        </is>
      </c>
      <c r="B526" s="1" t="n">
        <v>46030.68107638889</v>
      </c>
      <c r="C526" s="1" t="n">
        <v>46119</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1098-2026</t>
        </is>
      </c>
      <c r="B527" s="1" t="n">
        <v>46030.66519675926</v>
      </c>
      <c r="C527" s="1" t="n">
        <v>46119</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1106-2026</t>
        </is>
      </c>
      <c r="B528" s="1" t="n">
        <v>46030.67123842592</v>
      </c>
      <c r="C528" s="1" t="n">
        <v>46119</v>
      </c>
      <c r="D528" t="inlineStr">
        <is>
          <t>SÖDERMANLANDS LÄN</t>
        </is>
      </c>
      <c r="E528" t="inlineStr">
        <is>
          <t>KATRINEHOLM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40402-2022</t>
        </is>
      </c>
      <c r="B529" s="1" t="n">
        <v>44823.44353009259</v>
      </c>
      <c r="C529" s="1" t="n">
        <v>46119</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27334-2023</t>
        </is>
      </c>
      <c r="B530" s="1" t="n">
        <v>45096</v>
      </c>
      <c r="C530" s="1" t="n">
        <v>46119</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7704-2023</t>
        </is>
      </c>
      <c r="B531" s="1" t="n">
        <v>44968</v>
      </c>
      <c r="C531" s="1" t="n">
        <v>46119</v>
      </c>
      <c r="D531" t="inlineStr">
        <is>
          <t>SÖDERMANLANDS LÄN</t>
        </is>
      </c>
      <c r="E531" t="inlineStr">
        <is>
          <t>KATRINEHOLM</t>
        </is>
      </c>
      <c r="G531" t="n">
        <v>7.3</v>
      </c>
      <c r="H531" t="n">
        <v>0</v>
      </c>
      <c r="I531" t="n">
        <v>0</v>
      </c>
      <c r="J531" t="n">
        <v>0</v>
      </c>
      <c r="K531" t="n">
        <v>0</v>
      </c>
      <c r="L531" t="n">
        <v>0</v>
      </c>
      <c r="M531" t="n">
        <v>0</v>
      </c>
      <c r="N531" t="n">
        <v>0</v>
      </c>
      <c r="O531" t="n">
        <v>0</v>
      </c>
      <c r="P531" t="n">
        <v>0</v>
      </c>
      <c r="Q531" t="n">
        <v>0</v>
      </c>
      <c r="R531" s="2" t="inlineStr"/>
    </row>
    <row r="532" ht="15" customHeight="1">
      <c r="A532" t="inlineStr">
        <is>
          <t>A 58528-2024</t>
        </is>
      </c>
      <c r="B532" s="1" t="n">
        <v>45635.44527777778</v>
      </c>
      <c r="C532" s="1" t="n">
        <v>46119</v>
      </c>
      <c r="D532" t="inlineStr">
        <is>
          <t>SÖDERMANLANDS LÄN</t>
        </is>
      </c>
      <c r="E532" t="inlineStr">
        <is>
          <t>KATRINEHOLM</t>
        </is>
      </c>
      <c r="G532" t="n">
        <v>2.4</v>
      </c>
      <c r="H532" t="n">
        <v>0</v>
      </c>
      <c r="I532" t="n">
        <v>0</v>
      </c>
      <c r="J532" t="n">
        <v>0</v>
      </c>
      <c r="K532" t="n">
        <v>0</v>
      </c>
      <c r="L532" t="n">
        <v>0</v>
      </c>
      <c r="M532" t="n">
        <v>0</v>
      </c>
      <c r="N532" t="n">
        <v>0</v>
      </c>
      <c r="O532" t="n">
        <v>0</v>
      </c>
      <c r="P532" t="n">
        <v>0</v>
      </c>
      <c r="Q532" t="n">
        <v>0</v>
      </c>
      <c r="R532" s="2" t="inlineStr"/>
    </row>
    <row r="533" ht="15" customHeight="1">
      <c r="A533" t="inlineStr">
        <is>
          <t>A 14478-2023</t>
        </is>
      </c>
      <c r="B533" s="1" t="n">
        <v>45012.66421296296</v>
      </c>
      <c r="C533" s="1" t="n">
        <v>46119</v>
      </c>
      <c r="D533" t="inlineStr">
        <is>
          <t>SÖDERMANLANDS LÄN</t>
        </is>
      </c>
      <c r="E533" t="inlineStr">
        <is>
          <t>KATRINEHOLM</t>
        </is>
      </c>
      <c r="G533" t="n">
        <v>3.9</v>
      </c>
      <c r="H533" t="n">
        <v>0</v>
      </c>
      <c r="I533" t="n">
        <v>0</v>
      </c>
      <c r="J533" t="n">
        <v>0</v>
      </c>
      <c r="K533" t="n">
        <v>0</v>
      </c>
      <c r="L533" t="n">
        <v>0</v>
      </c>
      <c r="M533" t="n">
        <v>0</v>
      </c>
      <c r="N533" t="n">
        <v>0</v>
      </c>
      <c r="O533" t="n">
        <v>0</v>
      </c>
      <c r="P533" t="n">
        <v>0</v>
      </c>
      <c r="Q533" t="n">
        <v>0</v>
      </c>
      <c r="R533" s="2" t="inlineStr"/>
    </row>
    <row r="534" ht="15" customHeight="1">
      <c r="A534" t="inlineStr">
        <is>
          <t>A 39055-2022</t>
        </is>
      </c>
      <c r="B534" s="1" t="n">
        <v>44817</v>
      </c>
      <c r="C534" s="1" t="n">
        <v>46119</v>
      </c>
      <c r="D534" t="inlineStr">
        <is>
          <t>SÖDERMANLANDS LÄN</t>
        </is>
      </c>
      <c r="E534" t="inlineStr">
        <is>
          <t>KATRINEHOLM</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1668-2026</t>
        </is>
      </c>
      <c r="B535" s="1" t="n">
        <v>46034.55986111111</v>
      </c>
      <c r="C535" s="1" t="n">
        <v>46119</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7056-2022</t>
        </is>
      </c>
      <c r="B536" s="1" t="n">
        <v>44603</v>
      </c>
      <c r="C536" s="1" t="n">
        <v>46119</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12937-2023</t>
        </is>
      </c>
      <c r="B537" s="1" t="n">
        <v>45001</v>
      </c>
      <c r="C537" s="1" t="n">
        <v>46119</v>
      </c>
      <c r="D537" t="inlineStr">
        <is>
          <t>SÖDERMANLANDS LÄN</t>
        </is>
      </c>
      <c r="E537" t="inlineStr">
        <is>
          <t>KATRINEHOLM</t>
        </is>
      </c>
      <c r="G537" t="n">
        <v>0.9</v>
      </c>
      <c r="H537" t="n">
        <v>0</v>
      </c>
      <c r="I537" t="n">
        <v>0</v>
      </c>
      <c r="J537" t="n">
        <v>0</v>
      </c>
      <c r="K537" t="n">
        <v>0</v>
      </c>
      <c r="L537" t="n">
        <v>0</v>
      </c>
      <c r="M537" t="n">
        <v>0</v>
      </c>
      <c r="N537" t="n">
        <v>0</v>
      </c>
      <c r="O537" t="n">
        <v>0</v>
      </c>
      <c r="P537" t="n">
        <v>0</v>
      </c>
      <c r="Q537" t="n">
        <v>0</v>
      </c>
      <c r="R537" s="2" t="inlineStr"/>
    </row>
    <row r="538" ht="15" customHeight="1">
      <c r="A538" t="inlineStr">
        <is>
          <t>A 11130-2026</t>
        </is>
      </c>
      <c r="B538" s="1" t="n">
        <v>46079.70384259259</v>
      </c>
      <c r="C538" s="1" t="n">
        <v>46119</v>
      </c>
      <c r="D538" t="inlineStr">
        <is>
          <t>SÖDERMANLANDS LÄN</t>
        </is>
      </c>
      <c r="E538" t="inlineStr">
        <is>
          <t>KATRINEHOLM</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42896-2024</t>
        </is>
      </c>
      <c r="B539" s="1" t="n">
        <v>45566.82973379629</v>
      </c>
      <c r="C539" s="1" t="n">
        <v>46119</v>
      </c>
      <c r="D539" t="inlineStr">
        <is>
          <t>SÖDERMANLANDS LÄN</t>
        </is>
      </c>
      <c r="E539" t="inlineStr">
        <is>
          <t>KATRINEHOLM</t>
        </is>
      </c>
      <c r="G539" t="n">
        <v>4.3</v>
      </c>
      <c r="H539" t="n">
        <v>0</v>
      </c>
      <c r="I539" t="n">
        <v>0</v>
      </c>
      <c r="J539" t="n">
        <v>0</v>
      </c>
      <c r="K539" t="n">
        <v>0</v>
      </c>
      <c r="L539" t="n">
        <v>0</v>
      </c>
      <c r="M539" t="n">
        <v>0</v>
      </c>
      <c r="N539" t="n">
        <v>0</v>
      </c>
      <c r="O539" t="n">
        <v>0</v>
      </c>
      <c r="P539" t="n">
        <v>0</v>
      </c>
      <c r="Q539" t="n">
        <v>0</v>
      </c>
      <c r="R539" s="2" t="inlineStr"/>
    </row>
    <row r="540" ht="15" customHeight="1">
      <c r="A540" t="inlineStr">
        <is>
          <t>A 10891-2026</t>
        </is>
      </c>
      <c r="B540" s="1" t="n">
        <v>46078.78545138889</v>
      </c>
      <c r="C540" s="1" t="n">
        <v>46119</v>
      </c>
      <c r="D540" t="inlineStr">
        <is>
          <t>SÖDERMANLANDS LÄN</t>
        </is>
      </c>
      <c r="E540" t="inlineStr">
        <is>
          <t>KATRINEHOLM</t>
        </is>
      </c>
      <c r="F540" t="inlineStr">
        <is>
          <t>Allmännings- och besparingsskogar</t>
        </is>
      </c>
      <c r="G540" t="n">
        <v>1.6</v>
      </c>
      <c r="H540" t="n">
        <v>0</v>
      </c>
      <c r="I540" t="n">
        <v>0</v>
      </c>
      <c r="J540" t="n">
        <v>0</v>
      </c>
      <c r="K540" t="n">
        <v>0</v>
      </c>
      <c r="L540" t="n">
        <v>0</v>
      </c>
      <c r="M540" t="n">
        <v>0</v>
      </c>
      <c r="N540" t="n">
        <v>0</v>
      </c>
      <c r="O540" t="n">
        <v>0</v>
      </c>
      <c r="P540" t="n">
        <v>0</v>
      </c>
      <c r="Q540" t="n">
        <v>0</v>
      </c>
      <c r="R540" s="2" t="inlineStr"/>
    </row>
    <row r="541" ht="15" customHeight="1">
      <c r="A541" t="inlineStr">
        <is>
          <t>A 29008-2024</t>
        </is>
      </c>
      <c r="B541" s="1" t="n">
        <v>45481</v>
      </c>
      <c r="C541" s="1" t="n">
        <v>46119</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62419-2023</t>
        </is>
      </c>
      <c r="B542" s="1" t="n">
        <v>45268</v>
      </c>
      <c r="C542" s="1" t="n">
        <v>46119</v>
      </c>
      <c r="D542" t="inlineStr">
        <is>
          <t>SÖDERMANLANDS LÄN</t>
        </is>
      </c>
      <c r="E542" t="inlineStr">
        <is>
          <t>KATRINEHOLM</t>
        </is>
      </c>
      <c r="G542" t="n">
        <v>9</v>
      </c>
      <c r="H542" t="n">
        <v>0</v>
      </c>
      <c r="I542" t="n">
        <v>0</v>
      </c>
      <c r="J542" t="n">
        <v>0</v>
      </c>
      <c r="K542" t="n">
        <v>0</v>
      </c>
      <c r="L542" t="n">
        <v>0</v>
      </c>
      <c r="M542" t="n">
        <v>0</v>
      </c>
      <c r="N542" t="n">
        <v>0</v>
      </c>
      <c r="O542" t="n">
        <v>0</v>
      </c>
      <c r="P542" t="n">
        <v>0</v>
      </c>
      <c r="Q542" t="n">
        <v>0</v>
      </c>
      <c r="R542" s="2" t="inlineStr"/>
    </row>
    <row r="543" ht="15" customHeight="1">
      <c r="A543" t="inlineStr">
        <is>
          <t>A 10892-2026</t>
        </is>
      </c>
      <c r="B543" s="1" t="n">
        <v>46078.8040625</v>
      </c>
      <c r="C543" s="1" t="n">
        <v>46119</v>
      </c>
      <c r="D543" t="inlineStr">
        <is>
          <t>SÖDERMANLANDS LÄN</t>
        </is>
      </c>
      <c r="E543" t="inlineStr">
        <is>
          <t>KATRINEHOLM</t>
        </is>
      </c>
      <c r="F543" t="inlineStr">
        <is>
          <t>Allmännings- och besparingsskogar</t>
        </is>
      </c>
      <c r="G543" t="n">
        <v>3</v>
      </c>
      <c r="H543" t="n">
        <v>0</v>
      </c>
      <c r="I543" t="n">
        <v>0</v>
      </c>
      <c r="J543" t="n">
        <v>0</v>
      </c>
      <c r="K543" t="n">
        <v>0</v>
      </c>
      <c r="L543" t="n">
        <v>0</v>
      </c>
      <c r="M543" t="n">
        <v>0</v>
      </c>
      <c r="N543" t="n">
        <v>0</v>
      </c>
      <c r="O543" t="n">
        <v>0</v>
      </c>
      <c r="P543" t="n">
        <v>0</v>
      </c>
      <c r="Q543" t="n">
        <v>0</v>
      </c>
      <c r="R543" s="2" t="inlineStr"/>
    </row>
    <row r="544" ht="15" customHeight="1">
      <c r="A544" t="inlineStr">
        <is>
          <t>A 10721-2026</t>
        </is>
      </c>
      <c r="B544" s="1" t="n">
        <v>46078.46894675926</v>
      </c>
      <c r="C544" s="1" t="n">
        <v>46119</v>
      </c>
      <c r="D544" t="inlineStr">
        <is>
          <t>SÖDERMANLANDS LÄN</t>
        </is>
      </c>
      <c r="E544" t="inlineStr">
        <is>
          <t>KATRINEHOLM</t>
        </is>
      </c>
      <c r="F544" t="inlineStr">
        <is>
          <t>Allmännings- och besparingsskogar</t>
        </is>
      </c>
      <c r="G544" t="n">
        <v>1.8</v>
      </c>
      <c r="H544" t="n">
        <v>0</v>
      </c>
      <c r="I544" t="n">
        <v>0</v>
      </c>
      <c r="J544" t="n">
        <v>0</v>
      </c>
      <c r="K544" t="n">
        <v>0</v>
      </c>
      <c r="L544" t="n">
        <v>0</v>
      </c>
      <c r="M544" t="n">
        <v>0</v>
      </c>
      <c r="N544" t="n">
        <v>0</v>
      </c>
      <c r="O544" t="n">
        <v>0</v>
      </c>
      <c r="P544" t="n">
        <v>0</v>
      </c>
      <c r="Q544" t="n">
        <v>0</v>
      </c>
      <c r="R544" s="2" t="inlineStr"/>
    </row>
    <row r="545" ht="15" customHeight="1">
      <c r="A545" t="inlineStr">
        <is>
          <t>A 53722-2023</t>
        </is>
      </c>
      <c r="B545" s="1" t="n">
        <v>45230</v>
      </c>
      <c r="C545" s="1" t="n">
        <v>46119</v>
      </c>
      <c r="D545" t="inlineStr">
        <is>
          <t>SÖDERMANLANDS LÄN</t>
        </is>
      </c>
      <c r="E545" t="inlineStr">
        <is>
          <t>KATRINEHOLM</t>
        </is>
      </c>
      <c r="F545" t="inlineStr">
        <is>
          <t>Allmännings- och besparingsskogar</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2473-2026</t>
        </is>
      </c>
      <c r="B546" s="1" t="n">
        <v>46037.37704861111</v>
      </c>
      <c r="C546" s="1" t="n">
        <v>46119</v>
      </c>
      <c r="D546" t="inlineStr">
        <is>
          <t>SÖDERMANLANDS LÄN</t>
        </is>
      </c>
      <c r="E546" t="inlineStr">
        <is>
          <t>KATRINEHOLM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10893-2026</t>
        </is>
      </c>
      <c r="B547" s="1" t="n">
        <v>46078.81072916667</v>
      </c>
      <c r="C547" s="1" t="n">
        <v>46119</v>
      </c>
      <c r="D547" t="inlineStr">
        <is>
          <t>SÖDERMANLANDS LÄN</t>
        </is>
      </c>
      <c r="E547" t="inlineStr">
        <is>
          <t>KATRINEHOLM</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38869-2024</t>
        </is>
      </c>
      <c r="B548" s="1" t="n">
        <v>45547</v>
      </c>
      <c r="C548" s="1" t="n">
        <v>46119</v>
      </c>
      <c r="D548" t="inlineStr">
        <is>
          <t>SÖDERMANLANDS LÄN</t>
        </is>
      </c>
      <c r="E548" t="inlineStr">
        <is>
          <t>KATRINEHOLM</t>
        </is>
      </c>
      <c r="G548" t="n">
        <v>2.2</v>
      </c>
      <c r="H548" t="n">
        <v>0</v>
      </c>
      <c r="I548" t="n">
        <v>0</v>
      </c>
      <c r="J548" t="n">
        <v>0</v>
      </c>
      <c r="K548" t="n">
        <v>0</v>
      </c>
      <c r="L548" t="n">
        <v>0</v>
      </c>
      <c r="M548" t="n">
        <v>0</v>
      </c>
      <c r="N548" t="n">
        <v>0</v>
      </c>
      <c r="O548" t="n">
        <v>0</v>
      </c>
      <c r="P548" t="n">
        <v>0</v>
      </c>
      <c r="Q548" t="n">
        <v>0</v>
      </c>
      <c r="R548" s="2" t="inlineStr"/>
    </row>
    <row r="549" ht="15" customHeight="1">
      <c r="A549" t="inlineStr">
        <is>
          <t>A 20214-2025</t>
        </is>
      </c>
      <c r="B549" s="1" t="n">
        <v>45772.63540509259</v>
      </c>
      <c r="C549" s="1" t="n">
        <v>46119</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62140-2022</t>
        </is>
      </c>
      <c r="B550" s="1" t="n">
        <v>44922</v>
      </c>
      <c r="C550" s="1" t="n">
        <v>46119</v>
      </c>
      <c r="D550" t="inlineStr">
        <is>
          <t>SÖDERMANLANDS LÄN</t>
        </is>
      </c>
      <c r="E550" t="inlineStr">
        <is>
          <t>KATRINEHOLM</t>
        </is>
      </c>
      <c r="F550" t="inlineStr">
        <is>
          <t>Övriga Aktiebolag</t>
        </is>
      </c>
      <c r="G550" t="n">
        <v>2.4</v>
      </c>
      <c r="H550" t="n">
        <v>0</v>
      </c>
      <c r="I550" t="n">
        <v>0</v>
      </c>
      <c r="J550" t="n">
        <v>0</v>
      </c>
      <c r="K550" t="n">
        <v>0</v>
      </c>
      <c r="L550" t="n">
        <v>0</v>
      </c>
      <c r="M550" t="n">
        <v>0</v>
      </c>
      <c r="N550" t="n">
        <v>0</v>
      </c>
      <c r="O550" t="n">
        <v>0</v>
      </c>
      <c r="P550" t="n">
        <v>0</v>
      </c>
      <c r="Q550" t="n">
        <v>0</v>
      </c>
      <c r="R550" s="2" t="inlineStr"/>
    </row>
    <row r="551" ht="15" customHeight="1">
      <c r="A551" t="inlineStr">
        <is>
          <t>A 27375-2024</t>
        </is>
      </c>
      <c r="B551" s="1" t="n">
        <v>45473.87645833333</v>
      </c>
      <c r="C551" s="1" t="n">
        <v>46119</v>
      </c>
      <c r="D551" t="inlineStr">
        <is>
          <t>SÖDERMANLANDS LÄN</t>
        </is>
      </c>
      <c r="E551" t="inlineStr">
        <is>
          <t>KATRINEHOLM</t>
        </is>
      </c>
      <c r="F551" t="inlineStr">
        <is>
          <t>Kommuner</t>
        </is>
      </c>
      <c r="G551" t="n">
        <v>1.9</v>
      </c>
      <c r="H551" t="n">
        <v>0</v>
      </c>
      <c r="I551" t="n">
        <v>0</v>
      </c>
      <c r="J551" t="n">
        <v>0</v>
      </c>
      <c r="K551" t="n">
        <v>0</v>
      </c>
      <c r="L551" t="n">
        <v>0</v>
      </c>
      <c r="M551" t="n">
        <v>0</v>
      </c>
      <c r="N551" t="n">
        <v>0</v>
      </c>
      <c r="O551" t="n">
        <v>0</v>
      </c>
      <c r="P551" t="n">
        <v>0</v>
      </c>
      <c r="Q551" t="n">
        <v>0</v>
      </c>
      <c r="R551" s="2" t="inlineStr"/>
    </row>
    <row r="552" ht="15" customHeight="1">
      <c r="A552" t="inlineStr">
        <is>
          <t>A 7867-2024</t>
        </is>
      </c>
      <c r="B552" s="1" t="n">
        <v>45350.32991898148</v>
      </c>
      <c r="C552" s="1" t="n">
        <v>46119</v>
      </c>
      <c r="D552" t="inlineStr">
        <is>
          <t>SÖDERMANLANDS LÄN</t>
        </is>
      </c>
      <c r="E552" t="inlineStr">
        <is>
          <t>KATRINEHOLM</t>
        </is>
      </c>
      <c r="F552" t="inlineStr">
        <is>
          <t>Kyrkan</t>
        </is>
      </c>
      <c r="G552" t="n">
        <v>3.3</v>
      </c>
      <c r="H552" t="n">
        <v>0</v>
      </c>
      <c r="I552" t="n">
        <v>0</v>
      </c>
      <c r="J552" t="n">
        <v>0</v>
      </c>
      <c r="K552" t="n">
        <v>0</v>
      </c>
      <c r="L552" t="n">
        <v>0</v>
      </c>
      <c r="M552" t="n">
        <v>0</v>
      </c>
      <c r="N552" t="n">
        <v>0</v>
      </c>
      <c r="O552" t="n">
        <v>0</v>
      </c>
      <c r="P552" t="n">
        <v>0</v>
      </c>
      <c r="Q552" t="n">
        <v>0</v>
      </c>
      <c r="R552" s="2" t="inlineStr"/>
    </row>
    <row r="553" ht="15" customHeight="1">
      <c r="A553" t="inlineStr">
        <is>
          <t>A 8957-2024</t>
        </is>
      </c>
      <c r="B553" s="1" t="n">
        <v>45357.45089120371</v>
      </c>
      <c r="C553" s="1" t="n">
        <v>46119</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2645-2026</t>
        </is>
      </c>
      <c r="B554" s="1" t="n">
        <v>46037.62321759259</v>
      </c>
      <c r="C554" s="1" t="n">
        <v>46119</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2672-2026</t>
        </is>
      </c>
      <c r="B555" s="1" t="n">
        <v>46037</v>
      </c>
      <c r="C555" s="1" t="n">
        <v>46119</v>
      </c>
      <c r="D555" t="inlineStr">
        <is>
          <t>SÖDERMANLANDS LÄN</t>
        </is>
      </c>
      <c r="E555" t="inlineStr">
        <is>
          <t>KATRINEHOLM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23341-2023</t>
        </is>
      </c>
      <c r="B556" s="1" t="n">
        <v>45076</v>
      </c>
      <c r="C556" s="1" t="n">
        <v>46119</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2913-2026</t>
        </is>
      </c>
      <c r="B557" s="1" t="n">
        <v>46038.56913194444</v>
      </c>
      <c r="C557" s="1" t="n">
        <v>46119</v>
      </c>
      <c r="D557" t="inlineStr">
        <is>
          <t>SÖDERMANLANDS LÄN</t>
        </is>
      </c>
      <c r="E557" t="inlineStr">
        <is>
          <t>KATRINEHOLM</t>
        </is>
      </c>
      <c r="F557" t="inlineStr">
        <is>
          <t>Övriga Aktiebolag</t>
        </is>
      </c>
      <c r="G557" t="n">
        <v>6.2</v>
      </c>
      <c r="H557" t="n">
        <v>0</v>
      </c>
      <c r="I557" t="n">
        <v>0</v>
      </c>
      <c r="J557" t="n">
        <v>0</v>
      </c>
      <c r="K557" t="n">
        <v>0</v>
      </c>
      <c r="L557" t="n">
        <v>0</v>
      </c>
      <c r="M557" t="n">
        <v>0</v>
      </c>
      <c r="N557" t="n">
        <v>0</v>
      </c>
      <c r="O557" t="n">
        <v>0</v>
      </c>
      <c r="P557" t="n">
        <v>0</v>
      </c>
      <c r="Q557" t="n">
        <v>0</v>
      </c>
      <c r="R557" s="2" t="inlineStr"/>
    </row>
    <row r="558" ht="15" customHeight="1">
      <c r="A558" t="inlineStr">
        <is>
          <t>A 60677-2021</t>
        </is>
      </c>
      <c r="B558" s="1" t="n">
        <v>44495</v>
      </c>
      <c r="C558" s="1" t="n">
        <v>46119</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11621-2026</t>
        </is>
      </c>
      <c r="B559" s="1" t="n">
        <v>46084.46734953704</v>
      </c>
      <c r="C559" s="1" t="n">
        <v>46119</v>
      </c>
      <c r="D559" t="inlineStr">
        <is>
          <t>SÖDERMANLANDS LÄN</t>
        </is>
      </c>
      <c r="E559" t="inlineStr">
        <is>
          <t>KATRINEHOLM</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3986-2024</t>
        </is>
      </c>
      <c r="B560" s="1" t="n">
        <v>45322</v>
      </c>
      <c r="C560" s="1" t="n">
        <v>46119</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11666-2026</t>
        </is>
      </c>
      <c r="B561" s="1" t="n">
        <v>46084.55381944445</v>
      </c>
      <c r="C561" s="1" t="n">
        <v>46119</v>
      </c>
      <c r="D561" t="inlineStr">
        <is>
          <t>SÖDERMANLANDS LÄN</t>
        </is>
      </c>
      <c r="E561" t="inlineStr">
        <is>
          <t>KATRINEHOLM</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11677-2026</t>
        </is>
      </c>
      <c r="B562" s="1" t="n">
        <v>46084.56711805556</v>
      </c>
      <c r="C562" s="1" t="n">
        <v>46119</v>
      </c>
      <c r="D562" t="inlineStr">
        <is>
          <t>SÖDERMANLANDS LÄN</t>
        </is>
      </c>
      <c r="E562" t="inlineStr">
        <is>
          <t>KATRINEHOLM</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3939-2022</t>
        </is>
      </c>
      <c r="B563" s="1" t="n">
        <v>44587</v>
      </c>
      <c r="C563" s="1" t="n">
        <v>46119</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2683-2025</t>
        </is>
      </c>
      <c r="B564" s="1" t="n">
        <v>45677</v>
      </c>
      <c r="C564" s="1" t="n">
        <v>46119</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3317-2023</t>
        </is>
      </c>
      <c r="B565" s="1" t="n">
        <v>44945</v>
      </c>
      <c r="C565" s="1" t="n">
        <v>46119</v>
      </c>
      <c r="D565" t="inlineStr">
        <is>
          <t>SÖDERMANLANDS LÄN</t>
        </is>
      </c>
      <c r="E565" t="inlineStr">
        <is>
          <t>KATRINEHOLM</t>
        </is>
      </c>
      <c r="G565" t="n">
        <v>3.2</v>
      </c>
      <c r="H565" t="n">
        <v>0</v>
      </c>
      <c r="I565" t="n">
        <v>0</v>
      </c>
      <c r="J565" t="n">
        <v>0</v>
      </c>
      <c r="K565" t="n">
        <v>0</v>
      </c>
      <c r="L565" t="n">
        <v>0</v>
      </c>
      <c r="M565" t="n">
        <v>0</v>
      </c>
      <c r="N565" t="n">
        <v>0</v>
      </c>
      <c r="O565" t="n">
        <v>0</v>
      </c>
      <c r="P565" t="n">
        <v>0</v>
      </c>
      <c r="Q565" t="n">
        <v>0</v>
      </c>
      <c r="R565" s="2" t="inlineStr"/>
    </row>
    <row r="566" ht="15" customHeight="1">
      <c r="A566" t="inlineStr">
        <is>
          <t>A 32944-2023</t>
        </is>
      </c>
      <c r="B566" s="1" t="n">
        <v>45125</v>
      </c>
      <c r="C566" s="1" t="n">
        <v>46119</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29198-2023</t>
        </is>
      </c>
      <c r="B567" s="1" t="n">
        <v>45105</v>
      </c>
      <c r="C567" s="1" t="n">
        <v>46119</v>
      </c>
      <c r="D567" t="inlineStr">
        <is>
          <t>SÖDERMANLANDS LÄN</t>
        </is>
      </c>
      <c r="E567" t="inlineStr">
        <is>
          <t>KATRINEHOLM</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56661-2021</t>
        </is>
      </c>
      <c r="B568" s="1" t="n">
        <v>44481.24327546296</v>
      </c>
      <c r="C568" s="1" t="n">
        <v>46119</v>
      </c>
      <c r="D568" t="inlineStr">
        <is>
          <t>SÖDERMANLANDS LÄN</t>
        </is>
      </c>
      <c r="E568" t="inlineStr">
        <is>
          <t>KATRINEHOLM</t>
        </is>
      </c>
      <c r="G568" t="n">
        <v>5.8</v>
      </c>
      <c r="H568" t="n">
        <v>0</v>
      </c>
      <c r="I568" t="n">
        <v>0</v>
      </c>
      <c r="J568" t="n">
        <v>0</v>
      </c>
      <c r="K568" t="n">
        <v>0</v>
      </c>
      <c r="L568" t="n">
        <v>0</v>
      </c>
      <c r="M568" t="n">
        <v>0</v>
      </c>
      <c r="N568" t="n">
        <v>0</v>
      </c>
      <c r="O568" t="n">
        <v>0</v>
      </c>
      <c r="P568" t="n">
        <v>0</v>
      </c>
      <c r="Q568" t="n">
        <v>0</v>
      </c>
      <c r="R568" s="2" t="inlineStr"/>
    </row>
    <row r="569" ht="15" customHeight="1">
      <c r="A569" t="inlineStr">
        <is>
          <t>A 45246-2023</t>
        </is>
      </c>
      <c r="B569" s="1" t="n">
        <v>45191</v>
      </c>
      <c r="C569" s="1" t="n">
        <v>46119</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55171-2023</t>
        </is>
      </c>
      <c r="B570" s="1" t="n">
        <v>45231</v>
      </c>
      <c r="C570" s="1" t="n">
        <v>46119</v>
      </c>
      <c r="D570" t="inlineStr">
        <is>
          <t>SÖDERMANLANDS LÄN</t>
        </is>
      </c>
      <c r="E570" t="inlineStr">
        <is>
          <t>KATRINEHOLM</t>
        </is>
      </c>
      <c r="G570" t="n">
        <v>4.2</v>
      </c>
      <c r="H570" t="n">
        <v>0</v>
      </c>
      <c r="I570" t="n">
        <v>0</v>
      </c>
      <c r="J570" t="n">
        <v>0</v>
      </c>
      <c r="K570" t="n">
        <v>0</v>
      </c>
      <c r="L570" t="n">
        <v>0</v>
      </c>
      <c r="M570" t="n">
        <v>0</v>
      </c>
      <c r="N570" t="n">
        <v>0</v>
      </c>
      <c r="O570" t="n">
        <v>0</v>
      </c>
      <c r="P570" t="n">
        <v>0</v>
      </c>
      <c r="Q570" t="n">
        <v>0</v>
      </c>
      <c r="R570" s="2" t="inlineStr"/>
    </row>
    <row r="571" ht="15" customHeight="1">
      <c r="A571" t="inlineStr">
        <is>
          <t>A 27376-2024</t>
        </is>
      </c>
      <c r="B571" s="1" t="n">
        <v>45473.88313657408</v>
      </c>
      <c r="C571" s="1" t="n">
        <v>46119</v>
      </c>
      <c r="D571" t="inlineStr">
        <is>
          <t>SÖDERMANLANDS LÄN</t>
        </is>
      </c>
      <c r="E571" t="inlineStr">
        <is>
          <t>KATRINEHOLM</t>
        </is>
      </c>
      <c r="F571" t="inlineStr">
        <is>
          <t>Kommuner</t>
        </is>
      </c>
      <c r="G571" t="n">
        <v>2.8</v>
      </c>
      <c r="H571" t="n">
        <v>0</v>
      </c>
      <c r="I571" t="n">
        <v>0</v>
      </c>
      <c r="J571" t="n">
        <v>0</v>
      </c>
      <c r="K571" t="n">
        <v>0</v>
      </c>
      <c r="L571" t="n">
        <v>0</v>
      </c>
      <c r="M571" t="n">
        <v>0</v>
      </c>
      <c r="N571" t="n">
        <v>0</v>
      </c>
      <c r="O571" t="n">
        <v>0</v>
      </c>
      <c r="P571" t="n">
        <v>0</v>
      </c>
      <c r="Q571" t="n">
        <v>0</v>
      </c>
      <c r="R571" s="2" t="inlineStr"/>
    </row>
    <row r="572" ht="15" customHeight="1">
      <c r="A572" t="inlineStr">
        <is>
          <t>A 48097-2023</t>
        </is>
      </c>
      <c r="B572" s="1" t="n">
        <v>45205.31987268518</v>
      </c>
      <c r="C572" s="1" t="n">
        <v>46119</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7753-2024</t>
        </is>
      </c>
      <c r="B573" s="1" t="n">
        <v>45348</v>
      </c>
      <c r="C573" s="1" t="n">
        <v>46119</v>
      </c>
      <c r="D573" t="inlineStr">
        <is>
          <t>SÖDERMANLANDS LÄN</t>
        </is>
      </c>
      <c r="E573" t="inlineStr">
        <is>
          <t>KATRINEHOLM</t>
        </is>
      </c>
      <c r="G573" t="n">
        <v>13.4</v>
      </c>
      <c r="H573" t="n">
        <v>0</v>
      </c>
      <c r="I573" t="n">
        <v>0</v>
      </c>
      <c r="J573" t="n">
        <v>0</v>
      </c>
      <c r="K573" t="n">
        <v>0</v>
      </c>
      <c r="L573" t="n">
        <v>0</v>
      </c>
      <c r="M573" t="n">
        <v>0</v>
      </c>
      <c r="N573" t="n">
        <v>0</v>
      </c>
      <c r="O573" t="n">
        <v>0</v>
      </c>
      <c r="P573" t="n">
        <v>0</v>
      </c>
      <c r="Q573" t="n">
        <v>0</v>
      </c>
      <c r="R573" s="2" t="inlineStr"/>
    </row>
    <row r="574" ht="15" customHeight="1">
      <c r="A574" t="inlineStr">
        <is>
          <t>A 61915-2021</t>
        </is>
      </c>
      <c r="B574" s="1" t="n">
        <v>44502.36780092592</v>
      </c>
      <c r="C574" s="1" t="n">
        <v>46119</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55795-2023</t>
        </is>
      </c>
      <c r="B575" s="1" t="n">
        <v>45239.54861111111</v>
      </c>
      <c r="C575" s="1" t="n">
        <v>46119</v>
      </c>
      <c r="D575" t="inlineStr">
        <is>
          <t>SÖDERMANLANDS LÄN</t>
        </is>
      </c>
      <c r="E575" t="inlineStr">
        <is>
          <t>KATRINEHOLM</t>
        </is>
      </c>
      <c r="G575" t="n">
        <v>7</v>
      </c>
      <c r="H575" t="n">
        <v>0</v>
      </c>
      <c r="I575" t="n">
        <v>0</v>
      </c>
      <c r="J575" t="n">
        <v>0</v>
      </c>
      <c r="K575" t="n">
        <v>0</v>
      </c>
      <c r="L575" t="n">
        <v>0</v>
      </c>
      <c r="M575" t="n">
        <v>0</v>
      </c>
      <c r="N575" t="n">
        <v>0</v>
      </c>
      <c r="O575" t="n">
        <v>0</v>
      </c>
      <c r="P575" t="n">
        <v>0</v>
      </c>
      <c r="Q575" t="n">
        <v>0</v>
      </c>
      <c r="R575" s="2" t="inlineStr"/>
    </row>
    <row r="576" ht="15" customHeight="1">
      <c r="A576" t="inlineStr">
        <is>
          <t>A 20768-2022</t>
        </is>
      </c>
      <c r="B576" s="1" t="n">
        <v>44701.36431712963</v>
      </c>
      <c r="C576" s="1" t="n">
        <v>46119</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55846-2022</t>
        </is>
      </c>
      <c r="B577" s="1" t="n">
        <v>44888</v>
      </c>
      <c r="C577" s="1" t="n">
        <v>46119</v>
      </c>
      <c r="D577" t="inlineStr">
        <is>
          <t>SÖDERMANLANDS LÄN</t>
        </is>
      </c>
      <c r="E577" t="inlineStr">
        <is>
          <t>KATRINEHOLM</t>
        </is>
      </c>
      <c r="G577" t="n">
        <v>6.5</v>
      </c>
      <c r="H577" t="n">
        <v>0</v>
      </c>
      <c r="I577" t="n">
        <v>0</v>
      </c>
      <c r="J577" t="n">
        <v>0</v>
      </c>
      <c r="K577" t="n">
        <v>0</v>
      </c>
      <c r="L577" t="n">
        <v>0</v>
      </c>
      <c r="M577" t="n">
        <v>0</v>
      </c>
      <c r="N577" t="n">
        <v>0</v>
      </c>
      <c r="O577" t="n">
        <v>0</v>
      </c>
      <c r="P577" t="n">
        <v>0</v>
      </c>
      <c r="Q577" t="n">
        <v>0</v>
      </c>
      <c r="R577" s="2" t="inlineStr"/>
    </row>
    <row r="578" ht="15" customHeight="1">
      <c r="A578" t="inlineStr">
        <is>
          <t>A 19452-2023</t>
        </is>
      </c>
      <c r="B578" s="1" t="n">
        <v>45050</v>
      </c>
      <c r="C578" s="1" t="n">
        <v>46119</v>
      </c>
      <c r="D578" t="inlineStr">
        <is>
          <t>SÖDERMANLANDS LÄN</t>
        </is>
      </c>
      <c r="E578" t="inlineStr">
        <is>
          <t>KATRINEHOLM</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31719-2024</t>
        </is>
      </c>
      <c r="B579" s="1" t="n">
        <v>45509</v>
      </c>
      <c r="C579" s="1" t="n">
        <v>46119</v>
      </c>
      <c r="D579" t="inlineStr">
        <is>
          <t>SÖDERMANLANDS LÄN</t>
        </is>
      </c>
      <c r="E579" t="inlineStr">
        <is>
          <t>KATRINEHOLM</t>
        </is>
      </c>
      <c r="F579" t="inlineStr">
        <is>
          <t>Kyrkan</t>
        </is>
      </c>
      <c r="G579" t="n">
        <v>11.9</v>
      </c>
      <c r="H579" t="n">
        <v>0</v>
      </c>
      <c r="I579" t="n">
        <v>0</v>
      </c>
      <c r="J579" t="n">
        <v>0</v>
      </c>
      <c r="K579" t="n">
        <v>0</v>
      </c>
      <c r="L579" t="n">
        <v>0</v>
      </c>
      <c r="M579" t="n">
        <v>0</v>
      </c>
      <c r="N579" t="n">
        <v>0</v>
      </c>
      <c r="O579" t="n">
        <v>0</v>
      </c>
      <c r="P579" t="n">
        <v>0</v>
      </c>
      <c r="Q579" t="n">
        <v>0</v>
      </c>
      <c r="R579" s="2" t="inlineStr"/>
    </row>
    <row r="580" ht="15" customHeight="1">
      <c r="A580" t="inlineStr">
        <is>
          <t>A 43837-2022</t>
        </is>
      </c>
      <c r="B580" s="1" t="n">
        <v>44838</v>
      </c>
      <c r="C580" s="1" t="n">
        <v>46119</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4889-2026</t>
        </is>
      </c>
      <c r="B581" s="1" t="n">
        <v>46048.66766203703</v>
      </c>
      <c r="C581" s="1" t="n">
        <v>46119</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51397-2023</t>
        </is>
      </c>
      <c r="B582" s="1" t="n">
        <v>45214</v>
      </c>
      <c r="C582" s="1" t="n">
        <v>46119</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5703-2026</t>
        </is>
      </c>
      <c r="B583" s="1" t="n">
        <v>46051.50774305555</v>
      </c>
      <c r="C583" s="1" t="n">
        <v>46119</v>
      </c>
      <c r="D583" t="inlineStr">
        <is>
          <t>SÖDERMANLANDS LÄN</t>
        </is>
      </c>
      <c r="E583" t="inlineStr">
        <is>
          <t>KATRINEHOLM</t>
        </is>
      </c>
      <c r="G583" t="n">
        <v>0.6</v>
      </c>
      <c r="H583" t="n">
        <v>0</v>
      </c>
      <c r="I583" t="n">
        <v>0</v>
      </c>
      <c r="J583" t="n">
        <v>0</v>
      </c>
      <c r="K583" t="n">
        <v>0</v>
      </c>
      <c r="L583" t="n">
        <v>0</v>
      </c>
      <c r="M583" t="n">
        <v>0</v>
      </c>
      <c r="N583" t="n">
        <v>0</v>
      </c>
      <c r="O583" t="n">
        <v>0</v>
      </c>
      <c r="P583" t="n">
        <v>0</v>
      </c>
      <c r="Q583" t="n">
        <v>0</v>
      </c>
      <c r="R583" s="2" t="inlineStr"/>
    </row>
    <row r="584" ht="15" customHeight="1">
      <c r="A584" t="inlineStr">
        <is>
          <t>A 19670-2022</t>
        </is>
      </c>
      <c r="B584" s="1" t="n">
        <v>44694</v>
      </c>
      <c r="C584" s="1" t="n">
        <v>46119</v>
      </c>
      <c r="D584" t="inlineStr">
        <is>
          <t>SÖDERMANLANDS LÄN</t>
        </is>
      </c>
      <c r="E584" t="inlineStr">
        <is>
          <t>KATRINEHOLM</t>
        </is>
      </c>
      <c r="G584" t="n">
        <v>13.6</v>
      </c>
      <c r="H584" t="n">
        <v>0</v>
      </c>
      <c r="I584" t="n">
        <v>0</v>
      </c>
      <c r="J584" t="n">
        <v>0</v>
      </c>
      <c r="K584" t="n">
        <v>0</v>
      </c>
      <c r="L584" t="n">
        <v>0</v>
      </c>
      <c r="M584" t="n">
        <v>0</v>
      </c>
      <c r="N584" t="n">
        <v>0</v>
      </c>
      <c r="O584" t="n">
        <v>0</v>
      </c>
      <c r="P584" t="n">
        <v>0</v>
      </c>
      <c r="Q584" t="n">
        <v>0</v>
      </c>
      <c r="R584" s="2" t="inlineStr"/>
    </row>
    <row r="585" ht="15" customHeight="1">
      <c r="A585" t="inlineStr">
        <is>
          <t>A 6606-2022</t>
        </is>
      </c>
      <c r="B585" s="1" t="n">
        <v>44601</v>
      </c>
      <c r="C585" s="1" t="n">
        <v>46119</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4122-2023</t>
        </is>
      </c>
      <c r="B586" s="1" t="n">
        <v>44952</v>
      </c>
      <c r="C586" s="1" t="n">
        <v>46119</v>
      </c>
      <c r="D586" t="inlineStr">
        <is>
          <t>SÖDERMANLANDS LÄN</t>
        </is>
      </c>
      <c r="E586" t="inlineStr">
        <is>
          <t>KATRINEHOLM</t>
        </is>
      </c>
      <c r="G586" t="n">
        <v>9</v>
      </c>
      <c r="H586" t="n">
        <v>0</v>
      </c>
      <c r="I586" t="n">
        <v>0</v>
      </c>
      <c r="J586" t="n">
        <v>0</v>
      </c>
      <c r="K586" t="n">
        <v>0</v>
      </c>
      <c r="L586" t="n">
        <v>0</v>
      </c>
      <c r="M586" t="n">
        <v>0</v>
      </c>
      <c r="N586" t="n">
        <v>0</v>
      </c>
      <c r="O586" t="n">
        <v>0</v>
      </c>
      <c r="P586" t="n">
        <v>0</v>
      </c>
      <c r="Q586" t="n">
        <v>0</v>
      </c>
      <c r="R586" s="2" t="inlineStr"/>
    </row>
    <row r="587" ht="15" customHeight="1">
      <c r="A587" t="inlineStr">
        <is>
          <t>A 23347-2023</t>
        </is>
      </c>
      <c r="B587" s="1" t="n">
        <v>45076</v>
      </c>
      <c r="C587" s="1" t="n">
        <v>46119</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23916-2023</t>
        </is>
      </c>
      <c r="B588" s="1" t="n">
        <v>45075</v>
      </c>
      <c r="C588" s="1" t="n">
        <v>46119</v>
      </c>
      <c r="D588" t="inlineStr">
        <is>
          <t>SÖDERMANLANDS LÄN</t>
        </is>
      </c>
      <c r="E588" t="inlineStr">
        <is>
          <t>KATRINEHOLM</t>
        </is>
      </c>
      <c r="G588" t="n">
        <v>8</v>
      </c>
      <c r="H588" t="n">
        <v>0</v>
      </c>
      <c r="I588" t="n">
        <v>0</v>
      </c>
      <c r="J588" t="n">
        <v>0</v>
      </c>
      <c r="K588" t="n">
        <v>0</v>
      </c>
      <c r="L588" t="n">
        <v>0</v>
      </c>
      <c r="M588" t="n">
        <v>0</v>
      </c>
      <c r="N588" t="n">
        <v>0</v>
      </c>
      <c r="O588" t="n">
        <v>0</v>
      </c>
      <c r="P588" t="n">
        <v>0</v>
      </c>
      <c r="Q588" t="n">
        <v>0</v>
      </c>
      <c r="R588" s="2" t="inlineStr"/>
    </row>
    <row r="589" ht="15" customHeight="1">
      <c r="A589" t="inlineStr">
        <is>
          <t>A 12831-2026</t>
        </is>
      </c>
      <c r="B589" s="1" t="n">
        <v>46092.42416666666</v>
      </c>
      <c r="C589" s="1" t="n">
        <v>46119</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33278-2024</t>
        </is>
      </c>
      <c r="B590" s="1" t="n">
        <v>45518</v>
      </c>
      <c r="C590" s="1" t="n">
        <v>46119</v>
      </c>
      <c r="D590" t="inlineStr">
        <is>
          <t>SÖDERMANLANDS LÄN</t>
        </is>
      </c>
      <c r="E590" t="inlineStr">
        <is>
          <t>KATRINEHOLM</t>
        </is>
      </c>
      <c r="G590" t="n">
        <v>2.1</v>
      </c>
      <c r="H590" t="n">
        <v>0</v>
      </c>
      <c r="I590" t="n">
        <v>0</v>
      </c>
      <c r="J590" t="n">
        <v>0</v>
      </c>
      <c r="K590" t="n">
        <v>0</v>
      </c>
      <c r="L590" t="n">
        <v>0</v>
      </c>
      <c r="M590" t="n">
        <v>0</v>
      </c>
      <c r="N590" t="n">
        <v>0</v>
      </c>
      <c r="O590" t="n">
        <v>0</v>
      </c>
      <c r="P590" t="n">
        <v>0</v>
      </c>
      <c r="Q590" t="n">
        <v>0</v>
      </c>
      <c r="R590" s="2" t="inlineStr"/>
    </row>
    <row r="591" ht="15" customHeight="1">
      <c r="A591" t="inlineStr">
        <is>
          <t>A 40186-2023</t>
        </is>
      </c>
      <c r="B591" s="1" t="n">
        <v>45169</v>
      </c>
      <c r="C591" s="1" t="n">
        <v>46119</v>
      </c>
      <c r="D591" t="inlineStr">
        <is>
          <t>SÖDERMANLANDS LÄN</t>
        </is>
      </c>
      <c r="E591" t="inlineStr">
        <is>
          <t>KATRINEHOLM</t>
        </is>
      </c>
      <c r="G591" t="n">
        <v>2.1</v>
      </c>
      <c r="H591" t="n">
        <v>0</v>
      </c>
      <c r="I591" t="n">
        <v>0</v>
      </c>
      <c r="J591" t="n">
        <v>0</v>
      </c>
      <c r="K591" t="n">
        <v>0</v>
      </c>
      <c r="L591" t="n">
        <v>0</v>
      </c>
      <c r="M591" t="n">
        <v>0</v>
      </c>
      <c r="N591" t="n">
        <v>0</v>
      </c>
      <c r="O591" t="n">
        <v>0</v>
      </c>
      <c r="P591" t="n">
        <v>0</v>
      </c>
      <c r="Q591" t="n">
        <v>0</v>
      </c>
      <c r="R591" s="2" t="inlineStr"/>
    </row>
    <row r="592" ht="15" customHeight="1">
      <c r="A592" t="inlineStr">
        <is>
          <t>A 49700-2022</t>
        </is>
      </c>
      <c r="B592" s="1" t="n">
        <v>44862</v>
      </c>
      <c r="C592" s="1" t="n">
        <v>46119</v>
      </c>
      <c r="D592" t="inlineStr">
        <is>
          <t>SÖDERMANLANDS LÄN</t>
        </is>
      </c>
      <c r="E592" t="inlineStr">
        <is>
          <t>KATRINEHOLM</t>
        </is>
      </c>
      <c r="G592" t="n">
        <v>19.5</v>
      </c>
      <c r="H592" t="n">
        <v>0</v>
      </c>
      <c r="I592" t="n">
        <v>0</v>
      </c>
      <c r="J592" t="n">
        <v>0</v>
      </c>
      <c r="K592" t="n">
        <v>0</v>
      </c>
      <c r="L592" t="n">
        <v>0</v>
      </c>
      <c r="M592" t="n">
        <v>0</v>
      </c>
      <c r="N592" t="n">
        <v>0</v>
      </c>
      <c r="O592" t="n">
        <v>0</v>
      </c>
      <c r="P592" t="n">
        <v>0</v>
      </c>
      <c r="Q592" t="n">
        <v>0</v>
      </c>
      <c r="R592" s="2" t="inlineStr"/>
    </row>
    <row r="593" ht="15" customHeight="1">
      <c r="A593" t="inlineStr">
        <is>
          <t>A 27955-2023</t>
        </is>
      </c>
      <c r="B593" s="1" t="n">
        <v>45098</v>
      </c>
      <c r="C593" s="1" t="n">
        <v>46119</v>
      </c>
      <c r="D593" t="inlineStr">
        <is>
          <t>SÖDERMANLANDS LÄN</t>
        </is>
      </c>
      <c r="E593" t="inlineStr">
        <is>
          <t>KATRINEHOLM</t>
        </is>
      </c>
      <c r="G593" t="n">
        <v>5.9</v>
      </c>
      <c r="H593" t="n">
        <v>0</v>
      </c>
      <c r="I593" t="n">
        <v>0</v>
      </c>
      <c r="J593" t="n">
        <v>0</v>
      </c>
      <c r="K593" t="n">
        <v>0</v>
      </c>
      <c r="L593" t="n">
        <v>0</v>
      </c>
      <c r="M593" t="n">
        <v>0</v>
      </c>
      <c r="N593" t="n">
        <v>0</v>
      </c>
      <c r="O593" t="n">
        <v>0</v>
      </c>
      <c r="P593" t="n">
        <v>0</v>
      </c>
      <c r="Q593" t="n">
        <v>0</v>
      </c>
      <c r="R593" s="2" t="inlineStr"/>
    </row>
    <row r="594" ht="15" customHeight="1">
      <c r="A594" t="inlineStr">
        <is>
          <t>A 33141-2023</t>
        </is>
      </c>
      <c r="B594" s="1" t="n">
        <v>45126.65491898148</v>
      </c>
      <c r="C594" s="1" t="n">
        <v>46119</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46899-2022</t>
        </is>
      </c>
      <c r="B595" s="1" t="n">
        <v>44848</v>
      </c>
      <c r="C595" s="1" t="n">
        <v>46119</v>
      </c>
      <c r="D595" t="inlineStr">
        <is>
          <t>SÖDERMANLANDS LÄN</t>
        </is>
      </c>
      <c r="E595" t="inlineStr">
        <is>
          <t>KATRINEHOLM</t>
        </is>
      </c>
      <c r="G595" t="n">
        <v>2</v>
      </c>
      <c r="H595" t="n">
        <v>0</v>
      </c>
      <c r="I595" t="n">
        <v>0</v>
      </c>
      <c r="J595" t="n">
        <v>0</v>
      </c>
      <c r="K595" t="n">
        <v>0</v>
      </c>
      <c r="L595" t="n">
        <v>0</v>
      </c>
      <c r="M595" t="n">
        <v>0</v>
      </c>
      <c r="N595" t="n">
        <v>0</v>
      </c>
      <c r="O595" t="n">
        <v>0</v>
      </c>
      <c r="P595" t="n">
        <v>0</v>
      </c>
      <c r="Q595" t="n">
        <v>0</v>
      </c>
      <c r="R595" s="2" t="inlineStr"/>
    </row>
    <row r="596" ht="15" customHeight="1">
      <c r="A596" t="inlineStr">
        <is>
          <t>A 9714-2024</t>
        </is>
      </c>
      <c r="B596" s="1" t="n">
        <v>45362</v>
      </c>
      <c r="C596" s="1" t="n">
        <v>46119</v>
      </c>
      <c r="D596" t="inlineStr">
        <is>
          <t>SÖDERMANLANDS LÄN</t>
        </is>
      </c>
      <c r="E596" t="inlineStr">
        <is>
          <t>KATRINEHOLM</t>
        </is>
      </c>
      <c r="G596" t="n">
        <v>4</v>
      </c>
      <c r="H596" t="n">
        <v>0</v>
      </c>
      <c r="I596" t="n">
        <v>0</v>
      </c>
      <c r="J596" t="n">
        <v>0</v>
      </c>
      <c r="K596" t="n">
        <v>0</v>
      </c>
      <c r="L596" t="n">
        <v>0</v>
      </c>
      <c r="M596" t="n">
        <v>0</v>
      </c>
      <c r="N596" t="n">
        <v>0</v>
      </c>
      <c r="O596" t="n">
        <v>0</v>
      </c>
      <c r="P596" t="n">
        <v>0</v>
      </c>
      <c r="Q596" t="n">
        <v>0</v>
      </c>
      <c r="R596" s="2" t="inlineStr"/>
    </row>
    <row r="597" ht="15" customHeight="1">
      <c r="A597" t="inlineStr">
        <is>
          <t>A 39897-2023</t>
        </is>
      </c>
      <c r="B597" s="1" t="n">
        <v>45168</v>
      </c>
      <c r="C597" s="1" t="n">
        <v>46119</v>
      </c>
      <c r="D597" t="inlineStr">
        <is>
          <t>SÖDERMANLANDS LÄN</t>
        </is>
      </c>
      <c r="E597" t="inlineStr">
        <is>
          <t>KATRINEHOLM</t>
        </is>
      </c>
      <c r="G597" t="n">
        <v>15.6</v>
      </c>
      <c r="H597" t="n">
        <v>0</v>
      </c>
      <c r="I597" t="n">
        <v>0</v>
      </c>
      <c r="J597" t="n">
        <v>0</v>
      </c>
      <c r="K597" t="n">
        <v>0</v>
      </c>
      <c r="L597" t="n">
        <v>0</v>
      </c>
      <c r="M597" t="n">
        <v>0</v>
      </c>
      <c r="N597" t="n">
        <v>0</v>
      </c>
      <c r="O597" t="n">
        <v>0</v>
      </c>
      <c r="P597" t="n">
        <v>0</v>
      </c>
      <c r="Q597" t="n">
        <v>0</v>
      </c>
      <c r="R597" s="2" t="inlineStr"/>
    </row>
    <row r="598" ht="15" customHeight="1">
      <c r="A598" t="inlineStr">
        <is>
          <t>A 2735-2025</t>
        </is>
      </c>
      <c r="B598" s="1" t="n">
        <v>45677</v>
      </c>
      <c r="C598" s="1" t="n">
        <v>46119</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20326-2023</t>
        </is>
      </c>
      <c r="B599" s="1" t="n">
        <v>45056.46821759259</v>
      </c>
      <c r="C599" s="1" t="n">
        <v>46119</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13655-2026</t>
        </is>
      </c>
      <c r="B600" s="1" t="n">
        <v>46097.45415509259</v>
      </c>
      <c r="C600" s="1" t="n">
        <v>46119</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67337-2021</t>
        </is>
      </c>
      <c r="B601" s="1" t="n">
        <v>44523</v>
      </c>
      <c r="C601" s="1" t="n">
        <v>46119</v>
      </c>
      <c r="D601" t="inlineStr">
        <is>
          <t>SÖDERMANLANDS LÄN</t>
        </is>
      </c>
      <c r="E601" t="inlineStr">
        <is>
          <t>KATRINEHOLM</t>
        </is>
      </c>
      <c r="G601" t="n">
        <v>5.2</v>
      </c>
      <c r="H601" t="n">
        <v>0</v>
      </c>
      <c r="I601" t="n">
        <v>0</v>
      </c>
      <c r="J601" t="n">
        <v>0</v>
      </c>
      <c r="K601" t="n">
        <v>0</v>
      </c>
      <c r="L601" t="n">
        <v>0</v>
      </c>
      <c r="M601" t="n">
        <v>0</v>
      </c>
      <c r="N601" t="n">
        <v>0</v>
      </c>
      <c r="O601" t="n">
        <v>0</v>
      </c>
      <c r="P601" t="n">
        <v>0</v>
      </c>
      <c r="Q601" t="n">
        <v>0</v>
      </c>
      <c r="R601" s="2" t="inlineStr"/>
    </row>
    <row r="602" ht="15" customHeight="1">
      <c r="A602" t="inlineStr">
        <is>
          <t>A 9044-2022</t>
        </is>
      </c>
      <c r="B602" s="1" t="n">
        <v>44602</v>
      </c>
      <c r="C602" s="1" t="n">
        <v>46119</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13630-2026</t>
        </is>
      </c>
      <c r="B603" s="1" t="n">
        <v>46097.37490740741</v>
      </c>
      <c r="C603" s="1" t="n">
        <v>46119</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13631-2026</t>
        </is>
      </c>
      <c r="B604" s="1" t="n">
        <v>46095</v>
      </c>
      <c r="C604" s="1" t="n">
        <v>46119</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13632-2026</t>
        </is>
      </c>
      <c r="B605" s="1" t="n">
        <v>46097.37996527777</v>
      </c>
      <c r="C605" s="1" t="n">
        <v>46119</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69117-2021</t>
        </is>
      </c>
      <c r="B606" s="1" t="n">
        <v>44530.82445601852</v>
      </c>
      <c r="C606" s="1" t="n">
        <v>46119</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12559-2023</t>
        </is>
      </c>
      <c r="B607" s="1" t="n">
        <v>45000.36373842593</v>
      </c>
      <c r="C607" s="1" t="n">
        <v>46119</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6722-2022</t>
        </is>
      </c>
      <c r="B608" s="1" t="n">
        <v>44602</v>
      </c>
      <c r="C608" s="1" t="n">
        <v>46119</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11872-2023</t>
        </is>
      </c>
      <c r="B609" s="1" t="n">
        <v>44995</v>
      </c>
      <c r="C609" s="1" t="n">
        <v>46119</v>
      </c>
      <c r="D609" t="inlineStr">
        <is>
          <t>SÖDERMANLANDS LÄN</t>
        </is>
      </c>
      <c r="E609" t="inlineStr">
        <is>
          <t>KATRINEHOLM</t>
        </is>
      </c>
      <c r="F609" t="inlineStr">
        <is>
          <t>Kommuner</t>
        </is>
      </c>
      <c r="G609" t="n">
        <v>0.9</v>
      </c>
      <c r="H609" t="n">
        <v>0</v>
      </c>
      <c r="I609" t="n">
        <v>0</v>
      </c>
      <c r="J609" t="n">
        <v>0</v>
      </c>
      <c r="K609" t="n">
        <v>0</v>
      </c>
      <c r="L609" t="n">
        <v>0</v>
      </c>
      <c r="M609" t="n">
        <v>0</v>
      </c>
      <c r="N609" t="n">
        <v>0</v>
      </c>
      <c r="O609" t="n">
        <v>0</v>
      </c>
      <c r="P609" t="n">
        <v>0</v>
      </c>
      <c r="Q609" t="n">
        <v>0</v>
      </c>
      <c r="R609" s="2" t="inlineStr"/>
    </row>
    <row r="610" ht="15" customHeight="1">
      <c r="A610" t="inlineStr">
        <is>
          <t>A 13633-2026</t>
        </is>
      </c>
      <c r="B610" s="1" t="n">
        <v>46097.38148148148</v>
      </c>
      <c r="C610" s="1" t="n">
        <v>46119</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51848-2022</t>
        </is>
      </c>
      <c r="B611" s="1" t="n">
        <v>44872.57752314815</v>
      </c>
      <c r="C611" s="1" t="n">
        <v>46119</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13841-2026</t>
        </is>
      </c>
      <c r="B612" s="1" t="n">
        <v>46098.37181712963</v>
      </c>
      <c r="C612" s="1" t="n">
        <v>46119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16087-2023</t>
        </is>
      </c>
      <c r="B613" s="1" t="n">
        <v>45026</v>
      </c>
      <c r="C613" s="1" t="n">
        <v>46119</v>
      </c>
      <c r="D613" t="inlineStr">
        <is>
          <t>SÖDERMANLANDS LÄN</t>
        </is>
      </c>
      <c r="E613" t="inlineStr">
        <is>
          <t>KATRINEHOLM</t>
        </is>
      </c>
      <c r="G613" t="n">
        <v>2</v>
      </c>
      <c r="H613" t="n">
        <v>0</v>
      </c>
      <c r="I613" t="n">
        <v>0</v>
      </c>
      <c r="J613" t="n">
        <v>0</v>
      </c>
      <c r="K613" t="n">
        <v>0</v>
      </c>
      <c r="L613" t="n">
        <v>0</v>
      </c>
      <c r="M613" t="n">
        <v>0</v>
      </c>
      <c r="N613" t="n">
        <v>0</v>
      </c>
      <c r="O613" t="n">
        <v>0</v>
      </c>
      <c r="P613" t="n">
        <v>0</v>
      </c>
      <c r="Q613" t="n">
        <v>0</v>
      </c>
      <c r="R613" s="2" t="inlineStr"/>
    </row>
    <row r="614" ht="15" customHeight="1">
      <c r="A614" t="inlineStr">
        <is>
          <t>A 13848-2026</t>
        </is>
      </c>
      <c r="B614" s="1" t="n">
        <v>46098.38704861111</v>
      </c>
      <c r="C614" s="1" t="n">
        <v>46119</v>
      </c>
      <c r="D614" t="inlineStr">
        <is>
          <t>SÖDERMANLANDS LÄN</t>
        </is>
      </c>
      <c r="E614" t="inlineStr">
        <is>
          <t>KATRINEHOLM</t>
        </is>
      </c>
      <c r="G614" t="n">
        <v>3.1</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46119</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42451-2023</t>
        </is>
      </c>
      <c r="B616" s="1" t="n">
        <v>45180</v>
      </c>
      <c r="C616" s="1" t="n">
        <v>46119</v>
      </c>
      <c r="D616" t="inlineStr">
        <is>
          <t>SÖDERMANLANDS LÄN</t>
        </is>
      </c>
      <c r="E616" t="inlineStr">
        <is>
          <t>KATRINEHOLM</t>
        </is>
      </c>
      <c r="G616" t="n">
        <v>3.8</v>
      </c>
      <c r="H616" t="n">
        <v>0</v>
      </c>
      <c r="I616" t="n">
        <v>0</v>
      </c>
      <c r="J616" t="n">
        <v>0</v>
      </c>
      <c r="K616" t="n">
        <v>0</v>
      </c>
      <c r="L616" t="n">
        <v>0</v>
      </c>
      <c r="M616" t="n">
        <v>0</v>
      </c>
      <c r="N616" t="n">
        <v>0</v>
      </c>
      <c r="O616" t="n">
        <v>0</v>
      </c>
      <c r="P616" t="n">
        <v>0</v>
      </c>
      <c r="Q616" t="n">
        <v>0</v>
      </c>
      <c r="R616" s="2" t="inlineStr"/>
    </row>
    <row r="617" ht="15" customHeight="1">
      <c r="A617" t="inlineStr">
        <is>
          <t>A 22506-2023</t>
        </is>
      </c>
      <c r="B617" s="1" t="n">
        <v>45071.37393518518</v>
      </c>
      <c r="C617" s="1" t="n">
        <v>46119</v>
      </c>
      <c r="D617" t="inlineStr">
        <is>
          <t>SÖDERMANLANDS LÄN</t>
        </is>
      </c>
      <c r="E617" t="inlineStr">
        <is>
          <t>KATRINEHOLM</t>
        </is>
      </c>
      <c r="F617" t="inlineStr">
        <is>
          <t>Kyrkan</t>
        </is>
      </c>
      <c r="G617" t="n">
        <v>5.9</v>
      </c>
      <c r="H617" t="n">
        <v>0</v>
      </c>
      <c r="I617" t="n">
        <v>0</v>
      </c>
      <c r="J617" t="n">
        <v>0</v>
      </c>
      <c r="K617" t="n">
        <v>0</v>
      </c>
      <c r="L617" t="n">
        <v>0</v>
      </c>
      <c r="M617" t="n">
        <v>0</v>
      </c>
      <c r="N617" t="n">
        <v>0</v>
      </c>
      <c r="O617" t="n">
        <v>0</v>
      </c>
      <c r="P617" t="n">
        <v>0</v>
      </c>
      <c r="Q617" t="n">
        <v>0</v>
      </c>
      <c r="R617" s="2" t="inlineStr"/>
    </row>
    <row r="618" ht="15" customHeight="1">
      <c r="A618" t="inlineStr">
        <is>
          <t>A 14754-2026</t>
        </is>
      </c>
      <c r="B618" s="1" t="n">
        <v>46101.62297453704</v>
      </c>
      <c r="C618" s="1" t="n">
        <v>46119</v>
      </c>
      <c r="D618" t="inlineStr">
        <is>
          <t>SÖDERMANLANDS LÄN</t>
        </is>
      </c>
      <c r="E618" t="inlineStr">
        <is>
          <t>KATRINEHOLM</t>
        </is>
      </c>
      <c r="G618" t="n">
        <v>4.5</v>
      </c>
      <c r="H618" t="n">
        <v>0</v>
      </c>
      <c r="I618" t="n">
        <v>0</v>
      </c>
      <c r="J618" t="n">
        <v>0</v>
      </c>
      <c r="K618" t="n">
        <v>0</v>
      </c>
      <c r="L618" t="n">
        <v>0</v>
      </c>
      <c r="M618" t="n">
        <v>0</v>
      </c>
      <c r="N618" t="n">
        <v>0</v>
      </c>
      <c r="O618" t="n">
        <v>0</v>
      </c>
      <c r="P618" t="n">
        <v>0</v>
      </c>
      <c r="Q618" t="n">
        <v>0</v>
      </c>
      <c r="R618" s="2" t="inlineStr"/>
    </row>
    <row r="619" ht="15" customHeight="1">
      <c r="A619" t="inlineStr">
        <is>
          <t>A 26713-2024</t>
        </is>
      </c>
      <c r="B619" s="1" t="n">
        <v>45470</v>
      </c>
      <c r="C619" s="1" t="n">
        <v>46119</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7513-2026</t>
        </is>
      </c>
      <c r="B620" s="1" t="n">
        <v>46059.59083333334</v>
      </c>
      <c r="C620" s="1" t="n">
        <v>46119</v>
      </c>
      <c r="D620" t="inlineStr">
        <is>
          <t>SÖDERMANLANDS LÄN</t>
        </is>
      </c>
      <c r="E620" t="inlineStr">
        <is>
          <t>KATRINEHOLM</t>
        </is>
      </c>
      <c r="F620" t="inlineStr">
        <is>
          <t>Övriga Aktiebolag</t>
        </is>
      </c>
      <c r="G620" t="n">
        <v>5</v>
      </c>
      <c r="H620" t="n">
        <v>0</v>
      </c>
      <c r="I620" t="n">
        <v>0</v>
      </c>
      <c r="J620" t="n">
        <v>0</v>
      </c>
      <c r="K620" t="n">
        <v>0</v>
      </c>
      <c r="L620" t="n">
        <v>0</v>
      </c>
      <c r="M620" t="n">
        <v>0</v>
      </c>
      <c r="N620" t="n">
        <v>0</v>
      </c>
      <c r="O620" t="n">
        <v>0</v>
      </c>
      <c r="P620" t="n">
        <v>0</v>
      </c>
      <c r="Q620" t="n">
        <v>0</v>
      </c>
      <c r="R620" s="2" t="inlineStr"/>
    </row>
    <row r="621" ht="15" customHeight="1">
      <c r="A621" t="inlineStr">
        <is>
          <t>A 14750-2026</t>
        </is>
      </c>
      <c r="B621" s="1" t="n">
        <v>46101.6208912037</v>
      </c>
      <c r="C621" s="1" t="n">
        <v>46119</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1151-2025</t>
        </is>
      </c>
      <c r="B622" s="1" t="n">
        <v>45666</v>
      </c>
      <c r="C622" s="1" t="n">
        <v>46119</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46119</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50017-2023</t>
        </is>
      </c>
      <c r="B624" s="1" t="n">
        <v>45215</v>
      </c>
      <c r="C624" s="1" t="n">
        <v>46119</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50018-2023</t>
        </is>
      </c>
      <c r="B625" s="1" t="n">
        <v>45215</v>
      </c>
      <c r="C625" s="1" t="n">
        <v>46119</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29843-2023</t>
        </is>
      </c>
      <c r="B626" s="1" t="n">
        <v>45107</v>
      </c>
      <c r="C626" s="1" t="n">
        <v>46119</v>
      </c>
      <c r="D626" t="inlineStr">
        <is>
          <t>SÖDERMANLANDS LÄN</t>
        </is>
      </c>
      <c r="E626" t="inlineStr">
        <is>
          <t>KATRINEHOLM</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14622-2026</t>
        </is>
      </c>
      <c r="B627" s="1" t="n">
        <v>46101.38826388889</v>
      </c>
      <c r="C627" s="1" t="n">
        <v>46119</v>
      </c>
      <c r="D627" t="inlineStr">
        <is>
          <t>SÖDERMANLANDS LÄN</t>
        </is>
      </c>
      <c r="E627" t="inlineStr">
        <is>
          <t>KATRINEHOLM</t>
        </is>
      </c>
      <c r="G627" t="n">
        <v>2.5</v>
      </c>
      <c r="H627" t="n">
        <v>0</v>
      </c>
      <c r="I627" t="n">
        <v>0</v>
      </c>
      <c r="J627" t="n">
        <v>0</v>
      </c>
      <c r="K627" t="n">
        <v>0</v>
      </c>
      <c r="L627" t="n">
        <v>0</v>
      </c>
      <c r="M627" t="n">
        <v>0</v>
      </c>
      <c r="N627" t="n">
        <v>0</v>
      </c>
      <c r="O627" t="n">
        <v>0</v>
      </c>
      <c r="P627" t="n">
        <v>0</v>
      </c>
      <c r="Q627" t="n">
        <v>0</v>
      </c>
      <c r="R627" s="2" t="inlineStr"/>
    </row>
    <row r="628" ht="15" customHeight="1">
      <c r="A628" t="inlineStr">
        <is>
          <t>A 56628-2021</t>
        </is>
      </c>
      <c r="B628" s="1" t="n">
        <v>44480</v>
      </c>
      <c r="C628" s="1" t="n">
        <v>46119</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62418-2023</t>
        </is>
      </c>
      <c r="B629" s="1" t="n">
        <v>45268</v>
      </c>
      <c r="C629" s="1" t="n">
        <v>46119</v>
      </c>
      <c r="D629" t="inlineStr">
        <is>
          <t>SÖDERMANLANDS LÄN</t>
        </is>
      </c>
      <c r="E629" t="inlineStr">
        <is>
          <t>KATRINEHOLM</t>
        </is>
      </c>
      <c r="G629" t="n">
        <v>3</v>
      </c>
      <c r="H629" t="n">
        <v>0</v>
      </c>
      <c r="I629" t="n">
        <v>0</v>
      </c>
      <c r="J629" t="n">
        <v>0</v>
      </c>
      <c r="K629" t="n">
        <v>0</v>
      </c>
      <c r="L629" t="n">
        <v>0</v>
      </c>
      <c r="M629" t="n">
        <v>0</v>
      </c>
      <c r="N629" t="n">
        <v>0</v>
      </c>
      <c r="O629" t="n">
        <v>0</v>
      </c>
      <c r="P629" t="n">
        <v>0</v>
      </c>
      <c r="Q629" t="n">
        <v>0</v>
      </c>
      <c r="R629" s="2" t="inlineStr"/>
    </row>
    <row r="630" ht="15" customHeight="1">
      <c r="A630" t="inlineStr">
        <is>
          <t>A 14751-2026</t>
        </is>
      </c>
      <c r="B630" s="1" t="n">
        <v>46101.6220949074</v>
      </c>
      <c r="C630" s="1" t="n">
        <v>46119</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14770-2026</t>
        </is>
      </c>
      <c r="B631" s="1" t="n">
        <v>46101.63951388889</v>
      </c>
      <c r="C631" s="1" t="n">
        <v>46119</v>
      </c>
      <c r="D631" t="inlineStr">
        <is>
          <t>SÖDERMANLANDS LÄN</t>
        </is>
      </c>
      <c r="E631" t="inlineStr">
        <is>
          <t>KATRINEHOLM</t>
        </is>
      </c>
      <c r="G631" t="n">
        <v>7.5</v>
      </c>
      <c r="H631" t="n">
        <v>0</v>
      </c>
      <c r="I631" t="n">
        <v>0</v>
      </c>
      <c r="J631" t="n">
        <v>0</v>
      </c>
      <c r="K631" t="n">
        <v>0</v>
      </c>
      <c r="L631" t="n">
        <v>0</v>
      </c>
      <c r="M631" t="n">
        <v>0</v>
      </c>
      <c r="N631" t="n">
        <v>0</v>
      </c>
      <c r="O631" t="n">
        <v>0</v>
      </c>
      <c r="P631" t="n">
        <v>0</v>
      </c>
      <c r="Q631" t="n">
        <v>0</v>
      </c>
      <c r="R631" s="2" t="inlineStr"/>
    </row>
    <row r="632" ht="15" customHeight="1">
      <c r="A632" t="inlineStr">
        <is>
          <t>A 15191-2026</t>
        </is>
      </c>
      <c r="B632" s="1" t="n">
        <v>46105.46846064815</v>
      </c>
      <c r="C632" s="1" t="n">
        <v>46119</v>
      </c>
      <c r="D632" t="inlineStr">
        <is>
          <t>SÖDERMANLANDS LÄN</t>
        </is>
      </c>
      <c r="E632" t="inlineStr">
        <is>
          <t>KATRINEHOLM</t>
        </is>
      </c>
      <c r="G632" t="n">
        <v>3.6</v>
      </c>
      <c r="H632" t="n">
        <v>0</v>
      </c>
      <c r="I632" t="n">
        <v>0</v>
      </c>
      <c r="J632" t="n">
        <v>0</v>
      </c>
      <c r="K632" t="n">
        <v>0</v>
      </c>
      <c r="L632" t="n">
        <v>0</v>
      </c>
      <c r="M632" t="n">
        <v>0</v>
      </c>
      <c r="N632" t="n">
        <v>0</v>
      </c>
      <c r="O632" t="n">
        <v>0</v>
      </c>
      <c r="P632" t="n">
        <v>0</v>
      </c>
      <c r="Q632" t="n">
        <v>0</v>
      </c>
      <c r="R632" s="2" t="inlineStr"/>
    </row>
    <row r="633" ht="15" customHeight="1">
      <c r="A633" t="inlineStr">
        <is>
          <t>A 48091-2024</t>
        </is>
      </c>
      <c r="B633" s="1" t="n">
        <v>45590</v>
      </c>
      <c r="C633" s="1" t="n">
        <v>46119</v>
      </c>
      <c r="D633" t="inlineStr">
        <is>
          <t>SÖDERMANLANDS LÄN</t>
        </is>
      </c>
      <c r="E633" t="inlineStr">
        <is>
          <t>KATRINEHOLM</t>
        </is>
      </c>
      <c r="G633" t="n">
        <v>3.1</v>
      </c>
      <c r="H633" t="n">
        <v>0</v>
      </c>
      <c r="I633" t="n">
        <v>0</v>
      </c>
      <c r="J633" t="n">
        <v>0</v>
      </c>
      <c r="K633" t="n">
        <v>0</v>
      </c>
      <c r="L633" t="n">
        <v>0</v>
      </c>
      <c r="M633" t="n">
        <v>0</v>
      </c>
      <c r="N633" t="n">
        <v>0</v>
      </c>
      <c r="O633" t="n">
        <v>0</v>
      </c>
      <c r="P633" t="n">
        <v>0</v>
      </c>
      <c r="Q633" t="n">
        <v>0</v>
      </c>
      <c r="R633" s="2" t="inlineStr"/>
    </row>
    <row r="634" ht="15" customHeight="1">
      <c r="A634" t="inlineStr">
        <is>
          <t>A 48160-2022</t>
        </is>
      </c>
      <c r="B634" s="1" t="n">
        <v>44853</v>
      </c>
      <c r="C634" s="1" t="n">
        <v>46119</v>
      </c>
      <c r="D634" t="inlineStr">
        <is>
          <t>SÖDERMANLANDS LÄN</t>
        </is>
      </c>
      <c r="E634" t="inlineStr">
        <is>
          <t>KATRINEHOLM</t>
        </is>
      </c>
      <c r="F634" t="inlineStr">
        <is>
          <t>Övriga statliga verk och myndigheter</t>
        </is>
      </c>
      <c r="G634" t="n">
        <v>2.2</v>
      </c>
      <c r="H634" t="n">
        <v>0</v>
      </c>
      <c r="I634" t="n">
        <v>0</v>
      </c>
      <c r="J634" t="n">
        <v>0</v>
      </c>
      <c r="K634" t="n">
        <v>0</v>
      </c>
      <c r="L634" t="n">
        <v>0</v>
      </c>
      <c r="M634" t="n">
        <v>0</v>
      </c>
      <c r="N634" t="n">
        <v>0</v>
      </c>
      <c r="O634" t="n">
        <v>0</v>
      </c>
      <c r="P634" t="n">
        <v>0</v>
      </c>
      <c r="Q634" t="n">
        <v>0</v>
      </c>
      <c r="R634" s="2" t="inlineStr"/>
    </row>
    <row r="635" ht="15" customHeight="1">
      <c r="A635" t="inlineStr">
        <is>
          <t>A 18339-2023</t>
        </is>
      </c>
      <c r="B635" s="1" t="n">
        <v>45041</v>
      </c>
      <c r="C635" s="1" t="n">
        <v>46119</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20460-2025</t>
        </is>
      </c>
      <c r="B636" s="1" t="n">
        <v>45775.52854166667</v>
      </c>
      <c r="C636" s="1" t="n">
        <v>46119</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49092-2024</t>
        </is>
      </c>
      <c r="B637" s="1" t="n">
        <v>45594.63619212963</v>
      </c>
      <c r="C637" s="1" t="n">
        <v>46119</v>
      </c>
      <c r="D637" t="inlineStr">
        <is>
          <t>SÖDERMANLANDS LÄN</t>
        </is>
      </c>
      <c r="E637" t="inlineStr">
        <is>
          <t>KATRINEHOLM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49095-2024</t>
        </is>
      </c>
      <c r="B638" s="1" t="n">
        <v>45594.63828703704</v>
      </c>
      <c r="C638" s="1" t="n">
        <v>46119</v>
      </c>
      <c r="D638" t="inlineStr">
        <is>
          <t>SÖDERMANLANDS LÄN</t>
        </is>
      </c>
      <c r="E638" t="inlineStr">
        <is>
          <t>KATRINEHOLM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55172-2022</t>
        </is>
      </c>
      <c r="B639" s="1" t="n">
        <v>44886</v>
      </c>
      <c r="C639" s="1" t="n">
        <v>46119</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50935-2023</t>
        </is>
      </c>
      <c r="B640" s="1" t="n">
        <v>45211</v>
      </c>
      <c r="C640" s="1" t="n">
        <v>46119</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24619-2024</t>
        </is>
      </c>
      <c r="B641" s="1" t="n">
        <v>45460</v>
      </c>
      <c r="C641" s="1" t="n">
        <v>46119</v>
      </c>
      <c r="D641" t="inlineStr">
        <is>
          <t>SÖDERMANLANDS LÄN</t>
        </is>
      </c>
      <c r="E641" t="inlineStr">
        <is>
          <t>KATRINEHOLM</t>
        </is>
      </c>
      <c r="G641" t="n">
        <v>4.7</v>
      </c>
      <c r="H641" t="n">
        <v>0</v>
      </c>
      <c r="I641" t="n">
        <v>0</v>
      </c>
      <c r="J641" t="n">
        <v>0</v>
      </c>
      <c r="K641" t="n">
        <v>0</v>
      </c>
      <c r="L641" t="n">
        <v>0</v>
      </c>
      <c r="M641" t="n">
        <v>0</v>
      </c>
      <c r="N641" t="n">
        <v>0</v>
      </c>
      <c r="O641" t="n">
        <v>0</v>
      </c>
      <c r="P641" t="n">
        <v>0</v>
      </c>
      <c r="Q641" t="n">
        <v>0</v>
      </c>
      <c r="R641" s="2" t="inlineStr"/>
    </row>
    <row r="642" ht="15" customHeight="1">
      <c r="A642" t="inlineStr">
        <is>
          <t>A 53843-2023</t>
        </is>
      </c>
      <c r="B642" s="1" t="n">
        <v>45230</v>
      </c>
      <c r="C642" s="1" t="n">
        <v>46119</v>
      </c>
      <c r="D642" t="inlineStr">
        <is>
          <t>SÖDERMANLANDS LÄN</t>
        </is>
      </c>
      <c r="E642" t="inlineStr">
        <is>
          <t>KATRINEHOLM</t>
        </is>
      </c>
      <c r="G642" t="n">
        <v>14.2</v>
      </c>
      <c r="H642" t="n">
        <v>0</v>
      </c>
      <c r="I642" t="n">
        <v>0</v>
      </c>
      <c r="J642" t="n">
        <v>0</v>
      </c>
      <c r="K642" t="n">
        <v>0</v>
      </c>
      <c r="L642" t="n">
        <v>0</v>
      </c>
      <c r="M642" t="n">
        <v>0</v>
      </c>
      <c r="N642" t="n">
        <v>0</v>
      </c>
      <c r="O642" t="n">
        <v>0</v>
      </c>
      <c r="P642" t="n">
        <v>0</v>
      </c>
      <c r="Q642" t="n">
        <v>0</v>
      </c>
      <c r="R642" s="2" t="inlineStr"/>
    </row>
    <row r="643" ht="15" customHeight="1">
      <c r="A643" t="inlineStr">
        <is>
          <t>A 22295-2024</t>
        </is>
      </c>
      <c r="B643" s="1" t="n">
        <v>45446.56141203704</v>
      </c>
      <c r="C643" s="1" t="n">
        <v>46119</v>
      </c>
      <c r="D643" t="inlineStr">
        <is>
          <t>SÖDERMANLANDS LÄN</t>
        </is>
      </c>
      <c r="E643" t="inlineStr">
        <is>
          <t>KATRINEHOLM</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15819-2026</t>
        </is>
      </c>
      <c r="B644" s="1" t="n">
        <v>46107.53678240741</v>
      </c>
      <c r="C644" s="1" t="n">
        <v>46119</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22272-2022</t>
        </is>
      </c>
      <c r="B645" s="1" t="n">
        <v>44712</v>
      </c>
      <c r="C645" s="1" t="n">
        <v>46119</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53715-2023</t>
        </is>
      </c>
      <c r="B646" s="1" t="n">
        <v>45230</v>
      </c>
      <c r="C646" s="1" t="n">
        <v>46119</v>
      </c>
      <c r="D646" t="inlineStr">
        <is>
          <t>SÖDERMANLANDS LÄN</t>
        </is>
      </c>
      <c r="E646" t="inlineStr">
        <is>
          <t>KATRINEHOLM</t>
        </is>
      </c>
      <c r="F646" t="inlineStr">
        <is>
          <t>Allmännings- och besparingsskogar</t>
        </is>
      </c>
      <c r="G646" t="n">
        <v>5.6</v>
      </c>
      <c r="H646" t="n">
        <v>0</v>
      </c>
      <c r="I646" t="n">
        <v>0</v>
      </c>
      <c r="J646" t="n">
        <v>0</v>
      </c>
      <c r="K646" t="n">
        <v>0</v>
      </c>
      <c r="L646" t="n">
        <v>0</v>
      </c>
      <c r="M646" t="n">
        <v>0</v>
      </c>
      <c r="N646" t="n">
        <v>0</v>
      </c>
      <c r="O646" t="n">
        <v>0</v>
      </c>
      <c r="P646" t="n">
        <v>0</v>
      </c>
      <c r="Q646" t="n">
        <v>0</v>
      </c>
      <c r="R646" s="2" t="inlineStr"/>
    </row>
    <row r="647" ht="15" customHeight="1">
      <c r="A647" t="inlineStr">
        <is>
          <t>A 58175-2024</t>
        </is>
      </c>
      <c r="B647" s="1" t="n">
        <v>45632.46648148148</v>
      </c>
      <c r="C647" s="1" t="n">
        <v>46119</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59474-2021</t>
        </is>
      </c>
      <c r="B648" s="1" t="n">
        <v>44491</v>
      </c>
      <c r="C648" s="1" t="n">
        <v>46119</v>
      </c>
      <c r="D648" t="inlineStr">
        <is>
          <t>SÖDERMANLANDS LÄN</t>
        </is>
      </c>
      <c r="E648" t="inlineStr">
        <is>
          <t>KATRINEHOLM</t>
        </is>
      </c>
      <c r="G648" t="n">
        <v>2.7</v>
      </c>
      <c r="H648" t="n">
        <v>0</v>
      </c>
      <c r="I648" t="n">
        <v>0</v>
      </c>
      <c r="J648" t="n">
        <v>0</v>
      </c>
      <c r="K648" t="n">
        <v>0</v>
      </c>
      <c r="L648" t="n">
        <v>0</v>
      </c>
      <c r="M648" t="n">
        <v>0</v>
      </c>
      <c r="N648" t="n">
        <v>0</v>
      </c>
      <c r="O648" t="n">
        <v>0</v>
      </c>
      <c r="P648" t="n">
        <v>0</v>
      </c>
      <c r="Q648" t="n">
        <v>0</v>
      </c>
      <c r="R648" s="2" t="inlineStr"/>
    </row>
    <row r="649" ht="15" customHeight="1">
      <c r="A649" t="inlineStr">
        <is>
          <t>A 51923-2023</t>
        </is>
      </c>
      <c r="B649" s="1" t="n">
        <v>45223</v>
      </c>
      <c r="C649" s="1" t="n">
        <v>46119</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27875-2024</t>
        </is>
      </c>
      <c r="B650" s="1" t="n">
        <v>45475</v>
      </c>
      <c r="C650" s="1" t="n">
        <v>46119</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46119</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43088-2022</t>
        </is>
      </c>
      <c r="B652" s="1" t="n">
        <v>44833</v>
      </c>
      <c r="C652" s="1" t="n">
        <v>46119</v>
      </c>
      <c r="D652" t="inlineStr">
        <is>
          <t>SÖDERMANLANDS LÄN</t>
        </is>
      </c>
      <c r="E652" t="inlineStr">
        <is>
          <t>KATRINEHOLM</t>
        </is>
      </c>
      <c r="G652" t="n">
        <v>6.6</v>
      </c>
      <c r="H652" t="n">
        <v>0</v>
      </c>
      <c r="I652" t="n">
        <v>0</v>
      </c>
      <c r="J652" t="n">
        <v>0</v>
      </c>
      <c r="K652" t="n">
        <v>0</v>
      </c>
      <c r="L652" t="n">
        <v>0</v>
      </c>
      <c r="M652" t="n">
        <v>0</v>
      </c>
      <c r="N652" t="n">
        <v>0</v>
      </c>
      <c r="O652" t="n">
        <v>0</v>
      </c>
      <c r="P652" t="n">
        <v>0</v>
      </c>
      <c r="Q652" t="n">
        <v>0</v>
      </c>
      <c r="R652" s="2" t="inlineStr"/>
    </row>
    <row r="653" ht="15" customHeight="1">
      <c r="A653" t="inlineStr">
        <is>
          <t>A 52658-2023</t>
        </is>
      </c>
      <c r="B653" s="1" t="n">
        <v>45225</v>
      </c>
      <c r="C653" s="1" t="n">
        <v>46119</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61385-2023</t>
        </is>
      </c>
      <c r="B654" s="1" t="n">
        <v>45264.64241898148</v>
      </c>
      <c r="C654" s="1" t="n">
        <v>46119</v>
      </c>
      <c r="D654" t="inlineStr">
        <is>
          <t>SÖDERMANLANDS LÄN</t>
        </is>
      </c>
      <c r="E654" t="inlineStr">
        <is>
          <t>KATRINEHOLM</t>
        </is>
      </c>
      <c r="G654" t="n">
        <v>0.4</v>
      </c>
      <c r="H654" t="n">
        <v>0</v>
      </c>
      <c r="I654" t="n">
        <v>0</v>
      </c>
      <c r="J654" t="n">
        <v>0</v>
      </c>
      <c r="K654" t="n">
        <v>0</v>
      </c>
      <c r="L654" t="n">
        <v>0</v>
      </c>
      <c r="M654" t="n">
        <v>0</v>
      </c>
      <c r="N654" t="n">
        <v>0</v>
      </c>
      <c r="O654" t="n">
        <v>0</v>
      </c>
      <c r="P654" t="n">
        <v>0</v>
      </c>
      <c r="Q654" t="n">
        <v>0</v>
      </c>
      <c r="R654" s="2" t="inlineStr"/>
    </row>
    <row r="655" ht="15" customHeight="1">
      <c r="A655" t="inlineStr">
        <is>
          <t>A 48030-2022</t>
        </is>
      </c>
      <c r="B655" s="1" t="n">
        <v>44855</v>
      </c>
      <c r="C655" s="1" t="n">
        <v>46119</v>
      </c>
      <c r="D655" t="inlineStr">
        <is>
          <t>SÖDERMANLANDS LÄN</t>
        </is>
      </c>
      <c r="E655" t="inlineStr">
        <is>
          <t>KATRINEHOLM</t>
        </is>
      </c>
      <c r="F655" t="inlineStr">
        <is>
          <t>Allmännings- och besparingsskogar</t>
        </is>
      </c>
      <c r="G655" t="n">
        <v>1.5</v>
      </c>
      <c r="H655" t="n">
        <v>0</v>
      </c>
      <c r="I655" t="n">
        <v>0</v>
      </c>
      <c r="J655" t="n">
        <v>0</v>
      </c>
      <c r="K655" t="n">
        <v>0</v>
      </c>
      <c r="L655" t="n">
        <v>0</v>
      </c>
      <c r="M655" t="n">
        <v>0</v>
      </c>
      <c r="N655" t="n">
        <v>0</v>
      </c>
      <c r="O655" t="n">
        <v>0</v>
      </c>
      <c r="P655" t="n">
        <v>0</v>
      </c>
      <c r="Q655" t="n">
        <v>0</v>
      </c>
      <c r="R655" s="2" t="inlineStr"/>
    </row>
    <row r="656" ht="15" customHeight="1">
      <c r="A656" t="inlineStr">
        <is>
          <t>A 10932-2023</t>
        </is>
      </c>
      <c r="B656" s="1" t="n">
        <v>44985</v>
      </c>
      <c r="C656" s="1" t="n">
        <v>46119</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36767-2022</t>
        </is>
      </c>
      <c r="B657" s="1" t="n">
        <v>44805</v>
      </c>
      <c r="C657" s="1" t="n">
        <v>46119</v>
      </c>
      <c r="D657" t="inlineStr">
        <is>
          <t>SÖDERMANLANDS LÄN</t>
        </is>
      </c>
      <c r="E657" t="inlineStr">
        <is>
          <t>KATRINEHOLM</t>
        </is>
      </c>
      <c r="G657" t="n">
        <v>1.1</v>
      </c>
      <c r="H657" t="n">
        <v>0</v>
      </c>
      <c r="I657" t="n">
        <v>0</v>
      </c>
      <c r="J657" t="n">
        <v>0</v>
      </c>
      <c r="K657" t="n">
        <v>0</v>
      </c>
      <c r="L657" t="n">
        <v>0</v>
      </c>
      <c r="M657" t="n">
        <v>0</v>
      </c>
      <c r="N657" t="n">
        <v>0</v>
      </c>
      <c r="O657" t="n">
        <v>0</v>
      </c>
      <c r="P657" t="n">
        <v>0</v>
      </c>
      <c r="Q657" t="n">
        <v>0</v>
      </c>
      <c r="R657" s="2" t="inlineStr"/>
    </row>
    <row r="658" ht="15" customHeight="1">
      <c r="A658" t="inlineStr">
        <is>
          <t>A 16432-2026</t>
        </is>
      </c>
      <c r="B658" s="1" t="n">
        <v>46111.81027777777</v>
      </c>
      <c r="C658" s="1" t="n">
        <v>46119</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5834-2025</t>
        </is>
      </c>
      <c r="B659" s="1" t="n">
        <v>45694</v>
      </c>
      <c r="C659" s="1" t="n">
        <v>46119</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9899-2023</t>
        </is>
      </c>
      <c r="B660" s="1" t="n">
        <v>44985</v>
      </c>
      <c r="C660" s="1" t="n">
        <v>46119</v>
      </c>
      <c r="D660" t="inlineStr">
        <is>
          <t>SÖDERMANLANDS LÄN</t>
        </is>
      </c>
      <c r="E660" t="inlineStr">
        <is>
          <t>KATRINEHOLM</t>
        </is>
      </c>
      <c r="F660" t="inlineStr">
        <is>
          <t>Allmännings- och besparingsskogar</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34263-2023</t>
        </is>
      </c>
      <c r="B661" s="1" t="n">
        <v>45138.60248842592</v>
      </c>
      <c r="C661" s="1" t="n">
        <v>46119</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6092-2025</t>
        </is>
      </c>
      <c r="B662" s="1" t="n">
        <v>45697</v>
      </c>
      <c r="C662" s="1" t="n">
        <v>46119</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55863-2022</t>
        </is>
      </c>
      <c r="B663" s="1" t="n">
        <v>44888</v>
      </c>
      <c r="C663" s="1" t="n">
        <v>46119</v>
      </c>
      <c r="D663" t="inlineStr">
        <is>
          <t>SÖDERMANLANDS LÄN</t>
        </is>
      </c>
      <c r="E663" t="inlineStr">
        <is>
          <t>KATRINEHOLM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55865-2022</t>
        </is>
      </c>
      <c r="B664" s="1" t="n">
        <v>44888</v>
      </c>
      <c r="C664" s="1" t="n">
        <v>46119</v>
      </c>
      <c r="D664" t="inlineStr">
        <is>
          <t>SÖDERMANLANDS LÄN</t>
        </is>
      </c>
      <c r="E664" t="inlineStr">
        <is>
          <t>KATRINEHOLM</t>
        </is>
      </c>
      <c r="G664" t="n">
        <v>9.1</v>
      </c>
      <c r="H664" t="n">
        <v>0</v>
      </c>
      <c r="I664" t="n">
        <v>0</v>
      </c>
      <c r="J664" t="n">
        <v>0</v>
      </c>
      <c r="K664" t="n">
        <v>0</v>
      </c>
      <c r="L664" t="n">
        <v>0</v>
      </c>
      <c r="M664" t="n">
        <v>0</v>
      </c>
      <c r="N664" t="n">
        <v>0</v>
      </c>
      <c r="O664" t="n">
        <v>0</v>
      </c>
      <c r="P664" t="n">
        <v>0</v>
      </c>
      <c r="Q664" t="n">
        <v>0</v>
      </c>
      <c r="R664" s="2" t="inlineStr"/>
    </row>
    <row r="665" ht="15" customHeight="1">
      <c r="A665" t="inlineStr">
        <is>
          <t>A 10341-2022</t>
        </is>
      </c>
      <c r="B665" s="1" t="n">
        <v>44623</v>
      </c>
      <c r="C665" s="1" t="n">
        <v>46119</v>
      </c>
      <c r="D665" t="inlineStr">
        <is>
          <t>SÖDERMANLANDS LÄN</t>
        </is>
      </c>
      <c r="E665" t="inlineStr">
        <is>
          <t>KATRINEHOLM</t>
        </is>
      </c>
      <c r="G665" t="n">
        <v>2.3</v>
      </c>
      <c r="H665" t="n">
        <v>0</v>
      </c>
      <c r="I665" t="n">
        <v>0</v>
      </c>
      <c r="J665" t="n">
        <v>0</v>
      </c>
      <c r="K665" t="n">
        <v>0</v>
      </c>
      <c r="L665" t="n">
        <v>0</v>
      </c>
      <c r="M665" t="n">
        <v>0</v>
      </c>
      <c r="N665" t="n">
        <v>0</v>
      </c>
      <c r="O665" t="n">
        <v>0</v>
      </c>
      <c r="P665" t="n">
        <v>0</v>
      </c>
      <c r="Q665" t="n">
        <v>0</v>
      </c>
      <c r="R665" s="2" t="inlineStr"/>
    </row>
    <row r="666" ht="15" customHeight="1">
      <c r="A666" t="inlineStr">
        <is>
          <t>A 9437-2022</t>
        </is>
      </c>
      <c r="B666" s="1" t="n">
        <v>44616.69246527777</v>
      </c>
      <c r="C666" s="1" t="n">
        <v>46119</v>
      </c>
      <c r="D666" t="inlineStr">
        <is>
          <t>SÖDERMANLANDS LÄN</t>
        </is>
      </c>
      <c r="E666" t="inlineStr">
        <is>
          <t>KATRINEHOLM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22345-2023</t>
        </is>
      </c>
      <c r="B667" s="1" t="n">
        <v>45070</v>
      </c>
      <c r="C667" s="1" t="n">
        <v>46119</v>
      </c>
      <c r="D667" t="inlineStr">
        <is>
          <t>SÖDERMANLANDS LÄN</t>
        </is>
      </c>
      <c r="E667" t="inlineStr">
        <is>
          <t>KATRINEHOLM</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48528-2021</t>
        </is>
      </c>
      <c r="B668" s="1" t="n">
        <v>44449</v>
      </c>
      <c r="C668" s="1" t="n">
        <v>46119</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16113-2026</t>
        </is>
      </c>
      <c r="B669" s="1" t="n">
        <v>46108</v>
      </c>
      <c r="C669" s="1" t="n">
        <v>46119</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28675-2024</t>
        </is>
      </c>
      <c r="B670" s="1" t="n">
        <v>45478</v>
      </c>
      <c r="C670" s="1" t="n">
        <v>46119</v>
      </c>
      <c r="D670" t="inlineStr">
        <is>
          <t>SÖDERMANLANDS LÄN</t>
        </is>
      </c>
      <c r="E670" t="inlineStr">
        <is>
          <t>KATRINEHOLM</t>
        </is>
      </c>
      <c r="F670" t="inlineStr">
        <is>
          <t>Övriga Aktiebolag</t>
        </is>
      </c>
      <c r="G670" t="n">
        <v>3.5</v>
      </c>
      <c r="H670" t="n">
        <v>0</v>
      </c>
      <c r="I670" t="n">
        <v>0</v>
      </c>
      <c r="J670" t="n">
        <v>0</v>
      </c>
      <c r="K670" t="n">
        <v>0</v>
      </c>
      <c r="L670" t="n">
        <v>0</v>
      </c>
      <c r="M670" t="n">
        <v>0</v>
      </c>
      <c r="N670" t="n">
        <v>0</v>
      </c>
      <c r="O670" t="n">
        <v>0</v>
      </c>
      <c r="P670" t="n">
        <v>0</v>
      </c>
      <c r="Q670" t="n">
        <v>0</v>
      </c>
      <c r="R670" s="2" t="inlineStr"/>
    </row>
    <row r="671" ht="15" customHeight="1">
      <c r="A671" t="inlineStr">
        <is>
          <t>A 33790-2024</t>
        </is>
      </c>
      <c r="B671" s="1" t="n">
        <v>45520.59179398148</v>
      </c>
      <c r="C671" s="1" t="n">
        <v>46119</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41267-2023</t>
        </is>
      </c>
      <c r="B672" s="1" t="n">
        <v>45174</v>
      </c>
      <c r="C672" s="1" t="n">
        <v>46119</v>
      </c>
      <c r="D672" t="inlineStr">
        <is>
          <t>SÖDERMANLANDS LÄN</t>
        </is>
      </c>
      <c r="E672" t="inlineStr">
        <is>
          <t>KATRINEHOLM</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53809-2021</t>
        </is>
      </c>
      <c r="B673" s="1" t="n">
        <v>44467</v>
      </c>
      <c r="C673" s="1" t="n">
        <v>46119</v>
      </c>
      <c r="D673" t="inlineStr">
        <is>
          <t>SÖDERMANLANDS LÄN</t>
        </is>
      </c>
      <c r="E673" t="inlineStr">
        <is>
          <t>KATRINEHOLM</t>
        </is>
      </c>
      <c r="G673" t="n">
        <v>7</v>
      </c>
      <c r="H673" t="n">
        <v>0</v>
      </c>
      <c r="I673" t="n">
        <v>0</v>
      </c>
      <c r="J673" t="n">
        <v>0</v>
      </c>
      <c r="K673" t="n">
        <v>0</v>
      </c>
      <c r="L673" t="n">
        <v>0</v>
      </c>
      <c r="M673" t="n">
        <v>0</v>
      </c>
      <c r="N673" t="n">
        <v>0</v>
      </c>
      <c r="O673" t="n">
        <v>0</v>
      </c>
      <c r="P673" t="n">
        <v>0</v>
      </c>
      <c r="Q673" t="n">
        <v>0</v>
      </c>
      <c r="R673" s="2" t="inlineStr"/>
    </row>
    <row r="674" ht="15" customHeight="1">
      <c r="A674" t="inlineStr">
        <is>
          <t>A 4758-2025</t>
        </is>
      </c>
      <c r="B674" s="1" t="n">
        <v>45688</v>
      </c>
      <c r="C674" s="1" t="n">
        <v>46119</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28317-2024</t>
        </is>
      </c>
      <c r="B675" s="1" t="n">
        <v>45477</v>
      </c>
      <c r="C675" s="1" t="n">
        <v>46119</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52348-2021</t>
        </is>
      </c>
      <c r="B676" s="1" t="n">
        <v>44464.49756944444</v>
      </c>
      <c r="C676" s="1" t="n">
        <v>46119</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5795-2022</t>
        </is>
      </c>
      <c r="B677" s="1" t="n">
        <v>44596</v>
      </c>
      <c r="C677" s="1" t="n">
        <v>46119</v>
      </c>
      <c r="D677" t="inlineStr">
        <is>
          <t>SÖDERMANLANDS LÄN</t>
        </is>
      </c>
      <c r="E677" t="inlineStr">
        <is>
          <t>KATRINEHOLM</t>
        </is>
      </c>
      <c r="G677" t="n">
        <v>8.1</v>
      </c>
      <c r="H677" t="n">
        <v>0</v>
      </c>
      <c r="I677" t="n">
        <v>0</v>
      </c>
      <c r="J677" t="n">
        <v>0</v>
      </c>
      <c r="K677" t="n">
        <v>0</v>
      </c>
      <c r="L677" t="n">
        <v>0</v>
      </c>
      <c r="M677" t="n">
        <v>0</v>
      </c>
      <c r="N677" t="n">
        <v>0</v>
      </c>
      <c r="O677" t="n">
        <v>0</v>
      </c>
      <c r="P677" t="n">
        <v>0</v>
      </c>
      <c r="Q677" t="n">
        <v>0</v>
      </c>
      <c r="R677" s="2" t="inlineStr"/>
    </row>
    <row r="678" ht="15" customHeight="1">
      <c r="A678" t="inlineStr">
        <is>
          <t>A 55590-2023</t>
        </is>
      </c>
      <c r="B678" s="1" t="n">
        <v>45238</v>
      </c>
      <c r="C678" s="1" t="n">
        <v>46119</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46257-2021</t>
        </is>
      </c>
      <c r="B679" s="1" t="n">
        <v>44442</v>
      </c>
      <c r="C679" s="1" t="n">
        <v>46119</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5320-2025</t>
        </is>
      </c>
      <c r="B680" s="1" t="n">
        <v>45692</v>
      </c>
      <c r="C680" s="1" t="n">
        <v>46119</v>
      </c>
      <c r="D680" t="inlineStr">
        <is>
          <t>SÖDERMANLANDS LÄN</t>
        </is>
      </c>
      <c r="E680" t="inlineStr">
        <is>
          <t>KATRINEHOLM</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49914-2023</t>
        </is>
      </c>
      <c r="B681" s="1" t="n">
        <v>45214</v>
      </c>
      <c r="C681" s="1" t="n">
        <v>46119</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44637-2023</t>
        </is>
      </c>
      <c r="B682" s="1" t="n">
        <v>45189</v>
      </c>
      <c r="C682" s="1" t="n">
        <v>46119</v>
      </c>
      <c r="D682" t="inlineStr">
        <is>
          <t>SÖDERMANLANDS LÄN</t>
        </is>
      </c>
      <c r="E682" t="inlineStr">
        <is>
          <t>KATRINEHOLM</t>
        </is>
      </c>
      <c r="G682" t="n">
        <v>5.1</v>
      </c>
      <c r="H682" t="n">
        <v>0</v>
      </c>
      <c r="I682" t="n">
        <v>0</v>
      </c>
      <c r="J682" t="n">
        <v>0</v>
      </c>
      <c r="K682" t="n">
        <v>0</v>
      </c>
      <c r="L682" t="n">
        <v>0</v>
      </c>
      <c r="M682" t="n">
        <v>0</v>
      </c>
      <c r="N682" t="n">
        <v>0</v>
      </c>
      <c r="O682" t="n">
        <v>0</v>
      </c>
      <c r="P682" t="n">
        <v>0</v>
      </c>
      <c r="Q682" t="n">
        <v>0</v>
      </c>
      <c r="R682" s="2" t="inlineStr"/>
    </row>
    <row r="683" ht="15" customHeight="1">
      <c r="A683" t="inlineStr">
        <is>
          <t>A 58522-2024</t>
        </is>
      </c>
      <c r="B683" s="1" t="n">
        <v>45635.43770833333</v>
      </c>
      <c r="C683" s="1" t="n">
        <v>46119</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20921-2023</t>
        </is>
      </c>
      <c r="B684" s="1" t="n">
        <v>45061</v>
      </c>
      <c r="C684" s="1" t="n">
        <v>46119</v>
      </c>
      <c r="D684" t="inlineStr">
        <is>
          <t>SÖDERMANLANDS LÄN</t>
        </is>
      </c>
      <c r="E684" t="inlineStr">
        <is>
          <t>KATRINEHOLM</t>
        </is>
      </c>
      <c r="G684" t="n">
        <v>8.9</v>
      </c>
      <c r="H684" t="n">
        <v>0</v>
      </c>
      <c r="I684" t="n">
        <v>0</v>
      </c>
      <c r="J684" t="n">
        <v>0</v>
      </c>
      <c r="K684" t="n">
        <v>0</v>
      </c>
      <c r="L684" t="n">
        <v>0</v>
      </c>
      <c r="M684" t="n">
        <v>0</v>
      </c>
      <c r="N684" t="n">
        <v>0</v>
      </c>
      <c r="O684" t="n">
        <v>0</v>
      </c>
      <c r="P684" t="n">
        <v>0</v>
      </c>
      <c r="Q684" t="n">
        <v>0</v>
      </c>
      <c r="R684" s="2" t="inlineStr"/>
    </row>
    <row r="685" ht="15" customHeight="1">
      <c r="A685" t="inlineStr">
        <is>
          <t>A 12929-2023</t>
        </is>
      </c>
      <c r="B685" s="1" t="n">
        <v>45001</v>
      </c>
      <c r="C685" s="1" t="n">
        <v>46119</v>
      </c>
      <c r="D685" t="inlineStr">
        <is>
          <t>SÖDERMANLANDS LÄN</t>
        </is>
      </c>
      <c r="E685" t="inlineStr">
        <is>
          <t>KATRINEHOLM</t>
        </is>
      </c>
      <c r="G685" t="n">
        <v>3.1</v>
      </c>
      <c r="H685" t="n">
        <v>0</v>
      </c>
      <c r="I685" t="n">
        <v>0</v>
      </c>
      <c r="J685" t="n">
        <v>0</v>
      </c>
      <c r="K685" t="n">
        <v>0</v>
      </c>
      <c r="L685" t="n">
        <v>0</v>
      </c>
      <c r="M685" t="n">
        <v>0</v>
      </c>
      <c r="N685" t="n">
        <v>0</v>
      </c>
      <c r="O685" t="n">
        <v>0</v>
      </c>
      <c r="P685" t="n">
        <v>0</v>
      </c>
      <c r="Q685" t="n">
        <v>0</v>
      </c>
      <c r="R685" s="2" t="inlineStr"/>
    </row>
    <row r="686" ht="15" customHeight="1">
      <c r="A686" t="inlineStr">
        <is>
          <t>A 12932-2023</t>
        </is>
      </c>
      <c r="B686" s="1" t="n">
        <v>45001</v>
      </c>
      <c r="C686" s="1" t="n">
        <v>46119</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10086-2026</t>
        </is>
      </c>
      <c r="B687" s="1" t="n">
        <v>46073.68959490741</v>
      </c>
      <c r="C687" s="1" t="n">
        <v>46119</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6446-2022</t>
        </is>
      </c>
      <c r="B688" s="1" t="n">
        <v>44600</v>
      </c>
      <c r="C688" s="1" t="n">
        <v>46119</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4724-2023</t>
        </is>
      </c>
      <c r="B689" s="1" t="n">
        <v>44957</v>
      </c>
      <c r="C689" s="1" t="n">
        <v>46119</v>
      </c>
      <c r="D689" t="inlineStr">
        <is>
          <t>SÖDERMANLANDS LÄN</t>
        </is>
      </c>
      <c r="E689" t="inlineStr">
        <is>
          <t>KATRINEHOLM</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61431-2024</t>
        </is>
      </c>
      <c r="B690" s="1" t="n">
        <v>45646.45950231481</v>
      </c>
      <c r="C690" s="1" t="n">
        <v>46119</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24097-2022</t>
        </is>
      </c>
      <c r="B691" s="1" t="n">
        <v>44725.39371527778</v>
      </c>
      <c r="C691" s="1" t="n">
        <v>46119</v>
      </c>
      <c r="D691" t="inlineStr">
        <is>
          <t>SÖDERMANLANDS LÄN</t>
        </is>
      </c>
      <c r="E691" t="inlineStr">
        <is>
          <t>KATRINEHOLM</t>
        </is>
      </c>
      <c r="G691" t="n">
        <v>6.5</v>
      </c>
      <c r="H691" t="n">
        <v>0</v>
      </c>
      <c r="I691" t="n">
        <v>0</v>
      </c>
      <c r="J691" t="n">
        <v>0</v>
      </c>
      <c r="K691" t="n">
        <v>0</v>
      </c>
      <c r="L691" t="n">
        <v>0</v>
      </c>
      <c r="M691" t="n">
        <v>0</v>
      </c>
      <c r="N691" t="n">
        <v>0</v>
      </c>
      <c r="O691" t="n">
        <v>0</v>
      </c>
      <c r="P691" t="n">
        <v>0</v>
      </c>
      <c r="Q691" t="n">
        <v>0</v>
      </c>
      <c r="R691" s="2" t="inlineStr"/>
    </row>
    <row r="692" ht="15" customHeight="1">
      <c r="A692" t="inlineStr">
        <is>
          <t>A 53393-2023</t>
        </is>
      </c>
      <c r="B692" s="1" t="n">
        <v>45229</v>
      </c>
      <c r="C692" s="1" t="n">
        <v>46119</v>
      </c>
      <c r="D692" t="inlineStr">
        <is>
          <t>SÖDERMANLANDS LÄN</t>
        </is>
      </c>
      <c r="E692" t="inlineStr">
        <is>
          <t>KATRINEHOLM</t>
        </is>
      </c>
      <c r="F692" t="inlineStr">
        <is>
          <t>Kyrkan</t>
        </is>
      </c>
      <c r="G692" t="n">
        <v>5.6</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44824.55655092592</v>
      </c>
      <c r="C693" s="1" t="n">
        <v>46119</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20803-2024</t>
        </is>
      </c>
      <c r="B694" s="1" t="n">
        <v>45438</v>
      </c>
      <c r="C694" s="1" t="n">
        <v>46119</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15392-2023</t>
        </is>
      </c>
      <c r="B695" s="1" t="n">
        <v>45016</v>
      </c>
      <c r="C695" s="1" t="n">
        <v>46119</v>
      </c>
      <c r="D695" t="inlineStr">
        <is>
          <t>SÖDERMANLANDS LÄN</t>
        </is>
      </c>
      <c r="E695" t="inlineStr">
        <is>
          <t>KATRINEHOLM</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4645-2024</t>
        </is>
      </c>
      <c r="B696" s="1" t="n">
        <v>45328</v>
      </c>
      <c r="C696" s="1" t="n">
        <v>46119</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28508-2023</t>
        </is>
      </c>
      <c r="B697" s="1" t="n">
        <v>45103.46788194445</v>
      </c>
      <c r="C697" s="1" t="n">
        <v>46119</v>
      </c>
      <c r="D697" t="inlineStr">
        <is>
          <t>SÖDERMANLANDS LÄN</t>
        </is>
      </c>
      <c r="E697" t="inlineStr">
        <is>
          <t>KATRINEHOLM</t>
        </is>
      </c>
      <c r="F697" t="inlineStr">
        <is>
          <t>Kyrkan</t>
        </is>
      </c>
      <c r="G697" t="n">
        <v>20.5</v>
      </c>
      <c r="H697" t="n">
        <v>0</v>
      </c>
      <c r="I697" t="n">
        <v>0</v>
      </c>
      <c r="J697" t="n">
        <v>0</v>
      </c>
      <c r="K697" t="n">
        <v>0</v>
      </c>
      <c r="L697" t="n">
        <v>0</v>
      </c>
      <c r="M697" t="n">
        <v>0</v>
      </c>
      <c r="N697" t="n">
        <v>0</v>
      </c>
      <c r="O697" t="n">
        <v>0</v>
      </c>
      <c r="P697" t="n">
        <v>0</v>
      </c>
      <c r="Q697" t="n">
        <v>0</v>
      </c>
      <c r="R697" s="2" t="inlineStr"/>
    </row>
    <row r="698" ht="15" customHeight="1">
      <c r="A698" t="inlineStr">
        <is>
          <t>A 47889-2023</t>
        </is>
      </c>
      <c r="B698" s="1" t="n">
        <v>45204</v>
      </c>
      <c r="C698" s="1" t="n">
        <v>46119</v>
      </c>
      <c r="D698" t="inlineStr">
        <is>
          <t>SÖDERMANLANDS LÄN</t>
        </is>
      </c>
      <c r="E698" t="inlineStr">
        <is>
          <t>KATRINEHOLM</t>
        </is>
      </c>
      <c r="G698" t="n">
        <v>2.1</v>
      </c>
      <c r="H698" t="n">
        <v>0</v>
      </c>
      <c r="I698" t="n">
        <v>0</v>
      </c>
      <c r="J698" t="n">
        <v>0</v>
      </c>
      <c r="K698" t="n">
        <v>0</v>
      </c>
      <c r="L698" t="n">
        <v>0</v>
      </c>
      <c r="M698" t="n">
        <v>0</v>
      </c>
      <c r="N698" t="n">
        <v>0</v>
      </c>
      <c r="O698" t="n">
        <v>0</v>
      </c>
      <c r="P698" t="n">
        <v>0</v>
      </c>
      <c r="Q698" t="n">
        <v>0</v>
      </c>
      <c r="R698" s="2" t="inlineStr"/>
    </row>
    <row r="699" ht="15" customHeight="1">
      <c r="A699" t="inlineStr">
        <is>
          <t>A 12975-2022</t>
        </is>
      </c>
      <c r="B699" s="1" t="n">
        <v>44643</v>
      </c>
      <c r="C699" s="1" t="n">
        <v>46119</v>
      </c>
      <c r="D699" t="inlineStr">
        <is>
          <t>SÖDERMANLANDS LÄN</t>
        </is>
      </c>
      <c r="E699" t="inlineStr">
        <is>
          <t>KATRINEHOLM</t>
        </is>
      </c>
      <c r="G699" t="n">
        <v>2.4</v>
      </c>
      <c r="H699" t="n">
        <v>0</v>
      </c>
      <c r="I699" t="n">
        <v>0</v>
      </c>
      <c r="J699" t="n">
        <v>0</v>
      </c>
      <c r="K699" t="n">
        <v>0</v>
      </c>
      <c r="L699" t="n">
        <v>0</v>
      </c>
      <c r="M699" t="n">
        <v>0</v>
      </c>
      <c r="N699" t="n">
        <v>0</v>
      </c>
      <c r="O699" t="n">
        <v>0</v>
      </c>
      <c r="P699" t="n">
        <v>0</v>
      </c>
      <c r="Q699" t="n">
        <v>0</v>
      </c>
      <c r="R699" s="2" t="inlineStr"/>
    </row>
    <row r="700" ht="15" customHeight="1">
      <c r="A700" t="inlineStr">
        <is>
          <t>A 9668-2023</t>
        </is>
      </c>
      <c r="B700" s="1" t="n">
        <v>44984.41238425926</v>
      </c>
      <c r="C700" s="1" t="n">
        <v>46119</v>
      </c>
      <c r="D700" t="inlineStr">
        <is>
          <t>SÖDERMANLANDS LÄN</t>
        </is>
      </c>
      <c r="E700" t="inlineStr">
        <is>
          <t>KATRINEHOLM</t>
        </is>
      </c>
      <c r="G700" t="n">
        <v>4.8</v>
      </c>
      <c r="H700" t="n">
        <v>0</v>
      </c>
      <c r="I700" t="n">
        <v>0</v>
      </c>
      <c r="J700" t="n">
        <v>0</v>
      </c>
      <c r="K700" t="n">
        <v>0</v>
      </c>
      <c r="L700" t="n">
        <v>0</v>
      </c>
      <c r="M700" t="n">
        <v>0</v>
      </c>
      <c r="N700" t="n">
        <v>0</v>
      </c>
      <c r="O700" t="n">
        <v>0</v>
      </c>
      <c r="P700" t="n">
        <v>0</v>
      </c>
      <c r="Q700" t="n">
        <v>0</v>
      </c>
      <c r="R700" s="2" t="inlineStr"/>
    </row>
    <row r="701" ht="15" customHeight="1">
      <c r="A701" t="inlineStr">
        <is>
          <t>A 29977-2023</t>
        </is>
      </c>
      <c r="B701" s="1" t="n">
        <v>45108</v>
      </c>
      <c r="C701" s="1" t="n">
        <v>46119</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46119</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948-2023</t>
        </is>
      </c>
      <c r="B703" s="1" t="n">
        <v>44934</v>
      </c>
      <c r="C703" s="1" t="n">
        <v>46119</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6087-2022</t>
        </is>
      </c>
      <c r="B704" s="1" t="n">
        <v>44599.61034722222</v>
      </c>
      <c r="C704" s="1" t="n">
        <v>46119</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47134-2022</t>
        </is>
      </c>
      <c r="B705" s="1" t="n">
        <v>44851</v>
      </c>
      <c r="C705" s="1" t="n">
        <v>46119</v>
      </c>
      <c r="D705" t="inlineStr">
        <is>
          <t>SÖDERMANLANDS LÄN</t>
        </is>
      </c>
      <c r="E705" t="inlineStr">
        <is>
          <t>KATRINEHOLM</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12835-2024</t>
        </is>
      </c>
      <c r="B706" s="1" t="n">
        <v>45384</v>
      </c>
      <c r="C706" s="1" t="n">
        <v>46119</v>
      </c>
      <c r="D706" t="inlineStr">
        <is>
          <t>SÖDERMANLANDS LÄN</t>
        </is>
      </c>
      <c r="E706" t="inlineStr">
        <is>
          <t>KATRINEHOLM</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47879-2023</t>
        </is>
      </c>
      <c r="B707" s="1" t="n">
        <v>45204</v>
      </c>
      <c r="C707" s="1" t="n">
        <v>46119</v>
      </c>
      <c r="D707" t="inlineStr">
        <is>
          <t>SÖDERMANLANDS LÄN</t>
        </is>
      </c>
      <c r="E707" t="inlineStr">
        <is>
          <t>KATRINEHOLM</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61410-2024</t>
        </is>
      </c>
      <c r="B708" s="1" t="n">
        <v>45646.43950231482</v>
      </c>
      <c r="C708" s="1" t="n">
        <v>46119</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17746-2024</t>
        </is>
      </c>
      <c r="B709" s="1" t="n">
        <v>45415</v>
      </c>
      <c r="C709" s="1" t="n">
        <v>46119</v>
      </c>
      <c r="D709" t="inlineStr">
        <is>
          <t>SÖDERMANLANDS LÄN</t>
        </is>
      </c>
      <c r="E709" t="inlineStr">
        <is>
          <t>KATRINEHOLM</t>
        </is>
      </c>
      <c r="G709" t="n">
        <v>7.8</v>
      </c>
      <c r="H709" t="n">
        <v>0</v>
      </c>
      <c r="I709" t="n">
        <v>0</v>
      </c>
      <c r="J709" t="n">
        <v>0</v>
      </c>
      <c r="K709" t="n">
        <v>0</v>
      </c>
      <c r="L709" t="n">
        <v>0</v>
      </c>
      <c r="M709" t="n">
        <v>0</v>
      </c>
      <c r="N709" t="n">
        <v>0</v>
      </c>
      <c r="O709" t="n">
        <v>0</v>
      </c>
      <c r="P709" t="n">
        <v>0</v>
      </c>
      <c r="Q709" t="n">
        <v>0</v>
      </c>
      <c r="R709" s="2" t="inlineStr"/>
    </row>
    <row r="710" ht="15" customHeight="1">
      <c r="A710" t="inlineStr">
        <is>
          <t>A 57510-2021</t>
        </is>
      </c>
      <c r="B710" s="1" t="n">
        <v>44483</v>
      </c>
      <c r="C710" s="1" t="n">
        <v>46119</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34731-2023</t>
        </is>
      </c>
      <c r="B711" s="1" t="n">
        <v>45141</v>
      </c>
      <c r="C711" s="1" t="n">
        <v>46119</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38826-2021</t>
        </is>
      </c>
      <c r="B712" s="1" t="n">
        <v>44411</v>
      </c>
      <c r="C712" s="1" t="n">
        <v>46119</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11875-2023</t>
        </is>
      </c>
      <c r="B713" s="1" t="n">
        <v>44995</v>
      </c>
      <c r="C713" s="1" t="n">
        <v>46119</v>
      </c>
      <c r="D713" t="inlineStr">
        <is>
          <t>SÖDERMANLANDS LÄN</t>
        </is>
      </c>
      <c r="E713" t="inlineStr">
        <is>
          <t>KATRINEHOLM</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6808-2023</t>
        </is>
      </c>
      <c r="B714" s="1" t="n">
        <v>44964</v>
      </c>
      <c r="C714" s="1" t="n">
        <v>46119</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51128-2021</t>
        </is>
      </c>
      <c r="B715" s="1" t="n">
        <v>44460</v>
      </c>
      <c r="C715" s="1" t="n">
        <v>46119</v>
      </c>
      <c r="D715" t="inlineStr">
        <is>
          <t>SÖDERMANLANDS LÄN</t>
        </is>
      </c>
      <c r="E715" t="inlineStr">
        <is>
          <t>KATRINEHOLM</t>
        </is>
      </c>
      <c r="G715" t="n">
        <v>7.8</v>
      </c>
      <c r="H715" t="n">
        <v>0</v>
      </c>
      <c r="I715" t="n">
        <v>0</v>
      </c>
      <c r="J715" t="n">
        <v>0</v>
      </c>
      <c r="K715" t="n">
        <v>0</v>
      </c>
      <c r="L715" t="n">
        <v>0</v>
      </c>
      <c r="M715" t="n">
        <v>0</v>
      </c>
      <c r="N715" t="n">
        <v>0</v>
      </c>
      <c r="O715" t="n">
        <v>0</v>
      </c>
      <c r="P715" t="n">
        <v>0</v>
      </c>
      <c r="Q715" t="n">
        <v>0</v>
      </c>
      <c r="R715" s="2" t="inlineStr"/>
    </row>
    <row r="716" ht="15" customHeight="1">
      <c r="A716" t="inlineStr">
        <is>
          <t>A 51264-2021</t>
        </is>
      </c>
      <c r="B716" s="1" t="n">
        <v>44461</v>
      </c>
      <c r="C716" s="1" t="n">
        <v>46119</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23207-2023</t>
        </is>
      </c>
      <c r="B717" s="1" t="n">
        <v>45071</v>
      </c>
      <c r="C717" s="1" t="n">
        <v>46119</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5935-2023</t>
        </is>
      </c>
      <c r="B718" s="1" t="n">
        <v>44963</v>
      </c>
      <c r="C718" s="1" t="n">
        <v>46119</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11104-2023</t>
        </is>
      </c>
      <c r="B719" s="1" t="n">
        <v>44992</v>
      </c>
      <c r="C719" s="1" t="n">
        <v>46119</v>
      </c>
      <c r="D719" t="inlineStr">
        <is>
          <t>SÖDERMANLANDS LÄN</t>
        </is>
      </c>
      <c r="E719" t="inlineStr">
        <is>
          <t>KATRINEHOLM</t>
        </is>
      </c>
      <c r="F719" t="inlineStr">
        <is>
          <t>Allmännings- och besparingsskogar</t>
        </is>
      </c>
      <c r="G719" t="n">
        <v>7.8</v>
      </c>
      <c r="H719" t="n">
        <v>0</v>
      </c>
      <c r="I719" t="n">
        <v>0</v>
      </c>
      <c r="J719" t="n">
        <v>0</v>
      </c>
      <c r="K719" t="n">
        <v>0</v>
      </c>
      <c r="L719" t="n">
        <v>0</v>
      </c>
      <c r="M719" t="n">
        <v>0</v>
      </c>
      <c r="N719" t="n">
        <v>0</v>
      </c>
      <c r="O719" t="n">
        <v>0</v>
      </c>
      <c r="P719" t="n">
        <v>0</v>
      </c>
      <c r="Q719" t="n">
        <v>0</v>
      </c>
      <c r="R719" s="2" t="inlineStr"/>
    </row>
    <row r="720" ht="15" customHeight="1">
      <c r="A720" t="inlineStr">
        <is>
          <t>A 40159-2023</t>
        </is>
      </c>
      <c r="B720" s="1" t="n">
        <v>45169</v>
      </c>
      <c r="C720" s="1" t="n">
        <v>46119</v>
      </c>
      <c r="D720" t="inlineStr">
        <is>
          <t>SÖDERMANLANDS LÄN</t>
        </is>
      </c>
      <c r="E720" t="inlineStr">
        <is>
          <t>KATRINEHOLM</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36562-2023</t>
        </is>
      </c>
      <c r="B721" s="1" t="n">
        <v>45153</v>
      </c>
      <c r="C721" s="1" t="n">
        <v>46119</v>
      </c>
      <c r="D721" t="inlineStr">
        <is>
          <t>SÖDERMANLANDS LÄN</t>
        </is>
      </c>
      <c r="E721" t="inlineStr">
        <is>
          <t>KATRINEHOLM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4872-2024</t>
        </is>
      </c>
      <c r="B722" s="1" t="n">
        <v>45329</v>
      </c>
      <c r="C722" s="1" t="n">
        <v>46119</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6611-2023</t>
        </is>
      </c>
      <c r="B723" s="1" t="n">
        <v>44963</v>
      </c>
      <c r="C723" s="1" t="n">
        <v>46119</v>
      </c>
      <c r="D723" t="inlineStr">
        <is>
          <t>SÖDERMANLANDS LÄN</t>
        </is>
      </c>
      <c r="E723" t="inlineStr">
        <is>
          <t>KATRINEHOLM</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25823-2023</t>
        </is>
      </c>
      <c r="B724" s="1" t="n">
        <v>45090.55078703703</v>
      </c>
      <c r="C724" s="1" t="n">
        <v>46119</v>
      </c>
      <c r="D724" t="inlineStr">
        <is>
          <t>SÖDERMANLANDS LÄN</t>
        </is>
      </c>
      <c r="E724" t="inlineStr">
        <is>
          <t>KATRINEHOLM</t>
        </is>
      </c>
      <c r="F724" t="inlineStr">
        <is>
          <t>Kyrkan</t>
        </is>
      </c>
      <c r="G724" t="n">
        <v>10.2</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46119</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20480-2022</t>
        </is>
      </c>
      <c r="B726" s="1" t="n">
        <v>44699</v>
      </c>
      <c r="C726" s="1" t="n">
        <v>46119</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3060-2022</t>
        </is>
      </c>
      <c r="B727" s="1" t="n">
        <v>44582.40109953703</v>
      </c>
      <c r="C727" s="1" t="n">
        <v>46119</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3075-2022</t>
        </is>
      </c>
      <c r="B728" s="1" t="n">
        <v>44582</v>
      </c>
      <c r="C728" s="1" t="n">
        <v>46119</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13175-2024</t>
        </is>
      </c>
      <c r="B729" s="1" t="n">
        <v>45386</v>
      </c>
      <c r="C729" s="1" t="n">
        <v>46119</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26081-2024</t>
        </is>
      </c>
      <c r="B730" s="1" t="n">
        <v>45462</v>
      </c>
      <c r="C730" s="1" t="n">
        <v>46119</v>
      </c>
      <c r="D730" t="inlineStr">
        <is>
          <t>SÖDERMANLANDS LÄN</t>
        </is>
      </c>
      <c r="E730" t="inlineStr">
        <is>
          <t>KATRINEHOLM</t>
        </is>
      </c>
      <c r="G730" t="n">
        <v>4.1</v>
      </c>
      <c r="H730" t="n">
        <v>0</v>
      </c>
      <c r="I730" t="n">
        <v>0</v>
      </c>
      <c r="J730" t="n">
        <v>0</v>
      </c>
      <c r="K730" t="n">
        <v>0</v>
      </c>
      <c r="L730" t="n">
        <v>0</v>
      </c>
      <c r="M730" t="n">
        <v>0</v>
      </c>
      <c r="N730" t="n">
        <v>0</v>
      </c>
      <c r="O730" t="n">
        <v>0</v>
      </c>
      <c r="P730" t="n">
        <v>0</v>
      </c>
      <c r="Q730" t="n">
        <v>0</v>
      </c>
      <c r="R730" s="2" t="inlineStr"/>
    </row>
    <row r="731" ht="15" customHeight="1">
      <c r="A731" t="inlineStr">
        <is>
          <t>A 4667-2024</t>
        </is>
      </c>
      <c r="B731" s="1" t="n">
        <v>45328.47</v>
      </c>
      <c r="C731" s="1" t="n">
        <v>46119</v>
      </c>
      <c r="D731" t="inlineStr">
        <is>
          <t>SÖDERMANLANDS LÄN</t>
        </is>
      </c>
      <c r="E731" t="inlineStr">
        <is>
          <t>KATRINEHOLM</t>
        </is>
      </c>
      <c r="F731" t="inlineStr">
        <is>
          <t>Övriga Aktiebolag</t>
        </is>
      </c>
      <c r="G731" t="n">
        <v>10.2</v>
      </c>
      <c r="H731" t="n">
        <v>0</v>
      </c>
      <c r="I731" t="n">
        <v>0</v>
      </c>
      <c r="J731" t="n">
        <v>0</v>
      </c>
      <c r="K731" t="n">
        <v>0</v>
      </c>
      <c r="L731" t="n">
        <v>0</v>
      </c>
      <c r="M731" t="n">
        <v>0</v>
      </c>
      <c r="N731" t="n">
        <v>0</v>
      </c>
      <c r="O731" t="n">
        <v>0</v>
      </c>
      <c r="P731" t="n">
        <v>0</v>
      </c>
      <c r="Q731" t="n">
        <v>0</v>
      </c>
      <c r="R731" s="2" t="inlineStr"/>
    </row>
    <row r="732" ht="15" customHeight="1">
      <c r="A732" t="inlineStr">
        <is>
          <t>A 19107-2022</t>
        </is>
      </c>
      <c r="B732" s="1" t="n">
        <v>44691.54077546296</v>
      </c>
      <c r="C732" s="1" t="n">
        <v>46119</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19442-2023</t>
        </is>
      </c>
      <c r="B733" s="1" t="n">
        <v>45050</v>
      </c>
      <c r="C733" s="1" t="n">
        <v>46119</v>
      </c>
      <c r="D733" t="inlineStr">
        <is>
          <t>SÖDERMANLANDS LÄN</t>
        </is>
      </c>
      <c r="E733" t="inlineStr">
        <is>
          <t>KATRINEHOLM</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59093-2024</t>
        </is>
      </c>
      <c r="B734" s="1" t="n">
        <v>45636</v>
      </c>
      <c r="C734" s="1" t="n">
        <v>46119</v>
      </c>
      <c r="D734" t="inlineStr">
        <is>
          <t>SÖDERMANLANDS LÄN</t>
        </is>
      </c>
      <c r="E734" t="inlineStr">
        <is>
          <t>KATRINEHOLM</t>
        </is>
      </c>
      <c r="G734" t="n">
        <v>2.8</v>
      </c>
      <c r="H734" t="n">
        <v>0</v>
      </c>
      <c r="I734" t="n">
        <v>0</v>
      </c>
      <c r="J734" t="n">
        <v>0</v>
      </c>
      <c r="K734" t="n">
        <v>0</v>
      </c>
      <c r="L734" t="n">
        <v>0</v>
      </c>
      <c r="M734" t="n">
        <v>0</v>
      </c>
      <c r="N734" t="n">
        <v>0</v>
      </c>
      <c r="O734" t="n">
        <v>0</v>
      </c>
      <c r="P734" t="n">
        <v>0</v>
      </c>
      <c r="Q734" t="n">
        <v>0</v>
      </c>
      <c r="R734" s="2" t="inlineStr"/>
    </row>
    <row r="735" ht="15" customHeight="1">
      <c r="A735" t="inlineStr">
        <is>
          <t>A 2606-2025</t>
        </is>
      </c>
      <c r="B735" s="1" t="n">
        <v>45674</v>
      </c>
      <c r="C735" s="1" t="n">
        <v>46119</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48763-2024</t>
        </is>
      </c>
      <c r="B736" s="1" t="n">
        <v>45593.60288194445</v>
      </c>
      <c r="C736" s="1" t="n">
        <v>46119</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38872-2024</t>
        </is>
      </c>
      <c r="B737" s="1" t="n">
        <v>45547</v>
      </c>
      <c r="C737" s="1" t="n">
        <v>46119</v>
      </c>
      <c r="D737" t="inlineStr">
        <is>
          <t>SÖDERMANLANDS LÄN</t>
        </is>
      </c>
      <c r="E737" t="inlineStr">
        <is>
          <t>KATRINEHOLM</t>
        </is>
      </c>
      <c r="G737" t="n">
        <v>5.7</v>
      </c>
      <c r="H737" t="n">
        <v>0</v>
      </c>
      <c r="I737" t="n">
        <v>0</v>
      </c>
      <c r="J737" t="n">
        <v>0</v>
      </c>
      <c r="K737" t="n">
        <v>0</v>
      </c>
      <c r="L737" t="n">
        <v>0</v>
      </c>
      <c r="M737" t="n">
        <v>0</v>
      </c>
      <c r="N737" t="n">
        <v>0</v>
      </c>
      <c r="O737" t="n">
        <v>0</v>
      </c>
      <c r="P737" t="n">
        <v>0</v>
      </c>
      <c r="Q737" t="n">
        <v>0</v>
      </c>
      <c r="R737" s="2" t="inlineStr"/>
    </row>
    <row r="738" ht="15" customHeight="1">
      <c r="A738" t="inlineStr">
        <is>
          <t>A 41229-2022</t>
        </is>
      </c>
      <c r="B738" s="1" t="n">
        <v>44825</v>
      </c>
      <c r="C738" s="1" t="n">
        <v>46119</v>
      </c>
      <c r="D738" t="inlineStr">
        <is>
          <t>SÖDERMANLANDS LÄN</t>
        </is>
      </c>
      <c r="E738" t="inlineStr">
        <is>
          <t>KATRINEHOLM</t>
        </is>
      </c>
      <c r="G738" t="n">
        <v>3.8</v>
      </c>
      <c r="H738" t="n">
        <v>0</v>
      </c>
      <c r="I738" t="n">
        <v>0</v>
      </c>
      <c r="J738" t="n">
        <v>0</v>
      </c>
      <c r="K738" t="n">
        <v>0</v>
      </c>
      <c r="L738" t="n">
        <v>0</v>
      </c>
      <c r="M738" t="n">
        <v>0</v>
      </c>
      <c r="N738" t="n">
        <v>0</v>
      </c>
      <c r="O738" t="n">
        <v>0</v>
      </c>
      <c r="P738" t="n">
        <v>0</v>
      </c>
      <c r="Q738" t="n">
        <v>0</v>
      </c>
      <c r="R738" s="2" t="inlineStr"/>
    </row>
    <row r="739" ht="15" customHeight="1">
      <c r="A739" t="inlineStr">
        <is>
          <t>A 1091-2025</t>
        </is>
      </c>
      <c r="B739" s="1" t="n">
        <v>45666</v>
      </c>
      <c r="C739" s="1" t="n">
        <v>46119</v>
      </c>
      <c r="D739" t="inlineStr">
        <is>
          <t>SÖDERMANLANDS LÄN</t>
        </is>
      </c>
      <c r="E739" t="inlineStr">
        <is>
          <t>KATRINEHOLM</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39010-2021</t>
        </is>
      </c>
      <c r="B740" s="1" t="n">
        <v>44412</v>
      </c>
      <c r="C740" s="1" t="n">
        <v>46119</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6311-2025</t>
        </is>
      </c>
      <c r="B741" s="1" t="n">
        <v>45698</v>
      </c>
      <c r="C741" s="1" t="n">
        <v>46119</v>
      </c>
      <c r="D741" t="inlineStr">
        <is>
          <t>SÖDERMANLANDS LÄN</t>
        </is>
      </c>
      <c r="E741" t="inlineStr">
        <is>
          <t>KATRINEHOLM</t>
        </is>
      </c>
      <c r="G741" t="n">
        <v>0.3</v>
      </c>
      <c r="H741" t="n">
        <v>0</v>
      </c>
      <c r="I741" t="n">
        <v>0</v>
      </c>
      <c r="J741" t="n">
        <v>0</v>
      </c>
      <c r="K741" t="n">
        <v>0</v>
      </c>
      <c r="L741" t="n">
        <v>0</v>
      </c>
      <c r="M741" t="n">
        <v>0</v>
      </c>
      <c r="N741" t="n">
        <v>0</v>
      </c>
      <c r="O741" t="n">
        <v>0</v>
      </c>
      <c r="P741" t="n">
        <v>0</v>
      </c>
      <c r="Q741" t="n">
        <v>0</v>
      </c>
      <c r="R741" s="2" t="inlineStr"/>
    </row>
    <row r="742" ht="15" customHeight="1">
      <c r="A742" t="inlineStr">
        <is>
          <t>A 22113-2025</t>
        </is>
      </c>
      <c r="B742" s="1" t="n">
        <v>45785</v>
      </c>
      <c r="C742" s="1" t="n">
        <v>46119</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22119-2025</t>
        </is>
      </c>
      <c r="B743" s="1" t="n">
        <v>45785</v>
      </c>
      <c r="C743" s="1" t="n">
        <v>46119</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24983-2024</t>
        </is>
      </c>
      <c r="B744" s="1" t="n">
        <v>45461</v>
      </c>
      <c r="C744" s="1" t="n">
        <v>46119</v>
      </c>
      <c r="D744" t="inlineStr">
        <is>
          <t>SÖDERMANLANDS LÄN</t>
        </is>
      </c>
      <c r="E744" t="inlineStr">
        <is>
          <t>KATRINEHOLM</t>
        </is>
      </c>
      <c r="G744" t="n">
        <v>2.6</v>
      </c>
      <c r="H744" t="n">
        <v>0</v>
      </c>
      <c r="I744" t="n">
        <v>0</v>
      </c>
      <c r="J744" t="n">
        <v>0</v>
      </c>
      <c r="K744" t="n">
        <v>0</v>
      </c>
      <c r="L744" t="n">
        <v>0</v>
      </c>
      <c r="M744" t="n">
        <v>0</v>
      </c>
      <c r="N744" t="n">
        <v>0</v>
      </c>
      <c r="O744" t="n">
        <v>0</v>
      </c>
      <c r="P744" t="n">
        <v>0</v>
      </c>
      <c r="Q744" t="n">
        <v>0</v>
      </c>
      <c r="R744" s="2" t="inlineStr"/>
    </row>
    <row r="745" ht="15" customHeight="1">
      <c r="A745" t="inlineStr">
        <is>
          <t>A 22336-2025</t>
        </is>
      </c>
      <c r="B745" s="1" t="n">
        <v>45786.44217592593</v>
      </c>
      <c r="C745" s="1" t="n">
        <v>46119</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32943-2024</t>
        </is>
      </c>
      <c r="B746" s="1" t="n">
        <v>45517</v>
      </c>
      <c r="C746" s="1" t="n">
        <v>46119</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22476-2025</t>
        </is>
      </c>
      <c r="B747" s="1" t="n">
        <v>45786</v>
      </c>
      <c r="C747" s="1" t="n">
        <v>46119</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23838-2021</t>
        </is>
      </c>
      <c r="B748" s="1" t="n">
        <v>44335</v>
      </c>
      <c r="C748" s="1" t="n">
        <v>46119</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23050-2025</t>
        </is>
      </c>
      <c r="B749" s="1" t="n">
        <v>45790.69971064815</v>
      </c>
      <c r="C749" s="1" t="n">
        <v>46119</v>
      </c>
      <c r="D749" t="inlineStr">
        <is>
          <t>SÖDERMANLANDS LÄN</t>
        </is>
      </c>
      <c r="E749" t="inlineStr">
        <is>
          <t>KATRINEHOLM</t>
        </is>
      </c>
      <c r="G749" t="n">
        <v>3.7</v>
      </c>
      <c r="H749" t="n">
        <v>0</v>
      </c>
      <c r="I749" t="n">
        <v>0</v>
      </c>
      <c r="J749" t="n">
        <v>0</v>
      </c>
      <c r="K749" t="n">
        <v>0</v>
      </c>
      <c r="L749" t="n">
        <v>0</v>
      </c>
      <c r="M749" t="n">
        <v>0</v>
      </c>
      <c r="N749" t="n">
        <v>0</v>
      </c>
      <c r="O749" t="n">
        <v>0</v>
      </c>
      <c r="P749" t="n">
        <v>0</v>
      </c>
      <c r="Q749" t="n">
        <v>0</v>
      </c>
      <c r="R749" s="2" t="inlineStr"/>
    </row>
    <row r="750" ht="15" customHeight="1">
      <c r="A750" t="inlineStr">
        <is>
          <t>A 24902-2024</t>
        </is>
      </c>
      <c r="B750" s="1" t="n">
        <v>45461</v>
      </c>
      <c r="C750" s="1" t="n">
        <v>46119</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2603-2025</t>
        </is>
      </c>
      <c r="B751" s="1" t="n">
        <v>45674</v>
      </c>
      <c r="C751" s="1" t="n">
        <v>46119</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61423-2024</t>
        </is>
      </c>
      <c r="B752" s="1" t="n">
        <v>45646.45209490741</v>
      </c>
      <c r="C752" s="1" t="n">
        <v>46119</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24605-2025</t>
        </is>
      </c>
      <c r="B753" s="1" t="n">
        <v>45798.57403935185</v>
      </c>
      <c r="C753" s="1" t="n">
        <v>46119</v>
      </c>
      <c r="D753" t="inlineStr">
        <is>
          <t>SÖDERMANLANDS LÄN</t>
        </is>
      </c>
      <c r="E753" t="inlineStr">
        <is>
          <t>KATRINEHOLM</t>
        </is>
      </c>
      <c r="G753" t="n">
        <v>7</v>
      </c>
      <c r="H753" t="n">
        <v>0</v>
      </c>
      <c r="I753" t="n">
        <v>0</v>
      </c>
      <c r="J753" t="n">
        <v>0</v>
      </c>
      <c r="K753" t="n">
        <v>0</v>
      </c>
      <c r="L753" t="n">
        <v>0</v>
      </c>
      <c r="M753" t="n">
        <v>0</v>
      </c>
      <c r="N753" t="n">
        <v>0</v>
      </c>
      <c r="O753" t="n">
        <v>0</v>
      </c>
      <c r="P753" t="n">
        <v>0</v>
      </c>
      <c r="Q753" t="n">
        <v>0</v>
      </c>
      <c r="R753" s="2" t="inlineStr"/>
    </row>
    <row r="754" ht="15" customHeight="1">
      <c r="A754" t="inlineStr">
        <is>
          <t>A 53999-2023</t>
        </is>
      </c>
      <c r="B754" s="1" t="n">
        <v>45231</v>
      </c>
      <c r="C754" s="1" t="n">
        <v>46119</v>
      </c>
      <c r="D754" t="inlineStr">
        <is>
          <t>SÖDERMANLANDS LÄN</t>
        </is>
      </c>
      <c r="E754" t="inlineStr">
        <is>
          <t>KATRINEHOLM</t>
        </is>
      </c>
      <c r="G754" t="n">
        <v>5.4</v>
      </c>
      <c r="H754" t="n">
        <v>0</v>
      </c>
      <c r="I754" t="n">
        <v>0</v>
      </c>
      <c r="J754" t="n">
        <v>0</v>
      </c>
      <c r="K754" t="n">
        <v>0</v>
      </c>
      <c r="L754" t="n">
        <v>0</v>
      </c>
      <c r="M754" t="n">
        <v>0</v>
      </c>
      <c r="N754" t="n">
        <v>0</v>
      </c>
      <c r="O754" t="n">
        <v>0</v>
      </c>
      <c r="P754" t="n">
        <v>0</v>
      </c>
      <c r="Q754" t="n">
        <v>0</v>
      </c>
      <c r="R754" s="2" t="inlineStr"/>
    </row>
    <row r="755" ht="15" customHeight="1">
      <c r="A755" t="inlineStr">
        <is>
          <t>A 41727-2024</t>
        </is>
      </c>
      <c r="B755" s="1" t="n">
        <v>45560</v>
      </c>
      <c r="C755" s="1" t="n">
        <v>46119</v>
      </c>
      <c r="D755" t="inlineStr">
        <is>
          <t>SÖDERMANLANDS LÄN</t>
        </is>
      </c>
      <c r="E755" t="inlineStr">
        <is>
          <t>KATRINEHOLM</t>
        </is>
      </c>
      <c r="G755" t="n">
        <v>3.9</v>
      </c>
      <c r="H755" t="n">
        <v>0</v>
      </c>
      <c r="I755" t="n">
        <v>0</v>
      </c>
      <c r="J755" t="n">
        <v>0</v>
      </c>
      <c r="K755" t="n">
        <v>0</v>
      </c>
      <c r="L755" t="n">
        <v>0</v>
      </c>
      <c r="M755" t="n">
        <v>0</v>
      </c>
      <c r="N755" t="n">
        <v>0</v>
      </c>
      <c r="O755" t="n">
        <v>0</v>
      </c>
      <c r="P755" t="n">
        <v>0</v>
      </c>
      <c r="Q755" t="n">
        <v>0</v>
      </c>
      <c r="R755" s="2" t="inlineStr"/>
    </row>
    <row r="756" ht="15" customHeight="1">
      <c r="A756" t="inlineStr">
        <is>
          <t>A 24566-2025</t>
        </is>
      </c>
      <c r="B756" s="1" t="n">
        <v>45798.46452546296</v>
      </c>
      <c r="C756" s="1" t="n">
        <v>46119</v>
      </c>
      <c r="D756" t="inlineStr">
        <is>
          <t>SÖDERMANLANDS LÄN</t>
        </is>
      </c>
      <c r="E756" t="inlineStr">
        <is>
          <t>KATRINEHOLM</t>
        </is>
      </c>
      <c r="G756" t="n">
        <v>6.3</v>
      </c>
      <c r="H756" t="n">
        <v>0</v>
      </c>
      <c r="I756" t="n">
        <v>0</v>
      </c>
      <c r="J756" t="n">
        <v>0</v>
      </c>
      <c r="K756" t="n">
        <v>0</v>
      </c>
      <c r="L756" t="n">
        <v>0</v>
      </c>
      <c r="M756" t="n">
        <v>0</v>
      </c>
      <c r="N756" t="n">
        <v>0</v>
      </c>
      <c r="O756" t="n">
        <v>0</v>
      </c>
      <c r="P756" t="n">
        <v>0</v>
      </c>
      <c r="Q756" t="n">
        <v>0</v>
      </c>
      <c r="R756" s="2" t="inlineStr"/>
    </row>
    <row r="757" ht="15" customHeight="1">
      <c r="A757" t="inlineStr">
        <is>
          <t>A 56086-2023</t>
        </is>
      </c>
      <c r="B757" s="1" t="n">
        <v>45240</v>
      </c>
      <c r="C757" s="1" t="n">
        <v>46119</v>
      </c>
      <c r="D757" t="inlineStr">
        <is>
          <t>SÖDERMANLANDS LÄN</t>
        </is>
      </c>
      <c r="E757" t="inlineStr">
        <is>
          <t>KATRINEHOLM</t>
        </is>
      </c>
      <c r="F757" t="inlineStr">
        <is>
          <t>Kyrkan</t>
        </is>
      </c>
      <c r="G757" t="n">
        <v>17</v>
      </c>
      <c r="H757" t="n">
        <v>0</v>
      </c>
      <c r="I757" t="n">
        <v>0</v>
      </c>
      <c r="J757" t="n">
        <v>0</v>
      </c>
      <c r="K757" t="n">
        <v>0</v>
      </c>
      <c r="L757" t="n">
        <v>0</v>
      </c>
      <c r="M757" t="n">
        <v>0</v>
      </c>
      <c r="N757" t="n">
        <v>0</v>
      </c>
      <c r="O757" t="n">
        <v>0</v>
      </c>
      <c r="P757" t="n">
        <v>0</v>
      </c>
      <c r="Q757" t="n">
        <v>0</v>
      </c>
      <c r="R757" s="2" t="inlineStr"/>
    </row>
    <row r="758" ht="15" customHeight="1">
      <c r="A758" t="inlineStr">
        <is>
          <t>A 24719-2025</t>
        </is>
      </c>
      <c r="B758" s="1" t="n">
        <v>45799</v>
      </c>
      <c r="C758" s="1" t="n">
        <v>46119</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24717-2025</t>
        </is>
      </c>
      <c r="B759" s="1" t="n">
        <v>45799.27168981481</v>
      </c>
      <c r="C759" s="1" t="n">
        <v>46119</v>
      </c>
      <c r="D759" t="inlineStr">
        <is>
          <t>SÖDERMANLANDS LÄN</t>
        </is>
      </c>
      <c r="E759" t="inlineStr">
        <is>
          <t>KATRINEHOLM</t>
        </is>
      </c>
      <c r="G759" t="n">
        <v>24.5</v>
      </c>
      <c r="H759" t="n">
        <v>0</v>
      </c>
      <c r="I759" t="n">
        <v>0</v>
      </c>
      <c r="J759" t="n">
        <v>0</v>
      </c>
      <c r="K759" t="n">
        <v>0</v>
      </c>
      <c r="L759" t="n">
        <v>0</v>
      </c>
      <c r="M759" t="n">
        <v>0</v>
      </c>
      <c r="N759" t="n">
        <v>0</v>
      </c>
      <c r="O759" t="n">
        <v>0</v>
      </c>
      <c r="P759" t="n">
        <v>0</v>
      </c>
      <c r="Q759" t="n">
        <v>0</v>
      </c>
      <c r="R759" s="2" t="inlineStr"/>
    </row>
    <row r="760" ht="15" customHeight="1">
      <c r="A760" t="inlineStr">
        <is>
          <t>A 25786-2025</t>
        </is>
      </c>
      <c r="B760" s="1" t="n">
        <v>45804.37456018518</v>
      </c>
      <c r="C760" s="1" t="n">
        <v>46119</v>
      </c>
      <c r="D760" t="inlineStr">
        <is>
          <t>SÖDERMANLANDS LÄN</t>
        </is>
      </c>
      <c r="E760" t="inlineStr">
        <is>
          <t>KATRINEHOLM</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26154-2025</t>
        </is>
      </c>
      <c r="B761" s="1" t="n">
        <v>45805.43341435185</v>
      </c>
      <c r="C761" s="1" t="n">
        <v>46119</v>
      </c>
      <c r="D761" t="inlineStr">
        <is>
          <t>SÖDERMANLANDS LÄN</t>
        </is>
      </c>
      <c r="E761" t="inlineStr">
        <is>
          <t>KATRINEHOLM</t>
        </is>
      </c>
      <c r="G761" t="n">
        <v>4.5</v>
      </c>
      <c r="H761" t="n">
        <v>0</v>
      </c>
      <c r="I761" t="n">
        <v>0</v>
      </c>
      <c r="J761" t="n">
        <v>0</v>
      </c>
      <c r="K761" t="n">
        <v>0</v>
      </c>
      <c r="L761" t="n">
        <v>0</v>
      </c>
      <c r="M761" t="n">
        <v>0</v>
      </c>
      <c r="N761" t="n">
        <v>0</v>
      </c>
      <c r="O761" t="n">
        <v>0</v>
      </c>
      <c r="P761" t="n">
        <v>0</v>
      </c>
      <c r="Q761" t="n">
        <v>0</v>
      </c>
      <c r="R761" s="2" t="inlineStr"/>
    </row>
    <row r="762" ht="15" customHeight="1">
      <c r="A762" t="inlineStr">
        <is>
          <t>A 26156-2025</t>
        </is>
      </c>
      <c r="B762" s="1" t="n">
        <v>45805.43864583333</v>
      </c>
      <c r="C762" s="1" t="n">
        <v>46119</v>
      </c>
      <c r="D762" t="inlineStr">
        <is>
          <t>SÖDERMANLANDS LÄN</t>
        </is>
      </c>
      <c r="E762" t="inlineStr">
        <is>
          <t>KATRINEHOLM</t>
        </is>
      </c>
      <c r="G762" t="n">
        <v>4.1</v>
      </c>
      <c r="H762" t="n">
        <v>0</v>
      </c>
      <c r="I762" t="n">
        <v>0</v>
      </c>
      <c r="J762" t="n">
        <v>0</v>
      </c>
      <c r="K762" t="n">
        <v>0</v>
      </c>
      <c r="L762" t="n">
        <v>0</v>
      </c>
      <c r="M762" t="n">
        <v>0</v>
      </c>
      <c r="N762" t="n">
        <v>0</v>
      </c>
      <c r="O762" t="n">
        <v>0</v>
      </c>
      <c r="P762" t="n">
        <v>0</v>
      </c>
      <c r="Q762" t="n">
        <v>0</v>
      </c>
      <c r="R762" s="2" t="inlineStr"/>
    </row>
    <row r="763" ht="15" customHeight="1">
      <c r="A763" t="inlineStr">
        <is>
          <t>A 27552-2025</t>
        </is>
      </c>
      <c r="B763" s="1" t="n">
        <v>45813</v>
      </c>
      <c r="C763" s="1" t="n">
        <v>46119</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27534-2025</t>
        </is>
      </c>
      <c r="B764" s="1" t="n">
        <v>45813</v>
      </c>
      <c r="C764" s="1" t="n">
        <v>46119</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27636-2025</t>
        </is>
      </c>
      <c r="B765" s="1" t="n">
        <v>45813.57603009259</v>
      </c>
      <c r="C765" s="1" t="n">
        <v>46119</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24600-2025</t>
        </is>
      </c>
      <c r="B766" s="1" t="n">
        <v>45798.56348379629</v>
      </c>
      <c r="C766" s="1" t="n">
        <v>46119</v>
      </c>
      <c r="D766" t="inlineStr">
        <is>
          <t>SÖDERMANLANDS LÄN</t>
        </is>
      </c>
      <c r="E766" t="inlineStr">
        <is>
          <t>KATRINEHOLM</t>
        </is>
      </c>
      <c r="G766" t="n">
        <v>1.7</v>
      </c>
      <c r="H766" t="n">
        <v>0</v>
      </c>
      <c r="I766" t="n">
        <v>0</v>
      </c>
      <c r="J766" t="n">
        <v>0</v>
      </c>
      <c r="K766" t="n">
        <v>0</v>
      </c>
      <c r="L766" t="n">
        <v>0</v>
      </c>
      <c r="M766" t="n">
        <v>0</v>
      </c>
      <c r="N766" t="n">
        <v>0</v>
      </c>
      <c r="O766" t="n">
        <v>0</v>
      </c>
      <c r="P766" t="n">
        <v>0</v>
      </c>
      <c r="Q766" t="n">
        <v>0</v>
      </c>
      <c r="R766" s="2" t="inlineStr"/>
    </row>
    <row r="767" ht="15" customHeight="1">
      <c r="A767" t="inlineStr">
        <is>
          <t>A 35608-2024</t>
        </is>
      </c>
      <c r="B767" s="1" t="n">
        <v>45531</v>
      </c>
      <c r="C767" s="1" t="n">
        <v>46119</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12633-2022</t>
        </is>
      </c>
      <c r="B768" s="1" t="n">
        <v>44638</v>
      </c>
      <c r="C768" s="1" t="n">
        <v>46119</v>
      </c>
      <c r="D768" t="inlineStr">
        <is>
          <t>SÖDERMANLANDS LÄN</t>
        </is>
      </c>
      <c r="E768" t="inlineStr">
        <is>
          <t>KATRINEHOLM</t>
        </is>
      </c>
      <c r="G768" t="n">
        <v>6.4</v>
      </c>
      <c r="H768" t="n">
        <v>0</v>
      </c>
      <c r="I768" t="n">
        <v>0</v>
      </c>
      <c r="J768" t="n">
        <v>0</v>
      </c>
      <c r="K768" t="n">
        <v>0</v>
      </c>
      <c r="L768" t="n">
        <v>0</v>
      </c>
      <c r="M768" t="n">
        <v>0</v>
      </c>
      <c r="N768" t="n">
        <v>0</v>
      </c>
      <c r="O768" t="n">
        <v>0</v>
      </c>
      <c r="P768" t="n">
        <v>0</v>
      </c>
      <c r="Q768" t="n">
        <v>0</v>
      </c>
      <c r="R768" s="2" t="inlineStr"/>
    </row>
    <row r="769" ht="15" customHeight="1">
      <c r="A769" t="inlineStr">
        <is>
          <t>A 29189-2025</t>
        </is>
      </c>
      <c r="B769" s="1" t="n">
        <v>45822</v>
      </c>
      <c r="C769" s="1" t="n">
        <v>46119</v>
      </c>
      <c r="D769" t="inlineStr">
        <is>
          <t>SÖDERMANLANDS LÄN</t>
        </is>
      </c>
      <c r="E769" t="inlineStr">
        <is>
          <t>KATRINEHOLM</t>
        </is>
      </c>
      <c r="G769" t="n">
        <v>3.5</v>
      </c>
      <c r="H769" t="n">
        <v>0</v>
      </c>
      <c r="I769" t="n">
        <v>0</v>
      </c>
      <c r="J769" t="n">
        <v>0</v>
      </c>
      <c r="K769" t="n">
        <v>0</v>
      </c>
      <c r="L769" t="n">
        <v>0</v>
      </c>
      <c r="M769" t="n">
        <v>0</v>
      </c>
      <c r="N769" t="n">
        <v>0</v>
      </c>
      <c r="O769" t="n">
        <v>0</v>
      </c>
      <c r="P769" t="n">
        <v>0</v>
      </c>
      <c r="Q769" t="n">
        <v>0</v>
      </c>
      <c r="R769" s="2" t="inlineStr"/>
    </row>
    <row r="770" ht="15" customHeight="1">
      <c r="A770" t="inlineStr">
        <is>
          <t>A 30287-2025</t>
        </is>
      </c>
      <c r="B770" s="1" t="n">
        <v>45827</v>
      </c>
      <c r="C770" s="1" t="n">
        <v>46119</v>
      </c>
      <c r="D770" t="inlineStr">
        <is>
          <t>SÖDERMANLANDS LÄN</t>
        </is>
      </c>
      <c r="E770" t="inlineStr">
        <is>
          <t>KATRINEHOLM</t>
        </is>
      </c>
      <c r="G770" t="n">
        <v>10.2</v>
      </c>
      <c r="H770" t="n">
        <v>0</v>
      </c>
      <c r="I770" t="n">
        <v>0</v>
      </c>
      <c r="J770" t="n">
        <v>0</v>
      </c>
      <c r="K770" t="n">
        <v>0</v>
      </c>
      <c r="L770" t="n">
        <v>0</v>
      </c>
      <c r="M770" t="n">
        <v>0</v>
      </c>
      <c r="N770" t="n">
        <v>0</v>
      </c>
      <c r="O770" t="n">
        <v>0</v>
      </c>
      <c r="P770" t="n">
        <v>0</v>
      </c>
      <c r="Q770" t="n">
        <v>0</v>
      </c>
      <c r="R770" s="2" t="inlineStr"/>
    </row>
    <row r="771" ht="15" customHeight="1">
      <c r="A771" t="inlineStr">
        <is>
          <t>A 30352-2025</t>
        </is>
      </c>
      <c r="B771" s="1" t="n">
        <v>45827</v>
      </c>
      <c r="C771" s="1" t="n">
        <v>46119</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30050-2025</t>
        </is>
      </c>
      <c r="B772" s="1" t="n">
        <v>45826.59151620371</v>
      </c>
      <c r="C772" s="1" t="n">
        <v>46119</v>
      </c>
      <c r="D772" t="inlineStr">
        <is>
          <t>SÖDERMANLANDS LÄN</t>
        </is>
      </c>
      <c r="E772" t="inlineStr">
        <is>
          <t>KATRINEHOLM</t>
        </is>
      </c>
      <c r="G772" t="n">
        <v>7.9</v>
      </c>
      <c r="H772" t="n">
        <v>0</v>
      </c>
      <c r="I772" t="n">
        <v>0</v>
      </c>
      <c r="J772" t="n">
        <v>0</v>
      </c>
      <c r="K772" t="n">
        <v>0</v>
      </c>
      <c r="L772" t="n">
        <v>0</v>
      </c>
      <c r="M772" t="n">
        <v>0</v>
      </c>
      <c r="N772" t="n">
        <v>0</v>
      </c>
      <c r="O772" t="n">
        <v>0</v>
      </c>
      <c r="P772" t="n">
        <v>0</v>
      </c>
      <c r="Q772" t="n">
        <v>0</v>
      </c>
      <c r="R772" s="2" t="inlineStr"/>
    </row>
    <row r="773" ht="15" customHeight="1">
      <c r="A773" t="inlineStr">
        <is>
          <t>A 30350-2025</t>
        </is>
      </c>
      <c r="B773" s="1" t="n">
        <v>45827.53319444445</v>
      </c>
      <c r="C773" s="1" t="n">
        <v>46119</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30386-2025</t>
        </is>
      </c>
      <c r="B774" s="1" t="n">
        <v>45827</v>
      </c>
      <c r="C774" s="1" t="n">
        <v>46119</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30070-2025</t>
        </is>
      </c>
      <c r="B775" s="1" t="n">
        <v>45826.63324074074</v>
      </c>
      <c r="C775" s="1" t="n">
        <v>46119</v>
      </c>
      <c r="D775" t="inlineStr">
        <is>
          <t>SÖDERMANLANDS LÄN</t>
        </is>
      </c>
      <c r="E775" t="inlineStr">
        <is>
          <t>KATRINEHOLM</t>
        </is>
      </c>
      <c r="G775" t="n">
        <v>1.7</v>
      </c>
      <c r="H775" t="n">
        <v>0</v>
      </c>
      <c r="I775" t="n">
        <v>0</v>
      </c>
      <c r="J775" t="n">
        <v>0</v>
      </c>
      <c r="K775" t="n">
        <v>0</v>
      </c>
      <c r="L775" t="n">
        <v>0</v>
      </c>
      <c r="M775" t="n">
        <v>0</v>
      </c>
      <c r="N775" t="n">
        <v>0</v>
      </c>
      <c r="O775" t="n">
        <v>0</v>
      </c>
      <c r="P775" t="n">
        <v>0</v>
      </c>
      <c r="Q775" t="n">
        <v>0</v>
      </c>
      <c r="R775" s="2" t="inlineStr"/>
    </row>
    <row r="776" ht="15" customHeight="1">
      <c r="A776" t="inlineStr">
        <is>
          <t>A 30402-2025</t>
        </is>
      </c>
      <c r="B776" s="1" t="n">
        <v>45827</v>
      </c>
      <c r="C776" s="1" t="n">
        <v>46119</v>
      </c>
      <c r="D776" t="inlineStr">
        <is>
          <t>SÖDERMANLANDS LÄN</t>
        </is>
      </c>
      <c r="E776" t="inlineStr">
        <is>
          <t>KATRINEHOLM</t>
        </is>
      </c>
      <c r="G776" t="n">
        <v>7.1</v>
      </c>
      <c r="H776" t="n">
        <v>0</v>
      </c>
      <c r="I776" t="n">
        <v>0</v>
      </c>
      <c r="J776" t="n">
        <v>0</v>
      </c>
      <c r="K776" t="n">
        <v>0</v>
      </c>
      <c r="L776" t="n">
        <v>0</v>
      </c>
      <c r="M776" t="n">
        <v>0</v>
      </c>
      <c r="N776" t="n">
        <v>0</v>
      </c>
      <c r="O776" t="n">
        <v>0</v>
      </c>
      <c r="P776" t="n">
        <v>0</v>
      </c>
      <c r="Q776" t="n">
        <v>0</v>
      </c>
      <c r="R776" s="2" t="inlineStr"/>
    </row>
    <row r="777" ht="15" customHeight="1">
      <c r="A777" t="inlineStr">
        <is>
          <t>A 31392-2025</t>
        </is>
      </c>
      <c r="B777" s="1" t="n">
        <v>45833</v>
      </c>
      <c r="C777" s="1" t="n">
        <v>46119</v>
      </c>
      <c r="D777" t="inlineStr">
        <is>
          <t>SÖDERMANLANDS LÄN</t>
        </is>
      </c>
      <c r="E777" t="inlineStr">
        <is>
          <t>KATRINEHOLM</t>
        </is>
      </c>
      <c r="G777" t="n">
        <v>5</v>
      </c>
      <c r="H777" t="n">
        <v>0</v>
      </c>
      <c r="I777" t="n">
        <v>0</v>
      </c>
      <c r="J777" t="n">
        <v>0</v>
      </c>
      <c r="K777" t="n">
        <v>0</v>
      </c>
      <c r="L777" t="n">
        <v>0</v>
      </c>
      <c r="M777" t="n">
        <v>0</v>
      </c>
      <c r="N777" t="n">
        <v>0</v>
      </c>
      <c r="O777" t="n">
        <v>0</v>
      </c>
      <c r="P777" t="n">
        <v>0</v>
      </c>
      <c r="Q777" t="n">
        <v>0</v>
      </c>
      <c r="R777" s="2" t="inlineStr"/>
    </row>
    <row r="778" ht="15" customHeight="1">
      <c r="A778" t="inlineStr">
        <is>
          <t>A 31376-2025</t>
        </is>
      </c>
      <c r="B778" s="1" t="n">
        <v>45833</v>
      </c>
      <c r="C778" s="1" t="n">
        <v>46119</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31386-2025</t>
        </is>
      </c>
      <c r="B779" s="1" t="n">
        <v>45833.45259259259</v>
      </c>
      <c r="C779" s="1" t="n">
        <v>46119</v>
      </c>
      <c r="D779" t="inlineStr">
        <is>
          <t>SÖDERMANLANDS LÄN</t>
        </is>
      </c>
      <c r="E779" t="inlineStr">
        <is>
          <t>KATRINEHOLM</t>
        </is>
      </c>
      <c r="F779" t="inlineStr">
        <is>
          <t>Övriga Aktiebolag</t>
        </is>
      </c>
      <c r="G779" t="n">
        <v>2.2</v>
      </c>
      <c r="H779" t="n">
        <v>0</v>
      </c>
      <c r="I779" t="n">
        <v>0</v>
      </c>
      <c r="J779" t="n">
        <v>0</v>
      </c>
      <c r="K779" t="n">
        <v>0</v>
      </c>
      <c r="L779" t="n">
        <v>0</v>
      </c>
      <c r="M779" t="n">
        <v>0</v>
      </c>
      <c r="N779" t="n">
        <v>0</v>
      </c>
      <c r="O779" t="n">
        <v>0</v>
      </c>
      <c r="P779" t="n">
        <v>0</v>
      </c>
      <c r="Q779" t="n">
        <v>0</v>
      </c>
      <c r="R779" s="2" t="inlineStr"/>
    </row>
    <row r="780" ht="15" customHeight="1">
      <c r="A780" t="inlineStr">
        <is>
          <t>A 31990-2025</t>
        </is>
      </c>
      <c r="B780" s="1" t="n">
        <v>45835.36697916667</v>
      </c>
      <c r="C780" s="1" t="n">
        <v>46119</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33084-2025</t>
        </is>
      </c>
      <c r="B781" s="1" t="n">
        <v>45840.46559027778</v>
      </c>
      <c r="C781" s="1" t="n">
        <v>46119</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33577-2025</t>
        </is>
      </c>
      <c r="B782" s="1" t="n">
        <v>45841.59056712963</v>
      </c>
      <c r="C782" s="1" t="n">
        <v>46119</v>
      </c>
      <c r="D782" t="inlineStr">
        <is>
          <t>SÖDERMANLANDS LÄN</t>
        </is>
      </c>
      <c r="E782" t="inlineStr">
        <is>
          <t>KATRINEHOLM</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33090-2025</t>
        </is>
      </c>
      <c r="B783" s="1" t="n">
        <v>45840.46840277778</v>
      </c>
      <c r="C783" s="1" t="n">
        <v>46119</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33812-2025</t>
        </is>
      </c>
      <c r="B784" s="1" t="n">
        <v>45842</v>
      </c>
      <c r="C784" s="1" t="n">
        <v>46119</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6762-2025</t>
        </is>
      </c>
      <c r="B785" s="1" t="n">
        <v>45700</v>
      </c>
      <c r="C785" s="1" t="n">
        <v>46119</v>
      </c>
      <c r="D785" t="inlineStr">
        <is>
          <t>SÖDERMANLANDS LÄN</t>
        </is>
      </c>
      <c r="E785" t="inlineStr">
        <is>
          <t>KATRINEHOLM</t>
        </is>
      </c>
      <c r="G785" t="n">
        <v>1</v>
      </c>
      <c r="H785" t="n">
        <v>0</v>
      </c>
      <c r="I785" t="n">
        <v>0</v>
      </c>
      <c r="J785" t="n">
        <v>0</v>
      </c>
      <c r="K785" t="n">
        <v>0</v>
      </c>
      <c r="L785" t="n">
        <v>0</v>
      </c>
      <c r="M785" t="n">
        <v>0</v>
      </c>
      <c r="N785" t="n">
        <v>0</v>
      </c>
      <c r="O785" t="n">
        <v>0</v>
      </c>
      <c r="P785" t="n">
        <v>0</v>
      </c>
      <c r="Q785" t="n">
        <v>0</v>
      </c>
      <c r="R785" s="2" t="inlineStr"/>
    </row>
    <row r="786" ht="15" customHeight="1">
      <c r="A786" t="inlineStr">
        <is>
          <t>A 33815-2025</t>
        </is>
      </c>
      <c r="B786" s="1" t="n">
        <v>45842</v>
      </c>
      <c r="C786" s="1" t="n">
        <v>46119</v>
      </c>
      <c r="D786" t="inlineStr">
        <is>
          <t>SÖDERMANLANDS LÄN</t>
        </is>
      </c>
      <c r="E786" t="inlineStr">
        <is>
          <t>KATRINEHOLM</t>
        </is>
      </c>
      <c r="G786" t="n">
        <v>3.4</v>
      </c>
      <c r="H786" t="n">
        <v>0</v>
      </c>
      <c r="I786" t="n">
        <v>0</v>
      </c>
      <c r="J786" t="n">
        <v>0</v>
      </c>
      <c r="K786" t="n">
        <v>0</v>
      </c>
      <c r="L786" t="n">
        <v>0</v>
      </c>
      <c r="M786" t="n">
        <v>0</v>
      </c>
      <c r="N786" t="n">
        <v>0</v>
      </c>
      <c r="O786" t="n">
        <v>0</v>
      </c>
      <c r="P786" t="n">
        <v>0</v>
      </c>
      <c r="Q786" t="n">
        <v>0</v>
      </c>
      <c r="R786" s="2" t="inlineStr"/>
    </row>
    <row r="787">
      <c r="A787" t="inlineStr">
        <is>
          <t>A 20213-2025</t>
        </is>
      </c>
      <c r="B787" s="1" t="n">
        <v>45772.63453703704</v>
      </c>
      <c r="C787" s="1" t="n">
        <v>46119</v>
      </c>
      <c r="D787" t="inlineStr">
        <is>
          <t>SÖDERMANLANDS LÄN</t>
        </is>
      </c>
      <c r="E787" t="inlineStr">
        <is>
          <t>KATRINEHOLM</t>
        </is>
      </c>
      <c r="G787" t="n">
        <v>8.199999999999999</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2026-04-07T10:43:08Z</dcterms:created>
  <dcterms:modified xmlns:dcterms="http://purl.org/dc/terms/" xmlns:xsi="http://www.w3.org/2001/XMLSchema-instance" xsi:type="dcterms:W3CDTF">2026-04-07T10:43:08Z</dcterms:modified>
</cp:coreProperties>
</file>