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45705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45705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45705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45705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45705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45705</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45705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45705</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45705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45705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45705</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45705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45705</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45705</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45705</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45705</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45705</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45705</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45705</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45705</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45705</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45705</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45705</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45705</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45705</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45705</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45705</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45705</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45705</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45705</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45705</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45705</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45705</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45705</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45705</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45705</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45705</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45705</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45705</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45705</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45705</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45705</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45705</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45705</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45705</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45705</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45705</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45705</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45705</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45705</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45705</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45705</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45705</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45705</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45705</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45705</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45705</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45705</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45705</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45705</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45705</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45705</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45705</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45705</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45705</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45705</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45705</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45705</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45705</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45705</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45705</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45705</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45705</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45705</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45705</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45705</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45705</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45705</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45705</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45705</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45705</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45705</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45705</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45705</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45705</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45705</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21312-2024</t>
        </is>
      </c>
      <c r="B89" s="1" t="n">
        <v>45440</v>
      </c>
      <c r="C89" s="1" t="n">
        <v>45705</v>
      </c>
      <c r="D89" t="inlineStr">
        <is>
          <t>SÖDERMANLANDS LÄN</t>
        </is>
      </c>
      <c r="E89" t="inlineStr">
        <is>
          <t>KATRINEHOLM</t>
        </is>
      </c>
      <c r="G89" t="n">
        <v>2</v>
      </c>
      <c r="H89" t="n">
        <v>1</v>
      </c>
      <c r="I89" t="n">
        <v>0</v>
      </c>
      <c r="J89" t="n">
        <v>0</v>
      </c>
      <c r="K89" t="n">
        <v>0</v>
      </c>
      <c r="L89" t="n">
        <v>0</v>
      </c>
      <c r="M89" t="n">
        <v>0</v>
      </c>
      <c r="N89" t="n">
        <v>0</v>
      </c>
      <c r="O89" t="n">
        <v>0</v>
      </c>
      <c r="P89" t="n">
        <v>0</v>
      </c>
      <c r="Q89" t="n">
        <v>1</v>
      </c>
      <c r="R89" s="2" t="inlineStr">
        <is>
          <t>Blåsippa</t>
        </is>
      </c>
      <c r="S89">
        <f>HYPERLINK("https://klasma.github.io/Logging_0483/artfynd/A 21312-2024 artfynd.xlsx", "A 21312-2024")</f>
        <v/>
      </c>
      <c r="T89">
        <f>HYPERLINK("https://klasma.github.io/Logging_0483/kartor/A 21312-2024 karta.png", "A 21312-2024")</f>
        <v/>
      </c>
      <c r="V89">
        <f>HYPERLINK("https://klasma.github.io/Logging_0483/klagomål/A 21312-2024 FSC-klagomål.docx", "A 21312-2024")</f>
        <v/>
      </c>
      <c r="W89">
        <f>HYPERLINK("https://klasma.github.io/Logging_0483/klagomålsmail/A 21312-2024 FSC-klagomål mail.docx", "A 21312-2024")</f>
        <v/>
      </c>
      <c r="X89">
        <f>HYPERLINK("https://klasma.github.io/Logging_0483/tillsyn/A 21312-2024 tillsynsbegäran.docx", "A 21312-2024")</f>
        <v/>
      </c>
      <c r="Y89">
        <f>HYPERLINK("https://klasma.github.io/Logging_0483/tillsynsmail/A 21312-2024 tillsynsbegäran mail.docx", "A 21312-2024")</f>
        <v/>
      </c>
    </row>
    <row r="90" ht="15" customHeight="1">
      <c r="A90" t="inlineStr">
        <is>
          <t>A 43919-2024</t>
        </is>
      </c>
      <c r="B90" s="1" t="n">
        <v>45570</v>
      </c>
      <c r="C90" s="1" t="n">
        <v>45705</v>
      </c>
      <c r="D90" t="inlineStr">
        <is>
          <t>SÖDERMANLANDS LÄN</t>
        </is>
      </c>
      <c r="E90" t="inlineStr">
        <is>
          <t>KATRINEHOLM</t>
        </is>
      </c>
      <c r="G90" t="n">
        <v>4</v>
      </c>
      <c r="H90" t="n">
        <v>1</v>
      </c>
      <c r="I90" t="n">
        <v>0</v>
      </c>
      <c r="J90" t="n">
        <v>0</v>
      </c>
      <c r="K90" t="n">
        <v>0</v>
      </c>
      <c r="L90" t="n">
        <v>0</v>
      </c>
      <c r="M90" t="n">
        <v>0</v>
      </c>
      <c r="N90" t="n">
        <v>0</v>
      </c>
      <c r="O90" t="n">
        <v>0</v>
      </c>
      <c r="P90" t="n">
        <v>0</v>
      </c>
      <c r="Q90" t="n">
        <v>1</v>
      </c>
      <c r="R90" s="2" t="inlineStr">
        <is>
          <t>Mattlummer</t>
        </is>
      </c>
      <c r="S90">
        <f>HYPERLINK("https://klasma.github.io/Logging_0483/artfynd/A 43919-2024 artfynd.xlsx", "A 43919-2024")</f>
        <v/>
      </c>
      <c r="T90">
        <f>HYPERLINK("https://klasma.github.io/Logging_0483/kartor/A 43919-2024 karta.png", "A 43919-2024")</f>
        <v/>
      </c>
      <c r="V90">
        <f>HYPERLINK("https://klasma.github.io/Logging_0483/klagomål/A 43919-2024 FSC-klagomål.docx", "A 43919-2024")</f>
        <v/>
      </c>
      <c r="W90">
        <f>HYPERLINK("https://klasma.github.io/Logging_0483/klagomålsmail/A 43919-2024 FSC-klagomål mail.docx", "A 43919-2024")</f>
        <v/>
      </c>
      <c r="X90">
        <f>HYPERLINK("https://klasma.github.io/Logging_0483/tillsyn/A 43919-2024 tillsynsbegäran.docx", "A 43919-2024")</f>
        <v/>
      </c>
      <c r="Y90">
        <f>HYPERLINK("https://klasma.github.io/Logging_0483/tillsynsmail/A 43919-2024 tillsynsbegäran mail.docx", "A 43919-2024")</f>
        <v/>
      </c>
    </row>
    <row r="91" ht="15" customHeight="1">
      <c r="A91" t="inlineStr">
        <is>
          <t>A 44413-2024</t>
        </is>
      </c>
      <c r="B91" s="1" t="n">
        <v>45573</v>
      </c>
      <c r="C91" s="1" t="n">
        <v>45705</v>
      </c>
      <c r="D91" t="inlineStr">
        <is>
          <t>SÖDERMANLANDS LÄN</t>
        </is>
      </c>
      <c r="E91" t="inlineStr">
        <is>
          <t>KATRINEHOLM</t>
        </is>
      </c>
      <c r="G91" t="n">
        <v>0.7</v>
      </c>
      <c r="H91" t="n">
        <v>1</v>
      </c>
      <c r="I91" t="n">
        <v>0</v>
      </c>
      <c r="J91" t="n">
        <v>0</v>
      </c>
      <c r="K91" t="n">
        <v>1</v>
      </c>
      <c r="L91" t="n">
        <v>0</v>
      </c>
      <c r="M91" t="n">
        <v>0</v>
      </c>
      <c r="N91" t="n">
        <v>0</v>
      </c>
      <c r="O91" t="n">
        <v>1</v>
      </c>
      <c r="P91" t="n">
        <v>1</v>
      </c>
      <c r="Q91" t="n">
        <v>1</v>
      </c>
      <c r="R91" s="2" t="inlineStr">
        <is>
          <t>Knärot</t>
        </is>
      </c>
      <c r="S91">
        <f>HYPERLINK("https://klasma.github.io/Logging_0483/artfynd/A 44413-2024 artfynd.xlsx", "A 44413-2024")</f>
        <v/>
      </c>
      <c r="T91">
        <f>HYPERLINK("https://klasma.github.io/Logging_0483/kartor/A 44413-2024 karta.png", "A 44413-2024")</f>
        <v/>
      </c>
      <c r="U91">
        <f>HYPERLINK("https://klasma.github.io/Logging_0483/knärot/A 44413-2024 karta knärot.png", "A 44413-2024")</f>
        <v/>
      </c>
      <c r="V91">
        <f>HYPERLINK("https://klasma.github.io/Logging_0483/klagomål/A 44413-2024 FSC-klagomål.docx", "A 44413-2024")</f>
        <v/>
      </c>
      <c r="W91">
        <f>HYPERLINK("https://klasma.github.io/Logging_0483/klagomålsmail/A 44413-2024 FSC-klagomål mail.docx", "A 44413-2024")</f>
        <v/>
      </c>
      <c r="X91">
        <f>HYPERLINK("https://klasma.github.io/Logging_0483/tillsyn/A 44413-2024 tillsynsbegäran.docx", "A 44413-2024")</f>
        <v/>
      </c>
      <c r="Y91">
        <f>HYPERLINK("https://klasma.github.io/Logging_0483/tillsynsmail/A 44413-2024 tillsynsbegäran mail.docx", "A 44413-2024")</f>
        <v/>
      </c>
    </row>
    <row r="92" ht="15" customHeight="1">
      <c r="A92" t="inlineStr">
        <is>
          <t>A 48004-2024</t>
        </is>
      </c>
      <c r="B92" s="1" t="n">
        <v>45589</v>
      </c>
      <c r="C92" s="1" t="n">
        <v>45705</v>
      </c>
      <c r="D92" t="inlineStr">
        <is>
          <t>SÖDERMANLANDS LÄN</t>
        </is>
      </c>
      <c r="E92" t="inlineStr">
        <is>
          <t>KATRINEHOLM</t>
        </is>
      </c>
      <c r="G92" t="n">
        <v>2.2</v>
      </c>
      <c r="H92" t="n">
        <v>0</v>
      </c>
      <c r="I92" t="n">
        <v>0</v>
      </c>
      <c r="J92" t="n">
        <v>0</v>
      </c>
      <c r="K92" t="n">
        <v>1</v>
      </c>
      <c r="L92" t="n">
        <v>0</v>
      </c>
      <c r="M92" t="n">
        <v>0</v>
      </c>
      <c r="N92" t="n">
        <v>0</v>
      </c>
      <c r="O92" t="n">
        <v>1</v>
      </c>
      <c r="P92" t="n">
        <v>1</v>
      </c>
      <c r="Q92" t="n">
        <v>1</v>
      </c>
      <c r="R92" s="2" t="inlineStr">
        <is>
          <t>Grenticka</t>
        </is>
      </c>
      <c r="S92">
        <f>HYPERLINK("https://klasma.github.io/Logging_0483/artfynd/A 48004-2024 artfynd.xlsx", "A 48004-2024")</f>
        <v/>
      </c>
      <c r="T92">
        <f>HYPERLINK("https://klasma.github.io/Logging_0483/kartor/A 48004-2024 karta.png", "A 48004-2024")</f>
        <v/>
      </c>
      <c r="V92">
        <f>HYPERLINK("https://klasma.github.io/Logging_0483/klagomål/A 48004-2024 FSC-klagomål.docx", "A 48004-2024")</f>
        <v/>
      </c>
      <c r="W92">
        <f>HYPERLINK("https://klasma.github.io/Logging_0483/klagomålsmail/A 48004-2024 FSC-klagomål mail.docx", "A 48004-2024")</f>
        <v/>
      </c>
      <c r="X92">
        <f>HYPERLINK("https://klasma.github.io/Logging_0483/tillsyn/A 48004-2024 tillsynsbegäran.docx", "A 48004-2024")</f>
        <v/>
      </c>
      <c r="Y92">
        <f>HYPERLINK("https://klasma.github.io/Logging_0483/tillsynsmail/A 48004-2024 tillsynsbegäran mail.docx", "A 48004-2024")</f>
        <v/>
      </c>
    </row>
    <row r="93" ht="15" customHeight="1">
      <c r="A93" t="inlineStr">
        <is>
          <t>A 18431-2019</t>
        </is>
      </c>
      <c r="B93" s="1" t="n">
        <v>43559</v>
      </c>
      <c r="C93" s="1" t="n">
        <v>45705</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18869-2019</t>
        </is>
      </c>
      <c r="B94" s="1" t="n">
        <v>43563</v>
      </c>
      <c r="C94" s="1" t="n">
        <v>45705</v>
      </c>
      <c r="D94" t="inlineStr">
        <is>
          <t>SÖDERMANLANDS LÄN</t>
        </is>
      </c>
      <c r="E94" t="inlineStr">
        <is>
          <t>KATRINEHOLM</t>
        </is>
      </c>
      <c r="G94" t="n">
        <v>1.4</v>
      </c>
      <c r="H94" t="n">
        <v>0</v>
      </c>
      <c r="I94" t="n">
        <v>0</v>
      </c>
      <c r="J94" t="n">
        <v>0</v>
      </c>
      <c r="K94" t="n">
        <v>0</v>
      </c>
      <c r="L94" t="n">
        <v>0</v>
      </c>
      <c r="M94" t="n">
        <v>0</v>
      </c>
      <c r="N94" t="n">
        <v>0</v>
      </c>
      <c r="O94" t="n">
        <v>0</v>
      </c>
      <c r="P94" t="n">
        <v>0</v>
      </c>
      <c r="Q94" t="n">
        <v>0</v>
      </c>
      <c r="R94" s="2" t="inlineStr"/>
    </row>
    <row r="95" ht="15" customHeight="1">
      <c r="A95" t="inlineStr">
        <is>
          <t>A 19374-2019</t>
        </is>
      </c>
      <c r="B95" s="1" t="n">
        <v>43565</v>
      </c>
      <c r="C95" s="1" t="n">
        <v>45705</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20084-2019</t>
        </is>
      </c>
      <c r="B96" s="1" t="n">
        <v>43570</v>
      </c>
      <c r="C96" s="1" t="n">
        <v>45705</v>
      </c>
      <c r="D96" t="inlineStr">
        <is>
          <t>SÖDERMANLANDS LÄN</t>
        </is>
      </c>
      <c r="E96" t="inlineStr">
        <is>
          <t>KATRINEHOLM</t>
        </is>
      </c>
      <c r="G96" t="n">
        <v>0.7</v>
      </c>
      <c r="H96" t="n">
        <v>0</v>
      </c>
      <c r="I96" t="n">
        <v>0</v>
      </c>
      <c r="J96" t="n">
        <v>0</v>
      </c>
      <c r="K96" t="n">
        <v>0</v>
      </c>
      <c r="L96" t="n">
        <v>0</v>
      </c>
      <c r="M96" t="n">
        <v>0</v>
      </c>
      <c r="N96" t="n">
        <v>0</v>
      </c>
      <c r="O96" t="n">
        <v>0</v>
      </c>
      <c r="P96" t="n">
        <v>0</v>
      </c>
      <c r="Q96" t="n">
        <v>0</v>
      </c>
      <c r="R96" s="2" t="inlineStr"/>
    </row>
    <row r="97" ht="15" customHeight="1">
      <c r="A97" t="inlineStr">
        <is>
          <t>A 20081-2019</t>
        </is>
      </c>
      <c r="B97" s="1" t="n">
        <v>43570</v>
      </c>
      <c r="C97" s="1" t="n">
        <v>45705</v>
      </c>
      <c r="D97" t="inlineStr">
        <is>
          <t>SÖDERMANLANDS LÄN</t>
        </is>
      </c>
      <c r="E97" t="inlineStr">
        <is>
          <t>KATRINEHOLM</t>
        </is>
      </c>
      <c r="G97" t="n">
        <v>2.8</v>
      </c>
      <c r="H97" t="n">
        <v>0</v>
      </c>
      <c r="I97" t="n">
        <v>0</v>
      </c>
      <c r="J97" t="n">
        <v>0</v>
      </c>
      <c r="K97" t="n">
        <v>0</v>
      </c>
      <c r="L97" t="n">
        <v>0</v>
      </c>
      <c r="M97" t="n">
        <v>0</v>
      </c>
      <c r="N97" t="n">
        <v>0</v>
      </c>
      <c r="O97" t="n">
        <v>0</v>
      </c>
      <c r="P97" t="n">
        <v>0</v>
      </c>
      <c r="Q97" t="n">
        <v>0</v>
      </c>
      <c r="R97" s="2" t="inlineStr"/>
    </row>
    <row r="98" ht="15" customHeight="1">
      <c r="A98" t="inlineStr">
        <is>
          <t>A 20089-2019</t>
        </is>
      </c>
      <c r="B98" s="1" t="n">
        <v>43570</v>
      </c>
      <c r="C98" s="1" t="n">
        <v>45705</v>
      </c>
      <c r="D98" t="inlineStr">
        <is>
          <t>SÖDERMANLANDS LÄN</t>
        </is>
      </c>
      <c r="E98" t="inlineStr">
        <is>
          <t>KATRINEHOLM</t>
        </is>
      </c>
      <c r="G98" t="n">
        <v>1.6</v>
      </c>
      <c r="H98" t="n">
        <v>0</v>
      </c>
      <c r="I98" t="n">
        <v>0</v>
      </c>
      <c r="J98" t="n">
        <v>0</v>
      </c>
      <c r="K98" t="n">
        <v>0</v>
      </c>
      <c r="L98" t="n">
        <v>0</v>
      </c>
      <c r="M98" t="n">
        <v>0</v>
      </c>
      <c r="N98" t="n">
        <v>0</v>
      </c>
      <c r="O98" t="n">
        <v>0</v>
      </c>
      <c r="P98" t="n">
        <v>0</v>
      </c>
      <c r="Q98" t="n">
        <v>0</v>
      </c>
      <c r="R98" s="2" t="inlineStr"/>
    </row>
    <row r="99" ht="15" customHeight="1">
      <c r="A99" t="inlineStr">
        <is>
          <t>A 21994-2019</t>
        </is>
      </c>
      <c r="B99" s="1" t="n">
        <v>43581</v>
      </c>
      <c r="C99" s="1" t="n">
        <v>45705</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22691-2019</t>
        </is>
      </c>
      <c r="B100" s="1" t="n">
        <v>43588</v>
      </c>
      <c r="C100" s="1" t="n">
        <v>45705</v>
      </c>
      <c r="D100" t="inlineStr">
        <is>
          <t>SÖDERMANLANDS LÄN</t>
        </is>
      </c>
      <c r="E100" t="inlineStr">
        <is>
          <t>KATRINEHOLM</t>
        </is>
      </c>
      <c r="G100" t="n">
        <v>2.4</v>
      </c>
      <c r="H100" t="n">
        <v>0</v>
      </c>
      <c r="I100" t="n">
        <v>0</v>
      </c>
      <c r="J100" t="n">
        <v>0</v>
      </c>
      <c r="K100" t="n">
        <v>0</v>
      </c>
      <c r="L100" t="n">
        <v>0</v>
      </c>
      <c r="M100" t="n">
        <v>0</v>
      </c>
      <c r="N100" t="n">
        <v>0</v>
      </c>
      <c r="O100" t="n">
        <v>0</v>
      </c>
      <c r="P100" t="n">
        <v>0</v>
      </c>
      <c r="Q100" t="n">
        <v>0</v>
      </c>
      <c r="R100" s="2" t="inlineStr"/>
    </row>
    <row r="101" ht="15" customHeight="1">
      <c r="A101" t="inlineStr">
        <is>
          <t>A 22839-2019</t>
        </is>
      </c>
      <c r="B101" s="1" t="n">
        <v>43591</v>
      </c>
      <c r="C101" s="1" t="n">
        <v>45705</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23679-2019</t>
        </is>
      </c>
      <c r="B102" s="1" t="n">
        <v>43594</v>
      </c>
      <c r="C102" s="1" t="n">
        <v>45705</v>
      </c>
      <c r="D102" t="inlineStr">
        <is>
          <t>SÖDERMANLANDS LÄN</t>
        </is>
      </c>
      <c r="E102" t="inlineStr">
        <is>
          <t>KATRINEHOLM</t>
        </is>
      </c>
      <c r="G102" t="n">
        <v>0.5</v>
      </c>
      <c r="H102" t="n">
        <v>0</v>
      </c>
      <c r="I102" t="n">
        <v>0</v>
      </c>
      <c r="J102" t="n">
        <v>0</v>
      </c>
      <c r="K102" t="n">
        <v>0</v>
      </c>
      <c r="L102" t="n">
        <v>0</v>
      </c>
      <c r="M102" t="n">
        <v>0</v>
      </c>
      <c r="N102" t="n">
        <v>0</v>
      </c>
      <c r="O102" t="n">
        <v>0</v>
      </c>
      <c r="P102" t="n">
        <v>0</v>
      </c>
      <c r="Q102" t="n">
        <v>0</v>
      </c>
      <c r="R102" s="2" t="inlineStr"/>
    </row>
    <row r="103" ht="15" customHeight="1">
      <c r="A103" t="inlineStr">
        <is>
          <t>A 24192-2019</t>
        </is>
      </c>
      <c r="B103" s="1" t="n">
        <v>43599</v>
      </c>
      <c r="C103" s="1" t="n">
        <v>45705</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25195-2019</t>
        </is>
      </c>
      <c r="B104" s="1" t="n">
        <v>43605</v>
      </c>
      <c r="C104" s="1" t="n">
        <v>45705</v>
      </c>
      <c r="D104" t="inlineStr">
        <is>
          <t>SÖDERMANLANDS LÄN</t>
        </is>
      </c>
      <c r="E104" t="inlineStr">
        <is>
          <t>KATRINEHOLM</t>
        </is>
      </c>
      <c r="F104" t="inlineStr">
        <is>
          <t>Kommuner</t>
        </is>
      </c>
      <c r="G104" t="n">
        <v>1.6</v>
      </c>
      <c r="H104" t="n">
        <v>0</v>
      </c>
      <c r="I104" t="n">
        <v>0</v>
      </c>
      <c r="J104" t="n">
        <v>0</v>
      </c>
      <c r="K104" t="n">
        <v>0</v>
      </c>
      <c r="L104" t="n">
        <v>0</v>
      </c>
      <c r="M104" t="n">
        <v>0</v>
      </c>
      <c r="N104" t="n">
        <v>0</v>
      </c>
      <c r="O104" t="n">
        <v>0</v>
      </c>
      <c r="P104" t="n">
        <v>0</v>
      </c>
      <c r="Q104" t="n">
        <v>0</v>
      </c>
      <c r="R104" s="2" t="inlineStr"/>
    </row>
    <row r="105" ht="15" customHeight="1">
      <c r="A105" t="inlineStr">
        <is>
          <t>A 25570-2019</t>
        </is>
      </c>
      <c r="B105" s="1" t="n">
        <v>43607</v>
      </c>
      <c r="C105" s="1" t="n">
        <v>45705</v>
      </c>
      <c r="D105" t="inlineStr">
        <is>
          <t>SÖDERMANLANDS LÄN</t>
        </is>
      </c>
      <c r="E105" t="inlineStr">
        <is>
          <t>KATRINEHOLM</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25936-2019</t>
        </is>
      </c>
      <c r="B106" s="1" t="n">
        <v>43608</v>
      </c>
      <c r="C106" s="1" t="n">
        <v>45705</v>
      </c>
      <c r="D106" t="inlineStr">
        <is>
          <t>SÖDERMANLANDS LÄN</t>
        </is>
      </c>
      <c r="E106" t="inlineStr">
        <is>
          <t>KATRINEHOLM</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26339-2019</t>
        </is>
      </c>
      <c r="B107" s="1" t="n">
        <v>43612</v>
      </c>
      <c r="C107" s="1" t="n">
        <v>45705</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26532-2019</t>
        </is>
      </c>
      <c r="B108" s="1" t="n">
        <v>43612</v>
      </c>
      <c r="C108" s="1" t="n">
        <v>45705</v>
      </c>
      <c r="D108" t="inlineStr">
        <is>
          <t>SÖDERMANLANDS LÄN</t>
        </is>
      </c>
      <c r="E108" t="inlineStr">
        <is>
          <t>KATRINEHOLM</t>
        </is>
      </c>
      <c r="G108" t="n">
        <v>4.2</v>
      </c>
      <c r="H108" t="n">
        <v>0</v>
      </c>
      <c r="I108" t="n">
        <v>0</v>
      </c>
      <c r="J108" t="n">
        <v>0</v>
      </c>
      <c r="K108" t="n">
        <v>0</v>
      </c>
      <c r="L108" t="n">
        <v>0</v>
      </c>
      <c r="M108" t="n">
        <v>0</v>
      </c>
      <c r="N108" t="n">
        <v>0</v>
      </c>
      <c r="O108" t="n">
        <v>0</v>
      </c>
      <c r="P108" t="n">
        <v>0</v>
      </c>
      <c r="Q108" t="n">
        <v>0</v>
      </c>
      <c r="R108" s="2" t="inlineStr"/>
    </row>
    <row r="109" ht="15" customHeight="1">
      <c r="A109" t="inlineStr">
        <is>
          <t>A 28673-2019</t>
        </is>
      </c>
      <c r="B109" s="1" t="n">
        <v>43614</v>
      </c>
      <c r="C109" s="1" t="n">
        <v>45705</v>
      </c>
      <c r="D109" t="inlineStr">
        <is>
          <t>SÖDERMANLANDS LÄN</t>
        </is>
      </c>
      <c r="E109" t="inlineStr">
        <is>
          <t>KATRINEHOLM</t>
        </is>
      </c>
      <c r="F109" t="inlineStr">
        <is>
          <t>Allmännings- och besparingsskogar</t>
        </is>
      </c>
      <c r="G109" t="n">
        <v>1.3</v>
      </c>
      <c r="H109" t="n">
        <v>0</v>
      </c>
      <c r="I109" t="n">
        <v>0</v>
      </c>
      <c r="J109" t="n">
        <v>0</v>
      </c>
      <c r="K109" t="n">
        <v>0</v>
      </c>
      <c r="L109" t="n">
        <v>0</v>
      </c>
      <c r="M109" t="n">
        <v>0</v>
      </c>
      <c r="N109" t="n">
        <v>0</v>
      </c>
      <c r="O109" t="n">
        <v>0</v>
      </c>
      <c r="P109" t="n">
        <v>0</v>
      </c>
      <c r="Q109" t="n">
        <v>0</v>
      </c>
      <c r="R109" s="2" t="inlineStr"/>
    </row>
    <row r="110" ht="15" customHeight="1">
      <c r="A110" t="inlineStr">
        <is>
          <t>A 29433-2019</t>
        </is>
      </c>
      <c r="B110" s="1" t="n">
        <v>43623</v>
      </c>
      <c r="C110" s="1" t="n">
        <v>45705</v>
      </c>
      <c r="D110" t="inlineStr">
        <is>
          <t>SÖDERMANLANDS LÄN</t>
        </is>
      </c>
      <c r="E110" t="inlineStr">
        <is>
          <t>KATRINEHOLM</t>
        </is>
      </c>
      <c r="G110" t="n">
        <v>16.7</v>
      </c>
      <c r="H110" t="n">
        <v>0</v>
      </c>
      <c r="I110" t="n">
        <v>0</v>
      </c>
      <c r="J110" t="n">
        <v>0</v>
      </c>
      <c r="K110" t="n">
        <v>0</v>
      </c>
      <c r="L110" t="n">
        <v>0</v>
      </c>
      <c r="M110" t="n">
        <v>0</v>
      </c>
      <c r="N110" t="n">
        <v>0</v>
      </c>
      <c r="O110" t="n">
        <v>0</v>
      </c>
      <c r="P110" t="n">
        <v>0</v>
      </c>
      <c r="Q110" t="n">
        <v>0</v>
      </c>
      <c r="R110" s="2" t="inlineStr"/>
    </row>
    <row r="111" ht="15" customHeight="1">
      <c r="A111" t="inlineStr">
        <is>
          <t>A 30604-2019</t>
        </is>
      </c>
      <c r="B111" s="1" t="n">
        <v>43635</v>
      </c>
      <c r="C111" s="1" t="n">
        <v>45705</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32194-2019</t>
        </is>
      </c>
      <c r="B112" s="1" t="n">
        <v>43643</v>
      </c>
      <c r="C112" s="1" t="n">
        <v>45705</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32555-2019</t>
        </is>
      </c>
      <c r="B113" s="1" t="n">
        <v>43645</v>
      </c>
      <c r="C113" s="1" t="n">
        <v>45705</v>
      </c>
      <c r="D113" t="inlineStr">
        <is>
          <t>SÖDERMANLANDS LÄN</t>
        </is>
      </c>
      <c r="E113" t="inlineStr">
        <is>
          <t>KATRINEHOLM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34856-2019</t>
        </is>
      </c>
      <c r="B114" s="1" t="n">
        <v>43650</v>
      </c>
      <c r="C114" s="1" t="n">
        <v>45705</v>
      </c>
      <c r="D114" t="inlineStr">
        <is>
          <t>SÖDERMANLANDS LÄN</t>
        </is>
      </c>
      <c r="E114" t="inlineStr">
        <is>
          <t>KATRINEHOLM</t>
        </is>
      </c>
      <c r="G114" t="n">
        <v>2.7</v>
      </c>
      <c r="H114" t="n">
        <v>0</v>
      </c>
      <c r="I114" t="n">
        <v>0</v>
      </c>
      <c r="J114" t="n">
        <v>0</v>
      </c>
      <c r="K114" t="n">
        <v>0</v>
      </c>
      <c r="L114" t="n">
        <v>0</v>
      </c>
      <c r="M114" t="n">
        <v>0</v>
      </c>
      <c r="N114" t="n">
        <v>0</v>
      </c>
      <c r="O114" t="n">
        <v>0</v>
      </c>
      <c r="P114" t="n">
        <v>0</v>
      </c>
      <c r="Q114" t="n">
        <v>0</v>
      </c>
      <c r="R114" s="2" t="inlineStr"/>
    </row>
    <row r="115" ht="15" customHeight="1">
      <c r="A115" t="inlineStr">
        <is>
          <t>A 35428-2019</t>
        </is>
      </c>
      <c r="B115" s="1" t="n">
        <v>43654</v>
      </c>
      <c r="C115" s="1" t="n">
        <v>45705</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36250-2019</t>
        </is>
      </c>
      <c r="B116" s="1" t="n">
        <v>43660</v>
      </c>
      <c r="C116" s="1" t="n">
        <v>45705</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36280-2019</t>
        </is>
      </c>
      <c r="B117" s="1" t="n">
        <v>43661</v>
      </c>
      <c r="C117" s="1" t="n">
        <v>45705</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36279-2019</t>
        </is>
      </c>
      <c r="B118" s="1" t="n">
        <v>43661</v>
      </c>
      <c r="C118" s="1" t="n">
        <v>45705</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35432-2019</t>
        </is>
      </c>
      <c r="B119" s="1" t="n">
        <v>43663</v>
      </c>
      <c r="C119" s="1" t="n">
        <v>45705</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35784-2019</t>
        </is>
      </c>
      <c r="B120" s="1" t="n">
        <v>43665</v>
      </c>
      <c r="C120" s="1" t="n">
        <v>45705</v>
      </c>
      <c r="D120" t="inlineStr">
        <is>
          <t>SÖDERMANLANDS LÄN</t>
        </is>
      </c>
      <c r="E120" t="inlineStr">
        <is>
          <t>KATRINEHOLM</t>
        </is>
      </c>
      <c r="G120" t="n">
        <v>1.3</v>
      </c>
      <c r="H120" t="n">
        <v>0</v>
      </c>
      <c r="I120" t="n">
        <v>0</v>
      </c>
      <c r="J120" t="n">
        <v>0</v>
      </c>
      <c r="K120" t="n">
        <v>0</v>
      </c>
      <c r="L120" t="n">
        <v>0</v>
      </c>
      <c r="M120" t="n">
        <v>0</v>
      </c>
      <c r="N120" t="n">
        <v>0</v>
      </c>
      <c r="O120" t="n">
        <v>0</v>
      </c>
      <c r="P120" t="n">
        <v>0</v>
      </c>
      <c r="Q120" t="n">
        <v>0</v>
      </c>
      <c r="R120" s="2" t="inlineStr"/>
    </row>
    <row r="121" ht="15" customHeight="1">
      <c r="A121" t="inlineStr">
        <is>
          <t>A 36613-2019</t>
        </is>
      </c>
      <c r="B121" s="1" t="n">
        <v>43669</v>
      </c>
      <c r="C121" s="1" t="n">
        <v>45705</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36603-2019</t>
        </is>
      </c>
      <c r="B122" s="1" t="n">
        <v>43669</v>
      </c>
      <c r="C122" s="1" t="n">
        <v>45705</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36408-2019</t>
        </is>
      </c>
      <c r="B123" s="1" t="n">
        <v>43670</v>
      </c>
      <c r="C123" s="1" t="n">
        <v>45705</v>
      </c>
      <c r="D123" t="inlineStr">
        <is>
          <t>SÖDERMANLANDS LÄN</t>
        </is>
      </c>
      <c r="E123" t="inlineStr">
        <is>
          <t>KATRINEHOLM</t>
        </is>
      </c>
      <c r="G123" t="n">
        <v>13.6</v>
      </c>
      <c r="H123" t="n">
        <v>0</v>
      </c>
      <c r="I123" t="n">
        <v>0</v>
      </c>
      <c r="J123" t="n">
        <v>0</v>
      </c>
      <c r="K123" t="n">
        <v>0</v>
      </c>
      <c r="L123" t="n">
        <v>0</v>
      </c>
      <c r="M123" t="n">
        <v>0</v>
      </c>
      <c r="N123" t="n">
        <v>0</v>
      </c>
      <c r="O123" t="n">
        <v>0</v>
      </c>
      <c r="P123" t="n">
        <v>0</v>
      </c>
      <c r="Q123" t="n">
        <v>0</v>
      </c>
      <c r="R123" s="2" t="inlineStr"/>
    </row>
    <row r="124" ht="15" customHeight="1">
      <c r="A124" t="inlineStr">
        <is>
          <t>A 36780-2019</t>
        </is>
      </c>
      <c r="B124" s="1" t="n">
        <v>43672</v>
      </c>
      <c r="C124" s="1" t="n">
        <v>45705</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37321-2019</t>
        </is>
      </c>
      <c r="B125" s="1" t="n">
        <v>43678</v>
      </c>
      <c r="C125" s="1" t="n">
        <v>45705</v>
      </c>
      <c r="D125" t="inlineStr">
        <is>
          <t>SÖDERMANLANDS LÄN</t>
        </is>
      </c>
      <c r="E125" t="inlineStr">
        <is>
          <t>KATRINEHOLM</t>
        </is>
      </c>
      <c r="G125" t="n">
        <v>5.5</v>
      </c>
      <c r="H125" t="n">
        <v>0</v>
      </c>
      <c r="I125" t="n">
        <v>0</v>
      </c>
      <c r="J125" t="n">
        <v>0</v>
      </c>
      <c r="K125" t="n">
        <v>0</v>
      </c>
      <c r="L125" t="n">
        <v>0</v>
      </c>
      <c r="M125" t="n">
        <v>0</v>
      </c>
      <c r="N125" t="n">
        <v>0</v>
      </c>
      <c r="O125" t="n">
        <v>0</v>
      </c>
      <c r="P125" t="n">
        <v>0</v>
      </c>
      <c r="Q125" t="n">
        <v>0</v>
      </c>
      <c r="R125" s="2" t="inlineStr"/>
    </row>
    <row r="126" ht="15" customHeight="1">
      <c r="A126" t="inlineStr">
        <is>
          <t>A 37462-2019</t>
        </is>
      </c>
      <c r="B126" s="1" t="n">
        <v>43678</v>
      </c>
      <c r="C126" s="1" t="n">
        <v>45705</v>
      </c>
      <c r="D126" t="inlineStr">
        <is>
          <t>SÖDERMANLANDS LÄN</t>
        </is>
      </c>
      <c r="E126" t="inlineStr">
        <is>
          <t>KATRINEHOLM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37420-2019</t>
        </is>
      </c>
      <c r="B127" s="1" t="n">
        <v>43678</v>
      </c>
      <c r="C127" s="1" t="n">
        <v>45705</v>
      </c>
      <c r="D127" t="inlineStr">
        <is>
          <t>SÖDERMANLANDS LÄN</t>
        </is>
      </c>
      <c r="E127" t="inlineStr">
        <is>
          <t>KATRINEHOLM</t>
        </is>
      </c>
      <c r="G127" t="n">
        <v>1.6</v>
      </c>
      <c r="H127" t="n">
        <v>0</v>
      </c>
      <c r="I127" t="n">
        <v>0</v>
      </c>
      <c r="J127" t="n">
        <v>0</v>
      </c>
      <c r="K127" t="n">
        <v>0</v>
      </c>
      <c r="L127" t="n">
        <v>0</v>
      </c>
      <c r="M127" t="n">
        <v>0</v>
      </c>
      <c r="N127" t="n">
        <v>0</v>
      </c>
      <c r="O127" t="n">
        <v>0</v>
      </c>
      <c r="P127" t="n">
        <v>0</v>
      </c>
      <c r="Q127" t="n">
        <v>0</v>
      </c>
      <c r="R127" s="2" t="inlineStr"/>
    </row>
    <row r="128" ht="15" customHeight="1">
      <c r="A128" t="inlineStr">
        <is>
          <t>A 39424-2019</t>
        </is>
      </c>
      <c r="B128" s="1" t="n">
        <v>43690</v>
      </c>
      <c r="C128" s="1" t="n">
        <v>45705</v>
      </c>
      <c r="D128" t="inlineStr">
        <is>
          <t>SÖDERMANLANDS LÄN</t>
        </is>
      </c>
      <c r="E128" t="inlineStr">
        <is>
          <t>KATRINEHOLM</t>
        </is>
      </c>
      <c r="G128" t="n">
        <v>25.1</v>
      </c>
      <c r="H128" t="n">
        <v>0</v>
      </c>
      <c r="I128" t="n">
        <v>0</v>
      </c>
      <c r="J128" t="n">
        <v>0</v>
      </c>
      <c r="K128" t="n">
        <v>0</v>
      </c>
      <c r="L128" t="n">
        <v>0</v>
      </c>
      <c r="M128" t="n">
        <v>0</v>
      </c>
      <c r="N128" t="n">
        <v>0</v>
      </c>
      <c r="O128" t="n">
        <v>0</v>
      </c>
      <c r="P128" t="n">
        <v>0</v>
      </c>
      <c r="Q128" t="n">
        <v>0</v>
      </c>
      <c r="R128" s="2" t="inlineStr"/>
    </row>
    <row r="129" ht="15" customHeight="1">
      <c r="A129" t="inlineStr">
        <is>
          <t>A 41126-2019</t>
        </is>
      </c>
      <c r="B129" s="1" t="n">
        <v>43691</v>
      </c>
      <c r="C129" s="1" t="n">
        <v>45705</v>
      </c>
      <c r="D129" t="inlineStr">
        <is>
          <t>SÖDERMANLANDS LÄN</t>
        </is>
      </c>
      <c r="E129" t="inlineStr">
        <is>
          <t>KATRINEHOLM</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40455-2019</t>
        </is>
      </c>
      <c r="B130" s="1" t="n">
        <v>43696</v>
      </c>
      <c r="C130" s="1" t="n">
        <v>45705</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40800-2019</t>
        </is>
      </c>
      <c r="B131" s="1" t="n">
        <v>43697</v>
      </c>
      <c r="C131" s="1" t="n">
        <v>45705</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40778-2019</t>
        </is>
      </c>
      <c r="B132" s="1" t="n">
        <v>43697</v>
      </c>
      <c r="C132" s="1" t="n">
        <v>45705</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40798-2019</t>
        </is>
      </c>
      <c r="B133" s="1" t="n">
        <v>43697</v>
      </c>
      <c r="C133" s="1" t="n">
        <v>45705</v>
      </c>
      <c r="D133" t="inlineStr">
        <is>
          <t>SÖDERMANLANDS LÄN</t>
        </is>
      </c>
      <c r="E133" t="inlineStr">
        <is>
          <t>KATRINEHOLM</t>
        </is>
      </c>
      <c r="G133" t="n">
        <v>4.8</v>
      </c>
      <c r="H133" t="n">
        <v>0</v>
      </c>
      <c r="I133" t="n">
        <v>0</v>
      </c>
      <c r="J133" t="n">
        <v>0</v>
      </c>
      <c r="K133" t="n">
        <v>0</v>
      </c>
      <c r="L133" t="n">
        <v>0</v>
      </c>
      <c r="M133" t="n">
        <v>0</v>
      </c>
      <c r="N133" t="n">
        <v>0</v>
      </c>
      <c r="O133" t="n">
        <v>0</v>
      </c>
      <c r="P133" t="n">
        <v>0</v>
      </c>
      <c r="Q133" t="n">
        <v>0</v>
      </c>
      <c r="R133" s="2" t="inlineStr"/>
    </row>
    <row r="134" ht="15" customHeight="1">
      <c r="A134" t="inlineStr">
        <is>
          <t>A 40812-2019</t>
        </is>
      </c>
      <c r="B134" s="1" t="n">
        <v>43697</v>
      </c>
      <c r="C134" s="1" t="n">
        <v>45705</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40773-2019</t>
        </is>
      </c>
      <c r="B135" s="1" t="n">
        <v>43697</v>
      </c>
      <c r="C135" s="1" t="n">
        <v>45705</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40775-2019</t>
        </is>
      </c>
      <c r="B136" s="1" t="n">
        <v>43697</v>
      </c>
      <c r="C136" s="1" t="n">
        <v>45705</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40891-2019</t>
        </is>
      </c>
      <c r="B137" s="1" t="n">
        <v>43697</v>
      </c>
      <c r="C137" s="1" t="n">
        <v>45705</v>
      </c>
      <c r="D137" t="inlineStr">
        <is>
          <t>SÖDERMANLANDS LÄN</t>
        </is>
      </c>
      <c r="E137" t="inlineStr">
        <is>
          <t>KATRINEHOLM</t>
        </is>
      </c>
      <c r="G137" t="n">
        <v>10.5</v>
      </c>
      <c r="H137" t="n">
        <v>0</v>
      </c>
      <c r="I137" t="n">
        <v>0</v>
      </c>
      <c r="J137" t="n">
        <v>0</v>
      </c>
      <c r="K137" t="n">
        <v>0</v>
      </c>
      <c r="L137" t="n">
        <v>0</v>
      </c>
      <c r="M137" t="n">
        <v>0</v>
      </c>
      <c r="N137" t="n">
        <v>0</v>
      </c>
      <c r="O137" t="n">
        <v>0</v>
      </c>
      <c r="P137" t="n">
        <v>0</v>
      </c>
      <c r="Q137" t="n">
        <v>0</v>
      </c>
      <c r="R137" s="2" t="inlineStr"/>
    </row>
    <row r="138" ht="15" customHeight="1">
      <c r="A138" t="inlineStr">
        <is>
          <t>A 40820-2019</t>
        </is>
      </c>
      <c r="B138" s="1" t="n">
        <v>43697</v>
      </c>
      <c r="C138" s="1" t="n">
        <v>45705</v>
      </c>
      <c r="D138" t="inlineStr">
        <is>
          <t>SÖDERMANLANDS LÄN</t>
        </is>
      </c>
      <c r="E138" t="inlineStr">
        <is>
          <t>KATRINEHOLM</t>
        </is>
      </c>
      <c r="G138" t="n">
        <v>1.7</v>
      </c>
      <c r="H138" t="n">
        <v>0</v>
      </c>
      <c r="I138" t="n">
        <v>0</v>
      </c>
      <c r="J138" t="n">
        <v>0</v>
      </c>
      <c r="K138" t="n">
        <v>0</v>
      </c>
      <c r="L138" t="n">
        <v>0</v>
      </c>
      <c r="M138" t="n">
        <v>0</v>
      </c>
      <c r="N138" t="n">
        <v>0</v>
      </c>
      <c r="O138" t="n">
        <v>0</v>
      </c>
      <c r="P138" t="n">
        <v>0</v>
      </c>
      <c r="Q138" t="n">
        <v>0</v>
      </c>
      <c r="R138" s="2" t="inlineStr"/>
    </row>
    <row r="139" ht="15" customHeight="1">
      <c r="A139" t="inlineStr">
        <is>
          <t>A 42618-2019</t>
        </is>
      </c>
      <c r="B139" s="1" t="n">
        <v>43699</v>
      </c>
      <c r="C139" s="1" t="n">
        <v>45705</v>
      </c>
      <c r="D139" t="inlineStr">
        <is>
          <t>SÖDERMANLANDS LÄN</t>
        </is>
      </c>
      <c r="E139" t="inlineStr">
        <is>
          <t>KATRINEHOLM</t>
        </is>
      </c>
      <c r="G139" t="n">
        <v>24.1</v>
      </c>
      <c r="H139" t="n">
        <v>0</v>
      </c>
      <c r="I139" t="n">
        <v>0</v>
      </c>
      <c r="J139" t="n">
        <v>0</v>
      </c>
      <c r="K139" t="n">
        <v>0</v>
      </c>
      <c r="L139" t="n">
        <v>0</v>
      </c>
      <c r="M139" t="n">
        <v>0</v>
      </c>
      <c r="N139" t="n">
        <v>0</v>
      </c>
      <c r="O139" t="n">
        <v>0</v>
      </c>
      <c r="P139" t="n">
        <v>0</v>
      </c>
      <c r="Q139" t="n">
        <v>0</v>
      </c>
      <c r="R139" s="2" t="inlineStr"/>
    </row>
    <row r="140" ht="15" customHeight="1">
      <c r="A140" t="inlineStr">
        <is>
          <t>A 42397-2019</t>
        </is>
      </c>
      <c r="B140" s="1" t="n">
        <v>43703</v>
      </c>
      <c r="C140" s="1" t="n">
        <v>45705</v>
      </c>
      <c r="D140" t="inlineStr">
        <is>
          <t>SÖDERMANLANDS LÄN</t>
        </is>
      </c>
      <c r="E140" t="inlineStr">
        <is>
          <t>KATRINEHOLM</t>
        </is>
      </c>
      <c r="G140" t="n">
        <v>2.7</v>
      </c>
      <c r="H140" t="n">
        <v>0</v>
      </c>
      <c r="I140" t="n">
        <v>0</v>
      </c>
      <c r="J140" t="n">
        <v>0</v>
      </c>
      <c r="K140" t="n">
        <v>0</v>
      </c>
      <c r="L140" t="n">
        <v>0</v>
      </c>
      <c r="M140" t="n">
        <v>0</v>
      </c>
      <c r="N140" t="n">
        <v>0</v>
      </c>
      <c r="O140" t="n">
        <v>0</v>
      </c>
      <c r="P140" t="n">
        <v>0</v>
      </c>
      <c r="Q140" t="n">
        <v>0</v>
      </c>
      <c r="R140" s="2" t="inlineStr"/>
    </row>
    <row r="141" ht="15" customHeight="1">
      <c r="A141" t="inlineStr">
        <is>
          <t>A 42392-2019</t>
        </is>
      </c>
      <c r="B141" s="1" t="n">
        <v>43703</v>
      </c>
      <c r="C141" s="1" t="n">
        <v>45705</v>
      </c>
      <c r="D141" t="inlineStr">
        <is>
          <t>SÖDERMANLANDS LÄN</t>
        </is>
      </c>
      <c r="E141" t="inlineStr">
        <is>
          <t>KATRINEHOLM</t>
        </is>
      </c>
      <c r="G141" t="n">
        <v>1.3</v>
      </c>
      <c r="H141" t="n">
        <v>0</v>
      </c>
      <c r="I141" t="n">
        <v>0</v>
      </c>
      <c r="J141" t="n">
        <v>0</v>
      </c>
      <c r="K141" t="n">
        <v>0</v>
      </c>
      <c r="L141" t="n">
        <v>0</v>
      </c>
      <c r="M141" t="n">
        <v>0</v>
      </c>
      <c r="N141" t="n">
        <v>0</v>
      </c>
      <c r="O141" t="n">
        <v>0</v>
      </c>
      <c r="P141" t="n">
        <v>0</v>
      </c>
      <c r="Q141" t="n">
        <v>0</v>
      </c>
      <c r="R141" s="2" t="inlineStr"/>
    </row>
    <row r="142" ht="15" customHeight="1">
      <c r="A142" t="inlineStr">
        <is>
          <t>A 42394-2019</t>
        </is>
      </c>
      <c r="B142" s="1" t="n">
        <v>43703</v>
      </c>
      <c r="C142" s="1" t="n">
        <v>45705</v>
      </c>
      <c r="D142" t="inlineStr">
        <is>
          <t>SÖDERMANLANDS LÄN</t>
        </is>
      </c>
      <c r="E142" t="inlineStr">
        <is>
          <t>KATRINEHOLM</t>
        </is>
      </c>
      <c r="G142" t="n">
        <v>1.5</v>
      </c>
      <c r="H142" t="n">
        <v>0</v>
      </c>
      <c r="I142" t="n">
        <v>0</v>
      </c>
      <c r="J142" t="n">
        <v>0</v>
      </c>
      <c r="K142" t="n">
        <v>0</v>
      </c>
      <c r="L142" t="n">
        <v>0</v>
      </c>
      <c r="M142" t="n">
        <v>0</v>
      </c>
      <c r="N142" t="n">
        <v>0</v>
      </c>
      <c r="O142" t="n">
        <v>0</v>
      </c>
      <c r="P142" t="n">
        <v>0</v>
      </c>
      <c r="Q142" t="n">
        <v>0</v>
      </c>
      <c r="R142" s="2" t="inlineStr"/>
    </row>
    <row r="143" ht="15" customHeight="1">
      <c r="A143" t="inlineStr">
        <is>
          <t>A 42244-2019</t>
        </is>
      </c>
      <c r="B143" s="1" t="n">
        <v>43703</v>
      </c>
      <c r="C143" s="1" t="n">
        <v>45705</v>
      </c>
      <c r="D143" t="inlineStr">
        <is>
          <t>SÖDERMANLANDS LÄN</t>
        </is>
      </c>
      <c r="E143" t="inlineStr">
        <is>
          <t>KATRINEHOLM</t>
        </is>
      </c>
      <c r="G143" t="n">
        <v>1.6</v>
      </c>
      <c r="H143" t="n">
        <v>0</v>
      </c>
      <c r="I143" t="n">
        <v>0</v>
      </c>
      <c r="J143" t="n">
        <v>0</v>
      </c>
      <c r="K143" t="n">
        <v>0</v>
      </c>
      <c r="L143" t="n">
        <v>0</v>
      </c>
      <c r="M143" t="n">
        <v>0</v>
      </c>
      <c r="N143" t="n">
        <v>0</v>
      </c>
      <c r="O143" t="n">
        <v>0</v>
      </c>
      <c r="P143" t="n">
        <v>0</v>
      </c>
      <c r="Q143" t="n">
        <v>0</v>
      </c>
      <c r="R143" s="2" t="inlineStr"/>
    </row>
    <row r="144" ht="15" customHeight="1">
      <c r="A144" t="inlineStr">
        <is>
          <t>A 42897-2019</t>
        </is>
      </c>
      <c r="B144" s="1" t="n">
        <v>43705</v>
      </c>
      <c r="C144" s="1" t="n">
        <v>45705</v>
      </c>
      <c r="D144" t="inlineStr">
        <is>
          <t>SÖDERMANLANDS LÄN</t>
        </is>
      </c>
      <c r="E144" t="inlineStr">
        <is>
          <t>KATRINEHOLM</t>
        </is>
      </c>
      <c r="G144" t="n">
        <v>6</v>
      </c>
      <c r="H144" t="n">
        <v>0</v>
      </c>
      <c r="I144" t="n">
        <v>0</v>
      </c>
      <c r="J144" t="n">
        <v>0</v>
      </c>
      <c r="K144" t="n">
        <v>0</v>
      </c>
      <c r="L144" t="n">
        <v>0</v>
      </c>
      <c r="M144" t="n">
        <v>0</v>
      </c>
      <c r="N144" t="n">
        <v>0</v>
      </c>
      <c r="O144" t="n">
        <v>0</v>
      </c>
      <c r="P144" t="n">
        <v>0</v>
      </c>
      <c r="Q144" t="n">
        <v>0</v>
      </c>
      <c r="R144" s="2" t="inlineStr"/>
    </row>
    <row r="145" ht="15" customHeight="1">
      <c r="A145" t="inlineStr">
        <is>
          <t>A 44403-2019</t>
        </is>
      </c>
      <c r="B145" s="1" t="n">
        <v>43705</v>
      </c>
      <c r="C145" s="1" t="n">
        <v>45705</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43579-2019</t>
        </is>
      </c>
      <c r="B146" s="1" t="n">
        <v>43706</v>
      </c>
      <c r="C146" s="1" t="n">
        <v>45705</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43580-2019</t>
        </is>
      </c>
      <c r="B147" s="1" t="n">
        <v>43706</v>
      </c>
      <c r="C147" s="1" t="n">
        <v>45705</v>
      </c>
      <c r="D147" t="inlineStr">
        <is>
          <t>SÖDERMANLANDS LÄN</t>
        </is>
      </c>
      <c r="E147" t="inlineStr">
        <is>
          <t>KATRINEHOLM</t>
        </is>
      </c>
      <c r="G147" t="n">
        <v>3.6</v>
      </c>
      <c r="H147" t="n">
        <v>0</v>
      </c>
      <c r="I147" t="n">
        <v>0</v>
      </c>
      <c r="J147" t="n">
        <v>0</v>
      </c>
      <c r="K147" t="n">
        <v>0</v>
      </c>
      <c r="L147" t="n">
        <v>0</v>
      </c>
      <c r="M147" t="n">
        <v>0</v>
      </c>
      <c r="N147" t="n">
        <v>0</v>
      </c>
      <c r="O147" t="n">
        <v>0</v>
      </c>
      <c r="P147" t="n">
        <v>0</v>
      </c>
      <c r="Q147" t="n">
        <v>0</v>
      </c>
      <c r="R147" s="2" t="inlineStr"/>
    </row>
    <row r="148" ht="15" customHeight="1">
      <c r="A148" t="inlineStr">
        <is>
          <t>A 43575-2019</t>
        </is>
      </c>
      <c r="B148" s="1" t="n">
        <v>43706</v>
      </c>
      <c r="C148" s="1" t="n">
        <v>45705</v>
      </c>
      <c r="D148" t="inlineStr">
        <is>
          <t>SÖDERMANLANDS LÄN</t>
        </is>
      </c>
      <c r="E148" t="inlineStr">
        <is>
          <t>KATRINEHOLM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43577-2019</t>
        </is>
      </c>
      <c r="B149" s="1" t="n">
        <v>43706</v>
      </c>
      <c r="C149" s="1" t="n">
        <v>45705</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45332-2019</t>
        </is>
      </c>
      <c r="B150" s="1" t="n">
        <v>43709</v>
      </c>
      <c r="C150" s="1" t="n">
        <v>45705</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45326-2019</t>
        </is>
      </c>
      <c r="B151" s="1" t="n">
        <v>43709</v>
      </c>
      <c r="C151" s="1" t="n">
        <v>45705</v>
      </c>
      <c r="D151" t="inlineStr">
        <is>
          <t>SÖDERMANLANDS LÄN</t>
        </is>
      </c>
      <c r="E151" t="inlineStr">
        <is>
          <t>KATRINEHOLM</t>
        </is>
      </c>
      <c r="G151" t="n">
        <v>0.7</v>
      </c>
      <c r="H151" t="n">
        <v>0</v>
      </c>
      <c r="I151" t="n">
        <v>0</v>
      </c>
      <c r="J151" t="n">
        <v>0</v>
      </c>
      <c r="K151" t="n">
        <v>0</v>
      </c>
      <c r="L151" t="n">
        <v>0</v>
      </c>
      <c r="M151" t="n">
        <v>0</v>
      </c>
      <c r="N151" t="n">
        <v>0</v>
      </c>
      <c r="O151" t="n">
        <v>0</v>
      </c>
      <c r="P151" t="n">
        <v>0</v>
      </c>
      <c r="Q151" t="n">
        <v>0</v>
      </c>
      <c r="R151" s="2" t="inlineStr"/>
    </row>
    <row r="152" ht="15" customHeight="1">
      <c r="A152" t="inlineStr">
        <is>
          <t>A 44215-2019</t>
        </is>
      </c>
      <c r="B152" s="1" t="n">
        <v>43710</v>
      </c>
      <c r="C152" s="1" t="n">
        <v>45705</v>
      </c>
      <c r="D152" t="inlineStr">
        <is>
          <t>SÖDERMANLANDS LÄN</t>
        </is>
      </c>
      <c r="E152" t="inlineStr">
        <is>
          <t>KATRINEHOLM</t>
        </is>
      </c>
      <c r="G152" t="n">
        <v>3.1</v>
      </c>
      <c r="H152" t="n">
        <v>0</v>
      </c>
      <c r="I152" t="n">
        <v>0</v>
      </c>
      <c r="J152" t="n">
        <v>0</v>
      </c>
      <c r="K152" t="n">
        <v>0</v>
      </c>
      <c r="L152" t="n">
        <v>0</v>
      </c>
      <c r="M152" t="n">
        <v>0</v>
      </c>
      <c r="N152" t="n">
        <v>0</v>
      </c>
      <c r="O152" t="n">
        <v>0</v>
      </c>
      <c r="P152" t="n">
        <v>0</v>
      </c>
      <c r="Q152" t="n">
        <v>0</v>
      </c>
      <c r="R152" s="2" t="inlineStr"/>
    </row>
    <row r="153" ht="15" customHeight="1">
      <c r="A153" t="inlineStr">
        <is>
          <t>A 44276-2019</t>
        </is>
      </c>
      <c r="B153" s="1" t="n">
        <v>43710</v>
      </c>
      <c r="C153" s="1" t="n">
        <v>45705</v>
      </c>
      <c r="D153" t="inlineStr">
        <is>
          <t>SÖDERMANLANDS LÄN</t>
        </is>
      </c>
      <c r="E153" t="inlineStr">
        <is>
          <t>KATRINEHOLM</t>
        </is>
      </c>
      <c r="G153" t="n">
        <v>14.2</v>
      </c>
      <c r="H153" t="n">
        <v>0</v>
      </c>
      <c r="I153" t="n">
        <v>0</v>
      </c>
      <c r="J153" t="n">
        <v>0</v>
      </c>
      <c r="K153" t="n">
        <v>0</v>
      </c>
      <c r="L153" t="n">
        <v>0</v>
      </c>
      <c r="M153" t="n">
        <v>0</v>
      </c>
      <c r="N153" t="n">
        <v>0</v>
      </c>
      <c r="O153" t="n">
        <v>0</v>
      </c>
      <c r="P153" t="n">
        <v>0</v>
      </c>
      <c r="Q153" t="n">
        <v>0</v>
      </c>
      <c r="R153" s="2" t="inlineStr"/>
    </row>
    <row r="154" ht="15" customHeight="1">
      <c r="A154" t="inlineStr">
        <is>
          <t>A 44283-2019</t>
        </is>
      </c>
      <c r="B154" s="1" t="n">
        <v>43710</v>
      </c>
      <c r="C154" s="1" t="n">
        <v>45705</v>
      </c>
      <c r="D154" t="inlineStr">
        <is>
          <t>SÖDERMANLANDS LÄN</t>
        </is>
      </c>
      <c r="E154" t="inlineStr">
        <is>
          <t>KATRINEHOLM</t>
        </is>
      </c>
      <c r="G154" t="n">
        <v>10.5</v>
      </c>
      <c r="H154" t="n">
        <v>0</v>
      </c>
      <c r="I154" t="n">
        <v>0</v>
      </c>
      <c r="J154" t="n">
        <v>0</v>
      </c>
      <c r="K154" t="n">
        <v>0</v>
      </c>
      <c r="L154" t="n">
        <v>0</v>
      </c>
      <c r="M154" t="n">
        <v>0</v>
      </c>
      <c r="N154" t="n">
        <v>0</v>
      </c>
      <c r="O154" t="n">
        <v>0</v>
      </c>
      <c r="P154" t="n">
        <v>0</v>
      </c>
      <c r="Q154" t="n">
        <v>0</v>
      </c>
      <c r="R154" s="2" t="inlineStr"/>
    </row>
    <row r="155" ht="15" customHeight="1">
      <c r="A155" t="inlineStr">
        <is>
          <t>A 44184-2019</t>
        </is>
      </c>
      <c r="B155" s="1" t="n">
        <v>43710</v>
      </c>
      <c r="C155" s="1" t="n">
        <v>45705</v>
      </c>
      <c r="D155" t="inlineStr">
        <is>
          <t>SÖDERMANLANDS LÄN</t>
        </is>
      </c>
      <c r="E155" t="inlineStr">
        <is>
          <t>KATRINEHOLM</t>
        </is>
      </c>
      <c r="G155" t="n">
        <v>1.6</v>
      </c>
      <c r="H155" t="n">
        <v>0</v>
      </c>
      <c r="I155" t="n">
        <v>0</v>
      </c>
      <c r="J155" t="n">
        <v>0</v>
      </c>
      <c r="K155" t="n">
        <v>0</v>
      </c>
      <c r="L155" t="n">
        <v>0</v>
      </c>
      <c r="M155" t="n">
        <v>0</v>
      </c>
      <c r="N155" t="n">
        <v>0</v>
      </c>
      <c r="O155" t="n">
        <v>0</v>
      </c>
      <c r="P155" t="n">
        <v>0</v>
      </c>
      <c r="Q155" t="n">
        <v>0</v>
      </c>
      <c r="R155" s="2" t="inlineStr"/>
    </row>
    <row r="156" ht="15" customHeight="1">
      <c r="A156" t="inlineStr">
        <is>
          <t>A 44286-2019</t>
        </is>
      </c>
      <c r="B156" s="1" t="n">
        <v>43710</v>
      </c>
      <c r="C156" s="1" t="n">
        <v>45705</v>
      </c>
      <c r="D156" t="inlineStr">
        <is>
          <t>SÖDERMANLANDS LÄN</t>
        </is>
      </c>
      <c r="E156" t="inlineStr">
        <is>
          <t>KATRINEHOLM</t>
        </is>
      </c>
      <c r="G156" t="n">
        <v>18.9</v>
      </c>
      <c r="H156" t="n">
        <v>0</v>
      </c>
      <c r="I156" t="n">
        <v>0</v>
      </c>
      <c r="J156" t="n">
        <v>0</v>
      </c>
      <c r="K156" t="n">
        <v>0</v>
      </c>
      <c r="L156" t="n">
        <v>0</v>
      </c>
      <c r="M156" t="n">
        <v>0</v>
      </c>
      <c r="N156" t="n">
        <v>0</v>
      </c>
      <c r="O156" t="n">
        <v>0</v>
      </c>
      <c r="P156" t="n">
        <v>0</v>
      </c>
      <c r="Q156" t="n">
        <v>0</v>
      </c>
      <c r="R156" s="2" t="inlineStr"/>
    </row>
    <row r="157" ht="15" customHeight="1">
      <c r="A157" t="inlineStr">
        <is>
          <t>A 45318-2019</t>
        </is>
      </c>
      <c r="B157" s="1" t="n">
        <v>43710</v>
      </c>
      <c r="C157" s="1" t="n">
        <v>45705</v>
      </c>
      <c r="D157" t="inlineStr">
        <is>
          <t>SÖDERMANLANDS LÄN</t>
        </is>
      </c>
      <c r="E157" t="inlineStr">
        <is>
          <t>KATRINEHOLM</t>
        </is>
      </c>
      <c r="G157" t="n">
        <v>7</v>
      </c>
      <c r="H157" t="n">
        <v>0</v>
      </c>
      <c r="I157" t="n">
        <v>0</v>
      </c>
      <c r="J157" t="n">
        <v>0</v>
      </c>
      <c r="K157" t="n">
        <v>0</v>
      </c>
      <c r="L157" t="n">
        <v>0</v>
      </c>
      <c r="M157" t="n">
        <v>0</v>
      </c>
      <c r="N157" t="n">
        <v>0</v>
      </c>
      <c r="O157" t="n">
        <v>0</v>
      </c>
      <c r="P157" t="n">
        <v>0</v>
      </c>
      <c r="Q157" t="n">
        <v>0</v>
      </c>
      <c r="R157" s="2" t="inlineStr"/>
    </row>
    <row r="158" ht="15" customHeight="1">
      <c r="A158" t="inlineStr">
        <is>
          <t>A 45642-2019</t>
        </is>
      </c>
      <c r="B158" s="1" t="n">
        <v>43711</v>
      </c>
      <c r="C158" s="1" t="n">
        <v>45705</v>
      </c>
      <c r="D158" t="inlineStr">
        <is>
          <t>SÖDERMANLANDS LÄN</t>
        </is>
      </c>
      <c r="E158" t="inlineStr">
        <is>
          <t>KATRINEHOLM</t>
        </is>
      </c>
      <c r="G158" t="n">
        <v>1</v>
      </c>
      <c r="H158" t="n">
        <v>0</v>
      </c>
      <c r="I158" t="n">
        <v>0</v>
      </c>
      <c r="J158" t="n">
        <v>0</v>
      </c>
      <c r="K158" t="n">
        <v>0</v>
      </c>
      <c r="L158" t="n">
        <v>0</v>
      </c>
      <c r="M158" t="n">
        <v>0</v>
      </c>
      <c r="N158" t="n">
        <v>0</v>
      </c>
      <c r="O158" t="n">
        <v>0</v>
      </c>
      <c r="P158" t="n">
        <v>0</v>
      </c>
      <c r="Q158" t="n">
        <v>0</v>
      </c>
      <c r="R158" s="2" t="inlineStr"/>
    </row>
    <row r="159" ht="15" customHeight="1">
      <c r="A159" t="inlineStr">
        <is>
          <t>A 45780-2019</t>
        </is>
      </c>
      <c r="B159" s="1" t="n">
        <v>43711</v>
      </c>
      <c r="C159" s="1" t="n">
        <v>45705</v>
      </c>
      <c r="D159" t="inlineStr">
        <is>
          <t>SÖDERMANLANDS LÄN</t>
        </is>
      </c>
      <c r="E159" t="inlineStr">
        <is>
          <t>KATRINEHOLM</t>
        </is>
      </c>
      <c r="F159" t="inlineStr">
        <is>
          <t>Övriga Aktiebolag</t>
        </is>
      </c>
      <c r="G159" t="n">
        <v>16.5</v>
      </c>
      <c r="H159" t="n">
        <v>0</v>
      </c>
      <c r="I159" t="n">
        <v>0</v>
      </c>
      <c r="J159" t="n">
        <v>0</v>
      </c>
      <c r="K159" t="n">
        <v>0</v>
      </c>
      <c r="L159" t="n">
        <v>0</v>
      </c>
      <c r="M159" t="n">
        <v>0</v>
      </c>
      <c r="N159" t="n">
        <v>0</v>
      </c>
      <c r="O159" t="n">
        <v>0</v>
      </c>
      <c r="P159" t="n">
        <v>0</v>
      </c>
      <c r="Q159" t="n">
        <v>0</v>
      </c>
      <c r="R159" s="2" t="inlineStr"/>
    </row>
    <row r="160" ht="15" customHeight="1">
      <c r="A160" t="inlineStr">
        <is>
          <t>A 44862-2019</t>
        </is>
      </c>
      <c r="B160" s="1" t="n">
        <v>43712</v>
      </c>
      <c r="C160" s="1" t="n">
        <v>45705</v>
      </c>
      <c r="D160" t="inlineStr">
        <is>
          <t>SÖDERMANLANDS LÄN</t>
        </is>
      </c>
      <c r="E160" t="inlineStr">
        <is>
          <t>KATRINEHOLM</t>
        </is>
      </c>
      <c r="G160" t="n">
        <v>26</v>
      </c>
      <c r="H160" t="n">
        <v>0</v>
      </c>
      <c r="I160" t="n">
        <v>0</v>
      </c>
      <c r="J160" t="n">
        <v>0</v>
      </c>
      <c r="K160" t="n">
        <v>0</v>
      </c>
      <c r="L160" t="n">
        <v>0</v>
      </c>
      <c r="M160" t="n">
        <v>0</v>
      </c>
      <c r="N160" t="n">
        <v>0</v>
      </c>
      <c r="O160" t="n">
        <v>0</v>
      </c>
      <c r="P160" t="n">
        <v>0</v>
      </c>
      <c r="Q160" t="n">
        <v>0</v>
      </c>
      <c r="R160" s="2" t="inlineStr"/>
    </row>
    <row r="161" ht="15" customHeight="1">
      <c r="A161" t="inlineStr">
        <is>
          <t>A 44859-2019</t>
        </is>
      </c>
      <c r="B161" s="1" t="n">
        <v>43712</v>
      </c>
      <c r="C161" s="1" t="n">
        <v>45705</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45246-2019</t>
        </is>
      </c>
      <c r="B162" s="1" t="n">
        <v>43713</v>
      </c>
      <c r="C162" s="1" t="n">
        <v>45705</v>
      </c>
      <c r="D162" t="inlineStr">
        <is>
          <t>SÖDERMANLANDS LÄN</t>
        </is>
      </c>
      <c r="E162" t="inlineStr">
        <is>
          <t>KATRINEHOLM</t>
        </is>
      </c>
      <c r="G162" t="n">
        <v>3.2</v>
      </c>
      <c r="H162" t="n">
        <v>0</v>
      </c>
      <c r="I162" t="n">
        <v>0</v>
      </c>
      <c r="J162" t="n">
        <v>0</v>
      </c>
      <c r="K162" t="n">
        <v>0</v>
      </c>
      <c r="L162" t="n">
        <v>0</v>
      </c>
      <c r="M162" t="n">
        <v>0</v>
      </c>
      <c r="N162" t="n">
        <v>0</v>
      </c>
      <c r="O162" t="n">
        <v>0</v>
      </c>
      <c r="P162" t="n">
        <v>0</v>
      </c>
      <c r="Q162" t="n">
        <v>0</v>
      </c>
      <c r="R162" s="2" t="inlineStr"/>
    </row>
    <row r="163" ht="15" customHeight="1">
      <c r="A163" t="inlineStr">
        <is>
          <t>A 45248-2019</t>
        </is>
      </c>
      <c r="B163" s="1" t="n">
        <v>43713</v>
      </c>
      <c r="C163" s="1" t="n">
        <v>45705</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47935-2019</t>
        </is>
      </c>
      <c r="B164" s="1" t="n">
        <v>43725</v>
      </c>
      <c r="C164" s="1" t="n">
        <v>45705</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48581-2019</t>
        </is>
      </c>
      <c r="B165" s="1" t="n">
        <v>43727</v>
      </c>
      <c r="C165" s="1" t="n">
        <v>45705</v>
      </c>
      <c r="D165" t="inlineStr">
        <is>
          <t>SÖDERMANLANDS LÄN</t>
        </is>
      </c>
      <c r="E165" t="inlineStr">
        <is>
          <t>KATRINEHOLM</t>
        </is>
      </c>
      <c r="G165" t="n">
        <v>14.3</v>
      </c>
      <c r="H165" t="n">
        <v>0</v>
      </c>
      <c r="I165" t="n">
        <v>0</v>
      </c>
      <c r="J165" t="n">
        <v>0</v>
      </c>
      <c r="K165" t="n">
        <v>0</v>
      </c>
      <c r="L165" t="n">
        <v>0</v>
      </c>
      <c r="M165" t="n">
        <v>0</v>
      </c>
      <c r="N165" t="n">
        <v>0</v>
      </c>
      <c r="O165" t="n">
        <v>0</v>
      </c>
      <c r="P165" t="n">
        <v>0</v>
      </c>
      <c r="Q165" t="n">
        <v>0</v>
      </c>
      <c r="R165" s="2" t="inlineStr"/>
    </row>
    <row r="166" ht="15" customHeight="1">
      <c r="A166" t="inlineStr">
        <is>
          <t>A 49346-2019</t>
        </is>
      </c>
      <c r="B166" s="1" t="n">
        <v>43731</v>
      </c>
      <c r="C166" s="1" t="n">
        <v>45705</v>
      </c>
      <c r="D166" t="inlineStr">
        <is>
          <t>SÖDERMANLANDS LÄN</t>
        </is>
      </c>
      <c r="E166" t="inlineStr">
        <is>
          <t>KATRINEHOLM</t>
        </is>
      </c>
      <c r="G166" t="n">
        <v>4.1</v>
      </c>
      <c r="H166" t="n">
        <v>0</v>
      </c>
      <c r="I166" t="n">
        <v>0</v>
      </c>
      <c r="J166" t="n">
        <v>0</v>
      </c>
      <c r="K166" t="n">
        <v>0</v>
      </c>
      <c r="L166" t="n">
        <v>0</v>
      </c>
      <c r="M166" t="n">
        <v>0</v>
      </c>
      <c r="N166" t="n">
        <v>0</v>
      </c>
      <c r="O166" t="n">
        <v>0</v>
      </c>
      <c r="P166" t="n">
        <v>0</v>
      </c>
      <c r="Q166" t="n">
        <v>0</v>
      </c>
      <c r="R166" s="2" t="inlineStr"/>
    </row>
    <row r="167" ht="15" customHeight="1">
      <c r="A167" t="inlineStr">
        <is>
          <t>A 51109-2019</t>
        </is>
      </c>
      <c r="B167" s="1" t="n">
        <v>43739</v>
      </c>
      <c r="C167" s="1" t="n">
        <v>45705</v>
      </c>
      <c r="D167" t="inlineStr">
        <is>
          <t>SÖDERMANLANDS LÄN</t>
        </is>
      </c>
      <c r="E167" t="inlineStr">
        <is>
          <t>KATRINEHOLM</t>
        </is>
      </c>
      <c r="G167" t="n">
        <v>7.8</v>
      </c>
      <c r="H167" t="n">
        <v>0</v>
      </c>
      <c r="I167" t="n">
        <v>0</v>
      </c>
      <c r="J167" t="n">
        <v>0</v>
      </c>
      <c r="K167" t="n">
        <v>0</v>
      </c>
      <c r="L167" t="n">
        <v>0</v>
      </c>
      <c r="M167" t="n">
        <v>0</v>
      </c>
      <c r="N167" t="n">
        <v>0</v>
      </c>
      <c r="O167" t="n">
        <v>0</v>
      </c>
      <c r="P167" t="n">
        <v>0</v>
      </c>
      <c r="Q167" t="n">
        <v>0</v>
      </c>
      <c r="R167" s="2" t="inlineStr"/>
    </row>
    <row r="168" ht="15" customHeight="1">
      <c r="A168" t="inlineStr">
        <is>
          <t>A 51233-2019</t>
        </is>
      </c>
      <c r="B168" s="1" t="n">
        <v>43739</v>
      </c>
      <c r="C168" s="1" t="n">
        <v>45705</v>
      </c>
      <c r="D168" t="inlineStr">
        <is>
          <t>SÖDERMANLANDS LÄN</t>
        </is>
      </c>
      <c r="E168" t="inlineStr">
        <is>
          <t>KATRINEHOLM</t>
        </is>
      </c>
      <c r="G168" t="n">
        <v>7.4</v>
      </c>
      <c r="H168" t="n">
        <v>0</v>
      </c>
      <c r="I168" t="n">
        <v>0</v>
      </c>
      <c r="J168" t="n">
        <v>0</v>
      </c>
      <c r="K168" t="n">
        <v>0</v>
      </c>
      <c r="L168" t="n">
        <v>0</v>
      </c>
      <c r="M168" t="n">
        <v>0</v>
      </c>
      <c r="N168" t="n">
        <v>0</v>
      </c>
      <c r="O168" t="n">
        <v>0</v>
      </c>
      <c r="P168" t="n">
        <v>0</v>
      </c>
      <c r="Q168" t="n">
        <v>0</v>
      </c>
      <c r="R168" s="2" t="inlineStr"/>
    </row>
    <row r="169" ht="15" customHeight="1">
      <c r="A169" t="inlineStr">
        <is>
          <t>A 51871-2019</t>
        </is>
      </c>
      <c r="B169" s="1" t="n">
        <v>43741</v>
      </c>
      <c r="C169" s="1" t="n">
        <v>45705</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54305-2019</t>
        </is>
      </c>
      <c r="B170" s="1" t="n">
        <v>43745</v>
      </c>
      <c r="C170" s="1" t="n">
        <v>45705</v>
      </c>
      <c r="D170" t="inlineStr">
        <is>
          <t>SÖDERMANLANDS LÄN</t>
        </is>
      </c>
      <c r="E170" t="inlineStr">
        <is>
          <t>KATRINEHOLM</t>
        </is>
      </c>
      <c r="G170" t="n">
        <v>9.6</v>
      </c>
      <c r="H170" t="n">
        <v>0</v>
      </c>
      <c r="I170" t="n">
        <v>0</v>
      </c>
      <c r="J170" t="n">
        <v>0</v>
      </c>
      <c r="K170" t="n">
        <v>0</v>
      </c>
      <c r="L170" t="n">
        <v>0</v>
      </c>
      <c r="M170" t="n">
        <v>0</v>
      </c>
      <c r="N170" t="n">
        <v>0</v>
      </c>
      <c r="O170" t="n">
        <v>0</v>
      </c>
      <c r="P170" t="n">
        <v>0</v>
      </c>
      <c r="Q170" t="n">
        <v>0</v>
      </c>
      <c r="R170" s="2" t="inlineStr"/>
    </row>
    <row r="171" ht="15" customHeight="1">
      <c r="A171" t="inlineStr">
        <is>
          <t>A 54310-2019</t>
        </is>
      </c>
      <c r="B171" s="1" t="n">
        <v>43745</v>
      </c>
      <c r="C171" s="1" t="n">
        <v>45705</v>
      </c>
      <c r="D171" t="inlineStr">
        <is>
          <t>SÖDERMANLANDS LÄN</t>
        </is>
      </c>
      <c r="E171" t="inlineStr">
        <is>
          <t>KATRINEHOLM</t>
        </is>
      </c>
      <c r="F171" t="inlineStr">
        <is>
          <t>Övriga Aktiebolag</t>
        </is>
      </c>
      <c r="G171" t="n">
        <v>3.4</v>
      </c>
      <c r="H171" t="n">
        <v>0</v>
      </c>
      <c r="I171" t="n">
        <v>0</v>
      </c>
      <c r="J171" t="n">
        <v>0</v>
      </c>
      <c r="K171" t="n">
        <v>0</v>
      </c>
      <c r="L171" t="n">
        <v>0</v>
      </c>
      <c r="M171" t="n">
        <v>0</v>
      </c>
      <c r="N171" t="n">
        <v>0</v>
      </c>
      <c r="O171" t="n">
        <v>0</v>
      </c>
      <c r="P171" t="n">
        <v>0</v>
      </c>
      <c r="Q171" t="n">
        <v>0</v>
      </c>
      <c r="R171" s="2" t="inlineStr"/>
    </row>
    <row r="172" ht="15" customHeight="1">
      <c r="A172" t="inlineStr">
        <is>
          <t>A 54321-2019</t>
        </is>
      </c>
      <c r="B172" s="1" t="n">
        <v>43745</v>
      </c>
      <c r="C172" s="1" t="n">
        <v>45705</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53762-2019</t>
        </is>
      </c>
      <c r="B173" s="1" t="n">
        <v>43750</v>
      </c>
      <c r="C173" s="1" t="n">
        <v>45705</v>
      </c>
      <c r="D173" t="inlineStr">
        <is>
          <t>SÖDERMANLANDS LÄN</t>
        </is>
      </c>
      <c r="E173" t="inlineStr">
        <is>
          <t>KATRINEHOLM</t>
        </is>
      </c>
      <c r="G173" t="n">
        <v>2.5</v>
      </c>
      <c r="H173" t="n">
        <v>0</v>
      </c>
      <c r="I173" t="n">
        <v>0</v>
      </c>
      <c r="J173" t="n">
        <v>0</v>
      </c>
      <c r="K173" t="n">
        <v>0</v>
      </c>
      <c r="L173" t="n">
        <v>0</v>
      </c>
      <c r="M173" t="n">
        <v>0</v>
      </c>
      <c r="N173" t="n">
        <v>0</v>
      </c>
      <c r="O173" t="n">
        <v>0</v>
      </c>
      <c r="P173" t="n">
        <v>0</v>
      </c>
      <c r="Q173" t="n">
        <v>0</v>
      </c>
      <c r="R173" s="2" t="inlineStr"/>
    </row>
    <row r="174" ht="15" customHeight="1">
      <c r="A174" t="inlineStr">
        <is>
          <t>A 54263-2019</t>
        </is>
      </c>
      <c r="B174" s="1" t="n">
        <v>43753</v>
      </c>
      <c r="C174" s="1" t="n">
        <v>45705</v>
      </c>
      <c r="D174" t="inlineStr">
        <is>
          <t>SÖDERMANLANDS LÄN</t>
        </is>
      </c>
      <c r="E174" t="inlineStr">
        <is>
          <t>KATRINEHOLM</t>
        </is>
      </c>
      <c r="G174" t="n">
        <v>2</v>
      </c>
      <c r="H174" t="n">
        <v>0</v>
      </c>
      <c r="I174" t="n">
        <v>0</v>
      </c>
      <c r="J174" t="n">
        <v>0</v>
      </c>
      <c r="K174" t="n">
        <v>0</v>
      </c>
      <c r="L174" t="n">
        <v>0</v>
      </c>
      <c r="M174" t="n">
        <v>0</v>
      </c>
      <c r="N174" t="n">
        <v>0</v>
      </c>
      <c r="O174" t="n">
        <v>0</v>
      </c>
      <c r="P174" t="n">
        <v>0</v>
      </c>
      <c r="Q174" t="n">
        <v>0</v>
      </c>
      <c r="R174" s="2" t="inlineStr"/>
    </row>
    <row r="175" ht="15" customHeight="1">
      <c r="A175" t="inlineStr">
        <is>
          <t>A 55232-2019</t>
        </is>
      </c>
      <c r="B175" s="1" t="n">
        <v>43753</v>
      </c>
      <c r="C175" s="1" t="n">
        <v>45705</v>
      </c>
      <c r="D175" t="inlineStr">
        <is>
          <t>SÖDERMANLANDS LÄN</t>
        </is>
      </c>
      <c r="E175" t="inlineStr">
        <is>
          <t>KATRINEHOLM</t>
        </is>
      </c>
      <c r="G175" t="n">
        <v>4</v>
      </c>
      <c r="H175" t="n">
        <v>0</v>
      </c>
      <c r="I175" t="n">
        <v>0</v>
      </c>
      <c r="J175" t="n">
        <v>0</v>
      </c>
      <c r="K175" t="n">
        <v>0</v>
      </c>
      <c r="L175" t="n">
        <v>0</v>
      </c>
      <c r="M175" t="n">
        <v>0</v>
      </c>
      <c r="N175" t="n">
        <v>0</v>
      </c>
      <c r="O175" t="n">
        <v>0</v>
      </c>
      <c r="P175" t="n">
        <v>0</v>
      </c>
      <c r="Q175" t="n">
        <v>0</v>
      </c>
      <c r="R175" s="2" t="inlineStr"/>
    </row>
    <row r="176" ht="15" customHeight="1">
      <c r="A176" t="inlineStr">
        <is>
          <t>A 55333-2019</t>
        </is>
      </c>
      <c r="B176" s="1" t="n">
        <v>43756</v>
      </c>
      <c r="C176" s="1" t="n">
        <v>45705</v>
      </c>
      <c r="D176" t="inlineStr">
        <is>
          <t>SÖDERMANLANDS LÄN</t>
        </is>
      </c>
      <c r="E176" t="inlineStr">
        <is>
          <t>KATRINEHOLM</t>
        </is>
      </c>
      <c r="G176" t="n">
        <v>2.8</v>
      </c>
      <c r="H176" t="n">
        <v>0</v>
      </c>
      <c r="I176" t="n">
        <v>0</v>
      </c>
      <c r="J176" t="n">
        <v>0</v>
      </c>
      <c r="K176" t="n">
        <v>0</v>
      </c>
      <c r="L176" t="n">
        <v>0</v>
      </c>
      <c r="M176" t="n">
        <v>0</v>
      </c>
      <c r="N176" t="n">
        <v>0</v>
      </c>
      <c r="O176" t="n">
        <v>0</v>
      </c>
      <c r="P176" t="n">
        <v>0</v>
      </c>
      <c r="Q176" t="n">
        <v>0</v>
      </c>
      <c r="R176" s="2" t="inlineStr"/>
    </row>
    <row r="177" ht="15" customHeight="1">
      <c r="A177" t="inlineStr">
        <is>
          <t>A 55330-2019</t>
        </is>
      </c>
      <c r="B177" s="1" t="n">
        <v>43756</v>
      </c>
      <c r="C177" s="1" t="n">
        <v>45705</v>
      </c>
      <c r="D177" t="inlineStr">
        <is>
          <t>SÖDERMANLANDS LÄN</t>
        </is>
      </c>
      <c r="E177" t="inlineStr">
        <is>
          <t>KATRINEHOLM</t>
        </is>
      </c>
      <c r="G177" t="n">
        <v>5.5</v>
      </c>
      <c r="H177" t="n">
        <v>0</v>
      </c>
      <c r="I177" t="n">
        <v>0</v>
      </c>
      <c r="J177" t="n">
        <v>0</v>
      </c>
      <c r="K177" t="n">
        <v>0</v>
      </c>
      <c r="L177" t="n">
        <v>0</v>
      </c>
      <c r="M177" t="n">
        <v>0</v>
      </c>
      <c r="N177" t="n">
        <v>0</v>
      </c>
      <c r="O177" t="n">
        <v>0</v>
      </c>
      <c r="P177" t="n">
        <v>0</v>
      </c>
      <c r="Q177" t="n">
        <v>0</v>
      </c>
      <c r="R177" s="2" t="inlineStr"/>
    </row>
    <row r="178" ht="15" customHeight="1">
      <c r="A178" t="inlineStr">
        <is>
          <t>A 57787-2019</t>
        </is>
      </c>
      <c r="B178" s="1" t="n">
        <v>43768</v>
      </c>
      <c r="C178" s="1" t="n">
        <v>45705</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59039-2019</t>
        </is>
      </c>
      <c r="B179" s="1" t="n">
        <v>43768</v>
      </c>
      <c r="C179" s="1" t="n">
        <v>45705</v>
      </c>
      <c r="D179" t="inlineStr">
        <is>
          <t>SÖDERMANLANDS LÄN</t>
        </is>
      </c>
      <c r="E179" t="inlineStr">
        <is>
          <t>KATRINEHOLM</t>
        </is>
      </c>
      <c r="G179" t="n">
        <v>22.3</v>
      </c>
      <c r="H179" t="n">
        <v>0</v>
      </c>
      <c r="I179" t="n">
        <v>0</v>
      </c>
      <c r="J179" t="n">
        <v>0</v>
      </c>
      <c r="K179" t="n">
        <v>0</v>
      </c>
      <c r="L179" t="n">
        <v>0</v>
      </c>
      <c r="M179" t="n">
        <v>0</v>
      </c>
      <c r="N179" t="n">
        <v>0</v>
      </c>
      <c r="O179" t="n">
        <v>0</v>
      </c>
      <c r="P179" t="n">
        <v>0</v>
      </c>
      <c r="Q179" t="n">
        <v>0</v>
      </c>
      <c r="R179" s="2" t="inlineStr"/>
    </row>
    <row r="180" ht="15" customHeight="1">
      <c r="A180" t="inlineStr">
        <is>
          <t>A 57793-2019</t>
        </is>
      </c>
      <c r="B180" s="1" t="n">
        <v>43768</v>
      </c>
      <c r="C180" s="1" t="n">
        <v>45705</v>
      </c>
      <c r="D180" t="inlineStr">
        <is>
          <t>SÖDERMANLANDS LÄN</t>
        </is>
      </c>
      <c r="E180" t="inlineStr">
        <is>
          <t>KATRINEHOLM</t>
        </is>
      </c>
      <c r="G180" t="n">
        <v>4.5</v>
      </c>
      <c r="H180" t="n">
        <v>0</v>
      </c>
      <c r="I180" t="n">
        <v>0</v>
      </c>
      <c r="J180" t="n">
        <v>0</v>
      </c>
      <c r="K180" t="n">
        <v>0</v>
      </c>
      <c r="L180" t="n">
        <v>0</v>
      </c>
      <c r="M180" t="n">
        <v>0</v>
      </c>
      <c r="N180" t="n">
        <v>0</v>
      </c>
      <c r="O180" t="n">
        <v>0</v>
      </c>
      <c r="P180" t="n">
        <v>0</v>
      </c>
      <c r="Q180" t="n">
        <v>0</v>
      </c>
      <c r="R180" s="2" t="inlineStr"/>
    </row>
    <row r="181" ht="15" customHeight="1">
      <c r="A181" t="inlineStr">
        <is>
          <t>A 58938-2019</t>
        </is>
      </c>
      <c r="B181" s="1" t="n">
        <v>43769</v>
      </c>
      <c r="C181" s="1" t="n">
        <v>45705</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59913-2019</t>
        </is>
      </c>
      <c r="B182" s="1" t="n">
        <v>43777</v>
      </c>
      <c r="C182" s="1" t="n">
        <v>45705</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59905-2019</t>
        </is>
      </c>
      <c r="B183" s="1" t="n">
        <v>43777</v>
      </c>
      <c r="C183" s="1" t="n">
        <v>45705</v>
      </c>
      <c r="D183" t="inlineStr">
        <is>
          <t>SÖDERMANLANDS LÄN</t>
        </is>
      </c>
      <c r="E183" t="inlineStr">
        <is>
          <t>KATRINEHOLM</t>
        </is>
      </c>
      <c r="G183" t="n">
        <v>4.7</v>
      </c>
      <c r="H183" t="n">
        <v>0</v>
      </c>
      <c r="I183" t="n">
        <v>0</v>
      </c>
      <c r="J183" t="n">
        <v>0</v>
      </c>
      <c r="K183" t="n">
        <v>0</v>
      </c>
      <c r="L183" t="n">
        <v>0</v>
      </c>
      <c r="M183" t="n">
        <v>0</v>
      </c>
      <c r="N183" t="n">
        <v>0</v>
      </c>
      <c r="O183" t="n">
        <v>0</v>
      </c>
      <c r="P183" t="n">
        <v>0</v>
      </c>
      <c r="Q183" t="n">
        <v>0</v>
      </c>
      <c r="R183" s="2" t="inlineStr"/>
    </row>
    <row r="184" ht="15" customHeight="1">
      <c r="A184" t="inlineStr">
        <is>
          <t>A 59981-2019</t>
        </is>
      </c>
      <c r="B184" s="1" t="n">
        <v>43777</v>
      </c>
      <c r="C184" s="1" t="n">
        <v>45705</v>
      </c>
      <c r="D184" t="inlineStr">
        <is>
          <t>SÖDERMANLANDS LÄN</t>
        </is>
      </c>
      <c r="E184" t="inlineStr">
        <is>
          <t>KATRINEHOLM</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60672-2019</t>
        </is>
      </c>
      <c r="B185" s="1" t="n">
        <v>43777</v>
      </c>
      <c r="C185" s="1" t="n">
        <v>45705</v>
      </c>
      <c r="D185" t="inlineStr">
        <is>
          <t>SÖDERMANLANDS LÄN</t>
        </is>
      </c>
      <c r="E185" t="inlineStr">
        <is>
          <t>KATRINEHOLM</t>
        </is>
      </c>
      <c r="G185" t="n">
        <v>6.5</v>
      </c>
      <c r="H185" t="n">
        <v>0</v>
      </c>
      <c r="I185" t="n">
        <v>0</v>
      </c>
      <c r="J185" t="n">
        <v>0</v>
      </c>
      <c r="K185" t="n">
        <v>0</v>
      </c>
      <c r="L185" t="n">
        <v>0</v>
      </c>
      <c r="M185" t="n">
        <v>0</v>
      </c>
      <c r="N185" t="n">
        <v>0</v>
      </c>
      <c r="O185" t="n">
        <v>0</v>
      </c>
      <c r="P185" t="n">
        <v>0</v>
      </c>
      <c r="Q185" t="n">
        <v>0</v>
      </c>
      <c r="R185" s="2" t="inlineStr"/>
    </row>
    <row r="186" ht="15" customHeight="1">
      <c r="A186" t="inlineStr">
        <is>
          <t>A 60136-2019</t>
        </is>
      </c>
      <c r="B186" s="1" t="n">
        <v>43779</v>
      </c>
      <c r="C186" s="1" t="n">
        <v>45705</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60675-2019</t>
        </is>
      </c>
      <c r="B187" s="1" t="n">
        <v>43781</v>
      </c>
      <c r="C187" s="1" t="n">
        <v>45705</v>
      </c>
      <c r="D187" t="inlineStr">
        <is>
          <t>SÖDERMANLANDS LÄN</t>
        </is>
      </c>
      <c r="E187" t="inlineStr">
        <is>
          <t>KATRINEHOLM</t>
        </is>
      </c>
      <c r="G187" t="n">
        <v>2.6</v>
      </c>
      <c r="H187" t="n">
        <v>0</v>
      </c>
      <c r="I187" t="n">
        <v>0</v>
      </c>
      <c r="J187" t="n">
        <v>0</v>
      </c>
      <c r="K187" t="n">
        <v>0</v>
      </c>
      <c r="L187" t="n">
        <v>0</v>
      </c>
      <c r="M187" t="n">
        <v>0</v>
      </c>
      <c r="N187" t="n">
        <v>0</v>
      </c>
      <c r="O187" t="n">
        <v>0</v>
      </c>
      <c r="P187" t="n">
        <v>0</v>
      </c>
      <c r="Q187" t="n">
        <v>0</v>
      </c>
      <c r="R187" s="2" t="inlineStr"/>
    </row>
    <row r="188" ht="15" customHeight="1">
      <c r="A188" t="inlineStr">
        <is>
          <t>A 61999-2019</t>
        </is>
      </c>
      <c r="B188" s="1" t="n">
        <v>43781</v>
      </c>
      <c r="C188" s="1" t="n">
        <v>45705</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61161-2019</t>
        </is>
      </c>
      <c r="B189" s="1" t="n">
        <v>43782</v>
      </c>
      <c r="C189" s="1" t="n">
        <v>45705</v>
      </c>
      <c r="D189" t="inlineStr">
        <is>
          <t>SÖDERMANLANDS LÄN</t>
        </is>
      </c>
      <c r="E189" t="inlineStr">
        <is>
          <t>KATRINEHOLM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61867-2019</t>
        </is>
      </c>
      <c r="B190" s="1" t="n">
        <v>43784</v>
      </c>
      <c r="C190" s="1" t="n">
        <v>45705</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64409-2019</t>
        </is>
      </c>
      <c r="B191" s="1" t="n">
        <v>43793</v>
      </c>
      <c r="C191" s="1" t="n">
        <v>45705</v>
      </c>
      <c r="D191" t="inlineStr">
        <is>
          <t>SÖDERMANLANDS LÄN</t>
        </is>
      </c>
      <c r="E191" t="inlineStr">
        <is>
          <t>KATRINEHOLM</t>
        </is>
      </c>
      <c r="G191" t="n">
        <v>15.8</v>
      </c>
      <c r="H191" t="n">
        <v>0</v>
      </c>
      <c r="I191" t="n">
        <v>0</v>
      </c>
      <c r="J191" t="n">
        <v>0</v>
      </c>
      <c r="K191" t="n">
        <v>0</v>
      </c>
      <c r="L191" t="n">
        <v>0</v>
      </c>
      <c r="M191" t="n">
        <v>0</v>
      </c>
      <c r="N191" t="n">
        <v>0</v>
      </c>
      <c r="O191" t="n">
        <v>0</v>
      </c>
      <c r="P191" t="n">
        <v>0</v>
      </c>
      <c r="Q191" t="n">
        <v>0</v>
      </c>
      <c r="R191" s="2" t="inlineStr"/>
    </row>
    <row r="192" ht="15" customHeight="1">
      <c r="A192" t="inlineStr">
        <is>
          <t>A 64364-2019</t>
        </is>
      </c>
      <c r="B192" s="1" t="n">
        <v>43793</v>
      </c>
      <c r="C192" s="1" t="n">
        <v>45705</v>
      </c>
      <c r="D192" t="inlineStr">
        <is>
          <t>SÖDERMANLANDS LÄN</t>
        </is>
      </c>
      <c r="E192" t="inlineStr">
        <is>
          <t>KATRINEHOLM</t>
        </is>
      </c>
      <c r="G192" t="n">
        <v>5.9</v>
      </c>
      <c r="H192" t="n">
        <v>0</v>
      </c>
      <c r="I192" t="n">
        <v>0</v>
      </c>
      <c r="J192" t="n">
        <v>0</v>
      </c>
      <c r="K192" t="n">
        <v>0</v>
      </c>
      <c r="L192" t="n">
        <v>0</v>
      </c>
      <c r="M192" t="n">
        <v>0</v>
      </c>
      <c r="N192" t="n">
        <v>0</v>
      </c>
      <c r="O192" t="n">
        <v>0</v>
      </c>
      <c r="P192" t="n">
        <v>0</v>
      </c>
      <c r="Q192" t="n">
        <v>0</v>
      </c>
      <c r="R192" s="2" t="inlineStr"/>
    </row>
    <row r="193" ht="15" customHeight="1">
      <c r="A193" t="inlineStr">
        <is>
          <t>A 63275-2019</t>
        </is>
      </c>
      <c r="B193" s="1" t="n">
        <v>43794</v>
      </c>
      <c r="C193" s="1" t="n">
        <v>45705</v>
      </c>
      <c r="D193" t="inlineStr">
        <is>
          <t>SÖDERMANLANDS LÄN</t>
        </is>
      </c>
      <c r="E193" t="inlineStr">
        <is>
          <t>KATRINEHOLM</t>
        </is>
      </c>
      <c r="G193" t="n">
        <v>13.2</v>
      </c>
      <c r="H193" t="n">
        <v>0</v>
      </c>
      <c r="I193" t="n">
        <v>0</v>
      </c>
      <c r="J193" t="n">
        <v>0</v>
      </c>
      <c r="K193" t="n">
        <v>0</v>
      </c>
      <c r="L193" t="n">
        <v>0</v>
      </c>
      <c r="M193" t="n">
        <v>0</v>
      </c>
      <c r="N193" t="n">
        <v>0</v>
      </c>
      <c r="O193" t="n">
        <v>0</v>
      </c>
      <c r="P193" t="n">
        <v>0</v>
      </c>
      <c r="Q193" t="n">
        <v>0</v>
      </c>
      <c r="R193" s="2" t="inlineStr"/>
    </row>
    <row r="194" ht="15" customHeight="1">
      <c r="A194" t="inlineStr">
        <is>
          <t>A 63712-2019</t>
        </is>
      </c>
      <c r="B194" s="1" t="n">
        <v>43795</v>
      </c>
      <c r="C194" s="1" t="n">
        <v>45705</v>
      </c>
      <c r="D194" t="inlineStr">
        <is>
          <t>SÖDERMANLANDS LÄN</t>
        </is>
      </c>
      <c r="E194" t="inlineStr">
        <is>
          <t>KATRINEHOLM</t>
        </is>
      </c>
      <c r="G194" t="n">
        <v>6.6</v>
      </c>
      <c r="H194" t="n">
        <v>0</v>
      </c>
      <c r="I194" t="n">
        <v>0</v>
      </c>
      <c r="J194" t="n">
        <v>0</v>
      </c>
      <c r="K194" t="n">
        <v>0</v>
      </c>
      <c r="L194" t="n">
        <v>0</v>
      </c>
      <c r="M194" t="n">
        <v>0</v>
      </c>
      <c r="N194" t="n">
        <v>0</v>
      </c>
      <c r="O194" t="n">
        <v>0</v>
      </c>
      <c r="P194" t="n">
        <v>0</v>
      </c>
      <c r="Q194" t="n">
        <v>0</v>
      </c>
      <c r="R194" s="2" t="inlineStr"/>
    </row>
    <row r="195" ht="15" customHeight="1">
      <c r="A195" t="inlineStr">
        <is>
          <t>A 64711-2019</t>
        </is>
      </c>
      <c r="B195" s="1" t="n">
        <v>43798</v>
      </c>
      <c r="C195" s="1" t="n">
        <v>45705</v>
      </c>
      <c r="D195" t="inlineStr">
        <is>
          <t>SÖDERMANLANDS LÄN</t>
        </is>
      </c>
      <c r="E195" t="inlineStr">
        <is>
          <t>KATRINEHOLM</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65305-2019</t>
        </is>
      </c>
      <c r="B196" s="1" t="n">
        <v>43802</v>
      </c>
      <c r="C196" s="1" t="n">
        <v>45705</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65301-2019</t>
        </is>
      </c>
      <c r="B197" s="1" t="n">
        <v>43802</v>
      </c>
      <c r="C197" s="1" t="n">
        <v>45705</v>
      </c>
      <c r="D197" t="inlineStr">
        <is>
          <t>SÖDERMANLANDS LÄN</t>
        </is>
      </c>
      <c r="E197" t="inlineStr">
        <is>
          <t>KATRINEHOLM</t>
        </is>
      </c>
      <c r="G197" t="n">
        <v>9.6</v>
      </c>
      <c r="H197" t="n">
        <v>0</v>
      </c>
      <c r="I197" t="n">
        <v>0</v>
      </c>
      <c r="J197" t="n">
        <v>0</v>
      </c>
      <c r="K197" t="n">
        <v>0</v>
      </c>
      <c r="L197" t="n">
        <v>0</v>
      </c>
      <c r="M197" t="n">
        <v>0</v>
      </c>
      <c r="N197" t="n">
        <v>0</v>
      </c>
      <c r="O197" t="n">
        <v>0</v>
      </c>
      <c r="P197" t="n">
        <v>0</v>
      </c>
      <c r="Q197" t="n">
        <v>0</v>
      </c>
      <c r="R197" s="2" t="inlineStr"/>
    </row>
    <row r="198" ht="15" customHeight="1">
      <c r="A198" t="inlineStr">
        <is>
          <t>A 65245-2019</t>
        </is>
      </c>
      <c r="B198" s="1" t="n">
        <v>43802</v>
      </c>
      <c r="C198" s="1" t="n">
        <v>45705</v>
      </c>
      <c r="D198" t="inlineStr">
        <is>
          <t>SÖDERMANLANDS LÄN</t>
        </is>
      </c>
      <c r="E198" t="inlineStr">
        <is>
          <t>KATRINEHOLM</t>
        </is>
      </c>
      <c r="G198" t="n">
        <v>1.8</v>
      </c>
      <c r="H198" t="n">
        <v>0</v>
      </c>
      <c r="I198" t="n">
        <v>0</v>
      </c>
      <c r="J198" t="n">
        <v>0</v>
      </c>
      <c r="K198" t="n">
        <v>0</v>
      </c>
      <c r="L198" t="n">
        <v>0</v>
      </c>
      <c r="M198" t="n">
        <v>0</v>
      </c>
      <c r="N198" t="n">
        <v>0</v>
      </c>
      <c r="O198" t="n">
        <v>0</v>
      </c>
      <c r="P198" t="n">
        <v>0</v>
      </c>
      <c r="Q198" t="n">
        <v>0</v>
      </c>
      <c r="R198" s="2" t="inlineStr"/>
    </row>
    <row r="199" ht="15" customHeight="1">
      <c r="A199" t="inlineStr">
        <is>
          <t>A 65307-2019</t>
        </is>
      </c>
      <c r="B199" s="1" t="n">
        <v>43802</v>
      </c>
      <c r="C199" s="1" t="n">
        <v>45705</v>
      </c>
      <c r="D199" t="inlineStr">
        <is>
          <t>SÖDERMANLANDS LÄN</t>
        </is>
      </c>
      <c r="E199" t="inlineStr">
        <is>
          <t>KATRINEHOLM</t>
        </is>
      </c>
      <c r="G199" t="n">
        <v>4</v>
      </c>
      <c r="H199" t="n">
        <v>0</v>
      </c>
      <c r="I199" t="n">
        <v>0</v>
      </c>
      <c r="J199" t="n">
        <v>0</v>
      </c>
      <c r="K199" t="n">
        <v>0</v>
      </c>
      <c r="L199" t="n">
        <v>0</v>
      </c>
      <c r="M199" t="n">
        <v>0</v>
      </c>
      <c r="N199" t="n">
        <v>0</v>
      </c>
      <c r="O199" t="n">
        <v>0</v>
      </c>
      <c r="P199" t="n">
        <v>0</v>
      </c>
      <c r="Q199" t="n">
        <v>0</v>
      </c>
      <c r="R199" s="2" t="inlineStr"/>
    </row>
    <row r="200" ht="15" customHeight="1">
      <c r="A200" t="inlineStr">
        <is>
          <t>A 66407-2019</t>
        </is>
      </c>
      <c r="B200" s="1" t="n">
        <v>43809</v>
      </c>
      <c r="C200" s="1" t="n">
        <v>45705</v>
      </c>
      <c r="D200" t="inlineStr">
        <is>
          <t>SÖDERMANLANDS LÄN</t>
        </is>
      </c>
      <c r="E200" t="inlineStr">
        <is>
          <t>KATRINEHOLM</t>
        </is>
      </c>
      <c r="F200" t="inlineStr">
        <is>
          <t>Övriga Aktiebolag</t>
        </is>
      </c>
      <c r="G200" t="n">
        <v>3.9</v>
      </c>
      <c r="H200" t="n">
        <v>0</v>
      </c>
      <c r="I200" t="n">
        <v>0</v>
      </c>
      <c r="J200" t="n">
        <v>0</v>
      </c>
      <c r="K200" t="n">
        <v>0</v>
      </c>
      <c r="L200" t="n">
        <v>0</v>
      </c>
      <c r="M200" t="n">
        <v>0</v>
      </c>
      <c r="N200" t="n">
        <v>0</v>
      </c>
      <c r="O200" t="n">
        <v>0</v>
      </c>
      <c r="P200" t="n">
        <v>0</v>
      </c>
      <c r="Q200" t="n">
        <v>0</v>
      </c>
      <c r="R200" s="2" t="inlineStr"/>
    </row>
    <row r="201" ht="15" customHeight="1">
      <c r="A201" t="inlineStr">
        <is>
          <t>A 66860-2019</t>
        </is>
      </c>
      <c r="B201" s="1" t="n">
        <v>43810</v>
      </c>
      <c r="C201" s="1" t="n">
        <v>45705</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66826-2019</t>
        </is>
      </c>
      <c r="B202" s="1" t="n">
        <v>43810</v>
      </c>
      <c r="C202" s="1" t="n">
        <v>45705</v>
      </c>
      <c r="D202" t="inlineStr">
        <is>
          <t>SÖDERMANLANDS LÄN</t>
        </is>
      </c>
      <c r="E202" t="inlineStr">
        <is>
          <t>KATRINEHOLM</t>
        </is>
      </c>
      <c r="G202" t="n">
        <v>2.1</v>
      </c>
      <c r="H202" t="n">
        <v>0</v>
      </c>
      <c r="I202" t="n">
        <v>0</v>
      </c>
      <c r="J202" t="n">
        <v>0</v>
      </c>
      <c r="K202" t="n">
        <v>0</v>
      </c>
      <c r="L202" t="n">
        <v>0</v>
      </c>
      <c r="M202" t="n">
        <v>0</v>
      </c>
      <c r="N202" t="n">
        <v>0</v>
      </c>
      <c r="O202" t="n">
        <v>0</v>
      </c>
      <c r="P202" t="n">
        <v>0</v>
      </c>
      <c r="Q202" t="n">
        <v>0</v>
      </c>
      <c r="R202" s="2" t="inlineStr"/>
    </row>
    <row r="203" ht="15" customHeight="1">
      <c r="A203" t="inlineStr">
        <is>
          <t>A 66879-2019</t>
        </is>
      </c>
      <c r="B203" s="1" t="n">
        <v>43810</v>
      </c>
      <c r="C203" s="1" t="n">
        <v>45705</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66821-2019</t>
        </is>
      </c>
      <c r="B204" s="1" t="n">
        <v>43810</v>
      </c>
      <c r="C204" s="1" t="n">
        <v>45705</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66851-2019</t>
        </is>
      </c>
      <c r="B205" s="1" t="n">
        <v>43810</v>
      </c>
      <c r="C205" s="1" t="n">
        <v>45705</v>
      </c>
      <c r="D205" t="inlineStr">
        <is>
          <t>SÖDERMANLANDS LÄN</t>
        </is>
      </c>
      <c r="E205" t="inlineStr">
        <is>
          <t>KATRINEHOLM</t>
        </is>
      </c>
      <c r="G205" t="n">
        <v>6</v>
      </c>
      <c r="H205" t="n">
        <v>0</v>
      </c>
      <c r="I205" t="n">
        <v>0</v>
      </c>
      <c r="J205" t="n">
        <v>0</v>
      </c>
      <c r="K205" t="n">
        <v>0</v>
      </c>
      <c r="L205" t="n">
        <v>0</v>
      </c>
      <c r="M205" t="n">
        <v>0</v>
      </c>
      <c r="N205" t="n">
        <v>0</v>
      </c>
      <c r="O205" t="n">
        <v>0</v>
      </c>
      <c r="P205" t="n">
        <v>0</v>
      </c>
      <c r="Q205" t="n">
        <v>0</v>
      </c>
      <c r="R205" s="2" t="inlineStr"/>
    </row>
    <row r="206" ht="15" customHeight="1">
      <c r="A206" t="inlineStr">
        <is>
          <t>A 67270-2019</t>
        </is>
      </c>
      <c r="B206" s="1" t="n">
        <v>43812</v>
      </c>
      <c r="C206" s="1" t="n">
        <v>45705</v>
      </c>
      <c r="D206" t="inlineStr">
        <is>
          <t>SÖDERMANLANDS LÄN</t>
        </is>
      </c>
      <c r="E206" t="inlineStr">
        <is>
          <t>KATRINEHOLM</t>
        </is>
      </c>
      <c r="F206" t="inlineStr">
        <is>
          <t>Kyrkan</t>
        </is>
      </c>
      <c r="G206" t="n">
        <v>2.1</v>
      </c>
      <c r="H206" t="n">
        <v>0</v>
      </c>
      <c r="I206" t="n">
        <v>0</v>
      </c>
      <c r="J206" t="n">
        <v>0</v>
      </c>
      <c r="K206" t="n">
        <v>0</v>
      </c>
      <c r="L206" t="n">
        <v>0</v>
      </c>
      <c r="M206" t="n">
        <v>0</v>
      </c>
      <c r="N206" t="n">
        <v>0</v>
      </c>
      <c r="O206" t="n">
        <v>0</v>
      </c>
      <c r="P206" t="n">
        <v>0</v>
      </c>
      <c r="Q206" t="n">
        <v>0</v>
      </c>
      <c r="R206" s="2" t="inlineStr"/>
    </row>
    <row r="207" ht="15" customHeight="1">
      <c r="A207" t="inlineStr">
        <is>
          <t>A 1367-2020</t>
        </is>
      </c>
      <c r="B207" s="1" t="n">
        <v>43822</v>
      </c>
      <c r="C207" s="1" t="n">
        <v>45705</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2319-2020</t>
        </is>
      </c>
      <c r="B208" s="1" t="n">
        <v>43846</v>
      </c>
      <c r="C208" s="1" t="n">
        <v>45705</v>
      </c>
      <c r="D208" t="inlineStr">
        <is>
          <t>SÖDERMANLANDS LÄN</t>
        </is>
      </c>
      <c r="E208" t="inlineStr">
        <is>
          <t>KATRINEHOLM</t>
        </is>
      </c>
      <c r="G208" t="n">
        <v>2.8</v>
      </c>
      <c r="H208" t="n">
        <v>0</v>
      </c>
      <c r="I208" t="n">
        <v>0</v>
      </c>
      <c r="J208" t="n">
        <v>0</v>
      </c>
      <c r="K208" t="n">
        <v>0</v>
      </c>
      <c r="L208" t="n">
        <v>0</v>
      </c>
      <c r="M208" t="n">
        <v>0</v>
      </c>
      <c r="N208" t="n">
        <v>0</v>
      </c>
      <c r="O208" t="n">
        <v>0</v>
      </c>
      <c r="P208" t="n">
        <v>0</v>
      </c>
      <c r="Q208" t="n">
        <v>0</v>
      </c>
      <c r="R208" s="2" t="inlineStr"/>
    </row>
    <row r="209" ht="15" customHeight="1">
      <c r="A209" t="inlineStr">
        <is>
          <t>A 3540-2020</t>
        </is>
      </c>
      <c r="B209" s="1" t="n">
        <v>43853</v>
      </c>
      <c r="C209" s="1" t="n">
        <v>45705</v>
      </c>
      <c r="D209" t="inlineStr">
        <is>
          <t>SÖDERMANLANDS LÄN</t>
        </is>
      </c>
      <c r="E209" t="inlineStr">
        <is>
          <t>KATRINEHOLM</t>
        </is>
      </c>
      <c r="G209" t="n">
        <v>11.7</v>
      </c>
      <c r="H209" t="n">
        <v>0</v>
      </c>
      <c r="I209" t="n">
        <v>0</v>
      </c>
      <c r="J209" t="n">
        <v>0</v>
      </c>
      <c r="K209" t="n">
        <v>0</v>
      </c>
      <c r="L209" t="n">
        <v>0</v>
      </c>
      <c r="M209" t="n">
        <v>0</v>
      </c>
      <c r="N209" t="n">
        <v>0</v>
      </c>
      <c r="O209" t="n">
        <v>0</v>
      </c>
      <c r="P209" t="n">
        <v>0</v>
      </c>
      <c r="Q209" t="n">
        <v>0</v>
      </c>
      <c r="R209" s="2" t="inlineStr"/>
    </row>
    <row r="210" ht="15" customHeight="1">
      <c r="A210" t="inlineStr">
        <is>
          <t>A 3571-2020</t>
        </is>
      </c>
      <c r="B210" s="1" t="n">
        <v>43853</v>
      </c>
      <c r="C210" s="1" t="n">
        <v>45705</v>
      </c>
      <c r="D210" t="inlineStr">
        <is>
          <t>SÖDERMANLANDS LÄN</t>
        </is>
      </c>
      <c r="E210" t="inlineStr">
        <is>
          <t>KATRINEHOLM</t>
        </is>
      </c>
      <c r="G210" t="n">
        <v>10.9</v>
      </c>
      <c r="H210" t="n">
        <v>0</v>
      </c>
      <c r="I210" t="n">
        <v>0</v>
      </c>
      <c r="J210" t="n">
        <v>0</v>
      </c>
      <c r="K210" t="n">
        <v>0</v>
      </c>
      <c r="L210" t="n">
        <v>0</v>
      </c>
      <c r="M210" t="n">
        <v>0</v>
      </c>
      <c r="N210" t="n">
        <v>0</v>
      </c>
      <c r="O210" t="n">
        <v>0</v>
      </c>
      <c r="P210" t="n">
        <v>0</v>
      </c>
      <c r="Q210" t="n">
        <v>0</v>
      </c>
      <c r="R210" s="2" t="inlineStr"/>
    </row>
    <row r="211" ht="15" customHeight="1">
      <c r="A211" t="inlineStr">
        <is>
          <t>A 4354-2020</t>
        </is>
      </c>
      <c r="B211" s="1" t="n">
        <v>43857</v>
      </c>
      <c r="C211" s="1" t="n">
        <v>45705</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4357-2020</t>
        </is>
      </c>
      <c r="B212" s="1" t="n">
        <v>43857</v>
      </c>
      <c r="C212" s="1" t="n">
        <v>45705</v>
      </c>
      <c r="D212" t="inlineStr">
        <is>
          <t>SÖDERMANLANDS LÄN</t>
        </is>
      </c>
      <c r="E212" t="inlineStr">
        <is>
          <t>KATRINEHOLM</t>
        </is>
      </c>
      <c r="G212" t="n">
        <v>0.4</v>
      </c>
      <c r="H212" t="n">
        <v>0</v>
      </c>
      <c r="I212" t="n">
        <v>0</v>
      </c>
      <c r="J212" t="n">
        <v>0</v>
      </c>
      <c r="K212" t="n">
        <v>0</v>
      </c>
      <c r="L212" t="n">
        <v>0</v>
      </c>
      <c r="M212" t="n">
        <v>0</v>
      </c>
      <c r="N212" t="n">
        <v>0</v>
      </c>
      <c r="O212" t="n">
        <v>0</v>
      </c>
      <c r="P212" t="n">
        <v>0</v>
      </c>
      <c r="Q212" t="n">
        <v>0</v>
      </c>
      <c r="R212" s="2" t="inlineStr"/>
    </row>
    <row r="213" ht="15" customHeight="1">
      <c r="A213" t="inlineStr">
        <is>
          <t>A 4355-2020</t>
        </is>
      </c>
      <c r="B213" s="1" t="n">
        <v>43857</v>
      </c>
      <c r="C213" s="1" t="n">
        <v>45705</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6220-2020</t>
        </is>
      </c>
      <c r="B214" s="1" t="n">
        <v>43865</v>
      </c>
      <c r="C214" s="1" t="n">
        <v>45705</v>
      </c>
      <c r="D214" t="inlineStr">
        <is>
          <t>SÖDERMANLANDS LÄN</t>
        </is>
      </c>
      <c r="E214" t="inlineStr">
        <is>
          <t>KATRINEHOLM</t>
        </is>
      </c>
      <c r="F214" t="inlineStr">
        <is>
          <t>Allmännings- och besparingsskogar</t>
        </is>
      </c>
      <c r="G214" t="n">
        <v>0.9</v>
      </c>
      <c r="H214" t="n">
        <v>0</v>
      </c>
      <c r="I214" t="n">
        <v>0</v>
      </c>
      <c r="J214" t="n">
        <v>0</v>
      </c>
      <c r="K214" t="n">
        <v>0</v>
      </c>
      <c r="L214" t="n">
        <v>0</v>
      </c>
      <c r="M214" t="n">
        <v>0</v>
      </c>
      <c r="N214" t="n">
        <v>0</v>
      </c>
      <c r="O214" t="n">
        <v>0</v>
      </c>
      <c r="P214" t="n">
        <v>0</v>
      </c>
      <c r="Q214" t="n">
        <v>0</v>
      </c>
      <c r="R214" s="2" t="inlineStr"/>
    </row>
    <row r="215" ht="15" customHeight="1">
      <c r="A215" t="inlineStr">
        <is>
          <t>A 6175-2020</t>
        </is>
      </c>
      <c r="B215" s="1" t="n">
        <v>43865</v>
      </c>
      <c r="C215" s="1" t="n">
        <v>45705</v>
      </c>
      <c r="D215" t="inlineStr">
        <is>
          <t>SÖDERMANLANDS LÄN</t>
        </is>
      </c>
      <c r="E215" t="inlineStr">
        <is>
          <t>KATRINEHOLM</t>
        </is>
      </c>
      <c r="F215" t="inlineStr">
        <is>
          <t>Holmen skog AB</t>
        </is>
      </c>
      <c r="G215" t="n">
        <v>0.4</v>
      </c>
      <c r="H215" t="n">
        <v>0</v>
      </c>
      <c r="I215" t="n">
        <v>0</v>
      </c>
      <c r="J215" t="n">
        <v>0</v>
      </c>
      <c r="K215" t="n">
        <v>0</v>
      </c>
      <c r="L215" t="n">
        <v>0</v>
      </c>
      <c r="M215" t="n">
        <v>0</v>
      </c>
      <c r="N215" t="n">
        <v>0</v>
      </c>
      <c r="O215" t="n">
        <v>0</v>
      </c>
      <c r="P215" t="n">
        <v>0</v>
      </c>
      <c r="Q215" t="n">
        <v>0</v>
      </c>
      <c r="R215" s="2" t="inlineStr"/>
    </row>
    <row r="216" ht="15" customHeight="1">
      <c r="A216" t="inlineStr">
        <is>
          <t>A 6455-2020</t>
        </is>
      </c>
      <c r="B216" s="1" t="n">
        <v>43866</v>
      </c>
      <c r="C216" s="1" t="n">
        <v>45705</v>
      </c>
      <c r="D216" t="inlineStr">
        <is>
          <t>SÖDERMANLANDS LÄN</t>
        </is>
      </c>
      <c r="E216" t="inlineStr">
        <is>
          <t>KATRINEHOLM</t>
        </is>
      </c>
      <c r="F216" t="inlineStr">
        <is>
          <t>Allmännings- och besparingsskogar</t>
        </is>
      </c>
      <c r="G216" t="n">
        <v>1.6</v>
      </c>
      <c r="H216" t="n">
        <v>0</v>
      </c>
      <c r="I216" t="n">
        <v>0</v>
      </c>
      <c r="J216" t="n">
        <v>0</v>
      </c>
      <c r="K216" t="n">
        <v>0</v>
      </c>
      <c r="L216" t="n">
        <v>0</v>
      </c>
      <c r="M216" t="n">
        <v>0</v>
      </c>
      <c r="N216" t="n">
        <v>0</v>
      </c>
      <c r="O216" t="n">
        <v>0</v>
      </c>
      <c r="P216" t="n">
        <v>0</v>
      </c>
      <c r="Q216" t="n">
        <v>0</v>
      </c>
      <c r="R216" s="2" t="inlineStr"/>
    </row>
    <row r="217" ht="15" customHeight="1">
      <c r="A217" t="inlineStr">
        <is>
          <t>A 6740-2020</t>
        </is>
      </c>
      <c r="B217" s="1" t="n">
        <v>43866</v>
      </c>
      <c r="C217" s="1" t="n">
        <v>45705</v>
      </c>
      <c r="D217" t="inlineStr">
        <is>
          <t>SÖDERMANLANDS LÄN</t>
        </is>
      </c>
      <c r="E217" t="inlineStr">
        <is>
          <t>KATRINEHOLM</t>
        </is>
      </c>
      <c r="G217" t="n">
        <v>5.4</v>
      </c>
      <c r="H217" t="n">
        <v>0</v>
      </c>
      <c r="I217" t="n">
        <v>0</v>
      </c>
      <c r="J217" t="n">
        <v>0</v>
      </c>
      <c r="K217" t="n">
        <v>0</v>
      </c>
      <c r="L217" t="n">
        <v>0</v>
      </c>
      <c r="M217" t="n">
        <v>0</v>
      </c>
      <c r="N217" t="n">
        <v>0</v>
      </c>
      <c r="O217" t="n">
        <v>0</v>
      </c>
      <c r="P217" t="n">
        <v>0</v>
      </c>
      <c r="Q217" t="n">
        <v>0</v>
      </c>
      <c r="R217" s="2" t="inlineStr"/>
    </row>
    <row r="218" ht="15" customHeight="1">
      <c r="A218" t="inlineStr">
        <is>
          <t>A 6679-2020</t>
        </is>
      </c>
      <c r="B218" s="1" t="n">
        <v>43867</v>
      </c>
      <c r="C218" s="1" t="n">
        <v>45705</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7352-2020</t>
        </is>
      </c>
      <c r="B219" s="1" t="n">
        <v>43871</v>
      </c>
      <c r="C219" s="1" t="n">
        <v>45705</v>
      </c>
      <c r="D219" t="inlineStr">
        <is>
          <t>SÖDERMANLANDS LÄN</t>
        </is>
      </c>
      <c r="E219" t="inlineStr">
        <is>
          <t>KATRINEHOLM</t>
        </is>
      </c>
      <c r="G219" t="n">
        <v>1.5</v>
      </c>
      <c r="H219" t="n">
        <v>0</v>
      </c>
      <c r="I219" t="n">
        <v>0</v>
      </c>
      <c r="J219" t="n">
        <v>0</v>
      </c>
      <c r="K219" t="n">
        <v>0</v>
      </c>
      <c r="L219" t="n">
        <v>0</v>
      </c>
      <c r="M219" t="n">
        <v>0</v>
      </c>
      <c r="N219" t="n">
        <v>0</v>
      </c>
      <c r="O219" t="n">
        <v>0</v>
      </c>
      <c r="P219" t="n">
        <v>0</v>
      </c>
      <c r="Q219" t="n">
        <v>0</v>
      </c>
      <c r="R219" s="2" t="inlineStr"/>
    </row>
    <row r="220" ht="15" customHeight="1">
      <c r="A220" t="inlineStr">
        <is>
          <t>A 7623-2020</t>
        </is>
      </c>
      <c r="B220" s="1" t="n">
        <v>43872</v>
      </c>
      <c r="C220" s="1" t="n">
        <v>45705</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7629-2020</t>
        </is>
      </c>
      <c r="B221" s="1" t="n">
        <v>43872</v>
      </c>
      <c r="C221" s="1" t="n">
        <v>45705</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8571-2020</t>
        </is>
      </c>
      <c r="B222" s="1" t="n">
        <v>43875</v>
      </c>
      <c r="C222" s="1" t="n">
        <v>45705</v>
      </c>
      <c r="D222" t="inlineStr">
        <is>
          <t>SÖDERMANLANDS LÄN</t>
        </is>
      </c>
      <c r="E222" t="inlineStr">
        <is>
          <t>KATRINEHOLM</t>
        </is>
      </c>
      <c r="G222" t="n">
        <v>3.9</v>
      </c>
      <c r="H222" t="n">
        <v>0</v>
      </c>
      <c r="I222" t="n">
        <v>0</v>
      </c>
      <c r="J222" t="n">
        <v>0</v>
      </c>
      <c r="K222" t="n">
        <v>0</v>
      </c>
      <c r="L222" t="n">
        <v>0</v>
      </c>
      <c r="M222" t="n">
        <v>0</v>
      </c>
      <c r="N222" t="n">
        <v>0</v>
      </c>
      <c r="O222" t="n">
        <v>0</v>
      </c>
      <c r="P222" t="n">
        <v>0</v>
      </c>
      <c r="Q222" t="n">
        <v>0</v>
      </c>
      <c r="R222" s="2" t="inlineStr"/>
    </row>
    <row r="223" ht="15" customHeight="1">
      <c r="A223" t="inlineStr">
        <is>
          <t>A 8549-2020</t>
        </is>
      </c>
      <c r="B223" s="1" t="n">
        <v>43877</v>
      </c>
      <c r="C223" s="1" t="n">
        <v>45705</v>
      </c>
      <c r="D223" t="inlineStr">
        <is>
          <t>SÖDERMANLANDS LÄN</t>
        </is>
      </c>
      <c r="E223" t="inlineStr">
        <is>
          <t>KATRINEHOLM</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8833-2020</t>
        </is>
      </c>
      <c r="B224" s="1" t="n">
        <v>43878</v>
      </c>
      <c r="C224" s="1" t="n">
        <v>45705</v>
      </c>
      <c r="D224" t="inlineStr">
        <is>
          <t>SÖDERMANLANDS LÄN</t>
        </is>
      </c>
      <c r="E224" t="inlineStr">
        <is>
          <t>KATRINEHOLM</t>
        </is>
      </c>
      <c r="G224" t="n">
        <v>2.9</v>
      </c>
      <c r="H224" t="n">
        <v>0</v>
      </c>
      <c r="I224" t="n">
        <v>0</v>
      </c>
      <c r="J224" t="n">
        <v>0</v>
      </c>
      <c r="K224" t="n">
        <v>0</v>
      </c>
      <c r="L224" t="n">
        <v>0</v>
      </c>
      <c r="M224" t="n">
        <v>0</v>
      </c>
      <c r="N224" t="n">
        <v>0</v>
      </c>
      <c r="O224" t="n">
        <v>0</v>
      </c>
      <c r="P224" t="n">
        <v>0</v>
      </c>
      <c r="Q224" t="n">
        <v>0</v>
      </c>
      <c r="R224" s="2" t="inlineStr"/>
    </row>
    <row r="225" ht="15" customHeight="1">
      <c r="A225" t="inlineStr">
        <is>
          <t>A 9258-2020</t>
        </is>
      </c>
      <c r="B225" s="1" t="n">
        <v>43879</v>
      </c>
      <c r="C225" s="1" t="n">
        <v>45705</v>
      </c>
      <c r="D225" t="inlineStr">
        <is>
          <t>SÖDERMANLANDS LÄN</t>
        </is>
      </c>
      <c r="E225" t="inlineStr">
        <is>
          <t>KATRINEHOLM</t>
        </is>
      </c>
      <c r="G225" t="n">
        <v>5.4</v>
      </c>
      <c r="H225" t="n">
        <v>0</v>
      </c>
      <c r="I225" t="n">
        <v>0</v>
      </c>
      <c r="J225" t="n">
        <v>0</v>
      </c>
      <c r="K225" t="n">
        <v>0</v>
      </c>
      <c r="L225" t="n">
        <v>0</v>
      </c>
      <c r="M225" t="n">
        <v>0</v>
      </c>
      <c r="N225" t="n">
        <v>0</v>
      </c>
      <c r="O225" t="n">
        <v>0</v>
      </c>
      <c r="P225" t="n">
        <v>0</v>
      </c>
      <c r="Q225" t="n">
        <v>0</v>
      </c>
      <c r="R225" s="2" t="inlineStr"/>
    </row>
    <row r="226" ht="15" customHeight="1">
      <c r="A226" t="inlineStr">
        <is>
          <t>A 9256-2020</t>
        </is>
      </c>
      <c r="B226" s="1" t="n">
        <v>43879</v>
      </c>
      <c r="C226" s="1" t="n">
        <v>45705</v>
      </c>
      <c r="D226" t="inlineStr">
        <is>
          <t>SÖDERMANLANDS LÄN</t>
        </is>
      </c>
      <c r="E226" t="inlineStr">
        <is>
          <t>KATRINEHOLM</t>
        </is>
      </c>
      <c r="G226" t="n">
        <v>2.5</v>
      </c>
      <c r="H226" t="n">
        <v>0</v>
      </c>
      <c r="I226" t="n">
        <v>0</v>
      </c>
      <c r="J226" t="n">
        <v>0</v>
      </c>
      <c r="K226" t="n">
        <v>0</v>
      </c>
      <c r="L226" t="n">
        <v>0</v>
      </c>
      <c r="M226" t="n">
        <v>0</v>
      </c>
      <c r="N226" t="n">
        <v>0</v>
      </c>
      <c r="O226" t="n">
        <v>0</v>
      </c>
      <c r="P226" t="n">
        <v>0</v>
      </c>
      <c r="Q226" t="n">
        <v>0</v>
      </c>
      <c r="R226" s="2" t="inlineStr"/>
    </row>
    <row r="227" ht="15" customHeight="1">
      <c r="A227" t="inlineStr">
        <is>
          <t>A 9535-2020</t>
        </is>
      </c>
      <c r="B227" s="1" t="n">
        <v>43881</v>
      </c>
      <c r="C227" s="1" t="n">
        <v>45705</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9786-2020</t>
        </is>
      </c>
      <c r="B228" s="1" t="n">
        <v>43881</v>
      </c>
      <c r="C228" s="1" t="n">
        <v>45705</v>
      </c>
      <c r="D228" t="inlineStr">
        <is>
          <t>SÖDERMANLANDS LÄN</t>
        </is>
      </c>
      <c r="E228" t="inlineStr">
        <is>
          <t>KATRINEHOLM</t>
        </is>
      </c>
      <c r="G228" t="n">
        <v>5.8</v>
      </c>
      <c r="H228" t="n">
        <v>0</v>
      </c>
      <c r="I228" t="n">
        <v>0</v>
      </c>
      <c r="J228" t="n">
        <v>0</v>
      </c>
      <c r="K228" t="n">
        <v>0</v>
      </c>
      <c r="L228" t="n">
        <v>0</v>
      </c>
      <c r="M228" t="n">
        <v>0</v>
      </c>
      <c r="N228" t="n">
        <v>0</v>
      </c>
      <c r="O228" t="n">
        <v>0</v>
      </c>
      <c r="P228" t="n">
        <v>0</v>
      </c>
      <c r="Q228" t="n">
        <v>0</v>
      </c>
      <c r="R228" s="2" t="inlineStr"/>
    </row>
    <row r="229" ht="15" customHeight="1">
      <c r="A229" t="inlineStr">
        <is>
          <t>A 10401-2020</t>
        </is>
      </c>
      <c r="B229" s="1" t="n">
        <v>43885</v>
      </c>
      <c r="C229" s="1" t="n">
        <v>45705</v>
      </c>
      <c r="D229" t="inlineStr">
        <is>
          <t>SÖDERMANLANDS LÄN</t>
        </is>
      </c>
      <c r="E229" t="inlineStr">
        <is>
          <t>KATRINEHOLM</t>
        </is>
      </c>
      <c r="G229" t="n">
        <v>5.9</v>
      </c>
      <c r="H229" t="n">
        <v>0</v>
      </c>
      <c r="I229" t="n">
        <v>0</v>
      </c>
      <c r="J229" t="n">
        <v>0</v>
      </c>
      <c r="K229" t="n">
        <v>0</v>
      </c>
      <c r="L229" t="n">
        <v>0</v>
      </c>
      <c r="M229" t="n">
        <v>0</v>
      </c>
      <c r="N229" t="n">
        <v>0</v>
      </c>
      <c r="O229" t="n">
        <v>0</v>
      </c>
      <c r="P229" t="n">
        <v>0</v>
      </c>
      <c r="Q229" t="n">
        <v>0</v>
      </c>
      <c r="R229" s="2" t="inlineStr"/>
    </row>
    <row r="230" ht="15" customHeight="1">
      <c r="A230" t="inlineStr">
        <is>
          <t>A 10527-2020</t>
        </is>
      </c>
      <c r="B230" s="1" t="n">
        <v>43886</v>
      </c>
      <c r="C230" s="1" t="n">
        <v>45705</v>
      </c>
      <c r="D230" t="inlineStr">
        <is>
          <t>SÖDERMANLANDS LÄN</t>
        </is>
      </c>
      <c r="E230" t="inlineStr">
        <is>
          <t>KATRINEHOLM</t>
        </is>
      </c>
      <c r="G230" t="n">
        <v>3.2</v>
      </c>
      <c r="H230" t="n">
        <v>0</v>
      </c>
      <c r="I230" t="n">
        <v>0</v>
      </c>
      <c r="J230" t="n">
        <v>0</v>
      </c>
      <c r="K230" t="n">
        <v>0</v>
      </c>
      <c r="L230" t="n">
        <v>0</v>
      </c>
      <c r="M230" t="n">
        <v>0</v>
      </c>
      <c r="N230" t="n">
        <v>0</v>
      </c>
      <c r="O230" t="n">
        <v>0</v>
      </c>
      <c r="P230" t="n">
        <v>0</v>
      </c>
      <c r="Q230" t="n">
        <v>0</v>
      </c>
      <c r="R230" s="2" t="inlineStr"/>
    </row>
    <row r="231" ht="15" customHeight="1">
      <c r="A231" t="inlineStr">
        <is>
          <t>A 10486-2020</t>
        </is>
      </c>
      <c r="B231" s="1" t="n">
        <v>43886</v>
      </c>
      <c r="C231" s="1" t="n">
        <v>45705</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12557-2020</t>
        </is>
      </c>
      <c r="B232" s="1" t="n">
        <v>43898</v>
      </c>
      <c r="C232" s="1" t="n">
        <v>45705</v>
      </c>
      <c r="D232" t="inlineStr">
        <is>
          <t>SÖDERMANLANDS LÄN</t>
        </is>
      </c>
      <c r="E232" t="inlineStr">
        <is>
          <t>KATRINEHOLM</t>
        </is>
      </c>
      <c r="G232" t="n">
        <v>3.3</v>
      </c>
      <c r="H232" t="n">
        <v>0</v>
      </c>
      <c r="I232" t="n">
        <v>0</v>
      </c>
      <c r="J232" t="n">
        <v>0</v>
      </c>
      <c r="K232" t="n">
        <v>0</v>
      </c>
      <c r="L232" t="n">
        <v>0</v>
      </c>
      <c r="M232" t="n">
        <v>0</v>
      </c>
      <c r="N232" t="n">
        <v>0</v>
      </c>
      <c r="O232" t="n">
        <v>0</v>
      </c>
      <c r="P232" t="n">
        <v>0</v>
      </c>
      <c r="Q232" t="n">
        <v>0</v>
      </c>
      <c r="R232" s="2" t="inlineStr"/>
    </row>
    <row r="233" ht="15" customHeight="1">
      <c r="A233" t="inlineStr">
        <is>
          <t>A 13279-2020</t>
        </is>
      </c>
      <c r="B233" s="1" t="n">
        <v>43901</v>
      </c>
      <c r="C233" s="1" t="n">
        <v>45705</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13261-2020</t>
        </is>
      </c>
      <c r="B234" s="1" t="n">
        <v>43901</v>
      </c>
      <c r="C234" s="1" t="n">
        <v>45705</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13505-2020</t>
        </is>
      </c>
      <c r="B235" s="1" t="n">
        <v>43902</v>
      </c>
      <c r="C235" s="1" t="n">
        <v>45705</v>
      </c>
      <c r="D235" t="inlineStr">
        <is>
          <t>SÖDERMANLANDS LÄN</t>
        </is>
      </c>
      <c r="E235" t="inlineStr">
        <is>
          <t>KATRINEHOLM</t>
        </is>
      </c>
      <c r="G235" t="n">
        <v>5.3</v>
      </c>
      <c r="H235" t="n">
        <v>0</v>
      </c>
      <c r="I235" t="n">
        <v>0</v>
      </c>
      <c r="J235" t="n">
        <v>0</v>
      </c>
      <c r="K235" t="n">
        <v>0</v>
      </c>
      <c r="L235" t="n">
        <v>0</v>
      </c>
      <c r="M235" t="n">
        <v>0</v>
      </c>
      <c r="N235" t="n">
        <v>0</v>
      </c>
      <c r="O235" t="n">
        <v>0</v>
      </c>
      <c r="P235" t="n">
        <v>0</v>
      </c>
      <c r="Q235" t="n">
        <v>0</v>
      </c>
      <c r="R235" s="2" t="inlineStr"/>
    </row>
    <row r="236" ht="15" customHeight="1">
      <c r="A236" t="inlineStr">
        <is>
          <t>A 13972-2020</t>
        </is>
      </c>
      <c r="B236" s="1" t="n">
        <v>43906</v>
      </c>
      <c r="C236" s="1" t="n">
        <v>45705</v>
      </c>
      <c r="D236" t="inlineStr">
        <is>
          <t>SÖDERMANLANDS LÄN</t>
        </is>
      </c>
      <c r="E236" t="inlineStr">
        <is>
          <t>KATRINEHOLM</t>
        </is>
      </c>
      <c r="G236" t="n">
        <v>3.5</v>
      </c>
      <c r="H236" t="n">
        <v>0</v>
      </c>
      <c r="I236" t="n">
        <v>0</v>
      </c>
      <c r="J236" t="n">
        <v>0</v>
      </c>
      <c r="K236" t="n">
        <v>0</v>
      </c>
      <c r="L236" t="n">
        <v>0</v>
      </c>
      <c r="M236" t="n">
        <v>0</v>
      </c>
      <c r="N236" t="n">
        <v>0</v>
      </c>
      <c r="O236" t="n">
        <v>0</v>
      </c>
      <c r="P236" t="n">
        <v>0</v>
      </c>
      <c r="Q236" t="n">
        <v>0</v>
      </c>
      <c r="R236" s="2" t="inlineStr"/>
    </row>
    <row r="237" ht="15" customHeight="1">
      <c r="A237" t="inlineStr">
        <is>
          <t>A 14389-2020</t>
        </is>
      </c>
      <c r="B237" s="1" t="n">
        <v>43908</v>
      </c>
      <c r="C237" s="1" t="n">
        <v>45705</v>
      </c>
      <c r="D237" t="inlineStr">
        <is>
          <t>SÖDERMANLANDS LÄN</t>
        </is>
      </c>
      <c r="E237" t="inlineStr">
        <is>
          <t>KATRINEHOLM</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15069-2020</t>
        </is>
      </c>
      <c r="B238" s="1" t="n">
        <v>43910</v>
      </c>
      <c r="C238" s="1" t="n">
        <v>45705</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17164-2020</t>
        </is>
      </c>
      <c r="B239" s="1" t="n">
        <v>43915</v>
      </c>
      <c r="C239" s="1" t="n">
        <v>45705</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17391-2020</t>
        </is>
      </c>
      <c r="B240" s="1" t="n">
        <v>43923</v>
      </c>
      <c r="C240" s="1" t="n">
        <v>45705</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17758-2020</t>
        </is>
      </c>
      <c r="B241" s="1" t="n">
        <v>43923</v>
      </c>
      <c r="C241" s="1" t="n">
        <v>45705</v>
      </c>
      <c r="D241" t="inlineStr">
        <is>
          <t>SÖDERMANLANDS LÄN</t>
        </is>
      </c>
      <c r="E241" t="inlineStr">
        <is>
          <t>KATRINEHOLM</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18050-2020</t>
        </is>
      </c>
      <c r="B242" s="1" t="n">
        <v>43924</v>
      </c>
      <c r="C242" s="1" t="n">
        <v>45705</v>
      </c>
      <c r="D242" t="inlineStr">
        <is>
          <t>SÖDERMANLANDS LÄN</t>
        </is>
      </c>
      <c r="E242" t="inlineStr">
        <is>
          <t>KATRINEHOLM</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18162-2020</t>
        </is>
      </c>
      <c r="B243" s="1" t="n">
        <v>43924</v>
      </c>
      <c r="C243" s="1" t="n">
        <v>45705</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18153-2020</t>
        </is>
      </c>
      <c r="B244" s="1" t="n">
        <v>43927</v>
      </c>
      <c r="C244" s="1" t="n">
        <v>45705</v>
      </c>
      <c r="D244" t="inlineStr">
        <is>
          <t>SÖDERMANLANDS LÄN</t>
        </is>
      </c>
      <c r="E244" t="inlineStr">
        <is>
          <t>KATRINEHOLM</t>
        </is>
      </c>
      <c r="G244" t="n">
        <v>3.6</v>
      </c>
      <c r="H244" t="n">
        <v>0</v>
      </c>
      <c r="I244" t="n">
        <v>0</v>
      </c>
      <c r="J244" t="n">
        <v>0</v>
      </c>
      <c r="K244" t="n">
        <v>0</v>
      </c>
      <c r="L244" t="n">
        <v>0</v>
      </c>
      <c r="M244" t="n">
        <v>0</v>
      </c>
      <c r="N244" t="n">
        <v>0</v>
      </c>
      <c r="O244" t="n">
        <v>0</v>
      </c>
      <c r="P244" t="n">
        <v>0</v>
      </c>
      <c r="Q244" t="n">
        <v>0</v>
      </c>
      <c r="R244" s="2" t="inlineStr"/>
    </row>
    <row r="245" ht="15" customHeight="1">
      <c r="A245" t="inlineStr">
        <is>
          <t>A 18279-2020</t>
        </is>
      </c>
      <c r="B245" s="1" t="n">
        <v>43928</v>
      </c>
      <c r="C245" s="1" t="n">
        <v>45705</v>
      </c>
      <c r="D245" t="inlineStr">
        <is>
          <t>SÖDERMANLANDS LÄN</t>
        </is>
      </c>
      <c r="E245" t="inlineStr">
        <is>
          <t>KATRINEHOLM</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18275-2020</t>
        </is>
      </c>
      <c r="B246" s="1" t="n">
        <v>43928</v>
      </c>
      <c r="C246" s="1" t="n">
        <v>45705</v>
      </c>
      <c r="D246" t="inlineStr">
        <is>
          <t>SÖDERMANLANDS LÄN</t>
        </is>
      </c>
      <c r="E246" t="inlineStr">
        <is>
          <t>KATRINEHOLM</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18281-2020</t>
        </is>
      </c>
      <c r="B247" s="1" t="n">
        <v>43928</v>
      </c>
      <c r="C247" s="1" t="n">
        <v>45705</v>
      </c>
      <c r="D247" t="inlineStr">
        <is>
          <t>SÖDERMANLANDS LÄN</t>
        </is>
      </c>
      <c r="E247" t="inlineStr">
        <is>
          <t>KATRINEHOLM</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18277-2020</t>
        </is>
      </c>
      <c r="B248" s="1" t="n">
        <v>43928</v>
      </c>
      <c r="C248" s="1" t="n">
        <v>45705</v>
      </c>
      <c r="D248" t="inlineStr">
        <is>
          <t>SÖDERMANLANDS LÄN</t>
        </is>
      </c>
      <c r="E248" t="inlineStr">
        <is>
          <t>KATRINEHOLM</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19197-2020</t>
        </is>
      </c>
      <c r="B249" s="1" t="n">
        <v>43935</v>
      </c>
      <c r="C249" s="1" t="n">
        <v>45705</v>
      </c>
      <c r="D249" t="inlineStr">
        <is>
          <t>SÖDERMANLANDS LÄN</t>
        </is>
      </c>
      <c r="E249" t="inlineStr">
        <is>
          <t>KATRINEHOLM</t>
        </is>
      </c>
      <c r="F249" t="inlineStr">
        <is>
          <t>Kyrkan</t>
        </is>
      </c>
      <c r="G249" t="n">
        <v>4.4</v>
      </c>
      <c r="H249" t="n">
        <v>0</v>
      </c>
      <c r="I249" t="n">
        <v>0</v>
      </c>
      <c r="J249" t="n">
        <v>0</v>
      </c>
      <c r="K249" t="n">
        <v>0</v>
      </c>
      <c r="L249" t="n">
        <v>0</v>
      </c>
      <c r="M249" t="n">
        <v>0</v>
      </c>
      <c r="N249" t="n">
        <v>0</v>
      </c>
      <c r="O249" t="n">
        <v>0</v>
      </c>
      <c r="P249" t="n">
        <v>0</v>
      </c>
      <c r="Q249" t="n">
        <v>0</v>
      </c>
      <c r="R249" s="2" t="inlineStr"/>
    </row>
    <row r="250" ht="15" customHeight="1">
      <c r="A250" t="inlineStr">
        <is>
          <t>A 20012-2020</t>
        </is>
      </c>
      <c r="B250" s="1" t="n">
        <v>43943</v>
      </c>
      <c r="C250" s="1" t="n">
        <v>45705</v>
      </c>
      <c r="D250" t="inlineStr">
        <is>
          <t>SÖDERMANLANDS LÄN</t>
        </is>
      </c>
      <c r="E250" t="inlineStr">
        <is>
          <t>KATRINEHOLM</t>
        </is>
      </c>
      <c r="G250" t="n">
        <v>4.8</v>
      </c>
      <c r="H250" t="n">
        <v>0</v>
      </c>
      <c r="I250" t="n">
        <v>0</v>
      </c>
      <c r="J250" t="n">
        <v>0</v>
      </c>
      <c r="K250" t="n">
        <v>0</v>
      </c>
      <c r="L250" t="n">
        <v>0</v>
      </c>
      <c r="M250" t="n">
        <v>0</v>
      </c>
      <c r="N250" t="n">
        <v>0</v>
      </c>
      <c r="O250" t="n">
        <v>0</v>
      </c>
      <c r="P250" t="n">
        <v>0</v>
      </c>
      <c r="Q250" t="n">
        <v>0</v>
      </c>
      <c r="R250" s="2" t="inlineStr"/>
    </row>
    <row r="251" ht="15" customHeight="1">
      <c r="A251" t="inlineStr">
        <is>
          <t>A 20016-2020</t>
        </is>
      </c>
      <c r="B251" s="1" t="n">
        <v>43943</v>
      </c>
      <c r="C251" s="1" t="n">
        <v>45705</v>
      </c>
      <c r="D251" t="inlineStr">
        <is>
          <t>SÖDERMANLANDS LÄN</t>
        </is>
      </c>
      <c r="E251" t="inlineStr">
        <is>
          <t>KATRINEHOLM</t>
        </is>
      </c>
      <c r="G251" t="n">
        <v>2.3</v>
      </c>
      <c r="H251" t="n">
        <v>0</v>
      </c>
      <c r="I251" t="n">
        <v>0</v>
      </c>
      <c r="J251" t="n">
        <v>0</v>
      </c>
      <c r="K251" t="n">
        <v>0</v>
      </c>
      <c r="L251" t="n">
        <v>0</v>
      </c>
      <c r="M251" t="n">
        <v>0</v>
      </c>
      <c r="N251" t="n">
        <v>0</v>
      </c>
      <c r="O251" t="n">
        <v>0</v>
      </c>
      <c r="P251" t="n">
        <v>0</v>
      </c>
      <c r="Q251" t="n">
        <v>0</v>
      </c>
      <c r="R251" s="2" t="inlineStr"/>
    </row>
    <row r="252" ht="15" customHeight="1">
      <c r="A252" t="inlineStr">
        <is>
          <t>A 21755-2020</t>
        </is>
      </c>
      <c r="B252" s="1" t="n">
        <v>43957</v>
      </c>
      <c r="C252" s="1" t="n">
        <v>45705</v>
      </c>
      <c r="D252" t="inlineStr">
        <is>
          <t>SÖDERMANLANDS LÄN</t>
        </is>
      </c>
      <c r="E252" t="inlineStr">
        <is>
          <t>KATRINEHOLM</t>
        </is>
      </c>
      <c r="G252" t="n">
        <v>10.4</v>
      </c>
      <c r="H252" t="n">
        <v>0</v>
      </c>
      <c r="I252" t="n">
        <v>0</v>
      </c>
      <c r="J252" t="n">
        <v>0</v>
      </c>
      <c r="K252" t="n">
        <v>0</v>
      </c>
      <c r="L252" t="n">
        <v>0</v>
      </c>
      <c r="M252" t="n">
        <v>0</v>
      </c>
      <c r="N252" t="n">
        <v>0</v>
      </c>
      <c r="O252" t="n">
        <v>0</v>
      </c>
      <c r="P252" t="n">
        <v>0</v>
      </c>
      <c r="Q252" t="n">
        <v>0</v>
      </c>
      <c r="R252" s="2" t="inlineStr"/>
    </row>
    <row r="253" ht="15" customHeight="1">
      <c r="A253" t="inlineStr">
        <is>
          <t>A 21818-2020</t>
        </is>
      </c>
      <c r="B253" s="1" t="n">
        <v>43958</v>
      </c>
      <c r="C253" s="1" t="n">
        <v>45705</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27010-2020</t>
        </is>
      </c>
      <c r="B254" s="1" t="n">
        <v>43990</v>
      </c>
      <c r="C254" s="1" t="n">
        <v>45705</v>
      </c>
      <c r="D254" t="inlineStr">
        <is>
          <t>SÖDERMANLANDS LÄN</t>
        </is>
      </c>
      <c r="E254" t="inlineStr">
        <is>
          <t>KATRINEHOLM</t>
        </is>
      </c>
      <c r="G254" t="n">
        <v>3.3</v>
      </c>
      <c r="H254" t="n">
        <v>0</v>
      </c>
      <c r="I254" t="n">
        <v>0</v>
      </c>
      <c r="J254" t="n">
        <v>0</v>
      </c>
      <c r="K254" t="n">
        <v>0</v>
      </c>
      <c r="L254" t="n">
        <v>0</v>
      </c>
      <c r="M254" t="n">
        <v>0</v>
      </c>
      <c r="N254" t="n">
        <v>0</v>
      </c>
      <c r="O254" t="n">
        <v>0</v>
      </c>
      <c r="P254" t="n">
        <v>0</v>
      </c>
      <c r="Q254" t="n">
        <v>0</v>
      </c>
      <c r="R254" s="2" t="inlineStr"/>
    </row>
    <row r="255" ht="15" customHeight="1">
      <c r="A255" t="inlineStr">
        <is>
          <t>A 27228-2020</t>
        </is>
      </c>
      <c r="B255" s="1" t="n">
        <v>43992</v>
      </c>
      <c r="C255" s="1" t="n">
        <v>45705</v>
      </c>
      <c r="D255" t="inlineStr">
        <is>
          <t>SÖDERMANLANDS LÄN</t>
        </is>
      </c>
      <c r="E255" t="inlineStr">
        <is>
          <t>KATRINEHOLM</t>
        </is>
      </c>
      <c r="G255" t="n">
        <v>0.9</v>
      </c>
      <c r="H255" t="n">
        <v>0</v>
      </c>
      <c r="I255" t="n">
        <v>0</v>
      </c>
      <c r="J255" t="n">
        <v>0</v>
      </c>
      <c r="K255" t="n">
        <v>0</v>
      </c>
      <c r="L255" t="n">
        <v>0</v>
      </c>
      <c r="M255" t="n">
        <v>0</v>
      </c>
      <c r="N255" t="n">
        <v>0</v>
      </c>
      <c r="O255" t="n">
        <v>0</v>
      </c>
      <c r="P255" t="n">
        <v>0</v>
      </c>
      <c r="Q255" t="n">
        <v>0</v>
      </c>
      <c r="R255" s="2" t="inlineStr"/>
    </row>
    <row r="256" ht="15" customHeight="1">
      <c r="A256" t="inlineStr">
        <is>
          <t>A 27420-2020</t>
        </is>
      </c>
      <c r="B256" s="1" t="n">
        <v>43993</v>
      </c>
      <c r="C256" s="1" t="n">
        <v>45705</v>
      </c>
      <c r="D256" t="inlineStr">
        <is>
          <t>SÖDERMANLANDS LÄN</t>
        </is>
      </c>
      <c r="E256" t="inlineStr">
        <is>
          <t>KATRINEHOLM</t>
        </is>
      </c>
      <c r="G256" t="n">
        <v>4.4</v>
      </c>
      <c r="H256" t="n">
        <v>0</v>
      </c>
      <c r="I256" t="n">
        <v>0</v>
      </c>
      <c r="J256" t="n">
        <v>0</v>
      </c>
      <c r="K256" t="n">
        <v>0</v>
      </c>
      <c r="L256" t="n">
        <v>0</v>
      </c>
      <c r="M256" t="n">
        <v>0</v>
      </c>
      <c r="N256" t="n">
        <v>0</v>
      </c>
      <c r="O256" t="n">
        <v>0</v>
      </c>
      <c r="P256" t="n">
        <v>0</v>
      </c>
      <c r="Q256" t="n">
        <v>0</v>
      </c>
      <c r="R256" s="2" t="inlineStr"/>
    </row>
    <row r="257" ht="15" customHeight="1">
      <c r="A257" t="inlineStr">
        <is>
          <t>A 28067-2020</t>
        </is>
      </c>
      <c r="B257" s="1" t="n">
        <v>43997</v>
      </c>
      <c r="C257" s="1" t="n">
        <v>45705</v>
      </c>
      <c r="D257" t="inlineStr">
        <is>
          <t>SÖDERMANLANDS LÄN</t>
        </is>
      </c>
      <c r="E257" t="inlineStr">
        <is>
          <t>KATRINEHOLM</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28255-2020</t>
        </is>
      </c>
      <c r="B258" s="1" t="n">
        <v>43998</v>
      </c>
      <c r="C258" s="1" t="n">
        <v>45705</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28491-2020</t>
        </is>
      </c>
      <c r="B259" s="1" t="n">
        <v>43998</v>
      </c>
      <c r="C259" s="1" t="n">
        <v>45705</v>
      </c>
      <c r="D259" t="inlineStr">
        <is>
          <t>SÖDERMANLANDS LÄN</t>
        </is>
      </c>
      <c r="E259" t="inlineStr">
        <is>
          <t>KATRINEHOLM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28589-2020</t>
        </is>
      </c>
      <c r="B260" s="1" t="n">
        <v>43999</v>
      </c>
      <c r="C260" s="1" t="n">
        <v>45705</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29463-2020</t>
        </is>
      </c>
      <c r="B261" s="1" t="n">
        <v>44004</v>
      </c>
      <c r="C261" s="1" t="n">
        <v>45705</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30720-2020</t>
        </is>
      </c>
      <c r="B262" s="1" t="n">
        <v>44008</v>
      </c>
      <c r="C262" s="1" t="n">
        <v>45705</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31387-2020</t>
        </is>
      </c>
      <c r="B263" s="1" t="n">
        <v>44012</v>
      </c>
      <c r="C263" s="1" t="n">
        <v>45705</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32364-2020</t>
        </is>
      </c>
      <c r="B264" s="1" t="n">
        <v>44017</v>
      </c>
      <c r="C264" s="1" t="n">
        <v>45705</v>
      </c>
      <c r="D264" t="inlineStr">
        <is>
          <t>SÖDERMANLANDS LÄN</t>
        </is>
      </c>
      <c r="E264" t="inlineStr">
        <is>
          <t>KATRINEHOLM</t>
        </is>
      </c>
      <c r="G264" t="n">
        <v>4.4</v>
      </c>
      <c r="H264" t="n">
        <v>0</v>
      </c>
      <c r="I264" t="n">
        <v>0</v>
      </c>
      <c r="J264" t="n">
        <v>0</v>
      </c>
      <c r="K264" t="n">
        <v>0</v>
      </c>
      <c r="L264" t="n">
        <v>0</v>
      </c>
      <c r="M264" t="n">
        <v>0</v>
      </c>
      <c r="N264" t="n">
        <v>0</v>
      </c>
      <c r="O264" t="n">
        <v>0</v>
      </c>
      <c r="P264" t="n">
        <v>0</v>
      </c>
      <c r="Q264" t="n">
        <v>0</v>
      </c>
      <c r="R264" s="2" t="inlineStr"/>
    </row>
    <row r="265" ht="15" customHeight="1">
      <c r="A265" t="inlineStr">
        <is>
          <t>A 33232-2020</t>
        </is>
      </c>
      <c r="B265" s="1" t="n">
        <v>44021</v>
      </c>
      <c r="C265" s="1" t="n">
        <v>45705</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33471-2020</t>
        </is>
      </c>
      <c r="B266" s="1" t="n">
        <v>44023</v>
      </c>
      <c r="C266" s="1" t="n">
        <v>45705</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33976-2020</t>
        </is>
      </c>
      <c r="B267" s="1" t="n">
        <v>44028</v>
      </c>
      <c r="C267" s="1" t="n">
        <v>45705</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34070-2020</t>
        </is>
      </c>
      <c r="B268" s="1" t="n">
        <v>44028</v>
      </c>
      <c r="C268" s="1" t="n">
        <v>45705</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35583-2020</t>
        </is>
      </c>
      <c r="B269" s="1" t="n">
        <v>44043</v>
      </c>
      <c r="C269" s="1" t="n">
        <v>45705</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35970-2020</t>
        </is>
      </c>
      <c r="B270" s="1" t="n">
        <v>44047</v>
      </c>
      <c r="C270" s="1" t="n">
        <v>45705</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36424-2020</t>
        </is>
      </c>
      <c r="B271" s="1" t="n">
        <v>44049</v>
      </c>
      <c r="C271" s="1" t="n">
        <v>45705</v>
      </c>
      <c r="D271" t="inlineStr">
        <is>
          <t>SÖDERMANLANDS LÄN</t>
        </is>
      </c>
      <c r="E271" t="inlineStr">
        <is>
          <t>KATRINEHOLM</t>
        </is>
      </c>
      <c r="F271" t="inlineStr">
        <is>
          <t>Allmännings- och besparingsskogar</t>
        </is>
      </c>
      <c r="G271" t="n">
        <v>0.7</v>
      </c>
      <c r="H271" t="n">
        <v>0</v>
      </c>
      <c r="I271" t="n">
        <v>0</v>
      </c>
      <c r="J271" t="n">
        <v>0</v>
      </c>
      <c r="K271" t="n">
        <v>0</v>
      </c>
      <c r="L271" t="n">
        <v>0</v>
      </c>
      <c r="M271" t="n">
        <v>0</v>
      </c>
      <c r="N271" t="n">
        <v>0</v>
      </c>
      <c r="O271" t="n">
        <v>0</v>
      </c>
      <c r="P271" t="n">
        <v>0</v>
      </c>
      <c r="Q271" t="n">
        <v>0</v>
      </c>
      <c r="R271" s="2" t="inlineStr"/>
    </row>
    <row r="272" ht="15" customHeight="1">
      <c r="A272" t="inlineStr">
        <is>
          <t>A 38301-2020</t>
        </is>
      </c>
      <c r="B272" s="1" t="n">
        <v>44060</v>
      </c>
      <c r="C272" s="1" t="n">
        <v>45705</v>
      </c>
      <c r="D272" t="inlineStr">
        <is>
          <t>SÖDERMANLANDS LÄN</t>
        </is>
      </c>
      <c r="E272" t="inlineStr">
        <is>
          <t>KATRINEHOLM</t>
        </is>
      </c>
      <c r="G272" t="n">
        <v>3.6</v>
      </c>
      <c r="H272" t="n">
        <v>0</v>
      </c>
      <c r="I272" t="n">
        <v>0</v>
      </c>
      <c r="J272" t="n">
        <v>0</v>
      </c>
      <c r="K272" t="n">
        <v>0</v>
      </c>
      <c r="L272" t="n">
        <v>0</v>
      </c>
      <c r="M272" t="n">
        <v>0</v>
      </c>
      <c r="N272" t="n">
        <v>0</v>
      </c>
      <c r="O272" t="n">
        <v>0</v>
      </c>
      <c r="P272" t="n">
        <v>0</v>
      </c>
      <c r="Q272" t="n">
        <v>0</v>
      </c>
      <c r="R272" s="2" t="inlineStr"/>
    </row>
    <row r="273" ht="15" customHeight="1">
      <c r="A273" t="inlineStr">
        <is>
          <t>A 38584-2020</t>
        </is>
      </c>
      <c r="B273" s="1" t="n">
        <v>44061</v>
      </c>
      <c r="C273" s="1" t="n">
        <v>45705</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38625-2020</t>
        </is>
      </c>
      <c r="B274" s="1" t="n">
        <v>44061</v>
      </c>
      <c r="C274" s="1" t="n">
        <v>45705</v>
      </c>
      <c r="D274" t="inlineStr">
        <is>
          <t>SÖDERMANLANDS LÄN</t>
        </is>
      </c>
      <c r="E274" t="inlineStr">
        <is>
          <t>KATRINEHOLM</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38883-2020</t>
        </is>
      </c>
      <c r="B275" s="1" t="n">
        <v>44062</v>
      </c>
      <c r="C275" s="1" t="n">
        <v>45705</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40230-2020</t>
        </is>
      </c>
      <c r="B276" s="1" t="n">
        <v>44068</v>
      </c>
      <c r="C276" s="1" t="n">
        <v>45705</v>
      </c>
      <c r="D276" t="inlineStr">
        <is>
          <t>SÖDERMANLANDS LÄN</t>
        </is>
      </c>
      <c r="E276" t="inlineStr">
        <is>
          <t>KATRINEHOLM</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40259-2020</t>
        </is>
      </c>
      <c r="B277" s="1" t="n">
        <v>44068</v>
      </c>
      <c r="C277" s="1" t="n">
        <v>45705</v>
      </c>
      <c r="D277" t="inlineStr">
        <is>
          <t>SÖDERMANLANDS LÄN</t>
        </is>
      </c>
      <c r="E277" t="inlineStr">
        <is>
          <t>KATRINEHOLM</t>
        </is>
      </c>
      <c r="F277" t="inlineStr">
        <is>
          <t>Kommuner</t>
        </is>
      </c>
      <c r="G277" t="n">
        <v>1.9</v>
      </c>
      <c r="H277" t="n">
        <v>0</v>
      </c>
      <c r="I277" t="n">
        <v>0</v>
      </c>
      <c r="J277" t="n">
        <v>0</v>
      </c>
      <c r="K277" t="n">
        <v>0</v>
      </c>
      <c r="L277" t="n">
        <v>0</v>
      </c>
      <c r="M277" t="n">
        <v>0</v>
      </c>
      <c r="N277" t="n">
        <v>0</v>
      </c>
      <c r="O277" t="n">
        <v>0</v>
      </c>
      <c r="P277" t="n">
        <v>0</v>
      </c>
      <c r="Q277" t="n">
        <v>0</v>
      </c>
      <c r="R277" s="2" t="inlineStr"/>
      <c r="U277">
        <f>HYPERLINK("https://klasma.github.io/Logging_0483/knärot/A 40259-2020 karta knärot.png", "A 40259-2020")</f>
        <v/>
      </c>
      <c r="V277">
        <f>HYPERLINK("https://klasma.github.io/Logging_0483/klagomål/A 40259-2020 FSC-klagomål.docx", "A 40259-2020")</f>
        <v/>
      </c>
      <c r="W277">
        <f>HYPERLINK("https://klasma.github.io/Logging_0483/klagomålsmail/A 40259-2020 FSC-klagomål mail.docx", "A 40259-2020")</f>
        <v/>
      </c>
      <c r="X277">
        <f>HYPERLINK("https://klasma.github.io/Logging_0483/tillsyn/A 40259-2020 tillsynsbegäran.docx", "A 40259-2020")</f>
        <v/>
      </c>
      <c r="Y277">
        <f>HYPERLINK("https://klasma.github.io/Logging_0483/tillsynsmail/A 40259-2020 tillsynsbegäran mail.docx", "A 40259-2020")</f>
        <v/>
      </c>
    </row>
    <row r="278" ht="15" customHeight="1">
      <c r="A278" t="inlineStr">
        <is>
          <t>A 42641-2020</t>
        </is>
      </c>
      <c r="B278" s="1" t="n">
        <v>44075</v>
      </c>
      <c r="C278" s="1" t="n">
        <v>45705</v>
      </c>
      <c r="D278" t="inlineStr">
        <is>
          <t>SÖDERMANLANDS LÄN</t>
        </is>
      </c>
      <c r="E278" t="inlineStr">
        <is>
          <t>KATRINEHOLM</t>
        </is>
      </c>
      <c r="G278" t="n">
        <v>2.8</v>
      </c>
      <c r="H278" t="n">
        <v>0</v>
      </c>
      <c r="I278" t="n">
        <v>0</v>
      </c>
      <c r="J278" t="n">
        <v>0</v>
      </c>
      <c r="K278" t="n">
        <v>0</v>
      </c>
      <c r="L278" t="n">
        <v>0</v>
      </c>
      <c r="M278" t="n">
        <v>0</v>
      </c>
      <c r="N278" t="n">
        <v>0</v>
      </c>
      <c r="O278" t="n">
        <v>0</v>
      </c>
      <c r="P278" t="n">
        <v>0</v>
      </c>
      <c r="Q278" t="n">
        <v>0</v>
      </c>
      <c r="R278" s="2" t="inlineStr"/>
    </row>
    <row r="279" ht="15" customHeight="1">
      <c r="A279" t="inlineStr">
        <is>
          <t>A 42689-2020</t>
        </is>
      </c>
      <c r="B279" s="1" t="n">
        <v>44075</v>
      </c>
      <c r="C279" s="1" t="n">
        <v>45705</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43649-2020</t>
        </is>
      </c>
      <c r="B280" s="1" t="n">
        <v>44082</v>
      </c>
      <c r="C280" s="1" t="n">
        <v>45705</v>
      </c>
      <c r="D280" t="inlineStr">
        <is>
          <t>SÖDERMANLANDS LÄN</t>
        </is>
      </c>
      <c r="E280" t="inlineStr">
        <is>
          <t>KATRINEHOLM</t>
        </is>
      </c>
      <c r="G280" t="n">
        <v>6.9</v>
      </c>
      <c r="H280" t="n">
        <v>0</v>
      </c>
      <c r="I280" t="n">
        <v>0</v>
      </c>
      <c r="J280" t="n">
        <v>0</v>
      </c>
      <c r="K280" t="n">
        <v>0</v>
      </c>
      <c r="L280" t="n">
        <v>0</v>
      </c>
      <c r="M280" t="n">
        <v>0</v>
      </c>
      <c r="N280" t="n">
        <v>0</v>
      </c>
      <c r="O280" t="n">
        <v>0</v>
      </c>
      <c r="P280" t="n">
        <v>0</v>
      </c>
      <c r="Q280" t="n">
        <v>0</v>
      </c>
      <c r="R280" s="2" t="inlineStr"/>
    </row>
    <row r="281" ht="15" customHeight="1">
      <c r="A281" t="inlineStr">
        <is>
          <t>A 44691-2020</t>
        </is>
      </c>
      <c r="B281" s="1" t="n">
        <v>44085</v>
      </c>
      <c r="C281" s="1" t="n">
        <v>45705</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44783-2020</t>
        </is>
      </c>
      <c r="B282" s="1" t="n">
        <v>44085</v>
      </c>
      <c r="C282" s="1" t="n">
        <v>45705</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46833-2020</t>
        </is>
      </c>
      <c r="B283" s="1" t="n">
        <v>44089</v>
      </c>
      <c r="C283" s="1" t="n">
        <v>45705</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46830-2020</t>
        </is>
      </c>
      <c r="B284" s="1" t="n">
        <v>44089</v>
      </c>
      <c r="C284" s="1" t="n">
        <v>45705</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46806-2020</t>
        </is>
      </c>
      <c r="B285" s="1" t="n">
        <v>44090</v>
      </c>
      <c r="C285" s="1" t="n">
        <v>45705</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48838-2020</t>
        </is>
      </c>
      <c r="B286" s="1" t="n">
        <v>44099</v>
      </c>
      <c r="C286" s="1" t="n">
        <v>45705</v>
      </c>
      <c r="D286" t="inlineStr">
        <is>
          <t>SÖDERMANLANDS LÄN</t>
        </is>
      </c>
      <c r="E286" t="inlineStr">
        <is>
          <t>KATRINEHOLM</t>
        </is>
      </c>
      <c r="G286" t="n">
        <v>6.8</v>
      </c>
      <c r="H286" t="n">
        <v>0</v>
      </c>
      <c r="I286" t="n">
        <v>0</v>
      </c>
      <c r="J286" t="n">
        <v>0</v>
      </c>
      <c r="K286" t="n">
        <v>0</v>
      </c>
      <c r="L286" t="n">
        <v>0</v>
      </c>
      <c r="M286" t="n">
        <v>0</v>
      </c>
      <c r="N286" t="n">
        <v>0</v>
      </c>
      <c r="O286" t="n">
        <v>0</v>
      </c>
      <c r="P286" t="n">
        <v>0</v>
      </c>
      <c r="Q286" t="n">
        <v>0</v>
      </c>
      <c r="R286" s="2" t="inlineStr"/>
    </row>
    <row r="287" ht="15" customHeight="1">
      <c r="A287" t="inlineStr">
        <is>
          <t>A 48834-2020</t>
        </is>
      </c>
      <c r="B287" s="1" t="n">
        <v>44099</v>
      </c>
      <c r="C287" s="1" t="n">
        <v>45705</v>
      </c>
      <c r="D287" t="inlineStr">
        <is>
          <t>SÖDERMANLANDS LÄN</t>
        </is>
      </c>
      <c r="E287" t="inlineStr">
        <is>
          <t>KATRINEHOLM</t>
        </is>
      </c>
      <c r="G287" t="n">
        <v>12.9</v>
      </c>
      <c r="H287" t="n">
        <v>0</v>
      </c>
      <c r="I287" t="n">
        <v>0</v>
      </c>
      <c r="J287" t="n">
        <v>0</v>
      </c>
      <c r="K287" t="n">
        <v>0</v>
      </c>
      <c r="L287" t="n">
        <v>0</v>
      </c>
      <c r="M287" t="n">
        <v>0</v>
      </c>
      <c r="N287" t="n">
        <v>0</v>
      </c>
      <c r="O287" t="n">
        <v>0</v>
      </c>
      <c r="P287" t="n">
        <v>0</v>
      </c>
      <c r="Q287" t="n">
        <v>0</v>
      </c>
      <c r="R287" s="2" t="inlineStr"/>
    </row>
    <row r="288" ht="15" customHeight="1">
      <c r="A288" t="inlineStr">
        <is>
          <t>A 48925-2020</t>
        </is>
      </c>
      <c r="B288" s="1" t="n">
        <v>44099</v>
      </c>
      <c r="C288" s="1" t="n">
        <v>45705</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49089-2020</t>
        </is>
      </c>
      <c r="B289" s="1" t="n">
        <v>44102</v>
      </c>
      <c r="C289" s="1" t="n">
        <v>45705</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48576-2020</t>
        </is>
      </c>
      <c r="B290" s="1" t="n">
        <v>44103</v>
      </c>
      <c r="C290" s="1" t="n">
        <v>45705</v>
      </c>
      <c r="D290" t="inlineStr">
        <is>
          <t>SÖDERMANLANDS LÄN</t>
        </is>
      </c>
      <c r="E290" t="inlineStr">
        <is>
          <t>KATRINEHOLM</t>
        </is>
      </c>
      <c r="G290" t="n">
        <v>6.3</v>
      </c>
      <c r="H290" t="n">
        <v>0</v>
      </c>
      <c r="I290" t="n">
        <v>0</v>
      </c>
      <c r="J290" t="n">
        <v>0</v>
      </c>
      <c r="K290" t="n">
        <v>0</v>
      </c>
      <c r="L290" t="n">
        <v>0</v>
      </c>
      <c r="M290" t="n">
        <v>0</v>
      </c>
      <c r="N290" t="n">
        <v>0</v>
      </c>
      <c r="O290" t="n">
        <v>0</v>
      </c>
      <c r="P290" t="n">
        <v>0</v>
      </c>
      <c r="Q290" t="n">
        <v>0</v>
      </c>
      <c r="R290" s="2" t="inlineStr"/>
    </row>
    <row r="291" ht="15" customHeight="1">
      <c r="A291" t="inlineStr">
        <is>
          <t>A 48619-2020</t>
        </is>
      </c>
      <c r="B291" s="1" t="n">
        <v>44103</v>
      </c>
      <c r="C291" s="1" t="n">
        <v>45705</v>
      </c>
      <c r="D291" t="inlineStr">
        <is>
          <t>SÖDERMANLANDS LÄN</t>
        </is>
      </c>
      <c r="E291" t="inlineStr">
        <is>
          <t>KATRINEHOLM</t>
        </is>
      </c>
      <c r="F291" t="inlineStr">
        <is>
          <t>Övriga statliga verk och myndigheter</t>
        </is>
      </c>
      <c r="G291" t="n">
        <v>0.9</v>
      </c>
      <c r="H291" t="n">
        <v>0</v>
      </c>
      <c r="I291" t="n">
        <v>0</v>
      </c>
      <c r="J291" t="n">
        <v>0</v>
      </c>
      <c r="K291" t="n">
        <v>0</v>
      </c>
      <c r="L291" t="n">
        <v>0</v>
      </c>
      <c r="M291" t="n">
        <v>0</v>
      </c>
      <c r="N291" t="n">
        <v>0</v>
      </c>
      <c r="O291" t="n">
        <v>0</v>
      </c>
      <c r="P291" t="n">
        <v>0</v>
      </c>
      <c r="Q291" t="n">
        <v>0</v>
      </c>
      <c r="R291" s="2" t="inlineStr"/>
    </row>
    <row r="292" ht="15" customHeight="1">
      <c r="A292" t="inlineStr">
        <is>
          <t>A 52134-2020</t>
        </is>
      </c>
      <c r="B292" s="1" t="n">
        <v>44110</v>
      </c>
      <c r="C292" s="1" t="n">
        <v>45705</v>
      </c>
      <c r="D292" t="inlineStr">
        <is>
          <t>SÖDERMANLANDS LÄN</t>
        </is>
      </c>
      <c r="E292" t="inlineStr">
        <is>
          <t>KATRINEHOLM</t>
        </is>
      </c>
      <c r="G292" t="n">
        <v>2.2</v>
      </c>
      <c r="H292" t="n">
        <v>0</v>
      </c>
      <c r="I292" t="n">
        <v>0</v>
      </c>
      <c r="J292" t="n">
        <v>0</v>
      </c>
      <c r="K292" t="n">
        <v>0</v>
      </c>
      <c r="L292" t="n">
        <v>0</v>
      </c>
      <c r="M292" t="n">
        <v>0</v>
      </c>
      <c r="N292" t="n">
        <v>0</v>
      </c>
      <c r="O292" t="n">
        <v>0</v>
      </c>
      <c r="P292" t="n">
        <v>0</v>
      </c>
      <c r="Q292" t="n">
        <v>0</v>
      </c>
      <c r="R292" s="2" t="inlineStr"/>
    </row>
    <row r="293" ht="15" customHeight="1">
      <c r="A293" t="inlineStr">
        <is>
          <t>A 51218-2020</t>
        </is>
      </c>
      <c r="B293" s="1" t="n">
        <v>44112</v>
      </c>
      <c r="C293" s="1" t="n">
        <v>45705</v>
      </c>
      <c r="D293" t="inlineStr">
        <is>
          <t>SÖDERMANLANDS LÄN</t>
        </is>
      </c>
      <c r="E293" t="inlineStr">
        <is>
          <t>KATRINEHOLM</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51766-2020</t>
        </is>
      </c>
      <c r="B294" s="1" t="n">
        <v>44115</v>
      </c>
      <c r="C294" s="1" t="n">
        <v>45705</v>
      </c>
      <c r="D294" t="inlineStr">
        <is>
          <t>SÖDERMANLANDS LÄN</t>
        </is>
      </c>
      <c r="E294" t="inlineStr">
        <is>
          <t>KATRINEHOLM</t>
        </is>
      </c>
      <c r="G294" t="n">
        <v>2.6</v>
      </c>
      <c r="H294" t="n">
        <v>0</v>
      </c>
      <c r="I294" t="n">
        <v>0</v>
      </c>
      <c r="J294" t="n">
        <v>0</v>
      </c>
      <c r="K294" t="n">
        <v>0</v>
      </c>
      <c r="L294" t="n">
        <v>0</v>
      </c>
      <c r="M294" t="n">
        <v>0</v>
      </c>
      <c r="N294" t="n">
        <v>0</v>
      </c>
      <c r="O294" t="n">
        <v>0</v>
      </c>
      <c r="P294" t="n">
        <v>0</v>
      </c>
      <c r="Q294" t="n">
        <v>0</v>
      </c>
      <c r="R294" s="2" t="inlineStr"/>
    </row>
    <row r="295" ht="15" customHeight="1">
      <c r="A295" t="inlineStr">
        <is>
          <t>A 53634-2020</t>
        </is>
      </c>
      <c r="B295" s="1" t="n">
        <v>44124</v>
      </c>
      <c r="C295" s="1" t="n">
        <v>45705</v>
      </c>
      <c r="D295" t="inlineStr">
        <is>
          <t>SÖDERMANLANDS LÄN</t>
        </is>
      </c>
      <c r="E295" t="inlineStr">
        <is>
          <t>KATRINEHOLM</t>
        </is>
      </c>
      <c r="G295" t="n">
        <v>2.5</v>
      </c>
      <c r="H295" t="n">
        <v>0</v>
      </c>
      <c r="I295" t="n">
        <v>0</v>
      </c>
      <c r="J295" t="n">
        <v>0</v>
      </c>
      <c r="K295" t="n">
        <v>0</v>
      </c>
      <c r="L295" t="n">
        <v>0</v>
      </c>
      <c r="M295" t="n">
        <v>0</v>
      </c>
      <c r="N295" t="n">
        <v>0</v>
      </c>
      <c r="O295" t="n">
        <v>0</v>
      </c>
      <c r="P295" t="n">
        <v>0</v>
      </c>
      <c r="Q295" t="n">
        <v>0</v>
      </c>
      <c r="R295" s="2" t="inlineStr"/>
    </row>
    <row r="296" ht="15" customHeight="1">
      <c r="A296" t="inlineStr">
        <is>
          <t>A 54905-2020</t>
        </is>
      </c>
      <c r="B296" s="1" t="n">
        <v>44128</v>
      </c>
      <c r="C296" s="1" t="n">
        <v>45705</v>
      </c>
      <c r="D296" t="inlineStr">
        <is>
          <t>SÖDERMANLANDS LÄN</t>
        </is>
      </c>
      <c r="E296" t="inlineStr">
        <is>
          <t>KATRINEHOLM</t>
        </is>
      </c>
      <c r="G296" t="n">
        <v>6.9</v>
      </c>
      <c r="H296" t="n">
        <v>0</v>
      </c>
      <c r="I296" t="n">
        <v>0</v>
      </c>
      <c r="J296" t="n">
        <v>0</v>
      </c>
      <c r="K296" t="n">
        <v>0</v>
      </c>
      <c r="L296" t="n">
        <v>0</v>
      </c>
      <c r="M296" t="n">
        <v>0</v>
      </c>
      <c r="N296" t="n">
        <v>0</v>
      </c>
      <c r="O296" t="n">
        <v>0</v>
      </c>
      <c r="P296" t="n">
        <v>0</v>
      </c>
      <c r="Q296" t="n">
        <v>0</v>
      </c>
      <c r="R296" s="2" t="inlineStr"/>
    </row>
    <row r="297" ht="15" customHeight="1">
      <c r="A297" t="inlineStr">
        <is>
          <t>A 55038-2020</t>
        </is>
      </c>
      <c r="B297" s="1" t="n">
        <v>44130</v>
      </c>
      <c r="C297" s="1" t="n">
        <v>45705</v>
      </c>
      <c r="D297" t="inlineStr">
        <is>
          <t>SÖDERMANLANDS LÄN</t>
        </is>
      </c>
      <c r="E297" t="inlineStr">
        <is>
          <t>KATRINEHOLM</t>
        </is>
      </c>
      <c r="G297" t="n">
        <v>3.2</v>
      </c>
      <c r="H297" t="n">
        <v>0</v>
      </c>
      <c r="I297" t="n">
        <v>0</v>
      </c>
      <c r="J297" t="n">
        <v>0</v>
      </c>
      <c r="K297" t="n">
        <v>0</v>
      </c>
      <c r="L297" t="n">
        <v>0</v>
      </c>
      <c r="M297" t="n">
        <v>0</v>
      </c>
      <c r="N297" t="n">
        <v>0</v>
      </c>
      <c r="O297" t="n">
        <v>0</v>
      </c>
      <c r="P297" t="n">
        <v>0</v>
      </c>
      <c r="Q297" t="n">
        <v>0</v>
      </c>
      <c r="R297" s="2" t="inlineStr"/>
    </row>
    <row r="298" ht="15" customHeight="1">
      <c r="A298" t="inlineStr">
        <is>
          <t>A 55048-2020</t>
        </is>
      </c>
      <c r="B298" s="1" t="n">
        <v>44130</v>
      </c>
      <c r="C298" s="1" t="n">
        <v>45705</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55074-2020</t>
        </is>
      </c>
      <c r="B299" s="1" t="n">
        <v>44130</v>
      </c>
      <c r="C299" s="1" t="n">
        <v>45705</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55040-2020</t>
        </is>
      </c>
      <c r="B300" s="1" t="n">
        <v>44130</v>
      </c>
      <c r="C300" s="1" t="n">
        <v>45705</v>
      </c>
      <c r="D300" t="inlineStr">
        <is>
          <t>SÖDERMANLANDS LÄN</t>
        </is>
      </c>
      <c r="E300" t="inlineStr">
        <is>
          <t>KATRINEHOLM</t>
        </is>
      </c>
      <c r="G300" t="n">
        <v>3.7</v>
      </c>
      <c r="H300" t="n">
        <v>0</v>
      </c>
      <c r="I300" t="n">
        <v>0</v>
      </c>
      <c r="J300" t="n">
        <v>0</v>
      </c>
      <c r="K300" t="n">
        <v>0</v>
      </c>
      <c r="L300" t="n">
        <v>0</v>
      </c>
      <c r="M300" t="n">
        <v>0</v>
      </c>
      <c r="N300" t="n">
        <v>0</v>
      </c>
      <c r="O300" t="n">
        <v>0</v>
      </c>
      <c r="P300" t="n">
        <v>0</v>
      </c>
      <c r="Q300" t="n">
        <v>0</v>
      </c>
      <c r="R300" s="2" t="inlineStr"/>
    </row>
    <row r="301" ht="15" customHeight="1">
      <c r="A301" t="inlineStr">
        <is>
          <t>A 55079-2020</t>
        </is>
      </c>
      <c r="B301" s="1" t="n">
        <v>44130</v>
      </c>
      <c r="C301" s="1" t="n">
        <v>45705</v>
      </c>
      <c r="D301" t="inlineStr">
        <is>
          <t>SÖDERMANLANDS LÄN</t>
        </is>
      </c>
      <c r="E301" t="inlineStr">
        <is>
          <t>KATRINEHOLM</t>
        </is>
      </c>
      <c r="G301" t="n">
        <v>2.7</v>
      </c>
      <c r="H301" t="n">
        <v>0</v>
      </c>
      <c r="I301" t="n">
        <v>0</v>
      </c>
      <c r="J301" t="n">
        <v>0</v>
      </c>
      <c r="K301" t="n">
        <v>0</v>
      </c>
      <c r="L301" t="n">
        <v>0</v>
      </c>
      <c r="M301" t="n">
        <v>0</v>
      </c>
      <c r="N301" t="n">
        <v>0</v>
      </c>
      <c r="O301" t="n">
        <v>0</v>
      </c>
      <c r="P301" t="n">
        <v>0</v>
      </c>
      <c r="Q301" t="n">
        <v>0</v>
      </c>
      <c r="R301" s="2" t="inlineStr"/>
    </row>
    <row r="302" ht="15" customHeight="1">
      <c r="A302" t="inlineStr">
        <is>
          <t>A 55033-2020</t>
        </is>
      </c>
      <c r="B302" s="1" t="n">
        <v>44130</v>
      </c>
      <c r="C302" s="1" t="n">
        <v>45705</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55031-2020</t>
        </is>
      </c>
      <c r="B303" s="1" t="n">
        <v>44130</v>
      </c>
      <c r="C303" s="1" t="n">
        <v>45705</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55136-2020</t>
        </is>
      </c>
      <c r="B304" s="1" t="n">
        <v>44130</v>
      </c>
      <c r="C304" s="1" t="n">
        <v>45705</v>
      </c>
      <c r="D304" t="inlineStr">
        <is>
          <t>SÖDERMANLANDS LÄN</t>
        </is>
      </c>
      <c r="E304" t="inlineStr">
        <is>
          <t>KATRINEHOLM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57125-2020</t>
        </is>
      </c>
      <c r="B305" s="1" t="n">
        <v>44138</v>
      </c>
      <c r="C305" s="1" t="n">
        <v>45705</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57132-2020</t>
        </is>
      </c>
      <c r="B306" s="1" t="n">
        <v>44139</v>
      </c>
      <c r="C306" s="1" t="n">
        <v>45705</v>
      </c>
      <c r="D306" t="inlineStr">
        <is>
          <t>SÖDERMANLANDS LÄN</t>
        </is>
      </c>
      <c r="E306" t="inlineStr">
        <is>
          <t>KATRINEHOLM</t>
        </is>
      </c>
      <c r="G306" t="n">
        <v>4</v>
      </c>
      <c r="H306" t="n">
        <v>0</v>
      </c>
      <c r="I306" t="n">
        <v>0</v>
      </c>
      <c r="J306" t="n">
        <v>0</v>
      </c>
      <c r="K306" t="n">
        <v>0</v>
      </c>
      <c r="L306" t="n">
        <v>0</v>
      </c>
      <c r="M306" t="n">
        <v>0</v>
      </c>
      <c r="N306" t="n">
        <v>0</v>
      </c>
      <c r="O306" t="n">
        <v>0</v>
      </c>
      <c r="P306" t="n">
        <v>0</v>
      </c>
      <c r="Q306" t="n">
        <v>0</v>
      </c>
      <c r="R306" s="2" t="inlineStr"/>
    </row>
    <row r="307" ht="15" customHeight="1">
      <c r="A307" t="inlineStr">
        <is>
          <t>A 57462-2020</t>
        </is>
      </c>
      <c r="B307" s="1" t="n">
        <v>44140</v>
      </c>
      <c r="C307" s="1" t="n">
        <v>45705</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57645-2020</t>
        </is>
      </c>
      <c r="B308" s="1" t="n">
        <v>44140</v>
      </c>
      <c r="C308" s="1" t="n">
        <v>45705</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57687-2020</t>
        </is>
      </c>
      <c r="B309" s="1" t="n">
        <v>44140</v>
      </c>
      <c r="C309" s="1" t="n">
        <v>45705</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57693-2020</t>
        </is>
      </c>
      <c r="B310" s="1" t="n">
        <v>44140</v>
      </c>
      <c r="C310" s="1" t="n">
        <v>45705</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57648-2020</t>
        </is>
      </c>
      <c r="B311" s="1" t="n">
        <v>44140</v>
      </c>
      <c r="C311" s="1" t="n">
        <v>45705</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57745-2020</t>
        </is>
      </c>
      <c r="B312" s="1" t="n">
        <v>44141</v>
      </c>
      <c r="C312" s="1" t="n">
        <v>45705</v>
      </c>
      <c r="D312" t="inlineStr">
        <is>
          <t>SÖDERMANLANDS LÄN</t>
        </is>
      </c>
      <c r="E312" t="inlineStr">
        <is>
          <t>KATRINEHOLM</t>
        </is>
      </c>
      <c r="G312" t="n">
        <v>1.8</v>
      </c>
      <c r="H312" t="n">
        <v>0</v>
      </c>
      <c r="I312" t="n">
        <v>0</v>
      </c>
      <c r="J312" t="n">
        <v>0</v>
      </c>
      <c r="K312" t="n">
        <v>0</v>
      </c>
      <c r="L312" t="n">
        <v>0</v>
      </c>
      <c r="M312" t="n">
        <v>0</v>
      </c>
      <c r="N312" t="n">
        <v>0</v>
      </c>
      <c r="O312" t="n">
        <v>0</v>
      </c>
      <c r="P312" t="n">
        <v>0</v>
      </c>
      <c r="Q312" t="n">
        <v>0</v>
      </c>
      <c r="R312" s="2" t="inlineStr"/>
    </row>
    <row r="313" ht="15" customHeight="1">
      <c r="A313" t="inlineStr">
        <is>
          <t>A 57947-2020</t>
        </is>
      </c>
      <c r="B313" s="1" t="n">
        <v>44142</v>
      </c>
      <c r="C313" s="1" t="n">
        <v>45705</v>
      </c>
      <c r="D313" t="inlineStr">
        <is>
          <t>SÖDERMANLANDS LÄN</t>
        </is>
      </c>
      <c r="E313" t="inlineStr">
        <is>
          <t>KATRINEHOLM</t>
        </is>
      </c>
      <c r="G313" t="n">
        <v>9.6</v>
      </c>
      <c r="H313" t="n">
        <v>0</v>
      </c>
      <c r="I313" t="n">
        <v>0</v>
      </c>
      <c r="J313" t="n">
        <v>0</v>
      </c>
      <c r="K313" t="n">
        <v>0</v>
      </c>
      <c r="L313" t="n">
        <v>0</v>
      </c>
      <c r="M313" t="n">
        <v>0</v>
      </c>
      <c r="N313" t="n">
        <v>0</v>
      </c>
      <c r="O313" t="n">
        <v>0</v>
      </c>
      <c r="P313" t="n">
        <v>0</v>
      </c>
      <c r="Q313" t="n">
        <v>0</v>
      </c>
      <c r="R313" s="2" t="inlineStr"/>
    </row>
    <row r="314" ht="15" customHeight="1">
      <c r="A314" t="inlineStr">
        <is>
          <t>A 58958-2020</t>
        </is>
      </c>
      <c r="B314" s="1" t="n">
        <v>44146</v>
      </c>
      <c r="C314" s="1" t="n">
        <v>45705</v>
      </c>
      <c r="D314" t="inlineStr">
        <is>
          <t>SÖDERMANLANDS LÄN</t>
        </is>
      </c>
      <c r="E314" t="inlineStr">
        <is>
          <t>KATRINEHOLM</t>
        </is>
      </c>
      <c r="F314" t="inlineStr">
        <is>
          <t>Holmen skog AB</t>
        </is>
      </c>
      <c r="G314" t="n">
        <v>0.2</v>
      </c>
      <c r="H314" t="n">
        <v>0</v>
      </c>
      <c r="I314" t="n">
        <v>0</v>
      </c>
      <c r="J314" t="n">
        <v>0</v>
      </c>
      <c r="K314" t="n">
        <v>0</v>
      </c>
      <c r="L314" t="n">
        <v>0</v>
      </c>
      <c r="M314" t="n">
        <v>0</v>
      </c>
      <c r="N314" t="n">
        <v>0</v>
      </c>
      <c r="O314" t="n">
        <v>0</v>
      </c>
      <c r="P314" t="n">
        <v>0</v>
      </c>
      <c r="Q314" t="n">
        <v>0</v>
      </c>
      <c r="R314" s="2" t="inlineStr"/>
    </row>
    <row r="315" ht="15" customHeight="1">
      <c r="A315" t="inlineStr">
        <is>
          <t>A 59308-2020</t>
        </is>
      </c>
      <c r="B315" s="1" t="n">
        <v>44147</v>
      </c>
      <c r="C315" s="1" t="n">
        <v>45705</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59749-2020</t>
        </is>
      </c>
      <c r="B316" s="1" t="n">
        <v>44151</v>
      </c>
      <c r="C316" s="1" t="n">
        <v>45705</v>
      </c>
      <c r="D316" t="inlineStr">
        <is>
          <t>SÖDERMANLANDS LÄN</t>
        </is>
      </c>
      <c r="E316" t="inlineStr">
        <is>
          <t>KATRINEHOLM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59887-2020</t>
        </is>
      </c>
      <c r="B317" s="1" t="n">
        <v>44151</v>
      </c>
      <c r="C317" s="1" t="n">
        <v>45705</v>
      </c>
      <c r="D317" t="inlineStr">
        <is>
          <t>SÖDERMANLANDS LÄN</t>
        </is>
      </c>
      <c r="E317" t="inlineStr">
        <is>
          <t>KATRINEHOLM</t>
        </is>
      </c>
      <c r="G317" t="n">
        <v>3.1</v>
      </c>
      <c r="H317" t="n">
        <v>0</v>
      </c>
      <c r="I317" t="n">
        <v>0</v>
      </c>
      <c r="J317" t="n">
        <v>0</v>
      </c>
      <c r="K317" t="n">
        <v>0</v>
      </c>
      <c r="L317" t="n">
        <v>0</v>
      </c>
      <c r="M317" t="n">
        <v>0</v>
      </c>
      <c r="N317" t="n">
        <v>0</v>
      </c>
      <c r="O317" t="n">
        <v>0</v>
      </c>
      <c r="P317" t="n">
        <v>0</v>
      </c>
      <c r="Q317" t="n">
        <v>0</v>
      </c>
      <c r="R317" s="2" t="inlineStr"/>
    </row>
    <row r="318" ht="15" customHeight="1">
      <c r="A318" t="inlineStr">
        <is>
          <t>A 59877-2020</t>
        </is>
      </c>
      <c r="B318" s="1" t="n">
        <v>44151</v>
      </c>
      <c r="C318" s="1" t="n">
        <v>45705</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61167-2020</t>
        </is>
      </c>
      <c r="B319" s="1" t="n">
        <v>44155</v>
      </c>
      <c r="C319" s="1" t="n">
        <v>45705</v>
      </c>
      <c r="D319" t="inlineStr">
        <is>
          <t>SÖDERMANLANDS LÄN</t>
        </is>
      </c>
      <c r="E319" t="inlineStr">
        <is>
          <t>KATRINEHOLM</t>
        </is>
      </c>
      <c r="G319" t="n">
        <v>3.8</v>
      </c>
      <c r="H319" t="n">
        <v>0</v>
      </c>
      <c r="I319" t="n">
        <v>0</v>
      </c>
      <c r="J319" t="n">
        <v>0</v>
      </c>
      <c r="K319" t="n">
        <v>0</v>
      </c>
      <c r="L319" t="n">
        <v>0</v>
      </c>
      <c r="M319" t="n">
        <v>0</v>
      </c>
      <c r="N319" t="n">
        <v>0</v>
      </c>
      <c r="O319" t="n">
        <v>0</v>
      </c>
      <c r="P319" t="n">
        <v>0</v>
      </c>
      <c r="Q319" t="n">
        <v>0</v>
      </c>
      <c r="R319" s="2" t="inlineStr"/>
    </row>
    <row r="320" ht="15" customHeight="1">
      <c r="A320" t="inlineStr">
        <is>
          <t>A 61674-2020</t>
        </is>
      </c>
      <c r="B320" s="1" t="n">
        <v>44158</v>
      </c>
      <c r="C320" s="1" t="n">
        <v>45705</v>
      </c>
      <c r="D320" t="inlineStr">
        <is>
          <t>SÖDERMANLANDS LÄN</t>
        </is>
      </c>
      <c r="E320" t="inlineStr">
        <is>
          <t>KATRINEHOLM</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61867-2020</t>
        </is>
      </c>
      <c r="B321" s="1" t="n">
        <v>44159</v>
      </c>
      <c r="C321" s="1" t="n">
        <v>45705</v>
      </c>
      <c r="D321" t="inlineStr">
        <is>
          <t>SÖDERMANLANDS LÄN</t>
        </is>
      </c>
      <c r="E321" t="inlineStr">
        <is>
          <t>KATRINEHOLM</t>
        </is>
      </c>
      <c r="G321" t="n">
        <v>2.9</v>
      </c>
      <c r="H321" t="n">
        <v>0</v>
      </c>
      <c r="I321" t="n">
        <v>0</v>
      </c>
      <c r="J321" t="n">
        <v>0</v>
      </c>
      <c r="K321" t="n">
        <v>0</v>
      </c>
      <c r="L321" t="n">
        <v>0</v>
      </c>
      <c r="M321" t="n">
        <v>0</v>
      </c>
      <c r="N321" t="n">
        <v>0</v>
      </c>
      <c r="O321" t="n">
        <v>0</v>
      </c>
      <c r="P321" t="n">
        <v>0</v>
      </c>
      <c r="Q321" t="n">
        <v>0</v>
      </c>
      <c r="R321" s="2" t="inlineStr"/>
    </row>
    <row r="322" ht="15" customHeight="1">
      <c r="A322" t="inlineStr">
        <is>
          <t>A 62424-2020</t>
        </is>
      </c>
      <c r="B322" s="1" t="n">
        <v>44160</v>
      </c>
      <c r="C322" s="1" t="n">
        <v>45705</v>
      </c>
      <c r="D322" t="inlineStr">
        <is>
          <t>SÖDERMANLANDS LÄN</t>
        </is>
      </c>
      <c r="E322" t="inlineStr">
        <is>
          <t>KATRINEHOLM</t>
        </is>
      </c>
      <c r="G322" t="n">
        <v>2.4</v>
      </c>
      <c r="H322" t="n">
        <v>0</v>
      </c>
      <c r="I322" t="n">
        <v>0</v>
      </c>
      <c r="J322" t="n">
        <v>0</v>
      </c>
      <c r="K322" t="n">
        <v>0</v>
      </c>
      <c r="L322" t="n">
        <v>0</v>
      </c>
      <c r="M322" t="n">
        <v>0</v>
      </c>
      <c r="N322" t="n">
        <v>0</v>
      </c>
      <c r="O322" t="n">
        <v>0</v>
      </c>
      <c r="P322" t="n">
        <v>0</v>
      </c>
      <c r="Q322" t="n">
        <v>0</v>
      </c>
      <c r="R322" s="2" t="inlineStr"/>
    </row>
    <row r="323" ht="15" customHeight="1">
      <c r="A323" t="inlineStr">
        <is>
          <t>A 63694-2020</t>
        </is>
      </c>
      <c r="B323" s="1" t="n">
        <v>44166</v>
      </c>
      <c r="C323" s="1" t="n">
        <v>45705</v>
      </c>
      <c r="D323" t="inlineStr">
        <is>
          <t>SÖDERMANLANDS LÄN</t>
        </is>
      </c>
      <c r="E323" t="inlineStr">
        <is>
          <t>KATRINEHOLM</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63677-2020</t>
        </is>
      </c>
      <c r="B324" s="1" t="n">
        <v>44166</v>
      </c>
      <c r="C324" s="1" t="n">
        <v>45705</v>
      </c>
      <c r="D324" t="inlineStr">
        <is>
          <t>SÖDERMANLANDS LÄN</t>
        </is>
      </c>
      <c r="E324" t="inlineStr">
        <is>
          <t>KATRINEHOLM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63682-2020</t>
        </is>
      </c>
      <c r="B325" s="1" t="n">
        <v>44166</v>
      </c>
      <c r="C325" s="1" t="n">
        <v>45705</v>
      </c>
      <c r="D325" t="inlineStr">
        <is>
          <t>SÖDERMANLANDS LÄN</t>
        </is>
      </c>
      <c r="E325" t="inlineStr">
        <is>
          <t>KATRINEHOLM</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63954-2020</t>
        </is>
      </c>
      <c r="B326" s="1" t="n">
        <v>44167</v>
      </c>
      <c r="C326" s="1" t="n">
        <v>45705</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64027-2020</t>
        </is>
      </c>
      <c r="B327" s="1" t="n">
        <v>44167</v>
      </c>
      <c r="C327" s="1" t="n">
        <v>45705</v>
      </c>
      <c r="D327" t="inlineStr">
        <is>
          <t>SÖDERMANLANDS LÄN</t>
        </is>
      </c>
      <c r="E327" t="inlineStr">
        <is>
          <t>KATRINEHOLM</t>
        </is>
      </c>
      <c r="F327" t="inlineStr">
        <is>
          <t>Holmen skog AB</t>
        </is>
      </c>
      <c r="G327" t="n">
        <v>0.8</v>
      </c>
      <c r="H327" t="n">
        <v>0</v>
      </c>
      <c r="I327" t="n">
        <v>0</v>
      </c>
      <c r="J327" t="n">
        <v>0</v>
      </c>
      <c r="K327" t="n">
        <v>0</v>
      </c>
      <c r="L327" t="n">
        <v>0</v>
      </c>
      <c r="M327" t="n">
        <v>0</v>
      </c>
      <c r="N327" t="n">
        <v>0</v>
      </c>
      <c r="O327" t="n">
        <v>0</v>
      </c>
      <c r="P327" t="n">
        <v>0</v>
      </c>
      <c r="Q327" t="n">
        <v>0</v>
      </c>
      <c r="R327" s="2" t="inlineStr"/>
    </row>
    <row r="328" ht="15" customHeight="1">
      <c r="A328" t="inlineStr">
        <is>
          <t>A 64463-2020</t>
        </is>
      </c>
      <c r="B328" s="1" t="n">
        <v>44168</v>
      </c>
      <c r="C328" s="1" t="n">
        <v>45705</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65093-2020</t>
        </is>
      </c>
      <c r="B329" s="1" t="n">
        <v>44168</v>
      </c>
      <c r="C329" s="1" t="n">
        <v>45705</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64633-2020</t>
        </is>
      </c>
      <c r="B330" s="1" t="n">
        <v>44169</v>
      </c>
      <c r="C330" s="1" t="n">
        <v>45705</v>
      </c>
      <c r="D330" t="inlineStr">
        <is>
          <t>SÖDERMANLANDS LÄN</t>
        </is>
      </c>
      <c r="E330" t="inlineStr">
        <is>
          <t>KATRINEHOLM</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64657-2020</t>
        </is>
      </c>
      <c r="B331" s="1" t="n">
        <v>44169</v>
      </c>
      <c r="C331" s="1" t="n">
        <v>45705</v>
      </c>
      <c r="D331" t="inlineStr">
        <is>
          <t>SÖDERMANLANDS LÄN</t>
        </is>
      </c>
      <c r="E331" t="inlineStr">
        <is>
          <t>KATRINEHOLM</t>
        </is>
      </c>
      <c r="F331" t="inlineStr">
        <is>
          <t>Kyrkan</t>
        </is>
      </c>
      <c r="G331" t="n">
        <v>7.6</v>
      </c>
      <c r="H331" t="n">
        <v>0</v>
      </c>
      <c r="I331" t="n">
        <v>0</v>
      </c>
      <c r="J331" t="n">
        <v>0</v>
      </c>
      <c r="K331" t="n">
        <v>0</v>
      </c>
      <c r="L331" t="n">
        <v>0</v>
      </c>
      <c r="M331" t="n">
        <v>0</v>
      </c>
      <c r="N331" t="n">
        <v>0</v>
      </c>
      <c r="O331" t="n">
        <v>0</v>
      </c>
      <c r="P331" t="n">
        <v>0</v>
      </c>
      <c r="Q331" t="n">
        <v>0</v>
      </c>
      <c r="R331" s="2" t="inlineStr"/>
    </row>
    <row r="332" ht="15" customHeight="1">
      <c r="A332" t="inlineStr">
        <is>
          <t>A 64738-2020</t>
        </is>
      </c>
      <c r="B332" s="1" t="n">
        <v>44169</v>
      </c>
      <c r="C332" s="1" t="n">
        <v>45705</v>
      </c>
      <c r="D332" t="inlineStr">
        <is>
          <t>SÖDERMANLANDS LÄN</t>
        </is>
      </c>
      <c r="E332" t="inlineStr">
        <is>
          <t>KATRINEHOLM</t>
        </is>
      </c>
      <c r="G332" t="n">
        <v>6.3</v>
      </c>
      <c r="H332" t="n">
        <v>0</v>
      </c>
      <c r="I332" t="n">
        <v>0</v>
      </c>
      <c r="J332" t="n">
        <v>0</v>
      </c>
      <c r="K332" t="n">
        <v>0</v>
      </c>
      <c r="L332" t="n">
        <v>0</v>
      </c>
      <c r="M332" t="n">
        <v>0</v>
      </c>
      <c r="N332" t="n">
        <v>0</v>
      </c>
      <c r="O332" t="n">
        <v>0</v>
      </c>
      <c r="P332" t="n">
        <v>0</v>
      </c>
      <c r="Q332" t="n">
        <v>0</v>
      </c>
      <c r="R332" s="2" t="inlineStr"/>
    </row>
    <row r="333" ht="15" customHeight="1">
      <c r="A333" t="inlineStr">
        <is>
          <t>A 64680-2020</t>
        </is>
      </c>
      <c r="B333" s="1" t="n">
        <v>44169</v>
      </c>
      <c r="C333" s="1" t="n">
        <v>45705</v>
      </c>
      <c r="D333" t="inlineStr">
        <is>
          <t>SÖDERMANLANDS LÄN</t>
        </is>
      </c>
      <c r="E333" t="inlineStr">
        <is>
          <t>KATRINEHOLM</t>
        </is>
      </c>
      <c r="F333" t="inlineStr">
        <is>
          <t>Kyrkan</t>
        </is>
      </c>
      <c r="G333" t="n">
        <v>19</v>
      </c>
      <c r="H333" t="n">
        <v>0</v>
      </c>
      <c r="I333" t="n">
        <v>0</v>
      </c>
      <c r="J333" t="n">
        <v>0</v>
      </c>
      <c r="K333" t="n">
        <v>0</v>
      </c>
      <c r="L333" t="n">
        <v>0</v>
      </c>
      <c r="M333" t="n">
        <v>0</v>
      </c>
      <c r="N333" t="n">
        <v>0</v>
      </c>
      <c r="O333" t="n">
        <v>0</v>
      </c>
      <c r="P333" t="n">
        <v>0</v>
      </c>
      <c r="Q333" t="n">
        <v>0</v>
      </c>
      <c r="R333" s="2" t="inlineStr"/>
    </row>
    <row r="334" ht="15" customHeight="1">
      <c r="A334" t="inlineStr">
        <is>
          <t>A 65117-2020</t>
        </is>
      </c>
      <c r="B334" s="1" t="n">
        <v>44172</v>
      </c>
      <c r="C334" s="1" t="n">
        <v>45705</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65152-2020</t>
        </is>
      </c>
      <c r="B335" s="1" t="n">
        <v>44172</v>
      </c>
      <c r="C335" s="1" t="n">
        <v>45705</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65077-2020</t>
        </is>
      </c>
      <c r="B336" s="1" t="n">
        <v>44172</v>
      </c>
      <c r="C336" s="1" t="n">
        <v>45705</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65186-2020</t>
        </is>
      </c>
      <c r="B337" s="1" t="n">
        <v>44172</v>
      </c>
      <c r="C337" s="1" t="n">
        <v>45705</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65312-2020</t>
        </is>
      </c>
      <c r="B338" s="1" t="n">
        <v>44173</v>
      </c>
      <c r="C338" s="1" t="n">
        <v>45705</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65485-2020</t>
        </is>
      </c>
      <c r="B339" s="1" t="n">
        <v>44173</v>
      </c>
      <c r="C339" s="1" t="n">
        <v>45705</v>
      </c>
      <c r="D339" t="inlineStr">
        <is>
          <t>SÖDERMANLANDS LÄN</t>
        </is>
      </c>
      <c r="E339" t="inlineStr">
        <is>
          <t>KATRINEHOLM</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65358-2020</t>
        </is>
      </c>
      <c r="B340" s="1" t="n">
        <v>44173</v>
      </c>
      <c r="C340" s="1" t="n">
        <v>45705</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66025-2020</t>
        </is>
      </c>
      <c r="B341" s="1" t="n">
        <v>44175</v>
      </c>
      <c r="C341" s="1" t="n">
        <v>45705</v>
      </c>
      <c r="D341" t="inlineStr">
        <is>
          <t>SÖDERMANLANDS LÄN</t>
        </is>
      </c>
      <c r="E341" t="inlineStr">
        <is>
          <t>KATRINEHOLM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66796-2020</t>
        </is>
      </c>
      <c r="B342" s="1" t="n">
        <v>44179</v>
      </c>
      <c r="C342" s="1" t="n">
        <v>45705</v>
      </c>
      <c r="D342" t="inlineStr">
        <is>
          <t>SÖDERMANLANDS LÄN</t>
        </is>
      </c>
      <c r="E342" t="inlineStr">
        <is>
          <t>KATRINEHOLM</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66880-2020</t>
        </is>
      </c>
      <c r="B343" s="1" t="n">
        <v>44180</v>
      </c>
      <c r="C343" s="1" t="n">
        <v>45705</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66896-2020</t>
        </is>
      </c>
      <c r="B344" s="1" t="n">
        <v>44180</v>
      </c>
      <c r="C344" s="1" t="n">
        <v>45705</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67959-2020</t>
        </is>
      </c>
      <c r="B345" s="1" t="n">
        <v>44182</v>
      </c>
      <c r="C345" s="1" t="n">
        <v>45705</v>
      </c>
      <c r="D345" t="inlineStr">
        <is>
          <t>SÖDERMANLANDS LÄN</t>
        </is>
      </c>
      <c r="E345" t="inlineStr">
        <is>
          <t>KATRINEHOLM</t>
        </is>
      </c>
      <c r="G345" t="n">
        <v>11.5</v>
      </c>
      <c r="H345" t="n">
        <v>0</v>
      </c>
      <c r="I345" t="n">
        <v>0</v>
      </c>
      <c r="J345" t="n">
        <v>0</v>
      </c>
      <c r="K345" t="n">
        <v>0</v>
      </c>
      <c r="L345" t="n">
        <v>0</v>
      </c>
      <c r="M345" t="n">
        <v>0</v>
      </c>
      <c r="N345" t="n">
        <v>0</v>
      </c>
      <c r="O345" t="n">
        <v>0</v>
      </c>
      <c r="P345" t="n">
        <v>0</v>
      </c>
      <c r="Q345" t="n">
        <v>0</v>
      </c>
      <c r="R345" s="2" t="inlineStr"/>
    </row>
    <row r="346" ht="15" customHeight="1">
      <c r="A346" t="inlineStr">
        <is>
          <t>A 67957-2020</t>
        </is>
      </c>
      <c r="B346" s="1" t="n">
        <v>44182</v>
      </c>
      <c r="C346" s="1" t="n">
        <v>45705</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69332-2020</t>
        </is>
      </c>
      <c r="B347" s="1" t="n">
        <v>44193</v>
      </c>
      <c r="C347" s="1" t="n">
        <v>45705</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69600-2020</t>
        </is>
      </c>
      <c r="B348" s="1" t="n">
        <v>44195</v>
      </c>
      <c r="C348" s="1" t="n">
        <v>45705</v>
      </c>
      <c r="D348" t="inlineStr">
        <is>
          <t>SÖDERMANLANDS LÄN</t>
        </is>
      </c>
      <c r="E348" t="inlineStr">
        <is>
          <t>KATRINEHOLM</t>
        </is>
      </c>
      <c r="G348" t="n">
        <v>11.3</v>
      </c>
      <c r="H348" t="n">
        <v>0</v>
      </c>
      <c r="I348" t="n">
        <v>0</v>
      </c>
      <c r="J348" t="n">
        <v>0</v>
      </c>
      <c r="K348" t="n">
        <v>0</v>
      </c>
      <c r="L348" t="n">
        <v>0</v>
      </c>
      <c r="M348" t="n">
        <v>0</v>
      </c>
      <c r="N348" t="n">
        <v>0</v>
      </c>
      <c r="O348" t="n">
        <v>0</v>
      </c>
      <c r="P348" t="n">
        <v>0</v>
      </c>
      <c r="Q348" t="n">
        <v>0</v>
      </c>
      <c r="R348" s="2" t="inlineStr"/>
    </row>
    <row r="349" ht="15" customHeight="1">
      <c r="A349" t="inlineStr">
        <is>
          <t>A 2297-2021</t>
        </is>
      </c>
      <c r="B349" s="1" t="n">
        <v>44212</v>
      </c>
      <c r="C349" s="1" t="n">
        <v>45705</v>
      </c>
      <c r="D349" t="inlineStr">
        <is>
          <t>SÖDERMANLANDS LÄN</t>
        </is>
      </c>
      <c r="E349" t="inlineStr">
        <is>
          <t>KATRINEHOLM</t>
        </is>
      </c>
      <c r="G349" t="n">
        <v>14.4</v>
      </c>
      <c r="H349" t="n">
        <v>0</v>
      </c>
      <c r="I349" t="n">
        <v>0</v>
      </c>
      <c r="J349" t="n">
        <v>0</v>
      </c>
      <c r="K349" t="n">
        <v>0</v>
      </c>
      <c r="L349" t="n">
        <v>0</v>
      </c>
      <c r="M349" t="n">
        <v>0</v>
      </c>
      <c r="N349" t="n">
        <v>0</v>
      </c>
      <c r="O349" t="n">
        <v>0</v>
      </c>
      <c r="P349" t="n">
        <v>0</v>
      </c>
      <c r="Q349" t="n">
        <v>0</v>
      </c>
      <c r="R349" s="2" t="inlineStr"/>
    </row>
    <row r="350" ht="15" customHeight="1">
      <c r="A350" t="inlineStr">
        <is>
          <t>A 2298-2021</t>
        </is>
      </c>
      <c r="B350" s="1" t="n">
        <v>44212</v>
      </c>
      <c r="C350" s="1" t="n">
        <v>45705</v>
      </c>
      <c r="D350" t="inlineStr">
        <is>
          <t>SÖDERMANLANDS LÄN</t>
        </is>
      </c>
      <c r="E350" t="inlineStr">
        <is>
          <t>KATRINEHOLM</t>
        </is>
      </c>
      <c r="G350" t="n">
        <v>3.4</v>
      </c>
      <c r="H350" t="n">
        <v>0</v>
      </c>
      <c r="I350" t="n">
        <v>0</v>
      </c>
      <c r="J350" t="n">
        <v>0</v>
      </c>
      <c r="K350" t="n">
        <v>0</v>
      </c>
      <c r="L350" t="n">
        <v>0</v>
      </c>
      <c r="M350" t="n">
        <v>0</v>
      </c>
      <c r="N350" t="n">
        <v>0</v>
      </c>
      <c r="O350" t="n">
        <v>0</v>
      </c>
      <c r="P350" t="n">
        <v>0</v>
      </c>
      <c r="Q350" t="n">
        <v>0</v>
      </c>
      <c r="R350" s="2" t="inlineStr"/>
    </row>
    <row r="351" ht="15" customHeight="1">
      <c r="A351" t="inlineStr">
        <is>
          <t>A 2435-2021</t>
        </is>
      </c>
      <c r="B351" s="1" t="n">
        <v>44214</v>
      </c>
      <c r="C351" s="1" t="n">
        <v>45705</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4533-2021</t>
        </is>
      </c>
      <c r="B352" s="1" t="n">
        <v>44223</v>
      </c>
      <c r="C352" s="1" t="n">
        <v>45705</v>
      </c>
      <c r="D352" t="inlineStr">
        <is>
          <t>SÖDERMANLANDS LÄN</t>
        </is>
      </c>
      <c r="E352" t="inlineStr">
        <is>
          <t>KATRINEHOLM</t>
        </is>
      </c>
      <c r="G352" t="n">
        <v>1.9</v>
      </c>
      <c r="H352" t="n">
        <v>0</v>
      </c>
      <c r="I352" t="n">
        <v>0</v>
      </c>
      <c r="J352" t="n">
        <v>0</v>
      </c>
      <c r="K352" t="n">
        <v>0</v>
      </c>
      <c r="L352" t="n">
        <v>0</v>
      </c>
      <c r="M352" t="n">
        <v>0</v>
      </c>
      <c r="N352" t="n">
        <v>0</v>
      </c>
      <c r="O352" t="n">
        <v>0</v>
      </c>
      <c r="P352" t="n">
        <v>0</v>
      </c>
      <c r="Q352" t="n">
        <v>0</v>
      </c>
      <c r="R352" s="2" t="inlineStr"/>
    </row>
    <row r="353" ht="15" customHeight="1">
      <c r="A353" t="inlineStr">
        <is>
          <t>A 4767-2021</t>
        </is>
      </c>
      <c r="B353" s="1" t="n">
        <v>44225</v>
      </c>
      <c r="C353" s="1" t="n">
        <v>45705</v>
      </c>
      <c r="D353" t="inlineStr">
        <is>
          <t>SÖDERMANLANDS LÄN</t>
        </is>
      </c>
      <c r="E353" t="inlineStr">
        <is>
          <t>KATRINEHOLM</t>
        </is>
      </c>
      <c r="G353" t="n">
        <v>3.8</v>
      </c>
      <c r="H353" t="n">
        <v>0</v>
      </c>
      <c r="I353" t="n">
        <v>0</v>
      </c>
      <c r="J353" t="n">
        <v>0</v>
      </c>
      <c r="K353" t="n">
        <v>0</v>
      </c>
      <c r="L353" t="n">
        <v>0</v>
      </c>
      <c r="M353" t="n">
        <v>0</v>
      </c>
      <c r="N353" t="n">
        <v>0</v>
      </c>
      <c r="O353" t="n">
        <v>0</v>
      </c>
      <c r="P353" t="n">
        <v>0</v>
      </c>
      <c r="Q353" t="n">
        <v>0</v>
      </c>
      <c r="R353" s="2" t="inlineStr"/>
    </row>
    <row r="354" ht="15" customHeight="1">
      <c r="A354" t="inlineStr">
        <is>
          <t>A 5953-2021</t>
        </is>
      </c>
      <c r="B354" s="1" t="n">
        <v>44231</v>
      </c>
      <c r="C354" s="1" t="n">
        <v>45705</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6087-2021</t>
        </is>
      </c>
      <c r="B355" s="1" t="n">
        <v>44232</v>
      </c>
      <c r="C355" s="1" t="n">
        <v>45705</v>
      </c>
      <c r="D355" t="inlineStr">
        <is>
          <t>SÖDERMANLANDS LÄN</t>
        </is>
      </c>
      <c r="E355" t="inlineStr">
        <is>
          <t>KATRINEHOLM</t>
        </is>
      </c>
      <c r="G355" t="n">
        <v>2.6</v>
      </c>
      <c r="H355" t="n">
        <v>0</v>
      </c>
      <c r="I355" t="n">
        <v>0</v>
      </c>
      <c r="J355" t="n">
        <v>0</v>
      </c>
      <c r="K355" t="n">
        <v>0</v>
      </c>
      <c r="L355" t="n">
        <v>0</v>
      </c>
      <c r="M355" t="n">
        <v>0</v>
      </c>
      <c r="N355" t="n">
        <v>0</v>
      </c>
      <c r="O355" t="n">
        <v>0</v>
      </c>
      <c r="P355" t="n">
        <v>0</v>
      </c>
      <c r="Q355" t="n">
        <v>0</v>
      </c>
      <c r="R355" s="2" t="inlineStr"/>
    </row>
    <row r="356" ht="15" customHeight="1">
      <c r="A356" t="inlineStr">
        <is>
          <t>A 7240-2021</t>
        </is>
      </c>
      <c r="B356" s="1" t="n">
        <v>44238</v>
      </c>
      <c r="C356" s="1" t="n">
        <v>45705</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7254-2021</t>
        </is>
      </c>
      <c r="B357" s="1" t="n">
        <v>44238</v>
      </c>
      <c r="C357" s="1" t="n">
        <v>45705</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7669-2021</t>
        </is>
      </c>
      <c r="B358" s="1" t="n">
        <v>44242</v>
      </c>
      <c r="C358" s="1" t="n">
        <v>45705</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7705-2021</t>
        </is>
      </c>
      <c r="B359" s="1" t="n">
        <v>44242</v>
      </c>
      <c r="C359" s="1" t="n">
        <v>45705</v>
      </c>
      <c r="D359" t="inlineStr">
        <is>
          <t>SÖDERMANLANDS LÄN</t>
        </is>
      </c>
      <c r="E359" t="inlineStr">
        <is>
          <t>KATRINEHOLM</t>
        </is>
      </c>
      <c r="F359" t="inlineStr">
        <is>
          <t>Allmännings- och besparingsskogar</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7855-2021</t>
        </is>
      </c>
      <c r="B360" s="1" t="n">
        <v>44242</v>
      </c>
      <c r="C360" s="1" t="n">
        <v>45705</v>
      </c>
      <c r="D360" t="inlineStr">
        <is>
          <t>SÖDERMANLANDS LÄN</t>
        </is>
      </c>
      <c r="E360" t="inlineStr">
        <is>
          <t>KATRINEHOLM</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8289-2021</t>
        </is>
      </c>
      <c r="B361" s="1" t="n">
        <v>44244</v>
      </c>
      <c r="C361" s="1" t="n">
        <v>45705</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9388-2021</t>
        </is>
      </c>
      <c r="B362" s="1" t="n">
        <v>44250</v>
      </c>
      <c r="C362" s="1" t="n">
        <v>45705</v>
      </c>
      <c r="D362" t="inlineStr">
        <is>
          <t>SÖDERMANLANDS LÄN</t>
        </is>
      </c>
      <c r="E362" t="inlineStr">
        <is>
          <t>KATRINEHOLM</t>
        </is>
      </c>
      <c r="G362" t="n">
        <v>5.4</v>
      </c>
      <c r="H362" t="n">
        <v>0</v>
      </c>
      <c r="I362" t="n">
        <v>0</v>
      </c>
      <c r="J362" t="n">
        <v>0</v>
      </c>
      <c r="K362" t="n">
        <v>0</v>
      </c>
      <c r="L362" t="n">
        <v>0</v>
      </c>
      <c r="M362" t="n">
        <v>0</v>
      </c>
      <c r="N362" t="n">
        <v>0</v>
      </c>
      <c r="O362" t="n">
        <v>0</v>
      </c>
      <c r="P362" t="n">
        <v>0</v>
      </c>
      <c r="Q362" t="n">
        <v>0</v>
      </c>
      <c r="R362" s="2" t="inlineStr"/>
    </row>
    <row r="363" ht="15" customHeight="1">
      <c r="A363" t="inlineStr">
        <is>
          <t>A 9576-2021</t>
        </is>
      </c>
      <c r="B363" s="1" t="n">
        <v>44251</v>
      </c>
      <c r="C363" s="1" t="n">
        <v>45705</v>
      </c>
      <c r="D363" t="inlineStr">
        <is>
          <t>SÖDERMANLANDS LÄN</t>
        </is>
      </c>
      <c r="E363" t="inlineStr">
        <is>
          <t>KATRINEHOLM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10093-2021</t>
        </is>
      </c>
      <c r="B364" s="1" t="n">
        <v>44256</v>
      </c>
      <c r="C364" s="1" t="n">
        <v>45705</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10662-2021</t>
        </is>
      </c>
      <c r="B365" s="1" t="n">
        <v>44258</v>
      </c>
      <c r="C365" s="1" t="n">
        <v>45705</v>
      </c>
      <c r="D365" t="inlineStr">
        <is>
          <t>SÖDERMANLANDS LÄN</t>
        </is>
      </c>
      <c r="E365" t="inlineStr">
        <is>
          <t>KATRINEHOLM</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11070-2021</t>
        </is>
      </c>
      <c r="B366" s="1" t="n">
        <v>44260</v>
      </c>
      <c r="C366" s="1" t="n">
        <v>45705</v>
      </c>
      <c r="D366" t="inlineStr">
        <is>
          <t>SÖDERMANLANDS LÄN</t>
        </is>
      </c>
      <c r="E366" t="inlineStr">
        <is>
          <t>KATRINEHOLM</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11676-2021</t>
        </is>
      </c>
      <c r="B367" s="1" t="n">
        <v>44264</v>
      </c>
      <c r="C367" s="1" t="n">
        <v>45705</v>
      </c>
      <c r="D367" t="inlineStr">
        <is>
          <t>SÖDERMANLANDS LÄN</t>
        </is>
      </c>
      <c r="E367" t="inlineStr">
        <is>
          <t>KATRINEHOLM</t>
        </is>
      </c>
      <c r="F367" t="inlineStr">
        <is>
          <t>Allmännings- och besparingsskogar</t>
        </is>
      </c>
      <c r="G367" t="n">
        <v>1</v>
      </c>
      <c r="H367" t="n">
        <v>0</v>
      </c>
      <c r="I367" t="n">
        <v>0</v>
      </c>
      <c r="J367" t="n">
        <v>0</v>
      </c>
      <c r="K367" t="n">
        <v>0</v>
      </c>
      <c r="L367" t="n">
        <v>0</v>
      </c>
      <c r="M367" t="n">
        <v>0</v>
      </c>
      <c r="N367" t="n">
        <v>0</v>
      </c>
      <c r="O367" t="n">
        <v>0</v>
      </c>
      <c r="P367" t="n">
        <v>0</v>
      </c>
      <c r="Q367" t="n">
        <v>0</v>
      </c>
      <c r="R367" s="2" t="inlineStr"/>
    </row>
    <row r="368" ht="15" customHeight="1">
      <c r="A368" t="inlineStr">
        <is>
          <t>A 11812-2021</t>
        </is>
      </c>
      <c r="B368" s="1" t="n">
        <v>44265</v>
      </c>
      <c r="C368" s="1" t="n">
        <v>45705</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11893-2021</t>
        </is>
      </c>
      <c r="B369" s="1" t="n">
        <v>44265</v>
      </c>
      <c r="C369" s="1" t="n">
        <v>45705</v>
      </c>
      <c r="D369" t="inlineStr">
        <is>
          <t>SÖDERMANLANDS LÄN</t>
        </is>
      </c>
      <c r="E369" t="inlineStr">
        <is>
          <t>KATRINEHOLM</t>
        </is>
      </c>
      <c r="G369" t="n">
        <v>7.1</v>
      </c>
      <c r="H369" t="n">
        <v>0</v>
      </c>
      <c r="I369" t="n">
        <v>0</v>
      </c>
      <c r="J369" t="n">
        <v>0</v>
      </c>
      <c r="K369" t="n">
        <v>0</v>
      </c>
      <c r="L369" t="n">
        <v>0</v>
      </c>
      <c r="M369" t="n">
        <v>0</v>
      </c>
      <c r="N369" t="n">
        <v>0</v>
      </c>
      <c r="O369" t="n">
        <v>0</v>
      </c>
      <c r="P369" t="n">
        <v>0</v>
      </c>
      <c r="Q369" t="n">
        <v>0</v>
      </c>
      <c r="R369" s="2" t="inlineStr"/>
    </row>
    <row r="370" ht="15" customHeight="1">
      <c r="A370" t="inlineStr">
        <is>
          <t>A 12068-2021</t>
        </is>
      </c>
      <c r="B370" s="1" t="n">
        <v>44266</v>
      </c>
      <c r="C370" s="1" t="n">
        <v>45705</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12063-2021</t>
        </is>
      </c>
      <c r="B371" s="1" t="n">
        <v>44266</v>
      </c>
      <c r="C371" s="1" t="n">
        <v>45705</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12070-2021</t>
        </is>
      </c>
      <c r="B372" s="1" t="n">
        <v>44266</v>
      </c>
      <c r="C372" s="1" t="n">
        <v>45705</v>
      </c>
      <c r="D372" t="inlineStr">
        <is>
          <t>SÖDERMANLANDS LÄN</t>
        </is>
      </c>
      <c r="E372" t="inlineStr">
        <is>
          <t>KATRINEHOLM</t>
        </is>
      </c>
      <c r="G372" t="n">
        <v>2.4</v>
      </c>
      <c r="H372" t="n">
        <v>0</v>
      </c>
      <c r="I372" t="n">
        <v>0</v>
      </c>
      <c r="J372" t="n">
        <v>0</v>
      </c>
      <c r="K372" t="n">
        <v>0</v>
      </c>
      <c r="L372" t="n">
        <v>0</v>
      </c>
      <c r="M372" t="n">
        <v>0</v>
      </c>
      <c r="N372" t="n">
        <v>0</v>
      </c>
      <c r="O372" t="n">
        <v>0</v>
      </c>
      <c r="P372" t="n">
        <v>0</v>
      </c>
      <c r="Q372" t="n">
        <v>0</v>
      </c>
      <c r="R372" s="2" t="inlineStr"/>
    </row>
    <row r="373" ht="15" customHeight="1">
      <c r="A373" t="inlineStr">
        <is>
          <t>A 12239-2021</t>
        </is>
      </c>
      <c r="B373" s="1" t="n">
        <v>44266</v>
      </c>
      <c r="C373" s="1" t="n">
        <v>45705</v>
      </c>
      <c r="D373" t="inlineStr">
        <is>
          <t>SÖDERMANLANDS LÄN</t>
        </is>
      </c>
      <c r="E373" t="inlineStr">
        <is>
          <t>KATRINEHOLM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12238-2021</t>
        </is>
      </c>
      <c r="B374" s="1" t="n">
        <v>44266</v>
      </c>
      <c r="C374" s="1" t="n">
        <v>45705</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12760-2021</t>
        </is>
      </c>
      <c r="B375" s="1" t="n">
        <v>44270</v>
      </c>
      <c r="C375" s="1" t="n">
        <v>45705</v>
      </c>
      <c r="D375" t="inlineStr">
        <is>
          <t>SÖDERMANLANDS LÄN</t>
        </is>
      </c>
      <c r="E375" t="inlineStr">
        <is>
          <t>KATRINEHOLM</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12766-2021</t>
        </is>
      </c>
      <c r="B376" s="1" t="n">
        <v>44270</v>
      </c>
      <c r="C376" s="1" t="n">
        <v>45705</v>
      </c>
      <c r="D376" t="inlineStr">
        <is>
          <t>SÖDERMANLANDS LÄN</t>
        </is>
      </c>
      <c r="E376" t="inlineStr">
        <is>
          <t>KATRINEHOLM</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16031-2021</t>
        </is>
      </c>
      <c r="B377" s="1" t="n">
        <v>44287</v>
      </c>
      <c r="C377" s="1" t="n">
        <v>45705</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17444-2021</t>
        </is>
      </c>
      <c r="B378" s="1" t="n">
        <v>44299</v>
      </c>
      <c r="C378" s="1" t="n">
        <v>45705</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17430-2021</t>
        </is>
      </c>
      <c r="B379" s="1" t="n">
        <v>44299</v>
      </c>
      <c r="C379" s="1" t="n">
        <v>45705</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17693-2021</t>
        </is>
      </c>
      <c r="B380" s="1" t="n">
        <v>44299</v>
      </c>
      <c r="C380" s="1" t="n">
        <v>45705</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17710-2021</t>
        </is>
      </c>
      <c r="B381" s="1" t="n">
        <v>44299</v>
      </c>
      <c r="C381" s="1" t="n">
        <v>45705</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17668-2021</t>
        </is>
      </c>
      <c r="B382" s="1" t="n">
        <v>44299</v>
      </c>
      <c r="C382" s="1" t="n">
        <v>45705</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17711-2021</t>
        </is>
      </c>
      <c r="B383" s="1" t="n">
        <v>44299</v>
      </c>
      <c r="C383" s="1" t="n">
        <v>45705</v>
      </c>
      <c r="D383" t="inlineStr">
        <is>
          <t>SÖDERMANLANDS LÄN</t>
        </is>
      </c>
      <c r="E383" t="inlineStr">
        <is>
          <t>KATRINEHOLM</t>
        </is>
      </c>
      <c r="G383" t="n">
        <v>3.9</v>
      </c>
      <c r="H383" t="n">
        <v>0</v>
      </c>
      <c r="I383" t="n">
        <v>0</v>
      </c>
      <c r="J383" t="n">
        <v>0</v>
      </c>
      <c r="K383" t="n">
        <v>0</v>
      </c>
      <c r="L383" t="n">
        <v>0</v>
      </c>
      <c r="M383" t="n">
        <v>0</v>
      </c>
      <c r="N383" t="n">
        <v>0</v>
      </c>
      <c r="O383" t="n">
        <v>0</v>
      </c>
      <c r="P383" t="n">
        <v>0</v>
      </c>
      <c r="Q383" t="n">
        <v>0</v>
      </c>
      <c r="R383" s="2" t="inlineStr"/>
    </row>
    <row r="384" ht="15" customHeight="1">
      <c r="A384" t="inlineStr">
        <is>
          <t>A 19195-2021</t>
        </is>
      </c>
      <c r="B384" s="1" t="n">
        <v>44308</v>
      </c>
      <c r="C384" s="1" t="n">
        <v>45705</v>
      </c>
      <c r="D384" t="inlineStr">
        <is>
          <t>SÖDERMANLANDS LÄN</t>
        </is>
      </c>
      <c r="E384" t="inlineStr">
        <is>
          <t>KATRINEHOLM</t>
        </is>
      </c>
      <c r="G384" t="n">
        <v>8.1</v>
      </c>
      <c r="H384" t="n">
        <v>0</v>
      </c>
      <c r="I384" t="n">
        <v>0</v>
      </c>
      <c r="J384" t="n">
        <v>0</v>
      </c>
      <c r="K384" t="n">
        <v>0</v>
      </c>
      <c r="L384" t="n">
        <v>0</v>
      </c>
      <c r="M384" t="n">
        <v>0</v>
      </c>
      <c r="N384" t="n">
        <v>0</v>
      </c>
      <c r="O384" t="n">
        <v>0</v>
      </c>
      <c r="P384" t="n">
        <v>0</v>
      </c>
      <c r="Q384" t="n">
        <v>0</v>
      </c>
      <c r="R384" s="2" t="inlineStr"/>
    </row>
    <row r="385" ht="15" customHeight="1">
      <c r="A385" t="inlineStr">
        <is>
          <t>A 20042-2021</t>
        </is>
      </c>
      <c r="B385" s="1" t="n">
        <v>44314</v>
      </c>
      <c r="C385" s="1" t="n">
        <v>45705</v>
      </c>
      <c r="D385" t="inlineStr">
        <is>
          <t>SÖDERMANLANDS LÄN</t>
        </is>
      </c>
      <c r="E385" t="inlineStr">
        <is>
          <t>KATRINEHOLM</t>
        </is>
      </c>
      <c r="G385" t="n">
        <v>2.1</v>
      </c>
      <c r="H385" t="n">
        <v>0</v>
      </c>
      <c r="I385" t="n">
        <v>0</v>
      </c>
      <c r="J385" t="n">
        <v>0</v>
      </c>
      <c r="K385" t="n">
        <v>0</v>
      </c>
      <c r="L385" t="n">
        <v>0</v>
      </c>
      <c r="M385" t="n">
        <v>0</v>
      </c>
      <c r="N385" t="n">
        <v>0</v>
      </c>
      <c r="O385" t="n">
        <v>0</v>
      </c>
      <c r="P385" t="n">
        <v>0</v>
      </c>
      <c r="Q385" t="n">
        <v>0</v>
      </c>
      <c r="R385" s="2" t="inlineStr"/>
    </row>
    <row r="386" ht="15" customHeight="1">
      <c r="A386" t="inlineStr">
        <is>
          <t>A 20039-2021</t>
        </is>
      </c>
      <c r="B386" s="1" t="n">
        <v>44314</v>
      </c>
      <c r="C386" s="1" t="n">
        <v>45705</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20949-2021</t>
        </is>
      </c>
      <c r="B387" s="1" t="n">
        <v>44319</v>
      </c>
      <c r="C387" s="1" t="n">
        <v>45705</v>
      </c>
      <c r="D387" t="inlineStr">
        <is>
          <t>SÖDERMANLANDS LÄN</t>
        </is>
      </c>
      <c r="E387" t="inlineStr">
        <is>
          <t>KATRINEHOLM</t>
        </is>
      </c>
      <c r="G387" t="n">
        <v>0.9</v>
      </c>
      <c r="H387" t="n">
        <v>0</v>
      </c>
      <c r="I387" t="n">
        <v>0</v>
      </c>
      <c r="J387" t="n">
        <v>0</v>
      </c>
      <c r="K387" t="n">
        <v>0</v>
      </c>
      <c r="L387" t="n">
        <v>0</v>
      </c>
      <c r="M387" t="n">
        <v>0</v>
      </c>
      <c r="N387" t="n">
        <v>0</v>
      </c>
      <c r="O387" t="n">
        <v>0</v>
      </c>
      <c r="P387" t="n">
        <v>0</v>
      </c>
      <c r="Q387" t="n">
        <v>0</v>
      </c>
      <c r="R387" s="2" t="inlineStr"/>
    </row>
    <row r="388" ht="15" customHeight="1">
      <c r="A388" t="inlineStr">
        <is>
          <t>A 22087-2021</t>
        </is>
      </c>
      <c r="B388" s="1" t="n">
        <v>44323</v>
      </c>
      <c r="C388" s="1" t="n">
        <v>45705</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23838-2021</t>
        </is>
      </c>
      <c r="B389" s="1" t="n">
        <v>44335</v>
      </c>
      <c r="C389" s="1" t="n">
        <v>45705</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25337-2021</t>
        </is>
      </c>
      <c r="B390" s="1" t="n">
        <v>44342</v>
      </c>
      <c r="C390" s="1" t="n">
        <v>45705</v>
      </c>
      <c r="D390" t="inlineStr">
        <is>
          <t>SÖDERMANLANDS LÄN</t>
        </is>
      </c>
      <c r="E390" t="inlineStr">
        <is>
          <t>KATRINEHOLM</t>
        </is>
      </c>
      <c r="F390" t="inlineStr">
        <is>
          <t>Övriga Aktiebolag</t>
        </is>
      </c>
      <c r="G390" t="n">
        <v>5.5</v>
      </c>
      <c r="H390" t="n">
        <v>0</v>
      </c>
      <c r="I390" t="n">
        <v>0</v>
      </c>
      <c r="J390" t="n">
        <v>0</v>
      </c>
      <c r="K390" t="n">
        <v>0</v>
      </c>
      <c r="L390" t="n">
        <v>0</v>
      </c>
      <c r="M390" t="n">
        <v>0</v>
      </c>
      <c r="N390" t="n">
        <v>0</v>
      </c>
      <c r="O390" t="n">
        <v>0</v>
      </c>
      <c r="P390" t="n">
        <v>0</v>
      </c>
      <c r="Q390" t="n">
        <v>0</v>
      </c>
      <c r="R390" s="2" t="inlineStr"/>
    </row>
    <row r="391" ht="15" customHeight="1">
      <c r="A391" t="inlineStr">
        <is>
          <t>A 27298-2021</t>
        </is>
      </c>
      <c r="B391" s="1" t="n">
        <v>44351</v>
      </c>
      <c r="C391" s="1" t="n">
        <v>45705</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29264-2021</t>
        </is>
      </c>
      <c r="B392" s="1" t="n">
        <v>44361</v>
      </c>
      <c r="C392" s="1" t="n">
        <v>45705</v>
      </c>
      <c r="D392" t="inlineStr">
        <is>
          <t>SÖDERMANLANDS LÄN</t>
        </is>
      </c>
      <c r="E392" t="inlineStr">
        <is>
          <t>KATRINEHOLM</t>
        </is>
      </c>
      <c r="G392" t="n">
        <v>5.3</v>
      </c>
      <c r="H392" t="n">
        <v>0</v>
      </c>
      <c r="I392" t="n">
        <v>0</v>
      </c>
      <c r="J392" t="n">
        <v>0</v>
      </c>
      <c r="K392" t="n">
        <v>0</v>
      </c>
      <c r="L392" t="n">
        <v>0</v>
      </c>
      <c r="M392" t="n">
        <v>0</v>
      </c>
      <c r="N392" t="n">
        <v>0</v>
      </c>
      <c r="O392" t="n">
        <v>0</v>
      </c>
      <c r="P392" t="n">
        <v>0</v>
      </c>
      <c r="Q392" t="n">
        <v>0</v>
      </c>
      <c r="R392" s="2" t="inlineStr"/>
    </row>
    <row r="393" ht="15" customHeight="1">
      <c r="A393" t="inlineStr">
        <is>
          <t>A 29665-2021</t>
        </is>
      </c>
      <c r="B393" s="1" t="n">
        <v>44362</v>
      </c>
      <c r="C393" s="1" t="n">
        <v>45705</v>
      </c>
      <c r="D393" t="inlineStr">
        <is>
          <t>SÖDERMANLANDS LÄN</t>
        </is>
      </c>
      <c r="E393" t="inlineStr">
        <is>
          <t>KATRINEHOLM</t>
        </is>
      </c>
      <c r="G393" t="n">
        <v>14.3</v>
      </c>
      <c r="H393" t="n">
        <v>0</v>
      </c>
      <c r="I393" t="n">
        <v>0</v>
      </c>
      <c r="J393" t="n">
        <v>0</v>
      </c>
      <c r="K393" t="n">
        <v>0</v>
      </c>
      <c r="L393" t="n">
        <v>0</v>
      </c>
      <c r="M393" t="n">
        <v>0</v>
      </c>
      <c r="N393" t="n">
        <v>0</v>
      </c>
      <c r="O393" t="n">
        <v>0</v>
      </c>
      <c r="P393" t="n">
        <v>0</v>
      </c>
      <c r="Q393" t="n">
        <v>0</v>
      </c>
      <c r="R393" s="2" t="inlineStr"/>
    </row>
    <row r="394" ht="15" customHeight="1">
      <c r="A394" t="inlineStr">
        <is>
          <t>A 29662-2021</t>
        </is>
      </c>
      <c r="B394" s="1" t="n">
        <v>44362</v>
      </c>
      <c r="C394" s="1" t="n">
        <v>45705</v>
      </c>
      <c r="D394" t="inlineStr">
        <is>
          <t>SÖDERMANLANDS LÄN</t>
        </is>
      </c>
      <c r="E394" t="inlineStr">
        <is>
          <t>KATRINEHOLM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29702-2021</t>
        </is>
      </c>
      <c r="B395" s="1" t="n">
        <v>44362</v>
      </c>
      <c r="C395" s="1" t="n">
        <v>45705</v>
      </c>
      <c r="D395" t="inlineStr">
        <is>
          <t>SÖDERMANLANDS LÄN</t>
        </is>
      </c>
      <c r="E395" t="inlineStr">
        <is>
          <t>KATRINEHOLM</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31684-2021</t>
        </is>
      </c>
      <c r="B396" s="1" t="n">
        <v>44369</v>
      </c>
      <c r="C396" s="1" t="n">
        <v>45705</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31836-2021</t>
        </is>
      </c>
      <c r="B397" s="1" t="n">
        <v>44370</v>
      </c>
      <c r="C397" s="1" t="n">
        <v>45705</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31846-2021</t>
        </is>
      </c>
      <c r="B398" s="1" t="n">
        <v>44370</v>
      </c>
      <c r="C398" s="1" t="n">
        <v>45705</v>
      </c>
      <c r="D398" t="inlineStr">
        <is>
          <t>SÖDERMANLANDS LÄN</t>
        </is>
      </c>
      <c r="E398" t="inlineStr">
        <is>
          <t>KATRINEHOLM</t>
        </is>
      </c>
      <c r="G398" t="n">
        <v>4.9</v>
      </c>
      <c r="H398" t="n">
        <v>0</v>
      </c>
      <c r="I398" t="n">
        <v>0</v>
      </c>
      <c r="J398" t="n">
        <v>0</v>
      </c>
      <c r="K398" t="n">
        <v>0</v>
      </c>
      <c r="L398" t="n">
        <v>0</v>
      </c>
      <c r="M398" t="n">
        <v>0</v>
      </c>
      <c r="N398" t="n">
        <v>0</v>
      </c>
      <c r="O398" t="n">
        <v>0</v>
      </c>
      <c r="P398" t="n">
        <v>0</v>
      </c>
      <c r="Q398" t="n">
        <v>0</v>
      </c>
      <c r="R398" s="2" t="inlineStr"/>
    </row>
    <row r="399" ht="15" customHeight="1">
      <c r="A399" t="inlineStr">
        <is>
          <t>A 31878-2021</t>
        </is>
      </c>
      <c r="B399" s="1" t="n">
        <v>44370</v>
      </c>
      <c r="C399" s="1" t="n">
        <v>45705</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32733-2021</t>
        </is>
      </c>
      <c r="B400" s="1" t="n">
        <v>44375</v>
      </c>
      <c r="C400" s="1" t="n">
        <v>45705</v>
      </c>
      <c r="D400" t="inlineStr">
        <is>
          <t>SÖDERMANLANDS LÄN</t>
        </is>
      </c>
      <c r="E400" t="inlineStr">
        <is>
          <t>KATRINEHOLM</t>
        </is>
      </c>
      <c r="G400" t="n">
        <v>9</v>
      </c>
      <c r="H400" t="n">
        <v>0</v>
      </c>
      <c r="I400" t="n">
        <v>0</v>
      </c>
      <c r="J400" t="n">
        <v>0</v>
      </c>
      <c r="K400" t="n">
        <v>0</v>
      </c>
      <c r="L400" t="n">
        <v>0</v>
      </c>
      <c r="M400" t="n">
        <v>0</v>
      </c>
      <c r="N400" t="n">
        <v>0</v>
      </c>
      <c r="O400" t="n">
        <v>0</v>
      </c>
      <c r="P400" t="n">
        <v>0</v>
      </c>
      <c r="Q400" t="n">
        <v>0</v>
      </c>
      <c r="R400" s="2" t="inlineStr"/>
      <c r="U400">
        <f>HYPERLINK("https://klasma.github.io/Logging_0483/knärot/A 32733-2021 karta knärot.png", "A 32733-2021")</f>
        <v/>
      </c>
      <c r="V400">
        <f>HYPERLINK("https://klasma.github.io/Logging_0483/klagomål/A 32733-2021 FSC-klagomål.docx", "A 32733-2021")</f>
        <v/>
      </c>
      <c r="W400">
        <f>HYPERLINK("https://klasma.github.io/Logging_0483/klagomålsmail/A 32733-2021 FSC-klagomål mail.docx", "A 32733-2021")</f>
        <v/>
      </c>
      <c r="X400">
        <f>HYPERLINK("https://klasma.github.io/Logging_0483/tillsyn/A 32733-2021 tillsynsbegäran.docx", "A 32733-2021")</f>
        <v/>
      </c>
      <c r="Y400">
        <f>HYPERLINK("https://klasma.github.io/Logging_0483/tillsynsmail/A 32733-2021 tillsynsbegäran mail.docx", "A 32733-2021")</f>
        <v/>
      </c>
    </row>
    <row r="401" ht="15" customHeight="1">
      <c r="A401" t="inlineStr">
        <is>
          <t>A 33949-2021</t>
        </is>
      </c>
      <c r="B401" s="1" t="n">
        <v>44378</v>
      </c>
      <c r="C401" s="1" t="n">
        <v>45705</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34794-2021</t>
        </is>
      </c>
      <c r="B402" s="1" t="n">
        <v>44383</v>
      </c>
      <c r="C402" s="1" t="n">
        <v>45705</v>
      </c>
      <c r="D402" t="inlineStr">
        <is>
          <t>SÖDERMANLANDS LÄN</t>
        </is>
      </c>
      <c r="E402" t="inlineStr">
        <is>
          <t>KATRINEHOLM</t>
        </is>
      </c>
      <c r="G402" t="n">
        <v>4.1</v>
      </c>
      <c r="H402" t="n">
        <v>0</v>
      </c>
      <c r="I402" t="n">
        <v>0</v>
      </c>
      <c r="J402" t="n">
        <v>0</v>
      </c>
      <c r="K402" t="n">
        <v>0</v>
      </c>
      <c r="L402" t="n">
        <v>0</v>
      </c>
      <c r="M402" t="n">
        <v>0</v>
      </c>
      <c r="N402" t="n">
        <v>0</v>
      </c>
      <c r="O402" t="n">
        <v>0</v>
      </c>
      <c r="P402" t="n">
        <v>0</v>
      </c>
      <c r="Q402" t="n">
        <v>0</v>
      </c>
      <c r="R402" s="2" t="inlineStr"/>
    </row>
    <row r="403" ht="15" customHeight="1">
      <c r="A403" t="inlineStr">
        <is>
          <t>A 36133-2021</t>
        </is>
      </c>
      <c r="B403" s="1" t="n">
        <v>44386</v>
      </c>
      <c r="C403" s="1" t="n">
        <v>45705</v>
      </c>
      <c r="D403" t="inlineStr">
        <is>
          <t>SÖDERMANLANDS LÄN</t>
        </is>
      </c>
      <c r="E403" t="inlineStr">
        <is>
          <t>KATRINEHOLM</t>
        </is>
      </c>
      <c r="F403" t="inlineStr">
        <is>
          <t>Övriga Aktiebolag</t>
        </is>
      </c>
      <c r="G403" t="n">
        <v>8.9</v>
      </c>
      <c r="H403" t="n">
        <v>0</v>
      </c>
      <c r="I403" t="n">
        <v>0</v>
      </c>
      <c r="J403" t="n">
        <v>0</v>
      </c>
      <c r="K403" t="n">
        <v>0</v>
      </c>
      <c r="L403" t="n">
        <v>0</v>
      </c>
      <c r="M403" t="n">
        <v>0</v>
      </c>
      <c r="N403" t="n">
        <v>0</v>
      </c>
      <c r="O403" t="n">
        <v>0</v>
      </c>
      <c r="P403" t="n">
        <v>0</v>
      </c>
      <c r="Q403" t="n">
        <v>0</v>
      </c>
      <c r="R403" s="2" t="inlineStr"/>
    </row>
    <row r="404" ht="15" customHeight="1">
      <c r="A404" t="inlineStr">
        <is>
          <t>A 36608-2021</t>
        </is>
      </c>
      <c r="B404" s="1" t="n">
        <v>44391</v>
      </c>
      <c r="C404" s="1" t="n">
        <v>45705</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36605-2021</t>
        </is>
      </c>
      <c r="B405" s="1" t="n">
        <v>44391</v>
      </c>
      <c r="C405" s="1" t="n">
        <v>45705</v>
      </c>
      <c r="D405" t="inlineStr">
        <is>
          <t>SÖDERMANLANDS LÄN</t>
        </is>
      </c>
      <c r="E405" t="inlineStr">
        <is>
          <t>KATRINEHOLM</t>
        </is>
      </c>
      <c r="G405" t="n">
        <v>1.1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45705</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36964-2021</t>
        </is>
      </c>
      <c r="B407" s="1" t="n">
        <v>44393</v>
      </c>
      <c r="C407" s="1" t="n">
        <v>45705</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38158-2021</t>
        </is>
      </c>
      <c r="B408" s="1" t="n">
        <v>44405</v>
      </c>
      <c r="C408" s="1" t="n">
        <v>45705</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38308-2021</t>
        </is>
      </c>
      <c r="B409" s="1" t="n">
        <v>44406</v>
      </c>
      <c r="C409" s="1" t="n">
        <v>45705</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38471-2021</t>
        </is>
      </c>
      <c r="B410" s="1" t="n">
        <v>44407</v>
      </c>
      <c r="C410" s="1" t="n">
        <v>45705</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38607-2021</t>
        </is>
      </c>
      <c r="B411" s="1" t="n">
        <v>44409</v>
      </c>
      <c r="C411" s="1" t="n">
        <v>45705</v>
      </c>
      <c r="D411" t="inlineStr">
        <is>
          <t>SÖDERMANLANDS LÄN</t>
        </is>
      </c>
      <c r="E411" t="inlineStr">
        <is>
          <t>KATRINEHOLM</t>
        </is>
      </c>
      <c r="G411" t="n">
        <v>2.9</v>
      </c>
      <c r="H411" t="n">
        <v>0</v>
      </c>
      <c r="I411" t="n">
        <v>0</v>
      </c>
      <c r="J411" t="n">
        <v>0</v>
      </c>
      <c r="K411" t="n">
        <v>0</v>
      </c>
      <c r="L411" t="n">
        <v>0</v>
      </c>
      <c r="M411" t="n">
        <v>0</v>
      </c>
      <c r="N411" t="n">
        <v>0</v>
      </c>
      <c r="O411" t="n">
        <v>0</v>
      </c>
      <c r="P411" t="n">
        <v>0</v>
      </c>
      <c r="Q411" t="n">
        <v>0</v>
      </c>
      <c r="R411" s="2" t="inlineStr"/>
    </row>
    <row r="412" ht="15" customHeight="1">
      <c r="A412" t="inlineStr">
        <is>
          <t>A 38606-2021</t>
        </is>
      </c>
      <c r="B412" s="1" t="n">
        <v>44409</v>
      </c>
      <c r="C412" s="1" t="n">
        <v>45705</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38611-2021</t>
        </is>
      </c>
      <c r="B413" s="1" t="n">
        <v>44409</v>
      </c>
      <c r="C413" s="1" t="n">
        <v>45705</v>
      </c>
      <c r="D413" t="inlineStr">
        <is>
          <t>SÖDERMANLANDS LÄN</t>
        </is>
      </c>
      <c r="E413" t="inlineStr">
        <is>
          <t>KATRINEHOLM</t>
        </is>
      </c>
      <c r="G413" t="n">
        <v>7.7</v>
      </c>
      <c r="H413" t="n">
        <v>0</v>
      </c>
      <c r="I413" t="n">
        <v>0</v>
      </c>
      <c r="J413" t="n">
        <v>0</v>
      </c>
      <c r="K413" t="n">
        <v>0</v>
      </c>
      <c r="L413" t="n">
        <v>0</v>
      </c>
      <c r="M413" t="n">
        <v>0</v>
      </c>
      <c r="N413" t="n">
        <v>0</v>
      </c>
      <c r="O413" t="n">
        <v>0</v>
      </c>
      <c r="P413" t="n">
        <v>0</v>
      </c>
      <c r="Q413" t="n">
        <v>0</v>
      </c>
      <c r="R413" s="2" t="inlineStr"/>
    </row>
    <row r="414" ht="15" customHeight="1">
      <c r="A414" t="inlineStr">
        <is>
          <t>A 38826-2021</t>
        </is>
      </c>
      <c r="B414" s="1" t="n">
        <v>44411</v>
      </c>
      <c r="C414" s="1" t="n">
        <v>45705</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38835-2021</t>
        </is>
      </c>
      <c r="B415" s="1" t="n">
        <v>44411</v>
      </c>
      <c r="C415" s="1" t="n">
        <v>45705</v>
      </c>
      <c r="D415" t="inlineStr">
        <is>
          <t>SÖDERMANLANDS LÄN</t>
        </is>
      </c>
      <c r="E415" t="inlineStr">
        <is>
          <t>KATRINEHOLM</t>
        </is>
      </c>
      <c r="G415" t="n">
        <v>10.2</v>
      </c>
      <c r="H415" t="n">
        <v>0</v>
      </c>
      <c r="I415" t="n">
        <v>0</v>
      </c>
      <c r="J415" t="n">
        <v>0</v>
      </c>
      <c r="K415" t="n">
        <v>0</v>
      </c>
      <c r="L415" t="n">
        <v>0</v>
      </c>
      <c r="M415" t="n">
        <v>0</v>
      </c>
      <c r="N415" t="n">
        <v>0</v>
      </c>
      <c r="O415" t="n">
        <v>0</v>
      </c>
      <c r="P415" t="n">
        <v>0</v>
      </c>
      <c r="Q415" t="n">
        <v>0</v>
      </c>
      <c r="R415" s="2" t="inlineStr"/>
    </row>
    <row r="416" ht="15" customHeight="1">
      <c r="A416" t="inlineStr">
        <is>
          <t>A 39001-2021</t>
        </is>
      </c>
      <c r="B416" s="1" t="n">
        <v>44412</v>
      </c>
      <c r="C416" s="1" t="n">
        <v>45705</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39010-2021</t>
        </is>
      </c>
      <c r="B417" s="1" t="n">
        <v>44412</v>
      </c>
      <c r="C417" s="1" t="n">
        <v>45705</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39527-2021</t>
        </is>
      </c>
      <c r="B418" s="1" t="n">
        <v>44415</v>
      </c>
      <c r="C418" s="1" t="n">
        <v>45705</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39549-2021</t>
        </is>
      </c>
      <c r="B419" s="1" t="n">
        <v>44416</v>
      </c>
      <c r="C419" s="1" t="n">
        <v>45705</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39546-2021</t>
        </is>
      </c>
      <c r="B420" s="1" t="n">
        <v>44416</v>
      </c>
      <c r="C420" s="1" t="n">
        <v>45705</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39862-2021</t>
        </is>
      </c>
      <c r="B421" s="1" t="n">
        <v>44417</v>
      </c>
      <c r="C421" s="1" t="n">
        <v>45705</v>
      </c>
      <c r="D421" t="inlineStr">
        <is>
          <t>SÖDERMANLANDS LÄN</t>
        </is>
      </c>
      <c r="E421" t="inlineStr">
        <is>
          <t>KATRINEHOLM</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45705</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40400-2021</t>
        </is>
      </c>
      <c r="B423" s="1" t="n">
        <v>44419</v>
      </c>
      <c r="C423" s="1" t="n">
        <v>45705</v>
      </c>
      <c r="D423" t="inlineStr">
        <is>
          <t>SÖDERMANLANDS LÄN</t>
        </is>
      </c>
      <c r="E423" t="inlineStr">
        <is>
          <t>KATRINEHOLM</t>
        </is>
      </c>
      <c r="G423" t="n">
        <v>12.2</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45705</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41205-2021</t>
        </is>
      </c>
      <c r="B425" s="1" t="n">
        <v>44424</v>
      </c>
      <c r="C425" s="1" t="n">
        <v>45705</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41863-2021</t>
        </is>
      </c>
      <c r="B426" s="1" t="n">
        <v>44426</v>
      </c>
      <c r="C426" s="1" t="n">
        <v>45705</v>
      </c>
      <c r="D426" t="inlineStr">
        <is>
          <t>SÖDERMANLANDS LÄN</t>
        </is>
      </c>
      <c r="E426" t="inlineStr">
        <is>
          <t>KATRINEHOLM</t>
        </is>
      </c>
      <c r="G426" t="n">
        <v>0.3</v>
      </c>
      <c r="H426" t="n">
        <v>0</v>
      </c>
      <c r="I426" t="n">
        <v>0</v>
      </c>
      <c r="J426" t="n">
        <v>0</v>
      </c>
      <c r="K426" t="n">
        <v>0</v>
      </c>
      <c r="L426" t="n">
        <v>0</v>
      </c>
      <c r="M426" t="n">
        <v>0</v>
      </c>
      <c r="N426" t="n">
        <v>0</v>
      </c>
      <c r="O426" t="n">
        <v>0</v>
      </c>
      <c r="P426" t="n">
        <v>0</v>
      </c>
      <c r="Q426" t="n">
        <v>0</v>
      </c>
      <c r="R426" s="2" t="inlineStr"/>
    </row>
    <row r="427" ht="15" customHeight="1">
      <c r="A427" t="inlineStr">
        <is>
          <t>A 41876-2021</t>
        </is>
      </c>
      <c r="B427" s="1" t="n">
        <v>44426</v>
      </c>
      <c r="C427" s="1" t="n">
        <v>45705</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42853-2021</t>
        </is>
      </c>
      <c r="B428" s="1" t="n">
        <v>44430</v>
      </c>
      <c r="C428" s="1" t="n">
        <v>45705</v>
      </c>
      <c r="D428" t="inlineStr">
        <is>
          <t>SÖDERMANLANDS LÄN</t>
        </is>
      </c>
      <c r="E428" t="inlineStr">
        <is>
          <t>KATRINEHOLM</t>
        </is>
      </c>
      <c r="G428" t="n">
        <v>5.9</v>
      </c>
      <c r="H428" t="n">
        <v>0</v>
      </c>
      <c r="I428" t="n">
        <v>0</v>
      </c>
      <c r="J428" t="n">
        <v>0</v>
      </c>
      <c r="K428" t="n">
        <v>0</v>
      </c>
      <c r="L428" t="n">
        <v>0</v>
      </c>
      <c r="M428" t="n">
        <v>0</v>
      </c>
      <c r="N428" t="n">
        <v>0</v>
      </c>
      <c r="O428" t="n">
        <v>0</v>
      </c>
      <c r="P428" t="n">
        <v>0</v>
      </c>
      <c r="Q428" t="n">
        <v>0</v>
      </c>
      <c r="R428" s="2" t="inlineStr"/>
    </row>
    <row r="429" ht="15" customHeight="1">
      <c r="A429" t="inlineStr">
        <is>
          <t>A 43499-2021</t>
        </is>
      </c>
      <c r="B429" s="1" t="n">
        <v>44433</v>
      </c>
      <c r="C429" s="1" t="n">
        <v>45705</v>
      </c>
      <c r="D429" t="inlineStr">
        <is>
          <t>SÖDERMANLANDS LÄN</t>
        </is>
      </c>
      <c r="E429" t="inlineStr">
        <is>
          <t>KATRINEHOLM</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43569-2021</t>
        </is>
      </c>
      <c r="B430" s="1" t="n">
        <v>44433</v>
      </c>
      <c r="C430" s="1" t="n">
        <v>45705</v>
      </c>
      <c r="D430" t="inlineStr">
        <is>
          <t>SÖDERMANLANDS LÄN</t>
        </is>
      </c>
      <c r="E430" t="inlineStr">
        <is>
          <t>KATRINEHOLM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44024-2021</t>
        </is>
      </c>
      <c r="B431" s="1" t="n">
        <v>44434</v>
      </c>
      <c r="C431" s="1" t="n">
        <v>45705</v>
      </c>
      <c r="D431" t="inlineStr">
        <is>
          <t>SÖDERMANLANDS LÄN</t>
        </is>
      </c>
      <c r="E431" t="inlineStr">
        <is>
          <t>KATRINEHOLM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45130-2021</t>
        </is>
      </c>
      <c r="B432" s="1" t="n">
        <v>44439</v>
      </c>
      <c r="C432" s="1" t="n">
        <v>45705</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45147-2021</t>
        </is>
      </c>
      <c r="B433" s="1" t="n">
        <v>44439</v>
      </c>
      <c r="C433" s="1" t="n">
        <v>45705</v>
      </c>
      <c r="D433" t="inlineStr">
        <is>
          <t>SÖDERMANLANDS LÄN</t>
        </is>
      </c>
      <c r="E433" t="inlineStr">
        <is>
          <t>KATRINEHOLM</t>
        </is>
      </c>
      <c r="G433" t="n">
        <v>3.2</v>
      </c>
      <c r="H433" t="n">
        <v>0</v>
      </c>
      <c r="I433" t="n">
        <v>0</v>
      </c>
      <c r="J433" t="n">
        <v>0</v>
      </c>
      <c r="K433" t="n">
        <v>0</v>
      </c>
      <c r="L433" t="n">
        <v>0</v>
      </c>
      <c r="M433" t="n">
        <v>0</v>
      </c>
      <c r="N433" t="n">
        <v>0</v>
      </c>
      <c r="O433" t="n">
        <v>0</v>
      </c>
      <c r="P433" t="n">
        <v>0</v>
      </c>
      <c r="Q433" t="n">
        <v>0</v>
      </c>
      <c r="R433" s="2" t="inlineStr"/>
    </row>
    <row r="434" ht="15" customHeight="1">
      <c r="A434" t="inlineStr">
        <is>
          <t>A 45142-2021</t>
        </is>
      </c>
      <c r="B434" s="1" t="n">
        <v>44439</v>
      </c>
      <c r="C434" s="1" t="n">
        <v>45705</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45435-2021</t>
        </is>
      </c>
      <c r="B435" s="1" t="n">
        <v>44440</v>
      </c>
      <c r="C435" s="1" t="n">
        <v>45705</v>
      </c>
      <c r="D435" t="inlineStr">
        <is>
          <t>SÖDERMANLANDS LÄN</t>
        </is>
      </c>
      <c r="E435" t="inlineStr">
        <is>
          <t>KATRINEHOLM</t>
        </is>
      </c>
      <c r="F435" t="inlineStr">
        <is>
          <t>Kommuner</t>
        </is>
      </c>
      <c r="G435" t="n">
        <v>3</v>
      </c>
      <c r="H435" t="n">
        <v>0</v>
      </c>
      <c r="I435" t="n">
        <v>0</v>
      </c>
      <c r="J435" t="n">
        <v>0</v>
      </c>
      <c r="K435" t="n">
        <v>0</v>
      </c>
      <c r="L435" t="n">
        <v>0</v>
      </c>
      <c r="M435" t="n">
        <v>0</v>
      </c>
      <c r="N435" t="n">
        <v>0</v>
      </c>
      <c r="O435" t="n">
        <v>0</v>
      </c>
      <c r="P435" t="n">
        <v>0</v>
      </c>
      <c r="Q435" t="n">
        <v>0</v>
      </c>
      <c r="R435" s="2" t="inlineStr"/>
    </row>
    <row r="436" ht="15" customHeight="1">
      <c r="A436" t="inlineStr">
        <is>
          <t>A 45438-2021</t>
        </is>
      </c>
      <c r="B436" s="1" t="n">
        <v>44440</v>
      </c>
      <c r="C436" s="1" t="n">
        <v>45705</v>
      </c>
      <c r="D436" t="inlineStr">
        <is>
          <t>SÖDERMANLANDS LÄN</t>
        </is>
      </c>
      <c r="E436" t="inlineStr">
        <is>
          <t>KATRINEHOLM</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45785-2021</t>
        </is>
      </c>
      <c r="B437" s="1" t="n">
        <v>44441</v>
      </c>
      <c r="C437" s="1" t="n">
        <v>45705</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45914-2021</t>
        </is>
      </c>
      <c r="B438" s="1" t="n">
        <v>44441</v>
      </c>
      <c r="C438" s="1" t="n">
        <v>45705</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46011-2021</t>
        </is>
      </c>
      <c r="B439" s="1" t="n">
        <v>44441</v>
      </c>
      <c r="C439" s="1" t="n">
        <v>45705</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45921-2021</t>
        </is>
      </c>
      <c r="B440" s="1" t="n">
        <v>44441</v>
      </c>
      <c r="C440" s="1" t="n">
        <v>45705</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46257-2021</t>
        </is>
      </c>
      <c r="B441" s="1" t="n">
        <v>44442</v>
      </c>
      <c r="C441" s="1" t="n">
        <v>45705</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46640-2021</t>
        </is>
      </c>
      <c r="B442" s="1" t="n">
        <v>44445</v>
      </c>
      <c r="C442" s="1" t="n">
        <v>45705</v>
      </c>
      <c r="D442" t="inlineStr">
        <is>
          <t>SÖDERMANLANDS LÄN</t>
        </is>
      </c>
      <c r="E442" t="inlineStr">
        <is>
          <t>KATRINEHOLM</t>
        </is>
      </c>
      <c r="G442" t="n">
        <v>5.6</v>
      </c>
      <c r="H442" t="n">
        <v>0</v>
      </c>
      <c r="I442" t="n">
        <v>0</v>
      </c>
      <c r="J442" t="n">
        <v>0</v>
      </c>
      <c r="K442" t="n">
        <v>0</v>
      </c>
      <c r="L442" t="n">
        <v>0</v>
      </c>
      <c r="M442" t="n">
        <v>0</v>
      </c>
      <c r="N442" t="n">
        <v>0</v>
      </c>
      <c r="O442" t="n">
        <v>0</v>
      </c>
      <c r="P442" t="n">
        <v>0</v>
      </c>
      <c r="Q442" t="n">
        <v>0</v>
      </c>
      <c r="R442" s="2" t="inlineStr"/>
    </row>
    <row r="443" ht="15" customHeight="1">
      <c r="A443" t="inlineStr">
        <is>
          <t>A 46584-2021</t>
        </is>
      </c>
      <c r="B443" s="1" t="n">
        <v>44445</v>
      </c>
      <c r="C443" s="1" t="n">
        <v>45705</v>
      </c>
      <c r="D443" t="inlineStr">
        <is>
          <t>SÖDERMANLANDS LÄN</t>
        </is>
      </c>
      <c r="E443" t="inlineStr">
        <is>
          <t>KATRINEHOLM</t>
        </is>
      </c>
      <c r="G443" t="n">
        <v>7.2</v>
      </c>
      <c r="H443" t="n">
        <v>0</v>
      </c>
      <c r="I443" t="n">
        <v>0</v>
      </c>
      <c r="J443" t="n">
        <v>0</v>
      </c>
      <c r="K443" t="n">
        <v>0</v>
      </c>
      <c r="L443" t="n">
        <v>0</v>
      </c>
      <c r="M443" t="n">
        <v>0</v>
      </c>
      <c r="N443" t="n">
        <v>0</v>
      </c>
      <c r="O443" t="n">
        <v>0</v>
      </c>
      <c r="P443" t="n">
        <v>0</v>
      </c>
      <c r="Q443" t="n">
        <v>0</v>
      </c>
      <c r="R443" s="2" t="inlineStr"/>
    </row>
    <row r="444" ht="15" customHeight="1">
      <c r="A444" t="inlineStr">
        <is>
          <t>A 46703-2021</t>
        </is>
      </c>
      <c r="B444" s="1" t="n">
        <v>44445</v>
      </c>
      <c r="C444" s="1" t="n">
        <v>45705</v>
      </c>
      <c r="D444" t="inlineStr">
        <is>
          <t>SÖDERMANLANDS LÄN</t>
        </is>
      </c>
      <c r="E444" t="inlineStr">
        <is>
          <t>KATRINEHOLM</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46723-2021</t>
        </is>
      </c>
      <c r="B445" s="1" t="n">
        <v>44445</v>
      </c>
      <c r="C445" s="1" t="n">
        <v>45705</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46670-2021</t>
        </is>
      </c>
      <c r="B446" s="1" t="n">
        <v>44445</v>
      </c>
      <c r="C446" s="1" t="n">
        <v>45705</v>
      </c>
      <c r="D446" t="inlineStr">
        <is>
          <t>SÖDERMANLANDS LÄN</t>
        </is>
      </c>
      <c r="E446" t="inlineStr">
        <is>
          <t>KATRINEHOLM</t>
        </is>
      </c>
      <c r="G446" t="n">
        <v>4.4</v>
      </c>
      <c r="H446" t="n">
        <v>0</v>
      </c>
      <c r="I446" t="n">
        <v>0</v>
      </c>
      <c r="J446" t="n">
        <v>0</v>
      </c>
      <c r="K446" t="n">
        <v>0</v>
      </c>
      <c r="L446" t="n">
        <v>0</v>
      </c>
      <c r="M446" t="n">
        <v>0</v>
      </c>
      <c r="N446" t="n">
        <v>0</v>
      </c>
      <c r="O446" t="n">
        <v>0</v>
      </c>
      <c r="P446" t="n">
        <v>0</v>
      </c>
      <c r="Q446" t="n">
        <v>0</v>
      </c>
      <c r="R446" s="2" t="inlineStr"/>
    </row>
    <row r="447" ht="15" customHeight="1">
      <c r="A447" t="inlineStr">
        <is>
          <t>A 52063-2021</t>
        </is>
      </c>
      <c r="B447" s="1" t="n">
        <v>44449</v>
      </c>
      <c r="C447" s="1" t="n">
        <v>45705</v>
      </c>
      <c r="D447" t="inlineStr">
        <is>
          <t>SÖDERMANLANDS LÄN</t>
        </is>
      </c>
      <c r="E447" t="inlineStr">
        <is>
          <t>KATRINEHOLM</t>
        </is>
      </c>
      <c r="G447" t="n">
        <v>0.3</v>
      </c>
      <c r="H447" t="n">
        <v>0</v>
      </c>
      <c r="I447" t="n">
        <v>0</v>
      </c>
      <c r="J447" t="n">
        <v>0</v>
      </c>
      <c r="K447" t="n">
        <v>0</v>
      </c>
      <c r="L447" t="n">
        <v>0</v>
      </c>
      <c r="M447" t="n">
        <v>0</v>
      </c>
      <c r="N447" t="n">
        <v>0</v>
      </c>
      <c r="O447" t="n">
        <v>0</v>
      </c>
      <c r="P447" t="n">
        <v>0</v>
      </c>
      <c r="Q447" t="n">
        <v>0</v>
      </c>
      <c r="R447" s="2" t="inlineStr"/>
    </row>
    <row r="448" ht="15" customHeight="1">
      <c r="A448" t="inlineStr">
        <is>
          <t>A 49677-2021</t>
        </is>
      </c>
      <c r="B448" s="1" t="n">
        <v>44455</v>
      </c>
      <c r="C448" s="1" t="n">
        <v>45705</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49784-2021</t>
        </is>
      </c>
      <c r="B449" s="1" t="n">
        <v>44455</v>
      </c>
      <c r="C449" s="1" t="n">
        <v>45705</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51128-2021</t>
        </is>
      </c>
      <c r="B450" s="1" t="n">
        <v>44460</v>
      </c>
      <c r="C450" s="1" t="n">
        <v>45705</v>
      </c>
      <c r="D450" t="inlineStr">
        <is>
          <t>SÖDERMANLANDS LÄN</t>
        </is>
      </c>
      <c r="E450" t="inlineStr">
        <is>
          <t>KATRINEHOLM</t>
        </is>
      </c>
      <c r="G450" t="n">
        <v>7.8</v>
      </c>
      <c r="H450" t="n">
        <v>0</v>
      </c>
      <c r="I450" t="n">
        <v>0</v>
      </c>
      <c r="J450" t="n">
        <v>0</v>
      </c>
      <c r="K450" t="n">
        <v>0</v>
      </c>
      <c r="L450" t="n">
        <v>0</v>
      </c>
      <c r="M450" t="n">
        <v>0</v>
      </c>
      <c r="N450" t="n">
        <v>0</v>
      </c>
      <c r="O450" t="n">
        <v>0</v>
      </c>
      <c r="P450" t="n">
        <v>0</v>
      </c>
      <c r="Q450" t="n">
        <v>0</v>
      </c>
      <c r="R450" s="2" t="inlineStr"/>
    </row>
    <row r="451" ht="15" customHeight="1">
      <c r="A451" t="inlineStr">
        <is>
          <t>A 51133-2021</t>
        </is>
      </c>
      <c r="B451" s="1" t="n">
        <v>44461</v>
      </c>
      <c r="C451" s="1" t="n">
        <v>45705</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51264-2021</t>
        </is>
      </c>
      <c r="B452" s="1" t="n">
        <v>44461</v>
      </c>
      <c r="C452" s="1" t="n">
        <v>45705</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51260-2021</t>
        </is>
      </c>
      <c r="B453" s="1" t="n">
        <v>44461</v>
      </c>
      <c r="C453" s="1" t="n">
        <v>45705</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51741-2021</t>
        </is>
      </c>
      <c r="B454" s="1" t="n">
        <v>44461</v>
      </c>
      <c r="C454" s="1" t="n">
        <v>45705</v>
      </c>
      <c r="D454" t="inlineStr">
        <is>
          <t>SÖDERMANLANDS LÄN</t>
        </is>
      </c>
      <c r="E454" t="inlineStr">
        <is>
          <t>KATRINEHOLM</t>
        </is>
      </c>
      <c r="G454" t="n">
        <v>4.9</v>
      </c>
      <c r="H454" t="n">
        <v>0</v>
      </c>
      <c r="I454" t="n">
        <v>0</v>
      </c>
      <c r="J454" t="n">
        <v>0</v>
      </c>
      <c r="K454" t="n">
        <v>0</v>
      </c>
      <c r="L454" t="n">
        <v>0</v>
      </c>
      <c r="M454" t="n">
        <v>0</v>
      </c>
      <c r="N454" t="n">
        <v>0</v>
      </c>
      <c r="O454" t="n">
        <v>0</v>
      </c>
      <c r="P454" t="n">
        <v>0</v>
      </c>
      <c r="Q454" t="n">
        <v>0</v>
      </c>
      <c r="R454" s="2" t="inlineStr"/>
    </row>
    <row r="455" ht="15" customHeight="1">
      <c r="A455" t="inlineStr">
        <is>
          <t>A 52044-2021</t>
        </is>
      </c>
      <c r="B455" s="1" t="n">
        <v>44463</v>
      </c>
      <c r="C455" s="1" t="n">
        <v>45705</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52348-2021</t>
        </is>
      </c>
      <c r="B456" s="1" t="n">
        <v>44464</v>
      </c>
      <c r="C456" s="1" t="n">
        <v>45705</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52857-2021</t>
        </is>
      </c>
      <c r="B457" s="1" t="n">
        <v>44466</v>
      </c>
      <c r="C457" s="1" t="n">
        <v>45705</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53240-2021</t>
        </is>
      </c>
      <c r="B458" s="1" t="n">
        <v>44466</v>
      </c>
      <c r="C458" s="1" t="n">
        <v>45705</v>
      </c>
      <c r="D458" t="inlineStr">
        <is>
          <t>SÖDERMANLANDS LÄN</t>
        </is>
      </c>
      <c r="E458" t="inlineStr">
        <is>
          <t>KATRINEHOLM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61174-2021</t>
        </is>
      </c>
      <c r="B459" s="1" t="n">
        <v>44466</v>
      </c>
      <c r="C459" s="1" t="n">
        <v>45705</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53829-2021</t>
        </is>
      </c>
      <c r="B460" s="1" t="n">
        <v>44467</v>
      </c>
      <c r="C460" s="1" t="n">
        <v>45705</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53823-2021</t>
        </is>
      </c>
      <c r="B461" s="1" t="n">
        <v>44467</v>
      </c>
      <c r="C461" s="1" t="n">
        <v>45705</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53860-2021</t>
        </is>
      </c>
      <c r="B462" s="1" t="n">
        <v>44467</v>
      </c>
      <c r="C462" s="1" t="n">
        <v>45705</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53809-2021</t>
        </is>
      </c>
      <c r="B463" s="1" t="n">
        <v>44467</v>
      </c>
      <c r="C463" s="1" t="n">
        <v>45705</v>
      </c>
      <c r="D463" t="inlineStr">
        <is>
          <t>SÖDERMANLANDS LÄN</t>
        </is>
      </c>
      <c r="E463" t="inlineStr">
        <is>
          <t>KATRINEHOLM</t>
        </is>
      </c>
      <c r="G463" t="n">
        <v>7</v>
      </c>
      <c r="H463" t="n">
        <v>0</v>
      </c>
      <c r="I463" t="n">
        <v>0</v>
      </c>
      <c r="J463" t="n">
        <v>0</v>
      </c>
      <c r="K463" t="n">
        <v>0</v>
      </c>
      <c r="L463" t="n">
        <v>0</v>
      </c>
      <c r="M463" t="n">
        <v>0</v>
      </c>
      <c r="N463" t="n">
        <v>0</v>
      </c>
      <c r="O463" t="n">
        <v>0</v>
      </c>
      <c r="P463" t="n">
        <v>0</v>
      </c>
      <c r="Q463" t="n">
        <v>0</v>
      </c>
      <c r="R463" s="2" t="inlineStr"/>
    </row>
    <row r="464" ht="15" customHeight="1">
      <c r="A464" t="inlineStr">
        <is>
          <t>A 53846-2021</t>
        </is>
      </c>
      <c r="B464" s="1" t="n">
        <v>44467</v>
      </c>
      <c r="C464" s="1" t="n">
        <v>45705</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53349-2021</t>
        </is>
      </c>
      <c r="B465" s="1" t="n">
        <v>44468</v>
      </c>
      <c r="C465" s="1" t="n">
        <v>45705</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53473-2021</t>
        </is>
      </c>
      <c r="B466" s="1" t="n">
        <v>44468</v>
      </c>
      <c r="C466" s="1" t="n">
        <v>45705</v>
      </c>
      <c r="D466" t="inlineStr">
        <is>
          <t>SÖDERMANLANDS LÄN</t>
        </is>
      </c>
      <c r="E466" t="inlineStr">
        <is>
          <t>KATRINEHOLM</t>
        </is>
      </c>
      <c r="G466" t="n">
        <v>10.8</v>
      </c>
      <c r="H466" t="n">
        <v>0</v>
      </c>
      <c r="I466" t="n">
        <v>0</v>
      </c>
      <c r="J466" t="n">
        <v>0</v>
      </c>
      <c r="K466" t="n">
        <v>0</v>
      </c>
      <c r="L466" t="n">
        <v>0</v>
      </c>
      <c r="M466" t="n">
        <v>0</v>
      </c>
      <c r="N466" t="n">
        <v>0</v>
      </c>
      <c r="O466" t="n">
        <v>0</v>
      </c>
      <c r="P466" t="n">
        <v>0</v>
      </c>
      <c r="Q466" t="n">
        <v>0</v>
      </c>
      <c r="R466" s="2" t="inlineStr"/>
    </row>
    <row r="467" ht="15" customHeight="1">
      <c r="A467" t="inlineStr">
        <is>
          <t>A 54698-2021</t>
        </is>
      </c>
      <c r="B467" s="1" t="n">
        <v>44473</v>
      </c>
      <c r="C467" s="1" t="n">
        <v>45705</v>
      </c>
      <c r="D467" t="inlineStr">
        <is>
          <t>SÖDERMANLANDS LÄN</t>
        </is>
      </c>
      <c r="E467" t="inlineStr">
        <is>
          <t>KATRINEHOLM</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54704-2021</t>
        </is>
      </c>
      <c r="B468" s="1" t="n">
        <v>44473</v>
      </c>
      <c r="C468" s="1" t="n">
        <v>45705</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55034-2021</t>
        </is>
      </c>
      <c r="B469" s="1" t="n">
        <v>44474</v>
      </c>
      <c r="C469" s="1" t="n">
        <v>45705</v>
      </c>
      <c r="D469" t="inlineStr">
        <is>
          <t>SÖDERMANLANDS LÄN</t>
        </is>
      </c>
      <c r="E469" t="inlineStr">
        <is>
          <t>KATRINEHOLM</t>
        </is>
      </c>
      <c r="G469" t="n">
        <v>5</v>
      </c>
      <c r="H469" t="n">
        <v>0</v>
      </c>
      <c r="I469" t="n">
        <v>0</v>
      </c>
      <c r="J469" t="n">
        <v>0</v>
      </c>
      <c r="K469" t="n">
        <v>0</v>
      </c>
      <c r="L469" t="n">
        <v>0</v>
      </c>
      <c r="M469" t="n">
        <v>0</v>
      </c>
      <c r="N469" t="n">
        <v>0</v>
      </c>
      <c r="O469" t="n">
        <v>0</v>
      </c>
      <c r="P469" t="n">
        <v>0</v>
      </c>
      <c r="Q469" t="n">
        <v>0</v>
      </c>
      <c r="R469" s="2" t="inlineStr"/>
    </row>
    <row r="470" ht="15" customHeight="1">
      <c r="A470" t="inlineStr">
        <is>
          <t>A 55349-2021</t>
        </is>
      </c>
      <c r="B470" s="1" t="n">
        <v>44475</v>
      </c>
      <c r="C470" s="1" t="n">
        <v>45705</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55773-2021</t>
        </is>
      </c>
      <c r="B471" s="1" t="n">
        <v>44476</v>
      </c>
      <c r="C471" s="1" t="n">
        <v>45705</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45705</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56337-2021</t>
        </is>
      </c>
      <c r="B473" s="1" t="n">
        <v>44480</v>
      </c>
      <c r="C473" s="1" t="n">
        <v>45705</v>
      </c>
      <c r="D473" t="inlineStr">
        <is>
          <t>SÖDERMANLANDS LÄN</t>
        </is>
      </c>
      <c r="E473" t="inlineStr">
        <is>
          <t>KATRINEHOLM</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56572-2021</t>
        </is>
      </c>
      <c r="B474" s="1" t="n">
        <v>44480</v>
      </c>
      <c r="C474" s="1" t="n">
        <v>45705</v>
      </c>
      <c r="D474" t="inlineStr">
        <is>
          <t>SÖDERMANLANDS LÄN</t>
        </is>
      </c>
      <c r="E474" t="inlineStr">
        <is>
          <t>KATRINEHOLM</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56628-2021</t>
        </is>
      </c>
      <c r="B475" s="1" t="n">
        <v>44480</v>
      </c>
      <c r="C475" s="1" t="n">
        <v>45705</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56712-2021</t>
        </is>
      </c>
      <c r="B476" s="1" t="n">
        <v>44480</v>
      </c>
      <c r="C476" s="1" t="n">
        <v>45705</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56661-2021</t>
        </is>
      </c>
      <c r="B477" s="1" t="n">
        <v>44481</v>
      </c>
      <c r="C477" s="1" t="n">
        <v>45705</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57510-2021</t>
        </is>
      </c>
      <c r="B478" s="1" t="n">
        <v>44483</v>
      </c>
      <c r="C478" s="1" t="n">
        <v>45705</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57521-2021</t>
        </is>
      </c>
      <c r="B479" s="1" t="n">
        <v>44483</v>
      </c>
      <c r="C479" s="1" t="n">
        <v>45705</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57524-2021</t>
        </is>
      </c>
      <c r="B480" s="1" t="n">
        <v>44483</v>
      </c>
      <c r="C480" s="1" t="n">
        <v>45705</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58473-2021</t>
        </is>
      </c>
      <c r="B481" s="1" t="n">
        <v>44488</v>
      </c>
      <c r="C481" s="1" t="n">
        <v>45705</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59212-2021</t>
        </is>
      </c>
      <c r="B482" s="1" t="n">
        <v>44490</v>
      </c>
      <c r="C482" s="1" t="n">
        <v>45705</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59474-2021</t>
        </is>
      </c>
      <c r="B483" s="1" t="n">
        <v>44491</v>
      </c>
      <c r="C483" s="1" t="n">
        <v>45705</v>
      </c>
      <c r="D483" t="inlineStr">
        <is>
          <t>SÖDERMANLANDS LÄN</t>
        </is>
      </c>
      <c r="E483" t="inlineStr">
        <is>
          <t>KATRINEHOLM</t>
        </is>
      </c>
      <c r="G483" t="n">
        <v>2.7</v>
      </c>
      <c r="H483" t="n">
        <v>0</v>
      </c>
      <c r="I483" t="n">
        <v>0</v>
      </c>
      <c r="J483" t="n">
        <v>0</v>
      </c>
      <c r="K483" t="n">
        <v>0</v>
      </c>
      <c r="L483" t="n">
        <v>0</v>
      </c>
      <c r="M483" t="n">
        <v>0</v>
      </c>
      <c r="N483" t="n">
        <v>0</v>
      </c>
      <c r="O483" t="n">
        <v>0</v>
      </c>
      <c r="P483" t="n">
        <v>0</v>
      </c>
      <c r="Q483" t="n">
        <v>0</v>
      </c>
      <c r="R483" s="2" t="inlineStr"/>
    </row>
    <row r="484" ht="15" customHeight="1">
      <c r="A484" t="inlineStr">
        <is>
          <t>A 59477-2021</t>
        </is>
      </c>
      <c r="B484" s="1" t="n">
        <v>44491</v>
      </c>
      <c r="C484" s="1" t="n">
        <v>45705</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60537-2021</t>
        </is>
      </c>
      <c r="B485" s="1" t="n">
        <v>44496</v>
      </c>
      <c r="C485" s="1" t="n">
        <v>45705</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60596-2021</t>
        </is>
      </c>
      <c r="B486" s="1" t="n">
        <v>44496</v>
      </c>
      <c r="C486" s="1" t="n">
        <v>45705</v>
      </c>
      <c r="D486" t="inlineStr">
        <is>
          <t>SÖDERMANLANDS LÄN</t>
        </is>
      </c>
      <c r="E486" t="inlineStr">
        <is>
          <t>KATRINEHOLM</t>
        </is>
      </c>
      <c r="G486" t="n">
        <v>1.5</v>
      </c>
      <c r="H486" t="n">
        <v>0</v>
      </c>
      <c r="I486" t="n">
        <v>0</v>
      </c>
      <c r="J486" t="n">
        <v>0</v>
      </c>
      <c r="K486" t="n">
        <v>0</v>
      </c>
      <c r="L486" t="n">
        <v>0</v>
      </c>
      <c r="M486" t="n">
        <v>0</v>
      </c>
      <c r="N486" t="n">
        <v>0</v>
      </c>
      <c r="O486" t="n">
        <v>0</v>
      </c>
      <c r="P486" t="n">
        <v>0</v>
      </c>
      <c r="Q486" t="n">
        <v>0</v>
      </c>
      <c r="R486" s="2" t="inlineStr"/>
    </row>
    <row r="487" ht="15" customHeight="1">
      <c r="A487" t="inlineStr">
        <is>
          <t>A 60515-2021</t>
        </is>
      </c>
      <c r="B487" s="1" t="n">
        <v>44496</v>
      </c>
      <c r="C487" s="1" t="n">
        <v>45705</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60478-2021</t>
        </is>
      </c>
      <c r="B488" s="1" t="n">
        <v>44496</v>
      </c>
      <c r="C488" s="1" t="n">
        <v>45705</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60501-2021</t>
        </is>
      </c>
      <c r="B489" s="1" t="n">
        <v>44496</v>
      </c>
      <c r="C489" s="1" t="n">
        <v>45705</v>
      </c>
      <c r="D489" t="inlineStr">
        <is>
          <t>SÖDERMANLANDS LÄN</t>
        </is>
      </c>
      <c r="E489" t="inlineStr">
        <is>
          <t>KATRINEHOLM</t>
        </is>
      </c>
      <c r="G489" t="n">
        <v>2.2</v>
      </c>
      <c r="H489" t="n">
        <v>0</v>
      </c>
      <c r="I489" t="n">
        <v>0</v>
      </c>
      <c r="J489" t="n">
        <v>0</v>
      </c>
      <c r="K489" t="n">
        <v>0</v>
      </c>
      <c r="L489" t="n">
        <v>0</v>
      </c>
      <c r="M489" t="n">
        <v>0</v>
      </c>
      <c r="N489" t="n">
        <v>0</v>
      </c>
      <c r="O489" t="n">
        <v>0</v>
      </c>
      <c r="P489" t="n">
        <v>0</v>
      </c>
      <c r="Q489" t="n">
        <v>0</v>
      </c>
      <c r="R489" s="2" t="inlineStr"/>
    </row>
    <row r="490" ht="15" customHeight="1">
      <c r="A490" t="inlineStr">
        <is>
          <t>A 61236-2021</t>
        </is>
      </c>
      <c r="B490" s="1" t="n">
        <v>44498</v>
      </c>
      <c r="C490" s="1" t="n">
        <v>45705</v>
      </c>
      <c r="D490" t="inlineStr">
        <is>
          <t>SÖDERMANLANDS LÄN</t>
        </is>
      </c>
      <c r="E490" t="inlineStr">
        <is>
          <t>KATRINEHOLM</t>
        </is>
      </c>
      <c r="G490" t="n">
        <v>3.9</v>
      </c>
      <c r="H490" t="n">
        <v>0</v>
      </c>
      <c r="I490" t="n">
        <v>0</v>
      </c>
      <c r="J490" t="n">
        <v>0</v>
      </c>
      <c r="K490" t="n">
        <v>0</v>
      </c>
      <c r="L490" t="n">
        <v>0</v>
      </c>
      <c r="M490" t="n">
        <v>0</v>
      </c>
      <c r="N490" t="n">
        <v>0</v>
      </c>
      <c r="O490" t="n">
        <v>0</v>
      </c>
      <c r="P490" t="n">
        <v>0</v>
      </c>
      <c r="Q490" t="n">
        <v>0</v>
      </c>
      <c r="R490" s="2" t="inlineStr"/>
    </row>
    <row r="491" ht="15" customHeight="1">
      <c r="A491" t="inlineStr">
        <is>
          <t>A 61219-2021</t>
        </is>
      </c>
      <c r="B491" s="1" t="n">
        <v>44498</v>
      </c>
      <c r="C491" s="1" t="n">
        <v>45705</v>
      </c>
      <c r="D491" t="inlineStr">
        <is>
          <t>SÖDERMANLANDS LÄN</t>
        </is>
      </c>
      <c r="E491" t="inlineStr">
        <is>
          <t>KATRINEHOLM</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61915-2021</t>
        </is>
      </c>
      <c r="B492" s="1" t="n">
        <v>44502</v>
      </c>
      <c r="C492" s="1" t="n">
        <v>45705</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v>
      </c>
      <c r="C493" s="1" t="n">
        <v>45705</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62894-2021</t>
        </is>
      </c>
      <c r="B494" s="1" t="n">
        <v>44504</v>
      </c>
      <c r="C494" s="1" t="n">
        <v>45705</v>
      </c>
      <c r="D494" t="inlineStr">
        <is>
          <t>SÖDERMANLANDS LÄN</t>
        </is>
      </c>
      <c r="E494" t="inlineStr">
        <is>
          <t>KATRINEHOLM</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62912-2021</t>
        </is>
      </c>
      <c r="B495" s="1" t="n">
        <v>44504</v>
      </c>
      <c r="C495" s="1" t="n">
        <v>45705</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63188-2021</t>
        </is>
      </c>
      <c r="B496" s="1" t="n">
        <v>44507</v>
      </c>
      <c r="C496" s="1" t="n">
        <v>45705</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63473-2021</t>
        </is>
      </c>
      <c r="B497" s="1" t="n">
        <v>44508</v>
      </c>
      <c r="C497" s="1" t="n">
        <v>45705</v>
      </c>
      <c r="D497" t="inlineStr">
        <is>
          <t>SÖDERMANLANDS LÄN</t>
        </is>
      </c>
      <c r="E497" t="inlineStr">
        <is>
          <t>KATRINEHOLM</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63943-2021</t>
        </is>
      </c>
      <c r="B498" s="1" t="n">
        <v>44509</v>
      </c>
      <c r="C498" s="1" t="n">
        <v>45705</v>
      </c>
      <c r="D498" t="inlineStr">
        <is>
          <t>SÖDERMANLANDS LÄN</t>
        </is>
      </c>
      <c r="E498" t="inlineStr">
        <is>
          <t>KATRINEHOLM</t>
        </is>
      </c>
      <c r="G498" t="n">
        <v>3</v>
      </c>
      <c r="H498" t="n">
        <v>0</v>
      </c>
      <c r="I498" t="n">
        <v>0</v>
      </c>
      <c r="J498" t="n">
        <v>0</v>
      </c>
      <c r="K498" t="n">
        <v>0</v>
      </c>
      <c r="L498" t="n">
        <v>0</v>
      </c>
      <c r="M498" t="n">
        <v>0</v>
      </c>
      <c r="N498" t="n">
        <v>0</v>
      </c>
      <c r="O498" t="n">
        <v>0</v>
      </c>
      <c r="P498" t="n">
        <v>0</v>
      </c>
      <c r="Q498" t="n">
        <v>0</v>
      </c>
      <c r="R498" s="2" t="inlineStr"/>
    </row>
    <row r="499" ht="15" customHeight="1">
      <c r="A499" t="inlineStr">
        <is>
          <t>A 63648-2021</t>
        </is>
      </c>
      <c r="B499" s="1" t="n">
        <v>44509</v>
      </c>
      <c r="C499" s="1" t="n">
        <v>45705</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64261-2021</t>
        </is>
      </c>
      <c r="B500" s="1" t="n">
        <v>44510</v>
      </c>
      <c r="C500" s="1" t="n">
        <v>45705</v>
      </c>
      <c r="D500" t="inlineStr">
        <is>
          <t>SÖDERMANLANDS LÄN</t>
        </is>
      </c>
      <c r="E500" t="inlineStr">
        <is>
          <t>KATRINEHOLM</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65188-2021</t>
        </is>
      </c>
      <c r="B501" s="1" t="n">
        <v>44512</v>
      </c>
      <c r="C501" s="1" t="n">
        <v>45705</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65162-2021</t>
        </is>
      </c>
      <c r="B502" s="1" t="n">
        <v>44512</v>
      </c>
      <c r="C502" s="1" t="n">
        <v>45705</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65589-2021</t>
        </is>
      </c>
      <c r="B503" s="1" t="n">
        <v>44515</v>
      </c>
      <c r="C503" s="1" t="n">
        <v>45705</v>
      </c>
      <c r="D503" t="inlineStr">
        <is>
          <t>SÖDERMANLANDS LÄN</t>
        </is>
      </c>
      <c r="E503" t="inlineStr">
        <is>
          <t>KATRINEHOLM</t>
        </is>
      </c>
      <c r="G503" t="n">
        <v>2.6</v>
      </c>
      <c r="H503" t="n">
        <v>0</v>
      </c>
      <c r="I503" t="n">
        <v>0</v>
      </c>
      <c r="J503" t="n">
        <v>0</v>
      </c>
      <c r="K503" t="n">
        <v>0</v>
      </c>
      <c r="L503" t="n">
        <v>0</v>
      </c>
      <c r="M503" t="n">
        <v>0</v>
      </c>
      <c r="N503" t="n">
        <v>0</v>
      </c>
      <c r="O503" t="n">
        <v>0</v>
      </c>
      <c r="P503" t="n">
        <v>0</v>
      </c>
      <c r="Q503" t="n">
        <v>0</v>
      </c>
      <c r="R503" s="2" t="inlineStr"/>
    </row>
    <row r="504" ht="15" customHeight="1">
      <c r="A504" t="inlineStr">
        <is>
          <t>A 66097-2021</t>
        </is>
      </c>
      <c r="B504" s="1" t="n">
        <v>44517</v>
      </c>
      <c r="C504" s="1" t="n">
        <v>45705</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66393-2021</t>
        </is>
      </c>
      <c r="B505" s="1" t="n">
        <v>44518</v>
      </c>
      <c r="C505" s="1" t="n">
        <v>45705</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66540-2021</t>
        </is>
      </c>
      <c r="B506" s="1" t="n">
        <v>44519</v>
      </c>
      <c r="C506" s="1" t="n">
        <v>45705</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66655-2021</t>
        </is>
      </c>
      <c r="B507" s="1" t="n">
        <v>44519</v>
      </c>
      <c r="C507" s="1" t="n">
        <v>45705</v>
      </c>
      <c r="D507" t="inlineStr">
        <is>
          <t>SÖDERMANLANDS LÄN</t>
        </is>
      </c>
      <c r="E507" t="inlineStr">
        <is>
          <t>KATRINEHOLM</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66801-2021</t>
        </is>
      </c>
      <c r="B508" s="1" t="n">
        <v>44522</v>
      </c>
      <c r="C508" s="1" t="n">
        <v>45705</v>
      </c>
      <c r="D508" t="inlineStr">
        <is>
          <t>SÖDERMANLANDS LÄN</t>
        </is>
      </c>
      <c r="E508" t="inlineStr">
        <is>
          <t>KATRINEHOLM</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67337-2021</t>
        </is>
      </c>
      <c r="B509" s="1" t="n">
        <v>44523</v>
      </c>
      <c r="C509" s="1" t="n">
        <v>45705</v>
      </c>
      <c r="D509" t="inlineStr">
        <is>
          <t>SÖDERMANLANDS LÄN</t>
        </is>
      </c>
      <c r="E509" t="inlineStr">
        <is>
          <t>KATRINEHOLM</t>
        </is>
      </c>
      <c r="G509" t="n">
        <v>5.2</v>
      </c>
      <c r="H509" t="n">
        <v>0</v>
      </c>
      <c r="I509" t="n">
        <v>0</v>
      </c>
      <c r="J509" t="n">
        <v>0</v>
      </c>
      <c r="K509" t="n">
        <v>0</v>
      </c>
      <c r="L509" t="n">
        <v>0</v>
      </c>
      <c r="M509" t="n">
        <v>0</v>
      </c>
      <c r="N509" t="n">
        <v>0</v>
      </c>
      <c r="O509" t="n">
        <v>0</v>
      </c>
      <c r="P509" t="n">
        <v>0</v>
      </c>
      <c r="Q509" t="n">
        <v>0</v>
      </c>
      <c r="R509" s="2" t="inlineStr"/>
    </row>
    <row r="510" ht="15" customHeight="1">
      <c r="A510" t="inlineStr">
        <is>
          <t>A 67351-2021</t>
        </is>
      </c>
      <c r="B510" s="1" t="n">
        <v>44523</v>
      </c>
      <c r="C510" s="1" t="n">
        <v>45705</v>
      </c>
      <c r="D510" t="inlineStr">
        <is>
          <t>SÖDERMANLANDS LÄN</t>
        </is>
      </c>
      <c r="E510" t="inlineStr">
        <is>
          <t>KATRINEHOLM</t>
        </is>
      </c>
      <c r="G510" t="n">
        <v>5.4</v>
      </c>
      <c r="H510" t="n">
        <v>0</v>
      </c>
      <c r="I510" t="n">
        <v>0</v>
      </c>
      <c r="J510" t="n">
        <v>0</v>
      </c>
      <c r="K510" t="n">
        <v>0</v>
      </c>
      <c r="L510" t="n">
        <v>0</v>
      </c>
      <c r="M510" t="n">
        <v>0</v>
      </c>
      <c r="N510" t="n">
        <v>0</v>
      </c>
      <c r="O510" t="n">
        <v>0</v>
      </c>
      <c r="P510" t="n">
        <v>0</v>
      </c>
      <c r="Q510" t="n">
        <v>0</v>
      </c>
      <c r="R510" s="2" t="inlineStr"/>
    </row>
    <row r="511" ht="15" customHeight="1">
      <c r="A511" t="inlineStr">
        <is>
          <t>A 68206-2021</t>
        </is>
      </c>
      <c r="B511" s="1" t="n">
        <v>44526</v>
      </c>
      <c r="C511" s="1" t="n">
        <v>45705</v>
      </c>
      <c r="D511" t="inlineStr">
        <is>
          <t>SÖDERMANLANDS LÄN</t>
        </is>
      </c>
      <c r="E511" t="inlineStr">
        <is>
          <t>KATRINEHOLM</t>
        </is>
      </c>
      <c r="G511" t="n">
        <v>2.9</v>
      </c>
      <c r="H511" t="n">
        <v>0</v>
      </c>
      <c r="I511" t="n">
        <v>0</v>
      </c>
      <c r="J511" t="n">
        <v>0</v>
      </c>
      <c r="K511" t="n">
        <v>0</v>
      </c>
      <c r="L511" t="n">
        <v>0</v>
      </c>
      <c r="M511" t="n">
        <v>0</v>
      </c>
      <c r="N511" t="n">
        <v>0</v>
      </c>
      <c r="O511" t="n">
        <v>0</v>
      </c>
      <c r="P511" t="n">
        <v>0</v>
      </c>
      <c r="Q511" t="n">
        <v>0</v>
      </c>
      <c r="R511" s="2" t="inlineStr"/>
    </row>
    <row r="512" ht="15" customHeight="1">
      <c r="A512" t="inlineStr">
        <is>
          <t>A 69117-2021</t>
        </is>
      </c>
      <c r="B512" s="1" t="n">
        <v>44530</v>
      </c>
      <c r="C512" s="1" t="n">
        <v>45705</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69429-2021</t>
        </is>
      </c>
      <c r="B513" s="1" t="n">
        <v>44531</v>
      </c>
      <c r="C513" s="1" t="n">
        <v>45705</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70422-2021</t>
        </is>
      </c>
      <c r="B514" s="1" t="n">
        <v>44536</v>
      </c>
      <c r="C514" s="1" t="n">
        <v>45705</v>
      </c>
      <c r="D514" t="inlineStr">
        <is>
          <t>SÖDERMANLANDS LÄN</t>
        </is>
      </c>
      <c r="E514" t="inlineStr">
        <is>
          <t>KATRINEHOLM</t>
        </is>
      </c>
      <c r="G514" t="n">
        <v>3.5</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45705</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71129-2021</t>
        </is>
      </c>
      <c r="B516" s="1" t="n">
        <v>44539</v>
      </c>
      <c r="C516" s="1" t="n">
        <v>45705</v>
      </c>
      <c r="D516" t="inlineStr">
        <is>
          <t>SÖDERMANLANDS LÄN</t>
        </is>
      </c>
      <c r="E516" t="inlineStr">
        <is>
          <t>KATRINEHOLM</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71177-2021</t>
        </is>
      </c>
      <c r="B517" s="1" t="n">
        <v>44539</v>
      </c>
      <c r="C517" s="1" t="n">
        <v>45705</v>
      </c>
      <c r="D517" t="inlineStr">
        <is>
          <t>SÖDERMANLANDS LÄN</t>
        </is>
      </c>
      <c r="E517" t="inlineStr">
        <is>
          <t>KATRINEHOLM</t>
        </is>
      </c>
      <c r="G517" t="n">
        <v>3.9</v>
      </c>
      <c r="H517" t="n">
        <v>0</v>
      </c>
      <c r="I517" t="n">
        <v>0</v>
      </c>
      <c r="J517" t="n">
        <v>0</v>
      </c>
      <c r="K517" t="n">
        <v>0</v>
      </c>
      <c r="L517" t="n">
        <v>0</v>
      </c>
      <c r="M517" t="n">
        <v>0</v>
      </c>
      <c r="N517" t="n">
        <v>0</v>
      </c>
      <c r="O517" t="n">
        <v>0</v>
      </c>
      <c r="P517" t="n">
        <v>0</v>
      </c>
      <c r="Q517" t="n">
        <v>0</v>
      </c>
      <c r="R517" s="2" t="inlineStr"/>
    </row>
    <row r="518" ht="15" customHeight="1">
      <c r="A518" t="inlineStr">
        <is>
          <t>A 72822-2021</t>
        </is>
      </c>
      <c r="B518" s="1" t="n">
        <v>44546</v>
      </c>
      <c r="C518" s="1" t="n">
        <v>45705</v>
      </c>
      <c r="D518" t="inlineStr">
        <is>
          <t>SÖDERMANLANDS LÄN</t>
        </is>
      </c>
      <c r="E518" t="inlineStr">
        <is>
          <t>KATRINEHOLM</t>
        </is>
      </c>
      <c r="G518" t="n">
        <v>6.3</v>
      </c>
      <c r="H518" t="n">
        <v>0</v>
      </c>
      <c r="I518" t="n">
        <v>0</v>
      </c>
      <c r="J518" t="n">
        <v>0</v>
      </c>
      <c r="K518" t="n">
        <v>0</v>
      </c>
      <c r="L518" t="n">
        <v>0</v>
      </c>
      <c r="M518" t="n">
        <v>0</v>
      </c>
      <c r="N518" t="n">
        <v>0</v>
      </c>
      <c r="O518" t="n">
        <v>0</v>
      </c>
      <c r="P518" t="n">
        <v>0</v>
      </c>
      <c r="Q518" t="n">
        <v>0</v>
      </c>
      <c r="R518" s="2" t="inlineStr"/>
    </row>
    <row r="519" ht="15" customHeight="1">
      <c r="A519" t="inlineStr">
        <is>
          <t>A 72984-2021</t>
        </is>
      </c>
      <c r="B519" s="1" t="n">
        <v>44549</v>
      </c>
      <c r="C519" s="1" t="n">
        <v>45705</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73142-2021</t>
        </is>
      </c>
      <c r="B520" s="1" t="n">
        <v>44550</v>
      </c>
      <c r="C520" s="1" t="n">
        <v>45705</v>
      </c>
      <c r="D520" t="inlineStr">
        <is>
          <t>SÖDERMANLANDS LÄN</t>
        </is>
      </c>
      <c r="E520" t="inlineStr">
        <is>
          <t>KATRINEHOLM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73412-2021</t>
        </is>
      </c>
      <c r="B521" s="1" t="n">
        <v>44551</v>
      </c>
      <c r="C521" s="1" t="n">
        <v>45705</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73361-2021</t>
        </is>
      </c>
      <c r="B522" s="1" t="n">
        <v>44551</v>
      </c>
      <c r="C522" s="1" t="n">
        <v>45705</v>
      </c>
      <c r="D522" t="inlineStr">
        <is>
          <t>SÖDERMANLANDS LÄN</t>
        </is>
      </c>
      <c r="E522" t="inlineStr">
        <is>
          <t>KATRINEHOLM</t>
        </is>
      </c>
      <c r="G522" t="n">
        <v>1.9</v>
      </c>
      <c r="H522" t="n">
        <v>0</v>
      </c>
      <c r="I522" t="n">
        <v>0</v>
      </c>
      <c r="J522" t="n">
        <v>0</v>
      </c>
      <c r="K522" t="n">
        <v>0</v>
      </c>
      <c r="L522" t="n">
        <v>0</v>
      </c>
      <c r="M522" t="n">
        <v>0</v>
      </c>
      <c r="N522" t="n">
        <v>0</v>
      </c>
      <c r="O522" t="n">
        <v>0</v>
      </c>
      <c r="P522" t="n">
        <v>0</v>
      </c>
      <c r="Q522" t="n">
        <v>0</v>
      </c>
      <c r="R522" s="2" t="inlineStr"/>
    </row>
    <row r="523" ht="15" customHeight="1">
      <c r="A523" t="inlineStr">
        <is>
          <t>A 73407-2021</t>
        </is>
      </c>
      <c r="B523" s="1" t="n">
        <v>44551</v>
      </c>
      <c r="C523" s="1" t="n">
        <v>45705</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73415-2021</t>
        </is>
      </c>
      <c r="B524" s="1" t="n">
        <v>44551</v>
      </c>
      <c r="C524" s="1" t="n">
        <v>45705</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73409-2021</t>
        </is>
      </c>
      <c r="B525" s="1" t="n">
        <v>44551</v>
      </c>
      <c r="C525" s="1" t="n">
        <v>45705</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73929-2021</t>
        </is>
      </c>
      <c r="B526" s="1" t="n">
        <v>44553</v>
      </c>
      <c r="C526" s="1" t="n">
        <v>45705</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73987-2021</t>
        </is>
      </c>
      <c r="B527" s="1" t="n">
        <v>44556</v>
      </c>
      <c r="C527" s="1" t="n">
        <v>45705</v>
      </c>
      <c r="D527" t="inlineStr">
        <is>
          <t>SÖDERMANLANDS LÄN</t>
        </is>
      </c>
      <c r="E527" t="inlineStr">
        <is>
          <t>KATRINEHOLM</t>
        </is>
      </c>
      <c r="G527" t="n">
        <v>10.2</v>
      </c>
      <c r="H527" t="n">
        <v>0</v>
      </c>
      <c r="I527" t="n">
        <v>0</v>
      </c>
      <c r="J527" t="n">
        <v>0</v>
      </c>
      <c r="K527" t="n">
        <v>0</v>
      </c>
      <c r="L527" t="n">
        <v>0</v>
      </c>
      <c r="M527" t="n">
        <v>0</v>
      </c>
      <c r="N527" t="n">
        <v>0</v>
      </c>
      <c r="O527" t="n">
        <v>0</v>
      </c>
      <c r="P527" t="n">
        <v>0</v>
      </c>
      <c r="Q527" t="n">
        <v>0</v>
      </c>
      <c r="R527" s="2" t="inlineStr"/>
    </row>
    <row r="528" ht="15" customHeight="1">
      <c r="A528" t="inlineStr">
        <is>
          <t>A 250-2022</t>
        </is>
      </c>
      <c r="B528" s="1" t="n">
        <v>44565</v>
      </c>
      <c r="C528" s="1" t="n">
        <v>45705</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272-2022</t>
        </is>
      </c>
      <c r="B529" s="1" t="n">
        <v>44565</v>
      </c>
      <c r="C529" s="1" t="n">
        <v>45705</v>
      </c>
      <c r="D529" t="inlineStr">
        <is>
          <t>SÖDERMANLANDS LÄN</t>
        </is>
      </c>
      <c r="E529" t="inlineStr">
        <is>
          <t>KATRINEHOLM</t>
        </is>
      </c>
      <c r="G529" t="n">
        <v>5.7</v>
      </c>
      <c r="H529" t="n">
        <v>0</v>
      </c>
      <c r="I529" t="n">
        <v>0</v>
      </c>
      <c r="J529" t="n">
        <v>0</v>
      </c>
      <c r="K529" t="n">
        <v>0</v>
      </c>
      <c r="L529" t="n">
        <v>0</v>
      </c>
      <c r="M529" t="n">
        <v>0</v>
      </c>
      <c r="N529" t="n">
        <v>0</v>
      </c>
      <c r="O529" t="n">
        <v>0</v>
      </c>
      <c r="P529" t="n">
        <v>0</v>
      </c>
      <c r="Q529" t="n">
        <v>0</v>
      </c>
      <c r="R529" s="2" t="inlineStr"/>
    </row>
    <row r="530" ht="15" customHeight="1">
      <c r="A530" t="inlineStr">
        <is>
          <t>A 398-2022</t>
        </is>
      </c>
      <c r="B530" s="1" t="n">
        <v>44565</v>
      </c>
      <c r="C530" s="1" t="n">
        <v>45705</v>
      </c>
      <c r="D530" t="inlineStr">
        <is>
          <t>SÖDERMANLANDS LÄN</t>
        </is>
      </c>
      <c r="E530" t="inlineStr">
        <is>
          <t>KATRINEHOLM</t>
        </is>
      </c>
      <c r="G530" t="n">
        <v>6.2</v>
      </c>
      <c r="H530" t="n">
        <v>0</v>
      </c>
      <c r="I530" t="n">
        <v>0</v>
      </c>
      <c r="J530" t="n">
        <v>0</v>
      </c>
      <c r="K530" t="n">
        <v>0</v>
      </c>
      <c r="L530" t="n">
        <v>0</v>
      </c>
      <c r="M530" t="n">
        <v>0</v>
      </c>
      <c r="N530" t="n">
        <v>0</v>
      </c>
      <c r="O530" t="n">
        <v>0</v>
      </c>
      <c r="P530" t="n">
        <v>0</v>
      </c>
      <c r="Q530" t="n">
        <v>0</v>
      </c>
      <c r="R530" s="2" t="inlineStr"/>
    </row>
    <row r="531" ht="15" customHeight="1">
      <c r="A531" t="inlineStr">
        <is>
          <t>A 912-2022</t>
        </is>
      </c>
      <c r="B531" s="1" t="n">
        <v>44571</v>
      </c>
      <c r="C531" s="1" t="n">
        <v>45705</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1701-2022</t>
        </is>
      </c>
      <c r="B532" s="1" t="n">
        <v>44574</v>
      </c>
      <c r="C532" s="1" t="n">
        <v>45705</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1721-2022</t>
        </is>
      </c>
      <c r="B533" s="1" t="n">
        <v>44574</v>
      </c>
      <c r="C533" s="1" t="n">
        <v>45705</v>
      </c>
      <c r="D533" t="inlineStr">
        <is>
          <t>SÖDERMANLANDS LÄN</t>
        </is>
      </c>
      <c r="E533" t="inlineStr">
        <is>
          <t>KATRINEHOLM</t>
        </is>
      </c>
      <c r="G533" t="n">
        <v>4.2</v>
      </c>
      <c r="H533" t="n">
        <v>0</v>
      </c>
      <c r="I533" t="n">
        <v>0</v>
      </c>
      <c r="J533" t="n">
        <v>0</v>
      </c>
      <c r="K533" t="n">
        <v>0</v>
      </c>
      <c r="L533" t="n">
        <v>0</v>
      </c>
      <c r="M533" t="n">
        <v>0</v>
      </c>
      <c r="N533" t="n">
        <v>0</v>
      </c>
      <c r="O533" t="n">
        <v>0</v>
      </c>
      <c r="P533" t="n">
        <v>0</v>
      </c>
      <c r="Q533" t="n">
        <v>0</v>
      </c>
      <c r="R533" s="2" t="inlineStr"/>
    </row>
    <row r="534" ht="15" customHeight="1">
      <c r="A534" t="inlineStr">
        <is>
          <t>A 2289-2022</t>
        </is>
      </c>
      <c r="B534" s="1" t="n">
        <v>44578</v>
      </c>
      <c r="C534" s="1" t="n">
        <v>45705</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2636-2022</t>
        </is>
      </c>
      <c r="B535" s="1" t="n">
        <v>44580</v>
      </c>
      <c r="C535" s="1" t="n">
        <v>45705</v>
      </c>
      <c r="D535" t="inlineStr">
        <is>
          <t>SÖDERMANLANDS LÄN</t>
        </is>
      </c>
      <c r="E535" t="inlineStr">
        <is>
          <t>KATRINEHOLM</t>
        </is>
      </c>
      <c r="F535" t="inlineStr">
        <is>
          <t>Övriga Aktiebolag</t>
        </is>
      </c>
      <c r="G535" t="n">
        <v>2.5</v>
      </c>
      <c r="H535" t="n">
        <v>0</v>
      </c>
      <c r="I535" t="n">
        <v>0</v>
      </c>
      <c r="J535" t="n">
        <v>0</v>
      </c>
      <c r="K535" t="n">
        <v>0</v>
      </c>
      <c r="L535" t="n">
        <v>0</v>
      </c>
      <c r="M535" t="n">
        <v>0</v>
      </c>
      <c r="N535" t="n">
        <v>0</v>
      </c>
      <c r="O535" t="n">
        <v>0</v>
      </c>
      <c r="P535" t="n">
        <v>0</v>
      </c>
      <c r="Q535" t="n">
        <v>0</v>
      </c>
      <c r="R535" s="2" t="inlineStr"/>
    </row>
    <row r="536" ht="15" customHeight="1">
      <c r="A536" t="inlineStr">
        <is>
          <t>A 2877-2022</t>
        </is>
      </c>
      <c r="B536" s="1" t="n">
        <v>44581</v>
      </c>
      <c r="C536" s="1" t="n">
        <v>45705</v>
      </c>
      <c r="D536" t="inlineStr">
        <is>
          <t>SÖDERMANLANDS LÄN</t>
        </is>
      </c>
      <c r="E536" t="inlineStr">
        <is>
          <t>KATRINEHOLM</t>
        </is>
      </c>
      <c r="G536" t="n">
        <v>10.3</v>
      </c>
      <c r="H536" t="n">
        <v>0</v>
      </c>
      <c r="I536" t="n">
        <v>0</v>
      </c>
      <c r="J536" t="n">
        <v>0</v>
      </c>
      <c r="K536" t="n">
        <v>0</v>
      </c>
      <c r="L536" t="n">
        <v>0</v>
      </c>
      <c r="M536" t="n">
        <v>0</v>
      </c>
      <c r="N536" t="n">
        <v>0</v>
      </c>
      <c r="O536" t="n">
        <v>0</v>
      </c>
      <c r="P536" t="n">
        <v>0</v>
      </c>
      <c r="Q536" t="n">
        <v>0</v>
      </c>
      <c r="R536" s="2" t="inlineStr"/>
    </row>
    <row r="537" ht="15" customHeight="1">
      <c r="A537" t="inlineStr">
        <is>
          <t>A 2884-2022</t>
        </is>
      </c>
      <c r="B537" s="1" t="n">
        <v>44581</v>
      </c>
      <c r="C537" s="1" t="n">
        <v>45705</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v>
      </c>
      <c r="C538" s="1" t="n">
        <v>45705</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3075-2022</t>
        </is>
      </c>
      <c r="B539" s="1" t="n">
        <v>44582</v>
      </c>
      <c r="C539" s="1" t="n">
        <v>45705</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3572-2022</t>
        </is>
      </c>
      <c r="B540" s="1" t="n">
        <v>44585</v>
      </c>
      <c r="C540" s="1" t="n">
        <v>45705</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3939-2022</t>
        </is>
      </c>
      <c r="B541" s="1" t="n">
        <v>44587</v>
      </c>
      <c r="C541" s="1" t="n">
        <v>45705</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5547-2022</t>
        </is>
      </c>
      <c r="B542" s="1" t="n">
        <v>44595</v>
      </c>
      <c r="C542" s="1" t="n">
        <v>45705</v>
      </c>
      <c r="D542" t="inlineStr">
        <is>
          <t>SÖDERMANLANDS LÄN</t>
        </is>
      </c>
      <c r="E542" t="inlineStr">
        <is>
          <t>KATRINEHOLM</t>
        </is>
      </c>
      <c r="G542" t="n">
        <v>6.8</v>
      </c>
      <c r="H542" t="n">
        <v>0</v>
      </c>
      <c r="I542" t="n">
        <v>0</v>
      </c>
      <c r="J542" t="n">
        <v>0</v>
      </c>
      <c r="K542" t="n">
        <v>0</v>
      </c>
      <c r="L542" t="n">
        <v>0</v>
      </c>
      <c r="M542" t="n">
        <v>0</v>
      </c>
      <c r="N542" t="n">
        <v>0</v>
      </c>
      <c r="O542" t="n">
        <v>0</v>
      </c>
      <c r="P542" t="n">
        <v>0</v>
      </c>
      <c r="Q542" t="n">
        <v>0</v>
      </c>
      <c r="R542" s="2" t="inlineStr"/>
    </row>
    <row r="543" ht="15" customHeight="1">
      <c r="A543" t="inlineStr">
        <is>
          <t>A 5790-2022</t>
        </is>
      </c>
      <c r="B543" s="1" t="n">
        <v>44596</v>
      </c>
      <c r="C543" s="1" t="n">
        <v>45705</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5788-2022</t>
        </is>
      </c>
      <c r="B544" s="1" t="n">
        <v>44596</v>
      </c>
      <c r="C544" s="1" t="n">
        <v>45705</v>
      </c>
      <c r="D544" t="inlineStr">
        <is>
          <t>SÖDERMANLANDS LÄN</t>
        </is>
      </c>
      <c r="E544" t="inlineStr">
        <is>
          <t>KATRINEHOLM</t>
        </is>
      </c>
      <c r="G544" t="n">
        <v>4.1</v>
      </c>
      <c r="H544" t="n">
        <v>0</v>
      </c>
      <c r="I544" t="n">
        <v>0</v>
      </c>
      <c r="J544" t="n">
        <v>0</v>
      </c>
      <c r="K544" t="n">
        <v>0</v>
      </c>
      <c r="L544" t="n">
        <v>0</v>
      </c>
      <c r="M544" t="n">
        <v>0</v>
      </c>
      <c r="N544" t="n">
        <v>0</v>
      </c>
      <c r="O544" t="n">
        <v>0</v>
      </c>
      <c r="P544" t="n">
        <v>0</v>
      </c>
      <c r="Q544" t="n">
        <v>0</v>
      </c>
      <c r="R544" s="2" t="inlineStr"/>
    </row>
    <row r="545" ht="15" customHeight="1">
      <c r="A545" t="inlineStr">
        <is>
          <t>A 5795-2022</t>
        </is>
      </c>
      <c r="B545" s="1" t="n">
        <v>44596</v>
      </c>
      <c r="C545" s="1" t="n">
        <v>45705</v>
      </c>
      <c r="D545" t="inlineStr">
        <is>
          <t>SÖDERMANLANDS LÄN</t>
        </is>
      </c>
      <c r="E545" t="inlineStr">
        <is>
          <t>KATRINEHOLM</t>
        </is>
      </c>
      <c r="G545" t="n">
        <v>8.1</v>
      </c>
      <c r="H545" t="n">
        <v>0</v>
      </c>
      <c r="I545" t="n">
        <v>0</v>
      </c>
      <c r="J545" t="n">
        <v>0</v>
      </c>
      <c r="K545" t="n">
        <v>0</v>
      </c>
      <c r="L545" t="n">
        <v>0</v>
      </c>
      <c r="M545" t="n">
        <v>0</v>
      </c>
      <c r="N545" t="n">
        <v>0</v>
      </c>
      <c r="O545" t="n">
        <v>0</v>
      </c>
      <c r="P545" t="n">
        <v>0</v>
      </c>
      <c r="Q545" t="n">
        <v>0</v>
      </c>
      <c r="R545" s="2" t="inlineStr"/>
    </row>
    <row r="546" ht="15" customHeight="1">
      <c r="A546" t="inlineStr">
        <is>
          <t>A 6087-2022</t>
        </is>
      </c>
      <c r="B546" s="1" t="n">
        <v>44599</v>
      </c>
      <c r="C546" s="1" t="n">
        <v>45705</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6145-2022</t>
        </is>
      </c>
      <c r="B547" s="1" t="n">
        <v>44599</v>
      </c>
      <c r="C547" s="1" t="n">
        <v>45705</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6446-2022</t>
        </is>
      </c>
      <c r="B548" s="1" t="n">
        <v>44600</v>
      </c>
      <c r="C548" s="1" t="n">
        <v>45705</v>
      </c>
      <c r="D548" t="inlineStr">
        <is>
          <t>SÖDERMANLANDS LÄN</t>
        </is>
      </c>
      <c r="E548" t="inlineStr">
        <is>
          <t>KATRINEHOLM</t>
        </is>
      </c>
      <c r="G548" t="n">
        <v>1.5</v>
      </c>
      <c r="H548" t="n">
        <v>0</v>
      </c>
      <c r="I548" t="n">
        <v>0</v>
      </c>
      <c r="J548" t="n">
        <v>0</v>
      </c>
      <c r="K548" t="n">
        <v>0</v>
      </c>
      <c r="L548" t="n">
        <v>0</v>
      </c>
      <c r="M548" t="n">
        <v>0</v>
      </c>
      <c r="N548" t="n">
        <v>0</v>
      </c>
      <c r="O548" t="n">
        <v>0</v>
      </c>
      <c r="P548" t="n">
        <v>0</v>
      </c>
      <c r="Q548" t="n">
        <v>0</v>
      </c>
      <c r="R548" s="2" t="inlineStr"/>
    </row>
    <row r="549" ht="15" customHeight="1">
      <c r="A549" t="inlineStr">
        <is>
          <t>A 6499-2022</t>
        </is>
      </c>
      <c r="B549" s="1" t="n">
        <v>44601</v>
      </c>
      <c r="C549" s="1" t="n">
        <v>45705</v>
      </c>
      <c r="D549" t="inlineStr">
        <is>
          <t>SÖDERMANLANDS LÄN</t>
        </is>
      </c>
      <c r="E549" t="inlineStr">
        <is>
          <t>KATRINEHOLM</t>
        </is>
      </c>
      <c r="F549" t="inlineStr">
        <is>
          <t>Kyrkan</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6531-2022</t>
        </is>
      </c>
      <c r="B550" s="1" t="n">
        <v>44601</v>
      </c>
      <c r="C550" s="1" t="n">
        <v>45705</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6533-2022</t>
        </is>
      </c>
      <c r="B551" s="1" t="n">
        <v>44601</v>
      </c>
      <c r="C551" s="1" t="n">
        <v>45705</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6628-2022</t>
        </is>
      </c>
      <c r="B552" s="1" t="n">
        <v>44601</v>
      </c>
      <c r="C552" s="1" t="n">
        <v>45705</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6606-2022</t>
        </is>
      </c>
      <c r="B553" s="1" t="n">
        <v>44601</v>
      </c>
      <c r="C553" s="1" t="n">
        <v>45705</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6746-2022</t>
        </is>
      </c>
      <c r="B554" s="1" t="n">
        <v>44602</v>
      </c>
      <c r="C554" s="1" t="n">
        <v>45705</v>
      </c>
      <c r="D554" t="inlineStr">
        <is>
          <t>SÖDERMANLANDS LÄN</t>
        </is>
      </c>
      <c r="E554" t="inlineStr">
        <is>
          <t>KATRINEHOLM</t>
        </is>
      </c>
      <c r="G554" t="n">
        <v>3.6</v>
      </c>
      <c r="H554" t="n">
        <v>0</v>
      </c>
      <c r="I554" t="n">
        <v>0</v>
      </c>
      <c r="J554" t="n">
        <v>0</v>
      </c>
      <c r="K554" t="n">
        <v>0</v>
      </c>
      <c r="L554" t="n">
        <v>0</v>
      </c>
      <c r="M554" t="n">
        <v>0</v>
      </c>
      <c r="N554" t="n">
        <v>0</v>
      </c>
      <c r="O554" t="n">
        <v>0</v>
      </c>
      <c r="P554" t="n">
        <v>0</v>
      </c>
      <c r="Q554" t="n">
        <v>0</v>
      </c>
      <c r="R554" s="2" t="inlineStr"/>
    </row>
    <row r="555" ht="15" customHeight="1">
      <c r="A555" t="inlineStr">
        <is>
          <t>A 6753-2022</t>
        </is>
      </c>
      <c r="B555" s="1" t="n">
        <v>44602</v>
      </c>
      <c r="C555" s="1" t="n">
        <v>45705</v>
      </c>
      <c r="D555" t="inlineStr">
        <is>
          <t>SÖDERMANLANDS LÄN</t>
        </is>
      </c>
      <c r="E555" t="inlineStr">
        <is>
          <t>KATRINEHOLM</t>
        </is>
      </c>
      <c r="G555" t="n">
        <v>4.3</v>
      </c>
      <c r="H555" t="n">
        <v>0</v>
      </c>
      <c r="I555" t="n">
        <v>0</v>
      </c>
      <c r="J555" t="n">
        <v>0</v>
      </c>
      <c r="K555" t="n">
        <v>0</v>
      </c>
      <c r="L555" t="n">
        <v>0</v>
      </c>
      <c r="M555" t="n">
        <v>0</v>
      </c>
      <c r="N555" t="n">
        <v>0</v>
      </c>
      <c r="O555" t="n">
        <v>0</v>
      </c>
      <c r="P555" t="n">
        <v>0</v>
      </c>
      <c r="Q555" t="n">
        <v>0</v>
      </c>
      <c r="R555" s="2" t="inlineStr"/>
    </row>
    <row r="556" ht="15" customHeight="1">
      <c r="A556" t="inlineStr">
        <is>
          <t>A 6763-2022</t>
        </is>
      </c>
      <c r="B556" s="1" t="n">
        <v>44602</v>
      </c>
      <c r="C556" s="1" t="n">
        <v>45705</v>
      </c>
      <c r="D556" t="inlineStr">
        <is>
          <t>SÖDERMANLANDS LÄN</t>
        </is>
      </c>
      <c r="E556" t="inlineStr">
        <is>
          <t>KATRINEHOLM</t>
        </is>
      </c>
      <c r="G556" t="n">
        <v>6.7</v>
      </c>
      <c r="H556" t="n">
        <v>0</v>
      </c>
      <c r="I556" t="n">
        <v>0</v>
      </c>
      <c r="J556" t="n">
        <v>0</v>
      </c>
      <c r="K556" t="n">
        <v>0</v>
      </c>
      <c r="L556" t="n">
        <v>0</v>
      </c>
      <c r="M556" t="n">
        <v>0</v>
      </c>
      <c r="N556" t="n">
        <v>0</v>
      </c>
      <c r="O556" t="n">
        <v>0</v>
      </c>
      <c r="P556" t="n">
        <v>0</v>
      </c>
      <c r="Q556" t="n">
        <v>0</v>
      </c>
      <c r="R556" s="2" t="inlineStr"/>
    </row>
    <row r="557" ht="15" customHeight="1">
      <c r="A557" t="inlineStr">
        <is>
          <t>A 6203-2022</t>
        </is>
      </c>
      <c r="B557" s="1" t="n">
        <v>44602</v>
      </c>
      <c r="C557" s="1" t="n">
        <v>45705</v>
      </c>
      <c r="D557" t="inlineStr">
        <is>
          <t>SÖDERMANLANDS LÄN</t>
        </is>
      </c>
      <c r="E557" t="inlineStr">
        <is>
          <t>KATRINEHOLM</t>
        </is>
      </c>
      <c r="G557" t="n">
        <v>11.5</v>
      </c>
      <c r="H557" t="n">
        <v>0</v>
      </c>
      <c r="I557" t="n">
        <v>0</v>
      </c>
      <c r="J557" t="n">
        <v>0</v>
      </c>
      <c r="K557" t="n">
        <v>0</v>
      </c>
      <c r="L557" t="n">
        <v>0</v>
      </c>
      <c r="M557" t="n">
        <v>0</v>
      </c>
      <c r="N557" t="n">
        <v>0</v>
      </c>
      <c r="O557" t="n">
        <v>0</v>
      </c>
      <c r="P557" t="n">
        <v>0</v>
      </c>
      <c r="Q557" t="n">
        <v>0</v>
      </c>
      <c r="R557" s="2" t="inlineStr"/>
    </row>
    <row r="558" ht="15" customHeight="1">
      <c r="A558" t="inlineStr">
        <is>
          <t>A 6722-2022</t>
        </is>
      </c>
      <c r="B558" s="1" t="n">
        <v>44602</v>
      </c>
      <c r="C558" s="1" t="n">
        <v>45705</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6789-2022</t>
        </is>
      </c>
      <c r="B559" s="1" t="n">
        <v>44602</v>
      </c>
      <c r="C559" s="1" t="n">
        <v>45705</v>
      </c>
      <c r="D559" t="inlineStr">
        <is>
          <t>SÖDERMANLANDS LÄN</t>
        </is>
      </c>
      <c r="E559" t="inlineStr">
        <is>
          <t>KATRINEHOLM</t>
        </is>
      </c>
      <c r="G559" t="n">
        <v>4.6</v>
      </c>
      <c r="H559" t="n">
        <v>0</v>
      </c>
      <c r="I559" t="n">
        <v>0</v>
      </c>
      <c r="J559" t="n">
        <v>0</v>
      </c>
      <c r="K559" t="n">
        <v>0</v>
      </c>
      <c r="L559" t="n">
        <v>0</v>
      </c>
      <c r="M559" t="n">
        <v>0</v>
      </c>
      <c r="N559" t="n">
        <v>0</v>
      </c>
      <c r="O559" t="n">
        <v>0</v>
      </c>
      <c r="P559" t="n">
        <v>0</v>
      </c>
      <c r="Q559" t="n">
        <v>0</v>
      </c>
      <c r="R559" s="2" t="inlineStr"/>
    </row>
    <row r="560" ht="15" customHeight="1">
      <c r="A560" t="inlineStr">
        <is>
          <t>A 6695-2022</t>
        </is>
      </c>
      <c r="B560" s="1" t="n">
        <v>44602</v>
      </c>
      <c r="C560" s="1" t="n">
        <v>45705</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6765-2022</t>
        </is>
      </c>
      <c r="B561" s="1" t="n">
        <v>44602</v>
      </c>
      <c r="C561" s="1" t="n">
        <v>45705</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6796-2022</t>
        </is>
      </c>
      <c r="B562" s="1" t="n">
        <v>44602</v>
      </c>
      <c r="C562" s="1" t="n">
        <v>45705</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6826-2022</t>
        </is>
      </c>
      <c r="B563" s="1" t="n">
        <v>44602</v>
      </c>
      <c r="C563" s="1" t="n">
        <v>45705</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9044-2022</t>
        </is>
      </c>
      <c r="B564" s="1" t="n">
        <v>44602</v>
      </c>
      <c r="C564" s="1" t="n">
        <v>45705</v>
      </c>
      <c r="D564" t="inlineStr">
        <is>
          <t>SÖDERMANLANDS LÄN</t>
        </is>
      </c>
      <c r="E564" t="inlineStr">
        <is>
          <t>KATRINEHOLM</t>
        </is>
      </c>
      <c r="G564" t="n">
        <v>5.8</v>
      </c>
      <c r="H564" t="n">
        <v>0</v>
      </c>
      <c r="I564" t="n">
        <v>0</v>
      </c>
      <c r="J564" t="n">
        <v>0</v>
      </c>
      <c r="K564" t="n">
        <v>0</v>
      </c>
      <c r="L564" t="n">
        <v>0</v>
      </c>
      <c r="M564" t="n">
        <v>0</v>
      </c>
      <c r="N564" t="n">
        <v>0</v>
      </c>
      <c r="O564" t="n">
        <v>0</v>
      </c>
      <c r="P564" t="n">
        <v>0</v>
      </c>
      <c r="Q564" t="n">
        <v>0</v>
      </c>
      <c r="R564" s="2" t="inlineStr"/>
    </row>
    <row r="565" ht="15" customHeight="1">
      <c r="A565" t="inlineStr">
        <is>
          <t>A 7056-2022</t>
        </is>
      </c>
      <c r="B565" s="1" t="n">
        <v>44603</v>
      </c>
      <c r="C565" s="1" t="n">
        <v>45705</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7223-2022</t>
        </is>
      </c>
      <c r="B566" s="1" t="n">
        <v>44603</v>
      </c>
      <c r="C566" s="1" t="n">
        <v>45705</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7189-2022</t>
        </is>
      </c>
      <c r="B567" s="1" t="n">
        <v>44605</v>
      </c>
      <c r="C567" s="1" t="n">
        <v>45705</v>
      </c>
      <c r="D567" t="inlineStr">
        <is>
          <t>SÖDERMANLANDS LÄN</t>
        </is>
      </c>
      <c r="E567" t="inlineStr">
        <is>
          <t>KATRINEHOLM</t>
        </is>
      </c>
      <c r="G567" t="n">
        <v>1.8</v>
      </c>
      <c r="H567" t="n">
        <v>0</v>
      </c>
      <c r="I567" t="n">
        <v>0</v>
      </c>
      <c r="J567" t="n">
        <v>0</v>
      </c>
      <c r="K567" t="n">
        <v>0</v>
      </c>
      <c r="L567" t="n">
        <v>0</v>
      </c>
      <c r="M567" t="n">
        <v>0</v>
      </c>
      <c r="N567" t="n">
        <v>0</v>
      </c>
      <c r="O567" t="n">
        <v>0</v>
      </c>
      <c r="P567" t="n">
        <v>0</v>
      </c>
      <c r="Q567" t="n">
        <v>0</v>
      </c>
      <c r="R567" s="2" t="inlineStr"/>
    </row>
    <row r="568" ht="15" customHeight="1">
      <c r="A568" t="inlineStr">
        <is>
          <t>A 7550-2022</t>
        </is>
      </c>
      <c r="B568" s="1" t="n">
        <v>44607</v>
      </c>
      <c r="C568" s="1" t="n">
        <v>45705</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7459-2022</t>
        </is>
      </c>
      <c r="B569" s="1" t="n">
        <v>44607</v>
      </c>
      <c r="C569" s="1" t="n">
        <v>45705</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7929-2022</t>
        </is>
      </c>
      <c r="B570" s="1" t="n">
        <v>44608</v>
      </c>
      <c r="C570" s="1" t="n">
        <v>45705</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8087-2022</t>
        </is>
      </c>
      <c r="B571" s="1" t="n">
        <v>44609</v>
      </c>
      <c r="C571" s="1" t="n">
        <v>45705</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9190-2022</t>
        </is>
      </c>
      <c r="B572" s="1" t="n">
        <v>44615</v>
      </c>
      <c r="C572" s="1" t="n">
        <v>45705</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9188-2022</t>
        </is>
      </c>
      <c r="B573" s="1" t="n">
        <v>44615</v>
      </c>
      <c r="C573" s="1" t="n">
        <v>45705</v>
      </c>
      <c r="D573" t="inlineStr">
        <is>
          <t>SÖDERMANLANDS LÄN</t>
        </is>
      </c>
      <c r="E573" t="inlineStr">
        <is>
          <t>KATRINEHOLM</t>
        </is>
      </c>
      <c r="G573" t="n">
        <v>2.2</v>
      </c>
      <c r="H573" t="n">
        <v>0</v>
      </c>
      <c r="I573" t="n">
        <v>0</v>
      </c>
      <c r="J573" t="n">
        <v>0</v>
      </c>
      <c r="K573" t="n">
        <v>0</v>
      </c>
      <c r="L573" t="n">
        <v>0</v>
      </c>
      <c r="M573" t="n">
        <v>0</v>
      </c>
      <c r="N573" t="n">
        <v>0</v>
      </c>
      <c r="O573" t="n">
        <v>0</v>
      </c>
      <c r="P573" t="n">
        <v>0</v>
      </c>
      <c r="Q573" t="n">
        <v>0</v>
      </c>
      <c r="R573" s="2" t="inlineStr"/>
    </row>
    <row r="574" ht="15" customHeight="1">
      <c r="A574" t="inlineStr">
        <is>
          <t>A 9419-2022</t>
        </is>
      </c>
      <c r="B574" s="1" t="n">
        <v>44616</v>
      </c>
      <c r="C574" s="1" t="n">
        <v>45705</v>
      </c>
      <c r="D574" t="inlineStr">
        <is>
          <t>SÖDERMANLANDS LÄN</t>
        </is>
      </c>
      <c r="E574" t="inlineStr">
        <is>
          <t>KATRINEHOLM</t>
        </is>
      </c>
      <c r="F574" t="inlineStr">
        <is>
          <t>Övriga Aktiebolag</t>
        </is>
      </c>
      <c r="G574" t="n">
        <v>1.7</v>
      </c>
      <c r="H574" t="n">
        <v>0</v>
      </c>
      <c r="I574" t="n">
        <v>0</v>
      </c>
      <c r="J574" t="n">
        <v>0</v>
      </c>
      <c r="K574" t="n">
        <v>0</v>
      </c>
      <c r="L574" t="n">
        <v>0</v>
      </c>
      <c r="M574" t="n">
        <v>0</v>
      </c>
      <c r="N574" t="n">
        <v>0</v>
      </c>
      <c r="O574" t="n">
        <v>0</v>
      </c>
      <c r="P574" t="n">
        <v>0</v>
      </c>
      <c r="Q574" t="n">
        <v>0</v>
      </c>
      <c r="R574" s="2" t="inlineStr"/>
    </row>
    <row r="575" ht="15" customHeight="1">
      <c r="A575" t="inlineStr">
        <is>
          <t>A 9228-2022</t>
        </is>
      </c>
      <c r="B575" s="1" t="n">
        <v>44616</v>
      </c>
      <c r="C575" s="1" t="n">
        <v>45705</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9437-2022</t>
        </is>
      </c>
      <c r="B576" s="1" t="n">
        <v>44616</v>
      </c>
      <c r="C576" s="1" t="n">
        <v>45705</v>
      </c>
      <c r="D576" t="inlineStr">
        <is>
          <t>SÖDERMANLANDS LÄN</t>
        </is>
      </c>
      <c r="E576" t="inlineStr">
        <is>
          <t>KATRINEHOLM</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9786-2022</t>
        </is>
      </c>
      <c r="B577" s="1" t="n">
        <v>44619</v>
      </c>
      <c r="C577" s="1" t="n">
        <v>45705</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45705</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10341-2022</t>
        </is>
      </c>
      <c r="B579" s="1" t="n">
        <v>44623</v>
      </c>
      <c r="C579" s="1" t="n">
        <v>45705</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10388-2022</t>
        </is>
      </c>
      <c r="B580" s="1" t="n">
        <v>44623</v>
      </c>
      <c r="C580" s="1" t="n">
        <v>45705</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v>
      </c>
      <c r="C581" s="1" t="n">
        <v>45705</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10996-2022</t>
        </is>
      </c>
      <c r="B582" s="1" t="n">
        <v>44628</v>
      </c>
      <c r="C582" s="1" t="n">
        <v>45705</v>
      </c>
      <c r="D582" t="inlineStr">
        <is>
          <t>SÖDERMANLANDS LÄN</t>
        </is>
      </c>
      <c r="E582" t="inlineStr">
        <is>
          <t>KATRINEHOLM</t>
        </is>
      </c>
      <c r="G582" t="n">
        <v>0.3</v>
      </c>
      <c r="H582" t="n">
        <v>0</v>
      </c>
      <c r="I582" t="n">
        <v>0</v>
      </c>
      <c r="J582" t="n">
        <v>0</v>
      </c>
      <c r="K582" t="n">
        <v>0</v>
      </c>
      <c r="L582" t="n">
        <v>0</v>
      </c>
      <c r="M582" t="n">
        <v>0</v>
      </c>
      <c r="N582" t="n">
        <v>0</v>
      </c>
      <c r="O582" t="n">
        <v>0</v>
      </c>
      <c r="P582" t="n">
        <v>0</v>
      </c>
      <c r="Q582" t="n">
        <v>0</v>
      </c>
      <c r="R582" s="2" t="inlineStr"/>
    </row>
    <row r="583" ht="15" customHeight="1">
      <c r="A583" t="inlineStr">
        <is>
          <t>A 11024-2022</t>
        </is>
      </c>
      <c r="B583" s="1" t="n">
        <v>44628</v>
      </c>
      <c r="C583" s="1" t="n">
        <v>45705</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12633-2022</t>
        </is>
      </c>
      <c r="B584" s="1" t="n">
        <v>44638</v>
      </c>
      <c r="C584" s="1" t="n">
        <v>45705</v>
      </c>
      <c r="D584" t="inlineStr">
        <is>
          <t>SÖDERMANLANDS LÄN</t>
        </is>
      </c>
      <c r="E584" t="inlineStr">
        <is>
          <t>KATRINEHOLM</t>
        </is>
      </c>
      <c r="G584" t="n">
        <v>6.4</v>
      </c>
      <c r="H584" t="n">
        <v>0</v>
      </c>
      <c r="I584" t="n">
        <v>0</v>
      </c>
      <c r="J584" t="n">
        <v>0</v>
      </c>
      <c r="K584" t="n">
        <v>0</v>
      </c>
      <c r="L584" t="n">
        <v>0</v>
      </c>
      <c r="M584" t="n">
        <v>0</v>
      </c>
      <c r="N584" t="n">
        <v>0</v>
      </c>
      <c r="O584" t="n">
        <v>0</v>
      </c>
      <c r="P584" t="n">
        <v>0</v>
      </c>
      <c r="Q584" t="n">
        <v>0</v>
      </c>
      <c r="R584" s="2" t="inlineStr"/>
    </row>
    <row r="585" ht="15" customHeight="1">
      <c r="A585" t="inlineStr">
        <is>
          <t>A 12658-2022</t>
        </is>
      </c>
      <c r="B585" s="1" t="n">
        <v>44641</v>
      </c>
      <c r="C585" s="1" t="n">
        <v>45705</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12975-2022</t>
        </is>
      </c>
      <c r="B586" s="1" t="n">
        <v>44643</v>
      </c>
      <c r="C586" s="1" t="n">
        <v>45705</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13198-2022</t>
        </is>
      </c>
      <c r="B587" s="1" t="n">
        <v>44644</v>
      </c>
      <c r="C587" s="1" t="n">
        <v>45705</v>
      </c>
      <c r="D587" t="inlineStr">
        <is>
          <t>SÖDERMANLANDS LÄN</t>
        </is>
      </c>
      <c r="E587" t="inlineStr">
        <is>
          <t>KATRINEHOLM</t>
        </is>
      </c>
      <c r="G587" t="n">
        <v>3.2</v>
      </c>
      <c r="H587" t="n">
        <v>0</v>
      </c>
      <c r="I587" t="n">
        <v>0</v>
      </c>
      <c r="J587" t="n">
        <v>0</v>
      </c>
      <c r="K587" t="n">
        <v>0</v>
      </c>
      <c r="L587" t="n">
        <v>0</v>
      </c>
      <c r="M587" t="n">
        <v>0</v>
      </c>
      <c r="N587" t="n">
        <v>0</v>
      </c>
      <c r="O587" t="n">
        <v>0</v>
      </c>
      <c r="P587" t="n">
        <v>0</v>
      </c>
      <c r="Q587" t="n">
        <v>0</v>
      </c>
      <c r="R587" s="2" t="inlineStr"/>
    </row>
    <row r="588" ht="15" customHeight="1">
      <c r="A588" t="inlineStr">
        <is>
          <t>A 13860-2022</t>
        </is>
      </c>
      <c r="B588" s="1" t="n">
        <v>44649</v>
      </c>
      <c r="C588" s="1" t="n">
        <v>45705</v>
      </c>
      <c r="D588" t="inlineStr">
        <is>
          <t>SÖDERMANLANDS LÄN</t>
        </is>
      </c>
      <c r="E588" t="inlineStr">
        <is>
          <t>KATRINEHOLM</t>
        </is>
      </c>
      <c r="G588" t="n">
        <v>2.6</v>
      </c>
      <c r="H588" t="n">
        <v>0</v>
      </c>
      <c r="I588" t="n">
        <v>0</v>
      </c>
      <c r="J588" t="n">
        <v>0</v>
      </c>
      <c r="K588" t="n">
        <v>0</v>
      </c>
      <c r="L588" t="n">
        <v>0</v>
      </c>
      <c r="M588" t="n">
        <v>0</v>
      </c>
      <c r="N588" t="n">
        <v>0</v>
      </c>
      <c r="O588" t="n">
        <v>0</v>
      </c>
      <c r="P588" t="n">
        <v>0</v>
      </c>
      <c r="Q588" t="n">
        <v>0</v>
      </c>
      <c r="R588" s="2" t="inlineStr"/>
    </row>
    <row r="589" ht="15" customHeight="1">
      <c r="A589" t="inlineStr">
        <is>
          <t>A 13959-2022</t>
        </is>
      </c>
      <c r="B589" s="1" t="n">
        <v>44650</v>
      </c>
      <c r="C589" s="1" t="n">
        <v>45705</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15108-2022</t>
        </is>
      </c>
      <c r="B590" s="1" t="n">
        <v>44658</v>
      </c>
      <c r="C590" s="1" t="n">
        <v>45705</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15399-2022</t>
        </is>
      </c>
      <c r="B591" s="1" t="n">
        <v>44659</v>
      </c>
      <c r="C591" s="1" t="n">
        <v>45705</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v>
      </c>
      <c r="C592" s="1" t="n">
        <v>45705</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45705</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17276-2022</t>
        </is>
      </c>
      <c r="B594" s="1" t="n">
        <v>44678</v>
      </c>
      <c r="C594" s="1" t="n">
        <v>45705</v>
      </c>
      <c r="D594" t="inlineStr">
        <is>
          <t>SÖDERMANLANDS LÄN</t>
        </is>
      </c>
      <c r="E594" t="inlineStr">
        <is>
          <t>KATRINEHOLM</t>
        </is>
      </c>
      <c r="F594" t="inlineStr">
        <is>
          <t>Övriga Aktiebolag</t>
        </is>
      </c>
      <c r="G594" t="n">
        <v>8.5</v>
      </c>
      <c r="H594" t="n">
        <v>0</v>
      </c>
      <c r="I594" t="n">
        <v>0</v>
      </c>
      <c r="J594" t="n">
        <v>0</v>
      </c>
      <c r="K594" t="n">
        <v>0</v>
      </c>
      <c r="L594" t="n">
        <v>0</v>
      </c>
      <c r="M594" t="n">
        <v>0</v>
      </c>
      <c r="N594" t="n">
        <v>0</v>
      </c>
      <c r="O594" t="n">
        <v>0</v>
      </c>
      <c r="P594" t="n">
        <v>0</v>
      </c>
      <c r="Q594" t="n">
        <v>0</v>
      </c>
      <c r="R594" s="2" t="inlineStr"/>
    </row>
    <row r="595" ht="15" customHeight="1">
      <c r="A595" t="inlineStr">
        <is>
          <t>A 17360-2022</t>
        </is>
      </c>
      <c r="B595" s="1" t="n">
        <v>44678</v>
      </c>
      <c r="C595" s="1" t="n">
        <v>45705</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17800-2022</t>
        </is>
      </c>
      <c r="B596" s="1" t="n">
        <v>44683</v>
      </c>
      <c r="C596" s="1" t="n">
        <v>45705</v>
      </c>
      <c r="D596" t="inlineStr">
        <is>
          <t>SÖDERMANLANDS LÄN</t>
        </is>
      </c>
      <c r="E596" t="inlineStr">
        <is>
          <t>KATRINEHOLM</t>
        </is>
      </c>
      <c r="G596" t="n">
        <v>8.1</v>
      </c>
      <c r="H596" t="n">
        <v>0</v>
      </c>
      <c r="I596" t="n">
        <v>0</v>
      </c>
      <c r="J596" t="n">
        <v>0</v>
      </c>
      <c r="K596" t="n">
        <v>0</v>
      </c>
      <c r="L596" t="n">
        <v>0</v>
      </c>
      <c r="M596" t="n">
        <v>0</v>
      </c>
      <c r="N596" t="n">
        <v>0</v>
      </c>
      <c r="O596" t="n">
        <v>0</v>
      </c>
      <c r="P596" t="n">
        <v>0</v>
      </c>
      <c r="Q596" t="n">
        <v>0</v>
      </c>
      <c r="R596" s="2" t="inlineStr"/>
    </row>
    <row r="597" ht="15" customHeight="1">
      <c r="A597" t="inlineStr">
        <is>
          <t>A 19098-2022</t>
        </is>
      </c>
      <c r="B597" s="1" t="n">
        <v>44691</v>
      </c>
      <c r="C597" s="1" t="n">
        <v>45705</v>
      </c>
      <c r="D597" t="inlineStr">
        <is>
          <t>SÖDERMANLANDS LÄN</t>
        </is>
      </c>
      <c r="E597" t="inlineStr">
        <is>
          <t>KATRINEHOLM</t>
        </is>
      </c>
      <c r="G597" t="n">
        <v>5.5</v>
      </c>
      <c r="H597" t="n">
        <v>0</v>
      </c>
      <c r="I597" t="n">
        <v>0</v>
      </c>
      <c r="J597" t="n">
        <v>0</v>
      </c>
      <c r="K597" t="n">
        <v>0</v>
      </c>
      <c r="L597" t="n">
        <v>0</v>
      </c>
      <c r="M597" t="n">
        <v>0</v>
      </c>
      <c r="N597" t="n">
        <v>0</v>
      </c>
      <c r="O597" t="n">
        <v>0</v>
      </c>
      <c r="P597" t="n">
        <v>0</v>
      </c>
      <c r="Q597" t="n">
        <v>0</v>
      </c>
      <c r="R597" s="2" t="inlineStr"/>
    </row>
    <row r="598" ht="15" customHeight="1">
      <c r="A598" t="inlineStr">
        <is>
          <t>A 19107-2022</t>
        </is>
      </c>
      <c r="B598" s="1" t="n">
        <v>44691</v>
      </c>
      <c r="C598" s="1" t="n">
        <v>45705</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19479-2022</t>
        </is>
      </c>
      <c r="B599" s="1" t="n">
        <v>44693</v>
      </c>
      <c r="C599" s="1" t="n">
        <v>45705</v>
      </c>
      <c r="D599" t="inlineStr">
        <is>
          <t>SÖDERMANLANDS LÄN</t>
        </is>
      </c>
      <c r="E599" t="inlineStr">
        <is>
          <t>KATRINEHOLM</t>
        </is>
      </c>
      <c r="G599" t="n">
        <v>6.2</v>
      </c>
      <c r="H599" t="n">
        <v>0</v>
      </c>
      <c r="I599" t="n">
        <v>0</v>
      </c>
      <c r="J599" t="n">
        <v>0</v>
      </c>
      <c r="K599" t="n">
        <v>0</v>
      </c>
      <c r="L599" t="n">
        <v>0</v>
      </c>
      <c r="M599" t="n">
        <v>0</v>
      </c>
      <c r="N599" t="n">
        <v>0</v>
      </c>
      <c r="O599" t="n">
        <v>0</v>
      </c>
      <c r="P599" t="n">
        <v>0</v>
      </c>
      <c r="Q599" t="n">
        <v>0</v>
      </c>
      <c r="R599" s="2" t="inlineStr"/>
    </row>
    <row r="600" ht="15" customHeight="1">
      <c r="A600" t="inlineStr">
        <is>
          <t>A 19685-2022</t>
        </is>
      </c>
      <c r="B600" s="1" t="n">
        <v>44694</v>
      </c>
      <c r="C600" s="1" t="n">
        <v>45705</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19670-2022</t>
        </is>
      </c>
      <c r="B601" s="1" t="n">
        <v>44694</v>
      </c>
      <c r="C601" s="1" t="n">
        <v>45705</v>
      </c>
      <c r="D601" t="inlineStr">
        <is>
          <t>SÖDERMANLANDS LÄN</t>
        </is>
      </c>
      <c r="E601" t="inlineStr">
        <is>
          <t>KATRINEHOLM</t>
        </is>
      </c>
      <c r="G601" t="n">
        <v>13.6</v>
      </c>
      <c r="H601" t="n">
        <v>0</v>
      </c>
      <c r="I601" t="n">
        <v>0</v>
      </c>
      <c r="J601" t="n">
        <v>0</v>
      </c>
      <c r="K601" t="n">
        <v>0</v>
      </c>
      <c r="L601" t="n">
        <v>0</v>
      </c>
      <c r="M601" t="n">
        <v>0</v>
      </c>
      <c r="N601" t="n">
        <v>0</v>
      </c>
      <c r="O601" t="n">
        <v>0</v>
      </c>
      <c r="P601" t="n">
        <v>0</v>
      </c>
      <c r="Q601" t="n">
        <v>0</v>
      </c>
      <c r="R601" s="2" t="inlineStr"/>
    </row>
    <row r="602" ht="15" customHeight="1">
      <c r="A602" t="inlineStr">
        <is>
          <t>A 19868-2022</t>
        </is>
      </c>
      <c r="B602" s="1" t="n">
        <v>44696</v>
      </c>
      <c r="C602" s="1" t="n">
        <v>45705</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19912-2022</t>
        </is>
      </c>
      <c r="B603" s="1" t="n">
        <v>44697</v>
      </c>
      <c r="C603" s="1" t="n">
        <v>45705</v>
      </c>
      <c r="D603" t="inlineStr">
        <is>
          <t>SÖDERMANLANDS LÄN</t>
        </is>
      </c>
      <c r="E603" t="inlineStr">
        <is>
          <t>KATRINEHOLM</t>
        </is>
      </c>
      <c r="G603" t="n">
        <v>3.1</v>
      </c>
      <c r="H603" t="n">
        <v>0</v>
      </c>
      <c r="I603" t="n">
        <v>0</v>
      </c>
      <c r="J603" t="n">
        <v>0</v>
      </c>
      <c r="K603" t="n">
        <v>0</v>
      </c>
      <c r="L603" t="n">
        <v>0</v>
      </c>
      <c r="M603" t="n">
        <v>0</v>
      </c>
      <c r="N603" t="n">
        <v>0</v>
      </c>
      <c r="O603" t="n">
        <v>0</v>
      </c>
      <c r="P603" t="n">
        <v>0</v>
      </c>
      <c r="Q603" t="n">
        <v>0</v>
      </c>
      <c r="R603" s="2" t="inlineStr"/>
    </row>
    <row r="604" ht="15" customHeight="1">
      <c r="A604" t="inlineStr">
        <is>
          <t>A 20485-2022</t>
        </is>
      </c>
      <c r="B604" s="1" t="n">
        <v>44699</v>
      </c>
      <c r="C604" s="1" t="n">
        <v>45705</v>
      </c>
      <c r="D604" t="inlineStr">
        <is>
          <t>SÖDERMANLANDS LÄN</t>
        </is>
      </c>
      <c r="E604" t="inlineStr">
        <is>
          <t>KATRINEHOLM</t>
        </is>
      </c>
      <c r="G604" t="n">
        <v>3.3</v>
      </c>
      <c r="H604" t="n">
        <v>0</v>
      </c>
      <c r="I604" t="n">
        <v>0</v>
      </c>
      <c r="J604" t="n">
        <v>0</v>
      </c>
      <c r="K604" t="n">
        <v>0</v>
      </c>
      <c r="L604" t="n">
        <v>0</v>
      </c>
      <c r="M604" t="n">
        <v>0</v>
      </c>
      <c r="N604" t="n">
        <v>0</v>
      </c>
      <c r="O604" t="n">
        <v>0</v>
      </c>
      <c r="P604" t="n">
        <v>0</v>
      </c>
      <c r="Q604" t="n">
        <v>0</v>
      </c>
      <c r="R604" s="2" t="inlineStr"/>
    </row>
    <row r="605" ht="15" customHeight="1">
      <c r="A605" t="inlineStr">
        <is>
          <t>A 20480-2022</t>
        </is>
      </c>
      <c r="B605" s="1" t="n">
        <v>44699</v>
      </c>
      <c r="C605" s="1" t="n">
        <v>45705</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20768-2022</t>
        </is>
      </c>
      <c r="B606" s="1" t="n">
        <v>44701</v>
      </c>
      <c r="C606" s="1" t="n">
        <v>45705</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20826-2022</t>
        </is>
      </c>
      <c r="B607" s="1" t="n">
        <v>44701</v>
      </c>
      <c r="C607" s="1" t="n">
        <v>45705</v>
      </c>
      <c r="D607" t="inlineStr">
        <is>
          <t>SÖDERMANLANDS LÄN</t>
        </is>
      </c>
      <c r="E607" t="inlineStr">
        <is>
          <t>KATRINEHOLM</t>
        </is>
      </c>
      <c r="G607" t="n">
        <v>6.8</v>
      </c>
      <c r="H607" t="n">
        <v>0</v>
      </c>
      <c r="I607" t="n">
        <v>0</v>
      </c>
      <c r="J607" t="n">
        <v>0</v>
      </c>
      <c r="K607" t="n">
        <v>0</v>
      </c>
      <c r="L607" t="n">
        <v>0</v>
      </c>
      <c r="M607" t="n">
        <v>0</v>
      </c>
      <c r="N607" t="n">
        <v>0</v>
      </c>
      <c r="O607" t="n">
        <v>0</v>
      </c>
      <c r="P607" t="n">
        <v>0</v>
      </c>
      <c r="Q607" t="n">
        <v>0</v>
      </c>
      <c r="R607" s="2" t="inlineStr"/>
    </row>
    <row r="608" ht="15" customHeight="1">
      <c r="A608" t="inlineStr">
        <is>
          <t>A 20843-2022</t>
        </is>
      </c>
      <c r="B608" s="1" t="n">
        <v>44701</v>
      </c>
      <c r="C608" s="1" t="n">
        <v>45705</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20799-2022</t>
        </is>
      </c>
      <c r="B609" s="1" t="n">
        <v>44701</v>
      </c>
      <c r="C609" s="1" t="n">
        <v>45705</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20846-2022</t>
        </is>
      </c>
      <c r="B610" s="1" t="n">
        <v>44701</v>
      </c>
      <c r="C610" s="1" t="n">
        <v>45705</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20847-2022</t>
        </is>
      </c>
      <c r="B611" s="1" t="n">
        <v>44701</v>
      </c>
      <c r="C611" s="1" t="n">
        <v>45705</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21272-2022</t>
        </is>
      </c>
      <c r="B612" s="1" t="n">
        <v>44705</v>
      </c>
      <c r="C612" s="1" t="n">
        <v>45705</v>
      </c>
      <c r="D612" t="inlineStr">
        <is>
          <t>SÖDERMANLANDS LÄN</t>
        </is>
      </c>
      <c r="E612" t="inlineStr">
        <is>
          <t>KATRINEHOLM</t>
        </is>
      </c>
      <c r="G612" t="n">
        <v>3.3</v>
      </c>
      <c r="H612" t="n">
        <v>0</v>
      </c>
      <c r="I612" t="n">
        <v>0</v>
      </c>
      <c r="J612" t="n">
        <v>0</v>
      </c>
      <c r="K612" t="n">
        <v>0</v>
      </c>
      <c r="L612" t="n">
        <v>0</v>
      </c>
      <c r="M612" t="n">
        <v>0</v>
      </c>
      <c r="N612" t="n">
        <v>0</v>
      </c>
      <c r="O612" t="n">
        <v>0</v>
      </c>
      <c r="P612" t="n">
        <v>0</v>
      </c>
      <c r="Q612" t="n">
        <v>0</v>
      </c>
      <c r="R612" s="2" t="inlineStr"/>
    </row>
    <row r="613" ht="15" customHeight="1">
      <c r="A613" t="inlineStr">
        <is>
          <t>A 21576-2022</t>
        </is>
      </c>
      <c r="B613" s="1" t="n">
        <v>44706</v>
      </c>
      <c r="C613" s="1" t="n">
        <v>45705</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21959-2022</t>
        </is>
      </c>
      <c r="B614" s="1" t="n">
        <v>44708</v>
      </c>
      <c r="C614" s="1" t="n">
        <v>45705</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22197-2022</t>
        </is>
      </c>
      <c r="B615" s="1" t="n">
        <v>44712</v>
      </c>
      <c r="C615" s="1" t="n">
        <v>45705</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22272-2022</t>
        </is>
      </c>
      <c r="B616" s="1" t="n">
        <v>44712</v>
      </c>
      <c r="C616" s="1" t="n">
        <v>45705</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23028-2022</t>
        </is>
      </c>
      <c r="B617" s="1" t="n">
        <v>44719</v>
      </c>
      <c r="C617" s="1" t="n">
        <v>45705</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23239-2022</t>
        </is>
      </c>
      <c r="B618" s="1" t="n">
        <v>44719</v>
      </c>
      <c r="C618" s="1" t="n">
        <v>45705</v>
      </c>
      <c r="D618" t="inlineStr">
        <is>
          <t>SÖDERMANLANDS LÄN</t>
        </is>
      </c>
      <c r="E618" t="inlineStr">
        <is>
          <t>KATRINEHOLM</t>
        </is>
      </c>
      <c r="G618" t="n">
        <v>7.4</v>
      </c>
      <c r="H618" t="n">
        <v>0</v>
      </c>
      <c r="I618" t="n">
        <v>0</v>
      </c>
      <c r="J618" t="n">
        <v>0</v>
      </c>
      <c r="K618" t="n">
        <v>0</v>
      </c>
      <c r="L618" t="n">
        <v>0</v>
      </c>
      <c r="M618" t="n">
        <v>0</v>
      </c>
      <c r="N618" t="n">
        <v>0</v>
      </c>
      <c r="O618" t="n">
        <v>0</v>
      </c>
      <c r="P618" t="n">
        <v>0</v>
      </c>
      <c r="Q618" t="n">
        <v>0</v>
      </c>
      <c r="R618" s="2" t="inlineStr"/>
    </row>
    <row r="619" ht="15" customHeight="1">
      <c r="A619" t="inlineStr">
        <is>
          <t>A 24098-2022</t>
        </is>
      </c>
      <c r="B619" s="1" t="n">
        <v>44725</v>
      </c>
      <c r="C619" s="1" t="n">
        <v>45705</v>
      </c>
      <c r="D619" t="inlineStr">
        <is>
          <t>SÖDERMANLANDS LÄN</t>
        </is>
      </c>
      <c r="E619" t="inlineStr">
        <is>
          <t>KATRINEHOLM</t>
        </is>
      </c>
      <c r="G619" t="n">
        <v>1.9</v>
      </c>
      <c r="H619" t="n">
        <v>0</v>
      </c>
      <c r="I619" t="n">
        <v>0</v>
      </c>
      <c r="J619" t="n">
        <v>0</v>
      </c>
      <c r="K619" t="n">
        <v>0</v>
      </c>
      <c r="L619" t="n">
        <v>0</v>
      </c>
      <c r="M619" t="n">
        <v>0</v>
      </c>
      <c r="N619" t="n">
        <v>0</v>
      </c>
      <c r="O619" t="n">
        <v>0</v>
      </c>
      <c r="P619" t="n">
        <v>0</v>
      </c>
      <c r="Q619" t="n">
        <v>0</v>
      </c>
      <c r="R619" s="2" t="inlineStr"/>
    </row>
    <row r="620" ht="15" customHeight="1">
      <c r="A620" t="inlineStr">
        <is>
          <t>A 24199-2022</t>
        </is>
      </c>
      <c r="B620" s="1" t="n">
        <v>44725</v>
      </c>
      <c r="C620" s="1" t="n">
        <v>45705</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24207-2022</t>
        </is>
      </c>
      <c r="B621" s="1" t="n">
        <v>44725</v>
      </c>
      <c r="C621" s="1" t="n">
        <v>45705</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24097-2022</t>
        </is>
      </c>
      <c r="B622" s="1" t="n">
        <v>44725</v>
      </c>
      <c r="C622" s="1" t="n">
        <v>45705</v>
      </c>
      <c r="D622" t="inlineStr">
        <is>
          <t>SÖDERMANLANDS LÄN</t>
        </is>
      </c>
      <c r="E622" t="inlineStr">
        <is>
          <t>KATRINEHOLM</t>
        </is>
      </c>
      <c r="G622" t="n">
        <v>6.5</v>
      </c>
      <c r="H622" t="n">
        <v>0</v>
      </c>
      <c r="I622" t="n">
        <v>0</v>
      </c>
      <c r="J622" t="n">
        <v>0</v>
      </c>
      <c r="K622" t="n">
        <v>0</v>
      </c>
      <c r="L622" t="n">
        <v>0</v>
      </c>
      <c r="M622" t="n">
        <v>0</v>
      </c>
      <c r="N622" t="n">
        <v>0</v>
      </c>
      <c r="O622" t="n">
        <v>0</v>
      </c>
      <c r="P622" t="n">
        <v>0</v>
      </c>
      <c r="Q622" t="n">
        <v>0</v>
      </c>
      <c r="R622" s="2" t="inlineStr"/>
    </row>
    <row r="623" ht="15" customHeight="1">
      <c r="A623" t="inlineStr">
        <is>
          <t>A 24099-2022</t>
        </is>
      </c>
      <c r="B623" s="1" t="n">
        <v>44725</v>
      </c>
      <c r="C623" s="1" t="n">
        <v>45705</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24635-2022</t>
        </is>
      </c>
      <c r="B624" s="1" t="n">
        <v>44727</v>
      </c>
      <c r="C624" s="1" t="n">
        <v>45705</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25309-2022</t>
        </is>
      </c>
      <c r="B625" s="1" t="n">
        <v>44731</v>
      </c>
      <c r="C625" s="1" t="n">
        <v>45705</v>
      </c>
      <c r="D625" t="inlineStr">
        <is>
          <t>SÖDERMANLANDS LÄN</t>
        </is>
      </c>
      <c r="E625" t="inlineStr">
        <is>
          <t>KATRINEHOLM</t>
        </is>
      </c>
      <c r="G625" t="n">
        <v>6.1</v>
      </c>
      <c r="H625" t="n">
        <v>0</v>
      </c>
      <c r="I625" t="n">
        <v>0</v>
      </c>
      <c r="J625" t="n">
        <v>0</v>
      </c>
      <c r="K625" t="n">
        <v>0</v>
      </c>
      <c r="L625" t="n">
        <v>0</v>
      </c>
      <c r="M625" t="n">
        <v>0</v>
      </c>
      <c r="N625" t="n">
        <v>0</v>
      </c>
      <c r="O625" t="n">
        <v>0</v>
      </c>
      <c r="P625" t="n">
        <v>0</v>
      </c>
      <c r="Q625" t="n">
        <v>0</v>
      </c>
      <c r="R625" s="2" t="inlineStr"/>
    </row>
    <row r="626" ht="15" customHeight="1">
      <c r="A626" t="inlineStr">
        <is>
          <t>A 25716-2022</t>
        </is>
      </c>
      <c r="B626" s="1" t="n">
        <v>44733</v>
      </c>
      <c r="C626" s="1" t="n">
        <v>45705</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25893-2022</t>
        </is>
      </c>
      <c r="B627" s="1" t="n">
        <v>44733</v>
      </c>
      <c r="C627" s="1" t="n">
        <v>45705</v>
      </c>
      <c r="D627" t="inlineStr">
        <is>
          <t>SÖDERMANLANDS LÄN</t>
        </is>
      </c>
      <c r="E627" t="inlineStr">
        <is>
          <t>KATRINEHOLM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27398-2022</t>
        </is>
      </c>
      <c r="B628" s="1" t="n">
        <v>44742</v>
      </c>
      <c r="C628" s="1" t="n">
        <v>45705</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27443-2022</t>
        </is>
      </c>
      <c r="B629" s="1" t="n">
        <v>44742</v>
      </c>
      <c r="C629" s="1" t="n">
        <v>45705</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27470-2022</t>
        </is>
      </c>
      <c r="B630" s="1" t="n">
        <v>44742</v>
      </c>
      <c r="C630" s="1" t="n">
        <v>45705</v>
      </c>
      <c r="D630" t="inlineStr">
        <is>
          <t>SÖDERMANLANDS LÄN</t>
        </is>
      </c>
      <c r="E630" t="inlineStr">
        <is>
          <t>KATRINEHOLM</t>
        </is>
      </c>
      <c r="G630" t="n">
        <v>13.3</v>
      </c>
      <c r="H630" t="n">
        <v>0</v>
      </c>
      <c r="I630" t="n">
        <v>0</v>
      </c>
      <c r="J630" t="n">
        <v>0</v>
      </c>
      <c r="K630" t="n">
        <v>0</v>
      </c>
      <c r="L630" t="n">
        <v>0</v>
      </c>
      <c r="M630" t="n">
        <v>0</v>
      </c>
      <c r="N630" t="n">
        <v>0</v>
      </c>
      <c r="O630" t="n">
        <v>0</v>
      </c>
      <c r="P630" t="n">
        <v>0</v>
      </c>
      <c r="Q630" t="n">
        <v>0</v>
      </c>
      <c r="R630" s="2" t="inlineStr"/>
    </row>
    <row r="631" ht="15" customHeight="1">
      <c r="A631" t="inlineStr">
        <is>
          <t>A 30087-2022</t>
        </is>
      </c>
      <c r="B631" s="1" t="n">
        <v>44757</v>
      </c>
      <c r="C631" s="1" t="n">
        <v>45705</v>
      </c>
      <c r="D631" t="inlineStr">
        <is>
          <t>SÖDERMANLANDS LÄN</t>
        </is>
      </c>
      <c r="E631" t="inlineStr">
        <is>
          <t>KATRINEHOLM</t>
        </is>
      </c>
      <c r="G631" t="n">
        <v>4.1</v>
      </c>
      <c r="H631" t="n">
        <v>0</v>
      </c>
      <c r="I631" t="n">
        <v>0</v>
      </c>
      <c r="J631" t="n">
        <v>0</v>
      </c>
      <c r="K631" t="n">
        <v>0</v>
      </c>
      <c r="L631" t="n">
        <v>0</v>
      </c>
      <c r="M631" t="n">
        <v>0</v>
      </c>
      <c r="N631" t="n">
        <v>0</v>
      </c>
      <c r="O631" t="n">
        <v>0</v>
      </c>
      <c r="P631" t="n">
        <v>0</v>
      </c>
      <c r="Q631" t="n">
        <v>0</v>
      </c>
      <c r="R631" s="2" t="inlineStr"/>
    </row>
    <row r="632" ht="15" customHeight="1">
      <c r="A632" t="inlineStr">
        <is>
          <t>A 30567-2022</t>
        </is>
      </c>
      <c r="B632" s="1" t="n">
        <v>44762</v>
      </c>
      <c r="C632" s="1" t="n">
        <v>45705</v>
      </c>
      <c r="D632" t="inlineStr">
        <is>
          <t>SÖDERMANLANDS LÄN</t>
        </is>
      </c>
      <c r="E632" t="inlineStr">
        <is>
          <t>KATRINEHOLM</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30981-2022</t>
        </is>
      </c>
      <c r="B633" s="1" t="n">
        <v>44768</v>
      </c>
      <c r="C633" s="1" t="n">
        <v>45705</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31221-2022</t>
        </is>
      </c>
      <c r="B634" s="1" t="n">
        <v>44771</v>
      </c>
      <c r="C634" s="1" t="n">
        <v>45705</v>
      </c>
      <c r="D634" t="inlineStr">
        <is>
          <t>SÖDERMANLANDS LÄN</t>
        </is>
      </c>
      <c r="E634" t="inlineStr">
        <is>
          <t>KATRINEHOLM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31740-2022</t>
        </is>
      </c>
      <c r="B635" s="1" t="n">
        <v>44776</v>
      </c>
      <c r="C635" s="1" t="n">
        <v>45705</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32164-2022</t>
        </is>
      </c>
      <c r="B636" s="1" t="n">
        <v>44781</v>
      </c>
      <c r="C636" s="1" t="n">
        <v>45705</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32166-2022</t>
        </is>
      </c>
      <c r="B637" s="1" t="n">
        <v>44781</v>
      </c>
      <c r="C637" s="1" t="n">
        <v>45705</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32169-2022</t>
        </is>
      </c>
      <c r="B638" s="1" t="n">
        <v>44781</v>
      </c>
      <c r="C638" s="1" t="n">
        <v>45705</v>
      </c>
      <c r="D638" t="inlineStr">
        <is>
          <t>SÖDERMANLANDS LÄN</t>
        </is>
      </c>
      <c r="E638" t="inlineStr">
        <is>
          <t>KATRINEHOLM</t>
        </is>
      </c>
      <c r="F638" t="inlineStr">
        <is>
          <t>Kommuner</t>
        </is>
      </c>
      <c r="G638" t="n">
        <v>0.9</v>
      </c>
      <c r="H638" t="n">
        <v>0</v>
      </c>
      <c r="I638" t="n">
        <v>0</v>
      </c>
      <c r="J638" t="n">
        <v>0</v>
      </c>
      <c r="K638" t="n">
        <v>0</v>
      </c>
      <c r="L638" t="n">
        <v>0</v>
      </c>
      <c r="M638" t="n">
        <v>0</v>
      </c>
      <c r="N638" t="n">
        <v>0</v>
      </c>
      <c r="O638" t="n">
        <v>0</v>
      </c>
      <c r="P638" t="n">
        <v>0</v>
      </c>
      <c r="Q638" t="n">
        <v>0</v>
      </c>
      <c r="R638" s="2" t="inlineStr"/>
    </row>
    <row r="639" ht="15" customHeight="1">
      <c r="A639" t="inlineStr">
        <is>
          <t>A 32160-2022</t>
        </is>
      </c>
      <c r="B639" s="1" t="n">
        <v>44781</v>
      </c>
      <c r="C639" s="1" t="n">
        <v>45705</v>
      </c>
      <c r="D639" t="inlineStr">
        <is>
          <t>SÖDERMANLANDS LÄN</t>
        </is>
      </c>
      <c r="E639" t="inlineStr">
        <is>
          <t>KATRINEHOLM</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32606-2022</t>
        </is>
      </c>
      <c r="B640" s="1" t="n">
        <v>44783</v>
      </c>
      <c r="C640" s="1" t="n">
        <v>45705</v>
      </c>
      <c r="D640" t="inlineStr">
        <is>
          <t>SÖDERMANLANDS LÄN</t>
        </is>
      </c>
      <c r="E640" t="inlineStr">
        <is>
          <t>KATRINEHOLM</t>
        </is>
      </c>
      <c r="G640" t="n">
        <v>1.9</v>
      </c>
      <c r="H640" t="n">
        <v>0</v>
      </c>
      <c r="I640" t="n">
        <v>0</v>
      </c>
      <c r="J640" t="n">
        <v>0</v>
      </c>
      <c r="K640" t="n">
        <v>0</v>
      </c>
      <c r="L640" t="n">
        <v>0</v>
      </c>
      <c r="M640" t="n">
        <v>0</v>
      </c>
      <c r="N640" t="n">
        <v>0</v>
      </c>
      <c r="O640" t="n">
        <v>0</v>
      </c>
      <c r="P640" t="n">
        <v>0</v>
      </c>
      <c r="Q640" t="n">
        <v>0</v>
      </c>
      <c r="R640" s="2" t="inlineStr"/>
    </row>
    <row r="641" ht="15" customHeight="1">
      <c r="A641" t="inlineStr">
        <is>
          <t>A 32600-2022</t>
        </is>
      </c>
      <c r="B641" s="1" t="n">
        <v>44783</v>
      </c>
      <c r="C641" s="1" t="n">
        <v>45705</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32639-2022</t>
        </is>
      </c>
      <c r="B642" s="1" t="n">
        <v>44783</v>
      </c>
      <c r="C642" s="1" t="n">
        <v>45705</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32598-2022</t>
        </is>
      </c>
      <c r="B643" s="1" t="n">
        <v>44783</v>
      </c>
      <c r="C643" s="1" t="n">
        <v>45705</v>
      </c>
      <c r="D643" t="inlineStr">
        <is>
          <t>SÖDERMANLANDS LÄN</t>
        </is>
      </c>
      <c r="E643" t="inlineStr">
        <is>
          <t>KATRINEHOLM</t>
        </is>
      </c>
      <c r="G643" t="n">
        <v>7.7</v>
      </c>
      <c r="H643" t="n">
        <v>0</v>
      </c>
      <c r="I643" t="n">
        <v>0</v>
      </c>
      <c r="J643" t="n">
        <v>0</v>
      </c>
      <c r="K643" t="n">
        <v>0</v>
      </c>
      <c r="L643" t="n">
        <v>0</v>
      </c>
      <c r="M643" t="n">
        <v>0</v>
      </c>
      <c r="N643" t="n">
        <v>0</v>
      </c>
      <c r="O643" t="n">
        <v>0</v>
      </c>
      <c r="P643" t="n">
        <v>0</v>
      </c>
      <c r="Q643" t="n">
        <v>0</v>
      </c>
      <c r="R643" s="2" t="inlineStr"/>
    </row>
    <row r="644" ht="15" customHeight="1">
      <c r="A644" t="inlineStr">
        <is>
          <t>A 32632-2022</t>
        </is>
      </c>
      <c r="B644" s="1" t="n">
        <v>44783</v>
      </c>
      <c r="C644" s="1" t="n">
        <v>45705</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32786-2022</t>
        </is>
      </c>
      <c r="B645" s="1" t="n">
        <v>44784</v>
      </c>
      <c r="C645" s="1" t="n">
        <v>45705</v>
      </c>
      <c r="D645" t="inlineStr">
        <is>
          <t>SÖDERMANLANDS LÄN</t>
        </is>
      </c>
      <c r="E645" t="inlineStr">
        <is>
          <t>KATRINEHOLM</t>
        </is>
      </c>
      <c r="G645" t="n">
        <v>7</v>
      </c>
      <c r="H645" t="n">
        <v>0</v>
      </c>
      <c r="I645" t="n">
        <v>0</v>
      </c>
      <c r="J645" t="n">
        <v>0</v>
      </c>
      <c r="K645" t="n">
        <v>0</v>
      </c>
      <c r="L645" t="n">
        <v>0</v>
      </c>
      <c r="M645" t="n">
        <v>0</v>
      </c>
      <c r="N645" t="n">
        <v>0</v>
      </c>
      <c r="O645" t="n">
        <v>0</v>
      </c>
      <c r="P645" t="n">
        <v>0</v>
      </c>
      <c r="Q645" t="n">
        <v>0</v>
      </c>
      <c r="R645" s="2" t="inlineStr"/>
    </row>
    <row r="646" ht="15" customHeight="1">
      <c r="A646" t="inlineStr">
        <is>
          <t>A 32855-2022</t>
        </is>
      </c>
      <c r="B646" s="1" t="n">
        <v>44784</v>
      </c>
      <c r="C646" s="1" t="n">
        <v>45705</v>
      </c>
      <c r="D646" t="inlineStr">
        <is>
          <t>SÖDERMANLANDS LÄN</t>
        </is>
      </c>
      <c r="E646" t="inlineStr">
        <is>
          <t>KATRINEHOLM</t>
        </is>
      </c>
      <c r="G646" t="n">
        <v>3.2</v>
      </c>
      <c r="H646" t="n">
        <v>0</v>
      </c>
      <c r="I646" t="n">
        <v>0</v>
      </c>
      <c r="J646" t="n">
        <v>0</v>
      </c>
      <c r="K646" t="n">
        <v>0</v>
      </c>
      <c r="L646" t="n">
        <v>0</v>
      </c>
      <c r="M646" t="n">
        <v>0</v>
      </c>
      <c r="N646" t="n">
        <v>0</v>
      </c>
      <c r="O646" t="n">
        <v>0</v>
      </c>
      <c r="P646" t="n">
        <v>0</v>
      </c>
      <c r="Q646" t="n">
        <v>0</v>
      </c>
      <c r="R646" s="2" t="inlineStr"/>
    </row>
    <row r="647" ht="15" customHeight="1">
      <c r="A647" t="inlineStr">
        <is>
          <t>A 33538-2022</t>
        </is>
      </c>
      <c r="B647" s="1" t="n">
        <v>44789</v>
      </c>
      <c r="C647" s="1" t="n">
        <v>45705</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33753-2022</t>
        </is>
      </c>
      <c r="B648" s="1" t="n">
        <v>44789</v>
      </c>
      <c r="C648" s="1" t="n">
        <v>45705</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33712-2022</t>
        </is>
      </c>
      <c r="B649" s="1" t="n">
        <v>44789</v>
      </c>
      <c r="C649" s="1" t="n">
        <v>45705</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33717-2022</t>
        </is>
      </c>
      <c r="B650" s="1" t="n">
        <v>44789</v>
      </c>
      <c r="C650" s="1" t="n">
        <v>45705</v>
      </c>
      <c r="D650" t="inlineStr">
        <is>
          <t>SÖDERMANLANDS LÄN</t>
        </is>
      </c>
      <c r="E650" t="inlineStr">
        <is>
          <t>KATRINEHOLM</t>
        </is>
      </c>
      <c r="G650" t="n">
        <v>4.4</v>
      </c>
      <c r="H650" t="n">
        <v>0</v>
      </c>
      <c r="I650" t="n">
        <v>0</v>
      </c>
      <c r="J650" t="n">
        <v>0</v>
      </c>
      <c r="K650" t="n">
        <v>0</v>
      </c>
      <c r="L650" t="n">
        <v>0</v>
      </c>
      <c r="M650" t="n">
        <v>0</v>
      </c>
      <c r="N650" t="n">
        <v>0</v>
      </c>
      <c r="O650" t="n">
        <v>0</v>
      </c>
      <c r="P650" t="n">
        <v>0</v>
      </c>
      <c r="Q650" t="n">
        <v>0</v>
      </c>
      <c r="R650" s="2" t="inlineStr"/>
    </row>
    <row r="651" ht="15" customHeight="1">
      <c r="A651" t="inlineStr">
        <is>
          <t>A 33934-2022</t>
        </is>
      </c>
      <c r="B651" s="1" t="n">
        <v>44790</v>
      </c>
      <c r="C651" s="1" t="n">
        <v>45705</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34040-2022</t>
        </is>
      </c>
      <c r="B652" s="1" t="n">
        <v>44790</v>
      </c>
      <c r="C652" s="1" t="n">
        <v>45705</v>
      </c>
      <c r="D652" t="inlineStr">
        <is>
          <t>SÖDERMANLANDS LÄN</t>
        </is>
      </c>
      <c r="E652" t="inlineStr">
        <is>
          <t>KATRINEHOLM</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34070-2022</t>
        </is>
      </c>
      <c r="B653" s="1" t="n">
        <v>44791</v>
      </c>
      <c r="C653" s="1" t="n">
        <v>45705</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34539-2022</t>
        </is>
      </c>
      <c r="B654" s="1" t="n">
        <v>44793</v>
      </c>
      <c r="C654" s="1" t="n">
        <v>45705</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34625-2022</t>
        </is>
      </c>
      <c r="B655" s="1" t="n">
        <v>44795</v>
      </c>
      <c r="C655" s="1" t="n">
        <v>45705</v>
      </c>
      <c r="D655" t="inlineStr">
        <is>
          <t>SÖDERMANLANDS LÄN</t>
        </is>
      </c>
      <c r="E655" t="inlineStr">
        <is>
          <t>KATRINEHOLM</t>
        </is>
      </c>
      <c r="G655" t="n">
        <v>0.5</v>
      </c>
      <c r="H655" t="n">
        <v>0</v>
      </c>
      <c r="I655" t="n">
        <v>0</v>
      </c>
      <c r="J655" t="n">
        <v>0</v>
      </c>
      <c r="K655" t="n">
        <v>0</v>
      </c>
      <c r="L655" t="n">
        <v>0</v>
      </c>
      <c r="M655" t="n">
        <v>0</v>
      </c>
      <c r="N655" t="n">
        <v>0</v>
      </c>
      <c r="O655" t="n">
        <v>0</v>
      </c>
      <c r="P655" t="n">
        <v>0</v>
      </c>
      <c r="Q655" t="n">
        <v>0</v>
      </c>
      <c r="R655" s="2" t="inlineStr"/>
    </row>
    <row r="656" ht="15" customHeight="1">
      <c r="A656" t="inlineStr">
        <is>
          <t>A 34732-2022</t>
        </is>
      </c>
      <c r="B656" s="1" t="n">
        <v>44795</v>
      </c>
      <c r="C656" s="1" t="n">
        <v>45705</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35088-2022</t>
        </is>
      </c>
      <c r="B657" s="1" t="n">
        <v>44797</v>
      </c>
      <c r="C657" s="1" t="n">
        <v>45705</v>
      </c>
      <c r="D657" t="inlineStr">
        <is>
          <t>SÖDERMANLANDS LÄN</t>
        </is>
      </c>
      <c r="E657" t="inlineStr">
        <is>
          <t>KATRINEHOLM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35188-2022</t>
        </is>
      </c>
      <c r="B658" s="1" t="n">
        <v>44797</v>
      </c>
      <c r="C658" s="1" t="n">
        <v>45705</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35194-2022</t>
        </is>
      </c>
      <c r="B659" s="1" t="n">
        <v>44797</v>
      </c>
      <c r="C659" s="1" t="n">
        <v>45705</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35183-2022</t>
        </is>
      </c>
      <c r="B660" s="1" t="n">
        <v>44797</v>
      </c>
      <c r="C660" s="1" t="n">
        <v>45705</v>
      </c>
      <c r="D660" t="inlineStr">
        <is>
          <t>SÖDERMANLANDS LÄN</t>
        </is>
      </c>
      <c r="E660" t="inlineStr">
        <is>
          <t>KATRINEHOLM</t>
        </is>
      </c>
      <c r="G660" t="n">
        <v>4.6</v>
      </c>
      <c r="H660" t="n">
        <v>0</v>
      </c>
      <c r="I660" t="n">
        <v>0</v>
      </c>
      <c r="J660" t="n">
        <v>0</v>
      </c>
      <c r="K660" t="n">
        <v>0</v>
      </c>
      <c r="L660" t="n">
        <v>0</v>
      </c>
      <c r="M660" t="n">
        <v>0</v>
      </c>
      <c r="N660" t="n">
        <v>0</v>
      </c>
      <c r="O660" t="n">
        <v>0</v>
      </c>
      <c r="P660" t="n">
        <v>0</v>
      </c>
      <c r="Q660" t="n">
        <v>0</v>
      </c>
      <c r="R660" s="2" t="inlineStr"/>
    </row>
    <row r="661" ht="15" customHeight="1">
      <c r="A661" t="inlineStr">
        <is>
          <t>A 35364-2022</t>
        </is>
      </c>
      <c r="B661" s="1" t="n">
        <v>44798</v>
      </c>
      <c r="C661" s="1" t="n">
        <v>45705</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35342-2022</t>
        </is>
      </c>
      <c r="B662" s="1" t="n">
        <v>44798</v>
      </c>
      <c r="C662" s="1" t="n">
        <v>45705</v>
      </c>
      <c r="D662" t="inlineStr">
        <is>
          <t>SÖDERMANLANDS LÄN</t>
        </is>
      </c>
      <c r="E662" t="inlineStr">
        <is>
          <t>KATRINEHOLM</t>
        </is>
      </c>
      <c r="G662" t="n">
        <v>2.7</v>
      </c>
      <c r="H662" t="n">
        <v>0</v>
      </c>
      <c r="I662" t="n">
        <v>0</v>
      </c>
      <c r="J662" t="n">
        <v>0</v>
      </c>
      <c r="K662" t="n">
        <v>0</v>
      </c>
      <c r="L662" t="n">
        <v>0</v>
      </c>
      <c r="M662" t="n">
        <v>0</v>
      </c>
      <c r="N662" t="n">
        <v>0</v>
      </c>
      <c r="O662" t="n">
        <v>0</v>
      </c>
      <c r="P662" t="n">
        <v>0</v>
      </c>
      <c r="Q662" t="n">
        <v>0</v>
      </c>
      <c r="R662" s="2" t="inlineStr"/>
    </row>
    <row r="663" ht="15" customHeight="1">
      <c r="A663" t="inlineStr">
        <is>
          <t>A 36210-2022</t>
        </is>
      </c>
      <c r="B663" s="1" t="n">
        <v>44803</v>
      </c>
      <c r="C663" s="1" t="n">
        <v>45705</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36396-2022</t>
        </is>
      </c>
      <c r="B664" s="1" t="n">
        <v>44804</v>
      </c>
      <c r="C664" s="1" t="n">
        <v>45705</v>
      </c>
      <c r="D664" t="inlineStr">
        <is>
          <t>SÖDERMANLANDS LÄN</t>
        </is>
      </c>
      <c r="E664" t="inlineStr">
        <is>
          <t>KATRINEHOLM</t>
        </is>
      </c>
      <c r="G664" t="n">
        <v>4.5</v>
      </c>
      <c r="H664" t="n">
        <v>0</v>
      </c>
      <c r="I664" t="n">
        <v>0</v>
      </c>
      <c r="J664" t="n">
        <v>0</v>
      </c>
      <c r="K664" t="n">
        <v>0</v>
      </c>
      <c r="L664" t="n">
        <v>0</v>
      </c>
      <c r="M664" t="n">
        <v>0</v>
      </c>
      <c r="N664" t="n">
        <v>0</v>
      </c>
      <c r="O664" t="n">
        <v>0</v>
      </c>
      <c r="P664" t="n">
        <v>0</v>
      </c>
      <c r="Q664" t="n">
        <v>0</v>
      </c>
      <c r="R664" s="2" t="inlineStr"/>
    </row>
    <row r="665" ht="15" customHeight="1">
      <c r="A665" t="inlineStr">
        <is>
          <t>A 36767-2022</t>
        </is>
      </c>
      <c r="B665" s="1" t="n">
        <v>44805</v>
      </c>
      <c r="C665" s="1" t="n">
        <v>45705</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37542-2022</t>
        </is>
      </c>
      <c r="B666" s="1" t="n">
        <v>44809</v>
      </c>
      <c r="C666" s="1" t="n">
        <v>45705</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37546-2022</t>
        </is>
      </c>
      <c r="B667" s="1" t="n">
        <v>44809</v>
      </c>
      <c r="C667" s="1" t="n">
        <v>45705</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37528-2022</t>
        </is>
      </c>
      <c r="B668" s="1" t="n">
        <v>44809</v>
      </c>
      <c r="C668" s="1" t="n">
        <v>45705</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37544-2022</t>
        </is>
      </c>
      <c r="B669" s="1" t="n">
        <v>44809</v>
      </c>
      <c r="C669" s="1" t="n">
        <v>45705</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37549-2022</t>
        </is>
      </c>
      <c r="B670" s="1" t="n">
        <v>44809</v>
      </c>
      <c r="C670" s="1" t="n">
        <v>45705</v>
      </c>
      <c r="D670" t="inlineStr">
        <is>
          <t>SÖDERMANLANDS LÄN</t>
        </is>
      </c>
      <c r="E670" t="inlineStr">
        <is>
          <t>KATRINEHOLM</t>
        </is>
      </c>
      <c r="G670" t="n">
        <v>6.9</v>
      </c>
      <c r="H670" t="n">
        <v>0</v>
      </c>
      <c r="I670" t="n">
        <v>0</v>
      </c>
      <c r="J670" t="n">
        <v>0</v>
      </c>
      <c r="K670" t="n">
        <v>0</v>
      </c>
      <c r="L670" t="n">
        <v>0</v>
      </c>
      <c r="M670" t="n">
        <v>0</v>
      </c>
      <c r="N670" t="n">
        <v>0</v>
      </c>
      <c r="O670" t="n">
        <v>0</v>
      </c>
      <c r="P670" t="n">
        <v>0</v>
      </c>
      <c r="Q670" t="n">
        <v>0</v>
      </c>
      <c r="R670" s="2" t="inlineStr"/>
    </row>
    <row r="671" ht="15" customHeight="1">
      <c r="A671" t="inlineStr">
        <is>
          <t>A 37734-2022</t>
        </is>
      </c>
      <c r="B671" s="1" t="n">
        <v>44810</v>
      </c>
      <c r="C671" s="1" t="n">
        <v>45705</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37719-2022</t>
        </is>
      </c>
      <c r="B672" s="1" t="n">
        <v>44810</v>
      </c>
      <c r="C672" s="1" t="n">
        <v>45705</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38019-2022</t>
        </is>
      </c>
      <c r="B673" s="1" t="n">
        <v>44811</v>
      </c>
      <c r="C673" s="1" t="n">
        <v>45705</v>
      </c>
      <c r="D673" t="inlineStr">
        <is>
          <t>SÖDERMANLANDS LÄN</t>
        </is>
      </c>
      <c r="E673" t="inlineStr">
        <is>
          <t>KATRINEHOLM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45705</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39136-2022</t>
        </is>
      </c>
      <c r="B675" s="1" t="n">
        <v>44817</v>
      </c>
      <c r="C675" s="1" t="n">
        <v>45705</v>
      </c>
      <c r="D675" t="inlineStr">
        <is>
          <t>SÖDERMANLANDS LÄN</t>
        </is>
      </c>
      <c r="E675" t="inlineStr">
        <is>
          <t>KATRINEHOLM</t>
        </is>
      </c>
      <c r="F675" t="inlineStr">
        <is>
          <t>Övriga Aktiebolag</t>
        </is>
      </c>
      <c r="G675" t="n">
        <v>3.8</v>
      </c>
      <c r="H675" t="n">
        <v>0</v>
      </c>
      <c r="I675" t="n">
        <v>0</v>
      </c>
      <c r="J675" t="n">
        <v>0</v>
      </c>
      <c r="K675" t="n">
        <v>0</v>
      </c>
      <c r="L675" t="n">
        <v>0</v>
      </c>
      <c r="M675" t="n">
        <v>0</v>
      </c>
      <c r="N675" t="n">
        <v>0</v>
      </c>
      <c r="O675" t="n">
        <v>0</v>
      </c>
      <c r="P675" t="n">
        <v>0</v>
      </c>
      <c r="Q675" t="n">
        <v>0</v>
      </c>
      <c r="R675" s="2" t="inlineStr"/>
    </row>
    <row r="676" ht="15" customHeight="1">
      <c r="A676" t="inlineStr">
        <is>
          <t>A 39055-2022</t>
        </is>
      </c>
      <c r="B676" s="1" t="n">
        <v>44817</v>
      </c>
      <c r="C676" s="1" t="n">
        <v>45705</v>
      </c>
      <c r="D676" t="inlineStr">
        <is>
          <t>SÖDERMANLANDS LÄN</t>
        </is>
      </c>
      <c r="E676" t="inlineStr">
        <is>
          <t>KATRINEHOLM</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39305-2022</t>
        </is>
      </c>
      <c r="B677" s="1" t="n">
        <v>44817</v>
      </c>
      <c r="C677" s="1" t="n">
        <v>45705</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39239-2022</t>
        </is>
      </c>
      <c r="B678" s="1" t="n">
        <v>44817</v>
      </c>
      <c r="C678" s="1" t="n">
        <v>45705</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39522-2022</t>
        </is>
      </c>
      <c r="B679" s="1" t="n">
        <v>44817</v>
      </c>
      <c r="C679" s="1" t="n">
        <v>45705</v>
      </c>
      <c r="D679" t="inlineStr">
        <is>
          <t>SÖDERMANLANDS LÄN</t>
        </is>
      </c>
      <c r="E679" t="inlineStr">
        <is>
          <t>KATRINEHOLM</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39748-2022</t>
        </is>
      </c>
      <c r="B680" s="1" t="n">
        <v>44817</v>
      </c>
      <c r="C680" s="1" t="n">
        <v>45705</v>
      </c>
      <c r="D680" t="inlineStr">
        <is>
          <t>SÖDERMANLANDS LÄN</t>
        </is>
      </c>
      <c r="E680" t="inlineStr">
        <is>
          <t>KATRINEHOLM</t>
        </is>
      </c>
      <c r="G680" t="n">
        <v>10.2</v>
      </c>
      <c r="H680" t="n">
        <v>0</v>
      </c>
      <c r="I680" t="n">
        <v>0</v>
      </c>
      <c r="J680" t="n">
        <v>0</v>
      </c>
      <c r="K680" t="n">
        <v>0</v>
      </c>
      <c r="L680" t="n">
        <v>0</v>
      </c>
      <c r="M680" t="n">
        <v>0</v>
      </c>
      <c r="N680" t="n">
        <v>0</v>
      </c>
      <c r="O680" t="n">
        <v>0</v>
      </c>
      <c r="P680" t="n">
        <v>0</v>
      </c>
      <c r="Q680" t="n">
        <v>0</v>
      </c>
      <c r="R680" s="2" t="inlineStr"/>
    </row>
    <row r="681" ht="15" customHeight="1">
      <c r="A681" t="inlineStr">
        <is>
          <t>A 40393-2022</t>
        </is>
      </c>
      <c r="B681" s="1" t="n">
        <v>44823</v>
      </c>
      <c r="C681" s="1" t="n">
        <v>45705</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v>
      </c>
      <c r="C682" s="1" t="n">
        <v>45705</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40448-2022</t>
        </is>
      </c>
      <c r="B683" s="1" t="n">
        <v>44823</v>
      </c>
      <c r="C683" s="1" t="n">
        <v>45705</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40452-2022</t>
        </is>
      </c>
      <c r="B684" s="1" t="n">
        <v>44823</v>
      </c>
      <c r="C684" s="1" t="n">
        <v>45705</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40749-2022</t>
        </is>
      </c>
      <c r="B685" s="1" t="n">
        <v>44824</v>
      </c>
      <c r="C685" s="1" t="n">
        <v>45705</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40753-2022</t>
        </is>
      </c>
      <c r="B686" s="1" t="n">
        <v>44824</v>
      </c>
      <c r="C686" s="1" t="n">
        <v>45705</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40744-2022</t>
        </is>
      </c>
      <c r="B687" s="1" t="n">
        <v>44824</v>
      </c>
      <c r="C687" s="1" t="n">
        <v>45705</v>
      </c>
      <c r="D687" t="inlineStr">
        <is>
          <t>SÖDERMANLANDS LÄN</t>
        </is>
      </c>
      <c r="E687" t="inlineStr">
        <is>
          <t>KATRINEHOLM</t>
        </is>
      </c>
      <c r="G687" t="n">
        <v>3.7</v>
      </c>
      <c r="H687" t="n">
        <v>0</v>
      </c>
      <c r="I687" t="n">
        <v>0</v>
      </c>
      <c r="J687" t="n">
        <v>0</v>
      </c>
      <c r="K687" t="n">
        <v>0</v>
      </c>
      <c r="L687" t="n">
        <v>0</v>
      </c>
      <c r="M687" t="n">
        <v>0</v>
      </c>
      <c r="N687" t="n">
        <v>0</v>
      </c>
      <c r="O687" t="n">
        <v>0</v>
      </c>
      <c r="P687" t="n">
        <v>0</v>
      </c>
      <c r="Q687" t="n">
        <v>0</v>
      </c>
      <c r="R687" s="2" t="inlineStr"/>
    </row>
    <row r="688" ht="15" customHeight="1">
      <c r="A688" t="inlineStr">
        <is>
          <t>A 40814-2022</t>
        </is>
      </c>
      <c r="B688" s="1" t="n">
        <v>44824</v>
      </c>
      <c r="C688" s="1" t="n">
        <v>45705</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40818-2022</t>
        </is>
      </c>
      <c r="B689" s="1" t="n">
        <v>44824</v>
      </c>
      <c r="C689" s="1" t="n">
        <v>45705</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41229-2022</t>
        </is>
      </c>
      <c r="B690" s="1" t="n">
        <v>44825</v>
      </c>
      <c r="C690" s="1" t="n">
        <v>45705</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41534-2022</t>
        </is>
      </c>
      <c r="B691" s="1" t="n">
        <v>44827</v>
      </c>
      <c r="C691" s="1" t="n">
        <v>45705</v>
      </c>
      <c r="D691" t="inlineStr">
        <is>
          <t>SÖDERMANLANDS LÄN</t>
        </is>
      </c>
      <c r="E691" t="inlineStr">
        <is>
          <t>KATRINEHOLM</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41642-2022</t>
        </is>
      </c>
      <c r="B692" s="1" t="n">
        <v>44827</v>
      </c>
      <c r="C692" s="1" t="n">
        <v>45705</v>
      </c>
      <c r="D692" t="inlineStr">
        <is>
          <t>SÖDERMANLANDS LÄN</t>
        </is>
      </c>
      <c r="E692" t="inlineStr">
        <is>
          <t>KATRINEHOLM</t>
        </is>
      </c>
      <c r="G692" t="n">
        <v>2.4</v>
      </c>
      <c r="H692" t="n">
        <v>0</v>
      </c>
      <c r="I692" t="n">
        <v>0</v>
      </c>
      <c r="J692" t="n">
        <v>0</v>
      </c>
      <c r="K692" t="n">
        <v>0</v>
      </c>
      <c r="L692" t="n">
        <v>0</v>
      </c>
      <c r="M692" t="n">
        <v>0</v>
      </c>
      <c r="N692" t="n">
        <v>0</v>
      </c>
      <c r="O692" t="n">
        <v>0</v>
      </c>
      <c r="P692" t="n">
        <v>0</v>
      </c>
      <c r="Q692" t="n">
        <v>0</v>
      </c>
      <c r="R692" s="2" t="inlineStr"/>
    </row>
    <row r="693" ht="15" customHeight="1">
      <c r="A693" t="inlineStr">
        <is>
          <t>A 41950-2022</t>
        </is>
      </c>
      <c r="B693" s="1" t="n">
        <v>44830</v>
      </c>
      <c r="C693" s="1" t="n">
        <v>45705</v>
      </c>
      <c r="D693" t="inlineStr">
        <is>
          <t>SÖDERMANLANDS LÄN</t>
        </is>
      </c>
      <c r="E693" t="inlineStr">
        <is>
          <t>KATRINEHOLM</t>
        </is>
      </c>
      <c r="G693" t="n">
        <v>2.8</v>
      </c>
      <c r="H693" t="n">
        <v>0</v>
      </c>
      <c r="I693" t="n">
        <v>0</v>
      </c>
      <c r="J693" t="n">
        <v>0</v>
      </c>
      <c r="K693" t="n">
        <v>0</v>
      </c>
      <c r="L693" t="n">
        <v>0</v>
      </c>
      <c r="M693" t="n">
        <v>0</v>
      </c>
      <c r="N693" t="n">
        <v>0</v>
      </c>
      <c r="O693" t="n">
        <v>0</v>
      </c>
      <c r="P693" t="n">
        <v>0</v>
      </c>
      <c r="Q693" t="n">
        <v>0</v>
      </c>
      <c r="R693" s="2" t="inlineStr"/>
    </row>
    <row r="694" ht="15" customHeight="1">
      <c r="A694" t="inlineStr">
        <is>
          <t>A 42025-2022</t>
        </is>
      </c>
      <c r="B694" s="1" t="n">
        <v>44830</v>
      </c>
      <c r="C694" s="1" t="n">
        <v>45705</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v>
      </c>
      <c r="C695" s="1" t="n">
        <v>45705</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42020-2022</t>
        </is>
      </c>
      <c r="B696" s="1" t="n">
        <v>44830</v>
      </c>
      <c r="C696" s="1" t="n">
        <v>45705</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42111-2022</t>
        </is>
      </c>
      <c r="B697" s="1" t="n">
        <v>44830</v>
      </c>
      <c r="C697" s="1" t="n">
        <v>45705</v>
      </c>
      <c r="D697" t="inlineStr">
        <is>
          <t>SÖDERMANLANDS LÄN</t>
        </is>
      </c>
      <c r="E697" t="inlineStr">
        <is>
          <t>KATRINEHOLM</t>
        </is>
      </c>
      <c r="G697" t="n">
        <v>2.5</v>
      </c>
      <c r="H697" t="n">
        <v>0</v>
      </c>
      <c r="I697" t="n">
        <v>0</v>
      </c>
      <c r="J697" t="n">
        <v>0</v>
      </c>
      <c r="K697" t="n">
        <v>0</v>
      </c>
      <c r="L697" t="n">
        <v>0</v>
      </c>
      <c r="M697" t="n">
        <v>0</v>
      </c>
      <c r="N697" t="n">
        <v>0</v>
      </c>
      <c r="O697" t="n">
        <v>0</v>
      </c>
      <c r="P697" t="n">
        <v>0</v>
      </c>
      <c r="Q697" t="n">
        <v>0</v>
      </c>
      <c r="R697" s="2" t="inlineStr"/>
    </row>
    <row r="698" ht="15" customHeight="1">
      <c r="A698" t="inlineStr">
        <is>
          <t>A 42015-2022</t>
        </is>
      </c>
      <c r="B698" s="1" t="n">
        <v>44830</v>
      </c>
      <c r="C698" s="1" t="n">
        <v>45705</v>
      </c>
      <c r="D698" t="inlineStr">
        <is>
          <t>SÖDERMANLANDS LÄN</t>
        </is>
      </c>
      <c r="E698" t="inlineStr">
        <is>
          <t>KATRINEHOLM</t>
        </is>
      </c>
      <c r="G698" t="n">
        <v>3.8</v>
      </c>
      <c r="H698" t="n">
        <v>0</v>
      </c>
      <c r="I698" t="n">
        <v>0</v>
      </c>
      <c r="J698" t="n">
        <v>0</v>
      </c>
      <c r="K698" t="n">
        <v>0</v>
      </c>
      <c r="L698" t="n">
        <v>0</v>
      </c>
      <c r="M698" t="n">
        <v>0</v>
      </c>
      <c r="N698" t="n">
        <v>0</v>
      </c>
      <c r="O698" t="n">
        <v>0</v>
      </c>
      <c r="P698" t="n">
        <v>0</v>
      </c>
      <c r="Q698" t="n">
        <v>0</v>
      </c>
      <c r="R698" s="2" t="inlineStr"/>
    </row>
    <row r="699" ht="15" customHeight="1">
      <c r="A699" t="inlineStr">
        <is>
          <t>A 42595-2022</t>
        </is>
      </c>
      <c r="B699" s="1" t="n">
        <v>44831</v>
      </c>
      <c r="C699" s="1" t="n">
        <v>45705</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42590-2022</t>
        </is>
      </c>
      <c r="B700" s="1" t="n">
        <v>44831</v>
      </c>
      <c r="C700" s="1" t="n">
        <v>45705</v>
      </c>
      <c r="D700" t="inlineStr">
        <is>
          <t>SÖDERMANLANDS LÄN</t>
        </is>
      </c>
      <c r="E700" t="inlineStr">
        <is>
          <t>KATRINEHOLM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42735-2022</t>
        </is>
      </c>
      <c r="B701" s="1" t="n">
        <v>44832</v>
      </c>
      <c r="C701" s="1" t="n">
        <v>45705</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43088-2022</t>
        </is>
      </c>
      <c r="B702" s="1" t="n">
        <v>44833</v>
      </c>
      <c r="C702" s="1" t="n">
        <v>45705</v>
      </c>
      <c r="D702" t="inlineStr">
        <is>
          <t>SÖDERMANLANDS LÄN</t>
        </is>
      </c>
      <c r="E702" t="inlineStr">
        <is>
          <t>KATRINEHOLM</t>
        </is>
      </c>
      <c r="G702" t="n">
        <v>6.6</v>
      </c>
      <c r="H702" t="n">
        <v>0</v>
      </c>
      <c r="I702" t="n">
        <v>0</v>
      </c>
      <c r="J702" t="n">
        <v>0</v>
      </c>
      <c r="K702" t="n">
        <v>0</v>
      </c>
      <c r="L702" t="n">
        <v>0</v>
      </c>
      <c r="M702" t="n">
        <v>0</v>
      </c>
      <c r="N702" t="n">
        <v>0</v>
      </c>
      <c r="O702" t="n">
        <v>0</v>
      </c>
      <c r="P702" t="n">
        <v>0</v>
      </c>
      <c r="Q702" t="n">
        <v>0</v>
      </c>
      <c r="R702" s="2" t="inlineStr"/>
    </row>
    <row r="703" ht="15" customHeight="1">
      <c r="A703" t="inlineStr">
        <is>
          <t>A 43967-2022</t>
        </is>
      </c>
      <c r="B703" s="1" t="n">
        <v>44837</v>
      </c>
      <c r="C703" s="1" t="n">
        <v>45705</v>
      </c>
      <c r="D703" t="inlineStr">
        <is>
          <t>SÖDERMANLANDS LÄN</t>
        </is>
      </c>
      <c r="E703" t="inlineStr">
        <is>
          <t>KATRINEHOLM</t>
        </is>
      </c>
      <c r="G703" t="n">
        <v>6.2</v>
      </c>
      <c r="H703" t="n">
        <v>0</v>
      </c>
      <c r="I703" t="n">
        <v>0</v>
      </c>
      <c r="J703" t="n">
        <v>0</v>
      </c>
      <c r="K703" t="n">
        <v>0</v>
      </c>
      <c r="L703" t="n">
        <v>0</v>
      </c>
      <c r="M703" t="n">
        <v>0</v>
      </c>
      <c r="N703" t="n">
        <v>0</v>
      </c>
      <c r="O703" t="n">
        <v>0</v>
      </c>
      <c r="P703" t="n">
        <v>0</v>
      </c>
      <c r="Q703" t="n">
        <v>0</v>
      </c>
      <c r="R703" s="2" t="inlineStr"/>
    </row>
    <row r="704" ht="15" customHeight="1">
      <c r="A704" t="inlineStr">
        <is>
          <t>A 43964-2022</t>
        </is>
      </c>
      <c r="B704" s="1" t="n">
        <v>44837</v>
      </c>
      <c r="C704" s="1" t="n">
        <v>45705</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43837-2022</t>
        </is>
      </c>
      <c r="B705" s="1" t="n">
        <v>44838</v>
      </c>
      <c r="C705" s="1" t="n">
        <v>45705</v>
      </c>
      <c r="D705" t="inlineStr">
        <is>
          <t>SÖDERMANLANDS LÄN</t>
        </is>
      </c>
      <c r="E705" t="inlineStr">
        <is>
          <t>KATRINEHOLM</t>
        </is>
      </c>
      <c r="G705" t="n">
        <v>1.6</v>
      </c>
      <c r="H705" t="n">
        <v>0</v>
      </c>
      <c r="I705" t="n">
        <v>0</v>
      </c>
      <c r="J705" t="n">
        <v>0</v>
      </c>
      <c r="K705" t="n">
        <v>0</v>
      </c>
      <c r="L705" t="n">
        <v>0</v>
      </c>
      <c r="M705" t="n">
        <v>0</v>
      </c>
      <c r="N705" t="n">
        <v>0</v>
      </c>
      <c r="O705" t="n">
        <v>0</v>
      </c>
      <c r="P705" t="n">
        <v>0</v>
      </c>
      <c r="Q705" t="n">
        <v>0</v>
      </c>
      <c r="R705" s="2" t="inlineStr"/>
    </row>
    <row r="706" ht="15" customHeight="1">
      <c r="A706" t="inlineStr">
        <is>
          <t>A 44012-2022</t>
        </is>
      </c>
      <c r="B706" s="1" t="n">
        <v>44838</v>
      </c>
      <c r="C706" s="1" t="n">
        <v>45705</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44138-2022</t>
        </is>
      </c>
      <c r="B707" s="1" t="n">
        <v>44839</v>
      </c>
      <c r="C707" s="1" t="n">
        <v>45705</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44989-2022</t>
        </is>
      </c>
      <c r="B708" s="1" t="n">
        <v>44840</v>
      </c>
      <c r="C708" s="1" t="n">
        <v>45705</v>
      </c>
      <c r="D708" t="inlineStr">
        <is>
          <t>SÖDERMANLANDS LÄN</t>
        </is>
      </c>
      <c r="E708" t="inlineStr">
        <is>
          <t>KATRINEHOLM</t>
        </is>
      </c>
      <c r="G708" t="n">
        <v>6</v>
      </c>
      <c r="H708" t="n">
        <v>0</v>
      </c>
      <c r="I708" t="n">
        <v>0</v>
      </c>
      <c r="J708" t="n">
        <v>0</v>
      </c>
      <c r="K708" t="n">
        <v>0</v>
      </c>
      <c r="L708" t="n">
        <v>0</v>
      </c>
      <c r="M708" t="n">
        <v>0</v>
      </c>
      <c r="N708" t="n">
        <v>0</v>
      </c>
      <c r="O708" t="n">
        <v>0</v>
      </c>
      <c r="P708" t="n">
        <v>0</v>
      </c>
      <c r="Q708" t="n">
        <v>0</v>
      </c>
      <c r="R708" s="2" t="inlineStr"/>
    </row>
    <row r="709" ht="15" customHeight="1">
      <c r="A709" t="inlineStr">
        <is>
          <t>A 44915-2022</t>
        </is>
      </c>
      <c r="B709" s="1" t="n">
        <v>44840</v>
      </c>
      <c r="C709" s="1" t="n">
        <v>45705</v>
      </c>
      <c r="D709" t="inlineStr">
        <is>
          <t>SÖDERMANLANDS LÄN</t>
        </is>
      </c>
      <c r="E709" t="inlineStr">
        <is>
          <t>KATRINEHOLM</t>
        </is>
      </c>
      <c r="G709" t="n">
        <v>6.3</v>
      </c>
      <c r="H709" t="n">
        <v>0</v>
      </c>
      <c r="I709" t="n">
        <v>0</v>
      </c>
      <c r="J709" t="n">
        <v>0</v>
      </c>
      <c r="K709" t="n">
        <v>0</v>
      </c>
      <c r="L709" t="n">
        <v>0</v>
      </c>
      <c r="M709" t="n">
        <v>0</v>
      </c>
      <c r="N709" t="n">
        <v>0</v>
      </c>
      <c r="O709" t="n">
        <v>0</v>
      </c>
      <c r="P709" t="n">
        <v>0</v>
      </c>
      <c r="Q709" t="n">
        <v>0</v>
      </c>
      <c r="R709" s="2" t="inlineStr"/>
    </row>
    <row r="710" ht="15" customHeight="1">
      <c r="A710" t="inlineStr">
        <is>
          <t>A 45038-2022</t>
        </is>
      </c>
      <c r="B710" s="1" t="n">
        <v>44840</v>
      </c>
      <c r="C710" s="1" t="n">
        <v>45705</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45376-2022</t>
        </is>
      </c>
      <c r="B711" s="1" t="n">
        <v>44844</v>
      </c>
      <c r="C711" s="1" t="n">
        <v>45705</v>
      </c>
      <c r="D711" t="inlineStr">
        <is>
          <t>SÖDERMANLANDS LÄN</t>
        </is>
      </c>
      <c r="E711" t="inlineStr">
        <is>
          <t>KATRINEHOLM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45222-2022</t>
        </is>
      </c>
      <c r="B712" s="1" t="n">
        <v>44844</v>
      </c>
      <c r="C712" s="1" t="n">
        <v>45705</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45274-2022</t>
        </is>
      </c>
      <c r="B713" s="1" t="n">
        <v>44844</v>
      </c>
      <c r="C713" s="1" t="n">
        <v>45705</v>
      </c>
      <c r="D713" t="inlineStr">
        <is>
          <t>SÖDERMANLANDS LÄN</t>
        </is>
      </c>
      <c r="E713" t="inlineStr">
        <is>
          <t>KATRINEHOLM</t>
        </is>
      </c>
      <c r="G713" t="n">
        <v>0.4</v>
      </c>
      <c r="H713" t="n">
        <v>0</v>
      </c>
      <c r="I713" t="n">
        <v>0</v>
      </c>
      <c r="J713" t="n">
        <v>0</v>
      </c>
      <c r="K713" t="n">
        <v>0</v>
      </c>
      <c r="L713" t="n">
        <v>0</v>
      </c>
      <c r="M713" t="n">
        <v>0</v>
      </c>
      <c r="N713" t="n">
        <v>0</v>
      </c>
      <c r="O713" t="n">
        <v>0</v>
      </c>
      <c r="P713" t="n">
        <v>0</v>
      </c>
      <c r="Q713" t="n">
        <v>0</v>
      </c>
      <c r="R713" s="2" t="inlineStr"/>
    </row>
    <row r="714" ht="15" customHeight="1">
      <c r="A714" t="inlineStr">
        <is>
          <t>A 45793-2022</t>
        </is>
      </c>
      <c r="B714" s="1" t="n">
        <v>44844</v>
      </c>
      <c r="C714" s="1" t="n">
        <v>45705</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45878-2022</t>
        </is>
      </c>
      <c r="B715" s="1" t="n">
        <v>44844</v>
      </c>
      <c r="C715" s="1" t="n">
        <v>45705</v>
      </c>
      <c r="D715" t="inlineStr">
        <is>
          <t>SÖDERMANLANDS LÄN</t>
        </is>
      </c>
      <c r="E715" t="inlineStr">
        <is>
          <t>KATRINEHOLM</t>
        </is>
      </c>
      <c r="G715" t="n">
        <v>22.4</v>
      </c>
      <c r="H715" t="n">
        <v>0</v>
      </c>
      <c r="I715" t="n">
        <v>0</v>
      </c>
      <c r="J715" t="n">
        <v>0</v>
      </c>
      <c r="K715" t="n">
        <v>0</v>
      </c>
      <c r="L715" t="n">
        <v>0</v>
      </c>
      <c r="M715" t="n">
        <v>0</v>
      </c>
      <c r="N715" t="n">
        <v>0</v>
      </c>
      <c r="O715" t="n">
        <v>0</v>
      </c>
      <c r="P715" t="n">
        <v>0</v>
      </c>
      <c r="Q715" t="n">
        <v>0</v>
      </c>
      <c r="R715" s="2" t="inlineStr"/>
    </row>
    <row r="716" ht="15" customHeight="1">
      <c r="A716" t="inlineStr">
        <is>
          <t>A 46487-2022</t>
        </is>
      </c>
      <c r="B716" s="1" t="n">
        <v>44847</v>
      </c>
      <c r="C716" s="1" t="n">
        <v>45705</v>
      </c>
      <c r="D716" t="inlineStr">
        <is>
          <t>SÖDERMANLANDS LÄN</t>
        </is>
      </c>
      <c r="E716" t="inlineStr">
        <is>
          <t>KATRINEHOLM</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46569-2022</t>
        </is>
      </c>
      <c r="B717" s="1" t="n">
        <v>44847</v>
      </c>
      <c r="C717" s="1" t="n">
        <v>45705</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46412-2022</t>
        </is>
      </c>
      <c r="B718" s="1" t="n">
        <v>44848</v>
      </c>
      <c r="C718" s="1" t="n">
        <v>45705</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46899-2022</t>
        </is>
      </c>
      <c r="B719" s="1" t="n">
        <v>44848</v>
      </c>
      <c r="C719" s="1" t="n">
        <v>45705</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46862-2022</t>
        </is>
      </c>
      <c r="B720" s="1" t="n">
        <v>44851</v>
      </c>
      <c r="C720" s="1" t="n">
        <v>45705</v>
      </c>
      <c r="D720" t="inlineStr">
        <is>
          <t>SÖDERMANLANDS LÄN</t>
        </is>
      </c>
      <c r="E720" t="inlineStr">
        <is>
          <t>KATRINEHOLM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46867-2022</t>
        </is>
      </c>
      <c r="B721" s="1" t="n">
        <v>44851</v>
      </c>
      <c r="C721" s="1" t="n">
        <v>45705</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45705</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47456-2022</t>
        </is>
      </c>
      <c r="B723" s="1" t="n">
        <v>44852</v>
      </c>
      <c r="C723" s="1" t="n">
        <v>45705</v>
      </c>
      <c r="D723" t="inlineStr">
        <is>
          <t>SÖDERMANLANDS LÄN</t>
        </is>
      </c>
      <c r="E723" t="inlineStr">
        <is>
          <t>KATRINEHOLM</t>
        </is>
      </c>
      <c r="G723" t="n">
        <v>3.7</v>
      </c>
      <c r="H723" t="n">
        <v>0</v>
      </c>
      <c r="I723" t="n">
        <v>0</v>
      </c>
      <c r="J723" t="n">
        <v>0</v>
      </c>
      <c r="K723" t="n">
        <v>0</v>
      </c>
      <c r="L723" t="n">
        <v>0</v>
      </c>
      <c r="M723" t="n">
        <v>0</v>
      </c>
      <c r="N723" t="n">
        <v>0</v>
      </c>
      <c r="O723" t="n">
        <v>0</v>
      </c>
      <c r="P723" t="n">
        <v>0</v>
      </c>
      <c r="Q723" t="n">
        <v>0</v>
      </c>
      <c r="R723" s="2" t="inlineStr"/>
    </row>
    <row r="724" ht="15" customHeight="1">
      <c r="A724" t="inlineStr">
        <is>
          <t>A 47331-2022</t>
        </is>
      </c>
      <c r="B724" s="1" t="n">
        <v>44853</v>
      </c>
      <c r="C724" s="1" t="n">
        <v>45705</v>
      </c>
      <c r="D724" t="inlineStr">
        <is>
          <t>SÖDERMANLANDS LÄN</t>
        </is>
      </c>
      <c r="E724" t="inlineStr">
        <is>
          <t>KATRINEHOLM</t>
        </is>
      </c>
      <c r="G724" t="n">
        <v>4.6</v>
      </c>
      <c r="H724" t="n">
        <v>0</v>
      </c>
      <c r="I724" t="n">
        <v>0</v>
      </c>
      <c r="J724" t="n">
        <v>0</v>
      </c>
      <c r="K724" t="n">
        <v>0</v>
      </c>
      <c r="L724" t="n">
        <v>0</v>
      </c>
      <c r="M724" t="n">
        <v>0</v>
      </c>
      <c r="N724" t="n">
        <v>0</v>
      </c>
      <c r="O724" t="n">
        <v>0</v>
      </c>
      <c r="P724" t="n">
        <v>0</v>
      </c>
      <c r="Q724" t="n">
        <v>0</v>
      </c>
      <c r="R724" s="2" t="inlineStr"/>
    </row>
    <row r="725" ht="15" customHeight="1">
      <c r="A725" t="inlineStr">
        <is>
          <t>A 47472-2022</t>
        </is>
      </c>
      <c r="B725" s="1" t="n">
        <v>44853</v>
      </c>
      <c r="C725" s="1" t="n">
        <v>45705</v>
      </c>
      <c r="D725" t="inlineStr">
        <is>
          <t>SÖDERMANLANDS LÄN</t>
        </is>
      </c>
      <c r="E725" t="inlineStr">
        <is>
          <t>KATRINEHOLM</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48018-2022</t>
        </is>
      </c>
      <c r="B726" s="1" t="n">
        <v>44853</v>
      </c>
      <c r="C726" s="1" t="n">
        <v>45705</v>
      </c>
      <c r="D726" t="inlineStr">
        <is>
          <t>SÖDERMANLANDS LÄN</t>
        </is>
      </c>
      <c r="E726" t="inlineStr">
        <is>
          <t>KATRINEHOLM</t>
        </is>
      </c>
      <c r="G726" t="n">
        <v>15.1</v>
      </c>
      <c r="H726" t="n">
        <v>0</v>
      </c>
      <c r="I726" t="n">
        <v>0</v>
      </c>
      <c r="J726" t="n">
        <v>0</v>
      </c>
      <c r="K726" t="n">
        <v>0</v>
      </c>
      <c r="L726" t="n">
        <v>0</v>
      </c>
      <c r="M726" t="n">
        <v>0</v>
      </c>
      <c r="N726" t="n">
        <v>0</v>
      </c>
      <c r="O726" t="n">
        <v>0</v>
      </c>
      <c r="P726" t="n">
        <v>0</v>
      </c>
      <c r="Q726" t="n">
        <v>0</v>
      </c>
      <c r="R726" s="2" t="inlineStr"/>
    </row>
    <row r="727" ht="15" customHeight="1">
      <c r="A727" t="inlineStr">
        <is>
          <t>A 48160-2022</t>
        </is>
      </c>
      <c r="B727" s="1" t="n">
        <v>44853</v>
      </c>
      <c r="C727" s="1" t="n">
        <v>45705</v>
      </c>
      <c r="D727" t="inlineStr">
        <is>
          <t>SÖDERMANLANDS LÄN</t>
        </is>
      </c>
      <c r="E727" t="inlineStr">
        <is>
          <t>KATRINEHOLM</t>
        </is>
      </c>
      <c r="F727" t="inlineStr">
        <is>
          <t>Övriga statliga verk och myndigheter</t>
        </is>
      </c>
      <c r="G727" t="n">
        <v>2.2</v>
      </c>
      <c r="H727" t="n">
        <v>0</v>
      </c>
      <c r="I727" t="n">
        <v>0</v>
      </c>
      <c r="J727" t="n">
        <v>0</v>
      </c>
      <c r="K727" t="n">
        <v>0</v>
      </c>
      <c r="L727" t="n">
        <v>0</v>
      </c>
      <c r="M727" t="n">
        <v>0</v>
      </c>
      <c r="N727" t="n">
        <v>0</v>
      </c>
      <c r="O727" t="n">
        <v>0</v>
      </c>
      <c r="P727" t="n">
        <v>0</v>
      </c>
      <c r="Q727" t="n">
        <v>0</v>
      </c>
      <c r="R727" s="2" t="inlineStr"/>
    </row>
    <row r="728" ht="15" customHeight="1">
      <c r="A728" t="inlineStr">
        <is>
          <t>A 48173-2022</t>
        </is>
      </c>
      <c r="B728" s="1" t="n">
        <v>44853</v>
      </c>
      <c r="C728" s="1" t="n">
        <v>45705</v>
      </c>
      <c r="D728" t="inlineStr">
        <is>
          <t>SÖDERMANLANDS LÄN</t>
        </is>
      </c>
      <c r="E728" t="inlineStr">
        <is>
          <t>KATRINEHOLM</t>
        </is>
      </c>
      <c r="F728" t="inlineStr">
        <is>
          <t>Övriga statliga verk och myndigheter</t>
        </is>
      </c>
      <c r="G728" t="n">
        <v>3.2</v>
      </c>
      <c r="H728" t="n">
        <v>0</v>
      </c>
      <c r="I728" t="n">
        <v>0</v>
      </c>
      <c r="J728" t="n">
        <v>0</v>
      </c>
      <c r="K728" t="n">
        <v>0</v>
      </c>
      <c r="L728" t="n">
        <v>0</v>
      </c>
      <c r="M728" t="n">
        <v>0</v>
      </c>
      <c r="N728" t="n">
        <v>0</v>
      </c>
      <c r="O728" t="n">
        <v>0</v>
      </c>
      <c r="P728" t="n">
        <v>0</v>
      </c>
      <c r="Q728" t="n">
        <v>0</v>
      </c>
      <c r="R728" s="2" t="inlineStr"/>
    </row>
    <row r="729" ht="15" customHeight="1">
      <c r="A729" t="inlineStr">
        <is>
          <t>A 48166-2022</t>
        </is>
      </c>
      <c r="B729" s="1" t="n">
        <v>44853</v>
      </c>
      <c r="C729" s="1" t="n">
        <v>45705</v>
      </c>
      <c r="D729" t="inlineStr">
        <is>
          <t>SÖDERMANLANDS LÄN</t>
        </is>
      </c>
      <c r="E729" t="inlineStr">
        <is>
          <t>KATRINEHOLM</t>
        </is>
      </c>
      <c r="F729" t="inlineStr">
        <is>
          <t>Övriga statliga verk och myndigheter</t>
        </is>
      </c>
      <c r="G729" t="n">
        <v>0.6</v>
      </c>
      <c r="H729" t="n">
        <v>0</v>
      </c>
      <c r="I729" t="n">
        <v>0</v>
      </c>
      <c r="J729" t="n">
        <v>0</v>
      </c>
      <c r="K729" t="n">
        <v>0</v>
      </c>
      <c r="L729" t="n">
        <v>0</v>
      </c>
      <c r="M729" t="n">
        <v>0</v>
      </c>
      <c r="N729" t="n">
        <v>0</v>
      </c>
      <c r="O729" t="n">
        <v>0</v>
      </c>
      <c r="P729" t="n">
        <v>0</v>
      </c>
      <c r="Q729" t="n">
        <v>0</v>
      </c>
      <c r="R729" s="2" t="inlineStr"/>
    </row>
    <row r="730" ht="15" customHeight="1">
      <c r="A730" t="inlineStr">
        <is>
          <t>A 48840-2022</t>
        </is>
      </c>
      <c r="B730" s="1" t="n">
        <v>44854</v>
      </c>
      <c r="C730" s="1" t="n">
        <v>45705</v>
      </c>
      <c r="D730" t="inlineStr">
        <is>
          <t>SÖDERMANLANDS LÄN</t>
        </is>
      </c>
      <c r="E730" t="inlineStr">
        <is>
          <t>KATRINEHOLM</t>
        </is>
      </c>
      <c r="G730" t="n">
        <v>6.2</v>
      </c>
      <c r="H730" t="n">
        <v>0</v>
      </c>
      <c r="I730" t="n">
        <v>0</v>
      </c>
      <c r="J730" t="n">
        <v>0</v>
      </c>
      <c r="K730" t="n">
        <v>0</v>
      </c>
      <c r="L730" t="n">
        <v>0</v>
      </c>
      <c r="M730" t="n">
        <v>0</v>
      </c>
      <c r="N730" t="n">
        <v>0</v>
      </c>
      <c r="O730" t="n">
        <v>0</v>
      </c>
      <c r="P730" t="n">
        <v>0</v>
      </c>
      <c r="Q730" t="n">
        <v>0</v>
      </c>
      <c r="R730" s="2" t="inlineStr"/>
    </row>
    <row r="731" ht="15" customHeight="1">
      <c r="A731" t="inlineStr">
        <is>
          <t>A 48846-2022</t>
        </is>
      </c>
      <c r="B731" s="1" t="n">
        <v>44854</v>
      </c>
      <c r="C731" s="1" t="n">
        <v>45705</v>
      </c>
      <c r="D731" t="inlineStr">
        <is>
          <t>SÖDERMANLANDS LÄN</t>
        </is>
      </c>
      <c r="E731" t="inlineStr">
        <is>
          <t>KATRINEHOLM</t>
        </is>
      </c>
      <c r="G731" t="n">
        <v>3.2</v>
      </c>
      <c r="H731" t="n">
        <v>0</v>
      </c>
      <c r="I731" t="n">
        <v>0</v>
      </c>
      <c r="J731" t="n">
        <v>0</v>
      </c>
      <c r="K731" t="n">
        <v>0</v>
      </c>
      <c r="L731" t="n">
        <v>0</v>
      </c>
      <c r="M731" t="n">
        <v>0</v>
      </c>
      <c r="N731" t="n">
        <v>0</v>
      </c>
      <c r="O731" t="n">
        <v>0</v>
      </c>
      <c r="P731" t="n">
        <v>0</v>
      </c>
      <c r="Q731" t="n">
        <v>0</v>
      </c>
      <c r="R731" s="2" t="inlineStr"/>
    </row>
    <row r="732" ht="15" customHeight="1">
      <c r="A732" t="inlineStr">
        <is>
          <t>A 48028-2022</t>
        </is>
      </c>
      <c r="B732" s="1" t="n">
        <v>44855</v>
      </c>
      <c r="C732" s="1" t="n">
        <v>45705</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48030-2022</t>
        </is>
      </c>
      <c r="B733" s="1" t="n">
        <v>44855</v>
      </c>
      <c r="C733" s="1" t="n">
        <v>45705</v>
      </c>
      <c r="D733" t="inlineStr">
        <is>
          <t>SÖDERMANLANDS LÄN</t>
        </is>
      </c>
      <c r="E733" t="inlineStr">
        <is>
          <t>KATRINEHOLM</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48398-2022</t>
        </is>
      </c>
      <c r="B734" s="1" t="n">
        <v>44858</v>
      </c>
      <c r="C734" s="1" t="n">
        <v>45705</v>
      </c>
      <c r="D734" t="inlineStr">
        <is>
          <t>SÖDERMANLANDS LÄN</t>
        </is>
      </c>
      <c r="E734" t="inlineStr">
        <is>
          <t>KATRINEHOLM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48253-2022</t>
        </is>
      </c>
      <c r="B735" s="1" t="n">
        <v>44858</v>
      </c>
      <c r="C735" s="1" t="n">
        <v>45705</v>
      </c>
      <c r="D735" t="inlineStr">
        <is>
          <t>SÖDERMANLANDS LÄN</t>
        </is>
      </c>
      <c r="E735" t="inlineStr">
        <is>
          <t>KATRINEHOLM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48259-2022</t>
        </is>
      </c>
      <c r="B736" s="1" t="n">
        <v>44858</v>
      </c>
      <c r="C736" s="1" t="n">
        <v>45705</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48685-2022</t>
        </is>
      </c>
      <c r="B737" s="1" t="n">
        <v>44859</v>
      </c>
      <c r="C737" s="1" t="n">
        <v>45705</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48877-2022</t>
        </is>
      </c>
      <c r="B738" s="1" t="n">
        <v>44859</v>
      </c>
      <c r="C738" s="1" t="n">
        <v>45705</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48682-2022</t>
        </is>
      </c>
      <c r="B739" s="1" t="n">
        <v>44859</v>
      </c>
      <c r="C739" s="1" t="n">
        <v>45705</v>
      </c>
      <c r="D739" t="inlineStr">
        <is>
          <t>SÖDERMANLANDS LÄN</t>
        </is>
      </c>
      <c r="E739" t="inlineStr">
        <is>
          <t>KATRINEHOLM</t>
        </is>
      </c>
      <c r="G739" t="n">
        <v>2</v>
      </c>
      <c r="H739" t="n">
        <v>0</v>
      </c>
      <c r="I739" t="n">
        <v>0</v>
      </c>
      <c r="J739" t="n">
        <v>0</v>
      </c>
      <c r="K739" t="n">
        <v>0</v>
      </c>
      <c r="L739" t="n">
        <v>0</v>
      </c>
      <c r="M739" t="n">
        <v>0</v>
      </c>
      <c r="N739" t="n">
        <v>0</v>
      </c>
      <c r="O739" t="n">
        <v>0</v>
      </c>
      <c r="P739" t="n">
        <v>0</v>
      </c>
      <c r="Q739" t="n">
        <v>0</v>
      </c>
      <c r="R739" s="2" t="inlineStr"/>
    </row>
    <row r="740" ht="15" customHeight="1">
      <c r="A740" t="inlineStr">
        <is>
          <t>A 50032-2022</t>
        </is>
      </c>
      <c r="B740" s="1" t="n">
        <v>44860</v>
      </c>
      <c r="C740" s="1" t="n">
        <v>45705</v>
      </c>
      <c r="D740" t="inlineStr">
        <is>
          <t>SÖDERMANLANDS LÄN</t>
        </is>
      </c>
      <c r="E740" t="inlineStr">
        <is>
          <t>KATRINEHOLM</t>
        </is>
      </c>
      <c r="G740" t="n">
        <v>7.5</v>
      </c>
      <c r="H740" t="n">
        <v>0</v>
      </c>
      <c r="I740" t="n">
        <v>0</v>
      </c>
      <c r="J740" t="n">
        <v>0</v>
      </c>
      <c r="K740" t="n">
        <v>0</v>
      </c>
      <c r="L740" t="n">
        <v>0</v>
      </c>
      <c r="M740" t="n">
        <v>0</v>
      </c>
      <c r="N740" t="n">
        <v>0</v>
      </c>
      <c r="O740" t="n">
        <v>0</v>
      </c>
      <c r="P740" t="n">
        <v>0</v>
      </c>
      <c r="Q740" t="n">
        <v>0</v>
      </c>
      <c r="R740" s="2" t="inlineStr"/>
    </row>
    <row r="741" ht="15" customHeight="1">
      <c r="A741" t="inlineStr">
        <is>
          <t>A 49700-2022</t>
        </is>
      </c>
      <c r="B741" s="1" t="n">
        <v>44862</v>
      </c>
      <c r="C741" s="1" t="n">
        <v>45705</v>
      </c>
      <c r="D741" t="inlineStr">
        <is>
          <t>SÖDERMANLANDS LÄN</t>
        </is>
      </c>
      <c r="E741" t="inlineStr">
        <is>
          <t>KATRINEHOLM</t>
        </is>
      </c>
      <c r="G741" t="n">
        <v>19.5</v>
      </c>
      <c r="H741" t="n">
        <v>0</v>
      </c>
      <c r="I741" t="n">
        <v>0</v>
      </c>
      <c r="J741" t="n">
        <v>0</v>
      </c>
      <c r="K741" t="n">
        <v>0</v>
      </c>
      <c r="L741" t="n">
        <v>0</v>
      </c>
      <c r="M741" t="n">
        <v>0</v>
      </c>
      <c r="N741" t="n">
        <v>0</v>
      </c>
      <c r="O741" t="n">
        <v>0</v>
      </c>
      <c r="P741" t="n">
        <v>0</v>
      </c>
      <c r="Q741" t="n">
        <v>0</v>
      </c>
      <c r="R741" s="2" t="inlineStr"/>
    </row>
    <row r="742" ht="15" customHeight="1">
      <c r="A742" t="inlineStr">
        <is>
          <t>A 49800-2022</t>
        </is>
      </c>
      <c r="B742" s="1" t="n">
        <v>44862</v>
      </c>
      <c r="C742" s="1" t="n">
        <v>45705</v>
      </c>
      <c r="D742" t="inlineStr">
        <is>
          <t>SÖDERMANLANDS LÄN</t>
        </is>
      </c>
      <c r="E742" t="inlineStr">
        <is>
          <t>KATRINEHOLM</t>
        </is>
      </c>
      <c r="F742" t="inlineStr">
        <is>
          <t>Kyrkan</t>
        </is>
      </c>
      <c r="G742" t="n">
        <v>4.2</v>
      </c>
      <c r="H742" t="n">
        <v>0</v>
      </c>
      <c r="I742" t="n">
        <v>0</v>
      </c>
      <c r="J742" t="n">
        <v>0</v>
      </c>
      <c r="K742" t="n">
        <v>0</v>
      </c>
      <c r="L742" t="n">
        <v>0</v>
      </c>
      <c r="M742" t="n">
        <v>0</v>
      </c>
      <c r="N742" t="n">
        <v>0</v>
      </c>
      <c r="O742" t="n">
        <v>0</v>
      </c>
      <c r="P742" t="n">
        <v>0</v>
      </c>
      <c r="Q742" t="n">
        <v>0</v>
      </c>
      <c r="R742" s="2" t="inlineStr"/>
    </row>
    <row r="743" ht="15" customHeight="1">
      <c r="A743" t="inlineStr">
        <is>
          <t>A 50840-2022</t>
        </is>
      </c>
      <c r="B743" s="1" t="n">
        <v>44862</v>
      </c>
      <c r="C743" s="1" t="n">
        <v>45705</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50061-2022</t>
        </is>
      </c>
      <c r="B744" s="1" t="n">
        <v>44865</v>
      </c>
      <c r="C744" s="1" t="n">
        <v>45705</v>
      </c>
      <c r="D744" t="inlineStr">
        <is>
          <t>SÖDERMANLANDS LÄN</t>
        </is>
      </c>
      <c r="E744" t="inlineStr">
        <is>
          <t>KATRINEHOLM</t>
        </is>
      </c>
      <c r="G744" t="n">
        <v>4.9</v>
      </c>
      <c r="H744" t="n">
        <v>0</v>
      </c>
      <c r="I744" t="n">
        <v>0</v>
      </c>
      <c r="J744" t="n">
        <v>0</v>
      </c>
      <c r="K744" t="n">
        <v>0</v>
      </c>
      <c r="L744" t="n">
        <v>0</v>
      </c>
      <c r="M744" t="n">
        <v>0</v>
      </c>
      <c r="N744" t="n">
        <v>0</v>
      </c>
      <c r="O744" t="n">
        <v>0</v>
      </c>
      <c r="P744" t="n">
        <v>0</v>
      </c>
      <c r="Q744" t="n">
        <v>0</v>
      </c>
      <c r="R744" s="2" t="inlineStr"/>
    </row>
    <row r="745" ht="15" customHeight="1">
      <c r="A745" t="inlineStr">
        <is>
          <t>A 50079-2022</t>
        </is>
      </c>
      <c r="B745" s="1" t="n">
        <v>44865</v>
      </c>
      <c r="C745" s="1" t="n">
        <v>45705</v>
      </c>
      <c r="D745" t="inlineStr">
        <is>
          <t>SÖDERMANLANDS LÄN</t>
        </is>
      </c>
      <c r="E745" t="inlineStr">
        <is>
          <t>KATRINEHOLM</t>
        </is>
      </c>
      <c r="F745" t="inlineStr">
        <is>
          <t>Kyrkan</t>
        </is>
      </c>
      <c r="G745" t="n">
        <v>8.1</v>
      </c>
      <c r="H745" t="n">
        <v>0</v>
      </c>
      <c r="I745" t="n">
        <v>0</v>
      </c>
      <c r="J745" t="n">
        <v>0</v>
      </c>
      <c r="K745" t="n">
        <v>0</v>
      </c>
      <c r="L745" t="n">
        <v>0</v>
      </c>
      <c r="M745" t="n">
        <v>0</v>
      </c>
      <c r="N745" t="n">
        <v>0</v>
      </c>
      <c r="O745" t="n">
        <v>0</v>
      </c>
      <c r="P745" t="n">
        <v>0</v>
      </c>
      <c r="Q745" t="n">
        <v>0</v>
      </c>
      <c r="R745" s="2" t="inlineStr"/>
    </row>
    <row r="746" ht="15" customHeight="1">
      <c r="A746" t="inlineStr">
        <is>
          <t>A 51186-2022</t>
        </is>
      </c>
      <c r="B746" s="1" t="n">
        <v>44865</v>
      </c>
      <c r="C746" s="1" t="n">
        <v>45705</v>
      </c>
      <c r="D746" t="inlineStr">
        <is>
          <t>SÖDERMANLANDS LÄN</t>
        </is>
      </c>
      <c r="E746" t="inlineStr">
        <is>
          <t>KATRINEHOLM</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50625-2022</t>
        </is>
      </c>
      <c r="B747" s="1" t="n">
        <v>44866</v>
      </c>
      <c r="C747" s="1" t="n">
        <v>45705</v>
      </c>
      <c r="D747" t="inlineStr">
        <is>
          <t>SÖDERMANLANDS LÄN</t>
        </is>
      </c>
      <c r="E747" t="inlineStr">
        <is>
          <t>KATRINEHOLM</t>
        </is>
      </c>
      <c r="F747" t="inlineStr">
        <is>
          <t>Kyrkan</t>
        </is>
      </c>
      <c r="G747" t="n">
        <v>25</v>
      </c>
      <c r="H747" t="n">
        <v>0</v>
      </c>
      <c r="I747" t="n">
        <v>0</v>
      </c>
      <c r="J747" t="n">
        <v>0</v>
      </c>
      <c r="K747" t="n">
        <v>0</v>
      </c>
      <c r="L747" t="n">
        <v>0</v>
      </c>
      <c r="M747" t="n">
        <v>0</v>
      </c>
      <c r="N747" t="n">
        <v>0</v>
      </c>
      <c r="O747" t="n">
        <v>0</v>
      </c>
      <c r="P747" t="n">
        <v>0</v>
      </c>
      <c r="Q747" t="n">
        <v>0</v>
      </c>
      <c r="R747" s="2" t="inlineStr"/>
    </row>
    <row r="748" ht="15" customHeight="1">
      <c r="A748" t="inlineStr">
        <is>
          <t>A 51602-2022</t>
        </is>
      </c>
      <c r="B748" s="1" t="n">
        <v>44871</v>
      </c>
      <c r="C748" s="1" t="n">
        <v>45705</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51613-2022</t>
        </is>
      </c>
      <c r="B749" s="1" t="n">
        <v>44871</v>
      </c>
      <c r="C749" s="1" t="n">
        <v>45705</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51848-2022</t>
        </is>
      </c>
      <c r="B750" s="1" t="n">
        <v>44872</v>
      </c>
      <c r="C750" s="1" t="n">
        <v>45705</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51885-2022</t>
        </is>
      </c>
      <c r="B751" s="1" t="n">
        <v>44872</v>
      </c>
      <c r="C751" s="1" t="n">
        <v>45705</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51805-2022</t>
        </is>
      </c>
      <c r="B752" s="1" t="n">
        <v>44872</v>
      </c>
      <c r="C752" s="1" t="n">
        <v>45705</v>
      </c>
      <c r="D752" t="inlineStr">
        <is>
          <t>SÖDERMANLANDS LÄN</t>
        </is>
      </c>
      <c r="E752" t="inlineStr">
        <is>
          <t>KATRINEHOLM</t>
        </is>
      </c>
      <c r="G752" t="n">
        <v>3.8</v>
      </c>
      <c r="H752" t="n">
        <v>0</v>
      </c>
      <c r="I752" t="n">
        <v>0</v>
      </c>
      <c r="J752" t="n">
        <v>0</v>
      </c>
      <c r="K752" t="n">
        <v>0</v>
      </c>
      <c r="L752" t="n">
        <v>0</v>
      </c>
      <c r="M752" t="n">
        <v>0</v>
      </c>
      <c r="N752" t="n">
        <v>0</v>
      </c>
      <c r="O752" t="n">
        <v>0</v>
      </c>
      <c r="P752" t="n">
        <v>0</v>
      </c>
      <c r="Q752" t="n">
        <v>0</v>
      </c>
      <c r="R752" s="2" t="inlineStr"/>
    </row>
    <row r="753" ht="15" customHeight="1">
      <c r="A753" t="inlineStr">
        <is>
          <t>A 51817-2022</t>
        </is>
      </c>
      <c r="B753" s="1" t="n">
        <v>44872</v>
      </c>
      <c r="C753" s="1" t="n">
        <v>45705</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51835-2022</t>
        </is>
      </c>
      <c r="B754" s="1" t="n">
        <v>44872</v>
      </c>
      <c r="C754" s="1" t="n">
        <v>45705</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51868-2022</t>
        </is>
      </c>
      <c r="B755" s="1" t="n">
        <v>44872</v>
      </c>
      <c r="C755" s="1" t="n">
        <v>45705</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52402-2022</t>
        </is>
      </c>
      <c r="B756" s="1" t="n">
        <v>44874</v>
      </c>
      <c r="C756" s="1" t="n">
        <v>45705</v>
      </c>
      <c r="D756" t="inlineStr">
        <is>
          <t>SÖDERMANLANDS LÄN</t>
        </is>
      </c>
      <c r="E756" t="inlineStr">
        <is>
          <t>KATRINEHOLM</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53750-2022</t>
        </is>
      </c>
      <c r="B757" s="1" t="n">
        <v>44875</v>
      </c>
      <c r="C757" s="1" t="n">
        <v>45705</v>
      </c>
      <c r="D757" t="inlineStr">
        <is>
          <t>SÖDERMANLANDS LÄN</t>
        </is>
      </c>
      <c r="E757" t="inlineStr">
        <is>
          <t>KATRINEHOLM</t>
        </is>
      </c>
      <c r="F757" t="inlineStr">
        <is>
          <t>Övriga Aktiebolag</t>
        </is>
      </c>
      <c r="G757" t="n">
        <v>12.6</v>
      </c>
      <c r="H757" t="n">
        <v>0</v>
      </c>
      <c r="I757" t="n">
        <v>0</v>
      </c>
      <c r="J757" t="n">
        <v>0</v>
      </c>
      <c r="K757" t="n">
        <v>0</v>
      </c>
      <c r="L757" t="n">
        <v>0</v>
      </c>
      <c r="M757" t="n">
        <v>0</v>
      </c>
      <c r="N757" t="n">
        <v>0</v>
      </c>
      <c r="O757" t="n">
        <v>0</v>
      </c>
      <c r="P757" t="n">
        <v>0</v>
      </c>
      <c r="Q757" t="n">
        <v>0</v>
      </c>
      <c r="R757" s="2" t="inlineStr"/>
    </row>
    <row r="758" ht="15" customHeight="1">
      <c r="A758" t="inlineStr">
        <is>
          <t>A 53332-2022</t>
        </is>
      </c>
      <c r="B758" s="1" t="n">
        <v>44879</v>
      </c>
      <c r="C758" s="1" t="n">
        <v>45705</v>
      </c>
      <c r="D758" t="inlineStr">
        <is>
          <t>SÖDERMANLANDS LÄN</t>
        </is>
      </c>
      <c r="E758" t="inlineStr">
        <is>
          <t>KATRINEHOLM</t>
        </is>
      </c>
      <c r="F758" t="inlineStr">
        <is>
          <t>Allmännings- och besparingsskogar</t>
        </is>
      </c>
      <c r="G758" t="n">
        <v>7.2</v>
      </c>
      <c r="H758" t="n">
        <v>0</v>
      </c>
      <c r="I758" t="n">
        <v>0</v>
      </c>
      <c r="J758" t="n">
        <v>0</v>
      </c>
      <c r="K758" t="n">
        <v>0</v>
      </c>
      <c r="L758" t="n">
        <v>0</v>
      </c>
      <c r="M758" t="n">
        <v>0</v>
      </c>
      <c r="N758" t="n">
        <v>0</v>
      </c>
      <c r="O758" t="n">
        <v>0</v>
      </c>
      <c r="P758" t="n">
        <v>0</v>
      </c>
      <c r="Q758" t="n">
        <v>0</v>
      </c>
      <c r="R758" s="2" t="inlineStr"/>
    </row>
    <row r="759" ht="15" customHeight="1">
      <c r="A759" t="inlineStr">
        <is>
          <t>A 55172-2022</t>
        </is>
      </c>
      <c r="B759" s="1" t="n">
        <v>44886</v>
      </c>
      <c r="C759" s="1" t="n">
        <v>45705</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55122-2022</t>
        </is>
      </c>
      <c r="B760" s="1" t="n">
        <v>44886</v>
      </c>
      <c r="C760" s="1" t="n">
        <v>45705</v>
      </c>
      <c r="D760" t="inlineStr">
        <is>
          <t>SÖDERMANLANDS LÄN</t>
        </is>
      </c>
      <c r="E760" t="inlineStr">
        <is>
          <t>KATRINEHOLM</t>
        </is>
      </c>
      <c r="G760" t="n">
        <v>6.5</v>
      </c>
      <c r="H760" t="n">
        <v>0</v>
      </c>
      <c r="I760" t="n">
        <v>0</v>
      </c>
      <c r="J760" t="n">
        <v>0</v>
      </c>
      <c r="K760" t="n">
        <v>0</v>
      </c>
      <c r="L760" t="n">
        <v>0</v>
      </c>
      <c r="M760" t="n">
        <v>0</v>
      </c>
      <c r="N760" t="n">
        <v>0</v>
      </c>
      <c r="O760" t="n">
        <v>0</v>
      </c>
      <c r="P760" t="n">
        <v>0</v>
      </c>
      <c r="Q760" t="n">
        <v>0</v>
      </c>
      <c r="R760" s="2" t="inlineStr"/>
    </row>
    <row r="761" ht="15" customHeight="1">
      <c r="A761" t="inlineStr">
        <is>
          <t>A 55169-2022</t>
        </is>
      </c>
      <c r="B761" s="1" t="n">
        <v>44886</v>
      </c>
      <c r="C761" s="1" t="n">
        <v>45705</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55825-2022</t>
        </is>
      </c>
      <c r="B762" s="1" t="n">
        <v>44886</v>
      </c>
      <c r="C762" s="1" t="n">
        <v>45705</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55296-2022</t>
        </is>
      </c>
      <c r="B763" s="1" t="n">
        <v>44887</v>
      </c>
      <c r="C763" s="1" t="n">
        <v>45705</v>
      </c>
      <c r="D763" t="inlineStr">
        <is>
          <t>SÖDERMANLANDS LÄN</t>
        </is>
      </c>
      <c r="E763" t="inlineStr">
        <is>
          <t>KATRINEHOLM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55846-2022</t>
        </is>
      </c>
      <c r="B764" s="1" t="n">
        <v>44888</v>
      </c>
      <c r="C764" s="1" t="n">
        <v>45705</v>
      </c>
      <c r="D764" t="inlineStr">
        <is>
          <t>SÖDERMANLANDS LÄN</t>
        </is>
      </c>
      <c r="E764" t="inlineStr">
        <is>
          <t>KATRINEHOLM</t>
        </is>
      </c>
      <c r="G764" t="n">
        <v>5.7</v>
      </c>
      <c r="H764" t="n">
        <v>0</v>
      </c>
      <c r="I764" t="n">
        <v>0</v>
      </c>
      <c r="J764" t="n">
        <v>0</v>
      </c>
      <c r="K764" t="n">
        <v>0</v>
      </c>
      <c r="L764" t="n">
        <v>0</v>
      </c>
      <c r="M764" t="n">
        <v>0</v>
      </c>
      <c r="N764" t="n">
        <v>0</v>
      </c>
      <c r="O764" t="n">
        <v>0</v>
      </c>
      <c r="P764" t="n">
        <v>0</v>
      </c>
      <c r="Q764" t="n">
        <v>0</v>
      </c>
      <c r="R764" s="2" t="inlineStr"/>
    </row>
    <row r="765" ht="15" customHeight="1">
      <c r="A765" t="inlineStr">
        <is>
          <t>A 55863-2022</t>
        </is>
      </c>
      <c r="B765" s="1" t="n">
        <v>44888</v>
      </c>
      <c r="C765" s="1" t="n">
        <v>45705</v>
      </c>
      <c r="D765" t="inlineStr">
        <is>
          <t>SÖDERMANLANDS LÄN</t>
        </is>
      </c>
      <c r="E765" t="inlineStr">
        <is>
          <t>KATRINEHOLM</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55856-2022</t>
        </is>
      </c>
      <c r="B766" s="1" t="n">
        <v>44888</v>
      </c>
      <c r="C766" s="1" t="n">
        <v>45705</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55865-2022</t>
        </is>
      </c>
      <c r="B767" s="1" t="n">
        <v>44888</v>
      </c>
      <c r="C767" s="1" t="n">
        <v>45705</v>
      </c>
      <c r="D767" t="inlineStr">
        <is>
          <t>SÖDERMANLANDS LÄN</t>
        </is>
      </c>
      <c r="E767" t="inlineStr">
        <is>
          <t>KATRINEHOLM</t>
        </is>
      </c>
      <c r="G767" t="n">
        <v>9.1</v>
      </c>
      <c r="H767" t="n">
        <v>0</v>
      </c>
      <c r="I767" t="n">
        <v>0</v>
      </c>
      <c r="J767" t="n">
        <v>0</v>
      </c>
      <c r="K767" t="n">
        <v>0</v>
      </c>
      <c r="L767" t="n">
        <v>0</v>
      </c>
      <c r="M767" t="n">
        <v>0</v>
      </c>
      <c r="N767" t="n">
        <v>0</v>
      </c>
      <c r="O767" t="n">
        <v>0</v>
      </c>
      <c r="P767" t="n">
        <v>0</v>
      </c>
      <c r="Q767" t="n">
        <v>0</v>
      </c>
      <c r="R767" s="2" t="inlineStr"/>
    </row>
    <row r="768" ht="15" customHeight="1">
      <c r="A768" t="inlineStr">
        <is>
          <t>A 55857-2022</t>
        </is>
      </c>
      <c r="B768" s="1" t="n">
        <v>44888</v>
      </c>
      <c r="C768" s="1" t="n">
        <v>45705</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57548-2022</t>
        </is>
      </c>
      <c r="B769" s="1" t="n">
        <v>44889</v>
      </c>
      <c r="C769" s="1" t="n">
        <v>45705</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56221-2022</t>
        </is>
      </c>
      <c r="B770" s="1" t="n">
        <v>44890</v>
      </c>
      <c r="C770" s="1" t="n">
        <v>45705</v>
      </c>
      <c r="D770" t="inlineStr">
        <is>
          <t>SÖDERMANLANDS LÄN</t>
        </is>
      </c>
      <c r="E770" t="inlineStr">
        <is>
          <t>KATRINEHOLM</t>
        </is>
      </c>
      <c r="G770" t="n">
        <v>4.6</v>
      </c>
      <c r="H770" t="n">
        <v>0</v>
      </c>
      <c r="I770" t="n">
        <v>0</v>
      </c>
      <c r="J770" t="n">
        <v>0</v>
      </c>
      <c r="K770" t="n">
        <v>0</v>
      </c>
      <c r="L770" t="n">
        <v>0</v>
      </c>
      <c r="M770" t="n">
        <v>0</v>
      </c>
      <c r="N770" t="n">
        <v>0</v>
      </c>
      <c r="O770" t="n">
        <v>0</v>
      </c>
      <c r="P770" t="n">
        <v>0</v>
      </c>
      <c r="Q770" t="n">
        <v>0</v>
      </c>
      <c r="R770" s="2" t="inlineStr"/>
    </row>
    <row r="771" ht="15" customHeight="1">
      <c r="A771" t="inlineStr">
        <is>
          <t>A 56216-2022</t>
        </is>
      </c>
      <c r="B771" s="1" t="n">
        <v>44890</v>
      </c>
      <c r="C771" s="1" t="n">
        <v>45705</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56220-2022</t>
        </is>
      </c>
      <c r="B772" s="1" t="n">
        <v>44890</v>
      </c>
      <c r="C772" s="1" t="n">
        <v>45705</v>
      </c>
      <c r="D772" t="inlineStr">
        <is>
          <t>SÖDERMANLANDS LÄN</t>
        </is>
      </c>
      <c r="E772" t="inlineStr">
        <is>
          <t>KATRINEHOLM</t>
        </is>
      </c>
      <c r="G772" t="n">
        <v>1.9</v>
      </c>
      <c r="H772" t="n">
        <v>0</v>
      </c>
      <c r="I772" t="n">
        <v>0</v>
      </c>
      <c r="J772" t="n">
        <v>0</v>
      </c>
      <c r="K772" t="n">
        <v>0</v>
      </c>
      <c r="L772" t="n">
        <v>0</v>
      </c>
      <c r="M772" t="n">
        <v>0</v>
      </c>
      <c r="N772" t="n">
        <v>0</v>
      </c>
      <c r="O772" t="n">
        <v>0</v>
      </c>
      <c r="P772" t="n">
        <v>0</v>
      </c>
      <c r="Q772" t="n">
        <v>0</v>
      </c>
      <c r="R772" s="2" t="inlineStr"/>
    </row>
    <row r="773" ht="15" customHeight="1">
      <c r="A773" t="inlineStr">
        <is>
          <t>A 56304-2022</t>
        </is>
      </c>
      <c r="B773" s="1" t="n">
        <v>44890</v>
      </c>
      <c r="C773" s="1" t="n">
        <v>45705</v>
      </c>
      <c r="D773" t="inlineStr">
        <is>
          <t>SÖDERMANLANDS LÄN</t>
        </is>
      </c>
      <c r="E773" t="inlineStr">
        <is>
          <t>KATRINEHOLM</t>
        </is>
      </c>
      <c r="G773" t="n">
        <v>9</v>
      </c>
      <c r="H773" t="n">
        <v>0</v>
      </c>
      <c r="I773" t="n">
        <v>0</v>
      </c>
      <c r="J773" t="n">
        <v>0</v>
      </c>
      <c r="K773" t="n">
        <v>0</v>
      </c>
      <c r="L773" t="n">
        <v>0</v>
      </c>
      <c r="M773" t="n">
        <v>0</v>
      </c>
      <c r="N773" t="n">
        <v>0</v>
      </c>
      <c r="O773" t="n">
        <v>0</v>
      </c>
      <c r="P773" t="n">
        <v>0</v>
      </c>
      <c r="Q773" t="n">
        <v>0</v>
      </c>
      <c r="R773" s="2" t="inlineStr"/>
    </row>
    <row r="774" ht="15" customHeight="1">
      <c r="A774" t="inlineStr">
        <is>
          <t>A 57696-2022</t>
        </is>
      </c>
      <c r="B774" s="1" t="n">
        <v>44890</v>
      </c>
      <c r="C774" s="1" t="n">
        <v>45705</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57727-2022</t>
        </is>
      </c>
      <c r="B775" s="1" t="n">
        <v>44890</v>
      </c>
      <c r="C775" s="1" t="n">
        <v>45705</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57265-2022</t>
        </is>
      </c>
      <c r="B776" s="1" t="n">
        <v>44895</v>
      </c>
      <c r="C776" s="1" t="n">
        <v>45705</v>
      </c>
      <c r="D776" t="inlineStr">
        <is>
          <t>SÖDERMANLANDS LÄN</t>
        </is>
      </c>
      <c r="E776" t="inlineStr">
        <is>
          <t>KATRINEHOLM</t>
        </is>
      </c>
      <c r="G776" t="n">
        <v>2</v>
      </c>
      <c r="H776" t="n">
        <v>0</v>
      </c>
      <c r="I776" t="n">
        <v>0</v>
      </c>
      <c r="J776" t="n">
        <v>0</v>
      </c>
      <c r="K776" t="n">
        <v>0</v>
      </c>
      <c r="L776" t="n">
        <v>0</v>
      </c>
      <c r="M776" t="n">
        <v>0</v>
      </c>
      <c r="N776" t="n">
        <v>0</v>
      </c>
      <c r="O776" t="n">
        <v>0</v>
      </c>
      <c r="P776" t="n">
        <v>0</v>
      </c>
      <c r="Q776" t="n">
        <v>0</v>
      </c>
      <c r="R776" s="2" t="inlineStr"/>
    </row>
    <row r="777" ht="15" customHeight="1">
      <c r="A777" t="inlineStr">
        <is>
          <t>A 57263-2022</t>
        </is>
      </c>
      <c r="B777" s="1" t="n">
        <v>44895</v>
      </c>
      <c r="C777" s="1" t="n">
        <v>45705</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59386-2022</t>
        </is>
      </c>
      <c r="B778" s="1" t="n">
        <v>44905</v>
      </c>
      <c r="C778" s="1" t="n">
        <v>45705</v>
      </c>
      <c r="D778" t="inlineStr">
        <is>
          <t>SÖDERMANLANDS LÄN</t>
        </is>
      </c>
      <c r="E778" t="inlineStr">
        <is>
          <t>KATRINEHOLM</t>
        </is>
      </c>
      <c r="G778" t="n">
        <v>1</v>
      </c>
      <c r="H778" t="n">
        <v>0</v>
      </c>
      <c r="I778" t="n">
        <v>0</v>
      </c>
      <c r="J778" t="n">
        <v>0</v>
      </c>
      <c r="K778" t="n">
        <v>0</v>
      </c>
      <c r="L778" t="n">
        <v>0</v>
      </c>
      <c r="M778" t="n">
        <v>0</v>
      </c>
      <c r="N778" t="n">
        <v>0</v>
      </c>
      <c r="O778" t="n">
        <v>0</v>
      </c>
      <c r="P778" t="n">
        <v>0</v>
      </c>
      <c r="Q778" t="n">
        <v>0</v>
      </c>
      <c r="R778" s="2" t="inlineStr"/>
    </row>
    <row r="779" ht="15" customHeight="1">
      <c r="A779" t="inlineStr">
        <is>
          <t>A 59384-2022</t>
        </is>
      </c>
      <c r="B779" s="1" t="n">
        <v>44905</v>
      </c>
      <c r="C779" s="1" t="n">
        <v>45705</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59898-2022</t>
        </is>
      </c>
      <c r="B780" s="1" t="n">
        <v>44908</v>
      </c>
      <c r="C780" s="1" t="n">
        <v>45705</v>
      </c>
      <c r="D780" t="inlineStr">
        <is>
          <t>SÖDERMANLANDS LÄN</t>
        </is>
      </c>
      <c r="E780" t="inlineStr">
        <is>
          <t>KATRINEHOLM</t>
        </is>
      </c>
      <c r="G780" t="n">
        <v>4.8</v>
      </c>
      <c r="H780" t="n">
        <v>0</v>
      </c>
      <c r="I780" t="n">
        <v>0</v>
      </c>
      <c r="J780" t="n">
        <v>0</v>
      </c>
      <c r="K780" t="n">
        <v>0</v>
      </c>
      <c r="L780" t="n">
        <v>0</v>
      </c>
      <c r="M780" t="n">
        <v>0</v>
      </c>
      <c r="N780" t="n">
        <v>0</v>
      </c>
      <c r="O780" t="n">
        <v>0</v>
      </c>
      <c r="P780" t="n">
        <v>0</v>
      </c>
      <c r="Q780" t="n">
        <v>0</v>
      </c>
      <c r="R780" s="2" t="inlineStr"/>
    </row>
    <row r="781" ht="15" customHeight="1">
      <c r="A781" t="inlineStr">
        <is>
          <t>A 59896-2022</t>
        </is>
      </c>
      <c r="B781" s="1" t="n">
        <v>44908</v>
      </c>
      <c r="C781" s="1" t="n">
        <v>45705</v>
      </c>
      <c r="D781" t="inlineStr">
        <is>
          <t>SÖDERMANLANDS LÄN</t>
        </is>
      </c>
      <c r="E781" t="inlineStr">
        <is>
          <t>KATRINEHOLM</t>
        </is>
      </c>
      <c r="G781" t="n">
        <v>2.4</v>
      </c>
      <c r="H781" t="n">
        <v>0</v>
      </c>
      <c r="I781" t="n">
        <v>0</v>
      </c>
      <c r="J781" t="n">
        <v>0</v>
      </c>
      <c r="K781" t="n">
        <v>0</v>
      </c>
      <c r="L781" t="n">
        <v>0</v>
      </c>
      <c r="M781" t="n">
        <v>0</v>
      </c>
      <c r="N781" t="n">
        <v>0</v>
      </c>
      <c r="O781" t="n">
        <v>0</v>
      </c>
      <c r="P781" t="n">
        <v>0</v>
      </c>
      <c r="Q781" t="n">
        <v>0</v>
      </c>
      <c r="R781" s="2" t="inlineStr"/>
    </row>
    <row r="782" ht="15" customHeight="1">
      <c r="A782" t="inlineStr">
        <is>
          <t>A 60160-2022</t>
        </is>
      </c>
      <c r="B782" s="1" t="n">
        <v>44909</v>
      </c>
      <c r="C782" s="1" t="n">
        <v>45705</v>
      </c>
      <c r="D782" t="inlineStr">
        <is>
          <t>SÖDERMANLANDS LÄN</t>
        </is>
      </c>
      <c r="E782" t="inlineStr">
        <is>
          <t>KATRINEHOLM</t>
        </is>
      </c>
      <c r="F782" t="inlineStr">
        <is>
          <t>Allmännings- och besparingsskogar</t>
        </is>
      </c>
      <c r="G782" t="n">
        <v>2</v>
      </c>
      <c r="H782" t="n">
        <v>0</v>
      </c>
      <c r="I782" t="n">
        <v>0</v>
      </c>
      <c r="J782" t="n">
        <v>0</v>
      </c>
      <c r="K782" t="n">
        <v>0</v>
      </c>
      <c r="L782" t="n">
        <v>0</v>
      </c>
      <c r="M782" t="n">
        <v>0</v>
      </c>
      <c r="N782" t="n">
        <v>0</v>
      </c>
      <c r="O782" t="n">
        <v>0</v>
      </c>
      <c r="P782" t="n">
        <v>0</v>
      </c>
      <c r="Q782" t="n">
        <v>0</v>
      </c>
      <c r="R782" s="2" t="inlineStr"/>
    </row>
    <row r="783" ht="15" customHeight="1">
      <c r="A783" t="inlineStr">
        <is>
          <t>A 61010-2022</t>
        </is>
      </c>
      <c r="B783" s="1" t="n">
        <v>44914</v>
      </c>
      <c r="C783" s="1" t="n">
        <v>45705</v>
      </c>
      <c r="D783" t="inlineStr">
        <is>
          <t>SÖDERMANLANDS LÄN</t>
        </is>
      </c>
      <c r="E783" t="inlineStr">
        <is>
          <t>KATRINEHOLM</t>
        </is>
      </c>
      <c r="G783" t="n">
        <v>1.3</v>
      </c>
      <c r="H783" t="n">
        <v>0</v>
      </c>
      <c r="I783" t="n">
        <v>0</v>
      </c>
      <c r="J783" t="n">
        <v>0</v>
      </c>
      <c r="K783" t="n">
        <v>0</v>
      </c>
      <c r="L783" t="n">
        <v>0</v>
      </c>
      <c r="M783" t="n">
        <v>0</v>
      </c>
      <c r="N783" t="n">
        <v>0</v>
      </c>
      <c r="O783" t="n">
        <v>0</v>
      </c>
      <c r="P783" t="n">
        <v>0</v>
      </c>
      <c r="Q783" t="n">
        <v>0</v>
      </c>
      <c r="R783" s="2" t="inlineStr"/>
    </row>
    <row r="784" ht="15" customHeight="1">
      <c r="A784" t="inlineStr">
        <is>
          <t>A 62140-2022</t>
        </is>
      </c>
      <c r="B784" s="1" t="n">
        <v>44922</v>
      </c>
      <c r="C784" s="1" t="n">
        <v>45705</v>
      </c>
      <c r="D784" t="inlineStr">
        <is>
          <t>SÖDERMANLANDS LÄN</t>
        </is>
      </c>
      <c r="E784" t="inlineStr">
        <is>
          <t>KATRINEHOLM</t>
        </is>
      </c>
      <c r="F784" t="inlineStr">
        <is>
          <t>Övriga Aktiebolag</t>
        </is>
      </c>
      <c r="G784" t="n">
        <v>2.4</v>
      </c>
      <c r="H784" t="n">
        <v>0</v>
      </c>
      <c r="I784" t="n">
        <v>0</v>
      </c>
      <c r="J784" t="n">
        <v>0</v>
      </c>
      <c r="K784" t="n">
        <v>0</v>
      </c>
      <c r="L784" t="n">
        <v>0</v>
      </c>
      <c r="M784" t="n">
        <v>0</v>
      </c>
      <c r="N784" t="n">
        <v>0</v>
      </c>
      <c r="O784" t="n">
        <v>0</v>
      </c>
      <c r="P784" t="n">
        <v>0</v>
      </c>
      <c r="Q784" t="n">
        <v>0</v>
      </c>
      <c r="R784" s="2" t="inlineStr"/>
    </row>
    <row r="785" ht="15" customHeight="1">
      <c r="A785" t="inlineStr">
        <is>
          <t>A 62506-2022</t>
        </is>
      </c>
      <c r="B785" s="1" t="n">
        <v>44924</v>
      </c>
      <c r="C785" s="1" t="n">
        <v>45705</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36-2023</t>
        </is>
      </c>
      <c r="B786" s="1" t="n">
        <v>44928</v>
      </c>
      <c r="C786" s="1" t="n">
        <v>45705</v>
      </c>
      <c r="D786" t="inlineStr">
        <is>
          <t>SÖDERMANLANDS LÄN</t>
        </is>
      </c>
      <c r="E786" t="inlineStr">
        <is>
          <t>KATRINEHOLM</t>
        </is>
      </c>
      <c r="G786" t="n">
        <v>3.7</v>
      </c>
      <c r="H786" t="n">
        <v>0</v>
      </c>
      <c r="I786" t="n">
        <v>0</v>
      </c>
      <c r="J786" t="n">
        <v>0</v>
      </c>
      <c r="K786" t="n">
        <v>0</v>
      </c>
      <c r="L786" t="n">
        <v>0</v>
      </c>
      <c r="M786" t="n">
        <v>0</v>
      </c>
      <c r="N786" t="n">
        <v>0</v>
      </c>
      <c r="O786" t="n">
        <v>0</v>
      </c>
      <c r="P786" t="n">
        <v>0</v>
      </c>
      <c r="Q786" t="n">
        <v>0</v>
      </c>
      <c r="R786" s="2" t="inlineStr"/>
    </row>
    <row r="787" ht="15" customHeight="1">
      <c r="A787" t="inlineStr">
        <is>
          <t>A 931-2023</t>
        </is>
      </c>
      <c r="B787" s="1" t="n">
        <v>44932</v>
      </c>
      <c r="C787" s="1" t="n">
        <v>45705</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948-2023</t>
        </is>
      </c>
      <c r="B788" s="1" t="n">
        <v>44934</v>
      </c>
      <c r="C788" s="1" t="n">
        <v>45705</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1552-2023</t>
        </is>
      </c>
      <c r="B789" s="1" t="n">
        <v>44937</v>
      </c>
      <c r="C789" s="1" t="n">
        <v>45705</v>
      </c>
      <c r="D789" t="inlineStr">
        <is>
          <t>SÖDERMANLANDS LÄN</t>
        </is>
      </c>
      <c r="E789" t="inlineStr">
        <is>
          <t>KATRINEHOLM</t>
        </is>
      </c>
      <c r="G789" t="n">
        <v>7.2</v>
      </c>
      <c r="H789" t="n">
        <v>0</v>
      </c>
      <c r="I789" t="n">
        <v>0</v>
      </c>
      <c r="J789" t="n">
        <v>0</v>
      </c>
      <c r="K789" t="n">
        <v>0</v>
      </c>
      <c r="L789" t="n">
        <v>0</v>
      </c>
      <c r="M789" t="n">
        <v>0</v>
      </c>
      <c r="N789" t="n">
        <v>0</v>
      </c>
      <c r="O789" t="n">
        <v>0</v>
      </c>
      <c r="P789" t="n">
        <v>0</v>
      </c>
      <c r="Q789" t="n">
        <v>0</v>
      </c>
      <c r="R789" s="2" t="inlineStr"/>
    </row>
    <row r="790" ht="15" customHeight="1">
      <c r="A790" t="inlineStr">
        <is>
          <t>A 2233-2023</t>
        </is>
      </c>
      <c r="B790" s="1" t="n">
        <v>44942</v>
      </c>
      <c r="C790" s="1" t="n">
        <v>45705</v>
      </c>
      <c r="D790" t="inlineStr">
        <is>
          <t>SÖDERMANLANDS LÄN</t>
        </is>
      </c>
      <c r="E790" t="inlineStr">
        <is>
          <t>KATRINEHOLM</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2325-2023</t>
        </is>
      </c>
      <c r="B791" s="1" t="n">
        <v>44942</v>
      </c>
      <c r="C791" s="1" t="n">
        <v>45705</v>
      </c>
      <c r="D791" t="inlineStr">
        <is>
          <t>SÖDERMANLANDS LÄN</t>
        </is>
      </c>
      <c r="E791" t="inlineStr">
        <is>
          <t>KATRINEHOLM</t>
        </is>
      </c>
      <c r="G791" t="n">
        <v>5.6</v>
      </c>
      <c r="H791" t="n">
        <v>0</v>
      </c>
      <c r="I791" t="n">
        <v>0</v>
      </c>
      <c r="J791" t="n">
        <v>0</v>
      </c>
      <c r="K791" t="n">
        <v>0</v>
      </c>
      <c r="L791" t="n">
        <v>0</v>
      </c>
      <c r="M791" t="n">
        <v>0</v>
      </c>
      <c r="N791" t="n">
        <v>0</v>
      </c>
      <c r="O791" t="n">
        <v>0</v>
      </c>
      <c r="P791" t="n">
        <v>0</v>
      </c>
      <c r="Q791" t="n">
        <v>0</v>
      </c>
      <c r="R791" s="2" t="inlineStr"/>
    </row>
    <row r="792" ht="15" customHeight="1">
      <c r="A792" t="inlineStr">
        <is>
          <t>A 2320-2023</t>
        </is>
      </c>
      <c r="B792" s="1" t="n">
        <v>44942</v>
      </c>
      <c r="C792" s="1" t="n">
        <v>45705</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2613-2023</t>
        </is>
      </c>
      <c r="B793" s="1" t="n">
        <v>44944</v>
      </c>
      <c r="C793" s="1" t="n">
        <v>45705</v>
      </c>
      <c r="D793" t="inlineStr">
        <is>
          <t>SÖDERMANLANDS LÄN</t>
        </is>
      </c>
      <c r="E793" t="inlineStr">
        <is>
          <t>KATRINEHOLM</t>
        </is>
      </c>
      <c r="G793" t="n">
        <v>7.9</v>
      </c>
      <c r="H793" t="n">
        <v>0</v>
      </c>
      <c r="I793" t="n">
        <v>0</v>
      </c>
      <c r="J793" t="n">
        <v>0</v>
      </c>
      <c r="K793" t="n">
        <v>0</v>
      </c>
      <c r="L793" t="n">
        <v>0</v>
      </c>
      <c r="M793" t="n">
        <v>0</v>
      </c>
      <c r="N793" t="n">
        <v>0</v>
      </c>
      <c r="O793" t="n">
        <v>0</v>
      </c>
      <c r="P793" t="n">
        <v>0</v>
      </c>
      <c r="Q793" t="n">
        <v>0</v>
      </c>
      <c r="R793" s="2" t="inlineStr"/>
    </row>
    <row r="794" ht="15" customHeight="1">
      <c r="A794" t="inlineStr">
        <is>
          <t>A 3315-2023</t>
        </is>
      </c>
      <c r="B794" s="1" t="n">
        <v>44945</v>
      </c>
      <c r="C794" s="1" t="n">
        <v>45705</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3317-2023</t>
        </is>
      </c>
      <c r="B795" s="1" t="n">
        <v>44945</v>
      </c>
      <c r="C795" s="1" t="n">
        <v>45705</v>
      </c>
      <c r="D795" t="inlineStr">
        <is>
          <t>SÖDERMANLANDS LÄN</t>
        </is>
      </c>
      <c r="E795" t="inlineStr">
        <is>
          <t>KATRINEHOLM</t>
        </is>
      </c>
      <c r="G795" t="n">
        <v>3.2</v>
      </c>
      <c r="H795" t="n">
        <v>0</v>
      </c>
      <c r="I795" t="n">
        <v>0</v>
      </c>
      <c r="J795" t="n">
        <v>0</v>
      </c>
      <c r="K795" t="n">
        <v>0</v>
      </c>
      <c r="L795" t="n">
        <v>0</v>
      </c>
      <c r="M795" t="n">
        <v>0</v>
      </c>
      <c r="N795" t="n">
        <v>0</v>
      </c>
      <c r="O795" t="n">
        <v>0</v>
      </c>
      <c r="P795" t="n">
        <v>0</v>
      </c>
      <c r="Q795" t="n">
        <v>0</v>
      </c>
      <c r="R795" s="2" t="inlineStr"/>
    </row>
    <row r="796" ht="15" customHeight="1">
      <c r="A796" t="inlineStr">
        <is>
          <t>A 3290-2023</t>
        </is>
      </c>
      <c r="B796" s="1" t="n">
        <v>44949</v>
      </c>
      <c r="C796" s="1" t="n">
        <v>45705</v>
      </c>
      <c r="D796" t="inlineStr">
        <is>
          <t>SÖDERMANLANDS LÄN</t>
        </is>
      </c>
      <c r="E796" t="inlineStr">
        <is>
          <t>KATRINEHOLM</t>
        </is>
      </c>
      <c r="G796" t="n">
        <v>1.9</v>
      </c>
      <c r="H796" t="n">
        <v>0</v>
      </c>
      <c r="I796" t="n">
        <v>0</v>
      </c>
      <c r="J796" t="n">
        <v>0</v>
      </c>
      <c r="K796" t="n">
        <v>0</v>
      </c>
      <c r="L796" t="n">
        <v>0</v>
      </c>
      <c r="M796" t="n">
        <v>0</v>
      </c>
      <c r="N796" t="n">
        <v>0</v>
      </c>
      <c r="O796" t="n">
        <v>0</v>
      </c>
      <c r="P796" t="n">
        <v>0</v>
      </c>
      <c r="Q796" t="n">
        <v>0</v>
      </c>
      <c r="R796" s="2" t="inlineStr"/>
    </row>
    <row r="797" ht="15" customHeight="1">
      <c r="A797" t="inlineStr">
        <is>
          <t>A 3492-2023</t>
        </is>
      </c>
      <c r="B797" s="1" t="n">
        <v>44949</v>
      </c>
      <c r="C797" s="1" t="n">
        <v>45705</v>
      </c>
      <c r="D797" t="inlineStr">
        <is>
          <t>SÖDERMANLANDS LÄN</t>
        </is>
      </c>
      <c r="E797" t="inlineStr">
        <is>
          <t>KATRINEHOLM</t>
        </is>
      </c>
      <c r="G797" t="n">
        <v>5.5</v>
      </c>
      <c r="H797" t="n">
        <v>0</v>
      </c>
      <c r="I797" t="n">
        <v>0</v>
      </c>
      <c r="J797" t="n">
        <v>0</v>
      </c>
      <c r="K797" t="n">
        <v>0</v>
      </c>
      <c r="L797" t="n">
        <v>0</v>
      </c>
      <c r="M797" t="n">
        <v>0</v>
      </c>
      <c r="N797" t="n">
        <v>0</v>
      </c>
      <c r="O797" t="n">
        <v>0</v>
      </c>
      <c r="P797" t="n">
        <v>0</v>
      </c>
      <c r="Q797" t="n">
        <v>0</v>
      </c>
      <c r="R797" s="2" t="inlineStr"/>
    </row>
    <row r="798" ht="15" customHeight="1">
      <c r="A798" t="inlineStr">
        <is>
          <t>A 4122-2023</t>
        </is>
      </c>
      <c r="B798" s="1" t="n">
        <v>44952</v>
      </c>
      <c r="C798" s="1" t="n">
        <v>45705</v>
      </c>
      <c r="D798" t="inlineStr">
        <is>
          <t>SÖDERMANLANDS LÄN</t>
        </is>
      </c>
      <c r="E798" t="inlineStr">
        <is>
          <t>KATRINEHOLM</t>
        </is>
      </c>
      <c r="G798" t="n">
        <v>9</v>
      </c>
      <c r="H798" t="n">
        <v>0</v>
      </c>
      <c r="I798" t="n">
        <v>0</v>
      </c>
      <c r="J798" t="n">
        <v>0</v>
      </c>
      <c r="K798" t="n">
        <v>0</v>
      </c>
      <c r="L798" t="n">
        <v>0</v>
      </c>
      <c r="M798" t="n">
        <v>0</v>
      </c>
      <c r="N798" t="n">
        <v>0</v>
      </c>
      <c r="O798" t="n">
        <v>0</v>
      </c>
      <c r="P798" t="n">
        <v>0</v>
      </c>
      <c r="Q798" t="n">
        <v>0</v>
      </c>
      <c r="R798" s="2" t="inlineStr"/>
    </row>
    <row r="799" ht="15" customHeight="1">
      <c r="A799" t="inlineStr">
        <is>
          <t>A 4689-2023</t>
        </is>
      </c>
      <c r="B799" s="1" t="n">
        <v>44957</v>
      </c>
      <c r="C799" s="1" t="n">
        <v>45705</v>
      </c>
      <c r="D799" t="inlineStr">
        <is>
          <t>SÖDERMANLANDS LÄN</t>
        </is>
      </c>
      <c r="E799" t="inlineStr">
        <is>
          <t>KATRINEHOLM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4662-2023</t>
        </is>
      </c>
      <c r="B800" s="1" t="n">
        <v>44957</v>
      </c>
      <c r="C800" s="1" t="n">
        <v>45705</v>
      </c>
      <c r="D800" t="inlineStr">
        <is>
          <t>SÖDERMANLANDS LÄN</t>
        </is>
      </c>
      <c r="E800" t="inlineStr">
        <is>
          <t>KATRINEHOLM</t>
        </is>
      </c>
      <c r="F800" t="inlineStr">
        <is>
          <t>Holmen skog AB</t>
        </is>
      </c>
      <c r="G800" t="n">
        <v>0.4</v>
      </c>
      <c r="H800" t="n">
        <v>0</v>
      </c>
      <c r="I800" t="n">
        <v>0</v>
      </c>
      <c r="J800" t="n">
        <v>0</v>
      </c>
      <c r="K800" t="n">
        <v>0</v>
      </c>
      <c r="L800" t="n">
        <v>0</v>
      </c>
      <c r="M800" t="n">
        <v>0</v>
      </c>
      <c r="N800" t="n">
        <v>0</v>
      </c>
      <c r="O800" t="n">
        <v>0</v>
      </c>
      <c r="P800" t="n">
        <v>0</v>
      </c>
      <c r="Q800" t="n">
        <v>0</v>
      </c>
      <c r="R800" s="2" t="inlineStr"/>
    </row>
    <row r="801" ht="15" customHeight="1">
      <c r="A801" t="inlineStr">
        <is>
          <t>A 4669-2023</t>
        </is>
      </c>
      <c r="B801" s="1" t="n">
        <v>44957</v>
      </c>
      <c r="C801" s="1" t="n">
        <v>45705</v>
      </c>
      <c r="D801" t="inlineStr">
        <is>
          <t>SÖDERMANLANDS LÄN</t>
        </is>
      </c>
      <c r="E801" t="inlineStr">
        <is>
          <t>KATRINEHOLM</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4679-2023</t>
        </is>
      </c>
      <c r="B802" s="1" t="n">
        <v>44957</v>
      </c>
      <c r="C802" s="1" t="n">
        <v>45705</v>
      </c>
      <c r="D802" t="inlineStr">
        <is>
          <t>SÖDERMANLANDS LÄN</t>
        </is>
      </c>
      <c r="E802" t="inlineStr">
        <is>
          <t>KATRINEHOLM</t>
        </is>
      </c>
      <c r="G802" t="n">
        <v>5.3</v>
      </c>
      <c r="H802" t="n">
        <v>0</v>
      </c>
      <c r="I802" t="n">
        <v>0</v>
      </c>
      <c r="J802" t="n">
        <v>0</v>
      </c>
      <c r="K802" t="n">
        <v>0</v>
      </c>
      <c r="L802" t="n">
        <v>0</v>
      </c>
      <c r="M802" t="n">
        <v>0</v>
      </c>
      <c r="N802" t="n">
        <v>0</v>
      </c>
      <c r="O802" t="n">
        <v>0</v>
      </c>
      <c r="P802" t="n">
        <v>0</v>
      </c>
      <c r="Q802" t="n">
        <v>0</v>
      </c>
      <c r="R802" s="2" t="inlineStr"/>
    </row>
    <row r="803" ht="15" customHeight="1">
      <c r="A803" t="inlineStr">
        <is>
          <t>A 4724-2023</t>
        </is>
      </c>
      <c r="B803" s="1" t="n">
        <v>44957</v>
      </c>
      <c r="C803" s="1" t="n">
        <v>45705</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4656-2023</t>
        </is>
      </c>
      <c r="B804" s="1" t="n">
        <v>44957</v>
      </c>
      <c r="C804" s="1" t="n">
        <v>45705</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5191-2023</t>
        </is>
      </c>
      <c r="B805" s="1" t="n">
        <v>44959</v>
      </c>
      <c r="C805" s="1" t="n">
        <v>45705</v>
      </c>
      <c r="D805" t="inlineStr">
        <is>
          <t>SÖDERMANLANDS LÄN</t>
        </is>
      </c>
      <c r="E805" t="inlineStr">
        <is>
          <t>KATRINEHOLM</t>
        </is>
      </c>
      <c r="F805" t="inlineStr">
        <is>
          <t>Kyrkan</t>
        </is>
      </c>
      <c r="G805" t="n">
        <v>1.5</v>
      </c>
      <c r="H805" t="n">
        <v>0</v>
      </c>
      <c r="I805" t="n">
        <v>0</v>
      </c>
      <c r="J805" t="n">
        <v>0</v>
      </c>
      <c r="K805" t="n">
        <v>0</v>
      </c>
      <c r="L805" t="n">
        <v>0</v>
      </c>
      <c r="M805" t="n">
        <v>0</v>
      </c>
      <c r="N805" t="n">
        <v>0</v>
      </c>
      <c r="O805" t="n">
        <v>0</v>
      </c>
      <c r="P805" t="n">
        <v>0</v>
      </c>
      <c r="Q805" t="n">
        <v>0</v>
      </c>
      <c r="R805" s="2" t="inlineStr"/>
    </row>
    <row r="806" ht="15" customHeight="1">
      <c r="A806" t="inlineStr">
        <is>
          <t>A 5935-2023</t>
        </is>
      </c>
      <c r="B806" s="1" t="n">
        <v>44963</v>
      </c>
      <c r="C806" s="1" t="n">
        <v>45705</v>
      </c>
      <c r="D806" t="inlineStr">
        <is>
          <t>SÖDERMANLANDS LÄN</t>
        </is>
      </c>
      <c r="E806" t="inlineStr">
        <is>
          <t>KATRINEHOLM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6608-2023</t>
        </is>
      </c>
      <c r="B807" s="1" t="n">
        <v>44963</v>
      </c>
      <c r="C807" s="1" t="n">
        <v>45705</v>
      </c>
      <c r="D807" t="inlineStr">
        <is>
          <t>SÖDERMANLANDS LÄN</t>
        </is>
      </c>
      <c r="E807" t="inlineStr">
        <is>
          <t>KATRINEHOLM</t>
        </is>
      </c>
      <c r="F807" t="inlineStr">
        <is>
          <t>Övriga Aktiebolag</t>
        </is>
      </c>
      <c r="G807" t="n">
        <v>5.8</v>
      </c>
      <c r="H807" t="n">
        <v>0</v>
      </c>
      <c r="I807" t="n">
        <v>0</v>
      </c>
      <c r="J807" t="n">
        <v>0</v>
      </c>
      <c r="K807" t="n">
        <v>0</v>
      </c>
      <c r="L807" t="n">
        <v>0</v>
      </c>
      <c r="M807" t="n">
        <v>0</v>
      </c>
      <c r="N807" t="n">
        <v>0</v>
      </c>
      <c r="O807" t="n">
        <v>0</v>
      </c>
      <c r="P807" t="n">
        <v>0</v>
      </c>
      <c r="Q807" t="n">
        <v>0</v>
      </c>
      <c r="R807" s="2" t="inlineStr"/>
    </row>
    <row r="808" ht="15" customHeight="1">
      <c r="A808" t="inlineStr">
        <is>
          <t>A 6611-2023</t>
        </is>
      </c>
      <c r="B808" s="1" t="n">
        <v>44963</v>
      </c>
      <c r="C808" s="1" t="n">
        <v>45705</v>
      </c>
      <c r="D808" t="inlineStr">
        <is>
          <t>SÖDERMANLANDS LÄN</t>
        </is>
      </c>
      <c r="E808" t="inlineStr">
        <is>
          <t>KATRINEHOLM</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6622-2023</t>
        </is>
      </c>
      <c r="B809" s="1" t="n">
        <v>44963</v>
      </c>
      <c r="C809" s="1" t="n">
        <v>45705</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6175-2023</t>
        </is>
      </c>
      <c r="B810" s="1" t="n">
        <v>44964</v>
      </c>
      <c r="C810" s="1" t="n">
        <v>45705</v>
      </c>
      <c r="D810" t="inlineStr">
        <is>
          <t>SÖDERMANLANDS LÄN</t>
        </is>
      </c>
      <c r="E810" t="inlineStr">
        <is>
          <t>KATRINEHOLM</t>
        </is>
      </c>
      <c r="G810" t="n">
        <v>11.2</v>
      </c>
      <c r="H810" t="n">
        <v>0</v>
      </c>
      <c r="I810" t="n">
        <v>0</v>
      </c>
      <c r="J810" t="n">
        <v>0</v>
      </c>
      <c r="K810" t="n">
        <v>0</v>
      </c>
      <c r="L810" t="n">
        <v>0</v>
      </c>
      <c r="M810" t="n">
        <v>0</v>
      </c>
      <c r="N810" t="n">
        <v>0</v>
      </c>
      <c r="O810" t="n">
        <v>0</v>
      </c>
      <c r="P810" t="n">
        <v>0</v>
      </c>
      <c r="Q810" t="n">
        <v>0</v>
      </c>
      <c r="R810" s="2" t="inlineStr"/>
    </row>
    <row r="811" ht="15" customHeight="1">
      <c r="A811" t="inlineStr">
        <is>
          <t>A 6810-2023</t>
        </is>
      </c>
      <c r="B811" s="1" t="n">
        <v>44964</v>
      </c>
      <c r="C811" s="1" t="n">
        <v>45705</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5970-2023</t>
        </is>
      </c>
      <c r="B812" s="1" t="n">
        <v>44964</v>
      </c>
      <c r="C812" s="1" t="n">
        <v>45705</v>
      </c>
      <c r="D812" t="inlineStr">
        <is>
          <t>SÖDERMANLANDS LÄN</t>
        </is>
      </c>
      <c r="E812" t="inlineStr">
        <is>
          <t>KATRINEHOLM</t>
        </is>
      </c>
      <c r="G812" t="n">
        <v>1</v>
      </c>
      <c r="H812" t="n">
        <v>0</v>
      </c>
      <c r="I812" t="n">
        <v>0</v>
      </c>
      <c r="J812" t="n">
        <v>0</v>
      </c>
      <c r="K812" t="n">
        <v>0</v>
      </c>
      <c r="L812" t="n">
        <v>0</v>
      </c>
      <c r="M812" t="n">
        <v>0</v>
      </c>
      <c r="N812" t="n">
        <v>0</v>
      </c>
      <c r="O812" t="n">
        <v>0</v>
      </c>
      <c r="P812" t="n">
        <v>0</v>
      </c>
      <c r="Q812" t="n">
        <v>0</v>
      </c>
      <c r="R812" s="2" t="inlineStr"/>
    </row>
    <row r="813" ht="15" customHeight="1">
      <c r="A813" t="inlineStr">
        <is>
          <t>A 6808-2023</t>
        </is>
      </c>
      <c r="B813" s="1" t="n">
        <v>44964</v>
      </c>
      <c r="C813" s="1" t="n">
        <v>45705</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6807-2023</t>
        </is>
      </c>
      <c r="B814" s="1" t="n">
        <v>44964</v>
      </c>
      <c r="C814" s="1" t="n">
        <v>45705</v>
      </c>
      <c r="D814" t="inlineStr">
        <is>
          <t>SÖDERMANLANDS LÄN</t>
        </is>
      </c>
      <c r="E814" t="inlineStr">
        <is>
          <t>KATRINEHOLM</t>
        </is>
      </c>
      <c r="G814" t="n">
        <v>1.2</v>
      </c>
      <c r="H814" t="n">
        <v>0</v>
      </c>
      <c r="I814" t="n">
        <v>0</v>
      </c>
      <c r="J814" t="n">
        <v>0</v>
      </c>
      <c r="K814" t="n">
        <v>0</v>
      </c>
      <c r="L814" t="n">
        <v>0</v>
      </c>
      <c r="M814" t="n">
        <v>0</v>
      </c>
      <c r="N814" t="n">
        <v>0</v>
      </c>
      <c r="O814" t="n">
        <v>0</v>
      </c>
      <c r="P814" t="n">
        <v>0</v>
      </c>
      <c r="Q814" t="n">
        <v>0</v>
      </c>
      <c r="R814" s="2" t="inlineStr"/>
    </row>
    <row r="815" ht="15" customHeight="1">
      <c r="A815" t="inlineStr">
        <is>
          <t>A 6303-2023</t>
        </is>
      </c>
      <c r="B815" s="1" t="n">
        <v>44965</v>
      </c>
      <c r="C815" s="1" t="n">
        <v>45705</v>
      </c>
      <c r="D815" t="inlineStr">
        <is>
          <t>SÖDERMANLANDS LÄN</t>
        </is>
      </c>
      <c r="E815" t="inlineStr">
        <is>
          <t>KATRINEHOLM</t>
        </is>
      </c>
      <c r="F815" t="inlineStr">
        <is>
          <t>Allmännings- och besparingsskogar</t>
        </is>
      </c>
      <c r="G815" t="n">
        <v>53.1</v>
      </c>
      <c r="H815" t="n">
        <v>0</v>
      </c>
      <c r="I815" t="n">
        <v>0</v>
      </c>
      <c r="J815" t="n">
        <v>0</v>
      </c>
      <c r="K815" t="n">
        <v>0</v>
      </c>
      <c r="L815" t="n">
        <v>0</v>
      </c>
      <c r="M815" t="n">
        <v>0</v>
      </c>
      <c r="N815" t="n">
        <v>0</v>
      </c>
      <c r="O815" t="n">
        <v>0</v>
      </c>
      <c r="P815" t="n">
        <v>0</v>
      </c>
      <c r="Q815" t="n">
        <v>0</v>
      </c>
      <c r="R815" s="2" t="inlineStr"/>
    </row>
    <row r="816" ht="15" customHeight="1">
      <c r="A816" t="inlineStr">
        <is>
          <t>A 7106-2023</t>
        </is>
      </c>
      <c r="B816" s="1" t="n">
        <v>44965</v>
      </c>
      <c r="C816" s="1" t="n">
        <v>45705</v>
      </c>
      <c r="D816" t="inlineStr">
        <is>
          <t>SÖDERMANLANDS LÄN</t>
        </is>
      </c>
      <c r="E816" t="inlineStr">
        <is>
          <t>KATRINEHOLM</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7191-2023</t>
        </is>
      </c>
      <c r="B817" s="1" t="n">
        <v>44965</v>
      </c>
      <c r="C817" s="1" t="n">
        <v>45705</v>
      </c>
      <c r="D817" t="inlineStr">
        <is>
          <t>SÖDERMANLANDS LÄN</t>
        </is>
      </c>
      <c r="E817" t="inlineStr">
        <is>
          <t>KATRINEHOLM</t>
        </is>
      </c>
      <c r="G817" t="n">
        <v>14.1</v>
      </c>
      <c r="H817" t="n">
        <v>0</v>
      </c>
      <c r="I817" t="n">
        <v>0</v>
      </c>
      <c r="J817" t="n">
        <v>0</v>
      </c>
      <c r="K817" t="n">
        <v>0</v>
      </c>
      <c r="L817" t="n">
        <v>0</v>
      </c>
      <c r="M817" t="n">
        <v>0</v>
      </c>
      <c r="N817" t="n">
        <v>0</v>
      </c>
      <c r="O817" t="n">
        <v>0</v>
      </c>
      <c r="P817" t="n">
        <v>0</v>
      </c>
      <c r="Q817" t="n">
        <v>0</v>
      </c>
      <c r="R817" s="2" t="inlineStr"/>
    </row>
    <row r="818" ht="15" customHeight="1">
      <c r="A818" t="inlineStr">
        <is>
          <t>A 7197-2023</t>
        </is>
      </c>
      <c r="B818" s="1" t="n">
        <v>44965</v>
      </c>
      <c r="C818" s="1" t="n">
        <v>45705</v>
      </c>
      <c r="D818" t="inlineStr">
        <is>
          <t>SÖDERMANLANDS LÄN</t>
        </is>
      </c>
      <c r="E818" t="inlineStr">
        <is>
          <t>KATRINEHOLM</t>
        </is>
      </c>
      <c r="G818" t="n">
        <v>5.3</v>
      </c>
      <c r="H818" t="n">
        <v>0</v>
      </c>
      <c r="I818" t="n">
        <v>0</v>
      </c>
      <c r="J818" t="n">
        <v>0</v>
      </c>
      <c r="K818" t="n">
        <v>0</v>
      </c>
      <c r="L818" t="n">
        <v>0</v>
      </c>
      <c r="M818" t="n">
        <v>0</v>
      </c>
      <c r="N818" t="n">
        <v>0</v>
      </c>
      <c r="O818" t="n">
        <v>0</v>
      </c>
      <c r="P818" t="n">
        <v>0</v>
      </c>
      <c r="Q818" t="n">
        <v>0</v>
      </c>
      <c r="R818" s="2" t="inlineStr"/>
    </row>
    <row r="819" ht="15" customHeight="1">
      <c r="A819" t="inlineStr">
        <is>
          <t>A 7704-2023</t>
        </is>
      </c>
      <c r="B819" s="1" t="n">
        <v>44968</v>
      </c>
      <c r="C819" s="1" t="n">
        <v>45705</v>
      </c>
      <c r="D819" t="inlineStr">
        <is>
          <t>SÖDERMANLANDS LÄN</t>
        </is>
      </c>
      <c r="E819" t="inlineStr">
        <is>
          <t>KATRINEHOLM</t>
        </is>
      </c>
      <c r="G819" t="n">
        <v>7.3</v>
      </c>
      <c r="H819" t="n">
        <v>0</v>
      </c>
      <c r="I819" t="n">
        <v>0</v>
      </c>
      <c r="J819" t="n">
        <v>0</v>
      </c>
      <c r="K819" t="n">
        <v>0</v>
      </c>
      <c r="L819" t="n">
        <v>0</v>
      </c>
      <c r="M819" t="n">
        <v>0</v>
      </c>
      <c r="N819" t="n">
        <v>0</v>
      </c>
      <c r="O819" t="n">
        <v>0</v>
      </c>
      <c r="P819" t="n">
        <v>0</v>
      </c>
      <c r="Q819" t="n">
        <v>0</v>
      </c>
      <c r="R819" s="2" t="inlineStr"/>
    </row>
    <row r="820" ht="15" customHeight="1">
      <c r="A820" t="inlineStr">
        <is>
          <t>A 7156-2023</t>
        </is>
      </c>
      <c r="B820" s="1" t="n">
        <v>44970</v>
      </c>
      <c r="C820" s="1" t="n">
        <v>45705</v>
      </c>
      <c r="D820" t="inlineStr">
        <is>
          <t>SÖDERMANLANDS LÄN</t>
        </is>
      </c>
      <c r="E820" t="inlineStr">
        <is>
          <t>KATRINEHOLM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7322-2023</t>
        </is>
      </c>
      <c r="B821" s="1" t="n">
        <v>44970</v>
      </c>
      <c r="C821" s="1" t="n">
        <v>45705</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8074-2023</t>
        </is>
      </c>
      <c r="B822" s="1" t="n">
        <v>44974</v>
      </c>
      <c r="C822" s="1" t="n">
        <v>45705</v>
      </c>
      <c r="D822" t="inlineStr">
        <is>
          <t>SÖDERMANLANDS LÄN</t>
        </is>
      </c>
      <c r="E822" t="inlineStr">
        <is>
          <t>KATRINEHOLM</t>
        </is>
      </c>
      <c r="G822" t="n">
        <v>1</v>
      </c>
      <c r="H822" t="n">
        <v>0</v>
      </c>
      <c r="I822" t="n">
        <v>0</v>
      </c>
      <c r="J822" t="n">
        <v>0</v>
      </c>
      <c r="K822" t="n">
        <v>0</v>
      </c>
      <c r="L822" t="n">
        <v>0</v>
      </c>
      <c r="M822" t="n">
        <v>0</v>
      </c>
      <c r="N822" t="n">
        <v>0</v>
      </c>
      <c r="O822" t="n">
        <v>0</v>
      </c>
      <c r="P822" t="n">
        <v>0</v>
      </c>
      <c r="Q822" t="n">
        <v>0</v>
      </c>
      <c r="R822" s="2" t="inlineStr"/>
    </row>
    <row r="823" ht="15" customHeight="1">
      <c r="A823" t="inlineStr">
        <is>
          <t>A 8288-2023</t>
        </is>
      </c>
      <c r="B823" s="1" t="n">
        <v>44974</v>
      </c>
      <c r="C823" s="1" t="n">
        <v>45705</v>
      </c>
      <c r="D823" t="inlineStr">
        <is>
          <t>SÖDERMANLANDS LÄN</t>
        </is>
      </c>
      <c r="E823" t="inlineStr">
        <is>
          <t>KATRINEHOLM</t>
        </is>
      </c>
      <c r="F823" t="inlineStr">
        <is>
          <t>Allmännings- och besparingsskogar</t>
        </is>
      </c>
      <c r="G823" t="n">
        <v>5.6</v>
      </c>
      <c r="H823" t="n">
        <v>0</v>
      </c>
      <c r="I823" t="n">
        <v>0</v>
      </c>
      <c r="J823" t="n">
        <v>0</v>
      </c>
      <c r="K823" t="n">
        <v>0</v>
      </c>
      <c r="L823" t="n">
        <v>0</v>
      </c>
      <c r="M823" t="n">
        <v>0</v>
      </c>
      <c r="N823" t="n">
        <v>0</v>
      </c>
      <c r="O823" t="n">
        <v>0</v>
      </c>
      <c r="P823" t="n">
        <v>0</v>
      </c>
      <c r="Q823" t="n">
        <v>0</v>
      </c>
      <c r="R823" s="2" t="inlineStr"/>
    </row>
    <row r="824" ht="15" customHeight="1">
      <c r="A824" t="inlineStr">
        <is>
          <t>A 8071-2023</t>
        </is>
      </c>
      <c r="B824" s="1" t="n">
        <v>44974</v>
      </c>
      <c r="C824" s="1" t="n">
        <v>45705</v>
      </c>
      <c r="D824" t="inlineStr">
        <is>
          <t>SÖDERMANLANDS LÄN</t>
        </is>
      </c>
      <c r="E824" t="inlineStr">
        <is>
          <t>KATRINEHOLM</t>
        </is>
      </c>
      <c r="G824" t="n">
        <v>4.7</v>
      </c>
      <c r="H824" t="n">
        <v>0</v>
      </c>
      <c r="I824" t="n">
        <v>0</v>
      </c>
      <c r="J824" t="n">
        <v>0</v>
      </c>
      <c r="K824" t="n">
        <v>0</v>
      </c>
      <c r="L824" t="n">
        <v>0</v>
      </c>
      <c r="M824" t="n">
        <v>0</v>
      </c>
      <c r="N824" t="n">
        <v>0</v>
      </c>
      <c r="O824" t="n">
        <v>0</v>
      </c>
      <c r="P824" t="n">
        <v>0</v>
      </c>
      <c r="Q824" t="n">
        <v>0</v>
      </c>
      <c r="R824" s="2" t="inlineStr"/>
    </row>
    <row r="825" ht="15" customHeight="1">
      <c r="A825" t="inlineStr">
        <is>
          <t>A 8077-2023</t>
        </is>
      </c>
      <c r="B825" s="1" t="n">
        <v>44974</v>
      </c>
      <c r="C825" s="1" t="n">
        <v>45705</v>
      </c>
      <c r="D825" t="inlineStr">
        <is>
          <t>SÖDERMANLANDS LÄN</t>
        </is>
      </c>
      <c r="E825" t="inlineStr">
        <is>
          <t>KATRINEHOLM</t>
        </is>
      </c>
      <c r="G825" t="n">
        <v>8.1</v>
      </c>
      <c r="H825" t="n">
        <v>0</v>
      </c>
      <c r="I825" t="n">
        <v>0</v>
      </c>
      <c r="J825" t="n">
        <v>0</v>
      </c>
      <c r="K825" t="n">
        <v>0</v>
      </c>
      <c r="L825" t="n">
        <v>0</v>
      </c>
      <c r="M825" t="n">
        <v>0</v>
      </c>
      <c r="N825" t="n">
        <v>0</v>
      </c>
      <c r="O825" t="n">
        <v>0</v>
      </c>
      <c r="P825" t="n">
        <v>0</v>
      </c>
      <c r="Q825" t="n">
        <v>0</v>
      </c>
      <c r="R825" s="2" t="inlineStr"/>
    </row>
    <row r="826" ht="15" customHeight="1">
      <c r="A826" t="inlineStr">
        <is>
          <t>A 8106-2023</t>
        </is>
      </c>
      <c r="B826" s="1" t="n">
        <v>44974</v>
      </c>
      <c r="C826" s="1" t="n">
        <v>45705</v>
      </c>
      <c r="D826" t="inlineStr">
        <is>
          <t>SÖDERMANLANDS LÄN</t>
        </is>
      </c>
      <c r="E826" t="inlineStr">
        <is>
          <t>KATRINEHOLM</t>
        </is>
      </c>
      <c r="G826" t="n">
        <v>4.4</v>
      </c>
      <c r="H826" t="n">
        <v>0</v>
      </c>
      <c r="I826" t="n">
        <v>0</v>
      </c>
      <c r="J826" t="n">
        <v>0</v>
      </c>
      <c r="K826" t="n">
        <v>0</v>
      </c>
      <c r="L826" t="n">
        <v>0</v>
      </c>
      <c r="M826" t="n">
        <v>0</v>
      </c>
      <c r="N826" t="n">
        <v>0</v>
      </c>
      <c r="O826" t="n">
        <v>0</v>
      </c>
      <c r="P826" t="n">
        <v>0</v>
      </c>
      <c r="Q826" t="n">
        <v>0</v>
      </c>
      <c r="R826" s="2" t="inlineStr"/>
    </row>
    <row r="827" ht="15" customHeight="1">
      <c r="A827" t="inlineStr">
        <is>
          <t>A 8298-2023</t>
        </is>
      </c>
      <c r="B827" s="1" t="n">
        <v>44974</v>
      </c>
      <c r="C827" s="1" t="n">
        <v>45705</v>
      </c>
      <c r="D827" t="inlineStr">
        <is>
          <t>SÖDERMANLANDS LÄN</t>
        </is>
      </c>
      <c r="E827" t="inlineStr">
        <is>
          <t>KATRINEHOLM</t>
        </is>
      </c>
      <c r="F827" t="inlineStr">
        <is>
          <t>Allmännings- och besparingsskogar</t>
        </is>
      </c>
      <c r="G827" t="n">
        <v>33.4</v>
      </c>
      <c r="H827" t="n">
        <v>0</v>
      </c>
      <c r="I827" t="n">
        <v>0</v>
      </c>
      <c r="J827" t="n">
        <v>0</v>
      </c>
      <c r="K827" t="n">
        <v>0</v>
      </c>
      <c r="L827" t="n">
        <v>0</v>
      </c>
      <c r="M827" t="n">
        <v>0</v>
      </c>
      <c r="N827" t="n">
        <v>0</v>
      </c>
      <c r="O827" t="n">
        <v>0</v>
      </c>
      <c r="P827" t="n">
        <v>0</v>
      </c>
      <c r="Q827" t="n">
        <v>0</v>
      </c>
      <c r="R827" s="2" t="inlineStr"/>
    </row>
    <row r="828" ht="15" customHeight="1">
      <c r="A828" t="inlineStr">
        <is>
          <t>A 8457-2023</t>
        </is>
      </c>
      <c r="B828" s="1" t="n">
        <v>44977</v>
      </c>
      <c r="C828" s="1" t="n">
        <v>45705</v>
      </c>
      <c r="D828" t="inlineStr">
        <is>
          <t>SÖDERMANLANDS LÄN</t>
        </is>
      </c>
      <c r="E828" t="inlineStr">
        <is>
          <t>KATRINEHOLM</t>
        </is>
      </c>
      <c r="F828" t="inlineStr">
        <is>
          <t>Allmännings- och besparingsskogar</t>
        </is>
      </c>
      <c r="G828" t="n">
        <v>16.1</v>
      </c>
      <c r="H828" t="n">
        <v>0</v>
      </c>
      <c r="I828" t="n">
        <v>0</v>
      </c>
      <c r="J828" t="n">
        <v>0</v>
      </c>
      <c r="K828" t="n">
        <v>0</v>
      </c>
      <c r="L828" t="n">
        <v>0</v>
      </c>
      <c r="M828" t="n">
        <v>0</v>
      </c>
      <c r="N828" t="n">
        <v>0</v>
      </c>
      <c r="O828" t="n">
        <v>0</v>
      </c>
      <c r="P828" t="n">
        <v>0</v>
      </c>
      <c r="Q828" t="n">
        <v>0</v>
      </c>
      <c r="R828" s="2" t="inlineStr"/>
    </row>
    <row r="829" ht="15" customHeight="1">
      <c r="A829" t="inlineStr">
        <is>
          <t>A 8475-2023</t>
        </is>
      </c>
      <c r="B829" s="1" t="n">
        <v>44977</v>
      </c>
      <c r="C829" s="1" t="n">
        <v>45705</v>
      </c>
      <c r="D829" t="inlineStr">
        <is>
          <t>SÖDERMANLANDS LÄN</t>
        </is>
      </c>
      <c r="E829" t="inlineStr">
        <is>
          <t>KATRINEHOLM</t>
        </is>
      </c>
      <c r="F829" t="inlineStr">
        <is>
          <t>Allmännings- och besparingsskogar</t>
        </is>
      </c>
      <c r="G829" t="n">
        <v>8.1</v>
      </c>
      <c r="H829" t="n">
        <v>0</v>
      </c>
      <c r="I829" t="n">
        <v>0</v>
      </c>
      <c r="J829" t="n">
        <v>0</v>
      </c>
      <c r="K829" t="n">
        <v>0</v>
      </c>
      <c r="L829" t="n">
        <v>0</v>
      </c>
      <c r="M829" t="n">
        <v>0</v>
      </c>
      <c r="N829" t="n">
        <v>0</v>
      </c>
      <c r="O829" t="n">
        <v>0</v>
      </c>
      <c r="P829" t="n">
        <v>0</v>
      </c>
      <c r="Q829" t="n">
        <v>0</v>
      </c>
      <c r="R829" s="2" t="inlineStr"/>
    </row>
    <row r="830" ht="15" customHeight="1">
      <c r="A830" t="inlineStr">
        <is>
          <t>A 8518-2023</t>
        </is>
      </c>
      <c r="B830" s="1" t="n">
        <v>44977</v>
      </c>
      <c r="C830" s="1" t="n">
        <v>45705</v>
      </c>
      <c r="D830" t="inlineStr">
        <is>
          <t>SÖDERMANLANDS LÄN</t>
        </is>
      </c>
      <c r="E830" t="inlineStr">
        <is>
          <t>KATRINEHOLM</t>
        </is>
      </c>
      <c r="F830" t="inlineStr">
        <is>
          <t>Allmännings- och besparingsskogar</t>
        </is>
      </c>
      <c r="G830" t="n">
        <v>35.3</v>
      </c>
      <c r="H830" t="n">
        <v>0</v>
      </c>
      <c r="I830" t="n">
        <v>0</v>
      </c>
      <c r="J830" t="n">
        <v>0</v>
      </c>
      <c r="K830" t="n">
        <v>0</v>
      </c>
      <c r="L830" t="n">
        <v>0</v>
      </c>
      <c r="M830" t="n">
        <v>0</v>
      </c>
      <c r="N830" t="n">
        <v>0</v>
      </c>
      <c r="O830" t="n">
        <v>0</v>
      </c>
      <c r="P830" t="n">
        <v>0</v>
      </c>
      <c r="Q830" t="n">
        <v>0</v>
      </c>
      <c r="R830" s="2" t="inlineStr"/>
    </row>
    <row r="831" ht="15" customHeight="1">
      <c r="A831" t="inlineStr">
        <is>
          <t>A 8791-2023</t>
        </is>
      </c>
      <c r="B831" s="1" t="n">
        <v>44978</v>
      </c>
      <c r="C831" s="1" t="n">
        <v>45705</v>
      </c>
      <c r="D831" t="inlineStr">
        <is>
          <t>SÖDERMANLANDS LÄN</t>
        </is>
      </c>
      <c r="E831" t="inlineStr">
        <is>
          <t>KATRINEHOLM</t>
        </is>
      </c>
      <c r="G831" t="n">
        <v>1.4</v>
      </c>
      <c r="H831" t="n">
        <v>0</v>
      </c>
      <c r="I831" t="n">
        <v>0</v>
      </c>
      <c r="J831" t="n">
        <v>0</v>
      </c>
      <c r="K831" t="n">
        <v>0</v>
      </c>
      <c r="L831" t="n">
        <v>0</v>
      </c>
      <c r="M831" t="n">
        <v>0</v>
      </c>
      <c r="N831" t="n">
        <v>0</v>
      </c>
      <c r="O831" t="n">
        <v>0</v>
      </c>
      <c r="P831" t="n">
        <v>0</v>
      </c>
      <c r="Q831" t="n">
        <v>0</v>
      </c>
      <c r="R831" s="2" t="inlineStr"/>
    </row>
    <row r="832" ht="15" customHeight="1">
      <c r="A832" t="inlineStr">
        <is>
          <t>A 8765-2023</t>
        </is>
      </c>
      <c r="B832" s="1" t="n">
        <v>44978</v>
      </c>
      <c r="C832" s="1" t="n">
        <v>45705</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8778-2023</t>
        </is>
      </c>
      <c r="B833" s="1" t="n">
        <v>44978</v>
      </c>
      <c r="C833" s="1" t="n">
        <v>45705</v>
      </c>
      <c r="D833" t="inlineStr">
        <is>
          <t>SÖDERMANLANDS LÄN</t>
        </is>
      </c>
      <c r="E833" t="inlineStr">
        <is>
          <t>KATRINEHOLM</t>
        </is>
      </c>
      <c r="G833" t="n">
        <v>4.5</v>
      </c>
      <c r="H833" t="n">
        <v>0</v>
      </c>
      <c r="I833" t="n">
        <v>0</v>
      </c>
      <c r="J833" t="n">
        <v>0</v>
      </c>
      <c r="K833" t="n">
        <v>0</v>
      </c>
      <c r="L833" t="n">
        <v>0</v>
      </c>
      <c r="M833" t="n">
        <v>0</v>
      </c>
      <c r="N833" t="n">
        <v>0</v>
      </c>
      <c r="O833" t="n">
        <v>0</v>
      </c>
      <c r="P833" t="n">
        <v>0</v>
      </c>
      <c r="Q833" t="n">
        <v>0</v>
      </c>
      <c r="R833" s="2" t="inlineStr"/>
    </row>
    <row r="834" ht="15" customHeight="1">
      <c r="A834" t="inlineStr">
        <is>
          <t>A 8761-2023</t>
        </is>
      </c>
      <c r="B834" s="1" t="n">
        <v>44978</v>
      </c>
      <c r="C834" s="1" t="n">
        <v>45705</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9036-2023</t>
        </is>
      </c>
      <c r="B835" s="1" t="n">
        <v>44979</v>
      </c>
      <c r="C835" s="1" t="n">
        <v>45705</v>
      </c>
      <c r="D835" t="inlineStr">
        <is>
          <t>SÖDERMANLANDS LÄN</t>
        </is>
      </c>
      <c r="E835" t="inlineStr">
        <is>
          <t>KATRINEHOLM</t>
        </is>
      </c>
      <c r="G835" t="n">
        <v>6.5</v>
      </c>
      <c r="H835" t="n">
        <v>0</v>
      </c>
      <c r="I835" t="n">
        <v>0</v>
      </c>
      <c r="J835" t="n">
        <v>0</v>
      </c>
      <c r="K835" t="n">
        <v>0</v>
      </c>
      <c r="L835" t="n">
        <v>0</v>
      </c>
      <c r="M835" t="n">
        <v>0</v>
      </c>
      <c r="N835" t="n">
        <v>0</v>
      </c>
      <c r="O835" t="n">
        <v>0</v>
      </c>
      <c r="P835" t="n">
        <v>0</v>
      </c>
      <c r="Q835" t="n">
        <v>0</v>
      </c>
      <c r="R835" s="2" t="inlineStr"/>
    </row>
    <row r="836" ht="15" customHeight="1">
      <c r="A836" t="inlineStr">
        <is>
          <t>A 9207-2023</t>
        </is>
      </c>
      <c r="B836" s="1" t="n">
        <v>44980</v>
      </c>
      <c r="C836" s="1" t="n">
        <v>45705</v>
      </c>
      <c r="D836" t="inlineStr">
        <is>
          <t>SÖDERMANLANDS LÄN</t>
        </is>
      </c>
      <c r="E836" t="inlineStr">
        <is>
          <t>KATRINEHOLM</t>
        </is>
      </c>
      <c r="F836" t="inlineStr">
        <is>
          <t>Övriga Aktiebolag</t>
        </is>
      </c>
      <c r="G836" t="n">
        <v>9</v>
      </c>
      <c r="H836" t="n">
        <v>0</v>
      </c>
      <c r="I836" t="n">
        <v>0</v>
      </c>
      <c r="J836" t="n">
        <v>0</v>
      </c>
      <c r="K836" t="n">
        <v>0</v>
      </c>
      <c r="L836" t="n">
        <v>0</v>
      </c>
      <c r="M836" t="n">
        <v>0</v>
      </c>
      <c r="N836" t="n">
        <v>0</v>
      </c>
      <c r="O836" t="n">
        <v>0</v>
      </c>
      <c r="P836" t="n">
        <v>0</v>
      </c>
      <c r="Q836" t="n">
        <v>0</v>
      </c>
      <c r="R836" s="2" t="inlineStr"/>
    </row>
    <row r="837" ht="15" customHeight="1">
      <c r="A837" t="inlineStr">
        <is>
          <t>A 9192-2023</t>
        </is>
      </c>
      <c r="B837" s="1" t="n">
        <v>44980</v>
      </c>
      <c r="C837" s="1" t="n">
        <v>45705</v>
      </c>
      <c r="D837" t="inlineStr">
        <is>
          <t>SÖDERMANLANDS LÄN</t>
        </is>
      </c>
      <c r="E837" t="inlineStr">
        <is>
          <t>KATRINEHOLM</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9668-2023</t>
        </is>
      </c>
      <c r="B838" s="1" t="n">
        <v>44984</v>
      </c>
      <c r="C838" s="1" t="n">
        <v>45705</v>
      </c>
      <c r="D838" t="inlineStr">
        <is>
          <t>SÖDERMANLANDS LÄN</t>
        </is>
      </c>
      <c r="E838" t="inlineStr">
        <is>
          <t>KATRINEHOLM</t>
        </is>
      </c>
      <c r="G838" t="n">
        <v>4.8</v>
      </c>
      <c r="H838" t="n">
        <v>0</v>
      </c>
      <c r="I838" t="n">
        <v>0</v>
      </c>
      <c r="J838" t="n">
        <v>0</v>
      </c>
      <c r="K838" t="n">
        <v>0</v>
      </c>
      <c r="L838" t="n">
        <v>0</v>
      </c>
      <c r="M838" t="n">
        <v>0</v>
      </c>
      <c r="N838" t="n">
        <v>0</v>
      </c>
      <c r="O838" t="n">
        <v>0</v>
      </c>
      <c r="P838" t="n">
        <v>0</v>
      </c>
      <c r="Q838" t="n">
        <v>0</v>
      </c>
      <c r="R838" s="2" t="inlineStr"/>
    </row>
    <row r="839" ht="15" customHeight="1">
      <c r="A839" t="inlineStr">
        <is>
          <t>A 9929-2023</t>
        </is>
      </c>
      <c r="B839" s="1" t="n">
        <v>44985</v>
      </c>
      <c r="C839" s="1" t="n">
        <v>45705</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9899-2023</t>
        </is>
      </c>
      <c r="B840" s="1" t="n">
        <v>44985</v>
      </c>
      <c r="C840" s="1" t="n">
        <v>45705</v>
      </c>
      <c r="D840" t="inlineStr">
        <is>
          <t>SÖDERMANLANDS LÄN</t>
        </is>
      </c>
      <c r="E840" t="inlineStr">
        <is>
          <t>KATRINEHOLM</t>
        </is>
      </c>
      <c r="F840" t="inlineStr">
        <is>
          <t>Allmännings- och besparingsskogar</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9936-2023</t>
        </is>
      </c>
      <c r="B841" s="1" t="n">
        <v>44985</v>
      </c>
      <c r="C841" s="1" t="n">
        <v>45705</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9932-2023</t>
        </is>
      </c>
      <c r="B842" s="1" t="n">
        <v>44985</v>
      </c>
      <c r="C842" s="1" t="n">
        <v>45705</v>
      </c>
      <c r="D842" t="inlineStr">
        <is>
          <t>SÖDERMANLANDS LÄN</t>
        </is>
      </c>
      <c r="E842" t="inlineStr">
        <is>
          <t>KATRINEHOLM</t>
        </is>
      </c>
      <c r="G842" t="n">
        <v>0.3</v>
      </c>
      <c r="H842" t="n">
        <v>0</v>
      </c>
      <c r="I842" t="n">
        <v>0</v>
      </c>
      <c r="J842" t="n">
        <v>0</v>
      </c>
      <c r="K842" t="n">
        <v>0</v>
      </c>
      <c r="L842" t="n">
        <v>0</v>
      </c>
      <c r="M842" t="n">
        <v>0</v>
      </c>
      <c r="N842" t="n">
        <v>0</v>
      </c>
      <c r="O842" t="n">
        <v>0</v>
      </c>
      <c r="P842" t="n">
        <v>0</v>
      </c>
      <c r="Q842" t="n">
        <v>0</v>
      </c>
      <c r="R842" s="2" t="inlineStr"/>
    </row>
    <row r="843" ht="15" customHeight="1">
      <c r="A843" t="inlineStr">
        <is>
          <t>A 10932-2023</t>
        </is>
      </c>
      <c r="B843" s="1" t="n">
        <v>44985</v>
      </c>
      <c r="C843" s="1" t="n">
        <v>45705</v>
      </c>
      <c r="D843" t="inlineStr">
        <is>
          <t>SÖDERMANLANDS LÄN</t>
        </is>
      </c>
      <c r="E843" t="inlineStr">
        <is>
          <t>KATRINEHOLM</t>
        </is>
      </c>
      <c r="G843" t="n">
        <v>1.8</v>
      </c>
      <c r="H843" t="n">
        <v>0</v>
      </c>
      <c r="I843" t="n">
        <v>0</v>
      </c>
      <c r="J843" t="n">
        <v>0</v>
      </c>
      <c r="K843" t="n">
        <v>0</v>
      </c>
      <c r="L843" t="n">
        <v>0</v>
      </c>
      <c r="M843" t="n">
        <v>0</v>
      </c>
      <c r="N843" t="n">
        <v>0</v>
      </c>
      <c r="O843" t="n">
        <v>0</v>
      </c>
      <c r="P843" t="n">
        <v>0</v>
      </c>
      <c r="Q843" t="n">
        <v>0</v>
      </c>
      <c r="R843" s="2" t="inlineStr"/>
    </row>
    <row r="844" ht="15" customHeight="1">
      <c r="A844" t="inlineStr">
        <is>
          <t>A 11127-2023</t>
        </is>
      </c>
      <c r="B844" s="1" t="n">
        <v>44987</v>
      </c>
      <c r="C844" s="1" t="n">
        <v>45705</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11104-2023</t>
        </is>
      </c>
      <c r="B845" s="1" t="n">
        <v>44992</v>
      </c>
      <c r="C845" s="1" t="n">
        <v>45705</v>
      </c>
      <c r="D845" t="inlineStr">
        <is>
          <t>SÖDERMANLANDS LÄN</t>
        </is>
      </c>
      <c r="E845" t="inlineStr">
        <is>
          <t>KATRINEHOLM</t>
        </is>
      </c>
      <c r="F845" t="inlineStr">
        <is>
          <t>Allmännings- och besparingsskogar</t>
        </is>
      </c>
      <c r="G845" t="n">
        <v>7.8</v>
      </c>
      <c r="H845" t="n">
        <v>0</v>
      </c>
      <c r="I845" t="n">
        <v>0</v>
      </c>
      <c r="J845" t="n">
        <v>0</v>
      </c>
      <c r="K845" t="n">
        <v>0</v>
      </c>
      <c r="L845" t="n">
        <v>0</v>
      </c>
      <c r="M845" t="n">
        <v>0</v>
      </c>
      <c r="N845" t="n">
        <v>0</v>
      </c>
      <c r="O845" t="n">
        <v>0</v>
      </c>
      <c r="P845" t="n">
        <v>0</v>
      </c>
      <c r="Q845" t="n">
        <v>0</v>
      </c>
      <c r="R845" s="2" t="inlineStr"/>
    </row>
    <row r="846" ht="15" customHeight="1">
      <c r="A846" t="inlineStr">
        <is>
          <t>A 11635-2023</t>
        </is>
      </c>
      <c r="B846" s="1" t="n">
        <v>44994</v>
      </c>
      <c r="C846" s="1" t="n">
        <v>45705</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11875-2023</t>
        </is>
      </c>
      <c r="B847" s="1" t="n">
        <v>44995</v>
      </c>
      <c r="C847" s="1" t="n">
        <v>45705</v>
      </c>
      <c r="D847" t="inlineStr">
        <is>
          <t>SÖDERMANLANDS LÄN</t>
        </is>
      </c>
      <c r="E847" t="inlineStr">
        <is>
          <t>KATRINEHOLM</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11872-2023</t>
        </is>
      </c>
      <c r="B848" s="1" t="n">
        <v>44995</v>
      </c>
      <c r="C848" s="1" t="n">
        <v>45705</v>
      </c>
      <c r="D848" t="inlineStr">
        <is>
          <t>SÖDERMANLANDS LÄN</t>
        </is>
      </c>
      <c r="E848" t="inlineStr">
        <is>
          <t>KATRINEHOLM</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12449-2023</t>
        </is>
      </c>
      <c r="B849" s="1" t="n">
        <v>44998</v>
      </c>
      <c r="C849" s="1" t="n">
        <v>45705</v>
      </c>
      <c r="D849" t="inlineStr">
        <is>
          <t>SÖDERMANLANDS LÄN</t>
        </is>
      </c>
      <c r="E849" t="inlineStr">
        <is>
          <t>KATRINEHOLM</t>
        </is>
      </c>
      <c r="G849" t="n">
        <v>6.1</v>
      </c>
      <c r="H849" t="n">
        <v>0</v>
      </c>
      <c r="I849" t="n">
        <v>0</v>
      </c>
      <c r="J849" t="n">
        <v>0</v>
      </c>
      <c r="K849" t="n">
        <v>0</v>
      </c>
      <c r="L849" t="n">
        <v>0</v>
      </c>
      <c r="M849" t="n">
        <v>0</v>
      </c>
      <c r="N849" t="n">
        <v>0</v>
      </c>
      <c r="O849" t="n">
        <v>0</v>
      </c>
      <c r="P849" t="n">
        <v>0</v>
      </c>
      <c r="Q849" t="n">
        <v>0</v>
      </c>
      <c r="R849" s="2" t="inlineStr"/>
    </row>
    <row r="850" ht="15" customHeight="1">
      <c r="A850" t="inlineStr">
        <is>
          <t>A 12494-2023</t>
        </is>
      </c>
      <c r="B850" s="1" t="n">
        <v>44999</v>
      </c>
      <c r="C850" s="1" t="n">
        <v>45705</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12559-2023</t>
        </is>
      </c>
      <c r="B851" s="1" t="n">
        <v>45000</v>
      </c>
      <c r="C851" s="1" t="n">
        <v>45705</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12930-2023</t>
        </is>
      </c>
      <c r="B852" s="1" t="n">
        <v>45001</v>
      </c>
      <c r="C852" s="1" t="n">
        <v>45705</v>
      </c>
      <c r="D852" t="inlineStr">
        <is>
          <t>SÖDERMANLANDS LÄN</t>
        </is>
      </c>
      <c r="E852" t="inlineStr">
        <is>
          <t>KATRINEHOLM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12934-2023</t>
        </is>
      </c>
      <c r="B853" s="1" t="n">
        <v>45001</v>
      </c>
      <c r="C853" s="1" t="n">
        <v>45705</v>
      </c>
      <c r="D853" t="inlineStr">
        <is>
          <t>SÖDERMANLANDS LÄN</t>
        </is>
      </c>
      <c r="E853" t="inlineStr">
        <is>
          <t>KATRINEHOLM</t>
        </is>
      </c>
      <c r="G853" t="n">
        <v>1.3</v>
      </c>
      <c r="H853" t="n">
        <v>0</v>
      </c>
      <c r="I853" t="n">
        <v>0</v>
      </c>
      <c r="J853" t="n">
        <v>0</v>
      </c>
      <c r="K853" t="n">
        <v>0</v>
      </c>
      <c r="L853" t="n">
        <v>0</v>
      </c>
      <c r="M853" t="n">
        <v>0</v>
      </c>
      <c r="N853" t="n">
        <v>0</v>
      </c>
      <c r="O853" t="n">
        <v>0</v>
      </c>
      <c r="P853" t="n">
        <v>0</v>
      </c>
      <c r="Q853" t="n">
        <v>0</v>
      </c>
      <c r="R853" s="2" t="inlineStr"/>
    </row>
    <row r="854" ht="15" customHeight="1">
      <c r="A854" t="inlineStr">
        <is>
          <t>A 12938-2023</t>
        </is>
      </c>
      <c r="B854" s="1" t="n">
        <v>45001</v>
      </c>
      <c r="C854" s="1" t="n">
        <v>45705</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12932-2023</t>
        </is>
      </c>
      <c r="B855" s="1" t="n">
        <v>45001</v>
      </c>
      <c r="C855" s="1" t="n">
        <v>45705</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12935-2023</t>
        </is>
      </c>
      <c r="B856" s="1" t="n">
        <v>45001</v>
      </c>
      <c r="C856" s="1" t="n">
        <v>45705</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12929-2023</t>
        </is>
      </c>
      <c r="B857" s="1" t="n">
        <v>45001</v>
      </c>
      <c r="C857" s="1" t="n">
        <v>45705</v>
      </c>
      <c r="D857" t="inlineStr">
        <is>
          <t>SÖDERMANLANDS LÄN</t>
        </is>
      </c>
      <c r="E857" t="inlineStr">
        <is>
          <t>KATRINEHOLM</t>
        </is>
      </c>
      <c r="G857" t="n">
        <v>3.1</v>
      </c>
      <c r="H857" t="n">
        <v>0</v>
      </c>
      <c r="I857" t="n">
        <v>0</v>
      </c>
      <c r="J857" t="n">
        <v>0</v>
      </c>
      <c r="K857" t="n">
        <v>0</v>
      </c>
      <c r="L857" t="n">
        <v>0</v>
      </c>
      <c r="M857" t="n">
        <v>0</v>
      </c>
      <c r="N857" t="n">
        <v>0</v>
      </c>
      <c r="O857" t="n">
        <v>0</v>
      </c>
      <c r="P857" t="n">
        <v>0</v>
      </c>
      <c r="Q857" t="n">
        <v>0</v>
      </c>
      <c r="R857" s="2" t="inlineStr"/>
    </row>
    <row r="858" ht="15" customHeight="1">
      <c r="A858" t="inlineStr">
        <is>
          <t>A 12937-2023</t>
        </is>
      </c>
      <c r="B858" s="1" t="n">
        <v>45001</v>
      </c>
      <c r="C858" s="1" t="n">
        <v>45705</v>
      </c>
      <c r="D858" t="inlineStr">
        <is>
          <t>SÖDERMANLANDS LÄN</t>
        </is>
      </c>
      <c r="E858" t="inlineStr">
        <is>
          <t>KATRINEHOLM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13113-2023</t>
        </is>
      </c>
      <c r="B859" s="1" t="n">
        <v>45002</v>
      </c>
      <c r="C859" s="1" t="n">
        <v>45705</v>
      </c>
      <c r="D859" t="inlineStr">
        <is>
          <t>SÖDERMANLANDS LÄN</t>
        </is>
      </c>
      <c r="E859" t="inlineStr">
        <is>
          <t>KATRINEHOLM</t>
        </is>
      </c>
      <c r="F859" t="inlineStr">
        <is>
          <t>Allmännings- och besparingsskogar</t>
        </is>
      </c>
      <c r="G859" t="n">
        <v>3.6</v>
      </c>
      <c r="H859" t="n">
        <v>0</v>
      </c>
      <c r="I859" t="n">
        <v>0</v>
      </c>
      <c r="J859" t="n">
        <v>0</v>
      </c>
      <c r="K859" t="n">
        <v>0</v>
      </c>
      <c r="L859" t="n">
        <v>0</v>
      </c>
      <c r="M859" t="n">
        <v>0</v>
      </c>
      <c r="N859" t="n">
        <v>0</v>
      </c>
      <c r="O859" t="n">
        <v>0</v>
      </c>
      <c r="P859" t="n">
        <v>0</v>
      </c>
      <c r="Q859" t="n">
        <v>0</v>
      </c>
      <c r="R859" s="2" t="inlineStr"/>
    </row>
    <row r="860" ht="15" customHeight="1">
      <c r="A860" t="inlineStr">
        <is>
          <t>A 13086-2023</t>
        </is>
      </c>
      <c r="B860" s="1" t="n">
        <v>45002</v>
      </c>
      <c r="C860" s="1" t="n">
        <v>45705</v>
      </c>
      <c r="D860" t="inlineStr">
        <is>
          <t>SÖDERMANLANDS LÄN</t>
        </is>
      </c>
      <c r="E860" t="inlineStr">
        <is>
          <t>KATRINEHOLM</t>
        </is>
      </c>
      <c r="G860" t="n">
        <v>2.2</v>
      </c>
      <c r="H860" t="n">
        <v>0</v>
      </c>
      <c r="I860" t="n">
        <v>0</v>
      </c>
      <c r="J860" t="n">
        <v>0</v>
      </c>
      <c r="K860" t="n">
        <v>0</v>
      </c>
      <c r="L860" t="n">
        <v>0</v>
      </c>
      <c r="M860" t="n">
        <v>0</v>
      </c>
      <c r="N860" t="n">
        <v>0</v>
      </c>
      <c r="O860" t="n">
        <v>0</v>
      </c>
      <c r="P860" t="n">
        <v>0</v>
      </c>
      <c r="Q860" t="n">
        <v>0</v>
      </c>
      <c r="R860" s="2" t="inlineStr"/>
    </row>
    <row r="861" ht="15" customHeight="1">
      <c r="A861" t="inlineStr">
        <is>
          <t>A 13612-2023</t>
        </is>
      </c>
      <c r="B861" s="1" t="n">
        <v>45006</v>
      </c>
      <c r="C861" s="1" t="n">
        <v>45705</v>
      </c>
      <c r="D861" t="inlineStr">
        <is>
          <t>SÖDERMANLANDS LÄN</t>
        </is>
      </c>
      <c r="E861" t="inlineStr">
        <is>
          <t>KATRINEHOLM</t>
        </is>
      </c>
      <c r="G861" t="n">
        <v>2.3</v>
      </c>
      <c r="H861" t="n">
        <v>0</v>
      </c>
      <c r="I861" t="n">
        <v>0</v>
      </c>
      <c r="J861" t="n">
        <v>0</v>
      </c>
      <c r="K861" t="n">
        <v>0</v>
      </c>
      <c r="L861" t="n">
        <v>0</v>
      </c>
      <c r="M861" t="n">
        <v>0</v>
      </c>
      <c r="N861" t="n">
        <v>0</v>
      </c>
      <c r="O861" t="n">
        <v>0</v>
      </c>
      <c r="P861" t="n">
        <v>0</v>
      </c>
      <c r="Q861" t="n">
        <v>0</v>
      </c>
      <c r="R861" s="2" t="inlineStr"/>
    </row>
    <row r="862" ht="15" customHeight="1">
      <c r="A862" t="inlineStr">
        <is>
          <t>A 13610-2023</t>
        </is>
      </c>
      <c r="B862" s="1" t="n">
        <v>45006</v>
      </c>
      <c r="C862" s="1" t="n">
        <v>45705</v>
      </c>
      <c r="D862" t="inlineStr">
        <is>
          <t>SÖDERMANLANDS LÄN</t>
        </is>
      </c>
      <c r="E862" t="inlineStr">
        <is>
          <t>KATRINEHOLM</t>
        </is>
      </c>
      <c r="G862" t="n">
        <v>0.7</v>
      </c>
      <c r="H862" t="n">
        <v>0</v>
      </c>
      <c r="I862" t="n">
        <v>0</v>
      </c>
      <c r="J862" t="n">
        <v>0</v>
      </c>
      <c r="K862" t="n">
        <v>0</v>
      </c>
      <c r="L862" t="n">
        <v>0</v>
      </c>
      <c r="M862" t="n">
        <v>0</v>
      </c>
      <c r="N862" t="n">
        <v>0</v>
      </c>
      <c r="O862" t="n">
        <v>0</v>
      </c>
      <c r="P862" t="n">
        <v>0</v>
      </c>
      <c r="Q862" t="n">
        <v>0</v>
      </c>
      <c r="R862" s="2" t="inlineStr"/>
    </row>
    <row r="863" ht="15" customHeight="1">
      <c r="A863" t="inlineStr">
        <is>
          <t>A 13658-2023</t>
        </is>
      </c>
      <c r="B863" s="1" t="n">
        <v>45006</v>
      </c>
      <c r="C863" s="1" t="n">
        <v>45705</v>
      </c>
      <c r="D863" t="inlineStr">
        <is>
          <t>SÖDERMANLANDS LÄN</t>
        </is>
      </c>
      <c r="E863" t="inlineStr">
        <is>
          <t>KATRINEHOLM</t>
        </is>
      </c>
      <c r="F863" t="inlineStr">
        <is>
          <t>Kyrkan</t>
        </is>
      </c>
      <c r="G863" t="n">
        <v>24.3</v>
      </c>
      <c r="H863" t="n">
        <v>0</v>
      </c>
      <c r="I863" t="n">
        <v>0</v>
      </c>
      <c r="J863" t="n">
        <v>0</v>
      </c>
      <c r="K863" t="n">
        <v>0</v>
      </c>
      <c r="L863" t="n">
        <v>0</v>
      </c>
      <c r="M863" t="n">
        <v>0</v>
      </c>
      <c r="N863" t="n">
        <v>0</v>
      </c>
      <c r="O863" t="n">
        <v>0</v>
      </c>
      <c r="P863" t="n">
        <v>0</v>
      </c>
      <c r="Q863" t="n">
        <v>0</v>
      </c>
      <c r="R863" s="2" t="inlineStr"/>
    </row>
    <row r="864" ht="15" customHeight="1">
      <c r="A864" t="inlineStr">
        <is>
          <t>A 14478-2023</t>
        </is>
      </c>
      <c r="B864" s="1" t="n">
        <v>45012</v>
      </c>
      <c r="C864" s="1" t="n">
        <v>45705</v>
      </c>
      <c r="D864" t="inlineStr">
        <is>
          <t>SÖDERMANLANDS LÄN</t>
        </is>
      </c>
      <c r="E864" t="inlineStr">
        <is>
          <t>KATRINEHOLM</t>
        </is>
      </c>
      <c r="G864" t="n">
        <v>3.9</v>
      </c>
      <c r="H864" t="n">
        <v>0</v>
      </c>
      <c r="I864" t="n">
        <v>0</v>
      </c>
      <c r="J864" t="n">
        <v>0</v>
      </c>
      <c r="K864" t="n">
        <v>0</v>
      </c>
      <c r="L864" t="n">
        <v>0</v>
      </c>
      <c r="M864" t="n">
        <v>0</v>
      </c>
      <c r="N864" t="n">
        <v>0</v>
      </c>
      <c r="O864" t="n">
        <v>0</v>
      </c>
      <c r="P864" t="n">
        <v>0</v>
      </c>
      <c r="Q864" t="n">
        <v>0</v>
      </c>
      <c r="R864" s="2" t="inlineStr"/>
    </row>
    <row r="865" ht="15" customHeight="1">
      <c r="A865" t="inlineStr">
        <is>
          <t>A 14629-2023</t>
        </is>
      </c>
      <c r="B865" s="1" t="n">
        <v>45013</v>
      </c>
      <c r="C865" s="1" t="n">
        <v>45705</v>
      </c>
      <c r="D865" t="inlineStr">
        <is>
          <t>SÖDERMANLANDS LÄN</t>
        </is>
      </c>
      <c r="E865" t="inlineStr">
        <is>
          <t>KATRINEHOLM</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15184-2023</t>
        </is>
      </c>
      <c r="B866" s="1" t="n">
        <v>45016</v>
      </c>
      <c r="C866" s="1" t="n">
        <v>45705</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15396-2023</t>
        </is>
      </c>
      <c r="B867" s="1" t="n">
        <v>45016</v>
      </c>
      <c r="C867" s="1" t="n">
        <v>45705</v>
      </c>
      <c r="D867" t="inlineStr">
        <is>
          <t>SÖDERMANLANDS LÄN</t>
        </is>
      </c>
      <c r="E867" t="inlineStr">
        <is>
          <t>KATRINEHOLM</t>
        </is>
      </c>
      <c r="F867" t="inlineStr">
        <is>
          <t>Övriga Aktiebolag</t>
        </is>
      </c>
      <c r="G867" t="n">
        <v>6.3</v>
      </c>
      <c r="H867" t="n">
        <v>0</v>
      </c>
      <c r="I867" t="n">
        <v>0</v>
      </c>
      <c r="J867" t="n">
        <v>0</v>
      </c>
      <c r="K867" t="n">
        <v>0</v>
      </c>
      <c r="L867" t="n">
        <v>0</v>
      </c>
      <c r="M867" t="n">
        <v>0</v>
      </c>
      <c r="N867" t="n">
        <v>0</v>
      </c>
      <c r="O867" t="n">
        <v>0</v>
      </c>
      <c r="P867" t="n">
        <v>0</v>
      </c>
      <c r="Q867" t="n">
        <v>0</v>
      </c>
      <c r="R867" s="2" t="inlineStr"/>
    </row>
    <row r="868" ht="15" customHeight="1">
      <c r="A868" t="inlineStr">
        <is>
          <t>A 15392-2023</t>
        </is>
      </c>
      <c r="B868" s="1" t="n">
        <v>45016</v>
      </c>
      <c r="C868" s="1" t="n">
        <v>45705</v>
      </c>
      <c r="D868" t="inlineStr">
        <is>
          <t>SÖDERMANLANDS LÄN</t>
        </is>
      </c>
      <c r="E868" t="inlineStr">
        <is>
          <t>KATRINEHOLM</t>
        </is>
      </c>
      <c r="F868" t="inlineStr">
        <is>
          <t>Övriga Aktiebolag</t>
        </is>
      </c>
      <c r="G868" t="n">
        <v>2.7</v>
      </c>
      <c r="H868" t="n">
        <v>0</v>
      </c>
      <c r="I868" t="n">
        <v>0</v>
      </c>
      <c r="J868" t="n">
        <v>0</v>
      </c>
      <c r="K868" t="n">
        <v>0</v>
      </c>
      <c r="L868" t="n">
        <v>0</v>
      </c>
      <c r="M868" t="n">
        <v>0</v>
      </c>
      <c r="N868" t="n">
        <v>0</v>
      </c>
      <c r="O868" t="n">
        <v>0</v>
      </c>
      <c r="P868" t="n">
        <v>0</v>
      </c>
      <c r="Q868" t="n">
        <v>0</v>
      </c>
      <c r="R868" s="2" t="inlineStr"/>
    </row>
    <row r="869" ht="15" customHeight="1">
      <c r="A869" t="inlineStr">
        <is>
          <t>A 15235-2023</t>
        </is>
      </c>
      <c r="B869" s="1" t="n">
        <v>45019</v>
      </c>
      <c r="C869" s="1" t="n">
        <v>45705</v>
      </c>
      <c r="D869" t="inlineStr">
        <is>
          <t>SÖDERMANLANDS LÄN</t>
        </is>
      </c>
      <c r="E869" t="inlineStr">
        <is>
          <t>KATRINEHOLM</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15284-2023</t>
        </is>
      </c>
      <c r="B870" s="1" t="n">
        <v>45019</v>
      </c>
      <c r="C870" s="1" t="n">
        <v>45705</v>
      </c>
      <c r="D870" t="inlineStr">
        <is>
          <t>SÖDERMANLANDS LÄN</t>
        </is>
      </c>
      <c r="E870" t="inlineStr">
        <is>
          <t>KATRINEHOLM</t>
        </is>
      </c>
      <c r="F870" t="inlineStr">
        <is>
          <t>Allmännings- och besparingsskogar</t>
        </is>
      </c>
      <c r="G870" t="n">
        <v>17.4</v>
      </c>
      <c r="H870" t="n">
        <v>0</v>
      </c>
      <c r="I870" t="n">
        <v>0</v>
      </c>
      <c r="J870" t="n">
        <v>0</v>
      </c>
      <c r="K870" t="n">
        <v>0</v>
      </c>
      <c r="L870" t="n">
        <v>0</v>
      </c>
      <c r="M870" t="n">
        <v>0</v>
      </c>
      <c r="N870" t="n">
        <v>0</v>
      </c>
      <c r="O870" t="n">
        <v>0</v>
      </c>
      <c r="P870" t="n">
        <v>0</v>
      </c>
      <c r="Q870" t="n">
        <v>0</v>
      </c>
      <c r="R870" s="2" t="inlineStr"/>
    </row>
    <row r="871" ht="15" customHeight="1">
      <c r="A871" t="inlineStr">
        <is>
          <t>A 15775-2023</t>
        </is>
      </c>
      <c r="B871" s="1" t="n">
        <v>45020</v>
      </c>
      <c r="C871" s="1" t="n">
        <v>45705</v>
      </c>
      <c r="D871" t="inlineStr">
        <is>
          <t>SÖDERMANLANDS LÄN</t>
        </is>
      </c>
      <c r="E871" t="inlineStr">
        <is>
          <t>KATRINEHOLM</t>
        </is>
      </c>
      <c r="G871" t="n">
        <v>39.4</v>
      </c>
      <c r="H871" t="n">
        <v>0</v>
      </c>
      <c r="I871" t="n">
        <v>0</v>
      </c>
      <c r="J871" t="n">
        <v>0</v>
      </c>
      <c r="K871" t="n">
        <v>0</v>
      </c>
      <c r="L871" t="n">
        <v>0</v>
      </c>
      <c r="M871" t="n">
        <v>0</v>
      </c>
      <c r="N871" t="n">
        <v>0</v>
      </c>
      <c r="O871" t="n">
        <v>0</v>
      </c>
      <c r="P871" t="n">
        <v>0</v>
      </c>
      <c r="Q871" t="n">
        <v>0</v>
      </c>
      <c r="R871" s="2" t="inlineStr"/>
    </row>
    <row r="872" ht="15" customHeight="1">
      <c r="A872" t="inlineStr">
        <is>
          <t>A 16087-2023</t>
        </is>
      </c>
      <c r="B872" s="1" t="n">
        <v>45026</v>
      </c>
      <c r="C872" s="1" t="n">
        <v>45705</v>
      </c>
      <c r="D872" t="inlineStr">
        <is>
          <t>SÖDERMANLANDS LÄN</t>
        </is>
      </c>
      <c r="E872" t="inlineStr">
        <is>
          <t>KATRINEHOLM</t>
        </is>
      </c>
      <c r="G872" t="n">
        <v>2</v>
      </c>
      <c r="H872" t="n">
        <v>0</v>
      </c>
      <c r="I872" t="n">
        <v>0</v>
      </c>
      <c r="J872" t="n">
        <v>0</v>
      </c>
      <c r="K872" t="n">
        <v>0</v>
      </c>
      <c r="L872" t="n">
        <v>0</v>
      </c>
      <c r="M872" t="n">
        <v>0</v>
      </c>
      <c r="N872" t="n">
        <v>0</v>
      </c>
      <c r="O872" t="n">
        <v>0</v>
      </c>
      <c r="P872" t="n">
        <v>0</v>
      </c>
      <c r="Q872" t="n">
        <v>0</v>
      </c>
      <c r="R872" s="2" t="inlineStr"/>
    </row>
    <row r="873" ht="15" customHeight="1">
      <c r="A873" t="inlineStr">
        <is>
          <t>A 16732-2023</t>
        </is>
      </c>
      <c r="B873" s="1" t="n">
        <v>45030</v>
      </c>
      <c r="C873" s="1" t="n">
        <v>45705</v>
      </c>
      <c r="D873" t="inlineStr">
        <is>
          <t>SÖDERMANLANDS LÄN</t>
        </is>
      </c>
      <c r="E873" t="inlineStr">
        <is>
          <t>KATRINEHOLM</t>
        </is>
      </c>
      <c r="F873" t="inlineStr">
        <is>
          <t>Holmen skog AB</t>
        </is>
      </c>
      <c r="G873" t="n">
        <v>6.5</v>
      </c>
      <c r="H873" t="n">
        <v>0</v>
      </c>
      <c r="I873" t="n">
        <v>0</v>
      </c>
      <c r="J873" t="n">
        <v>0</v>
      </c>
      <c r="K873" t="n">
        <v>0</v>
      </c>
      <c r="L873" t="n">
        <v>0</v>
      </c>
      <c r="M873" t="n">
        <v>0</v>
      </c>
      <c r="N873" t="n">
        <v>0</v>
      </c>
      <c r="O873" t="n">
        <v>0</v>
      </c>
      <c r="P873" t="n">
        <v>0</v>
      </c>
      <c r="Q873" t="n">
        <v>0</v>
      </c>
      <c r="R873" s="2" t="inlineStr"/>
    </row>
    <row r="874" ht="15" customHeight="1">
      <c r="A874" t="inlineStr">
        <is>
          <t>A 16738-2023</t>
        </is>
      </c>
      <c r="B874" s="1" t="n">
        <v>45030</v>
      </c>
      <c r="C874" s="1" t="n">
        <v>45705</v>
      </c>
      <c r="D874" t="inlineStr">
        <is>
          <t>SÖDERMANLANDS LÄN</t>
        </is>
      </c>
      <c r="E874" t="inlineStr">
        <is>
          <t>KATRINEHOLM</t>
        </is>
      </c>
      <c r="F874" t="inlineStr">
        <is>
          <t>Holmen skog AB</t>
        </is>
      </c>
      <c r="G874" t="n">
        <v>15.1</v>
      </c>
      <c r="H874" t="n">
        <v>0</v>
      </c>
      <c r="I874" t="n">
        <v>0</v>
      </c>
      <c r="J874" t="n">
        <v>0</v>
      </c>
      <c r="K874" t="n">
        <v>0</v>
      </c>
      <c r="L874" t="n">
        <v>0</v>
      </c>
      <c r="M874" t="n">
        <v>0</v>
      </c>
      <c r="N874" t="n">
        <v>0</v>
      </c>
      <c r="O874" t="n">
        <v>0</v>
      </c>
      <c r="P874" t="n">
        <v>0</v>
      </c>
      <c r="Q874" t="n">
        <v>0</v>
      </c>
      <c r="R874" s="2" t="inlineStr"/>
    </row>
    <row r="875" ht="15" customHeight="1">
      <c r="A875" t="inlineStr">
        <is>
          <t>A 17335-2023</t>
        </is>
      </c>
      <c r="B875" s="1" t="n">
        <v>45033</v>
      </c>
      <c r="C875" s="1" t="n">
        <v>45705</v>
      </c>
      <c r="D875" t="inlineStr">
        <is>
          <t>SÖDERMANLANDS LÄN</t>
        </is>
      </c>
      <c r="E875" t="inlineStr">
        <is>
          <t>KATRINEHOLM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17362-2023</t>
        </is>
      </c>
      <c r="B876" s="1" t="n">
        <v>45033</v>
      </c>
      <c r="C876" s="1" t="n">
        <v>45705</v>
      </c>
      <c r="D876" t="inlineStr">
        <is>
          <t>SÖDERMANLANDS LÄN</t>
        </is>
      </c>
      <c r="E876" t="inlineStr">
        <is>
          <t>KATRINEHOLM</t>
        </is>
      </c>
      <c r="G876" t="n">
        <v>15.1</v>
      </c>
      <c r="H876" t="n">
        <v>0</v>
      </c>
      <c r="I876" t="n">
        <v>0</v>
      </c>
      <c r="J876" t="n">
        <v>0</v>
      </c>
      <c r="K876" t="n">
        <v>0</v>
      </c>
      <c r="L876" t="n">
        <v>0</v>
      </c>
      <c r="M876" t="n">
        <v>0</v>
      </c>
      <c r="N876" t="n">
        <v>0</v>
      </c>
      <c r="O876" t="n">
        <v>0</v>
      </c>
      <c r="P876" t="n">
        <v>0</v>
      </c>
      <c r="Q876" t="n">
        <v>0</v>
      </c>
      <c r="R876" s="2" t="inlineStr"/>
    </row>
    <row r="877" ht="15" customHeight="1">
      <c r="A877" t="inlineStr">
        <is>
          <t>A 17531-2023</t>
        </is>
      </c>
      <c r="B877" s="1" t="n">
        <v>45036</v>
      </c>
      <c r="C877" s="1" t="n">
        <v>45705</v>
      </c>
      <c r="D877" t="inlineStr">
        <is>
          <t>SÖDERMANLANDS LÄN</t>
        </is>
      </c>
      <c r="E877" t="inlineStr">
        <is>
          <t>KATRINEHOLM</t>
        </is>
      </c>
      <c r="F877" t="inlineStr">
        <is>
          <t>Holmen skog AB</t>
        </is>
      </c>
      <c r="G877" t="n">
        <v>7.2</v>
      </c>
      <c r="H877" t="n">
        <v>0</v>
      </c>
      <c r="I877" t="n">
        <v>0</v>
      </c>
      <c r="J877" t="n">
        <v>0</v>
      </c>
      <c r="K877" t="n">
        <v>0</v>
      </c>
      <c r="L877" t="n">
        <v>0</v>
      </c>
      <c r="M877" t="n">
        <v>0</v>
      </c>
      <c r="N877" t="n">
        <v>0</v>
      </c>
      <c r="O877" t="n">
        <v>0</v>
      </c>
      <c r="P877" t="n">
        <v>0</v>
      </c>
      <c r="Q877" t="n">
        <v>0</v>
      </c>
      <c r="R877" s="2" t="inlineStr"/>
    </row>
    <row r="878" ht="15" customHeight="1">
      <c r="A878" t="inlineStr">
        <is>
          <t>A 17598-2023</t>
        </is>
      </c>
      <c r="B878" s="1" t="n">
        <v>45036</v>
      </c>
      <c r="C878" s="1" t="n">
        <v>45705</v>
      </c>
      <c r="D878" t="inlineStr">
        <is>
          <t>SÖDERMANLANDS LÄN</t>
        </is>
      </c>
      <c r="E878" t="inlineStr">
        <is>
          <t>KATRINEHOLM</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17581-2023</t>
        </is>
      </c>
      <c r="B879" s="1" t="n">
        <v>45036</v>
      </c>
      <c r="C879" s="1" t="n">
        <v>45705</v>
      </c>
      <c r="D879" t="inlineStr">
        <is>
          <t>SÖDERMANLANDS LÄN</t>
        </is>
      </c>
      <c r="E879" t="inlineStr">
        <is>
          <t>KATRINEHOLM</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18112-2023</t>
        </is>
      </c>
      <c r="B880" s="1" t="n">
        <v>45040</v>
      </c>
      <c r="C880" s="1" t="n">
        <v>45705</v>
      </c>
      <c r="D880" t="inlineStr">
        <is>
          <t>SÖDERMANLANDS LÄN</t>
        </is>
      </c>
      <c r="E880" t="inlineStr">
        <is>
          <t>KATRINEHOLM</t>
        </is>
      </c>
      <c r="F880" t="inlineStr">
        <is>
          <t>Kyrkan</t>
        </is>
      </c>
      <c r="G880" t="n">
        <v>1.7</v>
      </c>
      <c r="H880" t="n">
        <v>0</v>
      </c>
      <c r="I880" t="n">
        <v>0</v>
      </c>
      <c r="J880" t="n">
        <v>0</v>
      </c>
      <c r="K880" t="n">
        <v>0</v>
      </c>
      <c r="L880" t="n">
        <v>0</v>
      </c>
      <c r="M880" t="n">
        <v>0</v>
      </c>
      <c r="N880" t="n">
        <v>0</v>
      </c>
      <c r="O880" t="n">
        <v>0</v>
      </c>
      <c r="P880" t="n">
        <v>0</v>
      </c>
      <c r="Q880" t="n">
        <v>0</v>
      </c>
      <c r="R880" s="2" t="inlineStr"/>
    </row>
    <row r="881" ht="15" customHeight="1">
      <c r="A881" t="inlineStr">
        <is>
          <t>A 17973-2023</t>
        </is>
      </c>
      <c r="B881" s="1" t="n">
        <v>45040</v>
      </c>
      <c r="C881" s="1" t="n">
        <v>45705</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18339-2023</t>
        </is>
      </c>
      <c r="B882" s="1" t="n">
        <v>45041</v>
      </c>
      <c r="C882" s="1" t="n">
        <v>45705</v>
      </c>
      <c r="D882" t="inlineStr">
        <is>
          <t>SÖDERMANLANDS LÄN</t>
        </is>
      </c>
      <c r="E882" t="inlineStr">
        <is>
          <t>KATRINEHOLM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19442-2023</t>
        </is>
      </c>
      <c r="B883" s="1" t="n">
        <v>45050</v>
      </c>
      <c r="C883" s="1" t="n">
        <v>45705</v>
      </c>
      <c r="D883" t="inlineStr">
        <is>
          <t>SÖDERMANLANDS LÄN</t>
        </is>
      </c>
      <c r="E883" t="inlineStr">
        <is>
          <t>KATRINEHOLM</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19452-2023</t>
        </is>
      </c>
      <c r="B884" s="1" t="n">
        <v>45050</v>
      </c>
      <c r="C884" s="1" t="n">
        <v>45705</v>
      </c>
      <c r="D884" t="inlineStr">
        <is>
          <t>SÖDERMANLANDS LÄN</t>
        </is>
      </c>
      <c r="E884" t="inlineStr">
        <is>
          <t>KATRINEHOLM</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19603-2023</t>
        </is>
      </c>
      <c r="B885" s="1" t="n">
        <v>45050</v>
      </c>
      <c r="C885" s="1" t="n">
        <v>45705</v>
      </c>
      <c r="D885" t="inlineStr">
        <is>
          <t>SÖDERMANLANDS LÄN</t>
        </is>
      </c>
      <c r="E885" t="inlineStr">
        <is>
          <t>KATRINEHOLM</t>
        </is>
      </c>
      <c r="F885" t="inlineStr">
        <is>
          <t>Kyrkan</t>
        </is>
      </c>
      <c r="G885" t="n">
        <v>4.4</v>
      </c>
      <c r="H885" t="n">
        <v>0</v>
      </c>
      <c r="I885" t="n">
        <v>0</v>
      </c>
      <c r="J885" t="n">
        <v>0</v>
      </c>
      <c r="K885" t="n">
        <v>0</v>
      </c>
      <c r="L885" t="n">
        <v>0</v>
      </c>
      <c r="M885" t="n">
        <v>0</v>
      </c>
      <c r="N885" t="n">
        <v>0</v>
      </c>
      <c r="O885" t="n">
        <v>0</v>
      </c>
      <c r="P885" t="n">
        <v>0</v>
      </c>
      <c r="Q885" t="n">
        <v>0</v>
      </c>
      <c r="R885" s="2" t="inlineStr"/>
    </row>
    <row r="886" ht="15" customHeight="1">
      <c r="A886" t="inlineStr">
        <is>
          <t>A 19445-2023</t>
        </is>
      </c>
      <c r="B886" s="1" t="n">
        <v>45050</v>
      </c>
      <c r="C886" s="1" t="n">
        <v>45705</v>
      </c>
      <c r="D886" t="inlineStr">
        <is>
          <t>SÖDERMANLANDS LÄN</t>
        </is>
      </c>
      <c r="E886" t="inlineStr">
        <is>
          <t>KATRINEHOLM</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19716-2023</t>
        </is>
      </c>
      <c r="B887" s="1" t="n">
        <v>45051</v>
      </c>
      <c r="C887" s="1" t="n">
        <v>45705</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19653-2023</t>
        </is>
      </c>
      <c r="B888" s="1" t="n">
        <v>45051</v>
      </c>
      <c r="C888" s="1" t="n">
        <v>45705</v>
      </c>
      <c r="D888" t="inlineStr">
        <is>
          <t>SÖDERMANLANDS LÄN</t>
        </is>
      </c>
      <c r="E888" t="inlineStr">
        <is>
          <t>KATRINEHOLM</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20312-2023</t>
        </is>
      </c>
      <c r="B889" s="1" t="n">
        <v>45056</v>
      </c>
      <c r="C889" s="1" t="n">
        <v>45705</v>
      </c>
      <c r="D889" t="inlineStr">
        <is>
          <t>SÖDERMANLANDS LÄN</t>
        </is>
      </c>
      <c r="E889" t="inlineStr">
        <is>
          <t>KATRINEHOLM</t>
        </is>
      </c>
      <c r="G889" t="n">
        <v>10.6</v>
      </c>
      <c r="H889" t="n">
        <v>0</v>
      </c>
      <c r="I889" t="n">
        <v>0</v>
      </c>
      <c r="J889" t="n">
        <v>0</v>
      </c>
      <c r="K889" t="n">
        <v>0</v>
      </c>
      <c r="L889" t="n">
        <v>0</v>
      </c>
      <c r="M889" t="n">
        <v>0</v>
      </c>
      <c r="N889" t="n">
        <v>0</v>
      </c>
      <c r="O889" t="n">
        <v>0</v>
      </c>
      <c r="P889" t="n">
        <v>0</v>
      </c>
      <c r="Q889" t="n">
        <v>0</v>
      </c>
      <c r="R889" s="2" t="inlineStr"/>
    </row>
    <row r="890" ht="15" customHeight="1">
      <c r="A890" t="inlineStr">
        <is>
          <t>A 20351-2023</t>
        </is>
      </c>
      <c r="B890" s="1" t="n">
        <v>45056</v>
      </c>
      <c r="C890" s="1" t="n">
        <v>45705</v>
      </c>
      <c r="D890" t="inlineStr">
        <is>
          <t>SÖDERMANLANDS LÄN</t>
        </is>
      </c>
      <c r="E890" t="inlineStr">
        <is>
          <t>KATRINEHOLM</t>
        </is>
      </c>
      <c r="G890" t="n">
        <v>2.3</v>
      </c>
      <c r="H890" t="n">
        <v>0</v>
      </c>
      <c r="I890" t="n">
        <v>0</v>
      </c>
      <c r="J890" t="n">
        <v>0</v>
      </c>
      <c r="K890" t="n">
        <v>0</v>
      </c>
      <c r="L890" t="n">
        <v>0</v>
      </c>
      <c r="M890" t="n">
        <v>0</v>
      </c>
      <c r="N890" t="n">
        <v>0</v>
      </c>
      <c r="O890" t="n">
        <v>0</v>
      </c>
      <c r="P890" t="n">
        <v>0</v>
      </c>
      <c r="Q890" t="n">
        <v>0</v>
      </c>
      <c r="R890" s="2" t="inlineStr"/>
    </row>
    <row r="891" ht="15" customHeight="1">
      <c r="A891" t="inlineStr">
        <is>
          <t>A 20326-2023</t>
        </is>
      </c>
      <c r="B891" s="1" t="n">
        <v>45056</v>
      </c>
      <c r="C891" s="1" t="n">
        <v>45705</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20305-2023</t>
        </is>
      </c>
      <c r="B892" s="1" t="n">
        <v>45056</v>
      </c>
      <c r="C892" s="1" t="n">
        <v>45705</v>
      </c>
      <c r="D892" t="inlineStr">
        <is>
          <t>SÖDERMANLANDS LÄN</t>
        </is>
      </c>
      <c r="E892" t="inlineStr">
        <is>
          <t>KATRINEHOLM</t>
        </is>
      </c>
      <c r="G892" t="n">
        <v>10.4</v>
      </c>
      <c r="H892" t="n">
        <v>0</v>
      </c>
      <c r="I892" t="n">
        <v>0</v>
      </c>
      <c r="J892" t="n">
        <v>0</v>
      </c>
      <c r="K892" t="n">
        <v>0</v>
      </c>
      <c r="L892" t="n">
        <v>0</v>
      </c>
      <c r="M892" t="n">
        <v>0</v>
      </c>
      <c r="N892" t="n">
        <v>0</v>
      </c>
      <c r="O892" t="n">
        <v>0</v>
      </c>
      <c r="P892" t="n">
        <v>0</v>
      </c>
      <c r="Q892" t="n">
        <v>0</v>
      </c>
      <c r="R892" s="2" t="inlineStr"/>
    </row>
    <row r="893" ht="15" customHeight="1">
      <c r="A893" t="inlineStr">
        <is>
          <t>A 20367-2023</t>
        </is>
      </c>
      <c r="B893" s="1" t="n">
        <v>45056</v>
      </c>
      <c r="C893" s="1" t="n">
        <v>45705</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20921-2023</t>
        </is>
      </c>
      <c r="B894" s="1" t="n">
        <v>45061</v>
      </c>
      <c r="C894" s="1" t="n">
        <v>45705</v>
      </c>
      <c r="D894" t="inlineStr">
        <is>
          <t>SÖDERMANLANDS LÄN</t>
        </is>
      </c>
      <c r="E894" t="inlineStr">
        <is>
          <t>KATRINEHOLM</t>
        </is>
      </c>
      <c r="G894" t="n">
        <v>8.9</v>
      </c>
      <c r="H894" t="n">
        <v>0</v>
      </c>
      <c r="I894" t="n">
        <v>0</v>
      </c>
      <c r="J894" t="n">
        <v>0</v>
      </c>
      <c r="K894" t="n">
        <v>0</v>
      </c>
      <c r="L894" t="n">
        <v>0</v>
      </c>
      <c r="M894" t="n">
        <v>0</v>
      </c>
      <c r="N894" t="n">
        <v>0</v>
      </c>
      <c r="O894" t="n">
        <v>0</v>
      </c>
      <c r="P894" t="n">
        <v>0</v>
      </c>
      <c r="Q894" t="n">
        <v>0</v>
      </c>
      <c r="R894" s="2" t="inlineStr"/>
    </row>
    <row r="895" ht="15" customHeight="1">
      <c r="A895" t="inlineStr">
        <is>
          <t>A 21075-2023</t>
        </is>
      </c>
      <c r="B895" s="1" t="n">
        <v>45061</v>
      </c>
      <c r="C895" s="1" t="n">
        <v>45705</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21708-2023</t>
        </is>
      </c>
      <c r="B896" s="1" t="n">
        <v>45064</v>
      </c>
      <c r="C896" s="1" t="n">
        <v>45705</v>
      </c>
      <c r="D896" t="inlineStr">
        <is>
          <t>SÖDERMANLANDS LÄN</t>
        </is>
      </c>
      <c r="E896" t="inlineStr">
        <is>
          <t>KATRINEHOLM</t>
        </is>
      </c>
      <c r="G896" t="n">
        <v>5</v>
      </c>
      <c r="H896" t="n">
        <v>0</v>
      </c>
      <c r="I896" t="n">
        <v>0</v>
      </c>
      <c r="J896" t="n">
        <v>0</v>
      </c>
      <c r="K896" t="n">
        <v>0</v>
      </c>
      <c r="L896" t="n">
        <v>0</v>
      </c>
      <c r="M896" t="n">
        <v>0</v>
      </c>
      <c r="N896" t="n">
        <v>0</v>
      </c>
      <c r="O896" t="n">
        <v>0</v>
      </c>
      <c r="P896" t="n">
        <v>0</v>
      </c>
      <c r="Q896" t="n">
        <v>0</v>
      </c>
      <c r="R896" s="2" t="inlineStr"/>
    </row>
    <row r="897" ht="15" customHeight="1">
      <c r="A897" t="inlineStr">
        <is>
          <t>A 22345-2023</t>
        </is>
      </c>
      <c r="B897" s="1" t="n">
        <v>45070</v>
      </c>
      <c r="C897" s="1" t="n">
        <v>45705</v>
      </c>
      <c r="D897" t="inlineStr">
        <is>
          <t>SÖDERMANLANDS LÄN</t>
        </is>
      </c>
      <c r="E897" t="inlineStr">
        <is>
          <t>KATRINEHOLM</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22506-2023</t>
        </is>
      </c>
      <c r="B898" s="1" t="n">
        <v>45071</v>
      </c>
      <c r="C898" s="1" t="n">
        <v>45705</v>
      </c>
      <c r="D898" t="inlineStr">
        <is>
          <t>SÖDERMANLANDS LÄN</t>
        </is>
      </c>
      <c r="E898" t="inlineStr">
        <is>
          <t>KATRINEHOLM</t>
        </is>
      </c>
      <c r="F898" t="inlineStr">
        <is>
          <t>Kyrkan</t>
        </is>
      </c>
      <c r="G898" t="n">
        <v>5.9</v>
      </c>
      <c r="H898" t="n">
        <v>0</v>
      </c>
      <c r="I898" t="n">
        <v>0</v>
      </c>
      <c r="J898" t="n">
        <v>0</v>
      </c>
      <c r="K898" t="n">
        <v>0</v>
      </c>
      <c r="L898" t="n">
        <v>0</v>
      </c>
      <c r="M898" t="n">
        <v>0</v>
      </c>
      <c r="N898" t="n">
        <v>0</v>
      </c>
      <c r="O898" t="n">
        <v>0</v>
      </c>
      <c r="P898" t="n">
        <v>0</v>
      </c>
      <c r="Q898" t="n">
        <v>0</v>
      </c>
      <c r="R898" s="2" t="inlineStr"/>
    </row>
    <row r="899" ht="15" customHeight="1">
      <c r="A899" t="inlineStr">
        <is>
          <t>A 23207-2023</t>
        </is>
      </c>
      <c r="B899" s="1" t="n">
        <v>45071</v>
      </c>
      <c r="C899" s="1" t="n">
        <v>45705</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23463-2023</t>
        </is>
      </c>
      <c r="B900" s="1" t="n">
        <v>45072</v>
      </c>
      <c r="C900" s="1" t="n">
        <v>45705</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23127-2023</t>
        </is>
      </c>
      <c r="B901" s="1" t="n">
        <v>45075</v>
      </c>
      <c r="C901" s="1" t="n">
        <v>45705</v>
      </c>
      <c r="D901" t="inlineStr">
        <is>
          <t>SÖDERMANLANDS LÄN</t>
        </is>
      </c>
      <c r="E901" t="inlineStr">
        <is>
          <t>KATRINEHOLM</t>
        </is>
      </c>
      <c r="G901" t="n">
        <v>6.5</v>
      </c>
      <c r="H901" t="n">
        <v>0</v>
      </c>
      <c r="I901" t="n">
        <v>0</v>
      </c>
      <c r="J901" t="n">
        <v>0</v>
      </c>
      <c r="K901" t="n">
        <v>0</v>
      </c>
      <c r="L901" t="n">
        <v>0</v>
      </c>
      <c r="M901" t="n">
        <v>0</v>
      </c>
      <c r="N901" t="n">
        <v>0</v>
      </c>
      <c r="O901" t="n">
        <v>0</v>
      </c>
      <c r="P901" t="n">
        <v>0</v>
      </c>
      <c r="Q901" t="n">
        <v>0</v>
      </c>
      <c r="R901" s="2" t="inlineStr"/>
    </row>
    <row r="902" ht="15" customHeight="1">
      <c r="A902" t="inlineStr">
        <is>
          <t>A 23122-2023</t>
        </is>
      </c>
      <c r="B902" s="1" t="n">
        <v>45075</v>
      </c>
      <c r="C902" s="1" t="n">
        <v>45705</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23125-2023</t>
        </is>
      </c>
      <c r="B903" s="1" t="n">
        <v>45075</v>
      </c>
      <c r="C903" s="1" t="n">
        <v>45705</v>
      </c>
      <c r="D903" t="inlineStr">
        <is>
          <t>SÖDERMANLANDS LÄN</t>
        </is>
      </c>
      <c r="E903" t="inlineStr">
        <is>
          <t>KATRINEHOLM</t>
        </is>
      </c>
      <c r="G903" t="n">
        <v>4.5</v>
      </c>
      <c r="H903" t="n">
        <v>0</v>
      </c>
      <c r="I903" t="n">
        <v>0</v>
      </c>
      <c r="J903" t="n">
        <v>0</v>
      </c>
      <c r="K903" t="n">
        <v>0</v>
      </c>
      <c r="L903" t="n">
        <v>0</v>
      </c>
      <c r="M903" t="n">
        <v>0</v>
      </c>
      <c r="N903" t="n">
        <v>0</v>
      </c>
      <c r="O903" t="n">
        <v>0</v>
      </c>
      <c r="P903" t="n">
        <v>0</v>
      </c>
      <c r="Q903" t="n">
        <v>0</v>
      </c>
      <c r="R903" s="2" t="inlineStr"/>
    </row>
    <row r="904" ht="15" customHeight="1">
      <c r="A904" t="inlineStr">
        <is>
          <t>A 23942-2023</t>
        </is>
      </c>
      <c r="B904" s="1" t="n">
        <v>45075</v>
      </c>
      <c r="C904" s="1" t="n">
        <v>45705</v>
      </c>
      <c r="D904" t="inlineStr">
        <is>
          <t>SÖDERMANLANDS LÄN</t>
        </is>
      </c>
      <c r="E904" t="inlineStr">
        <is>
          <t>KATRINEHOLM</t>
        </is>
      </c>
      <c r="G904" t="n">
        <v>21.5</v>
      </c>
      <c r="H904" t="n">
        <v>0</v>
      </c>
      <c r="I904" t="n">
        <v>0</v>
      </c>
      <c r="J904" t="n">
        <v>0</v>
      </c>
      <c r="K904" t="n">
        <v>0</v>
      </c>
      <c r="L904" t="n">
        <v>0</v>
      </c>
      <c r="M904" t="n">
        <v>0</v>
      </c>
      <c r="N904" t="n">
        <v>0</v>
      </c>
      <c r="O904" t="n">
        <v>0</v>
      </c>
      <c r="P904" t="n">
        <v>0</v>
      </c>
      <c r="Q904" t="n">
        <v>0</v>
      </c>
      <c r="R904" s="2" t="inlineStr"/>
    </row>
    <row r="905" ht="15" customHeight="1">
      <c r="A905" t="inlineStr">
        <is>
          <t>A 23916-2023</t>
        </is>
      </c>
      <c r="B905" s="1" t="n">
        <v>45075</v>
      </c>
      <c r="C905" s="1" t="n">
        <v>45705</v>
      </c>
      <c r="D905" t="inlineStr">
        <is>
          <t>SÖDERMANLANDS LÄN</t>
        </is>
      </c>
      <c r="E905" t="inlineStr">
        <is>
          <t>KATRINEHOLM</t>
        </is>
      </c>
      <c r="G905" t="n">
        <v>8</v>
      </c>
      <c r="H905" t="n">
        <v>0</v>
      </c>
      <c r="I905" t="n">
        <v>0</v>
      </c>
      <c r="J905" t="n">
        <v>0</v>
      </c>
      <c r="K905" t="n">
        <v>0</v>
      </c>
      <c r="L905" t="n">
        <v>0</v>
      </c>
      <c r="M905" t="n">
        <v>0</v>
      </c>
      <c r="N905" t="n">
        <v>0</v>
      </c>
      <c r="O905" t="n">
        <v>0</v>
      </c>
      <c r="P905" t="n">
        <v>0</v>
      </c>
      <c r="Q905" t="n">
        <v>0</v>
      </c>
      <c r="R905" s="2" t="inlineStr"/>
    </row>
    <row r="906" ht="15" customHeight="1">
      <c r="A906" t="inlineStr">
        <is>
          <t>A 23867-2023</t>
        </is>
      </c>
      <c r="B906" s="1" t="n">
        <v>45075</v>
      </c>
      <c r="C906" s="1" t="n">
        <v>45705</v>
      </c>
      <c r="D906" t="inlineStr">
        <is>
          <t>SÖDERMANLANDS LÄN</t>
        </is>
      </c>
      <c r="E906" t="inlineStr">
        <is>
          <t>KATRINEHOLM</t>
        </is>
      </c>
      <c r="G906" t="n">
        <v>18.7</v>
      </c>
      <c r="H906" t="n">
        <v>0</v>
      </c>
      <c r="I906" t="n">
        <v>0</v>
      </c>
      <c r="J906" t="n">
        <v>0</v>
      </c>
      <c r="K906" t="n">
        <v>0</v>
      </c>
      <c r="L906" t="n">
        <v>0</v>
      </c>
      <c r="M906" t="n">
        <v>0</v>
      </c>
      <c r="N906" t="n">
        <v>0</v>
      </c>
      <c r="O906" t="n">
        <v>0</v>
      </c>
      <c r="P906" t="n">
        <v>0</v>
      </c>
      <c r="Q906" t="n">
        <v>0</v>
      </c>
      <c r="R906" s="2" t="inlineStr"/>
    </row>
    <row r="907" ht="15" customHeight="1">
      <c r="A907" t="inlineStr">
        <is>
          <t>A 23842-2023</t>
        </is>
      </c>
      <c r="B907" s="1" t="n">
        <v>45075</v>
      </c>
      <c r="C907" s="1" t="n">
        <v>45705</v>
      </c>
      <c r="D907" t="inlineStr">
        <is>
          <t>SÖDERMANLANDS LÄN</t>
        </is>
      </c>
      <c r="E907" t="inlineStr">
        <is>
          <t>KATRINEHOLM</t>
        </is>
      </c>
      <c r="G907" t="n">
        <v>1.8</v>
      </c>
      <c r="H907" t="n">
        <v>0</v>
      </c>
      <c r="I907" t="n">
        <v>0</v>
      </c>
      <c r="J907" t="n">
        <v>0</v>
      </c>
      <c r="K907" t="n">
        <v>0</v>
      </c>
      <c r="L907" t="n">
        <v>0</v>
      </c>
      <c r="M907" t="n">
        <v>0</v>
      </c>
      <c r="N907" t="n">
        <v>0</v>
      </c>
      <c r="O907" t="n">
        <v>0</v>
      </c>
      <c r="P907" t="n">
        <v>0</v>
      </c>
      <c r="Q907" t="n">
        <v>0</v>
      </c>
      <c r="R907" s="2" t="inlineStr"/>
    </row>
    <row r="908" ht="15" customHeight="1">
      <c r="A908" t="inlineStr">
        <is>
          <t>A 23341-2023</t>
        </is>
      </c>
      <c r="B908" s="1" t="n">
        <v>45076</v>
      </c>
      <c r="C908" s="1" t="n">
        <v>45705</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23347-2023</t>
        </is>
      </c>
      <c r="B909" s="1" t="n">
        <v>45076</v>
      </c>
      <c r="C909" s="1" t="n">
        <v>45705</v>
      </c>
      <c r="D909" t="inlineStr">
        <is>
          <t>SÖDERMANLANDS LÄN</t>
        </is>
      </c>
      <c r="E909" t="inlineStr">
        <is>
          <t>KATRINEHOLM</t>
        </is>
      </c>
      <c r="G909" t="n">
        <v>4.3</v>
      </c>
      <c r="H909" t="n">
        <v>0</v>
      </c>
      <c r="I909" t="n">
        <v>0</v>
      </c>
      <c r="J909" t="n">
        <v>0</v>
      </c>
      <c r="K909" t="n">
        <v>0</v>
      </c>
      <c r="L909" t="n">
        <v>0</v>
      </c>
      <c r="M909" t="n">
        <v>0</v>
      </c>
      <c r="N909" t="n">
        <v>0</v>
      </c>
      <c r="O909" t="n">
        <v>0</v>
      </c>
      <c r="P909" t="n">
        <v>0</v>
      </c>
      <c r="Q909" t="n">
        <v>0</v>
      </c>
      <c r="R909" s="2" t="inlineStr"/>
    </row>
    <row r="910" ht="15" customHeight="1">
      <c r="A910" t="inlineStr">
        <is>
          <t>A 23438-2023</t>
        </is>
      </c>
      <c r="B910" s="1" t="n">
        <v>45076</v>
      </c>
      <c r="C910" s="1" t="n">
        <v>45705</v>
      </c>
      <c r="D910" t="inlineStr">
        <is>
          <t>SÖDERMANLANDS LÄN</t>
        </is>
      </c>
      <c r="E910" t="inlineStr">
        <is>
          <t>KATRINEHOLM</t>
        </is>
      </c>
      <c r="G910" t="n">
        <v>4.5</v>
      </c>
      <c r="H910" t="n">
        <v>0</v>
      </c>
      <c r="I910" t="n">
        <v>0</v>
      </c>
      <c r="J910" t="n">
        <v>0</v>
      </c>
      <c r="K910" t="n">
        <v>0</v>
      </c>
      <c r="L910" t="n">
        <v>0</v>
      </c>
      <c r="M910" t="n">
        <v>0</v>
      </c>
      <c r="N910" t="n">
        <v>0</v>
      </c>
      <c r="O910" t="n">
        <v>0</v>
      </c>
      <c r="P910" t="n">
        <v>0</v>
      </c>
      <c r="Q910" t="n">
        <v>0</v>
      </c>
      <c r="R910" s="2" t="inlineStr"/>
    </row>
    <row r="911" ht="15" customHeight="1">
      <c r="A911" t="inlineStr">
        <is>
          <t>A 23705-2023</t>
        </is>
      </c>
      <c r="B911" s="1" t="n">
        <v>45077</v>
      </c>
      <c r="C911" s="1" t="n">
        <v>45705</v>
      </c>
      <c r="D911" t="inlineStr">
        <is>
          <t>SÖDERMANLANDS LÄN</t>
        </is>
      </c>
      <c r="E911" t="inlineStr">
        <is>
          <t>KATRINEHOLM</t>
        </is>
      </c>
      <c r="F911" t="inlineStr">
        <is>
          <t>Kyrkan</t>
        </is>
      </c>
      <c r="G911" t="n">
        <v>11.9</v>
      </c>
      <c r="H911" t="n">
        <v>0</v>
      </c>
      <c r="I911" t="n">
        <v>0</v>
      </c>
      <c r="J911" t="n">
        <v>0</v>
      </c>
      <c r="K911" t="n">
        <v>0</v>
      </c>
      <c r="L911" t="n">
        <v>0</v>
      </c>
      <c r="M911" t="n">
        <v>0</v>
      </c>
      <c r="N911" t="n">
        <v>0</v>
      </c>
      <c r="O911" t="n">
        <v>0</v>
      </c>
      <c r="P911" t="n">
        <v>0</v>
      </c>
      <c r="Q911" t="n">
        <v>0</v>
      </c>
      <c r="R911" s="2" t="inlineStr"/>
    </row>
    <row r="912" ht="15" customHeight="1">
      <c r="A912" t="inlineStr">
        <is>
          <t>A 23727-2023</t>
        </is>
      </c>
      <c r="B912" s="1" t="n">
        <v>45077</v>
      </c>
      <c r="C912" s="1" t="n">
        <v>45705</v>
      </c>
      <c r="D912" t="inlineStr">
        <is>
          <t>SÖDERMANLANDS LÄN</t>
        </is>
      </c>
      <c r="E912" t="inlineStr">
        <is>
          <t>KATRINEHOLM</t>
        </is>
      </c>
      <c r="F912" t="inlineStr">
        <is>
          <t>Kyrkan</t>
        </is>
      </c>
      <c r="G912" t="n">
        <v>13.7</v>
      </c>
      <c r="H912" t="n">
        <v>0</v>
      </c>
      <c r="I912" t="n">
        <v>0</v>
      </c>
      <c r="J912" t="n">
        <v>0</v>
      </c>
      <c r="K912" t="n">
        <v>0</v>
      </c>
      <c r="L912" t="n">
        <v>0</v>
      </c>
      <c r="M912" t="n">
        <v>0</v>
      </c>
      <c r="N912" t="n">
        <v>0</v>
      </c>
      <c r="O912" t="n">
        <v>0</v>
      </c>
      <c r="P912" t="n">
        <v>0</v>
      </c>
      <c r="Q912" t="n">
        <v>0</v>
      </c>
      <c r="R912" s="2" t="inlineStr"/>
    </row>
    <row r="913" ht="15" customHeight="1">
      <c r="A913" t="inlineStr">
        <is>
          <t>A 24023-2023</t>
        </is>
      </c>
      <c r="B913" s="1" t="n">
        <v>45078</v>
      </c>
      <c r="C913" s="1" t="n">
        <v>45705</v>
      </c>
      <c r="D913" t="inlineStr">
        <is>
          <t>SÖDERMANLANDS LÄN</t>
        </is>
      </c>
      <c r="E913" t="inlineStr">
        <is>
          <t>KATRINEHOLM</t>
        </is>
      </c>
      <c r="G913" t="n">
        <v>1.3</v>
      </c>
      <c r="H913" t="n">
        <v>0</v>
      </c>
      <c r="I913" t="n">
        <v>0</v>
      </c>
      <c r="J913" t="n">
        <v>0</v>
      </c>
      <c r="K913" t="n">
        <v>0</v>
      </c>
      <c r="L913" t="n">
        <v>0</v>
      </c>
      <c r="M913" t="n">
        <v>0</v>
      </c>
      <c r="N913" t="n">
        <v>0</v>
      </c>
      <c r="O913" t="n">
        <v>0</v>
      </c>
      <c r="P913" t="n">
        <v>0</v>
      </c>
      <c r="Q913" t="n">
        <v>0</v>
      </c>
      <c r="R913" s="2" t="inlineStr"/>
    </row>
    <row r="914" ht="15" customHeight="1">
      <c r="A914" t="inlineStr">
        <is>
          <t>A 24022-2023</t>
        </is>
      </c>
      <c r="B914" s="1" t="n">
        <v>45078</v>
      </c>
      <c r="C914" s="1" t="n">
        <v>45705</v>
      </c>
      <c r="D914" t="inlineStr">
        <is>
          <t>SÖDERMANLANDS LÄN</t>
        </is>
      </c>
      <c r="E914" t="inlineStr">
        <is>
          <t>KATRINEHOLM</t>
        </is>
      </c>
      <c r="G914" t="n">
        <v>7.7</v>
      </c>
      <c r="H914" t="n">
        <v>0</v>
      </c>
      <c r="I914" t="n">
        <v>0</v>
      </c>
      <c r="J914" t="n">
        <v>0</v>
      </c>
      <c r="K914" t="n">
        <v>0</v>
      </c>
      <c r="L914" t="n">
        <v>0</v>
      </c>
      <c r="M914" t="n">
        <v>0</v>
      </c>
      <c r="N914" t="n">
        <v>0</v>
      </c>
      <c r="O914" t="n">
        <v>0</v>
      </c>
      <c r="P914" t="n">
        <v>0</v>
      </c>
      <c r="Q914" t="n">
        <v>0</v>
      </c>
      <c r="R914" s="2" t="inlineStr"/>
    </row>
    <row r="915" ht="15" customHeight="1">
      <c r="A915" t="inlineStr">
        <is>
          <t>A 25379-2023</t>
        </is>
      </c>
      <c r="B915" s="1" t="n">
        <v>45079</v>
      </c>
      <c r="C915" s="1" t="n">
        <v>45705</v>
      </c>
      <c r="D915" t="inlineStr">
        <is>
          <t>SÖDERMANLANDS LÄN</t>
        </is>
      </c>
      <c r="E915" t="inlineStr">
        <is>
          <t>KATRINEHOLM</t>
        </is>
      </c>
      <c r="G915" t="n">
        <v>36.7</v>
      </c>
      <c r="H915" t="n">
        <v>0</v>
      </c>
      <c r="I915" t="n">
        <v>0</v>
      </c>
      <c r="J915" t="n">
        <v>0</v>
      </c>
      <c r="K915" t="n">
        <v>0</v>
      </c>
      <c r="L915" t="n">
        <v>0</v>
      </c>
      <c r="M915" t="n">
        <v>0</v>
      </c>
      <c r="N915" t="n">
        <v>0</v>
      </c>
      <c r="O915" t="n">
        <v>0</v>
      </c>
      <c r="P915" t="n">
        <v>0</v>
      </c>
      <c r="Q915" t="n">
        <v>0</v>
      </c>
      <c r="R915" s="2" t="inlineStr"/>
    </row>
    <row r="916" ht="15" customHeight="1">
      <c r="A916" t="inlineStr">
        <is>
          <t>A 24410-2023</t>
        </is>
      </c>
      <c r="B916" s="1" t="n">
        <v>45082</v>
      </c>
      <c r="C916" s="1" t="n">
        <v>45705</v>
      </c>
      <c r="D916" t="inlineStr">
        <is>
          <t>SÖDERMANLANDS LÄN</t>
        </is>
      </c>
      <c r="E916" t="inlineStr">
        <is>
          <t>KATRINEHOLM</t>
        </is>
      </c>
      <c r="F916" t="inlineStr">
        <is>
          <t>Allmännings- och besparingsskogar</t>
        </is>
      </c>
      <c r="G916" t="n">
        <v>0.6</v>
      </c>
      <c r="H916" t="n">
        <v>0</v>
      </c>
      <c r="I916" t="n">
        <v>0</v>
      </c>
      <c r="J916" t="n">
        <v>0</v>
      </c>
      <c r="K916" t="n">
        <v>0</v>
      </c>
      <c r="L916" t="n">
        <v>0</v>
      </c>
      <c r="M916" t="n">
        <v>0</v>
      </c>
      <c r="N916" t="n">
        <v>0</v>
      </c>
      <c r="O916" t="n">
        <v>0</v>
      </c>
      <c r="P916" t="n">
        <v>0</v>
      </c>
      <c r="Q916" t="n">
        <v>0</v>
      </c>
      <c r="R916" s="2" t="inlineStr"/>
    </row>
    <row r="917" ht="15" customHeight="1">
      <c r="A917" t="inlineStr">
        <is>
          <t>A 25362-2023</t>
        </is>
      </c>
      <c r="B917" s="1" t="n">
        <v>45088</v>
      </c>
      <c r="C917" s="1" t="n">
        <v>45705</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25363-2023</t>
        </is>
      </c>
      <c r="B918" s="1" t="n">
        <v>45088</v>
      </c>
      <c r="C918" s="1" t="n">
        <v>45705</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25805-2023</t>
        </is>
      </c>
      <c r="B919" s="1" t="n">
        <v>45090</v>
      </c>
      <c r="C919" s="1" t="n">
        <v>45705</v>
      </c>
      <c r="D919" t="inlineStr">
        <is>
          <t>SÖDERMANLANDS LÄN</t>
        </is>
      </c>
      <c r="E919" t="inlineStr">
        <is>
          <t>KATRINEHOLM</t>
        </is>
      </c>
      <c r="F919" t="inlineStr">
        <is>
          <t>Kyrkan</t>
        </is>
      </c>
      <c r="G919" t="n">
        <v>10</v>
      </c>
      <c r="H919" t="n">
        <v>0</v>
      </c>
      <c r="I919" t="n">
        <v>0</v>
      </c>
      <c r="J919" t="n">
        <v>0</v>
      </c>
      <c r="K919" t="n">
        <v>0</v>
      </c>
      <c r="L919" t="n">
        <v>0</v>
      </c>
      <c r="M919" t="n">
        <v>0</v>
      </c>
      <c r="N919" t="n">
        <v>0</v>
      </c>
      <c r="O919" t="n">
        <v>0</v>
      </c>
      <c r="P919" t="n">
        <v>0</v>
      </c>
      <c r="Q919" t="n">
        <v>0</v>
      </c>
      <c r="R919" s="2" t="inlineStr"/>
    </row>
    <row r="920" ht="15" customHeight="1">
      <c r="A920" t="inlineStr">
        <is>
          <t>A 25823-2023</t>
        </is>
      </c>
      <c r="B920" s="1" t="n">
        <v>45090</v>
      </c>
      <c r="C920" s="1" t="n">
        <v>45705</v>
      </c>
      <c r="D920" t="inlineStr">
        <is>
          <t>SÖDERMANLANDS LÄN</t>
        </is>
      </c>
      <c r="E920" t="inlineStr">
        <is>
          <t>KATRINEHOLM</t>
        </is>
      </c>
      <c r="F920" t="inlineStr">
        <is>
          <t>Kyrkan</t>
        </is>
      </c>
      <c r="G920" t="n">
        <v>10.2</v>
      </c>
      <c r="H920" t="n">
        <v>0</v>
      </c>
      <c r="I920" t="n">
        <v>0</v>
      </c>
      <c r="J920" t="n">
        <v>0</v>
      </c>
      <c r="K920" t="n">
        <v>0</v>
      </c>
      <c r="L920" t="n">
        <v>0</v>
      </c>
      <c r="M920" t="n">
        <v>0</v>
      </c>
      <c r="N920" t="n">
        <v>0</v>
      </c>
      <c r="O920" t="n">
        <v>0</v>
      </c>
      <c r="P920" t="n">
        <v>0</v>
      </c>
      <c r="Q920" t="n">
        <v>0</v>
      </c>
      <c r="R920" s="2" t="inlineStr"/>
    </row>
    <row r="921" ht="15" customHeight="1">
      <c r="A921" t="inlineStr">
        <is>
          <t>A 27026-2023</t>
        </is>
      </c>
      <c r="B921" s="1" t="n">
        <v>45095</v>
      </c>
      <c r="C921" s="1" t="n">
        <v>45705</v>
      </c>
      <c r="D921" t="inlineStr">
        <is>
          <t>SÖDERMANLANDS LÄN</t>
        </is>
      </c>
      <c r="E921" t="inlineStr">
        <is>
          <t>KATRINEHOLM</t>
        </is>
      </c>
      <c r="G921" t="n">
        <v>2.8</v>
      </c>
      <c r="H921" t="n">
        <v>0</v>
      </c>
      <c r="I921" t="n">
        <v>0</v>
      </c>
      <c r="J921" t="n">
        <v>0</v>
      </c>
      <c r="K921" t="n">
        <v>0</v>
      </c>
      <c r="L921" t="n">
        <v>0</v>
      </c>
      <c r="M921" t="n">
        <v>0</v>
      </c>
      <c r="N921" t="n">
        <v>0</v>
      </c>
      <c r="O921" t="n">
        <v>0</v>
      </c>
      <c r="P921" t="n">
        <v>0</v>
      </c>
      <c r="Q921" t="n">
        <v>0</v>
      </c>
      <c r="R921" s="2" t="inlineStr"/>
    </row>
    <row r="922" ht="15" customHeight="1">
      <c r="A922" t="inlineStr">
        <is>
          <t>A 27345-2023</t>
        </is>
      </c>
      <c r="B922" s="1" t="n">
        <v>45096</v>
      </c>
      <c r="C922" s="1" t="n">
        <v>45705</v>
      </c>
      <c r="D922" t="inlineStr">
        <is>
          <t>SÖDERMANLANDS LÄN</t>
        </is>
      </c>
      <c r="E922" t="inlineStr">
        <is>
          <t>KATRINEHOLM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27334-2023</t>
        </is>
      </c>
      <c r="B923" s="1" t="n">
        <v>45096</v>
      </c>
      <c r="C923" s="1" t="n">
        <v>45705</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27335-2023</t>
        </is>
      </c>
      <c r="B924" s="1" t="n">
        <v>45096</v>
      </c>
      <c r="C924" s="1" t="n">
        <v>45705</v>
      </c>
      <c r="D924" t="inlineStr">
        <is>
          <t>SÖDERMANLANDS LÄN</t>
        </is>
      </c>
      <c r="E924" t="inlineStr">
        <is>
          <t>KATRINEHOLM</t>
        </is>
      </c>
      <c r="G924" t="n">
        <v>2</v>
      </c>
      <c r="H924" t="n">
        <v>0</v>
      </c>
      <c r="I924" t="n">
        <v>0</v>
      </c>
      <c r="J924" t="n">
        <v>0</v>
      </c>
      <c r="K924" t="n">
        <v>0</v>
      </c>
      <c r="L924" t="n">
        <v>0</v>
      </c>
      <c r="M924" t="n">
        <v>0</v>
      </c>
      <c r="N924" t="n">
        <v>0</v>
      </c>
      <c r="O924" t="n">
        <v>0</v>
      </c>
      <c r="P924" t="n">
        <v>0</v>
      </c>
      <c r="Q924" t="n">
        <v>0</v>
      </c>
      <c r="R924" s="2" t="inlineStr"/>
    </row>
    <row r="925" ht="15" customHeight="1">
      <c r="A925" t="inlineStr">
        <is>
          <t>A 27646-2023</t>
        </is>
      </c>
      <c r="B925" s="1" t="n">
        <v>45097</v>
      </c>
      <c r="C925" s="1" t="n">
        <v>45705</v>
      </c>
      <c r="D925" t="inlineStr">
        <is>
          <t>SÖDERMANLANDS LÄN</t>
        </is>
      </c>
      <c r="E925" t="inlineStr">
        <is>
          <t>KATRINEHOLM</t>
        </is>
      </c>
      <c r="G925" t="n">
        <v>2.4</v>
      </c>
      <c r="H925" t="n">
        <v>0</v>
      </c>
      <c r="I925" t="n">
        <v>0</v>
      </c>
      <c r="J925" t="n">
        <v>0</v>
      </c>
      <c r="K925" t="n">
        <v>0</v>
      </c>
      <c r="L925" t="n">
        <v>0</v>
      </c>
      <c r="M925" t="n">
        <v>0</v>
      </c>
      <c r="N925" t="n">
        <v>0</v>
      </c>
      <c r="O925" t="n">
        <v>0</v>
      </c>
      <c r="P925" t="n">
        <v>0</v>
      </c>
      <c r="Q925" t="n">
        <v>0</v>
      </c>
      <c r="R925" s="2" t="inlineStr"/>
    </row>
    <row r="926" ht="15" customHeight="1">
      <c r="A926" t="inlineStr">
        <is>
          <t>A 27852-2023</t>
        </is>
      </c>
      <c r="B926" s="1" t="n">
        <v>45098</v>
      </c>
      <c r="C926" s="1" t="n">
        <v>45705</v>
      </c>
      <c r="D926" t="inlineStr">
        <is>
          <t>SÖDERMANLANDS LÄN</t>
        </is>
      </c>
      <c r="E926" t="inlineStr">
        <is>
          <t>KATRINEHOLM</t>
        </is>
      </c>
      <c r="G926" t="n">
        <v>7.4</v>
      </c>
      <c r="H926" t="n">
        <v>0</v>
      </c>
      <c r="I926" t="n">
        <v>0</v>
      </c>
      <c r="J926" t="n">
        <v>0</v>
      </c>
      <c r="K926" t="n">
        <v>0</v>
      </c>
      <c r="L926" t="n">
        <v>0</v>
      </c>
      <c r="M926" t="n">
        <v>0</v>
      </c>
      <c r="N926" t="n">
        <v>0</v>
      </c>
      <c r="O926" t="n">
        <v>0</v>
      </c>
      <c r="P926" t="n">
        <v>0</v>
      </c>
      <c r="Q926" t="n">
        <v>0</v>
      </c>
      <c r="R926" s="2" t="inlineStr"/>
    </row>
    <row r="927" ht="15" customHeight="1">
      <c r="A927" t="inlineStr">
        <is>
          <t>A 27957-2023</t>
        </is>
      </c>
      <c r="B927" s="1" t="n">
        <v>45098</v>
      </c>
      <c r="C927" s="1" t="n">
        <v>45705</v>
      </c>
      <c r="D927" t="inlineStr">
        <is>
          <t>SÖDERMANLANDS LÄN</t>
        </is>
      </c>
      <c r="E927" t="inlineStr">
        <is>
          <t>KATRINEHOLM</t>
        </is>
      </c>
      <c r="G927" t="n">
        <v>6.8</v>
      </c>
      <c r="H927" t="n">
        <v>0</v>
      </c>
      <c r="I927" t="n">
        <v>0</v>
      </c>
      <c r="J927" t="n">
        <v>0</v>
      </c>
      <c r="K927" t="n">
        <v>0</v>
      </c>
      <c r="L927" t="n">
        <v>0</v>
      </c>
      <c r="M927" t="n">
        <v>0</v>
      </c>
      <c r="N927" t="n">
        <v>0</v>
      </c>
      <c r="O927" t="n">
        <v>0</v>
      </c>
      <c r="P927" t="n">
        <v>0</v>
      </c>
      <c r="Q927" t="n">
        <v>0</v>
      </c>
      <c r="R927" s="2" t="inlineStr"/>
    </row>
    <row r="928" ht="15" customHeight="1">
      <c r="A928" t="inlineStr">
        <is>
          <t>A 27962-2023</t>
        </is>
      </c>
      <c r="B928" s="1" t="n">
        <v>45098</v>
      </c>
      <c r="C928" s="1" t="n">
        <v>45705</v>
      </c>
      <c r="D928" t="inlineStr">
        <is>
          <t>SÖDERMANLANDS LÄN</t>
        </is>
      </c>
      <c r="E928" t="inlineStr">
        <is>
          <t>KATRINEHOLM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27955-2023</t>
        </is>
      </c>
      <c r="B929" s="1" t="n">
        <v>45098</v>
      </c>
      <c r="C929" s="1" t="n">
        <v>45705</v>
      </c>
      <c r="D929" t="inlineStr">
        <is>
          <t>SÖDERMANLANDS LÄN</t>
        </is>
      </c>
      <c r="E929" t="inlineStr">
        <is>
          <t>KATRINEHOLM</t>
        </is>
      </c>
      <c r="G929" t="n">
        <v>5.9</v>
      </c>
      <c r="H929" t="n">
        <v>0</v>
      </c>
      <c r="I929" t="n">
        <v>0</v>
      </c>
      <c r="J929" t="n">
        <v>0</v>
      </c>
      <c r="K929" t="n">
        <v>0</v>
      </c>
      <c r="L929" t="n">
        <v>0</v>
      </c>
      <c r="M929" t="n">
        <v>0</v>
      </c>
      <c r="N929" t="n">
        <v>0</v>
      </c>
      <c r="O929" t="n">
        <v>0</v>
      </c>
      <c r="P929" t="n">
        <v>0</v>
      </c>
      <c r="Q929" t="n">
        <v>0</v>
      </c>
      <c r="R929" s="2" t="inlineStr"/>
    </row>
    <row r="930" ht="15" customHeight="1">
      <c r="A930" t="inlineStr">
        <is>
          <t>A 27959-2023</t>
        </is>
      </c>
      <c r="B930" s="1" t="n">
        <v>45098</v>
      </c>
      <c r="C930" s="1" t="n">
        <v>45705</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30242-2023</t>
        </is>
      </c>
      <c r="B931" s="1" t="n">
        <v>45099</v>
      </c>
      <c r="C931" s="1" t="n">
        <v>45705</v>
      </c>
      <c r="D931" t="inlineStr">
        <is>
          <t>SÖDERMANLANDS LÄN</t>
        </is>
      </c>
      <c r="E931" t="inlineStr">
        <is>
          <t>KATRINEHOLM</t>
        </is>
      </c>
      <c r="G931" t="n">
        <v>3</v>
      </c>
      <c r="H931" t="n">
        <v>0</v>
      </c>
      <c r="I931" t="n">
        <v>0</v>
      </c>
      <c r="J931" t="n">
        <v>0</v>
      </c>
      <c r="K931" t="n">
        <v>0</v>
      </c>
      <c r="L931" t="n">
        <v>0</v>
      </c>
      <c r="M931" t="n">
        <v>0</v>
      </c>
      <c r="N931" t="n">
        <v>0</v>
      </c>
      <c r="O931" t="n">
        <v>0</v>
      </c>
      <c r="P931" t="n">
        <v>0</v>
      </c>
      <c r="Q931" t="n">
        <v>0</v>
      </c>
      <c r="R931" s="2" t="inlineStr"/>
    </row>
    <row r="932" ht="15" customHeight="1">
      <c r="A932" t="inlineStr">
        <is>
          <t>A 28394-2023</t>
        </is>
      </c>
      <c r="B932" s="1" t="n">
        <v>45100</v>
      </c>
      <c r="C932" s="1" t="n">
        <v>45705</v>
      </c>
      <c r="D932" t="inlineStr">
        <is>
          <t>SÖDERMANLANDS LÄN</t>
        </is>
      </c>
      <c r="E932" t="inlineStr">
        <is>
          <t>KATRINEHOLM</t>
        </is>
      </c>
      <c r="G932" t="n">
        <v>4.2</v>
      </c>
      <c r="H932" t="n">
        <v>0</v>
      </c>
      <c r="I932" t="n">
        <v>0</v>
      </c>
      <c r="J932" t="n">
        <v>0</v>
      </c>
      <c r="K932" t="n">
        <v>0</v>
      </c>
      <c r="L932" t="n">
        <v>0</v>
      </c>
      <c r="M932" t="n">
        <v>0</v>
      </c>
      <c r="N932" t="n">
        <v>0</v>
      </c>
      <c r="O932" t="n">
        <v>0</v>
      </c>
      <c r="P932" t="n">
        <v>0</v>
      </c>
      <c r="Q932" t="n">
        <v>0</v>
      </c>
      <c r="R932" s="2" t="inlineStr"/>
    </row>
    <row r="933" ht="15" customHeight="1">
      <c r="A933" t="inlineStr">
        <is>
          <t>A 28508-2023</t>
        </is>
      </c>
      <c r="B933" s="1" t="n">
        <v>45103</v>
      </c>
      <c r="C933" s="1" t="n">
        <v>45705</v>
      </c>
      <c r="D933" t="inlineStr">
        <is>
          <t>SÖDERMANLANDS LÄN</t>
        </is>
      </c>
      <c r="E933" t="inlineStr">
        <is>
          <t>KATRINEHOLM</t>
        </is>
      </c>
      <c r="F933" t="inlineStr">
        <is>
          <t>Kyrkan</t>
        </is>
      </c>
      <c r="G933" t="n">
        <v>20.5</v>
      </c>
      <c r="H933" t="n">
        <v>0</v>
      </c>
      <c r="I933" t="n">
        <v>0</v>
      </c>
      <c r="J933" t="n">
        <v>0</v>
      </c>
      <c r="K933" t="n">
        <v>0</v>
      </c>
      <c r="L933" t="n">
        <v>0</v>
      </c>
      <c r="M933" t="n">
        <v>0</v>
      </c>
      <c r="N933" t="n">
        <v>0</v>
      </c>
      <c r="O933" t="n">
        <v>0</v>
      </c>
      <c r="P933" t="n">
        <v>0</v>
      </c>
      <c r="Q933" t="n">
        <v>0</v>
      </c>
      <c r="R933" s="2" t="inlineStr"/>
    </row>
    <row r="934" ht="15" customHeight="1">
      <c r="A934" t="inlineStr">
        <is>
          <t>A 29198-2023</t>
        </is>
      </c>
      <c r="B934" s="1" t="n">
        <v>45105</v>
      </c>
      <c r="C934" s="1" t="n">
        <v>45705</v>
      </c>
      <c r="D934" t="inlineStr">
        <is>
          <t>SÖDERMANLANDS LÄN</t>
        </is>
      </c>
      <c r="E934" t="inlineStr">
        <is>
          <t>KATRINEHOLM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29502-2023</t>
        </is>
      </c>
      <c r="B935" s="1" t="n">
        <v>45106</v>
      </c>
      <c r="C935" s="1" t="n">
        <v>45705</v>
      </c>
      <c r="D935" t="inlineStr">
        <is>
          <t>SÖDERMANLANDS LÄN</t>
        </is>
      </c>
      <c r="E935" t="inlineStr">
        <is>
          <t>KATRINEHOLM</t>
        </is>
      </c>
      <c r="G935" t="n">
        <v>2.3</v>
      </c>
      <c r="H935" t="n">
        <v>0</v>
      </c>
      <c r="I935" t="n">
        <v>0</v>
      </c>
      <c r="J935" t="n">
        <v>0</v>
      </c>
      <c r="K935" t="n">
        <v>0</v>
      </c>
      <c r="L935" t="n">
        <v>0</v>
      </c>
      <c r="M935" t="n">
        <v>0</v>
      </c>
      <c r="N935" t="n">
        <v>0</v>
      </c>
      <c r="O935" t="n">
        <v>0</v>
      </c>
      <c r="P935" t="n">
        <v>0</v>
      </c>
      <c r="Q935" t="n">
        <v>0</v>
      </c>
      <c r="R935" s="2" t="inlineStr"/>
    </row>
    <row r="936" ht="15" customHeight="1">
      <c r="A936" t="inlineStr">
        <is>
          <t>A 29843-2023</t>
        </is>
      </c>
      <c r="B936" s="1" t="n">
        <v>45107</v>
      </c>
      <c r="C936" s="1" t="n">
        <v>45705</v>
      </c>
      <c r="D936" t="inlineStr">
        <is>
          <t>SÖDERMANLANDS LÄN</t>
        </is>
      </c>
      <c r="E936" t="inlineStr">
        <is>
          <t>KATRINEHOLM</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29830-2023</t>
        </is>
      </c>
      <c r="B937" s="1" t="n">
        <v>45107</v>
      </c>
      <c r="C937" s="1" t="n">
        <v>45705</v>
      </c>
      <c r="D937" t="inlineStr">
        <is>
          <t>SÖDERMANLANDS LÄN</t>
        </is>
      </c>
      <c r="E937" t="inlineStr">
        <is>
          <t>KATRINEHOLM</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29872-2023</t>
        </is>
      </c>
      <c r="B938" s="1" t="n">
        <v>45107</v>
      </c>
      <c r="C938" s="1" t="n">
        <v>45705</v>
      </c>
      <c r="D938" t="inlineStr">
        <is>
          <t>SÖDERMANLANDS LÄN</t>
        </is>
      </c>
      <c r="E938" t="inlineStr">
        <is>
          <t>KATRINEHOLM</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29977-2023</t>
        </is>
      </c>
      <c r="B939" s="1" t="n">
        <v>45108</v>
      </c>
      <c r="C939" s="1" t="n">
        <v>45705</v>
      </c>
      <c r="D939" t="inlineStr">
        <is>
          <t>SÖDERMANLANDS LÄN</t>
        </is>
      </c>
      <c r="E939" t="inlineStr">
        <is>
          <t>KATRINEHOLM</t>
        </is>
      </c>
      <c r="G939" t="n">
        <v>2.4</v>
      </c>
      <c r="H939" t="n">
        <v>0</v>
      </c>
      <c r="I939" t="n">
        <v>0</v>
      </c>
      <c r="J939" t="n">
        <v>0</v>
      </c>
      <c r="K939" t="n">
        <v>0</v>
      </c>
      <c r="L939" t="n">
        <v>0</v>
      </c>
      <c r="M939" t="n">
        <v>0</v>
      </c>
      <c r="N939" t="n">
        <v>0</v>
      </c>
      <c r="O939" t="n">
        <v>0</v>
      </c>
      <c r="P939" t="n">
        <v>0</v>
      </c>
      <c r="Q939" t="n">
        <v>0</v>
      </c>
      <c r="R939" s="2" t="inlineStr"/>
    </row>
    <row r="940" ht="15" customHeight="1">
      <c r="A940" t="inlineStr">
        <is>
          <t>A 30039-2023</t>
        </is>
      </c>
      <c r="B940" s="1" t="n">
        <v>45110</v>
      </c>
      <c r="C940" s="1" t="n">
        <v>45705</v>
      </c>
      <c r="D940" t="inlineStr">
        <is>
          <t>SÖDERMANLANDS LÄN</t>
        </is>
      </c>
      <c r="E940" t="inlineStr">
        <is>
          <t>KATRINEHOLM</t>
        </is>
      </c>
      <c r="G940" t="n">
        <v>7.3</v>
      </c>
      <c r="H940" t="n">
        <v>0</v>
      </c>
      <c r="I940" t="n">
        <v>0</v>
      </c>
      <c r="J940" t="n">
        <v>0</v>
      </c>
      <c r="K940" t="n">
        <v>0</v>
      </c>
      <c r="L940" t="n">
        <v>0</v>
      </c>
      <c r="M940" t="n">
        <v>0</v>
      </c>
      <c r="N940" t="n">
        <v>0</v>
      </c>
      <c r="O940" t="n">
        <v>0</v>
      </c>
      <c r="P940" t="n">
        <v>0</v>
      </c>
      <c r="Q940" t="n">
        <v>0</v>
      </c>
      <c r="R940" s="2" t="inlineStr"/>
    </row>
    <row r="941" ht="15" customHeight="1">
      <c r="A941" t="inlineStr">
        <is>
          <t>A 32312-2023</t>
        </is>
      </c>
      <c r="B941" s="1" t="n">
        <v>45110</v>
      </c>
      <c r="C941" s="1" t="n">
        <v>45705</v>
      </c>
      <c r="D941" t="inlineStr">
        <is>
          <t>SÖDERMANLANDS LÄN</t>
        </is>
      </c>
      <c r="E941" t="inlineStr">
        <is>
          <t>KATRINEHOLM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30276-2023</t>
        </is>
      </c>
      <c r="B942" s="1" t="n">
        <v>45110</v>
      </c>
      <c r="C942" s="1" t="n">
        <v>45705</v>
      </c>
      <c r="D942" t="inlineStr">
        <is>
          <t>SÖDERMANLANDS LÄN</t>
        </is>
      </c>
      <c r="E942" t="inlineStr">
        <is>
          <t>KATRINEHOLM</t>
        </is>
      </c>
      <c r="G942" t="n">
        <v>2.3</v>
      </c>
      <c r="H942" t="n">
        <v>0</v>
      </c>
      <c r="I942" t="n">
        <v>0</v>
      </c>
      <c r="J942" t="n">
        <v>0</v>
      </c>
      <c r="K942" t="n">
        <v>0</v>
      </c>
      <c r="L942" t="n">
        <v>0</v>
      </c>
      <c r="M942" t="n">
        <v>0</v>
      </c>
      <c r="N942" t="n">
        <v>0</v>
      </c>
      <c r="O942" t="n">
        <v>0</v>
      </c>
      <c r="P942" t="n">
        <v>0</v>
      </c>
      <c r="Q942" t="n">
        <v>0</v>
      </c>
      <c r="R942" s="2" t="inlineStr"/>
    </row>
    <row r="943" ht="15" customHeight="1">
      <c r="A943" t="inlineStr">
        <is>
          <t>A 32320-2023</t>
        </is>
      </c>
      <c r="B943" s="1" t="n">
        <v>45110</v>
      </c>
      <c r="C943" s="1" t="n">
        <v>45705</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32547-2023</t>
        </is>
      </c>
      <c r="B944" s="1" t="n">
        <v>45110</v>
      </c>
      <c r="C944" s="1" t="n">
        <v>45705</v>
      </c>
      <c r="D944" t="inlineStr">
        <is>
          <t>SÖDERMANLANDS LÄN</t>
        </is>
      </c>
      <c r="E944" t="inlineStr">
        <is>
          <t>KATRINEHOLM</t>
        </is>
      </c>
      <c r="G944" t="n">
        <v>9.5</v>
      </c>
      <c r="H944" t="n">
        <v>0</v>
      </c>
      <c r="I944" t="n">
        <v>0</v>
      </c>
      <c r="J944" t="n">
        <v>0</v>
      </c>
      <c r="K944" t="n">
        <v>0</v>
      </c>
      <c r="L944" t="n">
        <v>0</v>
      </c>
      <c r="M944" t="n">
        <v>0</v>
      </c>
      <c r="N944" t="n">
        <v>0</v>
      </c>
      <c r="O944" t="n">
        <v>0</v>
      </c>
      <c r="P944" t="n">
        <v>0</v>
      </c>
      <c r="Q944" t="n">
        <v>0</v>
      </c>
      <c r="R944" s="2" t="inlineStr"/>
    </row>
    <row r="945" ht="15" customHeight="1">
      <c r="A945" t="inlineStr">
        <is>
          <t>A 30512-2023</t>
        </is>
      </c>
      <c r="B945" s="1" t="n">
        <v>45111</v>
      </c>
      <c r="C945" s="1" t="n">
        <v>45705</v>
      </c>
      <c r="D945" t="inlineStr">
        <is>
          <t>SÖDERMANLANDS LÄN</t>
        </is>
      </c>
      <c r="E945" t="inlineStr">
        <is>
          <t>KATRINEHOLM</t>
        </is>
      </c>
      <c r="G945" t="n">
        <v>2.8</v>
      </c>
      <c r="H945" t="n">
        <v>0</v>
      </c>
      <c r="I945" t="n">
        <v>0</v>
      </c>
      <c r="J945" t="n">
        <v>0</v>
      </c>
      <c r="K945" t="n">
        <v>0</v>
      </c>
      <c r="L945" t="n">
        <v>0</v>
      </c>
      <c r="M945" t="n">
        <v>0</v>
      </c>
      <c r="N945" t="n">
        <v>0</v>
      </c>
      <c r="O945" t="n">
        <v>0</v>
      </c>
      <c r="P945" t="n">
        <v>0</v>
      </c>
      <c r="Q945" t="n">
        <v>0</v>
      </c>
      <c r="R945" s="2" t="inlineStr"/>
    </row>
    <row r="946" ht="15" customHeight="1">
      <c r="A946" t="inlineStr">
        <is>
          <t>A 30517-2023</t>
        </is>
      </c>
      <c r="B946" s="1" t="n">
        <v>45111</v>
      </c>
      <c r="C946" s="1" t="n">
        <v>45705</v>
      </c>
      <c r="D946" t="inlineStr">
        <is>
          <t>SÖDERMANLANDS LÄN</t>
        </is>
      </c>
      <c r="E946" t="inlineStr">
        <is>
          <t>KATRINEHOLM</t>
        </is>
      </c>
      <c r="G946" t="n">
        <v>2.9</v>
      </c>
      <c r="H946" t="n">
        <v>0</v>
      </c>
      <c r="I946" t="n">
        <v>0</v>
      </c>
      <c r="J946" t="n">
        <v>0</v>
      </c>
      <c r="K946" t="n">
        <v>0</v>
      </c>
      <c r="L946" t="n">
        <v>0</v>
      </c>
      <c r="M946" t="n">
        <v>0</v>
      </c>
      <c r="N946" t="n">
        <v>0</v>
      </c>
      <c r="O946" t="n">
        <v>0</v>
      </c>
      <c r="P946" t="n">
        <v>0</v>
      </c>
      <c r="Q946" t="n">
        <v>0</v>
      </c>
      <c r="R946" s="2" t="inlineStr"/>
    </row>
    <row r="947" ht="15" customHeight="1">
      <c r="A947" t="inlineStr">
        <is>
          <t>A 30513-2023</t>
        </is>
      </c>
      <c r="B947" s="1" t="n">
        <v>45111</v>
      </c>
      <c r="C947" s="1" t="n">
        <v>45705</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30333-2023</t>
        </is>
      </c>
      <c r="B948" s="1" t="n">
        <v>45111</v>
      </c>
      <c r="C948" s="1" t="n">
        <v>45705</v>
      </c>
      <c r="D948" t="inlineStr">
        <is>
          <t>SÖDERMANLANDS LÄN</t>
        </is>
      </c>
      <c r="E948" t="inlineStr">
        <is>
          <t>KATRINEHOLM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31215-2023</t>
        </is>
      </c>
      <c r="B949" s="1" t="n">
        <v>45114</v>
      </c>
      <c r="C949" s="1" t="n">
        <v>45705</v>
      </c>
      <c r="D949" t="inlineStr">
        <is>
          <t>SÖDERMANLANDS LÄN</t>
        </is>
      </c>
      <c r="E949" t="inlineStr">
        <is>
          <t>KATRINEHOLM</t>
        </is>
      </c>
      <c r="G949" t="n">
        <v>4.6</v>
      </c>
      <c r="H949" t="n">
        <v>0</v>
      </c>
      <c r="I949" t="n">
        <v>0</v>
      </c>
      <c r="J949" t="n">
        <v>0</v>
      </c>
      <c r="K949" t="n">
        <v>0</v>
      </c>
      <c r="L949" t="n">
        <v>0</v>
      </c>
      <c r="M949" t="n">
        <v>0</v>
      </c>
      <c r="N949" t="n">
        <v>0</v>
      </c>
      <c r="O949" t="n">
        <v>0</v>
      </c>
      <c r="P949" t="n">
        <v>0</v>
      </c>
      <c r="Q949" t="n">
        <v>0</v>
      </c>
      <c r="R949" s="2" t="inlineStr"/>
    </row>
    <row r="950" ht="15" customHeight="1">
      <c r="A950" t="inlineStr">
        <is>
          <t>A 32417-2023</t>
        </is>
      </c>
      <c r="B950" s="1" t="n">
        <v>45120</v>
      </c>
      <c r="C950" s="1" t="n">
        <v>45705</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33752-2023</t>
        </is>
      </c>
      <c r="B951" s="1" t="n">
        <v>45120</v>
      </c>
      <c r="C951" s="1" t="n">
        <v>45705</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32818-2023</t>
        </is>
      </c>
      <c r="B952" s="1" t="n">
        <v>45124</v>
      </c>
      <c r="C952" s="1" t="n">
        <v>45705</v>
      </c>
      <c r="D952" t="inlineStr">
        <is>
          <t>SÖDERMANLANDS LÄN</t>
        </is>
      </c>
      <c r="E952" t="inlineStr">
        <is>
          <t>KATRINEHOLM</t>
        </is>
      </c>
      <c r="G952" t="n">
        <v>3.4</v>
      </c>
      <c r="H952" t="n">
        <v>0</v>
      </c>
      <c r="I952" t="n">
        <v>0</v>
      </c>
      <c r="J952" t="n">
        <v>0</v>
      </c>
      <c r="K952" t="n">
        <v>0</v>
      </c>
      <c r="L952" t="n">
        <v>0</v>
      </c>
      <c r="M952" t="n">
        <v>0</v>
      </c>
      <c r="N952" t="n">
        <v>0</v>
      </c>
      <c r="O952" t="n">
        <v>0</v>
      </c>
      <c r="P952" t="n">
        <v>0</v>
      </c>
      <c r="Q952" t="n">
        <v>0</v>
      </c>
      <c r="R952" s="2" t="inlineStr"/>
    </row>
    <row r="953" ht="15" customHeight="1">
      <c r="A953" t="inlineStr">
        <is>
          <t>A 32938-2023</t>
        </is>
      </c>
      <c r="B953" s="1" t="n">
        <v>45125</v>
      </c>
      <c r="C953" s="1" t="n">
        <v>45705</v>
      </c>
      <c r="D953" t="inlineStr">
        <is>
          <t>SÖDERMANLANDS LÄN</t>
        </is>
      </c>
      <c r="E953" t="inlineStr">
        <is>
          <t>KATRINEHOLM</t>
        </is>
      </c>
      <c r="G953" t="n">
        <v>5.4</v>
      </c>
      <c r="H953" t="n">
        <v>0</v>
      </c>
      <c r="I953" t="n">
        <v>0</v>
      </c>
      <c r="J953" t="n">
        <v>0</v>
      </c>
      <c r="K953" t="n">
        <v>0</v>
      </c>
      <c r="L953" t="n">
        <v>0</v>
      </c>
      <c r="M953" t="n">
        <v>0</v>
      </c>
      <c r="N953" t="n">
        <v>0</v>
      </c>
      <c r="O953" t="n">
        <v>0</v>
      </c>
      <c r="P953" t="n">
        <v>0</v>
      </c>
      <c r="Q953" t="n">
        <v>0</v>
      </c>
      <c r="R953" s="2" t="inlineStr"/>
    </row>
    <row r="954" ht="15" customHeight="1">
      <c r="A954" t="inlineStr">
        <is>
          <t>A 32944-2023</t>
        </is>
      </c>
      <c r="B954" s="1" t="n">
        <v>45125</v>
      </c>
      <c r="C954" s="1" t="n">
        <v>45705</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32942-2023</t>
        </is>
      </c>
      <c r="B955" s="1" t="n">
        <v>45125</v>
      </c>
      <c r="C955" s="1" t="n">
        <v>45705</v>
      </c>
      <c r="D955" t="inlineStr">
        <is>
          <t>SÖDERMANLANDS LÄN</t>
        </is>
      </c>
      <c r="E955" t="inlineStr">
        <is>
          <t>KATRINEHOLM</t>
        </is>
      </c>
      <c r="G955" t="n">
        <v>4.2</v>
      </c>
      <c r="H955" t="n">
        <v>0</v>
      </c>
      <c r="I955" t="n">
        <v>0</v>
      </c>
      <c r="J955" t="n">
        <v>0</v>
      </c>
      <c r="K955" t="n">
        <v>0</v>
      </c>
      <c r="L955" t="n">
        <v>0</v>
      </c>
      <c r="M955" t="n">
        <v>0</v>
      </c>
      <c r="N955" t="n">
        <v>0</v>
      </c>
      <c r="O955" t="n">
        <v>0</v>
      </c>
      <c r="P955" t="n">
        <v>0</v>
      </c>
      <c r="Q955" t="n">
        <v>0</v>
      </c>
      <c r="R955" s="2" t="inlineStr"/>
    </row>
    <row r="956" ht="15" customHeight="1">
      <c r="A956" t="inlineStr">
        <is>
          <t>A 32962-2023</t>
        </is>
      </c>
      <c r="B956" s="1" t="n">
        <v>45125</v>
      </c>
      <c r="C956" s="1" t="n">
        <v>45705</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33141-2023</t>
        </is>
      </c>
      <c r="B957" s="1" t="n">
        <v>45126</v>
      </c>
      <c r="C957" s="1" t="n">
        <v>45705</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33744-2023</t>
        </is>
      </c>
      <c r="B958" s="1" t="n">
        <v>45133</v>
      </c>
      <c r="C958" s="1" t="n">
        <v>45705</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34133-2023</t>
        </is>
      </c>
      <c r="B959" s="1" t="n">
        <v>45135</v>
      </c>
      <c r="C959" s="1" t="n">
        <v>45705</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34263-2023</t>
        </is>
      </c>
      <c r="B960" s="1" t="n">
        <v>45138</v>
      </c>
      <c r="C960" s="1" t="n">
        <v>45705</v>
      </c>
      <c r="D960" t="inlineStr">
        <is>
          <t>SÖDERMANLANDS LÄN</t>
        </is>
      </c>
      <c r="E960" t="inlineStr">
        <is>
          <t>KATRINEHOLM</t>
        </is>
      </c>
      <c r="G960" t="n">
        <v>0.7</v>
      </c>
      <c r="H960" t="n">
        <v>0</v>
      </c>
      <c r="I960" t="n">
        <v>0</v>
      </c>
      <c r="J960" t="n">
        <v>0</v>
      </c>
      <c r="K960" t="n">
        <v>0</v>
      </c>
      <c r="L960" t="n">
        <v>0</v>
      </c>
      <c r="M960" t="n">
        <v>0</v>
      </c>
      <c r="N960" t="n">
        <v>0</v>
      </c>
      <c r="O960" t="n">
        <v>0</v>
      </c>
      <c r="P960" t="n">
        <v>0</v>
      </c>
      <c r="Q960" t="n">
        <v>0</v>
      </c>
      <c r="R960" s="2" t="inlineStr"/>
    </row>
    <row r="961" ht="15" customHeight="1">
      <c r="A961" t="inlineStr">
        <is>
          <t>A 34299-2023</t>
        </is>
      </c>
      <c r="B961" s="1" t="n">
        <v>45138</v>
      </c>
      <c r="C961" s="1" t="n">
        <v>45705</v>
      </c>
      <c r="D961" t="inlineStr">
        <is>
          <t>SÖDERMANLANDS LÄN</t>
        </is>
      </c>
      <c r="E961" t="inlineStr">
        <is>
          <t>KATRINEHOLM</t>
        </is>
      </c>
      <c r="G961" t="n">
        <v>1.9</v>
      </c>
      <c r="H961" t="n">
        <v>0</v>
      </c>
      <c r="I961" t="n">
        <v>0</v>
      </c>
      <c r="J961" t="n">
        <v>0</v>
      </c>
      <c r="K961" t="n">
        <v>0</v>
      </c>
      <c r="L961" t="n">
        <v>0</v>
      </c>
      <c r="M961" t="n">
        <v>0</v>
      </c>
      <c r="N961" t="n">
        <v>0</v>
      </c>
      <c r="O961" t="n">
        <v>0</v>
      </c>
      <c r="P961" t="n">
        <v>0</v>
      </c>
      <c r="Q961" t="n">
        <v>0</v>
      </c>
      <c r="R961" s="2" t="inlineStr"/>
    </row>
    <row r="962" ht="15" customHeight="1">
      <c r="A962" t="inlineStr">
        <is>
          <t>A 34613-2023</t>
        </is>
      </c>
      <c r="B962" s="1" t="n">
        <v>45140</v>
      </c>
      <c r="C962" s="1" t="n">
        <v>45705</v>
      </c>
      <c r="D962" t="inlineStr">
        <is>
          <t>SÖDERMANLANDS LÄN</t>
        </is>
      </c>
      <c r="E962" t="inlineStr">
        <is>
          <t>KATRINEHOLM</t>
        </is>
      </c>
      <c r="G962" t="n">
        <v>2.3</v>
      </c>
      <c r="H962" t="n">
        <v>0</v>
      </c>
      <c r="I962" t="n">
        <v>0</v>
      </c>
      <c r="J962" t="n">
        <v>0</v>
      </c>
      <c r="K962" t="n">
        <v>0</v>
      </c>
      <c r="L962" t="n">
        <v>0</v>
      </c>
      <c r="M962" t="n">
        <v>0</v>
      </c>
      <c r="N962" t="n">
        <v>0</v>
      </c>
      <c r="O962" t="n">
        <v>0</v>
      </c>
      <c r="P962" t="n">
        <v>0</v>
      </c>
      <c r="Q962" t="n">
        <v>0</v>
      </c>
      <c r="R962" s="2" t="inlineStr"/>
    </row>
    <row r="963" ht="15" customHeight="1">
      <c r="A963" t="inlineStr">
        <is>
          <t>A 34739-2023</t>
        </is>
      </c>
      <c r="B963" s="1" t="n">
        <v>45141</v>
      </c>
      <c r="C963" s="1" t="n">
        <v>45705</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34731-2023</t>
        </is>
      </c>
      <c r="B964" s="1" t="n">
        <v>45141</v>
      </c>
      <c r="C964" s="1" t="n">
        <v>45705</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34939-2023</t>
        </is>
      </c>
      <c r="B965" s="1" t="n">
        <v>45141</v>
      </c>
      <c r="C965" s="1" t="n">
        <v>45705</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34925-2023</t>
        </is>
      </c>
      <c r="B966" s="1" t="n">
        <v>45141</v>
      </c>
      <c r="C966" s="1" t="n">
        <v>45705</v>
      </c>
      <c r="D966" t="inlineStr">
        <is>
          <t>SÖDERMANLANDS LÄN</t>
        </is>
      </c>
      <c r="E966" t="inlineStr">
        <is>
          <t>KATRINEHOLM</t>
        </is>
      </c>
      <c r="F966" t="inlineStr">
        <is>
          <t>Övriga Aktiebolag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34936-2023</t>
        </is>
      </c>
      <c r="B967" s="1" t="n">
        <v>45141</v>
      </c>
      <c r="C967" s="1" t="n">
        <v>45705</v>
      </c>
      <c r="D967" t="inlineStr">
        <is>
          <t>SÖDERMANLANDS LÄN</t>
        </is>
      </c>
      <c r="E967" t="inlineStr">
        <is>
          <t>KATRINEHOLM</t>
        </is>
      </c>
      <c r="F967" t="inlineStr">
        <is>
          <t>Övriga Aktiebolag</t>
        </is>
      </c>
      <c r="G967" t="n">
        <v>3.2</v>
      </c>
      <c r="H967" t="n">
        <v>0</v>
      </c>
      <c r="I967" t="n">
        <v>0</v>
      </c>
      <c r="J967" t="n">
        <v>0</v>
      </c>
      <c r="K967" t="n">
        <v>0</v>
      </c>
      <c r="L967" t="n">
        <v>0</v>
      </c>
      <c r="M967" t="n">
        <v>0</v>
      </c>
      <c r="N967" t="n">
        <v>0</v>
      </c>
      <c r="O967" t="n">
        <v>0</v>
      </c>
      <c r="P967" t="n">
        <v>0</v>
      </c>
      <c r="Q967" t="n">
        <v>0</v>
      </c>
      <c r="R967" s="2" t="inlineStr"/>
    </row>
    <row r="968" ht="15" customHeight="1">
      <c r="A968" t="inlineStr">
        <is>
          <t>A 34981-2023</t>
        </is>
      </c>
      <c r="B968" s="1" t="n">
        <v>45142</v>
      </c>
      <c r="C968" s="1" t="n">
        <v>45705</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35740-2023</t>
        </is>
      </c>
      <c r="B969" s="1" t="n">
        <v>45147</v>
      </c>
      <c r="C969" s="1" t="n">
        <v>45705</v>
      </c>
      <c r="D969" t="inlineStr">
        <is>
          <t>SÖDERMANLANDS LÄN</t>
        </is>
      </c>
      <c r="E969" t="inlineStr">
        <is>
          <t>KATRINEHOLM</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35864-2023</t>
        </is>
      </c>
      <c r="B970" s="1" t="n">
        <v>45147</v>
      </c>
      <c r="C970" s="1" t="n">
        <v>45705</v>
      </c>
      <c r="D970" t="inlineStr">
        <is>
          <t>SÖDERMANLANDS LÄN</t>
        </is>
      </c>
      <c r="E970" t="inlineStr">
        <is>
          <t>KATRINEHOLM</t>
        </is>
      </c>
      <c r="F970" t="inlineStr">
        <is>
          <t>Övriga Aktiebolag</t>
        </is>
      </c>
      <c r="G970" t="n">
        <v>4.7</v>
      </c>
      <c r="H970" t="n">
        <v>0</v>
      </c>
      <c r="I970" t="n">
        <v>0</v>
      </c>
      <c r="J970" t="n">
        <v>0</v>
      </c>
      <c r="K970" t="n">
        <v>0</v>
      </c>
      <c r="L970" t="n">
        <v>0</v>
      </c>
      <c r="M970" t="n">
        <v>0</v>
      </c>
      <c r="N970" t="n">
        <v>0</v>
      </c>
      <c r="O970" t="n">
        <v>0</v>
      </c>
      <c r="P970" t="n">
        <v>0</v>
      </c>
      <c r="Q970" t="n">
        <v>0</v>
      </c>
      <c r="R970" s="2" t="inlineStr"/>
    </row>
    <row r="971" ht="15" customHeight="1">
      <c r="A971" t="inlineStr">
        <is>
          <t>A 36031-2023</t>
        </is>
      </c>
      <c r="B971" s="1" t="n">
        <v>45148</v>
      </c>
      <c r="C971" s="1" t="n">
        <v>45705</v>
      </c>
      <c r="D971" t="inlineStr">
        <is>
          <t>SÖDERMANLANDS LÄN</t>
        </is>
      </c>
      <c r="E971" t="inlineStr">
        <is>
          <t>KATRINEHOLM</t>
        </is>
      </c>
      <c r="G971" t="n">
        <v>2.7</v>
      </c>
      <c r="H971" t="n">
        <v>0</v>
      </c>
      <c r="I971" t="n">
        <v>0</v>
      </c>
      <c r="J971" t="n">
        <v>0</v>
      </c>
      <c r="K971" t="n">
        <v>0</v>
      </c>
      <c r="L971" t="n">
        <v>0</v>
      </c>
      <c r="M971" t="n">
        <v>0</v>
      </c>
      <c r="N971" t="n">
        <v>0</v>
      </c>
      <c r="O971" t="n">
        <v>0</v>
      </c>
      <c r="P971" t="n">
        <v>0</v>
      </c>
      <c r="Q971" t="n">
        <v>0</v>
      </c>
      <c r="R971" s="2" t="inlineStr"/>
    </row>
    <row r="972" ht="15" customHeight="1">
      <c r="A972" t="inlineStr">
        <is>
          <t>A 35996-2023</t>
        </is>
      </c>
      <c r="B972" s="1" t="n">
        <v>45148</v>
      </c>
      <c r="C972" s="1" t="n">
        <v>45705</v>
      </c>
      <c r="D972" t="inlineStr">
        <is>
          <t>SÖDERMANLANDS LÄN</t>
        </is>
      </c>
      <c r="E972" t="inlineStr">
        <is>
          <t>KATRINEHOLM</t>
        </is>
      </c>
      <c r="F972" t="inlineStr">
        <is>
          <t>Övriga Aktiebolag</t>
        </is>
      </c>
      <c r="G972" t="n">
        <v>15.8</v>
      </c>
      <c r="H972" t="n">
        <v>0</v>
      </c>
      <c r="I972" t="n">
        <v>0</v>
      </c>
      <c r="J972" t="n">
        <v>0</v>
      </c>
      <c r="K972" t="n">
        <v>0</v>
      </c>
      <c r="L972" t="n">
        <v>0</v>
      </c>
      <c r="M972" t="n">
        <v>0</v>
      </c>
      <c r="N972" t="n">
        <v>0</v>
      </c>
      <c r="O972" t="n">
        <v>0</v>
      </c>
      <c r="P972" t="n">
        <v>0</v>
      </c>
      <c r="Q972" t="n">
        <v>0</v>
      </c>
      <c r="R972" s="2" t="inlineStr"/>
    </row>
    <row r="973" ht="15" customHeight="1">
      <c r="A973" t="inlineStr">
        <is>
          <t>A 36029-2023</t>
        </is>
      </c>
      <c r="B973" s="1" t="n">
        <v>45148</v>
      </c>
      <c r="C973" s="1" t="n">
        <v>45705</v>
      </c>
      <c r="D973" t="inlineStr">
        <is>
          <t>SÖDERMANLANDS LÄN</t>
        </is>
      </c>
      <c r="E973" t="inlineStr">
        <is>
          <t>KATRINEHOLM</t>
        </is>
      </c>
      <c r="G973" t="n">
        <v>2.6</v>
      </c>
      <c r="H973" t="n">
        <v>0</v>
      </c>
      <c r="I973" t="n">
        <v>0</v>
      </c>
      <c r="J973" t="n">
        <v>0</v>
      </c>
      <c r="K973" t="n">
        <v>0</v>
      </c>
      <c r="L973" t="n">
        <v>0</v>
      </c>
      <c r="M973" t="n">
        <v>0</v>
      </c>
      <c r="N973" t="n">
        <v>0</v>
      </c>
      <c r="O973" t="n">
        <v>0</v>
      </c>
      <c r="P973" t="n">
        <v>0</v>
      </c>
      <c r="Q973" t="n">
        <v>0</v>
      </c>
      <c r="R973" s="2" t="inlineStr"/>
    </row>
    <row r="974" ht="15" customHeight="1">
      <c r="A974" t="inlineStr">
        <is>
          <t>A 36021-2023</t>
        </is>
      </c>
      <c r="B974" s="1" t="n">
        <v>45148</v>
      </c>
      <c r="C974" s="1" t="n">
        <v>45705</v>
      </c>
      <c r="D974" t="inlineStr">
        <is>
          <t>SÖDERMANLANDS LÄN</t>
        </is>
      </c>
      <c r="E974" t="inlineStr">
        <is>
          <t>KATRINEHOLM</t>
        </is>
      </c>
      <c r="G974" t="n">
        <v>1.8</v>
      </c>
      <c r="H974" t="n">
        <v>0</v>
      </c>
      <c r="I974" t="n">
        <v>0</v>
      </c>
      <c r="J974" t="n">
        <v>0</v>
      </c>
      <c r="K974" t="n">
        <v>0</v>
      </c>
      <c r="L974" t="n">
        <v>0</v>
      </c>
      <c r="M974" t="n">
        <v>0</v>
      </c>
      <c r="N974" t="n">
        <v>0</v>
      </c>
      <c r="O974" t="n">
        <v>0</v>
      </c>
      <c r="P974" t="n">
        <v>0</v>
      </c>
      <c r="Q974" t="n">
        <v>0</v>
      </c>
      <c r="R974" s="2" t="inlineStr"/>
    </row>
    <row r="975" ht="15" customHeight="1">
      <c r="A975" t="inlineStr">
        <is>
          <t>A 36367-2023</t>
        </is>
      </c>
      <c r="B975" s="1" t="n">
        <v>45152</v>
      </c>
      <c r="C975" s="1" t="n">
        <v>45705</v>
      </c>
      <c r="D975" t="inlineStr">
        <is>
          <t>SÖDERMANLANDS LÄN</t>
        </is>
      </c>
      <c r="E975" t="inlineStr">
        <is>
          <t>KATRINEHOLM</t>
        </is>
      </c>
      <c r="G975" t="n">
        <v>2.8</v>
      </c>
      <c r="H975" t="n">
        <v>0</v>
      </c>
      <c r="I975" t="n">
        <v>0</v>
      </c>
      <c r="J975" t="n">
        <v>0</v>
      </c>
      <c r="K975" t="n">
        <v>0</v>
      </c>
      <c r="L975" t="n">
        <v>0</v>
      </c>
      <c r="M975" t="n">
        <v>0</v>
      </c>
      <c r="N975" t="n">
        <v>0</v>
      </c>
      <c r="O975" t="n">
        <v>0</v>
      </c>
      <c r="P975" t="n">
        <v>0</v>
      </c>
      <c r="Q975" t="n">
        <v>0</v>
      </c>
      <c r="R975" s="2" t="inlineStr"/>
    </row>
    <row r="976" ht="15" customHeight="1">
      <c r="A976" t="inlineStr">
        <is>
          <t>A 36319-2023</t>
        </is>
      </c>
      <c r="B976" s="1" t="n">
        <v>45152</v>
      </c>
      <c r="C976" s="1" t="n">
        <v>45705</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36329-2023</t>
        </is>
      </c>
      <c r="B977" s="1" t="n">
        <v>45152</v>
      </c>
      <c r="C977" s="1" t="n">
        <v>45705</v>
      </c>
      <c r="D977" t="inlineStr">
        <is>
          <t>SÖDERMANLANDS LÄN</t>
        </is>
      </c>
      <c r="E977" t="inlineStr">
        <is>
          <t>KATRINEHOLM</t>
        </is>
      </c>
      <c r="G977" t="n">
        <v>6.8</v>
      </c>
      <c r="H977" t="n">
        <v>0</v>
      </c>
      <c r="I977" t="n">
        <v>0</v>
      </c>
      <c r="J977" t="n">
        <v>0</v>
      </c>
      <c r="K977" t="n">
        <v>0</v>
      </c>
      <c r="L977" t="n">
        <v>0</v>
      </c>
      <c r="M977" t="n">
        <v>0</v>
      </c>
      <c r="N977" t="n">
        <v>0</v>
      </c>
      <c r="O977" t="n">
        <v>0</v>
      </c>
      <c r="P977" t="n">
        <v>0</v>
      </c>
      <c r="Q977" t="n">
        <v>0</v>
      </c>
      <c r="R977" s="2" t="inlineStr"/>
    </row>
    <row r="978" ht="15" customHeight="1">
      <c r="A978" t="inlineStr">
        <is>
          <t>A 36362-2023</t>
        </is>
      </c>
      <c r="B978" s="1" t="n">
        <v>45152</v>
      </c>
      <c r="C978" s="1" t="n">
        <v>45705</v>
      </c>
      <c r="D978" t="inlineStr">
        <is>
          <t>SÖDERMANLANDS LÄN</t>
        </is>
      </c>
      <c r="E978" t="inlineStr">
        <is>
          <t>KATRINEHOLM</t>
        </is>
      </c>
      <c r="G978" t="n">
        <v>2.1</v>
      </c>
      <c r="H978" t="n">
        <v>0</v>
      </c>
      <c r="I978" t="n">
        <v>0</v>
      </c>
      <c r="J978" t="n">
        <v>0</v>
      </c>
      <c r="K978" t="n">
        <v>0</v>
      </c>
      <c r="L978" t="n">
        <v>0</v>
      </c>
      <c r="M978" t="n">
        <v>0</v>
      </c>
      <c r="N978" t="n">
        <v>0</v>
      </c>
      <c r="O978" t="n">
        <v>0</v>
      </c>
      <c r="P978" t="n">
        <v>0</v>
      </c>
      <c r="Q978" t="n">
        <v>0</v>
      </c>
      <c r="R978" s="2" t="inlineStr"/>
    </row>
    <row r="979" ht="15" customHeight="1">
      <c r="A979" t="inlineStr">
        <is>
          <t>A 36366-2023</t>
        </is>
      </c>
      <c r="B979" s="1" t="n">
        <v>45152</v>
      </c>
      <c r="C979" s="1" t="n">
        <v>45705</v>
      </c>
      <c r="D979" t="inlineStr">
        <is>
          <t>SÖDERMANLANDS LÄN</t>
        </is>
      </c>
      <c r="E979" t="inlineStr">
        <is>
          <t>KATRINEHOLM</t>
        </is>
      </c>
      <c r="G979" t="n">
        <v>0.8</v>
      </c>
      <c r="H979" t="n">
        <v>0</v>
      </c>
      <c r="I979" t="n">
        <v>0</v>
      </c>
      <c r="J979" t="n">
        <v>0</v>
      </c>
      <c r="K979" t="n">
        <v>0</v>
      </c>
      <c r="L979" t="n">
        <v>0</v>
      </c>
      <c r="M979" t="n">
        <v>0</v>
      </c>
      <c r="N979" t="n">
        <v>0</v>
      </c>
      <c r="O979" t="n">
        <v>0</v>
      </c>
      <c r="P979" t="n">
        <v>0</v>
      </c>
      <c r="Q979" t="n">
        <v>0</v>
      </c>
      <c r="R979" s="2" t="inlineStr"/>
    </row>
    <row r="980" ht="15" customHeight="1">
      <c r="A980" t="inlineStr">
        <is>
          <t>A 36536-2023</t>
        </is>
      </c>
      <c r="B980" s="1" t="n">
        <v>45153</v>
      </c>
      <c r="C980" s="1" t="n">
        <v>45705</v>
      </c>
      <c r="D980" t="inlineStr">
        <is>
          <t>SÖDERMANLANDS LÄN</t>
        </is>
      </c>
      <c r="E980" t="inlineStr">
        <is>
          <t>KATRINEHOLM</t>
        </is>
      </c>
      <c r="G980" t="n">
        <v>2.3</v>
      </c>
      <c r="H980" t="n">
        <v>0</v>
      </c>
      <c r="I980" t="n">
        <v>0</v>
      </c>
      <c r="J980" t="n">
        <v>0</v>
      </c>
      <c r="K980" t="n">
        <v>0</v>
      </c>
      <c r="L980" t="n">
        <v>0</v>
      </c>
      <c r="M980" t="n">
        <v>0</v>
      </c>
      <c r="N980" t="n">
        <v>0</v>
      </c>
      <c r="O980" t="n">
        <v>0</v>
      </c>
      <c r="P980" t="n">
        <v>0</v>
      </c>
      <c r="Q980" t="n">
        <v>0</v>
      </c>
      <c r="R980" s="2" t="inlineStr"/>
    </row>
    <row r="981" ht="15" customHeight="1">
      <c r="A981" t="inlineStr">
        <is>
          <t>A 36562-2023</t>
        </is>
      </c>
      <c r="B981" s="1" t="n">
        <v>45153</v>
      </c>
      <c r="C981" s="1" t="n">
        <v>45705</v>
      </c>
      <c r="D981" t="inlineStr">
        <is>
          <t>SÖDERMANLANDS LÄN</t>
        </is>
      </c>
      <c r="E981" t="inlineStr">
        <is>
          <t>KATRINEHOLM</t>
        </is>
      </c>
      <c r="G981" t="n">
        <v>5.8</v>
      </c>
      <c r="H981" t="n">
        <v>0</v>
      </c>
      <c r="I981" t="n">
        <v>0</v>
      </c>
      <c r="J981" t="n">
        <v>0</v>
      </c>
      <c r="K981" t="n">
        <v>0</v>
      </c>
      <c r="L981" t="n">
        <v>0</v>
      </c>
      <c r="M981" t="n">
        <v>0</v>
      </c>
      <c r="N981" t="n">
        <v>0</v>
      </c>
      <c r="O981" t="n">
        <v>0</v>
      </c>
      <c r="P981" t="n">
        <v>0</v>
      </c>
      <c r="Q981" t="n">
        <v>0</v>
      </c>
      <c r="R981" s="2" t="inlineStr"/>
    </row>
    <row r="982" ht="15" customHeight="1">
      <c r="A982" t="inlineStr">
        <is>
          <t>A 36832-2023</t>
        </is>
      </c>
      <c r="B982" s="1" t="n">
        <v>45153</v>
      </c>
      <c r="C982" s="1" t="n">
        <v>45705</v>
      </c>
      <c r="D982" t="inlineStr">
        <is>
          <t>SÖDERMANLANDS LÄN</t>
        </is>
      </c>
      <c r="E982" t="inlineStr">
        <is>
          <t>KATRINEHOLM</t>
        </is>
      </c>
      <c r="F982" t="inlineStr">
        <is>
          <t>Övriga Aktiebolag</t>
        </is>
      </c>
      <c r="G982" t="n">
        <v>9</v>
      </c>
      <c r="H982" t="n">
        <v>0</v>
      </c>
      <c r="I982" t="n">
        <v>0</v>
      </c>
      <c r="J982" t="n">
        <v>0</v>
      </c>
      <c r="K982" t="n">
        <v>0</v>
      </c>
      <c r="L982" t="n">
        <v>0</v>
      </c>
      <c r="M982" t="n">
        <v>0</v>
      </c>
      <c r="N982" t="n">
        <v>0</v>
      </c>
      <c r="O982" t="n">
        <v>0</v>
      </c>
      <c r="P982" t="n">
        <v>0</v>
      </c>
      <c r="Q982" t="n">
        <v>0</v>
      </c>
      <c r="R982" s="2" t="inlineStr"/>
    </row>
    <row r="983" ht="15" customHeight="1">
      <c r="A983" t="inlineStr">
        <is>
          <t>A 36776-2023</t>
        </is>
      </c>
      <c r="B983" s="1" t="n">
        <v>45154</v>
      </c>
      <c r="C983" s="1" t="n">
        <v>45705</v>
      </c>
      <c r="D983" t="inlineStr">
        <is>
          <t>SÖDERMANLANDS LÄN</t>
        </is>
      </c>
      <c r="E983" t="inlineStr">
        <is>
          <t>KATRINEHOLM</t>
        </is>
      </c>
      <c r="G983" t="n">
        <v>4.3</v>
      </c>
      <c r="H983" t="n">
        <v>0</v>
      </c>
      <c r="I983" t="n">
        <v>0</v>
      </c>
      <c r="J983" t="n">
        <v>0</v>
      </c>
      <c r="K983" t="n">
        <v>0</v>
      </c>
      <c r="L983" t="n">
        <v>0</v>
      </c>
      <c r="M983" t="n">
        <v>0</v>
      </c>
      <c r="N983" t="n">
        <v>0</v>
      </c>
      <c r="O983" t="n">
        <v>0</v>
      </c>
      <c r="P983" t="n">
        <v>0</v>
      </c>
      <c r="Q983" t="n">
        <v>0</v>
      </c>
      <c r="R983" s="2" t="inlineStr"/>
    </row>
    <row r="984" ht="15" customHeight="1">
      <c r="A984" t="inlineStr">
        <is>
          <t>A 36777-2023</t>
        </is>
      </c>
      <c r="B984" s="1" t="n">
        <v>45154</v>
      </c>
      <c r="C984" s="1" t="n">
        <v>45705</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37185-2023</t>
        </is>
      </c>
      <c r="B985" s="1" t="n">
        <v>45154</v>
      </c>
      <c r="C985" s="1" t="n">
        <v>45705</v>
      </c>
      <c r="D985" t="inlineStr">
        <is>
          <t>SÖDERMANLANDS LÄN</t>
        </is>
      </c>
      <c r="E985" t="inlineStr">
        <is>
          <t>KATRINEHOLM</t>
        </is>
      </c>
      <c r="G985" t="n">
        <v>3</v>
      </c>
      <c r="H985" t="n">
        <v>0</v>
      </c>
      <c r="I985" t="n">
        <v>0</v>
      </c>
      <c r="J985" t="n">
        <v>0</v>
      </c>
      <c r="K985" t="n">
        <v>0</v>
      </c>
      <c r="L985" t="n">
        <v>0</v>
      </c>
      <c r="M985" t="n">
        <v>0</v>
      </c>
      <c r="N985" t="n">
        <v>0</v>
      </c>
      <c r="O985" t="n">
        <v>0</v>
      </c>
      <c r="P985" t="n">
        <v>0</v>
      </c>
      <c r="Q985" t="n">
        <v>0</v>
      </c>
      <c r="R985" s="2" t="inlineStr"/>
    </row>
    <row r="986" ht="15" customHeight="1">
      <c r="A986" t="inlineStr">
        <is>
          <t>A 37388-2023</t>
        </is>
      </c>
      <c r="B986" s="1" t="n">
        <v>45155</v>
      </c>
      <c r="C986" s="1" t="n">
        <v>45705</v>
      </c>
      <c r="D986" t="inlineStr">
        <is>
          <t>SÖDERMANLANDS LÄN</t>
        </is>
      </c>
      <c r="E986" t="inlineStr">
        <is>
          <t>KATRINEHOLM</t>
        </is>
      </c>
      <c r="G986" t="n">
        <v>8.5</v>
      </c>
      <c r="H986" t="n">
        <v>0</v>
      </c>
      <c r="I986" t="n">
        <v>0</v>
      </c>
      <c r="J986" t="n">
        <v>0</v>
      </c>
      <c r="K986" t="n">
        <v>0</v>
      </c>
      <c r="L986" t="n">
        <v>0</v>
      </c>
      <c r="M986" t="n">
        <v>0</v>
      </c>
      <c r="N986" t="n">
        <v>0</v>
      </c>
      <c r="O986" t="n">
        <v>0</v>
      </c>
      <c r="P986" t="n">
        <v>0</v>
      </c>
      <c r="Q986" t="n">
        <v>0</v>
      </c>
      <c r="R986" s="2" t="inlineStr"/>
    </row>
    <row r="987" ht="15" customHeight="1">
      <c r="A987" t="inlineStr">
        <is>
          <t>A 37176-2023</t>
        </is>
      </c>
      <c r="B987" s="1" t="n">
        <v>45155</v>
      </c>
      <c r="C987" s="1" t="n">
        <v>45705</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37164-2023</t>
        </is>
      </c>
      <c r="B988" s="1" t="n">
        <v>45155</v>
      </c>
      <c r="C988" s="1" t="n">
        <v>45705</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37845-2023</t>
        </is>
      </c>
      <c r="B989" s="1" t="n">
        <v>45156</v>
      </c>
      <c r="C989" s="1" t="n">
        <v>45705</v>
      </c>
      <c r="D989" t="inlineStr">
        <is>
          <t>SÖDERMANLANDS LÄN</t>
        </is>
      </c>
      <c r="E989" t="inlineStr">
        <is>
          <t>KATRINEHOLM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37650-2023</t>
        </is>
      </c>
      <c r="B990" s="1" t="n">
        <v>45159</v>
      </c>
      <c r="C990" s="1" t="n">
        <v>45705</v>
      </c>
      <c r="D990" t="inlineStr">
        <is>
          <t>SÖDERMANLANDS LÄN</t>
        </is>
      </c>
      <c r="E990" t="inlineStr">
        <is>
          <t>KATRINEHOLM</t>
        </is>
      </c>
      <c r="F990" t="inlineStr">
        <is>
          <t>Kyrkan</t>
        </is>
      </c>
      <c r="G990" t="n">
        <v>29.7</v>
      </c>
      <c r="H990" t="n">
        <v>0</v>
      </c>
      <c r="I990" t="n">
        <v>0</v>
      </c>
      <c r="J990" t="n">
        <v>0</v>
      </c>
      <c r="K990" t="n">
        <v>0</v>
      </c>
      <c r="L990" t="n">
        <v>0</v>
      </c>
      <c r="M990" t="n">
        <v>0</v>
      </c>
      <c r="N990" t="n">
        <v>0</v>
      </c>
      <c r="O990" t="n">
        <v>0</v>
      </c>
      <c r="P990" t="n">
        <v>0</v>
      </c>
      <c r="Q990" t="n">
        <v>0</v>
      </c>
      <c r="R990" s="2" t="inlineStr"/>
    </row>
    <row r="991" ht="15" customHeight="1">
      <c r="A991" t="inlineStr">
        <is>
          <t>A 37834-2023</t>
        </is>
      </c>
      <c r="B991" s="1" t="n">
        <v>45160</v>
      </c>
      <c r="C991" s="1" t="n">
        <v>45705</v>
      </c>
      <c r="D991" t="inlineStr">
        <is>
          <t>SÖDERMANLANDS LÄN</t>
        </is>
      </c>
      <c r="E991" t="inlineStr">
        <is>
          <t>KATRINEHOLM</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39037-2023</t>
        </is>
      </c>
      <c r="B992" s="1" t="n">
        <v>45163</v>
      </c>
      <c r="C992" s="1" t="n">
        <v>45705</v>
      </c>
      <c r="D992" t="inlineStr">
        <is>
          <t>SÖDERMANLANDS LÄN</t>
        </is>
      </c>
      <c r="E992" t="inlineStr">
        <is>
          <t>KATRINEHOLM</t>
        </is>
      </c>
      <c r="G992" t="n">
        <v>10.4</v>
      </c>
      <c r="H992" t="n">
        <v>0</v>
      </c>
      <c r="I992" t="n">
        <v>0</v>
      </c>
      <c r="J992" t="n">
        <v>0</v>
      </c>
      <c r="K992" t="n">
        <v>0</v>
      </c>
      <c r="L992" t="n">
        <v>0</v>
      </c>
      <c r="M992" t="n">
        <v>0</v>
      </c>
      <c r="N992" t="n">
        <v>0</v>
      </c>
      <c r="O992" t="n">
        <v>0</v>
      </c>
      <c r="P992" t="n">
        <v>0</v>
      </c>
      <c r="Q992" t="n">
        <v>0</v>
      </c>
      <c r="R992" s="2" t="inlineStr"/>
    </row>
    <row r="993" ht="15" customHeight="1">
      <c r="A993" t="inlineStr">
        <is>
          <t>A 39038-2023</t>
        </is>
      </c>
      <c r="B993" s="1" t="n">
        <v>45163</v>
      </c>
      <c r="C993" s="1" t="n">
        <v>45705</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39052-2023</t>
        </is>
      </c>
      <c r="B994" s="1" t="n">
        <v>45163</v>
      </c>
      <c r="C994" s="1" t="n">
        <v>45705</v>
      </c>
      <c r="D994" t="inlineStr">
        <is>
          <t>SÖDERMANLANDS LÄN</t>
        </is>
      </c>
      <c r="E994" t="inlineStr">
        <is>
          <t>KATRINEHOLM</t>
        </is>
      </c>
      <c r="G994" t="n">
        <v>3</v>
      </c>
      <c r="H994" t="n">
        <v>0</v>
      </c>
      <c r="I994" t="n">
        <v>0</v>
      </c>
      <c r="J994" t="n">
        <v>0</v>
      </c>
      <c r="K994" t="n">
        <v>0</v>
      </c>
      <c r="L994" t="n">
        <v>0</v>
      </c>
      <c r="M994" t="n">
        <v>0</v>
      </c>
      <c r="N994" t="n">
        <v>0</v>
      </c>
      <c r="O994" t="n">
        <v>0</v>
      </c>
      <c r="P994" t="n">
        <v>0</v>
      </c>
      <c r="Q994" t="n">
        <v>0</v>
      </c>
      <c r="R994" s="2" t="inlineStr"/>
    </row>
    <row r="995" ht="15" customHeight="1">
      <c r="A995" t="inlineStr">
        <is>
          <t>A 38744-2023</t>
        </is>
      </c>
      <c r="B995" s="1" t="n">
        <v>45163</v>
      </c>
      <c r="C995" s="1" t="n">
        <v>45705</v>
      </c>
      <c r="D995" t="inlineStr">
        <is>
          <t>SÖDERMANLANDS LÄN</t>
        </is>
      </c>
      <c r="E995" t="inlineStr">
        <is>
          <t>KATRINEHOLM</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38761-2023</t>
        </is>
      </c>
      <c r="B996" s="1" t="n">
        <v>45163</v>
      </c>
      <c r="C996" s="1" t="n">
        <v>45705</v>
      </c>
      <c r="D996" t="inlineStr">
        <is>
          <t>SÖDERMANLANDS LÄN</t>
        </is>
      </c>
      <c r="E996" t="inlineStr">
        <is>
          <t>KATRINEHOLM</t>
        </is>
      </c>
      <c r="G996" t="n">
        <v>1.9</v>
      </c>
      <c r="H996" t="n">
        <v>0</v>
      </c>
      <c r="I996" t="n">
        <v>0</v>
      </c>
      <c r="J996" t="n">
        <v>0</v>
      </c>
      <c r="K996" t="n">
        <v>0</v>
      </c>
      <c r="L996" t="n">
        <v>0</v>
      </c>
      <c r="M996" t="n">
        <v>0</v>
      </c>
      <c r="N996" t="n">
        <v>0</v>
      </c>
      <c r="O996" t="n">
        <v>0</v>
      </c>
      <c r="P996" t="n">
        <v>0</v>
      </c>
      <c r="Q996" t="n">
        <v>0</v>
      </c>
      <c r="R996" s="2" t="inlineStr"/>
    </row>
    <row r="997" ht="15" customHeight="1">
      <c r="A997" t="inlineStr">
        <is>
          <t>A 39120-2023</t>
        </is>
      </c>
      <c r="B997" s="1" t="n">
        <v>45165</v>
      </c>
      <c r="C997" s="1" t="n">
        <v>45705</v>
      </c>
      <c r="D997" t="inlineStr">
        <is>
          <t>SÖDERMANLANDS LÄN</t>
        </is>
      </c>
      <c r="E997" t="inlineStr">
        <is>
          <t>KATRINEHOLM</t>
        </is>
      </c>
      <c r="G997" t="n">
        <v>4.4</v>
      </c>
      <c r="H997" t="n">
        <v>0</v>
      </c>
      <c r="I997" t="n">
        <v>0</v>
      </c>
      <c r="J997" t="n">
        <v>0</v>
      </c>
      <c r="K997" t="n">
        <v>0</v>
      </c>
      <c r="L997" t="n">
        <v>0</v>
      </c>
      <c r="M997" t="n">
        <v>0</v>
      </c>
      <c r="N997" t="n">
        <v>0</v>
      </c>
      <c r="O997" t="n">
        <v>0</v>
      </c>
      <c r="P997" t="n">
        <v>0</v>
      </c>
      <c r="Q997" t="n">
        <v>0</v>
      </c>
      <c r="R997" s="2" t="inlineStr"/>
    </row>
    <row r="998" ht="15" customHeight="1">
      <c r="A998" t="inlineStr">
        <is>
          <t>A 39363-2023</t>
        </is>
      </c>
      <c r="B998" s="1" t="n">
        <v>45166</v>
      </c>
      <c r="C998" s="1" t="n">
        <v>45705</v>
      </c>
      <c r="D998" t="inlineStr">
        <is>
          <t>SÖDERMANLANDS LÄN</t>
        </is>
      </c>
      <c r="E998" t="inlineStr">
        <is>
          <t>KATRINEHOLM</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39699-2023</t>
        </is>
      </c>
      <c r="B999" s="1" t="n">
        <v>45167</v>
      </c>
      <c r="C999" s="1" t="n">
        <v>45705</v>
      </c>
      <c r="D999" t="inlineStr">
        <is>
          <t>SÖDERMANLANDS LÄN</t>
        </is>
      </c>
      <c r="E999" t="inlineStr">
        <is>
          <t>KATRINEHOLM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39704-2023</t>
        </is>
      </c>
      <c r="B1000" s="1" t="n">
        <v>45167</v>
      </c>
      <c r="C1000" s="1" t="n">
        <v>45705</v>
      </c>
      <c r="D1000" t="inlineStr">
        <is>
          <t>SÖDERMANLANDS LÄN</t>
        </is>
      </c>
      <c r="E1000" t="inlineStr">
        <is>
          <t>KATRINEHOLM</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39897-2023</t>
        </is>
      </c>
      <c r="B1001" s="1" t="n">
        <v>45168</v>
      </c>
      <c r="C1001" s="1" t="n">
        <v>45705</v>
      </c>
      <c r="D1001" t="inlineStr">
        <is>
          <t>SÖDERMANLANDS LÄN</t>
        </is>
      </c>
      <c r="E1001" t="inlineStr">
        <is>
          <t>KATRINEHOLM</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39884-2023</t>
        </is>
      </c>
      <c r="B1002" s="1" t="n">
        <v>45168</v>
      </c>
      <c r="C1002" s="1" t="n">
        <v>45705</v>
      </c>
      <c r="D1002" t="inlineStr">
        <is>
          <t>SÖDERMANLANDS LÄN</t>
        </is>
      </c>
      <c r="E1002" t="inlineStr">
        <is>
          <t>KATRINEHOLM</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39881-2023</t>
        </is>
      </c>
      <c r="B1003" s="1" t="n">
        <v>45168</v>
      </c>
      <c r="C1003" s="1" t="n">
        <v>45705</v>
      </c>
      <c r="D1003" t="inlineStr">
        <is>
          <t>SÖDERMANLANDS LÄN</t>
        </is>
      </c>
      <c r="E1003" t="inlineStr">
        <is>
          <t>KATRINEHOLM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39895-2023</t>
        </is>
      </c>
      <c r="B1004" s="1" t="n">
        <v>45168</v>
      </c>
      <c r="C1004" s="1" t="n">
        <v>45705</v>
      </c>
      <c r="D1004" t="inlineStr">
        <is>
          <t>SÖDERMANLANDS LÄN</t>
        </is>
      </c>
      <c r="E1004" t="inlineStr">
        <is>
          <t>KATRINEHOLM</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40518-2023</t>
        </is>
      </c>
      <c r="B1005" s="1" t="n">
        <v>45168</v>
      </c>
      <c r="C1005" s="1" t="n">
        <v>45705</v>
      </c>
      <c r="D1005" t="inlineStr">
        <is>
          <t>SÖDERMANLANDS LÄN</t>
        </is>
      </c>
      <c r="E1005" t="inlineStr">
        <is>
          <t>KATRINEHOLM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40186-2023</t>
        </is>
      </c>
      <c r="B1006" s="1" t="n">
        <v>45169</v>
      </c>
      <c r="C1006" s="1" t="n">
        <v>45705</v>
      </c>
      <c r="D1006" t="inlineStr">
        <is>
          <t>SÖDERMANLANDS LÄN</t>
        </is>
      </c>
      <c r="E1006" t="inlineStr">
        <is>
          <t>KATRINEHOLM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40159-2023</t>
        </is>
      </c>
      <c r="B1007" s="1" t="n">
        <v>45169</v>
      </c>
      <c r="C1007" s="1" t="n">
        <v>45705</v>
      </c>
      <c r="D1007" t="inlineStr">
        <is>
          <t>SÖDERMANLANDS LÄN</t>
        </is>
      </c>
      <c r="E1007" t="inlineStr">
        <is>
          <t>KATRINEHOLM</t>
        </is>
      </c>
      <c r="F1007" t="inlineStr">
        <is>
          <t>Övriga Aktiebolag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40541-2023</t>
        </is>
      </c>
      <c r="B1008" s="1" t="n">
        <v>45170</v>
      </c>
      <c r="C1008" s="1" t="n">
        <v>45705</v>
      </c>
      <c r="D1008" t="inlineStr">
        <is>
          <t>SÖDERMANLANDS LÄN</t>
        </is>
      </c>
      <c r="E1008" t="inlineStr">
        <is>
          <t>KATRINEHOLM</t>
        </is>
      </c>
      <c r="F1008" t="inlineStr">
        <is>
          <t>Övriga Aktiebolag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41267-2023</t>
        </is>
      </c>
      <c r="B1009" s="1" t="n">
        <v>45174</v>
      </c>
      <c r="C1009" s="1" t="n">
        <v>45705</v>
      </c>
      <c r="D1009" t="inlineStr">
        <is>
          <t>SÖDERMANLANDS LÄN</t>
        </is>
      </c>
      <c r="E1009" t="inlineStr">
        <is>
          <t>KATRINEHOLM</t>
        </is>
      </c>
      <c r="F1009" t="inlineStr">
        <is>
          <t>Holmen skog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41166-2023</t>
        </is>
      </c>
      <c r="B1010" s="1" t="n">
        <v>45174</v>
      </c>
      <c r="C1010" s="1" t="n">
        <v>45705</v>
      </c>
      <c r="D1010" t="inlineStr">
        <is>
          <t>SÖDERMANLANDS LÄN</t>
        </is>
      </c>
      <c r="E1010" t="inlineStr">
        <is>
          <t>KATRINEHOLM</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41588-2023</t>
        </is>
      </c>
      <c r="B1011" s="1" t="n">
        <v>45175</v>
      </c>
      <c r="C1011" s="1" t="n">
        <v>45705</v>
      </c>
      <c r="D1011" t="inlineStr">
        <is>
          <t>SÖDERMANLANDS LÄN</t>
        </is>
      </c>
      <c r="E1011" t="inlineStr">
        <is>
          <t>KATRINEHOLM</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41854-2023</t>
        </is>
      </c>
      <c r="B1012" s="1" t="n">
        <v>45176</v>
      </c>
      <c r="C1012" s="1" t="n">
        <v>45705</v>
      </c>
      <c r="D1012" t="inlineStr">
        <is>
          <t>SÖDERMANLANDS LÄN</t>
        </is>
      </c>
      <c r="E1012" t="inlineStr">
        <is>
          <t>KATRINEHOLM</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41966-2023</t>
        </is>
      </c>
      <c r="B1013" s="1" t="n">
        <v>45177</v>
      </c>
      <c r="C1013" s="1" t="n">
        <v>45705</v>
      </c>
      <c r="D1013" t="inlineStr">
        <is>
          <t>SÖDERMANLANDS LÄN</t>
        </is>
      </c>
      <c r="E1013" t="inlineStr">
        <is>
          <t>KATRINEHOLM</t>
        </is>
      </c>
      <c r="G1013" t="n">
        <v>36.9</v>
      </c>
      <c r="H1013" t="n">
        <v>0</v>
      </c>
      <c r="I1013" t="n">
        <v>0</v>
      </c>
      <c r="J1013" t="n">
        <v>0</v>
      </c>
      <c r="K1013" t="n">
        <v>0</v>
      </c>
      <c r="L1013" t="n">
        <v>0</v>
      </c>
      <c r="M1013" t="n">
        <v>0</v>
      </c>
      <c r="N1013" t="n">
        <v>0</v>
      </c>
      <c r="O1013" t="n">
        <v>0</v>
      </c>
      <c r="P1013" t="n">
        <v>0</v>
      </c>
      <c r="Q1013" t="n">
        <v>0</v>
      </c>
      <c r="R1013" s="2" t="inlineStr"/>
    </row>
    <row r="1014" ht="15" customHeight="1">
      <c r="A1014" t="inlineStr">
        <is>
          <t>A 41959-2023</t>
        </is>
      </c>
      <c r="B1014" s="1" t="n">
        <v>45177</v>
      </c>
      <c r="C1014" s="1" t="n">
        <v>45705</v>
      </c>
      <c r="D1014" t="inlineStr">
        <is>
          <t>SÖDERMANLANDS LÄN</t>
        </is>
      </c>
      <c r="E1014" t="inlineStr">
        <is>
          <t>KATRINEHOLM</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42959-2023</t>
        </is>
      </c>
      <c r="B1015" s="1" t="n">
        <v>45177</v>
      </c>
      <c r="C1015" s="1" t="n">
        <v>45705</v>
      </c>
      <c r="D1015" t="inlineStr">
        <is>
          <t>SÖDERMANLANDS LÄN</t>
        </is>
      </c>
      <c r="E1015" t="inlineStr">
        <is>
          <t>KATRINEHOLM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42221-2023</t>
        </is>
      </c>
      <c r="B1016" s="1" t="n">
        <v>45179</v>
      </c>
      <c r="C1016" s="1" t="n">
        <v>45705</v>
      </c>
      <c r="D1016" t="inlineStr">
        <is>
          <t>SÖDERMANLANDS LÄN</t>
        </is>
      </c>
      <c r="E1016" t="inlineStr">
        <is>
          <t>KATRINEHOLM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42454-2023</t>
        </is>
      </c>
      <c r="B1017" s="1" t="n">
        <v>45180</v>
      </c>
      <c r="C1017" s="1" t="n">
        <v>45705</v>
      </c>
      <c r="D1017" t="inlineStr">
        <is>
          <t>SÖDERMANLANDS LÄN</t>
        </is>
      </c>
      <c r="E1017" t="inlineStr">
        <is>
          <t>KATRINEHOLM</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42451-2023</t>
        </is>
      </c>
      <c r="B1018" s="1" t="n">
        <v>45180</v>
      </c>
      <c r="C1018" s="1" t="n">
        <v>45705</v>
      </c>
      <c r="D1018" t="inlineStr">
        <is>
          <t>SÖDERMANLANDS LÄN</t>
        </is>
      </c>
      <c r="E1018" t="inlineStr">
        <is>
          <t>KATRINEHOLM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42792-2023</t>
        </is>
      </c>
      <c r="B1019" s="1" t="n">
        <v>45182</v>
      </c>
      <c r="C1019" s="1" t="n">
        <v>45705</v>
      </c>
      <c r="D1019" t="inlineStr">
        <is>
          <t>SÖDERMANLANDS LÄN</t>
        </is>
      </c>
      <c r="E1019" t="inlineStr">
        <is>
          <t>KATRINEHOLM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42791-2023</t>
        </is>
      </c>
      <c r="B1020" s="1" t="n">
        <v>45182</v>
      </c>
      <c r="C1020" s="1" t="n">
        <v>45705</v>
      </c>
      <c r="D1020" t="inlineStr">
        <is>
          <t>SÖDERMANLANDS LÄN</t>
        </is>
      </c>
      <c r="E1020" t="inlineStr">
        <is>
          <t>KATRINEHOLM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42962-2023</t>
        </is>
      </c>
      <c r="B1021" s="1" t="n">
        <v>45182</v>
      </c>
      <c r="C1021" s="1" t="n">
        <v>45705</v>
      </c>
      <c r="D1021" t="inlineStr">
        <is>
          <t>SÖDERMANLANDS LÄN</t>
        </is>
      </c>
      <c r="E1021" t="inlineStr">
        <is>
          <t>KATRINEHOLM</t>
        </is>
      </c>
      <c r="F1021" t="inlineStr">
        <is>
          <t>Övriga Aktiebolag</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43078-2023</t>
        </is>
      </c>
      <c r="B1022" s="1" t="n">
        <v>45182</v>
      </c>
      <c r="C1022" s="1" t="n">
        <v>45705</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42945-2023</t>
        </is>
      </c>
      <c r="B1023" s="1" t="n">
        <v>45182</v>
      </c>
      <c r="C1023" s="1" t="n">
        <v>45705</v>
      </c>
      <c r="D1023" t="inlineStr">
        <is>
          <t>SÖDERMANLANDS LÄN</t>
        </is>
      </c>
      <c r="E1023" t="inlineStr">
        <is>
          <t>KATRINEHOLM</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42965-2023</t>
        </is>
      </c>
      <c r="B1024" s="1" t="n">
        <v>45182</v>
      </c>
      <c r="C1024" s="1" t="n">
        <v>45705</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42970-2023</t>
        </is>
      </c>
      <c r="B1025" s="1" t="n">
        <v>45182</v>
      </c>
      <c r="C1025" s="1" t="n">
        <v>45705</v>
      </c>
      <c r="D1025" t="inlineStr">
        <is>
          <t>SÖDERMANLANDS LÄN</t>
        </is>
      </c>
      <c r="E1025" t="inlineStr">
        <is>
          <t>KATRINEHOLM</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44486-2023</t>
        </is>
      </c>
      <c r="B1026" s="1" t="n">
        <v>45183</v>
      </c>
      <c r="C1026" s="1" t="n">
        <v>45705</v>
      </c>
      <c r="D1026" t="inlineStr">
        <is>
          <t>SÖDERMANLANDS LÄN</t>
        </is>
      </c>
      <c r="E1026" t="inlineStr">
        <is>
          <t>KATRINEHOLM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43431-2023</t>
        </is>
      </c>
      <c r="B1027" s="1" t="n">
        <v>45184</v>
      </c>
      <c r="C1027" s="1" t="n">
        <v>45705</v>
      </c>
      <c r="D1027" t="inlineStr">
        <is>
          <t>SÖDERMANLANDS LÄN</t>
        </is>
      </c>
      <c r="E1027" t="inlineStr">
        <is>
          <t>KATRINEHOLM</t>
        </is>
      </c>
      <c r="F1027" t="inlineStr">
        <is>
          <t>Övriga Aktiebolag</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43514-2023</t>
        </is>
      </c>
      <c r="B1028" s="1" t="n">
        <v>45184</v>
      </c>
      <c r="C1028" s="1" t="n">
        <v>45705</v>
      </c>
      <c r="D1028" t="inlineStr">
        <is>
          <t>SÖDERMANLANDS LÄN</t>
        </is>
      </c>
      <c r="E1028" t="inlineStr">
        <is>
          <t>KATRINEHOLM</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43513-2023</t>
        </is>
      </c>
      <c r="B1029" s="1" t="n">
        <v>45184</v>
      </c>
      <c r="C1029" s="1" t="n">
        <v>45705</v>
      </c>
      <c r="D1029" t="inlineStr">
        <is>
          <t>SÖDERMANLANDS LÄN</t>
        </is>
      </c>
      <c r="E1029" t="inlineStr">
        <is>
          <t>KATRINEHOLM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43515-2023</t>
        </is>
      </c>
      <c r="B1030" s="1" t="n">
        <v>45184</v>
      </c>
      <c r="C1030" s="1" t="n">
        <v>45705</v>
      </c>
      <c r="D1030" t="inlineStr">
        <is>
          <t>SÖDERMANLANDS LÄN</t>
        </is>
      </c>
      <c r="E1030" t="inlineStr">
        <is>
          <t>KATRINEHOLM</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43680-2023</t>
        </is>
      </c>
      <c r="B1031" s="1" t="n">
        <v>45187</v>
      </c>
      <c r="C1031" s="1" t="n">
        <v>45705</v>
      </c>
      <c r="D1031" t="inlineStr">
        <is>
          <t>SÖDERMANLANDS LÄN</t>
        </is>
      </c>
      <c r="E1031" t="inlineStr">
        <is>
          <t>KATRINEHOLM</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43678-2023</t>
        </is>
      </c>
      <c r="B1032" s="1" t="n">
        <v>45187</v>
      </c>
      <c r="C1032" s="1" t="n">
        <v>45705</v>
      </c>
      <c r="D1032" t="inlineStr">
        <is>
          <t>SÖDERMANLANDS LÄN</t>
        </is>
      </c>
      <c r="E1032" t="inlineStr">
        <is>
          <t>KATRINEHOLM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44292-2023</t>
        </is>
      </c>
      <c r="B1033" s="1" t="n">
        <v>45188</v>
      </c>
      <c r="C1033" s="1" t="n">
        <v>45705</v>
      </c>
      <c r="D1033" t="inlineStr">
        <is>
          <t>SÖDERMANLANDS LÄN</t>
        </is>
      </c>
      <c r="E1033" t="inlineStr">
        <is>
          <t>KATRINEHOLM</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44290-2023</t>
        </is>
      </c>
      <c r="B1034" s="1" t="n">
        <v>45188</v>
      </c>
      <c r="C1034" s="1" t="n">
        <v>45705</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45530-2023</t>
        </is>
      </c>
      <c r="B1035" s="1" t="n">
        <v>45188</v>
      </c>
      <c r="C1035" s="1" t="n">
        <v>45705</v>
      </c>
      <c r="D1035" t="inlineStr">
        <is>
          <t>SÖDERMANLANDS LÄN</t>
        </is>
      </c>
      <c r="E1035" t="inlineStr">
        <is>
          <t>KATRINEHOLM</t>
        </is>
      </c>
      <c r="F1035" t="inlineStr">
        <is>
          <t>Allmännings- och besparingsskogar</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44637-2023</t>
        </is>
      </c>
      <c r="B1036" s="1" t="n">
        <v>45189</v>
      </c>
      <c r="C1036" s="1" t="n">
        <v>45705</v>
      </c>
      <c r="D1036" t="inlineStr">
        <is>
          <t>SÖDERMANLANDS LÄN</t>
        </is>
      </c>
      <c r="E1036" t="inlineStr">
        <is>
          <t>KATRINEHOLM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44638-2023</t>
        </is>
      </c>
      <c r="B1037" s="1" t="n">
        <v>45189</v>
      </c>
      <c r="C1037" s="1" t="n">
        <v>45705</v>
      </c>
      <c r="D1037" t="inlineStr">
        <is>
          <t>SÖDERMANLANDS LÄN</t>
        </is>
      </c>
      <c r="E1037" t="inlineStr">
        <is>
          <t>KATRINEHOLM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44659-2023</t>
        </is>
      </c>
      <c r="B1038" s="1" t="n">
        <v>45189</v>
      </c>
      <c r="C1038" s="1" t="n">
        <v>45705</v>
      </c>
      <c r="D1038" t="inlineStr">
        <is>
          <t>SÖDERMANLANDS LÄN</t>
        </is>
      </c>
      <c r="E1038" t="inlineStr">
        <is>
          <t>KATRINEHOLM</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44925-2023</t>
        </is>
      </c>
      <c r="B1039" s="1" t="n">
        <v>45190</v>
      </c>
      <c r="C1039" s="1" t="n">
        <v>45705</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45246-2023</t>
        </is>
      </c>
      <c r="B1040" s="1" t="n">
        <v>45191</v>
      </c>
      <c r="C1040" s="1" t="n">
        <v>45705</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46700-2023</t>
        </is>
      </c>
      <c r="B1041" s="1" t="n">
        <v>45194</v>
      </c>
      <c r="C1041" s="1" t="n">
        <v>45705</v>
      </c>
      <c r="D1041" t="inlineStr">
        <is>
          <t>SÖDERMANLANDS LÄN</t>
        </is>
      </c>
      <c r="E1041" t="inlineStr">
        <is>
          <t>KATRINEHOLM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45799-2023</t>
        </is>
      </c>
      <c r="B1042" s="1" t="n">
        <v>45195</v>
      </c>
      <c r="C1042" s="1" t="n">
        <v>45705</v>
      </c>
      <c r="D1042" t="inlineStr">
        <is>
          <t>SÖDERMANLANDS LÄN</t>
        </is>
      </c>
      <c r="E1042" t="inlineStr">
        <is>
          <t>KATRINEHOLM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45782-2023</t>
        </is>
      </c>
      <c r="B1043" s="1" t="n">
        <v>45195</v>
      </c>
      <c r="C1043" s="1" t="n">
        <v>45705</v>
      </c>
      <c r="D1043" t="inlineStr">
        <is>
          <t>SÖDERMANLANDS LÄN</t>
        </is>
      </c>
      <c r="E1043" t="inlineStr">
        <is>
          <t>KATRINEHOLM</t>
        </is>
      </c>
      <c r="F1043" t="inlineStr">
        <is>
          <t>Allmännings- och besparingsskogar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45796-2023</t>
        </is>
      </c>
      <c r="B1044" s="1" t="n">
        <v>45195</v>
      </c>
      <c r="C1044" s="1" t="n">
        <v>45705</v>
      </c>
      <c r="D1044" t="inlineStr">
        <is>
          <t>SÖDERMANLANDS LÄN</t>
        </is>
      </c>
      <c r="E1044" t="inlineStr">
        <is>
          <t>KATRINEHOLM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45801-2023</t>
        </is>
      </c>
      <c r="B1045" s="1" t="n">
        <v>45195</v>
      </c>
      <c r="C1045" s="1" t="n">
        <v>45705</v>
      </c>
      <c r="D1045" t="inlineStr">
        <is>
          <t>SÖDERMANLANDS LÄN</t>
        </is>
      </c>
      <c r="E1045" t="inlineStr">
        <is>
          <t>KATRINEHOLM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46053-2023</t>
        </is>
      </c>
      <c r="B1046" s="1" t="n">
        <v>45196</v>
      </c>
      <c r="C1046" s="1" t="n">
        <v>45705</v>
      </c>
      <c r="D1046" t="inlineStr">
        <is>
          <t>SÖDERMANLANDS LÄN</t>
        </is>
      </c>
      <c r="E1046" t="inlineStr">
        <is>
          <t>KATRINEHOLM</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46231-2023</t>
        </is>
      </c>
      <c r="B1047" s="1" t="n">
        <v>45196</v>
      </c>
      <c r="C1047" s="1" t="n">
        <v>45705</v>
      </c>
      <c r="D1047" t="inlineStr">
        <is>
          <t>SÖDERMANLANDS LÄN</t>
        </is>
      </c>
      <c r="E1047" t="inlineStr">
        <is>
          <t>KATRINEHOLM</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46060-2023</t>
        </is>
      </c>
      <c r="B1048" s="1" t="n">
        <v>45196</v>
      </c>
      <c r="C1048" s="1" t="n">
        <v>45705</v>
      </c>
      <c r="D1048" t="inlineStr">
        <is>
          <t>SÖDERMANLANDS LÄN</t>
        </is>
      </c>
      <c r="E1048" t="inlineStr">
        <is>
          <t>KATRINEHOLM</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46075-2023</t>
        </is>
      </c>
      <c r="B1049" s="1" t="n">
        <v>45196</v>
      </c>
      <c r="C1049" s="1" t="n">
        <v>45705</v>
      </c>
      <c r="D1049" t="inlineStr">
        <is>
          <t>SÖDERMANLANDS LÄN</t>
        </is>
      </c>
      <c r="E1049" t="inlineStr">
        <is>
          <t>KATRINEHOLM</t>
        </is>
      </c>
      <c r="F1049" t="inlineStr">
        <is>
          <t>Övriga Aktiebolag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47198-2023</t>
        </is>
      </c>
      <c r="B1050" s="1" t="n">
        <v>45202</v>
      </c>
      <c r="C1050" s="1" t="n">
        <v>45705</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48626-2023</t>
        </is>
      </c>
      <c r="B1051" s="1" t="n">
        <v>45202</v>
      </c>
      <c r="C1051" s="1" t="n">
        <v>45705</v>
      </c>
      <c r="D1051" t="inlineStr">
        <is>
          <t>SÖDERMANLANDS LÄN</t>
        </is>
      </c>
      <c r="E1051" t="inlineStr">
        <is>
          <t>KATRINEHOLM</t>
        </is>
      </c>
      <c r="F1051" t="inlineStr">
        <is>
          <t>Allmännings- och besparingsskogar</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48646-2023</t>
        </is>
      </c>
      <c r="B1052" s="1" t="n">
        <v>45202</v>
      </c>
      <c r="C1052" s="1" t="n">
        <v>45705</v>
      </c>
      <c r="D1052" t="inlineStr">
        <is>
          <t>SÖDERMANLANDS LÄN</t>
        </is>
      </c>
      <c r="E1052" t="inlineStr">
        <is>
          <t>KATRINEHOLM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47881-2023</t>
        </is>
      </c>
      <c r="B1053" s="1" t="n">
        <v>45204</v>
      </c>
      <c r="C1053" s="1" t="n">
        <v>45705</v>
      </c>
      <c r="D1053" t="inlineStr">
        <is>
          <t>SÖDERMANLANDS LÄN</t>
        </is>
      </c>
      <c r="E1053" t="inlineStr">
        <is>
          <t>KATRINEHOLM</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47886-2023</t>
        </is>
      </c>
      <c r="B1054" s="1" t="n">
        <v>45204</v>
      </c>
      <c r="C1054" s="1" t="n">
        <v>45705</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47878-2023</t>
        </is>
      </c>
      <c r="B1055" s="1" t="n">
        <v>45204</v>
      </c>
      <c r="C1055" s="1" t="n">
        <v>45705</v>
      </c>
      <c r="D1055" t="inlineStr">
        <is>
          <t>SÖDERMANLANDS LÄN</t>
        </is>
      </c>
      <c r="E1055" t="inlineStr">
        <is>
          <t>KATRINEHOLM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47879-2023</t>
        </is>
      </c>
      <c r="B1056" s="1" t="n">
        <v>45204</v>
      </c>
      <c r="C1056" s="1" t="n">
        <v>45705</v>
      </c>
      <c r="D1056" t="inlineStr">
        <is>
          <t>SÖDERMANLANDS LÄN</t>
        </is>
      </c>
      <c r="E1056" t="inlineStr">
        <is>
          <t>KATRINEHOLM</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47889-2023</t>
        </is>
      </c>
      <c r="B1057" s="1" t="n">
        <v>45204</v>
      </c>
      <c r="C1057" s="1" t="n">
        <v>45705</v>
      </c>
      <c r="D1057" t="inlineStr">
        <is>
          <t>SÖDERMANLANDS LÄN</t>
        </is>
      </c>
      <c r="E1057" t="inlineStr">
        <is>
          <t>KATRINEHOLM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47871-2023</t>
        </is>
      </c>
      <c r="B1058" s="1" t="n">
        <v>45204</v>
      </c>
      <c r="C1058" s="1" t="n">
        <v>45705</v>
      </c>
      <c r="D1058" t="inlineStr">
        <is>
          <t>SÖDERMANLANDS LÄN</t>
        </is>
      </c>
      <c r="E1058" t="inlineStr">
        <is>
          <t>KATRINEHOLM</t>
        </is>
      </c>
      <c r="G1058" t="n">
        <v>19.2</v>
      </c>
      <c r="H1058" t="n">
        <v>0</v>
      </c>
      <c r="I1058" t="n">
        <v>0</v>
      </c>
      <c r="J1058" t="n">
        <v>0</v>
      </c>
      <c r="K1058" t="n">
        <v>0</v>
      </c>
      <c r="L1058" t="n">
        <v>0</v>
      </c>
      <c r="M1058" t="n">
        <v>0</v>
      </c>
      <c r="N1058" t="n">
        <v>0</v>
      </c>
      <c r="O1058" t="n">
        <v>0</v>
      </c>
      <c r="P1058" t="n">
        <v>0</v>
      </c>
      <c r="Q1058" t="n">
        <v>0</v>
      </c>
      <c r="R1058" s="2" t="inlineStr"/>
    </row>
    <row r="1059" ht="15" customHeight="1">
      <c r="A1059" t="inlineStr">
        <is>
          <t>A 48097-2023</t>
        </is>
      </c>
      <c r="B1059" s="1" t="n">
        <v>45205</v>
      </c>
      <c r="C1059" s="1" t="n">
        <v>45705</v>
      </c>
      <c r="D1059" t="inlineStr">
        <is>
          <t>SÖDERMANLANDS LÄN</t>
        </is>
      </c>
      <c r="E1059" t="inlineStr">
        <is>
          <t>KATRINEHOLM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49238-2023</t>
        </is>
      </c>
      <c r="B1060" s="1" t="n">
        <v>45205</v>
      </c>
      <c r="C1060" s="1" t="n">
        <v>45705</v>
      </c>
      <c r="D1060" t="inlineStr">
        <is>
          <t>SÖDERMANLANDS LÄN</t>
        </is>
      </c>
      <c r="E1060" t="inlineStr">
        <is>
          <t>KATRINEHOLM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49232-2023</t>
        </is>
      </c>
      <c r="B1061" s="1" t="n">
        <v>45205</v>
      </c>
      <c r="C1061" s="1" t="n">
        <v>45705</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49218-2023</t>
        </is>
      </c>
      <c r="B1062" s="1" t="n">
        <v>45205</v>
      </c>
      <c r="C1062" s="1" t="n">
        <v>45705</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48520-2023</t>
        </is>
      </c>
      <c r="B1063" s="1" t="n">
        <v>45208</v>
      </c>
      <c r="C1063" s="1" t="n">
        <v>45705</v>
      </c>
      <c r="D1063" t="inlineStr">
        <is>
          <t>SÖDERMANLANDS LÄN</t>
        </is>
      </c>
      <c r="E1063" t="inlineStr">
        <is>
          <t>KATRINEHOLM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48590-2023</t>
        </is>
      </c>
      <c r="B1064" s="1" t="n">
        <v>45208</v>
      </c>
      <c r="C1064" s="1" t="n">
        <v>45705</v>
      </c>
      <c r="D1064" t="inlineStr">
        <is>
          <t>SÖDERMANLANDS LÄN</t>
        </is>
      </c>
      <c r="E1064" t="inlineStr">
        <is>
          <t>KATRINEHOLM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48594-2023</t>
        </is>
      </c>
      <c r="B1065" s="1" t="n">
        <v>45208</v>
      </c>
      <c r="C1065" s="1" t="n">
        <v>45705</v>
      </c>
      <c r="D1065" t="inlineStr">
        <is>
          <t>SÖDERMANLANDS LÄN</t>
        </is>
      </c>
      <c r="E1065" t="inlineStr">
        <is>
          <t>KATRINEHOLM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48788-2023</t>
        </is>
      </c>
      <c r="B1066" s="1" t="n">
        <v>45209</v>
      </c>
      <c r="C1066" s="1" t="n">
        <v>45705</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50316-2023</t>
        </is>
      </c>
      <c r="B1067" s="1" t="n">
        <v>45209</v>
      </c>
      <c r="C1067" s="1" t="n">
        <v>45705</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50804-2023</t>
        </is>
      </c>
      <c r="B1068" s="1" t="n">
        <v>45211</v>
      </c>
      <c r="C1068" s="1" t="n">
        <v>45705</v>
      </c>
      <c r="D1068" t="inlineStr">
        <is>
          <t>SÖDERMANLANDS LÄN</t>
        </is>
      </c>
      <c r="E1068" t="inlineStr">
        <is>
          <t>KATRINEHOLM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50943-2023</t>
        </is>
      </c>
      <c r="B1069" s="1" t="n">
        <v>45211</v>
      </c>
      <c r="C1069" s="1" t="n">
        <v>45705</v>
      </c>
      <c r="D1069" t="inlineStr">
        <is>
          <t>SÖDERMANLANDS LÄN</t>
        </is>
      </c>
      <c r="E1069" t="inlineStr">
        <is>
          <t>KATRINEHOLM</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50935-2023</t>
        </is>
      </c>
      <c r="B1070" s="1" t="n">
        <v>45211</v>
      </c>
      <c r="C1070" s="1" t="n">
        <v>45705</v>
      </c>
      <c r="D1070" t="inlineStr">
        <is>
          <t>SÖDERMANLANDS LÄN</t>
        </is>
      </c>
      <c r="E1070" t="inlineStr">
        <is>
          <t>KATRINEHOLM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49804-2023</t>
        </is>
      </c>
      <c r="B1071" s="1" t="n">
        <v>45212</v>
      </c>
      <c r="C1071" s="1" t="n">
        <v>45705</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51404-2023</t>
        </is>
      </c>
      <c r="B1072" s="1" t="n">
        <v>45214</v>
      </c>
      <c r="C1072" s="1" t="n">
        <v>45705</v>
      </c>
      <c r="D1072" t="inlineStr">
        <is>
          <t>SÖDERMANLANDS LÄN</t>
        </is>
      </c>
      <c r="E1072" t="inlineStr">
        <is>
          <t>KATRINEHOLM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51397-2023</t>
        </is>
      </c>
      <c r="B1073" s="1" t="n">
        <v>45214</v>
      </c>
      <c r="C1073" s="1" t="n">
        <v>45705</v>
      </c>
      <c r="D1073" t="inlineStr">
        <is>
          <t>SÖDERMANLANDS LÄN</t>
        </is>
      </c>
      <c r="E1073" t="inlineStr">
        <is>
          <t>KATRINEHOLM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49917-2023</t>
        </is>
      </c>
      <c r="B1074" s="1" t="n">
        <v>45214</v>
      </c>
      <c r="C1074" s="1" t="n">
        <v>45705</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51399-2023</t>
        </is>
      </c>
      <c r="B1075" s="1" t="n">
        <v>45214</v>
      </c>
      <c r="C1075" s="1" t="n">
        <v>45705</v>
      </c>
      <c r="D1075" t="inlineStr">
        <is>
          <t>SÖDERMANLANDS LÄN</t>
        </is>
      </c>
      <c r="E1075" t="inlineStr">
        <is>
          <t>KATRINEHOLM</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49914-2023</t>
        </is>
      </c>
      <c r="B1076" s="1" t="n">
        <v>45214</v>
      </c>
      <c r="C1076" s="1" t="n">
        <v>45705</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50018-2023</t>
        </is>
      </c>
      <c r="B1077" s="1" t="n">
        <v>45215</v>
      </c>
      <c r="C1077" s="1" t="n">
        <v>45705</v>
      </c>
      <c r="D1077" t="inlineStr">
        <is>
          <t>SÖDERMANLANDS LÄN</t>
        </is>
      </c>
      <c r="E1077" t="inlineStr">
        <is>
          <t>KATRINEHOLM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50194-2023</t>
        </is>
      </c>
      <c r="B1078" s="1" t="n">
        <v>45215</v>
      </c>
      <c r="C1078" s="1" t="n">
        <v>45705</v>
      </c>
      <c r="D1078" t="inlineStr">
        <is>
          <t>SÖDERMANLANDS LÄN</t>
        </is>
      </c>
      <c r="E1078" t="inlineStr">
        <is>
          <t>KATRINEHOLM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50017-2023</t>
        </is>
      </c>
      <c r="B1079" s="1" t="n">
        <v>45215</v>
      </c>
      <c r="C1079" s="1" t="n">
        <v>45705</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50021-2023</t>
        </is>
      </c>
      <c r="B1080" s="1" t="n">
        <v>45215</v>
      </c>
      <c r="C1080" s="1" t="n">
        <v>45705</v>
      </c>
      <c r="D1080" t="inlineStr">
        <is>
          <t>SÖDERMANLANDS LÄN</t>
        </is>
      </c>
      <c r="E1080" t="inlineStr">
        <is>
          <t>KATRINEHOLM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50732-2023</t>
        </is>
      </c>
      <c r="B1081" s="1" t="n">
        <v>45217</v>
      </c>
      <c r="C1081" s="1" t="n">
        <v>45705</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51056-2023</t>
        </is>
      </c>
      <c r="B1082" s="1" t="n">
        <v>45218</v>
      </c>
      <c r="C1082" s="1" t="n">
        <v>45705</v>
      </c>
      <c r="D1082" t="inlineStr">
        <is>
          <t>SÖDERMANLANDS LÄN</t>
        </is>
      </c>
      <c r="E1082" t="inlineStr">
        <is>
          <t>KATRINEHOLM</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51446-2023</t>
        </is>
      </c>
      <c r="B1083" s="1" t="n">
        <v>45220</v>
      </c>
      <c r="C1083" s="1" t="n">
        <v>45705</v>
      </c>
      <c r="D1083" t="inlineStr">
        <is>
          <t>SÖDERMANLANDS LÄN</t>
        </is>
      </c>
      <c r="E1083" t="inlineStr">
        <is>
          <t>KATRINEHOLM</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51528-2023</t>
        </is>
      </c>
      <c r="B1084" s="1" t="n">
        <v>45222</v>
      </c>
      <c r="C1084" s="1" t="n">
        <v>45705</v>
      </c>
      <c r="D1084" t="inlineStr">
        <is>
          <t>SÖDERMANLANDS LÄN</t>
        </is>
      </c>
      <c r="E1084" t="inlineStr">
        <is>
          <t>KATRINEHOLM</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51530-2023</t>
        </is>
      </c>
      <c r="B1085" s="1" t="n">
        <v>45222</v>
      </c>
      <c r="C1085" s="1" t="n">
        <v>45705</v>
      </c>
      <c r="D1085" t="inlineStr">
        <is>
          <t>SÖDERMANLANDS LÄN</t>
        </is>
      </c>
      <c r="E1085" t="inlineStr">
        <is>
          <t>KATRINEHOLM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51923-2023</t>
        </is>
      </c>
      <c r="B1086" s="1" t="n">
        <v>45223</v>
      </c>
      <c r="C1086" s="1" t="n">
        <v>45705</v>
      </c>
      <c r="D1086" t="inlineStr">
        <is>
          <t>SÖDERMANLANDS LÄN</t>
        </is>
      </c>
      <c r="E1086" t="inlineStr">
        <is>
          <t>KATRINEHOLM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52658-2023</t>
        </is>
      </c>
      <c r="B1087" s="1" t="n">
        <v>45225</v>
      </c>
      <c r="C1087" s="1" t="n">
        <v>45705</v>
      </c>
      <c r="D1087" t="inlineStr">
        <is>
          <t>SÖDERMANLANDS LÄN</t>
        </is>
      </c>
      <c r="E1087" t="inlineStr">
        <is>
          <t>KATRINEHOLM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52806-2023</t>
        </is>
      </c>
      <c r="B1088" s="1" t="n">
        <v>45226</v>
      </c>
      <c r="C1088" s="1" t="n">
        <v>45705</v>
      </c>
      <c r="D1088" t="inlineStr">
        <is>
          <t>SÖDERMANLANDS LÄN</t>
        </is>
      </c>
      <c r="E1088" t="inlineStr">
        <is>
          <t>KATRINEHOLM</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52805-2023</t>
        </is>
      </c>
      <c r="B1089" s="1" t="n">
        <v>45226</v>
      </c>
      <c r="C1089" s="1" t="n">
        <v>45705</v>
      </c>
      <c r="D1089" t="inlineStr">
        <is>
          <t>SÖDERMANLANDS LÄN</t>
        </is>
      </c>
      <c r="E1089" t="inlineStr">
        <is>
          <t>KATRINEHOLM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52769-2023</t>
        </is>
      </c>
      <c r="B1090" s="1" t="n">
        <v>45226</v>
      </c>
      <c r="C1090" s="1" t="n">
        <v>45705</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52771-2023</t>
        </is>
      </c>
      <c r="B1091" s="1" t="n">
        <v>45226</v>
      </c>
      <c r="C1091" s="1" t="n">
        <v>45705</v>
      </c>
      <c r="D1091" t="inlineStr">
        <is>
          <t>SÖDERMANLANDS LÄN</t>
        </is>
      </c>
      <c r="E1091" t="inlineStr">
        <is>
          <t>KATRINEHOLM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52807-2023</t>
        </is>
      </c>
      <c r="B1092" s="1" t="n">
        <v>45226</v>
      </c>
      <c r="C1092" s="1" t="n">
        <v>45705</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53393-2023</t>
        </is>
      </c>
      <c r="B1093" s="1" t="n">
        <v>45229</v>
      </c>
      <c r="C1093" s="1" t="n">
        <v>45705</v>
      </c>
      <c r="D1093" t="inlineStr">
        <is>
          <t>SÖDERMANLANDS LÄN</t>
        </is>
      </c>
      <c r="E1093" t="inlineStr">
        <is>
          <t>KATRINEHOLM</t>
        </is>
      </c>
      <c r="F1093" t="inlineStr">
        <is>
          <t>Kyrkan</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53387-2023</t>
        </is>
      </c>
      <c r="B1094" s="1" t="n">
        <v>45229</v>
      </c>
      <c r="C1094" s="1" t="n">
        <v>45705</v>
      </c>
      <c r="D1094" t="inlineStr">
        <is>
          <t>SÖDERMANLANDS LÄN</t>
        </is>
      </c>
      <c r="E1094" t="inlineStr">
        <is>
          <t>KATRINEHOLM</t>
        </is>
      </c>
      <c r="F1094" t="inlineStr">
        <is>
          <t>Kyrkan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53162-2023</t>
        </is>
      </c>
      <c r="B1095" s="1" t="n">
        <v>45229</v>
      </c>
      <c r="C1095" s="1" t="n">
        <v>45705</v>
      </c>
      <c r="D1095" t="inlineStr">
        <is>
          <t>SÖDERMANLANDS LÄN</t>
        </is>
      </c>
      <c r="E1095" t="inlineStr">
        <is>
          <t>KATRINEHOLM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53722-2023</t>
        </is>
      </c>
      <c r="B1096" s="1" t="n">
        <v>45230</v>
      </c>
      <c r="C1096" s="1" t="n">
        <v>45705</v>
      </c>
      <c r="D1096" t="inlineStr">
        <is>
          <t>SÖDERMANLANDS LÄN</t>
        </is>
      </c>
      <c r="E1096" t="inlineStr">
        <is>
          <t>KATRINEHOLM</t>
        </is>
      </c>
      <c r="F1096" t="inlineStr">
        <is>
          <t>Allmännings- och besparingsskogar</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53715-2023</t>
        </is>
      </c>
      <c r="B1097" s="1" t="n">
        <v>45230</v>
      </c>
      <c r="C1097" s="1" t="n">
        <v>45705</v>
      </c>
      <c r="D1097" t="inlineStr">
        <is>
          <t>SÖDERMANLANDS LÄN</t>
        </is>
      </c>
      <c r="E1097" t="inlineStr">
        <is>
          <t>KATRINEHOLM</t>
        </is>
      </c>
      <c r="F1097" t="inlineStr">
        <is>
          <t>Allmännings- och besparingsskogar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53691-2023</t>
        </is>
      </c>
      <c r="B1098" s="1" t="n">
        <v>45230</v>
      </c>
      <c r="C1098" s="1" t="n">
        <v>45705</v>
      </c>
      <c r="D1098" t="inlineStr">
        <is>
          <t>SÖDERMANLANDS LÄN</t>
        </is>
      </c>
      <c r="E1098" t="inlineStr">
        <is>
          <t>KATRINEHOLM</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53843-2023</t>
        </is>
      </c>
      <c r="B1099" s="1" t="n">
        <v>45230</v>
      </c>
      <c r="C1099" s="1" t="n">
        <v>45705</v>
      </c>
      <c r="D1099" t="inlineStr">
        <is>
          <t>SÖDERMANLANDS LÄN</t>
        </is>
      </c>
      <c r="E1099" t="inlineStr">
        <is>
          <t>KATRINEHOLM</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53527-2023</t>
        </is>
      </c>
      <c r="B1100" s="1" t="n">
        <v>45230</v>
      </c>
      <c r="C1100" s="1" t="n">
        <v>45705</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53822-2023</t>
        </is>
      </c>
      <c r="B1101" s="1" t="n">
        <v>45231</v>
      </c>
      <c r="C1101" s="1" t="n">
        <v>45705</v>
      </c>
      <c r="D1101" t="inlineStr">
        <is>
          <t>SÖDERMANLANDS LÄN</t>
        </is>
      </c>
      <c r="E1101" t="inlineStr">
        <is>
          <t>KATRINEHOLM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53819-2023</t>
        </is>
      </c>
      <c r="B1102" s="1" t="n">
        <v>45231</v>
      </c>
      <c r="C1102" s="1" t="n">
        <v>45705</v>
      </c>
      <c r="D1102" t="inlineStr">
        <is>
          <t>SÖDERMANLANDS LÄN</t>
        </is>
      </c>
      <c r="E1102" t="inlineStr">
        <is>
          <t>KATRINEHOLM</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53996-2023</t>
        </is>
      </c>
      <c r="B1103" s="1" t="n">
        <v>45231</v>
      </c>
      <c r="C1103" s="1" t="n">
        <v>45705</v>
      </c>
      <c r="D1103" t="inlineStr">
        <is>
          <t>SÖDERMANLANDS LÄN</t>
        </is>
      </c>
      <c r="E1103" t="inlineStr">
        <is>
          <t>KATRINEHOLM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53990-2023</t>
        </is>
      </c>
      <c r="B1104" s="1" t="n">
        <v>45231</v>
      </c>
      <c r="C1104" s="1" t="n">
        <v>45705</v>
      </c>
      <c r="D1104" t="inlineStr">
        <is>
          <t>SÖDERMANLANDS LÄN</t>
        </is>
      </c>
      <c r="E1104" t="inlineStr">
        <is>
          <t>KATRINEHOLM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45705</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45705</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45705</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45705</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45705</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45705</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45705</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45705</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45705</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45705</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45705</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45705</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45705</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45705</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45705</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45705</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45705</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45705</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45705</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45705</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45705</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45705</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45705</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45705</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45705</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45705</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45705</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45705</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45705</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45705</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45705</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45705</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45705</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45705</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45705</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45705</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45705</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45705</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45705</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45705</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45705</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45705</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45705</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45705</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45705</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45705</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45705</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45705</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45705</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45705</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45705</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45705</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45705</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45705</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45705</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45705</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45705</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45705</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45705</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45705</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45705</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45705</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45705</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45705</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45705</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45705</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45705</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45705</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45705</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45705</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45705</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45705</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45705</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45705</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45705</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45705</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45705</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45705</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45705</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45705</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45705</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45705</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45705</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45705</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45705</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45705</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45705</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45705</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45705</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45705</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45705</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45705</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45705</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45705</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45705</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45705</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45705</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45705</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45705</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45705</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45705</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45705</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45705</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45705</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45705</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45705</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45705</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45705</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45705</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45705</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45705</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45705</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45705</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45705</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45705</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45705</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45705</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45705</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45705</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45705</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45705</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45705</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45705</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45705</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45705</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45705</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45705</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45705</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45705</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45705</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45705</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45705</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45705</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45705</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45705</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45705</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45705</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45705</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45705</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45705</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45705</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45705</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45705</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45705</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45705</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45705</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45705</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45705</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45705</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45705</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45705</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45705</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45705</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45705</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45705</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45705</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45705</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45705</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45705</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45705</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45705</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45705</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45705</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45705</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45705</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45705</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45705</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45705</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45705</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45705</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45705</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45705</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45705</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45705</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45705</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45705</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45705</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45705</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45705</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45705</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45705</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45705</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45705</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45705</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45705</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45705</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45705</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45705</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45705</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45705</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45705</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45705</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45705</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45705</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45705</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45705</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45705</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45705</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45705</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45705</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45705</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45705</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45705</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45705</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45705</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45705</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45705</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45705</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45705</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45705</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45705</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45705</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45705</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45705</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45705</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45705</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45705</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45705</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45705</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45705</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45705</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45705</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45705</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45705</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45705</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45705</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45705</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45705</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45705</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45705</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45705</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45705</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45705</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45705</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45705</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45705</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45705</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45705</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45705</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45705</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45705</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45705</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45705</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45705</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45705</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45705</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45705</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45705</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45705</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45705</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45705</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45705</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45705</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45705</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45705</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45705</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45705</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45705</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45705</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45705</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45705</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45705</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45705</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45705</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45705</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45705</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45705</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45705</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45705</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45705</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45705</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45705</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45705</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45705</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45705</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45705</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45705</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45705</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45705</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45705</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45705</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45705</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45705</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45705</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45705</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45705</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45705</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45705</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45705</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45705</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45705</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45705</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45705</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45705</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45705</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45705</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45705</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45705</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45705</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45705</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45705</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45705</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2970-2025</t>
        </is>
      </c>
      <c r="B1407" s="1" t="n">
        <v>45678</v>
      </c>
      <c r="C1407" s="1" t="n">
        <v>45705</v>
      </c>
      <c r="D1407" t="inlineStr">
        <is>
          <t>SÖDERMANLANDS LÄN</t>
        </is>
      </c>
      <c r="E1407" t="inlineStr">
        <is>
          <t>KATRINEHOLM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3090-2025</t>
        </is>
      </c>
      <c r="B1408" s="1" t="n">
        <v>45678</v>
      </c>
      <c r="C1408" s="1" t="n">
        <v>45705</v>
      </c>
      <c r="D1408" t="inlineStr">
        <is>
          <t>SÖDERMANLANDS LÄN</t>
        </is>
      </c>
      <c r="E1408" t="inlineStr">
        <is>
          <t>KATRINEHOLM</t>
        </is>
      </c>
      <c r="F1408" t="inlineStr">
        <is>
          <t>Kyrkan</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2973-2025</t>
        </is>
      </c>
      <c r="B1409" s="1" t="n">
        <v>45678</v>
      </c>
      <c r="C1409" s="1" t="n">
        <v>45705</v>
      </c>
      <c r="D1409" t="inlineStr">
        <is>
          <t>SÖDERMANLANDS LÄN</t>
        </is>
      </c>
      <c r="E1409" t="inlineStr">
        <is>
          <t>KATRINEHOLM</t>
        </is>
      </c>
      <c r="F1409" t="inlineStr">
        <is>
          <t>Övriga Aktiebolag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45705</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45705</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45705</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45705</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45705</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5320-2025</t>
        </is>
      </c>
      <c r="B1415" s="1" t="n">
        <v>45692</v>
      </c>
      <c r="C1415" s="1" t="n">
        <v>45705</v>
      </c>
      <c r="D1415" t="inlineStr">
        <is>
          <t>SÖDERMANLANDS LÄN</t>
        </is>
      </c>
      <c r="E1415" t="inlineStr">
        <is>
          <t>KATRINEHOLM</t>
        </is>
      </c>
      <c r="F1415" t="inlineStr">
        <is>
          <t>Kommuner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45705</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45705</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45705</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5833-2025</t>
        </is>
      </c>
      <c r="B1419" s="1" t="n">
        <v>45694</v>
      </c>
      <c r="C1419" s="1" t="n">
        <v>45705</v>
      </c>
      <c r="D1419" t="inlineStr">
        <is>
          <t>SÖDERMANLANDS LÄN</t>
        </is>
      </c>
      <c r="E1419" t="inlineStr">
        <is>
          <t>KATRINEHOLM</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5834-2025</t>
        </is>
      </c>
      <c r="B1420" s="1" t="n">
        <v>45694</v>
      </c>
      <c r="C1420" s="1" t="n">
        <v>45705</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6091-2025</t>
        </is>
      </c>
      <c r="B1421" s="1" t="n">
        <v>45697</v>
      </c>
      <c r="C1421" s="1" t="n">
        <v>45705</v>
      </c>
      <c r="D1421" t="inlineStr">
        <is>
          <t>SÖDERMANLANDS LÄN</t>
        </is>
      </c>
      <c r="E1421" t="inlineStr">
        <is>
          <t>KATRINEHOLM</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45705</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45705</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45705</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45705</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c r="A1426" t="inlineStr">
        <is>
          <t>A 6762-2025</t>
        </is>
      </c>
      <c r="B1426" s="1" t="n">
        <v>45700</v>
      </c>
      <c r="C1426" s="1" t="n">
        <v>45705</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2025-02-17T16:36:48Z</dcterms:created>
  <dcterms:modified xmlns:dcterms="http://purl.org/dc/terms/" xmlns:xsi="http://www.w3.org/2001/XMLSchema-instance" xsi:type="dcterms:W3CDTF">2025-02-17T16:36:49Z</dcterms:modified>
</cp:coreProperties>
</file>