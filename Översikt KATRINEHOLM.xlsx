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45983</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45983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45983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45983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45983</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45983</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45983</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45983</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45983</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45983</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45983</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45983</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24718-2025</t>
        </is>
      </c>
      <c r="B25" s="1" t="n">
        <v>45799</v>
      </c>
      <c r="C25" s="1" t="n">
        <v>45983</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14858-2023</t>
        </is>
      </c>
      <c r="B26" s="1" t="n">
        <v>45014</v>
      </c>
      <c r="C26" s="1" t="n">
        <v>45983</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70501-2021</t>
        </is>
      </c>
      <c r="B27" s="1" t="n">
        <v>44536</v>
      </c>
      <c r="C27" s="1" t="n">
        <v>45983</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45983</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1150-2025</t>
        </is>
      </c>
      <c r="B29" s="1" t="n">
        <v>45666</v>
      </c>
      <c r="C29" s="1" t="n">
        <v>45983</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45983</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45983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45983</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11890-2023</t>
        </is>
      </c>
      <c r="B37" s="1" t="n">
        <v>44995</v>
      </c>
      <c r="C37" s="1" t="n">
        <v>45983</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56074-2022</t>
        </is>
      </c>
      <c r="B38" s="1" t="n">
        <v>44889</v>
      </c>
      <c r="C38" s="1" t="n">
        <v>45983</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42055-2025</t>
        </is>
      </c>
      <c r="B39" s="1" t="n">
        <v>45903</v>
      </c>
      <c r="C39" s="1" t="n">
        <v>45983</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45983</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16458-2022</t>
        </is>
      </c>
      <c r="B41" s="1" t="n">
        <v>44671</v>
      </c>
      <c r="C41" s="1" t="n">
        <v>45983</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45983</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41980-2025</t>
        </is>
      </c>
      <c r="B43" s="1" t="n">
        <v>45903</v>
      </c>
      <c r="C43" s="1" t="n">
        <v>45983</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35163-2025</t>
        </is>
      </c>
      <c r="B44" s="1" t="n">
        <v>45852.71136574074</v>
      </c>
      <c r="C44" s="1" t="n">
        <v>45983</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45983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45983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55700-2025</t>
        </is>
      </c>
      <c r="B47" s="1" t="n">
        <v>45972.45605324074</v>
      </c>
      <c r="C47" s="1" t="n">
        <v>45983</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44632-2023</t>
        </is>
      </c>
      <c r="B48" s="1" t="n">
        <v>45184</v>
      </c>
      <c r="C48" s="1" t="n">
        <v>45983</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48199-2025</t>
        </is>
      </c>
      <c r="B49" s="1" t="n">
        <v>45933.47856481482</v>
      </c>
      <c r="C49" s="1" t="n">
        <v>45983</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33801-2023</t>
        </is>
      </c>
      <c r="B50" s="1" t="n">
        <v>45133</v>
      </c>
      <c r="C50" s="1" t="n">
        <v>45983</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45983</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45983</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45983</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45983</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45983</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45983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45983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45983</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45983</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45983</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45983</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45983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45983</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45983</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45983</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45983</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45983</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45983</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45983</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45983</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45983</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45983</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45983</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45983</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45983</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45983</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45983</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45983</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45983</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45983</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45983</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45983</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45983</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45983</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45983</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45983</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45983</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45983</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45983</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45983</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45983</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45983</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45983</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45983</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45983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45983</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45983</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45983</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45983</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45983</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45983</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45983</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45983</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45983</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45983</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45983</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45983</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45983</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45983</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45983</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45983</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45983</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45983</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45983</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45983</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45983</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45983</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45983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31836-2021</t>
        </is>
      </c>
      <c r="B122" s="1" t="n">
        <v>44370.40364583334</v>
      </c>
      <c r="C122" s="1" t="n">
        <v>45983</v>
      </c>
      <c r="D122" t="inlineStr">
        <is>
          <t>SÖDERMANLANDS LÄN</t>
        </is>
      </c>
      <c r="E122" t="inlineStr">
        <is>
          <t>KATRINEHOLM</t>
        </is>
      </c>
      <c r="G122" t="n">
        <v>1.2</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45983</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45983</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45983</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45983</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45983</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45983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45983</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45983</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45983</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45983</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45983</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45983</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45983</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45983</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45983</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45983</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45983</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45983</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45983</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45983</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45983</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45983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45983</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45983</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45983</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45983</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45983</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45983</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45983</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45983</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45983</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45983</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45983</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45983</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45983</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45983</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45983</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45983</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45983</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45983</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45983</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44872.57288194444</v>
      </c>
      <c r="C168" s="1" t="n">
        <v>45983</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43967-2022</t>
        </is>
      </c>
      <c r="B169" s="1" t="n">
        <v>44837</v>
      </c>
      <c r="C169" s="1" t="n">
        <v>45983</v>
      </c>
      <c r="D169" t="inlineStr">
        <is>
          <t>SÖDERMANLANDS LÄN</t>
        </is>
      </c>
      <c r="E169" t="inlineStr">
        <is>
          <t>KATRINEHOLM</t>
        </is>
      </c>
      <c r="G169" t="n">
        <v>6.2</v>
      </c>
      <c r="H169" t="n">
        <v>0</v>
      </c>
      <c r="I169" t="n">
        <v>0</v>
      </c>
      <c r="J169" t="n">
        <v>0</v>
      </c>
      <c r="K169" t="n">
        <v>0</v>
      </c>
      <c r="L169" t="n">
        <v>0</v>
      </c>
      <c r="M169" t="n">
        <v>0</v>
      </c>
      <c r="N169" t="n">
        <v>0</v>
      </c>
      <c r="O169" t="n">
        <v>0</v>
      </c>
      <c r="P169" t="n">
        <v>0</v>
      </c>
      <c r="Q169" t="n">
        <v>0</v>
      </c>
      <c r="R169" s="2" t="inlineStr"/>
    </row>
    <row r="170" ht="15" customHeight="1">
      <c r="A170" t="inlineStr">
        <is>
          <t>A 44012-2022</t>
        </is>
      </c>
      <c r="B170" s="1" t="n">
        <v>44838</v>
      </c>
      <c r="C170" s="1" t="n">
        <v>45983</v>
      </c>
      <c r="D170" t="inlineStr">
        <is>
          <t>SÖDERMANLANDS LÄN</t>
        </is>
      </c>
      <c r="E170" t="inlineStr">
        <is>
          <t>KATRINEHOLM</t>
        </is>
      </c>
      <c r="G170" t="n">
        <v>0.4</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45983</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45983</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45983</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45983</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45983</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33753-2022</t>
        </is>
      </c>
      <c r="B176" s="1" t="n">
        <v>44789</v>
      </c>
      <c r="C176" s="1" t="n">
        <v>45983</v>
      </c>
      <c r="D176" t="inlineStr">
        <is>
          <t>SÖDERMANLANDS LÄN</t>
        </is>
      </c>
      <c r="E176" t="inlineStr">
        <is>
          <t>KATRINEHOLM</t>
        </is>
      </c>
      <c r="G176" t="n">
        <v>4.9</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45983</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45983</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45983</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45983</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45983</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45983</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45983</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45983</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45983</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45983</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45983</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45983</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45983</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45983</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45983</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45983</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24098-2022</t>
        </is>
      </c>
      <c r="B194" s="1" t="n">
        <v>44725</v>
      </c>
      <c r="C194" s="1" t="n">
        <v>45983</v>
      </c>
      <c r="D194" t="inlineStr">
        <is>
          <t>SÖDERMANLANDS LÄN</t>
        </is>
      </c>
      <c r="E194" t="inlineStr">
        <is>
          <t>KATRINEHOLM</t>
        </is>
      </c>
      <c r="G194" t="n">
        <v>1.9</v>
      </c>
      <c r="H194" t="n">
        <v>0</v>
      </c>
      <c r="I194" t="n">
        <v>0</v>
      </c>
      <c r="J194" t="n">
        <v>0</v>
      </c>
      <c r="K194" t="n">
        <v>0</v>
      </c>
      <c r="L194" t="n">
        <v>0</v>
      </c>
      <c r="M194" t="n">
        <v>0</v>
      </c>
      <c r="N194" t="n">
        <v>0</v>
      </c>
      <c r="O194" t="n">
        <v>0</v>
      </c>
      <c r="P194" t="n">
        <v>0</v>
      </c>
      <c r="Q194" t="n">
        <v>0</v>
      </c>
      <c r="R194" s="2" t="inlineStr"/>
    </row>
    <row r="195" ht="15" customHeight="1">
      <c r="A195" t="inlineStr">
        <is>
          <t>A 32733-2021</t>
        </is>
      </c>
      <c r="B195" s="1" t="n">
        <v>44375</v>
      </c>
      <c r="C195" s="1" t="n">
        <v>45983</v>
      </c>
      <c r="D195" t="inlineStr">
        <is>
          <t>SÖDERMANLANDS LÄN</t>
        </is>
      </c>
      <c r="E195" t="inlineStr">
        <is>
          <t>KATRINEHOLM</t>
        </is>
      </c>
      <c r="G195" t="n">
        <v>9</v>
      </c>
      <c r="H195" t="n">
        <v>0</v>
      </c>
      <c r="I195" t="n">
        <v>0</v>
      </c>
      <c r="J195" t="n">
        <v>0</v>
      </c>
      <c r="K195" t="n">
        <v>0</v>
      </c>
      <c r="L195" t="n">
        <v>0</v>
      </c>
      <c r="M195" t="n">
        <v>0</v>
      </c>
      <c r="N195" t="n">
        <v>0</v>
      </c>
      <c r="O195" t="n">
        <v>0</v>
      </c>
      <c r="P195" t="n">
        <v>0</v>
      </c>
      <c r="Q195" t="n">
        <v>0</v>
      </c>
      <c r="R195" s="2" t="inlineStr"/>
      <c r="U195">
        <f>HYPERLINK("https://klasma.github.io/Logging_0483/knärot/A 32733-2021 karta knärot.png", "A 32733-2021")</f>
        <v/>
      </c>
      <c r="V195">
        <f>HYPERLINK("https://klasma.github.io/Logging_0483/klagomål/A 32733-2021 FSC-klagomål.docx", "A 32733-2021")</f>
        <v/>
      </c>
      <c r="W195">
        <f>HYPERLINK("https://klasma.github.io/Logging_0483/klagomålsmail/A 32733-2021 FSC-klagomål mail.docx", "A 32733-2021")</f>
        <v/>
      </c>
      <c r="X195">
        <f>HYPERLINK("https://klasma.github.io/Logging_0483/tillsyn/A 32733-2021 tillsynsbegäran.docx", "A 32733-2021")</f>
        <v/>
      </c>
      <c r="Y195">
        <f>HYPERLINK("https://klasma.github.io/Logging_0483/tillsynsmail/A 32733-2021 tillsynsbegäran mail.docx", "A 32733-2021")</f>
        <v/>
      </c>
    </row>
    <row r="196" ht="15" customHeight="1">
      <c r="A196" t="inlineStr">
        <is>
          <t>A 12760-2021</t>
        </is>
      </c>
      <c r="B196" s="1" t="n">
        <v>44270</v>
      </c>
      <c r="C196" s="1" t="n">
        <v>45983</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45983</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34040-2022</t>
        </is>
      </c>
      <c r="B198" s="1" t="n">
        <v>44790</v>
      </c>
      <c r="C198" s="1" t="n">
        <v>45983</v>
      </c>
      <c r="D198" t="inlineStr">
        <is>
          <t>SÖDERMANLANDS LÄN</t>
        </is>
      </c>
      <c r="E198" t="inlineStr">
        <is>
          <t>KATRINEHOLM</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65162-2021</t>
        </is>
      </c>
      <c r="B199" s="1" t="n">
        <v>44512</v>
      </c>
      <c r="C199" s="1" t="n">
        <v>45983</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45983</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45983</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30567-2022</t>
        </is>
      </c>
      <c r="B202" s="1" t="n">
        <v>44762</v>
      </c>
      <c r="C202" s="1" t="n">
        <v>45983</v>
      </c>
      <c r="D202" t="inlineStr">
        <is>
          <t>SÖDERMANLANDS LÄN</t>
        </is>
      </c>
      <c r="E202" t="inlineStr">
        <is>
          <t>KATRINEHOLM</t>
        </is>
      </c>
      <c r="F202" t="inlineStr">
        <is>
          <t>Övriga Aktiebolag</t>
        </is>
      </c>
      <c r="G202" t="n">
        <v>0.5</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45983</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45983</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7705-2021</t>
        </is>
      </c>
      <c r="B205" s="1" t="n">
        <v>44242</v>
      </c>
      <c r="C205" s="1" t="n">
        <v>45983</v>
      </c>
      <c r="D205" t="inlineStr">
        <is>
          <t>SÖDERMANLANDS LÄN</t>
        </is>
      </c>
      <c r="E205" t="inlineStr">
        <is>
          <t>KATRINEHOLM</t>
        </is>
      </c>
      <c r="F205" t="inlineStr">
        <is>
          <t>Allmännings- och besparingsskogar</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45983</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46569-2022</t>
        </is>
      </c>
      <c r="B207" s="1" t="n">
        <v>44847</v>
      </c>
      <c r="C207" s="1" t="n">
        <v>45983</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45983</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6091-2025</t>
        </is>
      </c>
      <c r="B209" s="1" t="n">
        <v>45697</v>
      </c>
      <c r="C209" s="1" t="n">
        <v>45983</v>
      </c>
      <c r="D209" t="inlineStr">
        <is>
          <t>SÖDERMANLANDS LÄN</t>
        </is>
      </c>
      <c r="E209" t="inlineStr">
        <is>
          <t>KATRINEHOLM</t>
        </is>
      </c>
      <c r="G209" t="n">
        <v>2.4</v>
      </c>
      <c r="H209" t="n">
        <v>0</v>
      </c>
      <c r="I209" t="n">
        <v>0</v>
      </c>
      <c r="J209" t="n">
        <v>0</v>
      </c>
      <c r="K209" t="n">
        <v>0</v>
      </c>
      <c r="L209" t="n">
        <v>0</v>
      </c>
      <c r="M209" t="n">
        <v>0</v>
      </c>
      <c r="N209" t="n">
        <v>0</v>
      </c>
      <c r="O209" t="n">
        <v>0</v>
      </c>
      <c r="P209" t="n">
        <v>0</v>
      </c>
      <c r="Q209" t="n">
        <v>0</v>
      </c>
      <c r="R209" s="2" t="inlineStr"/>
    </row>
    <row r="210" ht="15" customHeight="1">
      <c r="A210" t="inlineStr">
        <is>
          <t>A 6093-2025</t>
        </is>
      </c>
      <c r="B210" s="1" t="n">
        <v>45697</v>
      </c>
      <c r="C210" s="1" t="n">
        <v>45983</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41966-2023</t>
        </is>
      </c>
      <c r="B211" s="1" t="n">
        <v>45177</v>
      </c>
      <c r="C211" s="1" t="n">
        <v>45983</v>
      </c>
      <c r="D211" t="inlineStr">
        <is>
          <t>SÖDERMANLANDS LÄN</t>
        </is>
      </c>
      <c r="E211" t="inlineStr">
        <is>
          <t>KATRINEHOLM</t>
        </is>
      </c>
      <c r="G211" t="n">
        <v>36.9</v>
      </c>
      <c r="H211" t="n">
        <v>0</v>
      </c>
      <c r="I211" t="n">
        <v>0</v>
      </c>
      <c r="J211" t="n">
        <v>0</v>
      </c>
      <c r="K211" t="n">
        <v>0</v>
      </c>
      <c r="L211" t="n">
        <v>0</v>
      </c>
      <c r="M211" t="n">
        <v>0</v>
      </c>
      <c r="N211" t="n">
        <v>0</v>
      </c>
      <c r="O211" t="n">
        <v>0</v>
      </c>
      <c r="P211" t="n">
        <v>0</v>
      </c>
      <c r="Q211" t="n">
        <v>0</v>
      </c>
      <c r="R211" s="2" t="inlineStr"/>
    </row>
    <row r="212" ht="15" customHeight="1">
      <c r="A212" t="inlineStr">
        <is>
          <t>A 36210-2022</t>
        </is>
      </c>
      <c r="B212" s="1" t="n">
        <v>44803.47950231482</v>
      </c>
      <c r="C212" s="1" t="n">
        <v>45983</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48682-2022</t>
        </is>
      </c>
      <c r="B213" s="1" t="n">
        <v>44859</v>
      </c>
      <c r="C213" s="1" t="n">
        <v>45983</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3090-2025</t>
        </is>
      </c>
      <c r="B214" s="1" t="n">
        <v>45678</v>
      </c>
      <c r="C214" s="1" t="n">
        <v>45983</v>
      </c>
      <c r="D214" t="inlineStr">
        <is>
          <t>SÖDERMANLANDS LÄN</t>
        </is>
      </c>
      <c r="E214" t="inlineStr">
        <is>
          <t>KATRINEHOLM</t>
        </is>
      </c>
      <c r="F214" t="inlineStr">
        <is>
          <t>Kyrkan</t>
        </is>
      </c>
      <c r="G214" t="n">
        <v>6.9</v>
      </c>
      <c r="H214" t="n">
        <v>0</v>
      </c>
      <c r="I214" t="n">
        <v>0</v>
      </c>
      <c r="J214" t="n">
        <v>0</v>
      </c>
      <c r="K214" t="n">
        <v>0</v>
      </c>
      <c r="L214" t="n">
        <v>0</v>
      </c>
      <c r="M214" t="n">
        <v>0</v>
      </c>
      <c r="N214" t="n">
        <v>0</v>
      </c>
      <c r="O214" t="n">
        <v>0</v>
      </c>
      <c r="P214" t="n">
        <v>0</v>
      </c>
      <c r="Q214" t="n">
        <v>0</v>
      </c>
      <c r="R214" s="2" t="inlineStr"/>
    </row>
    <row r="215" ht="15" customHeight="1">
      <c r="A215" t="inlineStr">
        <is>
          <t>A 35188-2022</t>
        </is>
      </c>
      <c r="B215" s="1" t="n">
        <v>44797</v>
      </c>
      <c r="C215" s="1" t="n">
        <v>45983</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17246-2024</t>
        </is>
      </c>
      <c r="B216" s="1" t="n">
        <v>45414</v>
      </c>
      <c r="C216" s="1" t="n">
        <v>45983</v>
      </c>
      <c r="D216" t="inlineStr">
        <is>
          <t>SÖDERMANLANDS LÄN</t>
        </is>
      </c>
      <c r="E216" t="inlineStr">
        <is>
          <t>KATRINEHOLM</t>
        </is>
      </c>
      <c r="F216" t="inlineStr">
        <is>
          <t>Allmännings- och besparingsskogar</t>
        </is>
      </c>
      <c r="G216" t="n">
        <v>13.7</v>
      </c>
      <c r="H216" t="n">
        <v>0</v>
      </c>
      <c r="I216" t="n">
        <v>0</v>
      </c>
      <c r="J216" t="n">
        <v>0</v>
      </c>
      <c r="K216" t="n">
        <v>0</v>
      </c>
      <c r="L216" t="n">
        <v>0</v>
      </c>
      <c r="M216" t="n">
        <v>0</v>
      </c>
      <c r="N216" t="n">
        <v>0</v>
      </c>
      <c r="O216" t="n">
        <v>0</v>
      </c>
      <c r="P216" t="n">
        <v>0</v>
      </c>
      <c r="Q216" t="n">
        <v>0</v>
      </c>
      <c r="R216" s="2" t="inlineStr"/>
    </row>
    <row r="217" ht="15" customHeight="1">
      <c r="A217" t="inlineStr">
        <is>
          <t>A 9693-2024</t>
        </is>
      </c>
      <c r="B217" s="1" t="n">
        <v>45362</v>
      </c>
      <c r="C217" s="1" t="n">
        <v>45983</v>
      </c>
      <c r="D217" t="inlineStr">
        <is>
          <t>SÖDERMANLANDS LÄN</t>
        </is>
      </c>
      <c r="E217" t="inlineStr">
        <is>
          <t>KATRINEHOLM</t>
        </is>
      </c>
      <c r="G217" t="n">
        <v>5.9</v>
      </c>
      <c r="H217" t="n">
        <v>0</v>
      </c>
      <c r="I217" t="n">
        <v>0</v>
      </c>
      <c r="J217" t="n">
        <v>0</v>
      </c>
      <c r="K217" t="n">
        <v>0</v>
      </c>
      <c r="L217" t="n">
        <v>0</v>
      </c>
      <c r="M217" t="n">
        <v>0</v>
      </c>
      <c r="N217" t="n">
        <v>0</v>
      </c>
      <c r="O217" t="n">
        <v>0</v>
      </c>
      <c r="P217" t="n">
        <v>0</v>
      </c>
      <c r="Q217" t="n">
        <v>0</v>
      </c>
      <c r="R217" s="2" t="inlineStr"/>
    </row>
    <row r="218" ht="15" customHeight="1">
      <c r="A218" t="inlineStr">
        <is>
          <t>A 43964-2022</t>
        </is>
      </c>
      <c r="B218" s="1" t="n">
        <v>44837</v>
      </c>
      <c r="C218" s="1" t="n">
        <v>45983</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45983</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53722-2023</t>
        </is>
      </c>
      <c r="B220" s="1" t="n">
        <v>45230</v>
      </c>
      <c r="C220" s="1" t="n">
        <v>45983</v>
      </c>
      <c r="D220" t="inlineStr">
        <is>
          <t>SÖDERMANLANDS LÄN</t>
        </is>
      </c>
      <c r="E220" t="inlineStr">
        <is>
          <t>KATRINEHOLM</t>
        </is>
      </c>
      <c r="F220" t="inlineStr">
        <is>
          <t>Allmännings- och besparingsskogar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42015-2022</t>
        </is>
      </c>
      <c r="B221" s="1" t="n">
        <v>44830.4649074074</v>
      </c>
      <c r="C221" s="1" t="n">
        <v>45983</v>
      </c>
      <c r="D221" t="inlineStr">
        <is>
          <t>SÖDERMANLANDS LÄN</t>
        </is>
      </c>
      <c r="E221" t="inlineStr">
        <is>
          <t>KATRINEHOLM</t>
        </is>
      </c>
      <c r="G221" t="n">
        <v>3.8</v>
      </c>
      <c r="H221" t="n">
        <v>0</v>
      </c>
      <c r="I221" t="n">
        <v>0</v>
      </c>
      <c r="J221" t="n">
        <v>0</v>
      </c>
      <c r="K221" t="n">
        <v>0</v>
      </c>
      <c r="L221" t="n">
        <v>0</v>
      </c>
      <c r="M221" t="n">
        <v>0</v>
      </c>
      <c r="N221" t="n">
        <v>0</v>
      </c>
      <c r="O221" t="n">
        <v>0</v>
      </c>
      <c r="P221" t="n">
        <v>0</v>
      </c>
      <c r="Q221" t="n">
        <v>0</v>
      </c>
      <c r="R221" s="2" t="inlineStr"/>
    </row>
    <row r="222" ht="15" customHeight="1">
      <c r="A222" t="inlineStr">
        <is>
          <t>A 42020-2022</t>
        </is>
      </c>
      <c r="B222" s="1" t="n">
        <v>44830.46849537037</v>
      </c>
      <c r="C222" s="1" t="n">
        <v>45983</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55846-2022</t>
        </is>
      </c>
      <c r="B223" s="1" t="n">
        <v>44888</v>
      </c>
      <c r="C223" s="1" t="n">
        <v>45983</v>
      </c>
      <c r="D223" t="inlineStr">
        <is>
          <t>SÖDERMANLANDS LÄN</t>
        </is>
      </c>
      <c r="E223" t="inlineStr">
        <is>
          <t>KATRINEHOLM</t>
        </is>
      </c>
      <c r="G223" t="n">
        <v>6.5</v>
      </c>
      <c r="H223" t="n">
        <v>0</v>
      </c>
      <c r="I223" t="n">
        <v>0</v>
      </c>
      <c r="J223" t="n">
        <v>0</v>
      </c>
      <c r="K223" t="n">
        <v>0</v>
      </c>
      <c r="L223" t="n">
        <v>0</v>
      </c>
      <c r="M223" t="n">
        <v>0</v>
      </c>
      <c r="N223" t="n">
        <v>0</v>
      </c>
      <c r="O223" t="n">
        <v>0</v>
      </c>
      <c r="P223" t="n">
        <v>0</v>
      </c>
      <c r="Q223" t="n">
        <v>0</v>
      </c>
      <c r="R223" s="2" t="inlineStr"/>
    </row>
    <row r="224" ht="15" customHeight="1">
      <c r="A224" t="inlineStr">
        <is>
          <t>A 64657-2020</t>
        </is>
      </c>
      <c r="B224" s="1" t="n">
        <v>44169</v>
      </c>
      <c r="C224" s="1" t="n">
        <v>45983</v>
      </c>
      <c r="D224" t="inlineStr">
        <is>
          <t>SÖDERMANLANDS LÄN</t>
        </is>
      </c>
      <c r="E224" t="inlineStr">
        <is>
          <t>KATRINEHOLM</t>
        </is>
      </c>
      <c r="F224" t="inlineStr">
        <is>
          <t>Kyrkan</t>
        </is>
      </c>
      <c r="G224" t="n">
        <v>7.6</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45983</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45983</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32943-2024</t>
        </is>
      </c>
      <c r="B227" s="1" t="n">
        <v>45517</v>
      </c>
      <c r="C227" s="1" t="n">
        <v>45983</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45983</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22119-2025</t>
        </is>
      </c>
      <c r="B229" s="1" t="n">
        <v>45785</v>
      </c>
      <c r="C229" s="1" t="n">
        <v>45983</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56661-2021</t>
        </is>
      </c>
      <c r="B230" s="1" t="n">
        <v>44481.24327546296</v>
      </c>
      <c r="C230" s="1" t="n">
        <v>45983</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28394-2023</t>
        </is>
      </c>
      <c r="B231" s="1" t="n">
        <v>45100</v>
      </c>
      <c r="C231" s="1" t="n">
        <v>45983</v>
      </c>
      <c r="D231" t="inlineStr">
        <is>
          <t>SÖDERMANLANDS LÄN</t>
        </is>
      </c>
      <c r="E231" t="inlineStr">
        <is>
          <t>KATRINEHOLM</t>
        </is>
      </c>
      <c r="G231" t="n">
        <v>4.2</v>
      </c>
      <c r="H231" t="n">
        <v>0</v>
      </c>
      <c r="I231" t="n">
        <v>0</v>
      </c>
      <c r="J231" t="n">
        <v>0</v>
      </c>
      <c r="K231" t="n">
        <v>0</v>
      </c>
      <c r="L231" t="n">
        <v>0</v>
      </c>
      <c r="M231" t="n">
        <v>0</v>
      </c>
      <c r="N231" t="n">
        <v>0</v>
      </c>
      <c r="O231" t="n">
        <v>0</v>
      </c>
      <c r="P231" t="n">
        <v>0</v>
      </c>
      <c r="Q231" t="n">
        <v>0</v>
      </c>
      <c r="R231" s="2" t="inlineStr"/>
    </row>
    <row r="232" ht="15" customHeight="1">
      <c r="A232" t="inlineStr">
        <is>
          <t>A 4122-2023</t>
        </is>
      </c>
      <c r="B232" s="1" t="n">
        <v>44952</v>
      </c>
      <c r="C232" s="1" t="n">
        <v>45983</v>
      </c>
      <c r="D232" t="inlineStr">
        <is>
          <t>SÖDERMANLANDS LÄN</t>
        </is>
      </c>
      <c r="E232" t="inlineStr">
        <is>
          <t>KATRINEHOLM</t>
        </is>
      </c>
      <c r="G232" t="n">
        <v>9</v>
      </c>
      <c r="H232" t="n">
        <v>0</v>
      </c>
      <c r="I232" t="n">
        <v>0</v>
      </c>
      <c r="J232" t="n">
        <v>0</v>
      </c>
      <c r="K232" t="n">
        <v>0</v>
      </c>
      <c r="L232" t="n">
        <v>0</v>
      </c>
      <c r="M232" t="n">
        <v>0</v>
      </c>
      <c r="N232" t="n">
        <v>0</v>
      </c>
      <c r="O232" t="n">
        <v>0</v>
      </c>
      <c r="P232" t="n">
        <v>0</v>
      </c>
      <c r="Q232" t="n">
        <v>0</v>
      </c>
      <c r="R232" s="2" t="inlineStr"/>
    </row>
    <row r="233" ht="15" customHeight="1">
      <c r="A233" t="inlineStr">
        <is>
          <t>A 35228-2025</t>
        </is>
      </c>
      <c r="B233" s="1" t="n">
        <v>45853</v>
      </c>
      <c r="C233" s="1" t="n">
        <v>45983</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45983</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24983-2024</t>
        </is>
      </c>
      <c r="B235" s="1" t="n">
        <v>45461</v>
      </c>
      <c r="C235" s="1" t="n">
        <v>45983</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55795-2023</t>
        </is>
      </c>
      <c r="B236" s="1" t="n">
        <v>45239.54861111111</v>
      </c>
      <c r="C236" s="1" t="n">
        <v>45983</v>
      </c>
      <c r="D236" t="inlineStr">
        <is>
          <t>SÖDERMANLANDS LÄN</t>
        </is>
      </c>
      <c r="E236" t="inlineStr">
        <is>
          <t>KATRINEHOLM</t>
        </is>
      </c>
      <c r="G236" t="n">
        <v>7</v>
      </c>
      <c r="H236" t="n">
        <v>0</v>
      </c>
      <c r="I236" t="n">
        <v>0</v>
      </c>
      <c r="J236" t="n">
        <v>0</v>
      </c>
      <c r="K236" t="n">
        <v>0</v>
      </c>
      <c r="L236" t="n">
        <v>0</v>
      </c>
      <c r="M236" t="n">
        <v>0</v>
      </c>
      <c r="N236" t="n">
        <v>0</v>
      </c>
      <c r="O236" t="n">
        <v>0</v>
      </c>
      <c r="P236" t="n">
        <v>0</v>
      </c>
      <c r="Q236" t="n">
        <v>0</v>
      </c>
      <c r="R236" s="2" t="inlineStr"/>
    </row>
    <row r="237" ht="15" customHeight="1">
      <c r="A237" t="inlineStr">
        <is>
          <t>A 22476-2025</t>
        </is>
      </c>
      <c r="B237" s="1" t="n">
        <v>45786</v>
      </c>
      <c r="C237" s="1" t="n">
        <v>45983</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24284-2024</t>
        </is>
      </c>
      <c r="B238" s="1" t="n">
        <v>45457</v>
      </c>
      <c r="C238" s="1" t="n">
        <v>45983</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22336-2025</t>
        </is>
      </c>
      <c r="B239" s="1" t="n">
        <v>45786.44217592593</v>
      </c>
      <c r="C239" s="1" t="n">
        <v>45983</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29502-2023</t>
        </is>
      </c>
      <c r="B240" s="1" t="n">
        <v>45106</v>
      </c>
      <c r="C240" s="1" t="n">
        <v>45983</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42111-2022</t>
        </is>
      </c>
      <c r="B241" s="1" t="n">
        <v>44830</v>
      </c>
      <c r="C241" s="1" t="n">
        <v>45983</v>
      </c>
      <c r="D241" t="inlineStr">
        <is>
          <t>SÖDERMANLANDS LÄN</t>
        </is>
      </c>
      <c r="E241" t="inlineStr">
        <is>
          <t>KATRINEHOLM</t>
        </is>
      </c>
      <c r="G241" t="n">
        <v>2.5</v>
      </c>
      <c r="H241" t="n">
        <v>0</v>
      </c>
      <c r="I241" t="n">
        <v>0</v>
      </c>
      <c r="J241" t="n">
        <v>0</v>
      </c>
      <c r="K241" t="n">
        <v>0</v>
      </c>
      <c r="L241" t="n">
        <v>0</v>
      </c>
      <c r="M241" t="n">
        <v>0</v>
      </c>
      <c r="N241" t="n">
        <v>0</v>
      </c>
      <c r="O241" t="n">
        <v>0</v>
      </c>
      <c r="P241" t="n">
        <v>0</v>
      </c>
      <c r="Q241" t="n">
        <v>0</v>
      </c>
      <c r="R241" s="2" t="inlineStr"/>
    </row>
    <row r="242" ht="15" customHeight="1">
      <c r="A242" t="inlineStr">
        <is>
          <t>A 23050-2025</t>
        </is>
      </c>
      <c r="B242" s="1" t="n">
        <v>45790.69971064815</v>
      </c>
      <c r="C242" s="1" t="n">
        <v>45983</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36767-2022</t>
        </is>
      </c>
      <c r="B243" s="1" t="n">
        <v>44805</v>
      </c>
      <c r="C243" s="1" t="n">
        <v>45983</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33712-2022</t>
        </is>
      </c>
      <c r="B244" s="1" t="n">
        <v>44789</v>
      </c>
      <c r="C244" s="1" t="n">
        <v>45983</v>
      </c>
      <c r="D244" t="inlineStr">
        <is>
          <t>SÖDERMANLANDS LÄN</t>
        </is>
      </c>
      <c r="E244" t="inlineStr">
        <is>
          <t>KATRINEHOLM</t>
        </is>
      </c>
      <c r="G244" t="n">
        <v>4.3</v>
      </c>
      <c r="H244" t="n">
        <v>0</v>
      </c>
      <c r="I244" t="n">
        <v>0</v>
      </c>
      <c r="J244" t="n">
        <v>0</v>
      </c>
      <c r="K244" t="n">
        <v>0</v>
      </c>
      <c r="L244" t="n">
        <v>0</v>
      </c>
      <c r="M244" t="n">
        <v>0</v>
      </c>
      <c r="N244" t="n">
        <v>0</v>
      </c>
      <c r="O244" t="n">
        <v>0</v>
      </c>
      <c r="P244" t="n">
        <v>0</v>
      </c>
      <c r="Q244" t="n">
        <v>0</v>
      </c>
      <c r="R244" s="2" t="inlineStr"/>
    </row>
    <row r="245" ht="15" customHeight="1">
      <c r="A245" t="inlineStr">
        <is>
          <t>A 55034-2021</t>
        </is>
      </c>
      <c r="B245" s="1" t="n">
        <v>44474</v>
      </c>
      <c r="C245" s="1" t="n">
        <v>45983</v>
      </c>
      <c r="D245" t="inlineStr">
        <is>
          <t>SÖDERMANLANDS LÄN</t>
        </is>
      </c>
      <c r="E245" t="inlineStr">
        <is>
          <t>KATRINEHOLM</t>
        </is>
      </c>
      <c r="G245" t="n">
        <v>5</v>
      </c>
      <c r="H245" t="n">
        <v>0</v>
      </c>
      <c r="I245" t="n">
        <v>0</v>
      </c>
      <c r="J245" t="n">
        <v>0</v>
      </c>
      <c r="K245" t="n">
        <v>0</v>
      </c>
      <c r="L245" t="n">
        <v>0</v>
      </c>
      <c r="M245" t="n">
        <v>0</v>
      </c>
      <c r="N245" t="n">
        <v>0</v>
      </c>
      <c r="O245" t="n">
        <v>0</v>
      </c>
      <c r="P245" t="n">
        <v>0</v>
      </c>
      <c r="Q245" t="n">
        <v>0</v>
      </c>
      <c r="R245" s="2" t="inlineStr"/>
    </row>
    <row r="246" ht="15" customHeight="1">
      <c r="A246" t="inlineStr">
        <is>
          <t>A 33717-2022</t>
        </is>
      </c>
      <c r="B246" s="1" t="n">
        <v>44789</v>
      </c>
      <c r="C246" s="1" t="n">
        <v>45983</v>
      </c>
      <c r="D246" t="inlineStr">
        <is>
          <t>SÖDERMANLANDS LÄN</t>
        </is>
      </c>
      <c r="E246" t="inlineStr">
        <is>
          <t>KATRINEHOLM</t>
        </is>
      </c>
      <c r="G246" t="n">
        <v>4.4</v>
      </c>
      <c r="H246" t="n">
        <v>0</v>
      </c>
      <c r="I246" t="n">
        <v>0</v>
      </c>
      <c r="J246" t="n">
        <v>0</v>
      </c>
      <c r="K246" t="n">
        <v>0</v>
      </c>
      <c r="L246" t="n">
        <v>0</v>
      </c>
      <c r="M246" t="n">
        <v>0</v>
      </c>
      <c r="N246" t="n">
        <v>0</v>
      </c>
      <c r="O246" t="n">
        <v>0</v>
      </c>
      <c r="P246" t="n">
        <v>0</v>
      </c>
      <c r="Q246" t="n">
        <v>0</v>
      </c>
      <c r="R246" s="2" t="inlineStr"/>
    </row>
    <row r="247" ht="15" customHeight="1">
      <c r="A247" t="inlineStr">
        <is>
          <t>A 33752-2023</t>
        </is>
      </c>
      <c r="B247" s="1" t="n">
        <v>45120</v>
      </c>
      <c r="C247" s="1" t="n">
        <v>45983</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45376-2022</t>
        </is>
      </c>
      <c r="B248" s="1" t="n">
        <v>44844</v>
      </c>
      <c r="C248" s="1" t="n">
        <v>45983</v>
      </c>
      <c r="D248" t="inlineStr">
        <is>
          <t>SÖDERMANLANDS LÄN</t>
        </is>
      </c>
      <c r="E248" t="inlineStr">
        <is>
          <t>KATRINEHOLM</t>
        </is>
      </c>
      <c r="G248" t="n">
        <v>4.7</v>
      </c>
      <c r="H248" t="n">
        <v>0</v>
      </c>
      <c r="I248" t="n">
        <v>0</v>
      </c>
      <c r="J248" t="n">
        <v>0</v>
      </c>
      <c r="K248" t="n">
        <v>0</v>
      </c>
      <c r="L248" t="n">
        <v>0</v>
      </c>
      <c r="M248" t="n">
        <v>0</v>
      </c>
      <c r="N248" t="n">
        <v>0</v>
      </c>
      <c r="O248" t="n">
        <v>0</v>
      </c>
      <c r="P248" t="n">
        <v>0</v>
      </c>
      <c r="Q248" t="n">
        <v>0</v>
      </c>
      <c r="R248" s="2" t="inlineStr"/>
    </row>
    <row r="249" ht="15" customHeight="1">
      <c r="A249" t="inlineStr">
        <is>
          <t>A 55122-2022</t>
        </is>
      </c>
      <c r="B249" s="1" t="n">
        <v>44886.65092592593</v>
      </c>
      <c r="C249" s="1" t="n">
        <v>45983</v>
      </c>
      <c r="D249" t="inlineStr">
        <is>
          <t>SÖDERMANLANDS LÄN</t>
        </is>
      </c>
      <c r="E249" t="inlineStr">
        <is>
          <t>KATRINEHOLM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17746-2024</t>
        </is>
      </c>
      <c r="B250" s="1" t="n">
        <v>45415</v>
      </c>
      <c r="C250" s="1" t="n">
        <v>45983</v>
      </c>
      <c r="D250" t="inlineStr">
        <is>
          <t>SÖDERMANLANDS LÄN</t>
        </is>
      </c>
      <c r="E250" t="inlineStr">
        <is>
          <t>KATRINEHOLM</t>
        </is>
      </c>
      <c r="G250" t="n">
        <v>7.8</v>
      </c>
      <c r="H250" t="n">
        <v>0</v>
      </c>
      <c r="I250" t="n">
        <v>0</v>
      </c>
      <c r="J250" t="n">
        <v>0</v>
      </c>
      <c r="K250" t="n">
        <v>0</v>
      </c>
      <c r="L250" t="n">
        <v>0</v>
      </c>
      <c r="M250" t="n">
        <v>0</v>
      </c>
      <c r="N250" t="n">
        <v>0</v>
      </c>
      <c r="O250" t="n">
        <v>0</v>
      </c>
      <c r="P250" t="n">
        <v>0</v>
      </c>
      <c r="Q250" t="n">
        <v>0</v>
      </c>
      <c r="R250" s="2" t="inlineStr"/>
    </row>
    <row r="251" ht="15" customHeight="1">
      <c r="A251" t="inlineStr">
        <is>
          <t>A 24179-2024</t>
        </is>
      </c>
      <c r="B251" s="1" t="n">
        <v>45456.83059027778</v>
      </c>
      <c r="C251" s="1" t="n">
        <v>45983</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51264-2021</t>
        </is>
      </c>
      <c r="B252" s="1" t="n">
        <v>44461</v>
      </c>
      <c r="C252" s="1" t="n">
        <v>45983</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28427-2024</t>
        </is>
      </c>
      <c r="B253" s="1" t="n">
        <v>45477.64910879629</v>
      </c>
      <c r="C253" s="1" t="n">
        <v>45983</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51128-2021</t>
        </is>
      </c>
      <c r="B254" s="1" t="n">
        <v>44460</v>
      </c>
      <c r="C254" s="1" t="n">
        <v>45983</v>
      </c>
      <c r="D254" t="inlineStr">
        <is>
          <t>SÖDERMANLANDS LÄN</t>
        </is>
      </c>
      <c r="E254" t="inlineStr">
        <is>
          <t>KATRINEHOLM</t>
        </is>
      </c>
      <c r="G254" t="n">
        <v>7.8</v>
      </c>
      <c r="H254" t="n">
        <v>0</v>
      </c>
      <c r="I254" t="n">
        <v>0</v>
      </c>
      <c r="J254" t="n">
        <v>0</v>
      </c>
      <c r="K254" t="n">
        <v>0</v>
      </c>
      <c r="L254" t="n">
        <v>0</v>
      </c>
      <c r="M254" t="n">
        <v>0</v>
      </c>
      <c r="N254" t="n">
        <v>0</v>
      </c>
      <c r="O254" t="n">
        <v>0</v>
      </c>
      <c r="P254" t="n">
        <v>0</v>
      </c>
      <c r="Q254" t="n">
        <v>0</v>
      </c>
      <c r="R254" s="2" t="inlineStr"/>
    </row>
    <row r="255" ht="15" customHeight="1">
      <c r="A255" t="inlineStr">
        <is>
          <t>A 38708-2025</t>
        </is>
      </c>
      <c r="B255" s="1" t="n">
        <v>45885</v>
      </c>
      <c r="C255" s="1" t="n">
        <v>45983</v>
      </c>
      <c r="D255" t="inlineStr">
        <is>
          <t>SÖDERMANLANDS LÄN</t>
        </is>
      </c>
      <c r="E255" t="inlineStr">
        <is>
          <t>KATRINEHOLM</t>
        </is>
      </c>
      <c r="G255" t="n">
        <v>1.9</v>
      </c>
      <c r="H255" t="n">
        <v>0</v>
      </c>
      <c r="I255" t="n">
        <v>0</v>
      </c>
      <c r="J255" t="n">
        <v>0</v>
      </c>
      <c r="K255" t="n">
        <v>0</v>
      </c>
      <c r="L255" t="n">
        <v>0</v>
      </c>
      <c r="M255" t="n">
        <v>0</v>
      </c>
      <c r="N255" t="n">
        <v>0</v>
      </c>
      <c r="O255" t="n">
        <v>0</v>
      </c>
      <c r="P255" t="n">
        <v>0</v>
      </c>
      <c r="Q255" t="n">
        <v>0</v>
      </c>
      <c r="R255" s="2" t="inlineStr"/>
    </row>
    <row r="256" ht="15" customHeight="1">
      <c r="A256" t="inlineStr">
        <is>
          <t>A 24902-2024</t>
        </is>
      </c>
      <c r="B256" s="1" t="n">
        <v>45461</v>
      </c>
      <c r="C256" s="1" t="n">
        <v>45983</v>
      </c>
      <c r="D256" t="inlineStr">
        <is>
          <t>SÖDERMANLANDS LÄN</t>
        </is>
      </c>
      <c r="E256" t="inlineStr">
        <is>
          <t>KATRINEHOLM</t>
        </is>
      </c>
      <c r="G256" t="n">
        <v>3.5</v>
      </c>
      <c r="H256" t="n">
        <v>0</v>
      </c>
      <c r="I256" t="n">
        <v>0</v>
      </c>
      <c r="J256" t="n">
        <v>0</v>
      </c>
      <c r="K256" t="n">
        <v>0</v>
      </c>
      <c r="L256" t="n">
        <v>0</v>
      </c>
      <c r="M256" t="n">
        <v>0</v>
      </c>
      <c r="N256" t="n">
        <v>0</v>
      </c>
      <c r="O256" t="n">
        <v>0</v>
      </c>
      <c r="P256" t="n">
        <v>0</v>
      </c>
      <c r="Q256" t="n">
        <v>0</v>
      </c>
      <c r="R256" s="2" t="inlineStr"/>
    </row>
    <row r="257" ht="15" customHeight="1">
      <c r="A257" t="inlineStr">
        <is>
          <t>A 3980-2024</t>
        </is>
      </c>
      <c r="B257" s="1" t="n">
        <v>45322</v>
      </c>
      <c r="C257" s="1" t="n">
        <v>45983</v>
      </c>
      <c r="D257" t="inlineStr">
        <is>
          <t>SÖDERMANLANDS LÄN</t>
        </is>
      </c>
      <c r="E257" t="inlineStr">
        <is>
          <t>KATRINEHOLM</t>
        </is>
      </c>
      <c r="G257" t="n">
        <v>0.4</v>
      </c>
      <c r="H257" t="n">
        <v>0</v>
      </c>
      <c r="I257" t="n">
        <v>0</v>
      </c>
      <c r="J257" t="n">
        <v>0</v>
      </c>
      <c r="K257" t="n">
        <v>0</v>
      </c>
      <c r="L257" t="n">
        <v>0</v>
      </c>
      <c r="M257" t="n">
        <v>0</v>
      </c>
      <c r="N257" t="n">
        <v>0</v>
      </c>
      <c r="O257" t="n">
        <v>0</v>
      </c>
      <c r="P257" t="n">
        <v>0</v>
      </c>
      <c r="Q257" t="n">
        <v>0</v>
      </c>
      <c r="R257" s="2" t="inlineStr"/>
    </row>
    <row r="258" ht="15" customHeight="1">
      <c r="A258" t="inlineStr">
        <is>
          <t>A 64713-2023</t>
        </is>
      </c>
      <c r="B258" s="1" t="n">
        <v>45281</v>
      </c>
      <c r="C258" s="1" t="n">
        <v>45983</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60677-2021</t>
        </is>
      </c>
      <c r="B259" s="1" t="n">
        <v>44495</v>
      </c>
      <c r="C259" s="1" t="n">
        <v>45983</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43088-2022</t>
        </is>
      </c>
      <c r="B260" s="1" t="n">
        <v>44833</v>
      </c>
      <c r="C260" s="1" t="n">
        <v>45983</v>
      </c>
      <c r="D260" t="inlineStr">
        <is>
          <t>SÖDERMANLANDS LÄN</t>
        </is>
      </c>
      <c r="E260" t="inlineStr">
        <is>
          <t>KATRINEHOLM</t>
        </is>
      </c>
      <c r="G260" t="n">
        <v>6.6</v>
      </c>
      <c r="H260" t="n">
        <v>0</v>
      </c>
      <c r="I260" t="n">
        <v>0</v>
      </c>
      <c r="J260" t="n">
        <v>0</v>
      </c>
      <c r="K260" t="n">
        <v>0</v>
      </c>
      <c r="L260" t="n">
        <v>0</v>
      </c>
      <c r="M260" t="n">
        <v>0</v>
      </c>
      <c r="N260" t="n">
        <v>0</v>
      </c>
      <c r="O260" t="n">
        <v>0</v>
      </c>
      <c r="P260" t="n">
        <v>0</v>
      </c>
      <c r="Q260" t="n">
        <v>0</v>
      </c>
      <c r="R260" s="2" t="inlineStr"/>
    </row>
    <row r="261" ht="15" customHeight="1">
      <c r="A261" t="inlineStr">
        <is>
          <t>A 64605-2023</t>
        </is>
      </c>
      <c r="B261" s="1" t="n">
        <v>45281</v>
      </c>
      <c r="C261" s="1" t="n">
        <v>45983</v>
      </c>
      <c r="D261" t="inlineStr">
        <is>
          <t>SÖDERMANLANDS LÄN</t>
        </is>
      </c>
      <c r="E261" t="inlineStr">
        <is>
          <t>KATRINEHOLM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39645-2025</t>
        </is>
      </c>
      <c r="B262" s="1" t="n">
        <v>45890</v>
      </c>
      <c r="C262" s="1" t="n">
        <v>45983</v>
      </c>
      <c r="D262" t="inlineStr">
        <is>
          <t>SÖDERMANLANDS LÄN</t>
        </is>
      </c>
      <c r="E262" t="inlineStr">
        <is>
          <t>KATRINEHOLM</t>
        </is>
      </c>
      <c r="G262" t="n">
        <v>0.2</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45983</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39668-2025</t>
        </is>
      </c>
      <c r="B264" s="1" t="n">
        <v>45890</v>
      </c>
      <c r="C264" s="1" t="n">
        <v>45983</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2603-2025</t>
        </is>
      </c>
      <c r="B265" s="1" t="n">
        <v>45674</v>
      </c>
      <c r="C265" s="1" t="n">
        <v>45983</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28582-2024</t>
        </is>
      </c>
      <c r="B266" s="1" t="n">
        <v>45478.40751157407</v>
      </c>
      <c r="C266" s="1" t="n">
        <v>45983</v>
      </c>
      <c r="D266" t="inlineStr">
        <is>
          <t>SÖDERMANLANDS LÄN</t>
        </is>
      </c>
      <c r="E266" t="inlineStr">
        <is>
          <t>KATRINEHOLM</t>
        </is>
      </c>
      <c r="F266" t="inlineStr">
        <is>
          <t>Övriga Aktiebolag</t>
        </is>
      </c>
      <c r="G266" t="n">
        <v>4</v>
      </c>
      <c r="H266" t="n">
        <v>0</v>
      </c>
      <c r="I266" t="n">
        <v>0</v>
      </c>
      <c r="J266" t="n">
        <v>0</v>
      </c>
      <c r="K266" t="n">
        <v>0</v>
      </c>
      <c r="L266" t="n">
        <v>0</v>
      </c>
      <c r="M266" t="n">
        <v>0</v>
      </c>
      <c r="N266" t="n">
        <v>0</v>
      </c>
      <c r="O266" t="n">
        <v>0</v>
      </c>
      <c r="P266" t="n">
        <v>0</v>
      </c>
      <c r="Q266" t="n">
        <v>0</v>
      </c>
      <c r="R266" s="2" t="inlineStr"/>
    </row>
    <row r="267" ht="15" customHeight="1">
      <c r="A267" t="inlineStr">
        <is>
          <t>A 26081-2024</t>
        </is>
      </c>
      <c r="B267" s="1" t="n">
        <v>45462</v>
      </c>
      <c r="C267" s="1" t="n">
        <v>45983</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24566-2025</t>
        </is>
      </c>
      <c r="B268" s="1" t="n">
        <v>45798.46452546296</v>
      </c>
      <c r="C268" s="1" t="n">
        <v>45983</v>
      </c>
      <c r="D268" t="inlineStr">
        <is>
          <t>SÖDERMANLANDS LÄN</t>
        </is>
      </c>
      <c r="E268" t="inlineStr">
        <is>
          <t>KATRINEHOLM</t>
        </is>
      </c>
      <c r="G268" t="n">
        <v>6.3</v>
      </c>
      <c r="H268" t="n">
        <v>0</v>
      </c>
      <c r="I268" t="n">
        <v>0</v>
      </c>
      <c r="J268" t="n">
        <v>0</v>
      </c>
      <c r="K268" t="n">
        <v>0</v>
      </c>
      <c r="L268" t="n">
        <v>0</v>
      </c>
      <c r="M268" t="n">
        <v>0</v>
      </c>
      <c r="N268" t="n">
        <v>0</v>
      </c>
      <c r="O268" t="n">
        <v>0</v>
      </c>
      <c r="P268" t="n">
        <v>0</v>
      </c>
      <c r="Q268" t="n">
        <v>0</v>
      </c>
      <c r="R268" s="2" t="inlineStr"/>
    </row>
    <row r="269" ht="15" customHeight="1">
      <c r="A269" t="inlineStr">
        <is>
          <t>A 30242-2023</t>
        </is>
      </c>
      <c r="B269" s="1" t="n">
        <v>45099</v>
      </c>
      <c r="C269" s="1" t="n">
        <v>45983</v>
      </c>
      <c r="D269" t="inlineStr">
        <is>
          <t>SÖDERMANLANDS LÄN</t>
        </is>
      </c>
      <c r="E269" t="inlineStr">
        <is>
          <t>KATRINEHOLM</t>
        </is>
      </c>
      <c r="G269" t="n">
        <v>3</v>
      </c>
      <c r="H269" t="n">
        <v>0</v>
      </c>
      <c r="I269" t="n">
        <v>0</v>
      </c>
      <c r="J269" t="n">
        <v>0</v>
      </c>
      <c r="K269" t="n">
        <v>0</v>
      </c>
      <c r="L269" t="n">
        <v>0</v>
      </c>
      <c r="M269" t="n">
        <v>0</v>
      </c>
      <c r="N269" t="n">
        <v>0</v>
      </c>
      <c r="O269" t="n">
        <v>0</v>
      </c>
      <c r="P269" t="n">
        <v>0</v>
      </c>
      <c r="Q269" t="n">
        <v>0</v>
      </c>
      <c r="R269" s="2" t="inlineStr"/>
    </row>
    <row r="270" ht="15" customHeight="1">
      <c r="A270" t="inlineStr">
        <is>
          <t>A 39737-2025</t>
        </is>
      </c>
      <c r="B270" s="1" t="n">
        <v>45891</v>
      </c>
      <c r="C270" s="1" t="n">
        <v>45983</v>
      </c>
      <c r="D270" t="inlineStr">
        <is>
          <t>SÖDERMANLANDS LÄN</t>
        </is>
      </c>
      <c r="E270" t="inlineStr">
        <is>
          <t>KATRINEHOLM</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39847-2025</t>
        </is>
      </c>
      <c r="B271" s="1" t="n">
        <v>45891.58381944444</v>
      </c>
      <c r="C271" s="1" t="n">
        <v>45983</v>
      </c>
      <c r="D271" t="inlineStr">
        <is>
          <t>SÖDERMANLANDS LÄN</t>
        </is>
      </c>
      <c r="E271" t="inlineStr">
        <is>
          <t>KATRINEHOLM</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45983</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56086-2023</t>
        </is>
      </c>
      <c r="B273" s="1" t="n">
        <v>45240</v>
      </c>
      <c r="C273" s="1" t="n">
        <v>45983</v>
      </c>
      <c r="D273" t="inlineStr">
        <is>
          <t>SÖDERMANLANDS LÄN</t>
        </is>
      </c>
      <c r="E273" t="inlineStr">
        <is>
          <t>KATRINEHOLM</t>
        </is>
      </c>
      <c r="F273" t="inlineStr">
        <is>
          <t>Kyrkan</t>
        </is>
      </c>
      <c r="G273" t="n">
        <v>17</v>
      </c>
      <c r="H273" t="n">
        <v>0</v>
      </c>
      <c r="I273" t="n">
        <v>0</v>
      </c>
      <c r="J273" t="n">
        <v>0</v>
      </c>
      <c r="K273" t="n">
        <v>0</v>
      </c>
      <c r="L273" t="n">
        <v>0</v>
      </c>
      <c r="M273" t="n">
        <v>0</v>
      </c>
      <c r="N273" t="n">
        <v>0</v>
      </c>
      <c r="O273" t="n">
        <v>0</v>
      </c>
      <c r="P273" t="n">
        <v>0</v>
      </c>
      <c r="Q273" t="n">
        <v>0</v>
      </c>
      <c r="R273" s="2" t="inlineStr"/>
    </row>
    <row r="274" ht="15" customHeight="1">
      <c r="A274" t="inlineStr">
        <is>
          <t>A 69117-2021</t>
        </is>
      </c>
      <c r="B274" s="1" t="n">
        <v>44530.82445601852</v>
      </c>
      <c r="C274" s="1" t="n">
        <v>45983</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38308-2021</t>
        </is>
      </c>
      <c r="B275" s="1" t="n">
        <v>44406</v>
      </c>
      <c r="C275" s="1" t="n">
        <v>45983</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55172-2022</t>
        </is>
      </c>
      <c r="B276" s="1" t="n">
        <v>44886</v>
      </c>
      <c r="C276" s="1" t="n">
        <v>45983</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67337-2021</t>
        </is>
      </c>
      <c r="B277" s="1" t="n">
        <v>44523</v>
      </c>
      <c r="C277" s="1" t="n">
        <v>45983</v>
      </c>
      <c r="D277" t="inlineStr">
        <is>
          <t>SÖDERMANLANDS LÄN</t>
        </is>
      </c>
      <c r="E277" t="inlineStr">
        <is>
          <t>KATRINEHOLM</t>
        </is>
      </c>
      <c r="G277" t="n">
        <v>5.2</v>
      </c>
      <c r="H277" t="n">
        <v>0</v>
      </c>
      <c r="I277" t="n">
        <v>0</v>
      </c>
      <c r="J277" t="n">
        <v>0</v>
      </c>
      <c r="K277" t="n">
        <v>0</v>
      </c>
      <c r="L277" t="n">
        <v>0</v>
      </c>
      <c r="M277" t="n">
        <v>0</v>
      </c>
      <c r="N277" t="n">
        <v>0</v>
      </c>
      <c r="O277" t="n">
        <v>0</v>
      </c>
      <c r="P277" t="n">
        <v>0</v>
      </c>
      <c r="Q277" t="n">
        <v>0</v>
      </c>
      <c r="R277" s="2" t="inlineStr"/>
    </row>
    <row r="278" ht="15" customHeight="1">
      <c r="A278" t="inlineStr">
        <is>
          <t>A 29394-2024</t>
        </is>
      </c>
      <c r="B278" s="1" t="n">
        <v>45483</v>
      </c>
      <c r="C278" s="1" t="n">
        <v>45983</v>
      </c>
      <c r="D278" t="inlineStr">
        <is>
          <t>SÖDERMANLANDS LÄN</t>
        </is>
      </c>
      <c r="E278" t="inlineStr">
        <is>
          <t>KATRINEHOLM</t>
        </is>
      </c>
      <c r="G278" t="n">
        <v>0.9</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45983</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50032-2022</t>
        </is>
      </c>
      <c r="B280" s="1" t="n">
        <v>44860</v>
      </c>
      <c r="C280" s="1" t="n">
        <v>45983</v>
      </c>
      <c r="D280" t="inlineStr">
        <is>
          <t>SÖDERMANLANDS LÄN</t>
        </is>
      </c>
      <c r="E280" t="inlineStr">
        <is>
          <t>KATRINEHOLM</t>
        </is>
      </c>
      <c r="G280" t="n">
        <v>7.5</v>
      </c>
      <c r="H280" t="n">
        <v>0</v>
      </c>
      <c r="I280" t="n">
        <v>0</v>
      </c>
      <c r="J280" t="n">
        <v>0</v>
      </c>
      <c r="K280" t="n">
        <v>0</v>
      </c>
      <c r="L280" t="n">
        <v>0</v>
      </c>
      <c r="M280" t="n">
        <v>0</v>
      </c>
      <c r="N280" t="n">
        <v>0</v>
      </c>
      <c r="O280" t="n">
        <v>0</v>
      </c>
      <c r="P280" t="n">
        <v>0</v>
      </c>
      <c r="Q280" t="n">
        <v>0</v>
      </c>
      <c r="R280" s="2" t="inlineStr"/>
    </row>
    <row r="281" ht="15" customHeight="1">
      <c r="A281" t="inlineStr">
        <is>
          <t>A 26713-2024</t>
        </is>
      </c>
      <c r="B281" s="1" t="n">
        <v>45470</v>
      </c>
      <c r="C281" s="1" t="n">
        <v>45983</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43837-2022</t>
        </is>
      </c>
      <c r="B282" s="1" t="n">
        <v>44838</v>
      </c>
      <c r="C282" s="1" t="n">
        <v>45983</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45983</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41727-2024</t>
        </is>
      </c>
      <c r="B284" s="1" t="n">
        <v>45560</v>
      </c>
      <c r="C284" s="1" t="n">
        <v>45983</v>
      </c>
      <c r="D284" t="inlineStr">
        <is>
          <t>SÖDERMANLANDS LÄN</t>
        </is>
      </c>
      <c r="E284" t="inlineStr">
        <is>
          <t>KATRINEHOLM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55732-2023</t>
        </is>
      </c>
      <c r="B285" s="1" t="n">
        <v>45239</v>
      </c>
      <c r="C285" s="1" t="n">
        <v>45983</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45983</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45983</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45983</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45983</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45983</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53999-2023</t>
        </is>
      </c>
      <c r="B291" s="1" t="n">
        <v>45231</v>
      </c>
      <c r="C291" s="1" t="n">
        <v>45983</v>
      </c>
      <c r="D291" t="inlineStr">
        <is>
          <t>SÖDERMANLANDS LÄN</t>
        </is>
      </c>
      <c r="E291" t="inlineStr">
        <is>
          <t>KATRINEHOLM</t>
        </is>
      </c>
      <c r="G291" t="n">
        <v>5.4</v>
      </c>
      <c r="H291" t="n">
        <v>0</v>
      </c>
      <c r="I291" t="n">
        <v>0</v>
      </c>
      <c r="J291" t="n">
        <v>0</v>
      </c>
      <c r="K291" t="n">
        <v>0</v>
      </c>
      <c r="L291" t="n">
        <v>0</v>
      </c>
      <c r="M291" t="n">
        <v>0</v>
      </c>
      <c r="N291" t="n">
        <v>0</v>
      </c>
      <c r="O291" t="n">
        <v>0</v>
      </c>
      <c r="P291" t="n">
        <v>0</v>
      </c>
      <c r="Q291" t="n">
        <v>0</v>
      </c>
      <c r="R291" s="2" t="inlineStr"/>
    </row>
    <row r="292" ht="15" customHeight="1">
      <c r="A292" t="inlineStr">
        <is>
          <t>A 27376-2024</t>
        </is>
      </c>
      <c r="B292" s="1" t="n">
        <v>45473.88313657408</v>
      </c>
      <c r="C292" s="1" t="n">
        <v>45983</v>
      </c>
      <c r="D292" t="inlineStr">
        <is>
          <t>SÖDERMANLANDS LÄN</t>
        </is>
      </c>
      <c r="E292" t="inlineStr">
        <is>
          <t>KATRINEHOLM</t>
        </is>
      </c>
      <c r="F292" t="inlineStr">
        <is>
          <t>Kommuner</t>
        </is>
      </c>
      <c r="G292" t="n">
        <v>2.8</v>
      </c>
      <c r="H292" t="n">
        <v>0</v>
      </c>
      <c r="I292" t="n">
        <v>0</v>
      </c>
      <c r="J292" t="n">
        <v>0</v>
      </c>
      <c r="K292" t="n">
        <v>0</v>
      </c>
      <c r="L292" t="n">
        <v>0</v>
      </c>
      <c r="M292" t="n">
        <v>0</v>
      </c>
      <c r="N292" t="n">
        <v>0</v>
      </c>
      <c r="O292" t="n">
        <v>0</v>
      </c>
      <c r="P292" t="n">
        <v>0</v>
      </c>
      <c r="Q292" t="n">
        <v>0</v>
      </c>
      <c r="R292" s="2" t="inlineStr"/>
    </row>
    <row r="293" ht="15" customHeight="1">
      <c r="A293" t="inlineStr">
        <is>
          <t>A 24719-2025</t>
        </is>
      </c>
      <c r="B293" s="1" t="n">
        <v>45799</v>
      </c>
      <c r="C293" s="1" t="n">
        <v>45983</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28995-2024</t>
        </is>
      </c>
      <c r="B294" s="1" t="n">
        <v>45481.49899305555</v>
      </c>
      <c r="C294" s="1" t="n">
        <v>45983</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44989-2022</t>
        </is>
      </c>
      <c r="B295" s="1" t="n">
        <v>44840</v>
      </c>
      <c r="C295" s="1" t="n">
        <v>45983</v>
      </c>
      <c r="D295" t="inlineStr">
        <is>
          <t>SÖDERMANLANDS LÄN</t>
        </is>
      </c>
      <c r="E295" t="inlineStr">
        <is>
          <t>KATRINEHOLM</t>
        </is>
      </c>
      <c r="G295" t="n">
        <v>6</v>
      </c>
      <c r="H295" t="n">
        <v>0</v>
      </c>
      <c r="I295" t="n">
        <v>0</v>
      </c>
      <c r="J295" t="n">
        <v>0</v>
      </c>
      <c r="K295" t="n">
        <v>0</v>
      </c>
      <c r="L295" t="n">
        <v>0</v>
      </c>
      <c r="M295" t="n">
        <v>0</v>
      </c>
      <c r="N295" t="n">
        <v>0</v>
      </c>
      <c r="O295" t="n">
        <v>0</v>
      </c>
      <c r="P295" t="n">
        <v>0</v>
      </c>
      <c r="Q295" t="n">
        <v>0</v>
      </c>
      <c r="R295" s="2" t="inlineStr"/>
    </row>
    <row r="296" ht="15" customHeight="1">
      <c r="A296" t="inlineStr">
        <is>
          <t>A 48259-2022</t>
        </is>
      </c>
      <c r="B296" s="1" t="n">
        <v>44858</v>
      </c>
      <c r="C296" s="1" t="n">
        <v>45983</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41498-2025</t>
        </is>
      </c>
      <c r="B297" s="1" t="n">
        <v>45901.49755787037</v>
      </c>
      <c r="C297" s="1" t="n">
        <v>45983</v>
      </c>
      <c r="D297" t="inlineStr">
        <is>
          <t>SÖDERMANLANDS LÄN</t>
        </is>
      </c>
      <c r="E297" t="inlineStr">
        <is>
          <t>KATRINEHOLM</t>
        </is>
      </c>
      <c r="G297" t="n">
        <v>1.6</v>
      </c>
      <c r="H297" t="n">
        <v>0</v>
      </c>
      <c r="I297" t="n">
        <v>0</v>
      </c>
      <c r="J297" t="n">
        <v>0</v>
      </c>
      <c r="K297" t="n">
        <v>0</v>
      </c>
      <c r="L297" t="n">
        <v>0</v>
      </c>
      <c r="M297" t="n">
        <v>0</v>
      </c>
      <c r="N297" t="n">
        <v>0</v>
      </c>
      <c r="O297" t="n">
        <v>0</v>
      </c>
      <c r="P297" t="n">
        <v>0</v>
      </c>
      <c r="Q297" t="n">
        <v>0</v>
      </c>
      <c r="R297" s="2" t="inlineStr"/>
    </row>
    <row r="298" ht="15" customHeight="1">
      <c r="A298" t="inlineStr">
        <is>
          <t>A 28992-2024</t>
        </is>
      </c>
      <c r="B298" s="1" t="n">
        <v>45481.49289351852</v>
      </c>
      <c r="C298" s="1" t="n">
        <v>45983</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41548-2025</t>
        </is>
      </c>
      <c r="B299" s="1" t="n">
        <v>45901</v>
      </c>
      <c r="C299" s="1" t="n">
        <v>45983</v>
      </c>
      <c r="D299" t="inlineStr">
        <is>
          <t>SÖDERMANLANDS LÄN</t>
        </is>
      </c>
      <c r="E299" t="inlineStr">
        <is>
          <t>KATRINEHOLM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7322-2023</t>
        </is>
      </c>
      <c r="B300" s="1" t="n">
        <v>44970</v>
      </c>
      <c r="C300" s="1" t="n">
        <v>45983</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2093-2025</t>
        </is>
      </c>
      <c r="B301" s="1" t="n">
        <v>45672</v>
      </c>
      <c r="C301" s="1" t="n">
        <v>45983</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27886-2024</t>
        </is>
      </c>
      <c r="B302" s="1" t="n">
        <v>45475</v>
      </c>
      <c r="C302" s="1" t="n">
        <v>45983</v>
      </c>
      <c r="D302" t="inlineStr">
        <is>
          <t>SÖDERMANLANDS LÄN</t>
        </is>
      </c>
      <c r="E302" t="inlineStr">
        <is>
          <t>KATRINEHOLM</t>
        </is>
      </c>
      <c r="G302" t="n">
        <v>10.3</v>
      </c>
      <c r="H302" t="n">
        <v>0</v>
      </c>
      <c r="I302" t="n">
        <v>0</v>
      </c>
      <c r="J302" t="n">
        <v>0</v>
      </c>
      <c r="K302" t="n">
        <v>0</v>
      </c>
      <c r="L302" t="n">
        <v>0</v>
      </c>
      <c r="M302" t="n">
        <v>0</v>
      </c>
      <c r="N302" t="n">
        <v>0</v>
      </c>
      <c r="O302" t="n">
        <v>0</v>
      </c>
      <c r="P302" t="n">
        <v>0</v>
      </c>
      <c r="Q302" t="n">
        <v>0</v>
      </c>
      <c r="R302" s="2" t="inlineStr"/>
    </row>
    <row r="303" ht="15" customHeight="1">
      <c r="A303" t="inlineStr">
        <is>
          <t>A 25786-2025</t>
        </is>
      </c>
      <c r="B303" s="1" t="n">
        <v>45804.37456018518</v>
      </c>
      <c r="C303" s="1" t="n">
        <v>45983</v>
      </c>
      <c r="D303" t="inlineStr">
        <is>
          <t>SÖDERMANLANDS LÄN</t>
        </is>
      </c>
      <c r="E303" t="inlineStr">
        <is>
          <t>KATRINEHOLM</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45983</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45983</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45983</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41633-2025</t>
        </is>
      </c>
      <c r="B307" s="1" t="n">
        <v>45901</v>
      </c>
      <c r="C307" s="1" t="n">
        <v>45983</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41632-2025</t>
        </is>
      </c>
      <c r="B308" s="1" t="n">
        <v>45901</v>
      </c>
      <c r="C308" s="1" t="n">
        <v>45983</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45983</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25363-2023</t>
        </is>
      </c>
      <c r="B310" s="1" t="n">
        <v>45088.83840277778</v>
      </c>
      <c r="C310" s="1" t="n">
        <v>45983</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6722-2022</t>
        </is>
      </c>
      <c r="B311" s="1" t="n">
        <v>44602</v>
      </c>
      <c r="C311" s="1" t="n">
        <v>45983</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6763-2022</t>
        </is>
      </c>
      <c r="B312" s="1" t="n">
        <v>44602</v>
      </c>
      <c r="C312" s="1" t="n">
        <v>45983</v>
      </c>
      <c r="D312" t="inlineStr">
        <is>
          <t>SÖDERMANLANDS LÄN</t>
        </is>
      </c>
      <c r="E312" t="inlineStr">
        <is>
          <t>KATRINEHOLM</t>
        </is>
      </c>
      <c r="G312" t="n">
        <v>6.7</v>
      </c>
      <c r="H312" t="n">
        <v>0</v>
      </c>
      <c r="I312" t="n">
        <v>0</v>
      </c>
      <c r="J312" t="n">
        <v>0</v>
      </c>
      <c r="K312" t="n">
        <v>0</v>
      </c>
      <c r="L312" t="n">
        <v>0</v>
      </c>
      <c r="M312" t="n">
        <v>0</v>
      </c>
      <c r="N312" t="n">
        <v>0</v>
      </c>
      <c r="O312" t="n">
        <v>0</v>
      </c>
      <c r="P312" t="n">
        <v>0</v>
      </c>
      <c r="Q312" t="n">
        <v>0</v>
      </c>
      <c r="R312" s="2" t="inlineStr"/>
    </row>
    <row r="313" ht="15" customHeight="1">
      <c r="A313" t="inlineStr">
        <is>
          <t>A 41793-2025</t>
        </is>
      </c>
      <c r="B313" s="1" t="n">
        <v>45902</v>
      </c>
      <c r="C313" s="1" t="n">
        <v>45983</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5790-2022</t>
        </is>
      </c>
      <c r="B314" s="1" t="n">
        <v>44596.55368055555</v>
      </c>
      <c r="C314" s="1" t="n">
        <v>45983</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14313-2024</t>
        </is>
      </c>
      <c r="B315" s="1" t="n">
        <v>45393</v>
      </c>
      <c r="C315" s="1" t="n">
        <v>45983</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29397-2024</t>
        </is>
      </c>
      <c r="B316" s="1" t="n">
        <v>45483</v>
      </c>
      <c r="C316" s="1" t="n">
        <v>45983</v>
      </c>
      <c r="D316" t="inlineStr">
        <is>
          <t>SÖDERMANLANDS LÄN</t>
        </is>
      </c>
      <c r="E316" t="inlineStr">
        <is>
          <t>KATRINEHOLM</t>
        </is>
      </c>
      <c r="G316" t="n">
        <v>3.4</v>
      </c>
      <c r="H316" t="n">
        <v>0</v>
      </c>
      <c r="I316" t="n">
        <v>0</v>
      </c>
      <c r="J316" t="n">
        <v>0</v>
      </c>
      <c r="K316" t="n">
        <v>0</v>
      </c>
      <c r="L316" t="n">
        <v>0</v>
      </c>
      <c r="M316" t="n">
        <v>0</v>
      </c>
      <c r="N316" t="n">
        <v>0</v>
      </c>
      <c r="O316" t="n">
        <v>0</v>
      </c>
      <c r="P316" t="n">
        <v>0</v>
      </c>
      <c r="Q316" t="n">
        <v>0</v>
      </c>
      <c r="R316" s="2" t="inlineStr"/>
    </row>
    <row r="317" ht="15" customHeight="1">
      <c r="A317" t="inlineStr">
        <is>
          <t>A 33278-2024</t>
        </is>
      </c>
      <c r="B317" s="1" t="n">
        <v>45518</v>
      </c>
      <c r="C317" s="1" t="n">
        <v>45983</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9714-2024</t>
        </is>
      </c>
      <c r="B318" s="1" t="n">
        <v>45362</v>
      </c>
      <c r="C318" s="1" t="n">
        <v>45983</v>
      </c>
      <c r="D318" t="inlineStr">
        <is>
          <t>SÖDERMANLANDS LÄN</t>
        </is>
      </c>
      <c r="E318" t="inlineStr">
        <is>
          <t>KATRINEHOLM</t>
        </is>
      </c>
      <c r="G318" t="n">
        <v>4</v>
      </c>
      <c r="H318" t="n">
        <v>0</v>
      </c>
      <c r="I318" t="n">
        <v>0</v>
      </c>
      <c r="J318" t="n">
        <v>0</v>
      </c>
      <c r="K318" t="n">
        <v>0</v>
      </c>
      <c r="L318" t="n">
        <v>0</v>
      </c>
      <c r="M318" t="n">
        <v>0</v>
      </c>
      <c r="N318" t="n">
        <v>0</v>
      </c>
      <c r="O318" t="n">
        <v>0</v>
      </c>
      <c r="P318" t="n">
        <v>0</v>
      </c>
      <c r="Q318" t="n">
        <v>0</v>
      </c>
      <c r="R318" s="2" t="inlineStr"/>
    </row>
    <row r="319" ht="15" customHeight="1">
      <c r="A319" t="inlineStr">
        <is>
          <t>A 24619-2024</t>
        </is>
      </c>
      <c r="B319" s="1" t="n">
        <v>45460</v>
      </c>
      <c r="C319" s="1" t="n">
        <v>45983</v>
      </c>
      <c r="D319" t="inlineStr">
        <is>
          <t>SÖDERMANLANDS LÄN</t>
        </is>
      </c>
      <c r="E319" t="inlineStr">
        <is>
          <t>KATRINEHOLM</t>
        </is>
      </c>
      <c r="G319" t="n">
        <v>4.7</v>
      </c>
      <c r="H319" t="n">
        <v>0</v>
      </c>
      <c r="I319" t="n">
        <v>0</v>
      </c>
      <c r="J319" t="n">
        <v>0</v>
      </c>
      <c r="K319" t="n">
        <v>0</v>
      </c>
      <c r="L319" t="n">
        <v>0</v>
      </c>
      <c r="M319" t="n">
        <v>0</v>
      </c>
      <c r="N319" t="n">
        <v>0</v>
      </c>
      <c r="O319" t="n">
        <v>0</v>
      </c>
      <c r="P319" t="n">
        <v>0</v>
      </c>
      <c r="Q319" t="n">
        <v>0</v>
      </c>
      <c r="R319" s="2" t="inlineStr"/>
    </row>
    <row r="320" ht="15" customHeight="1">
      <c r="A320" t="inlineStr">
        <is>
          <t>A 9699-2024</t>
        </is>
      </c>
      <c r="B320" s="1" t="n">
        <v>45362</v>
      </c>
      <c r="C320" s="1" t="n">
        <v>45983</v>
      </c>
      <c r="D320" t="inlineStr">
        <is>
          <t>SÖDERMANLANDS LÄN</t>
        </is>
      </c>
      <c r="E320" t="inlineStr">
        <is>
          <t>KATRINEHOLM</t>
        </is>
      </c>
      <c r="G320" t="n">
        <v>7.7</v>
      </c>
      <c r="H320" t="n">
        <v>0</v>
      </c>
      <c r="I320" t="n">
        <v>0</v>
      </c>
      <c r="J320" t="n">
        <v>0</v>
      </c>
      <c r="K320" t="n">
        <v>0</v>
      </c>
      <c r="L320" t="n">
        <v>0</v>
      </c>
      <c r="M320" t="n">
        <v>0</v>
      </c>
      <c r="N320" t="n">
        <v>0</v>
      </c>
      <c r="O320" t="n">
        <v>0</v>
      </c>
      <c r="P320" t="n">
        <v>0</v>
      </c>
      <c r="Q320" t="n">
        <v>0</v>
      </c>
      <c r="R320" s="2" t="inlineStr"/>
    </row>
    <row r="321" ht="15" customHeight="1">
      <c r="A321" t="inlineStr">
        <is>
          <t>A 50934-2025</t>
        </is>
      </c>
      <c r="B321" s="1" t="n">
        <v>45946.69195601852</v>
      </c>
      <c r="C321" s="1" t="n">
        <v>45983</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59474-2021</t>
        </is>
      </c>
      <c r="B322" s="1" t="n">
        <v>44491</v>
      </c>
      <c r="C322" s="1" t="n">
        <v>45983</v>
      </c>
      <c r="D322" t="inlineStr">
        <is>
          <t>SÖDERMANLANDS LÄN</t>
        </is>
      </c>
      <c r="E322" t="inlineStr">
        <is>
          <t>KATRINEHOLM</t>
        </is>
      </c>
      <c r="G322" t="n">
        <v>2.7</v>
      </c>
      <c r="H322" t="n">
        <v>0</v>
      </c>
      <c r="I322" t="n">
        <v>0</v>
      </c>
      <c r="J322" t="n">
        <v>0</v>
      </c>
      <c r="K322" t="n">
        <v>0</v>
      </c>
      <c r="L322" t="n">
        <v>0</v>
      </c>
      <c r="M322" t="n">
        <v>0</v>
      </c>
      <c r="N322" t="n">
        <v>0</v>
      </c>
      <c r="O322" t="n">
        <v>0</v>
      </c>
      <c r="P322" t="n">
        <v>0</v>
      </c>
      <c r="Q322" t="n">
        <v>0</v>
      </c>
      <c r="R322" s="2" t="inlineStr"/>
    </row>
    <row r="323" ht="15" customHeight="1">
      <c r="A323" t="inlineStr">
        <is>
          <t>A 14239-2024</t>
        </is>
      </c>
      <c r="B323" s="1" t="n">
        <v>45393</v>
      </c>
      <c r="C323" s="1" t="n">
        <v>45983</v>
      </c>
      <c r="D323" t="inlineStr">
        <is>
          <t>SÖDERMANLANDS LÄN</t>
        </is>
      </c>
      <c r="E323" t="inlineStr">
        <is>
          <t>KATRINEHOLM</t>
        </is>
      </c>
      <c r="G323" t="n">
        <v>2.7</v>
      </c>
      <c r="H323" t="n">
        <v>0</v>
      </c>
      <c r="I323" t="n">
        <v>0</v>
      </c>
      <c r="J323" t="n">
        <v>0</v>
      </c>
      <c r="K323" t="n">
        <v>0</v>
      </c>
      <c r="L323" t="n">
        <v>0</v>
      </c>
      <c r="M323" t="n">
        <v>0</v>
      </c>
      <c r="N323" t="n">
        <v>0</v>
      </c>
      <c r="O323" t="n">
        <v>0</v>
      </c>
      <c r="P323" t="n">
        <v>0</v>
      </c>
      <c r="Q323" t="n">
        <v>0</v>
      </c>
      <c r="R323" s="2" t="inlineStr"/>
    </row>
    <row r="324" ht="15" customHeight="1">
      <c r="A324" t="inlineStr">
        <is>
          <t>A 14248-2024</t>
        </is>
      </c>
      <c r="B324" s="1" t="n">
        <v>45393</v>
      </c>
      <c r="C324" s="1" t="n">
        <v>45983</v>
      </c>
      <c r="D324" t="inlineStr">
        <is>
          <t>SÖDERMANLANDS LÄN</t>
        </is>
      </c>
      <c r="E324" t="inlineStr">
        <is>
          <t>KATRINEHOLM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11635-2023</t>
        </is>
      </c>
      <c r="B325" s="1" t="n">
        <v>44994</v>
      </c>
      <c r="C325" s="1" t="n">
        <v>45983</v>
      </c>
      <c r="D325" t="inlineStr">
        <is>
          <t>SÖDERMANLANDS LÄN</t>
        </is>
      </c>
      <c r="E325" t="inlineStr">
        <is>
          <t>KATRINEHOLM</t>
        </is>
      </c>
      <c r="G325" t="n">
        <v>4.3</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45983</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10932-2023</t>
        </is>
      </c>
      <c r="B327" s="1" t="n">
        <v>44985</v>
      </c>
      <c r="C327" s="1" t="n">
        <v>45983</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6087-2022</t>
        </is>
      </c>
      <c r="B328" s="1" t="n">
        <v>44599.61034722222</v>
      </c>
      <c r="C328" s="1" t="n">
        <v>45983</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8957-2024</t>
        </is>
      </c>
      <c r="B329" s="1" t="n">
        <v>45357.45089120371</v>
      </c>
      <c r="C329" s="1" t="n">
        <v>45983</v>
      </c>
      <c r="D329" t="inlineStr">
        <is>
          <t>SÖDERMANLANDS LÄN</t>
        </is>
      </c>
      <c r="E329" t="inlineStr">
        <is>
          <t>KATRINEHOLM</t>
        </is>
      </c>
      <c r="G329" t="n">
        <v>3.6</v>
      </c>
      <c r="H329" t="n">
        <v>0</v>
      </c>
      <c r="I329" t="n">
        <v>0</v>
      </c>
      <c r="J329" t="n">
        <v>0</v>
      </c>
      <c r="K329" t="n">
        <v>0</v>
      </c>
      <c r="L329" t="n">
        <v>0</v>
      </c>
      <c r="M329" t="n">
        <v>0</v>
      </c>
      <c r="N329" t="n">
        <v>0</v>
      </c>
      <c r="O329" t="n">
        <v>0</v>
      </c>
      <c r="P329" t="n">
        <v>0</v>
      </c>
      <c r="Q329" t="n">
        <v>0</v>
      </c>
      <c r="R329" s="2" t="inlineStr"/>
    </row>
    <row r="330" ht="15" customHeight="1">
      <c r="A330" t="inlineStr">
        <is>
          <t>A 27534-2025</t>
        </is>
      </c>
      <c r="B330" s="1" t="n">
        <v>45813</v>
      </c>
      <c r="C330" s="1" t="n">
        <v>45983</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27552-2025</t>
        </is>
      </c>
      <c r="B331" s="1" t="n">
        <v>45813</v>
      </c>
      <c r="C331" s="1" t="n">
        <v>45983</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27636-2025</t>
        </is>
      </c>
      <c r="B332" s="1" t="n">
        <v>45813.57603009259</v>
      </c>
      <c r="C332" s="1" t="n">
        <v>45983</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42896-2024</t>
        </is>
      </c>
      <c r="B333" s="1" t="n">
        <v>45566.82973379629</v>
      </c>
      <c r="C333" s="1" t="n">
        <v>45983</v>
      </c>
      <c r="D333" t="inlineStr">
        <is>
          <t>SÖDERMANLANDS LÄN</t>
        </is>
      </c>
      <c r="E333" t="inlineStr">
        <is>
          <t>KATRINEHOLM</t>
        </is>
      </c>
      <c r="G333" t="n">
        <v>4.3</v>
      </c>
      <c r="H333" t="n">
        <v>0</v>
      </c>
      <c r="I333" t="n">
        <v>0</v>
      </c>
      <c r="J333" t="n">
        <v>0</v>
      </c>
      <c r="K333" t="n">
        <v>0</v>
      </c>
      <c r="L333" t="n">
        <v>0</v>
      </c>
      <c r="M333" t="n">
        <v>0</v>
      </c>
      <c r="N333" t="n">
        <v>0</v>
      </c>
      <c r="O333" t="n">
        <v>0</v>
      </c>
      <c r="P333" t="n">
        <v>0</v>
      </c>
      <c r="Q333" t="n">
        <v>0</v>
      </c>
      <c r="R333" s="2" t="inlineStr"/>
    </row>
    <row r="334" ht="15" customHeight="1">
      <c r="A334" t="inlineStr">
        <is>
          <t>A 7747-2024</t>
        </is>
      </c>
      <c r="B334" s="1" t="n">
        <v>45348</v>
      </c>
      <c r="C334" s="1" t="n">
        <v>45983</v>
      </c>
      <c r="D334" t="inlineStr">
        <is>
          <t>SÖDERMANLANDS LÄN</t>
        </is>
      </c>
      <c r="E334" t="inlineStr">
        <is>
          <t>KATRINEHOLM</t>
        </is>
      </c>
      <c r="G334" t="n">
        <v>1.1</v>
      </c>
      <c r="H334" t="n">
        <v>0</v>
      </c>
      <c r="I334" t="n">
        <v>0</v>
      </c>
      <c r="J334" t="n">
        <v>0</v>
      </c>
      <c r="K334" t="n">
        <v>0</v>
      </c>
      <c r="L334" t="n">
        <v>0</v>
      </c>
      <c r="M334" t="n">
        <v>0</v>
      </c>
      <c r="N334" t="n">
        <v>0</v>
      </c>
      <c r="O334" t="n">
        <v>0</v>
      </c>
      <c r="P334" t="n">
        <v>0</v>
      </c>
      <c r="Q334" t="n">
        <v>0</v>
      </c>
      <c r="R334" s="2" t="inlineStr"/>
    </row>
    <row r="335" ht="15" customHeight="1">
      <c r="A335" t="inlineStr">
        <is>
          <t>A 7753-2024</t>
        </is>
      </c>
      <c r="B335" s="1" t="n">
        <v>45348</v>
      </c>
      <c r="C335" s="1" t="n">
        <v>45983</v>
      </c>
      <c r="D335" t="inlineStr">
        <is>
          <t>SÖDERMANLANDS LÄN</t>
        </is>
      </c>
      <c r="E335" t="inlineStr">
        <is>
          <t>KATRINEHOLM</t>
        </is>
      </c>
      <c r="G335" t="n">
        <v>13.4</v>
      </c>
      <c r="H335" t="n">
        <v>0</v>
      </c>
      <c r="I335" t="n">
        <v>0</v>
      </c>
      <c r="J335" t="n">
        <v>0</v>
      </c>
      <c r="K335" t="n">
        <v>0</v>
      </c>
      <c r="L335" t="n">
        <v>0</v>
      </c>
      <c r="M335" t="n">
        <v>0</v>
      </c>
      <c r="N335" t="n">
        <v>0</v>
      </c>
      <c r="O335" t="n">
        <v>0</v>
      </c>
      <c r="P335" t="n">
        <v>0</v>
      </c>
      <c r="Q335" t="n">
        <v>0</v>
      </c>
      <c r="R335" s="2" t="inlineStr"/>
    </row>
    <row r="336" ht="15" customHeight="1">
      <c r="A336" t="inlineStr">
        <is>
          <t>A 24600-2025</t>
        </is>
      </c>
      <c r="B336" s="1" t="n">
        <v>45798.56348379629</v>
      </c>
      <c r="C336" s="1" t="n">
        <v>45983</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5935-2023</t>
        </is>
      </c>
      <c r="B337" s="1" t="n">
        <v>44963</v>
      </c>
      <c r="C337" s="1" t="n">
        <v>45983</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42686-2025</t>
        </is>
      </c>
      <c r="B338" s="1" t="n">
        <v>45908.35550925926</v>
      </c>
      <c r="C338" s="1" t="n">
        <v>45983</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42799-2025</t>
        </is>
      </c>
      <c r="B339" s="1" t="n">
        <v>45907</v>
      </c>
      <c r="C339" s="1" t="n">
        <v>45983</v>
      </c>
      <c r="D339" t="inlineStr">
        <is>
          <t>SÖDERMANLANDS LÄN</t>
        </is>
      </c>
      <c r="E339" t="inlineStr">
        <is>
          <t>KATRINEHOLM</t>
        </is>
      </c>
      <c r="G339" t="n">
        <v>3.9</v>
      </c>
      <c r="H339" t="n">
        <v>0</v>
      </c>
      <c r="I339" t="n">
        <v>0</v>
      </c>
      <c r="J339" t="n">
        <v>0</v>
      </c>
      <c r="K339" t="n">
        <v>0</v>
      </c>
      <c r="L339" t="n">
        <v>0</v>
      </c>
      <c r="M339" t="n">
        <v>0</v>
      </c>
      <c r="N339" t="n">
        <v>0</v>
      </c>
      <c r="O339" t="n">
        <v>0</v>
      </c>
      <c r="P339" t="n">
        <v>0</v>
      </c>
      <c r="Q339" t="n">
        <v>0</v>
      </c>
      <c r="R339" s="2" t="inlineStr"/>
    </row>
    <row r="340" ht="15" customHeight="1">
      <c r="A340" t="inlineStr">
        <is>
          <t>A 10732-2022</t>
        </is>
      </c>
      <c r="B340" s="1" t="n">
        <v>44627.34033564815</v>
      </c>
      <c r="C340" s="1" t="n">
        <v>45983</v>
      </c>
      <c r="D340" t="inlineStr">
        <is>
          <t>SÖDERMANLANDS LÄN</t>
        </is>
      </c>
      <c r="E340" t="inlineStr">
        <is>
          <t>KATRINEHOLM</t>
        </is>
      </c>
      <c r="G340" t="n">
        <v>2.4</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45983</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42474-2025</t>
        </is>
      </c>
      <c r="B342" s="1" t="n">
        <v>45905.46659722222</v>
      </c>
      <c r="C342" s="1" t="n">
        <v>45983</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51367-2025</t>
        </is>
      </c>
      <c r="B343" s="1" t="n">
        <v>45950.44700231482</v>
      </c>
      <c r="C343" s="1" t="n">
        <v>45983</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12633-2022</t>
        </is>
      </c>
      <c r="B344" s="1" t="n">
        <v>44638</v>
      </c>
      <c r="C344" s="1" t="n">
        <v>45983</v>
      </c>
      <c r="D344" t="inlineStr">
        <is>
          <t>SÖDERMANLANDS LÄN</t>
        </is>
      </c>
      <c r="E344" t="inlineStr">
        <is>
          <t>KATRINEHOLM</t>
        </is>
      </c>
      <c r="G344" t="n">
        <v>6.4</v>
      </c>
      <c r="H344" t="n">
        <v>0</v>
      </c>
      <c r="I344" t="n">
        <v>0</v>
      </c>
      <c r="J344" t="n">
        <v>0</v>
      </c>
      <c r="K344" t="n">
        <v>0</v>
      </c>
      <c r="L344" t="n">
        <v>0</v>
      </c>
      <c r="M344" t="n">
        <v>0</v>
      </c>
      <c r="N344" t="n">
        <v>0</v>
      </c>
      <c r="O344" t="n">
        <v>0</v>
      </c>
      <c r="P344" t="n">
        <v>0</v>
      </c>
      <c r="Q344" t="n">
        <v>0</v>
      </c>
      <c r="R344" s="2" t="inlineStr"/>
    </row>
    <row r="345" ht="15" customHeight="1">
      <c r="A345" t="inlineStr">
        <is>
          <t>A 3939-2022</t>
        </is>
      </c>
      <c r="B345" s="1" t="n">
        <v>44587</v>
      </c>
      <c r="C345" s="1" t="n">
        <v>45983</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56074-2022</t>
        </is>
      </c>
      <c r="B346" s="1" t="n">
        <v>44889</v>
      </c>
      <c r="C346" s="1" t="n">
        <v>45983</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c r="T346">
        <f>HYPERLINK("https://klasma.github.io/Logging_0483/kartor/A 56074-2022 karta.png", "A 56074-2022")</f>
        <v/>
      </c>
      <c r="V346">
        <f>HYPERLINK("https://klasma.github.io/Logging_0483/klagomål/A 56074-2022 FSC-klagomål.docx", "A 56074-2022")</f>
        <v/>
      </c>
      <c r="W346">
        <f>HYPERLINK("https://klasma.github.io/Logging_0483/klagomålsmail/A 56074-2022 FSC-klagomål mail.docx", "A 56074-2022")</f>
        <v/>
      </c>
      <c r="X346">
        <f>HYPERLINK("https://klasma.github.io/Logging_0483/tillsyn/A 56074-2022 tillsynsbegäran.docx", "A 56074-2022")</f>
        <v/>
      </c>
      <c r="Y346">
        <f>HYPERLINK("https://klasma.github.io/Logging_0483/tillsynsmail/A 56074-2022 tillsynsbegäran mail.docx", "A 56074-2022")</f>
        <v/>
      </c>
    </row>
    <row r="347" ht="15" customHeight="1">
      <c r="A347" t="inlineStr">
        <is>
          <t>A 61915-2021</t>
        </is>
      </c>
      <c r="B347" s="1" t="n">
        <v>44502.36780092592</v>
      </c>
      <c r="C347" s="1" t="n">
        <v>45983</v>
      </c>
      <c r="D347" t="inlineStr">
        <is>
          <t>SÖDERMANLANDS LÄN</t>
        </is>
      </c>
      <c r="E347" t="inlineStr">
        <is>
          <t>KATRINEHOLM</t>
        </is>
      </c>
      <c r="G347" t="n">
        <v>2.6</v>
      </c>
      <c r="H347" t="n">
        <v>0</v>
      </c>
      <c r="I347" t="n">
        <v>0</v>
      </c>
      <c r="J347" t="n">
        <v>0</v>
      </c>
      <c r="K347" t="n">
        <v>0</v>
      </c>
      <c r="L347" t="n">
        <v>0</v>
      </c>
      <c r="M347" t="n">
        <v>0</v>
      </c>
      <c r="N347" t="n">
        <v>0</v>
      </c>
      <c r="O347" t="n">
        <v>0</v>
      </c>
      <c r="P347" t="n">
        <v>0</v>
      </c>
      <c r="Q347" t="n">
        <v>0</v>
      </c>
      <c r="R347" s="2" t="inlineStr"/>
    </row>
    <row r="348" ht="15" customHeight="1">
      <c r="A348" t="inlineStr">
        <is>
          <t>A 51780-2025</t>
        </is>
      </c>
      <c r="B348" s="1" t="n">
        <v>45951.65725694445</v>
      </c>
      <c r="C348" s="1" t="n">
        <v>45983</v>
      </c>
      <c r="D348" t="inlineStr">
        <is>
          <t>SÖDERMANLANDS LÄN</t>
        </is>
      </c>
      <c r="E348" t="inlineStr">
        <is>
          <t>KATRINEHOLM</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29189-2025</t>
        </is>
      </c>
      <c r="B349" s="1" t="n">
        <v>45822</v>
      </c>
      <c r="C349" s="1" t="n">
        <v>45983</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51774-2025</t>
        </is>
      </c>
      <c r="B350" s="1" t="n">
        <v>45951.65359953704</v>
      </c>
      <c r="C350" s="1" t="n">
        <v>45983</v>
      </c>
      <c r="D350" t="inlineStr">
        <is>
          <t>SÖDERMANLANDS LÄN</t>
        </is>
      </c>
      <c r="E350" t="inlineStr">
        <is>
          <t>KATRINEHOLM</t>
        </is>
      </c>
      <c r="F350" t="inlineStr">
        <is>
          <t>Allmännings- och besparingsskogar</t>
        </is>
      </c>
      <c r="G350" t="n">
        <v>3.7</v>
      </c>
      <c r="H350" t="n">
        <v>0</v>
      </c>
      <c r="I350" t="n">
        <v>0</v>
      </c>
      <c r="J350" t="n">
        <v>0</v>
      </c>
      <c r="K350" t="n">
        <v>0</v>
      </c>
      <c r="L350" t="n">
        <v>0</v>
      </c>
      <c r="M350" t="n">
        <v>0</v>
      </c>
      <c r="N350" t="n">
        <v>0</v>
      </c>
      <c r="O350" t="n">
        <v>0</v>
      </c>
      <c r="P350" t="n">
        <v>0</v>
      </c>
      <c r="Q350" t="n">
        <v>0</v>
      </c>
      <c r="R350" s="2" t="inlineStr"/>
    </row>
    <row r="351" ht="15" customHeight="1">
      <c r="A351" t="inlineStr">
        <is>
          <t>A 51783-2025</t>
        </is>
      </c>
      <c r="B351" s="1" t="n">
        <v>45951.67546296296</v>
      </c>
      <c r="C351" s="1" t="n">
        <v>45983</v>
      </c>
      <c r="D351" t="inlineStr">
        <is>
          <t>SÖDERMANLANDS LÄN</t>
        </is>
      </c>
      <c r="E351" t="inlineStr">
        <is>
          <t>KATRINEHOLM</t>
        </is>
      </c>
      <c r="F351" t="inlineStr">
        <is>
          <t>Allmännings- och besparingsskogar</t>
        </is>
      </c>
      <c r="G351" t="n">
        <v>5.8</v>
      </c>
      <c r="H351" t="n">
        <v>0</v>
      </c>
      <c r="I351" t="n">
        <v>0</v>
      </c>
      <c r="J351" t="n">
        <v>0</v>
      </c>
      <c r="K351" t="n">
        <v>0</v>
      </c>
      <c r="L351" t="n">
        <v>0</v>
      </c>
      <c r="M351" t="n">
        <v>0</v>
      </c>
      <c r="N351" t="n">
        <v>0</v>
      </c>
      <c r="O351" t="n">
        <v>0</v>
      </c>
      <c r="P351" t="n">
        <v>0</v>
      </c>
      <c r="Q351" t="n">
        <v>0</v>
      </c>
      <c r="R351" s="2" t="inlineStr"/>
    </row>
    <row r="352" ht="15" customHeight="1">
      <c r="A352" t="inlineStr">
        <is>
          <t>A 8917-2024</t>
        </is>
      </c>
      <c r="B352" s="1" t="n">
        <v>45357.37618055556</v>
      </c>
      <c r="C352" s="1" t="n">
        <v>45983</v>
      </c>
      <c r="D352" t="inlineStr">
        <is>
          <t>SÖDERMANLANDS LÄN</t>
        </is>
      </c>
      <c r="E352" t="inlineStr">
        <is>
          <t>KATRINEHOLM</t>
        </is>
      </c>
      <c r="G352" t="n">
        <v>3</v>
      </c>
      <c r="H352" t="n">
        <v>0</v>
      </c>
      <c r="I352" t="n">
        <v>0</v>
      </c>
      <c r="J352" t="n">
        <v>0</v>
      </c>
      <c r="K352" t="n">
        <v>0</v>
      </c>
      <c r="L352" t="n">
        <v>0</v>
      </c>
      <c r="M352" t="n">
        <v>0</v>
      </c>
      <c r="N352" t="n">
        <v>0</v>
      </c>
      <c r="O352" t="n">
        <v>0</v>
      </c>
      <c r="P352" t="n">
        <v>0</v>
      </c>
      <c r="Q352" t="n">
        <v>0</v>
      </c>
      <c r="R352" s="2" t="inlineStr"/>
    </row>
    <row r="353" ht="15" customHeight="1">
      <c r="A353" t="inlineStr">
        <is>
          <t>A 4656-2023</t>
        </is>
      </c>
      <c r="B353" s="1" t="n">
        <v>44957</v>
      </c>
      <c r="C353" s="1" t="n">
        <v>45983</v>
      </c>
      <c r="D353" t="inlineStr">
        <is>
          <t>SÖDERMANLANDS LÄN</t>
        </is>
      </c>
      <c r="E353" t="inlineStr">
        <is>
          <t>KATRINEHOLM</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30050-2025</t>
        </is>
      </c>
      <c r="B354" s="1" t="n">
        <v>45826.59151620371</v>
      </c>
      <c r="C354" s="1" t="n">
        <v>45983</v>
      </c>
      <c r="D354" t="inlineStr">
        <is>
          <t>SÖDERMANLANDS LÄN</t>
        </is>
      </c>
      <c r="E354" t="inlineStr">
        <is>
          <t>KATRINEHOLM</t>
        </is>
      </c>
      <c r="G354" t="n">
        <v>7.9</v>
      </c>
      <c r="H354" t="n">
        <v>0</v>
      </c>
      <c r="I354" t="n">
        <v>0</v>
      </c>
      <c r="J354" t="n">
        <v>0</v>
      </c>
      <c r="K354" t="n">
        <v>0</v>
      </c>
      <c r="L354" t="n">
        <v>0</v>
      </c>
      <c r="M354" t="n">
        <v>0</v>
      </c>
      <c r="N354" t="n">
        <v>0</v>
      </c>
      <c r="O354" t="n">
        <v>0</v>
      </c>
      <c r="P354" t="n">
        <v>0</v>
      </c>
      <c r="Q354" t="n">
        <v>0</v>
      </c>
      <c r="R354" s="2" t="inlineStr"/>
    </row>
    <row r="355" ht="15" customHeight="1">
      <c r="A355" t="inlineStr">
        <is>
          <t>A 59093-2024</t>
        </is>
      </c>
      <c r="B355" s="1" t="n">
        <v>45636</v>
      </c>
      <c r="C355" s="1" t="n">
        <v>45983</v>
      </c>
      <c r="D355" t="inlineStr">
        <is>
          <t>SÖDERMANLANDS LÄN</t>
        </is>
      </c>
      <c r="E355" t="inlineStr">
        <is>
          <t>KATRINEHOLM</t>
        </is>
      </c>
      <c r="G355" t="n">
        <v>2.8</v>
      </c>
      <c r="H355" t="n">
        <v>0</v>
      </c>
      <c r="I355" t="n">
        <v>0</v>
      </c>
      <c r="J355" t="n">
        <v>0</v>
      </c>
      <c r="K355" t="n">
        <v>0</v>
      </c>
      <c r="L355" t="n">
        <v>0</v>
      </c>
      <c r="M355" t="n">
        <v>0</v>
      </c>
      <c r="N355" t="n">
        <v>0</v>
      </c>
      <c r="O355" t="n">
        <v>0</v>
      </c>
      <c r="P355" t="n">
        <v>0</v>
      </c>
      <c r="Q355" t="n">
        <v>0</v>
      </c>
      <c r="R355" s="2" t="inlineStr"/>
    </row>
    <row r="356" ht="15" customHeight="1">
      <c r="A356" t="inlineStr">
        <is>
          <t>A 30070-2025</t>
        </is>
      </c>
      <c r="B356" s="1" t="n">
        <v>45826.63324074074</v>
      </c>
      <c r="C356" s="1" t="n">
        <v>45983</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38872-2024</t>
        </is>
      </c>
      <c r="B357" s="1" t="n">
        <v>45547</v>
      </c>
      <c r="C357" s="1" t="n">
        <v>45983</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52242-2025</t>
        </is>
      </c>
      <c r="B358" s="1" t="n">
        <v>45953.46886574074</v>
      </c>
      <c r="C358" s="1" t="n">
        <v>45983</v>
      </c>
      <c r="D358" t="inlineStr">
        <is>
          <t>SÖDERMANLANDS LÄN</t>
        </is>
      </c>
      <c r="E358" t="inlineStr">
        <is>
          <t>KATRINEHOLM</t>
        </is>
      </c>
      <c r="G358" t="n">
        <v>5.3</v>
      </c>
      <c r="H358" t="n">
        <v>0</v>
      </c>
      <c r="I358" t="n">
        <v>0</v>
      </c>
      <c r="J358" t="n">
        <v>0</v>
      </c>
      <c r="K358" t="n">
        <v>0</v>
      </c>
      <c r="L358" t="n">
        <v>0</v>
      </c>
      <c r="M358" t="n">
        <v>0</v>
      </c>
      <c r="N358" t="n">
        <v>0</v>
      </c>
      <c r="O358" t="n">
        <v>0</v>
      </c>
      <c r="P358" t="n">
        <v>0</v>
      </c>
      <c r="Q358" t="n">
        <v>0</v>
      </c>
      <c r="R358" s="2" t="inlineStr"/>
    </row>
    <row r="359" ht="15" customHeight="1">
      <c r="A359" t="inlineStr">
        <is>
          <t>A 30287-2025</t>
        </is>
      </c>
      <c r="B359" s="1" t="n">
        <v>45827</v>
      </c>
      <c r="C359" s="1" t="n">
        <v>45983</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30350-2025</t>
        </is>
      </c>
      <c r="B360" s="1" t="n">
        <v>45827.53319444445</v>
      </c>
      <c r="C360" s="1" t="n">
        <v>45983</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30352-2025</t>
        </is>
      </c>
      <c r="B361" s="1" t="n">
        <v>45827</v>
      </c>
      <c r="C361" s="1" t="n">
        <v>45983</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52239-2025</t>
        </is>
      </c>
      <c r="B362" s="1" t="n">
        <v>45953.46193287037</v>
      </c>
      <c r="C362" s="1" t="n">
        <v>45983</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30386-2025</t>
        </is>
      </c>
      <c r="B363" s="1" t="n">
        <v>45827</v>
      </c>
      <c r="C363" s="1" t="n">
        <v>45983</v>
      </c>
      <c r="D363" t="inlineStr">
        <is>
          <t>SÖDERMANLANDS LÄN</t>
        </is>
      </c>
      <c r="E363" t="inlineStr">
        <is>
          <t>KATRINEHOLM</t>
        </is>
      </c>
      <c r="G363" t="n">
        <v>5.6</v>
      </c>
      <c r="H363" t="n">
        <v>0</v>
      </c>
      <c r="I363" t="n">
        <v>0</v>
      </c>
      <c r="J363" t="n">
        <v>0</v>
      </c>
      <c r="K363" t="n">
        <v>0</v>
      </c>
      <c r="L363" t="n">
        <v>0</v>
      </c>
      <c r="M363" t="n">
        <v>0</v>
      </c>
      <c r="N363" t="n">
        <v>0</v>
      </c>
      <c r="O363" t="n">
        <v>0</v>
      </c>
      <c r="P363" t="n">
        <v>0</v>
      </c>
      <c r="Q363" t="n">
        <v>0</v>
      </c>
      <c r="R363" s="2" t="inlineStr"/>
    </row>
    <row r="364" ht="15" customHeight="1">
      <c r="A364" t="inlineStr">
        <is>
          <t>A 69600-2020</t>
        </is>
      </c>
      <c r="B364" s="1" t="n">
        <v>44195</v>
      </c>
      <c r="C364" s="1" t="n">
        <v>45983</v>
      </c>
      <c r="D364" t="inlineStr">
        <is>
          <t>SÖDERMANLANDS LÄN</t>
        </is>
      </c>
      <c r="E364" t="inlineStr">
        <is>
          <t>KATRINEHOLM</t>
        </is>
      </c>
      <c r="G364" t="n">
        <v>11.3</v>
      </c>
      <c r="H364" t="n">
        <v>0</v>
      </c>
      <c r="I364" t="n">
        <v>0</v>
      </c>
      <c r="J364" t="n">
        <v>0</v>
      </c>
      <c r="K364" t="n">
        <v>0</v>
      </c>
      <c r="L364" t="n">
        <v>0</v>
      </c>
      <c r="M364" t="n">
        <v>0</v>
      </c>
      <c r="N364" t="n">
        <v>0</v>
      </c>
      <c r="O364" t="n">
        <v>0</v>
      </c>
      <c r="P364" t="n">
        <v>0</v>
      </c>
      <c r="Q364" t="n">
        <v>0</v>
      </c>
      <c r="R364" s="2" t="inlineStr"/>
    </row>
    <row r="365" ht="15" customHeight="1">
      <c r="A365" t="inlineStr">
        <is>
          <t>A 30402-2025</t>
        </is>
      </c>
      <c r="B365" s="1" t="n">
        <v>45827</v>
      </c>
      <c r="C365" s="1" t="n">
        <v>45983</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9932-2023</t>
        </is>
      </c>
      <c r="B366" s="1" t="n">
        <v>44985.46709490741</v>
      </c>
      <c r="C366" s="1" t="n">
        <v>45983</v>
      </c>
      <c r="D366" t="inlineStr">
        <is>
          <t>SÖDERMANLANDS LÄN</t>
        </is>
      </c>
      <c r="E366" t="inlineStr">
        <is>
          <t>KATRINEHOLM</t>
        </is>
      </c>
      <c r="G366" t="n">
        <v>0.3</v>
      </c>
      <c r="H366" t="n">
        <v>0</v>
      </c>
      <c r="I366" t="n">
        <v>0</v>
      </c>
      <c r="J366" t="n">
        <v>0</v>
      </c>
      <c r="K366" t="n">
        <v>0</v>
      </c>
      <c r="L366" t="n">
        <v>0</v>
      </c>
      <c r="M366" t="n">
        <v>0</v>
      </c>
      <c r="N366" t="n">
        <v>0</v>
      </c>
      <c r="O366" t="n">
        <v>0</v>
      </c>
      <c r="P366" t="n">
        <v>0</v>
      </c>
      <c r="Q366" t="n">
        <v>0</v>
      </c>
      <c r="R366" s="2" t="inlineStr"/>
    </row>
    <row r="367" ht="15" customHeight="1">
      <c r="A367" t="inlineStr">
        <is>
          <t>A 52744-2025</t>
        </is>
      </c>
      <c r="B367" s="1" t="n">
        <v>45957.38387731482</v>
      </c>
      <c r="C367" s="1" t="n">
        <v>45983</v>
      </c>
      <c r="D367" t="inlineStr">
        <is>
          <t>SÖDERMANLANDS LÄN</t>
        </is>
      </c>
      <c r="E367" t="inlineStr">
        <is>
          <t>KATRINEHOLM</t>
        </is>
      </c>
      <c r="G367" t="n">
        <v>4</v>
      </c>
      <c r="H367" t="n">
        <v>0</v>
      </c>
      <c r="I367" t="n">
        <v>0</v>
      </c>
      <c r="J367" t="n">
        <v>0</v>
      </c>
      <c r="K367" t="n">
        <v>0</v>
      </c>
      <c r="L367" t="n">
        <v>0</v>
      </c>
      <c r="M367" t="n">
        <v>0</v>
      </c>
      <c r="N367" t="n">
        <v>0</v>
      </c>
      <c r="O367" t="n">
        <v>0</v>
      </c>
      <c r="P367" t="n">
        <v>0</v>
      </c>
      <c r="Q367" t="n">
        <v>0</v>
      </c>
      <c r="R367" s="2" t="inlineStr"/>
    </row>
    <row r="368" ht="15" customHeight="1">
      <c r="A368" t="inlineStr">
        <is>
          <t>A 61674-2020</t>
        </is>
      </c>
      <c r="B368" s="1" t="n">
        <v>44158</v>
      </c>
      <c r="C368" s="1" t="n">
        <v>45983</v>
      </c>
      <c r="D368" t="inlineStr">
        <is>
          <t>SÖDERMANLANDS LÄN</t>
        </is>
      </c>
      <c r="E368" t="inlineStr">
        <is>
          <t>KATRINEHOLM</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9192-2023</t>
        </is>
      </c>
      <c r="B369" s="1" t="n">
        <v>44980</v>
      </c>
      <c r="C369" s="1" t="n">
        <v>45983</v>
      </c>
      <c r="D369" t="inlineStr">
        <is>
          <t>SÖDERMANLANDS LÄN</t>
        </is>
      </c>
      <c r="E369" t="inlineStr">
        <is>
          <t>KATRINEHOLM</t>
        </is>
      </c>
      <c r="F369" t="inlineStr">
        <is>
          <t>Övriga Aktiebolag</t>
        </is>
      </c>
      <c r="G369" t="n">
        <v>1.6</v>
      </c>
      <c r="H369" t="n">
        <v>0</v>
      </c>
      <c r="I369" t="n">
        <v>0</v>
      </c>
      <c r="J369" t="n">
        <v>0</v>
      </c>
      <c r="K369" t="n">
        <v>0</v>
      </c>
      <c r="L369" t="n">
        <v>0</v>
      </c>
      <c r="M369" t="n">
        <v>0</v>
      </c>
      <c r="N369" t="n">
        <v>0</v>
      </c>
      <c r="O369" t="n">
        <v>0</v>
      </c>
      <c r="P369" t="n">
        <v>0</v>
      </c>
      <c r="Q369" t="n">
        <v>0</v>
      </c>
      <c r="R369" s="2" t="inlineStr"/>
    </row>
    <row r="370" ht="15" customHeight="1">
      <c r="A370" t="inlineStr">
        <is>
          <t>A 15399-2022</t>
        </is>
      </c>
      <c r="B370" s="1" t="n">
        <v>44659</v>
      </c>
      <c r="C370" s="1" t="n">
        <v>45983</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11872-2023</t>
        </is>
      </c>
      <c r="B371" s="1" t="n">
        <v>44995</v>
      </c>
      <c r="C371" s="1" t="n">
        <v>45983</v>
      </c>
      <c r="D371" t="inlineStr">
        <is>
          <t>SÖDERMANLANDS LÄN</t>
        </is>
      </c>
      <c r="E371" t="inlineStr">
        <is>
          <t>KATRINEHOLM</t>
        </is>
      </c>
      <c r="F371" t="inlineStr">
        <is>
          <t>Kommuner</t>
        </is>
      </c>
      <c r="G371" t="n">
        <v>0.9</v>
      </c>
      <c r="H371" t="n">
        <v>0</v>
      </c>
      <c r="I371" t="n">
        <v>0</v>
      </c>
      <c r="J371" t="n">
        <v>0</v>
      </c>
      <c r="K371" t="n">
        <v>0</v>
      </c>
      <c r="L371" t="n">
        <v>0</v>
      </c>
      <c r="M371" t="n">
        <v>0</v>
      </c>
      <c r="N371" t="n">
        <v>0</v>
      </c>
      <c r="O371" t="n">
        <v>0</v>
      </c>
      <c r="P371" t="n">
        <v>0</v>
      </c>
      <c r="Q371" t="n">
        <v>0</v>
      </c>
      <c r="R371" s="2" t="inlineStr"/>
    </row>
    <row r="372" ht="15" customHeight="1">
      <c r="A372" t="inlineStr">
        <is>
          <t>A 49092-2024</t>
        </is>
      </c>
      <c r="B372" s="1" t="n">
        <v>45594.63619212963</v>
      </c>
      <c r="C372" s="1" t="n">
        <v>45983</v>
      </c>
      <c r="D372" t="inlineStr">
        <is>
          <t>SÖDERMANLANDS LÄN</t>
        </is>
      </c>
      <c r="E372" t="inlineStr">
        <is>
          <t>KATRINEHOLM</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49095-2024</t>
        </is>
      </c>
      <c r="B373" s="1" t="n">
        <v>45594.63828703704</v>
      </c>
      <c r="C373" s="1" t="n">
        <v>45983</v>
      </c>
      <c r="D373" t="inlineStr">
        <is>
          <t>SÖDERMANLANDS LÄN</t>
        </is>
      </c>
      <c r="E373" t="inlineStr">
        <is>
          <t>KATRINEHOLM</t>
        </is>
      </c>
      <c r="F373" t="inlineStr">
        <is>
          <t>Övriga Aktiebolag</t>
        </is>
      </c>
      <c r="G373" t="n">
        <v>0.4</v>
      </c>
      <c r="H373" t="n">
        <v>0</v>
      </c>
      <c r="I373" t="n">
        <v>0</v>
      </c>
      <c r="J373" t="n">
        <v>0</v>
      </c>
      <c r="K373" t="n">
        <v>0</v>
      </c>
      <c r="L373" t="n">
        <v>0</v>
      </c>
      <c r="M373" t="n">
        <v>0</v>
      </c>
      <c r="N373" t="n">
        <v>0</v>
      </c>
      <c r="O373" t="n">
        <v>0</v>
      </c>
      <c r="P373" t="n">
        <v>0</v>
      </c>
      <c r="Q373" t="n">
        <v>0</v>
      </c>
      <c r="R373" s="2" t="inlineStr"/>
    </row>
    <row r="374" ht="15" customHeight="1">
      <c r="A374" t="inlineStr">
        <is>
          <t>A 31376-2025</t>
        </is>
      </c>
      <c r="B374" s="1" t="n">
        <v>45833</v>
      </c>
      <c r="C374" s="1" t="n">
        <v>45983</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7254-2021</t>
        </is>
      </c>
      <c r="B375" s="1" t="n">
        <v>44238</v>
      </c>
      <c r="C375" s="1" t="n">
        <v>45983</v>
      </c>
      <c r="D375" t="inlineStr">
        <is>
          <t>SÖDERMANLANDS LÄN</t>
        </is>
      </c>
      <c r="E375" t="inlineStr">
        <is>
          <t>KATRINEHOLM</t>
        </is>
      </c>
      <c r="G375" t="n">
        <v>3.6</v>
      </c>
      <c r="H375" t="n">
        <v>0</v>
      </c>
      <c r="I375" t="n">
        <v>0</v>
      </c>
      <c r="J375" t="n">
        <v>0</v>
      </c>
      <c r="K375" t="n">
        <v>0</v>
      </c>
      <c r="L375" t="n">
        <v>0</v>
      </c>
      <c r="M375" t="n">
        <v>0</v>
      </c>
      <c r="N375" t="n">
        <v>0</v>
      </c>
      <c r="O375" t="n">
        <v>0</v>
      </c>
      <c r="P375" t="n">
        <v>0</v>
      </c>
      <c r="Q375" t="n">
        <v>0</v>
      </c>
      <c r="R375" s="2" t="inlineStr"/>
    </row>
    <row r="376" ht="15" customHeight="1">
      <c r="A376" t="inlineStr">
        <is>
          <t>A 44071-2025</t>
        </is>
      </c>
      <c r="B376" s="1" t="n">
        <v>45915</v>
      </c>
      <c r="C376" s="1" t="n">
        <v>45983</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65077-2020</t>
        </is>
      </c>
      <c r="B377" s="1" t="n">
        <v>44172</v>
      </c>
      <c r="C377" s="1" t="n">
        <v>45983</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36-2023</t>
        </is>
      </c>
      <c r="B378" s="1" t="n">
        <v>44928.36578703704</v>
      </c>
      <c r="C378" s="1" t="n">
        <v>45983</v>
      </c>
      <c r="D378" t="inlineStr">
        <is>
          <t>SÖDERMANLANDS LÄN</t>
        </is>
      </c>
      <c r="E378" t="inlineStr">
        <is>
          <t>KATRINEHOLM</t>
        </is>
      </c>
      <c r="G378" t="n">
        <v>3.7</v>
      </c>
      <c r="H378" t="n">
        <v>0</v>
      </c>
      <c r="I378" t="n">
        <v>0</v>
      </c>
      <c r="J378" t="n">
        <v>0</v>
      </c>
      <c r="K378" t="n">
        <v>0</v>
      </c>
      <c r="L378" t="n">
        <v>0</v>
      </c>
      <c r="M378" t="n">
        <v>0</v>
      </c>
      <c r="N378" t="n">
        <v>0</v>
      </c>
      <c r="O378" t="n">
        <v>0</v>
      </c>
      <c r="P378" t="n">
        <v>0</v>
      </c>
      <c r="Q378" t="n">
        <v>0</v>
      </c>
      <c r="R378" s="2" t="inlineStr"/>
    </row>
    <row r="379" ht="15" customHeight="1">
      <c r="A379" t="inlineStr">
        <is>
          <t>A 31392-2025</t>
        </is>
      </c>
      <c r="B379" s="1" t="n">
        <v>45833</v>
      </c>
      <c r="C379" s="1" t="n">
        <v>45983</v>
      </c>
      <c r="D379" t="inlineStr">
        <is>
          <t>SÖDERMANLANDS LÄN</t>
        </is>
      </c>
      <c r="E379" t="inlineStr">
        <is>
          <t>KATRINEHOLM</t>
        </is>
      </c>
      <c r="G379" t="n">
        <v>5</v>
      </c>
      <c r="H379" t="n">
        <v>0</v>
      </c>
      <c r="I379" t="n">
        <v>0</v>
      </c>
      <c r="J379" t="n">
        <v>0</v>
      </c>
      <c r="K379" t="n">
        <v>0</v>
      </c>
      <c r="L379" t="n">
        <v>0</v>
      </c>
      <c r="M379" t="n">
        <v>0</v>
      </c>
      <c r="N379" t="n">
        <v>0</v>
      </c>
      <c r="O379" t="n">
        <v>0</v>
      </c>
      <c r="P379" t="n">
        <v>0</v>
      </c>
      <c r="Q379" t="n">
        <v>0</v>
      </c>
      <c r="R379" s="2" t="inlineStr"/>
    </row>
    <row r="380" ht="15" customHeight="1">
      <c r="A380" t="inlineStr">
        <is>
          <t>A 43975-2025</t>
        </is>
      </c>
      <c r="B380" s="1" t="n">
        <v>45915.41148148148</v>
      </c>
      <c r="C380" s="1" t="n">
        <v>45983</v>
      </c>
      <c r="D380" t="inlineStr">
        <is>
          <t>SÖDERMANLANDS LÄN</t>
        </is>
      </c>
      <c r="E380" t="inlineStr">
        <is>
          <t>KATRINEHOLM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10341-2022</t>
        </is>
      </c>
      <c r="B381" s="1" t="n">
        <v>44623</v>
      </c>
      <c r="C381" s="1" t="n">
        <v>45983</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31386-2025</t>
        </is>
      </c>
      <c r="B382" s="1" t="n">
        <v>45833.45259259259</v>
      </c>
      <c r="C382" s="1" t="n">
        <v>45983</v>
      </c>
      <c r="D382" t="inlineStr">
        <is>
          <t>SÖDERMANLANDS LÄN</t>
        </is>
      </c>
      <c r="E382" t="inlineStr">
        <is>
          <t>KATRINEHOLM</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12835-2024</t>
        </is>
      </c>
      <c r="B383" s="1" t="n">
        <v>45384</v>
      </c>
      <c r="C383" s="1" t="n">
        <v>45983</v>
      </c>
      <c r="D383" t="inlineStr">
        <is>
          <t>SÖDERMANLANDS LÄN</t>
        </is>
      </c>
      <c r="E383" t="inlineStr">
        <is>
          <t>KATRINEHOLM</t>
        </is>
      </c>
      <c r="F383" t="inlineStr">
        <is>
          <t>Allmännings- och besparingsskogar</t>
        </is>
      </c>
      <c r="G383" t="n">
        <v>0.5</v>
      </c>
      <c r="H383" t="n">
        <v>0</v>
      </c>
      <c r="I383" t="n">
        <v>0</v>
      </c>
      <c r="J383" t="n">
        <v>0</v>
      </c>
      <c r="K383" t="n">
        <v>0</v>
      </c>
      <c r="L383" t="n">
        <v>0</v>
      </c>
      <c r="M383" t="n">
        <v>0</v>
      </c>
      <c r="N383" t="n">
        <v>0</v>
      </c>
      <c r="O383" t="n">
        <v>0</v>
      </c>
      <c r="P383" t="n">
        <v>0</v>
      </c>
      <c r="Q383" t="n">
        <v>0</v>
      </c>
      <c r="R383" s="2" t="inlineStr"/>
    </row>
    <row r="384" ht="15" customHeight="1">
      <c r="A384" t="inlineStr">
        <is>
          <t>A 25716-2022</t>
        </is>
      </c>
      <c r="B384" s="1" t="n">
        <v>44733.39600694444</v>
      </c>
      <c r="C384" s="1" t="n">
        <v>45983</v>
      </c>
      <c r="D384" t="inlineStr">
        <is>
          <t>SÖDERMANLANDS LÄN</t>
        </is>
      </c>
      <c r="E384" t="inlineStr">
        <is>
          <t>KATRINEHOLM</t>
        </is>
      </c>
      <c r="G384" t="n">
        <v>3.4</v>
      </c>
      <c r="H384" t="n">
        <v>0</v>
      </c>
      <c r="I384" t="n">
        <v>0</v>
      </c>
      <c r="J384" t="n">
        <v>0</v>
      </c>
      <c r="K384" t="n">
        <v>0</v>
      </c>
      <c r="L384" t="n">
        <v>0</v>
      </c>
      <c r="M384" t="n">
        <v>0</v>
      </c>
      <c r="N384" t="n">
        <v>0</v>
      </c>
      <c r="O384" t="n">
        <v>0</v>
      </c>
      <c r="P384" t="n">
        <v>0</v>
      </c>
      <c r="Q384" t="n">
        <v>0</v>
      </c>
      <c r="R384" s="2" t="inlineStr"/>
    </row>
    <row r="385" ht="15" customHeight="1">
      <c r="A385" t="inlineStr">
        <is>
          <t>A 53338-2025</t>
        </is>
      </c>
      <c r="B385" s="1" t="n">
        <v>45959.40447916667</v>
      </c>
      <c r="C385" s="1" t="n">
        <v>45983</v>
      </c>
      <c r="D385" t="inlineStr">
        <is>
          <t>SÖDERMANLANDS LÄN</t>
        </is>
      </c>
      <c r="E385" t="inlineStr">
        <is>
          <t>KATRINEHOLM</t>
        </is>
      </c>
      <c r="G385" t="n">
        <v>2.9</v>
      </c>
      <c r="H385" t="n">
        <v>0</v>
      </c>
      <c r="I385" t="n">
        <v>0</v>
      </c>
      <c r="J385" t="n">
        <v>0</v>
      </c>
      <c r="K385" t="n">
        <v>0</v>
      </c>
      <c r="L385" t="n">
        <v>0</v>
      </c>
      <c r="M385" t="n">
        <v>0</v>
      </c>
      <c r="N385" t="n">
        <v>0</v>
      </c>
      <c r="O385" t="n">
        <v>0</v>
      </c>
      <c r="P385" t="n">
        <v>0</v>
      </c>
      <c r="Q385" t="n">
        <v>0</v>
      </c>
      <c r="R385" s="2" t="inlineStr"/>
    </row>
    <row r="386" ht="15" customHeight="1">
      <c r="A386" t="inlineStr">
        <is>
          <t>A 6807-2023</t>
        </is>
      </c>
      <c r="B386" s="1" t="n">
        <v>44964</v>
      </c>
      <c r="C386" s="1" t="n">
        <v>45983</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9668-2023</t>
        </is>
      </c>
      <c r="B387" s="1" t="n">
        <v>44984.41238425926</v>
      </c>
      <c r="C387" s="1" t="n">
        <v>45983</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31990-2025</t>
        </is>
      </c>
      <c r="B388" s="1" t="n">
        <v>45835.36697916667</v>
      </c>
      <c r="C388" s="1" t="n">
        <v>45983</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9044-2022</t>
        </is>
      </c>
      <c r="B389" s="1" t="n">
        <v>44602</v>
      </c>
      <c r="C389" s="1" t="n">
        <v>45983</v>
      </c>
      <c r="D389" t="inlineStr">
        <is>
          <t>SÖDERMANLANDS LÄN</t>
        </is>
      </c>
      <c r="E389" t="inlineStr">
        <is>
          <t>KATRINEHOLM</t>
        </is>
      </c>
      <c r="G389" t="n">
        <v>5.8</v>
      </c>
      <c r="H389" t="n">
        <v>0</v>
      </c>
      <c r="I389" t="n">
        <v>0</v>
      </c>
      <c r="J389" t="n">
        <v>0</v>
      </c>
      <c r="K389" t="n">
        <v>0</v>
      </c>
      <c r="L389" t="n">
        <v>0</v>
      </c>
      <c r="M389" t="n">
        <v>0</v>
      </c>
      <c r="N389" t="n">
        <v>0</v>
      </c>
      <c r="O389" t="n">
        <v>0</v>
      </c>
      <c r="P389" t="n">
        <v>0</v>
      </c>
      <c r="Q389" t="n">
        <v>0</v>
      </c>
      <c r="R389" s="2" t="inlineStr"/>
    </row>
    <row r="390" ht="15" customHeight="1">
      <c r="A390" t="inlineStr">
        <is>
          <t>A 33077-2025</t>
        </is>
      </c>
      <c r="B390" s="1" t="n">
        <v>45840.45864583334</v>
      </c>
      <c r="C390" s="1" t="n">
        <v>45983</v>
      </c>
      <c r="D390" t="inlineStr">
        <is>
          <t>SÖDERMANLANDS LÄN</t>
        </is>
      </c>
      <c r="E390" t="inlineStr">
        <is>
          <t>KATRINEHOLM</t>
        </is>
      </c>
      <c r="G390" t="n">
        <v>7</v>
      </c>
      <c r="H390" t="n">
        <v>0</v>
      </c>
      <c r="I390" t="n">
        <v>0</v>
      </c>
      <c r="J390" t="n">
        <v>0</v>
      </c>
      <c r="K390" t="n">
        <v>0</v>
      </c>
      <c r="L390" t="n">
        <v>0</v>
      </c>
      <c r="M390" t="n">
        <v>0</v>
      </c>
      <c r="N390" t="n">
        <v>0</v>
      </c>
      <c r="O390" t="n">
        <v>0</v>
      </c>
      <c r="P390" t="n">
        <v>0</v>
      </c>
      <c r="Q390" t="n">
        <v>0</v>
      </c>
      <c r="R390" s="2" t="inlineStr"/>
    </row>
    <row r="391" ht="15" customHeight="1">
      <c r="A391" t="inlineStr">
        <is>
          <t>A 52244-2025</t>
        </is>
      </c>
      <c r="B391" s="1" t="n">
        <v>45953</v>
      </c>
      <c r="C391" s="1" t="n">
        <v>45983</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48091-2024</t>
        </is>
      </c>
      <c r="B392" s="1" t="n">
        <v>45590</v>
      </c>
      <c r="C392" s="1" t="n">
        <v>45983</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45983</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33096-2025</t>
        </is>
      </c>
      <c r="B394" s="1" t="n">
        <v>45840.47563657408</v>
      </c>
      <c r="C394" s="1" t="n">
        <v>45983</v>
      </c>
      <c r="D394" t="inlineStr">
        <is>
          <t>SÖDERMANLANDS LÄN</t>
        </is>
      </c>
      <c r="E394" t="inlineStr">
        <is>
          <t>KATRINEHOLM</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33101-2025</t>
        </is>
      </c>
      <c r="B395" s="1" t="n">
        <v>45840.47953703703</v>
      </c>
      <c r="C395" s="1" t="n">
        <v>45983</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33090-2025</t>
        </is>
      </c>
      <c r="B396" s="1" t="n">
        <v>45840.46840277778</v>
      </c>
      <c r="C396" s="1" t="n">
        <v>45983</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33084-2025</t>
        </is>
      </c>
      <c r="B397" s="1" t="n">
        <v>45840.46559027778</v>
      </c>
      <c r="C397" s="1" t="n">
        <v>45983</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33129-2025</t>
        </is>
      </c>
      <c r="B398" s="1" t="n">
        <v>45840.50141203704</v>
      </c>
      <c r="C398" s="1" t="n">
        <v>45983</v>
      </c>
      <c r="D398" t="inlineStr">
        <is>
          <t>SÖDERMANLANDS LÄN</t>
        </is>
      </c>
      <c r="E398" t="inlineStr">
        <is>
          <t>KATRINEHOLM</t>
        </is>
      </c>
      <c r="G398" t="n">
        <v>2.6</v>
      </c>
      <c r="H398" t="n">
        <v>0</v>
      </c>
      <c r="I398" t="n">
        <v>0</v>
      </c>
      <c r="J398" t="n">
        <v>0</v>
      </c>
      <c r="K398" t="n">
        <v>0</v>
      </c>
      <c r="L398" t="n">
        <v>0</v>
      </c>
      <c r="M398" t="n">
        <v>0</v>
      </c>
      <c r="N398" t="n">
        <v>0</v>
      </c>
      <c r="O398" t="n">
        <v>0</v>
      </c>
      <c r="P398" t="n">
        <v>0</v>
      </c>
      <c r="Q398" t="n">
        <v>0</v>
      </c>
      <c r="R398" s="2" t="inlineStr"/>
    </row>
    <row r="399" ht="15" customHeight="1">
      <c r="A399" t="inlineStr">
        <is>
          <t>A 46670-2021</t>
        </is>
      </c>
      <c r="B399" s="1" t="n">
        <v>44445</v>
      </c>
      <c r="C399" s="1" t="n">
        <v>45983</v>
      </c>
      <c r="D399" t="inlineStr">
        <is>
          <t>SÖDERMANLANDS LÄN</t>
        </is>
      </c>
      <c r="E399" t="inlineStr">
        <is>
          <t>KATRINEHOLM</t>
        </is>
      </c>
      <c r="G399" t="n">
        <v>4.4</v>
      </c>
      <c r="H399" t="n">
        <v>0</v>
      </c>
      <c r="I399" t="n">
        <v>0</v>
      </c>
      <c r="J399" t="n">
        <v>0</v>
      </c>
      <c r="K399" t="n">
        <v>0</v>
      </c>
      <c r="L399" t="n">
        <v>0</v>
      </c>
      <c r="M399" t="n">
        <v>0</v>
      </c>
      <c r="N399" t="n">
        <v>0</v>
      </c>
      <c r="O399" t="n">
        <v>0</v>
      </c>
      <c r="P399" t="n">
        <v>0</v>
      </c>
      <c r="Q399" t="n">
        <v>0</v>
      </c>
      <c r="R399" s="2" t="inlineStr"/>
    </row>
    <row r="400" ht="15" customHeight="1">
      <c r="A400" t="inlineStr">
        <is>
          <t>A 62954-2023</t>
        </is>
      </c>
      <c r="B400" s="1" t="n">
        <v>45272.55362268518</v>
      </c>
      <c r="C400" s="1" t="n">
        <v>45983</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33577-2025</t>
        </is>
      </c>
      <c r="B401" s="1" t="n">
        <v>45841.59056712963</v>
      </c>
      <c r="C401" s="1" t="n">
        <v>45983</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33469-2025</t>
        </is>
      </c>
      <c r="B402" s="1" t="n">
        <v>45841.48686342593</v>
      </c>
      <c r="C402" s="1" t="n">
        <v>45983</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58651-2023</t>
        </is>
      </c>
      <c r="B403" s="1" t="n">
        <v>45247</v>
      </c>
      <c r="C403" s="1" t="n">
        <v>45983</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12238-2021</t>
        </is>
      </c>
      <c r="B404" s="1" t="n">
        <v>44266</v>
      </c>
      <c r="C404" s="1" t="n">
        <v>45983</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33812-2025</t>
        </is>
      </c>
      <c r="B405" s="1" t="n">
        <v>45842</v>
      </c>
      <c r="C405" s="1" t="n">
        <v>45983</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33815-2025</t>
        </is>
      </c>
      <c r="B406" s="1" t="n">
        <v>45842</v>
      </c>
      <c r="C406" s="1" t="n">
        <v>45983</v>
      </c>
      <c r="D406" t="inlineStr">
        <is>
          <t>SÖDERMANLANDS LÄN</t>
        </is>
      </c>
      <c r="E406" t="inlineStr">
        <is>
          <t>KATRINEHOLM</t>
        </is>
      </c>
      <c r="G406" t="n">
        <v>3.4</v>
      </c>
      <c r="H406" t="n">
        <v>0</v>
      </c>
      <c r="I406" t="n">
        <v>0</v>
      </c>
      <c r="J406" t="n">
        <v>0</v>
      </c>
      <c r="K406" t="n">
        <v>0</v>
      </c>
      <c r="L406" t="n">
        <v>0</v>
      </c>
      <c r="M406" t="n">
        <v>0</v>
      </c>
      <c r="N406" t="n">
        <v>0</v>
      </c>
      <c r="O406" t="n">
        <v>0</v>
      </c>
      <c r="P406" t="n">
        <v>0</v>
      </c>
      <c r="Q406" t="n">
        <v>0</v>
      </c>
      <c r="R406" s="2" t="inlineStr"/>
    </row>
    <row r="407" ht="15" customHeight="1">
      <c r="A407" t="inlineStr">
        <is>
          <t>A 6762-2025</t>
        </is>
      </c>
      <c r="B407" s="1" t="n">
        <v>45700</v>
      </c>
      <c r="C407" s="1" t="n">
        <v>45983</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20213-2025</t>
        </is>
      </c>
      <c r="B408" s="1" t="n">
        <v>45772.63453703704</v>
      </c>
      <c r="C408" s="1" t="n">
        <v>45983</v>
      </c>
      <c r="D408" t="inlineStr">
        <is>
          <t>SÖDERMANLANDS LÄN</t>
        </is>
      </c>
      <c r="E408" t="inlineStr">
        <is>
          <t>KATRINEHOLM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6446-2022</t>
        </is>
      </c>
      <c r="B409" s="1" t="n">
        <v>44600</v>
      </c>
      <c r="C409" s="1" t="n">
        <v>45983</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51923-2023</t>
        </is>
      </c>
      <c r="B410" s="1" t="n">
        <v>45223</v>
      </c>
      <c r="C410" s="1" t="n">
        <v>45983</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54395-2025</t>
        </is>
      </c>
      <c r="B411" s="1" t="n">
        <v>45964</v>
      </c>
      <c r="C411" s="1" t="n">
        <v>45983</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35156-2025</t>
        </is>
      </c>
      <c r="B412" s="1" t="n">
        <v>45852</v>
      </c>
      <c r="C412" s="1" t="n">
        <v>45983</v>
      </c>
      <c r="D412" t="inlineStr">
        <is>
          <t>SÖDERMANLANDS LÄN</t>
        </is>
      </c>
      <c r="E412" t="inlineStr">
        <is>
          <t>KATRINEHOLM</t>
        </is>
      </c>
      <c r="G412" t="n">
        <v>5.7</v>
      </c>
      <c r="H412" t="n">
        <v>0</v>
      </c>
      <c r="I412" t="n">
        <v>0</v>
      </c>
      <c r="J412" t="n">
        <v>0</v>
      </c>
      <c r="K412" t="n">
        <v>0</v>
      </c>
      <c r="L412" t="n">
        <v>0</v>
      </c>
      <c r="M412" t="n">
        <v>0</v>
      </c>
      <c r="N412" t="n">
        <v>0</v>
      </c>
      <c r="O412" t="n">
        <v>0</v>
      </c>
      <c r="P412" t="n">
        <v>0</v>
      </c>
      <c r="Q412" t="n">
        <v>0</v>
      </c>
      <c r="R412" s="2" t="inlineStr"/>
    </row>
    <row r="413" ht="15" customHeight="1">
      <c r="A413" t="inlineStr">
        <is>
          <t>A 18386-2025</t>
        </is>
      </c>
      <c r="B413" s="1" t="n">
        <v>45762</v>
      </c>
      <c r="C413" s="1" t="n">
        <v>45983</v>
      </c>
      <c r="D413" t="inlineStr">
        <is>
          <t>SÖDERMANLANDS LÄN</t>
        </is>
      </c>
      <c r="E413" t="inlineStr">
        <is>
          <t>KATRINEHOLM</t>
        </is>
      </c>
      <c r="G413" t="n">
        <v>0.5</v>
      </c>
      <c r="H413" t="n">
        <v>0</v>
      </c>
      <c r="I413" t="n">
        <v>0</v>
      </c>
      <c r="J413" t="n">
        <v>0</v>
      </c>
      <c r="K413" t="n">
        <v>0</v>
      </c>
      <c r="L413" t="n">
        <v>0</v>
      </c>
      <c r="M413" t="n">
        <v>0</v>
      </c>
      <c r="N413" t="n">
        <v>0</v>
      </c>
      <c r="O413" t="n">
        <v>0</v>
      </c>
      <c r="P413" t="n">
        <v>0</v>
      </c>
      <c r="Q413" t="n">
        <v>0</v>
      </c>
      <c r="R413" s="2" t="inlineStr"/>
    </row>
    <row r="414" ht="15" customHeight="1">
      <c r="A414" t="inlineStr">
        <is>
          <t>A 35152-2025</t>
        </is>
      </c>
      <c r="B414" s="1" t="n">
        <v>45852</v>
      </c>
      <c r="C414" s="1" t="n">
        <v>45983</v>
      </c>
      <c r="D414" t="inlineStr">
        <is>
          <t>SÖDERMANLANDS LÄN</t>
        </is>
      </c>
      <c r="E414" t="inlineStr">
        <is>
          <t>KATRINEHOLM</t>
        </is>
      </c>
      <c r="G414" t="n">
        <v>4.6</v>
      </c>
      <c r="H414" t="n">
        <v>0</v>
      </c>
      <c r="I414" t="n">
        <v>0</v>
      </c>
      <c r="J414" t="n">
        <v>0</v>
      </c>
      <c r="K414" t="n">
        <v>0</v>
      </c>
      <c r="L414" t="n">
        <v>0</v>
      </c>
      <c r="M414" t="n">
        <v>0</v>
      </c>
      <c r="N414" t="n">
        <v>0</v>
      </c>
      <c r="O414" t="n">
        <v>0</v>
      </c>
      <c r="P414" t="n">
        <v>0</v>
      </c>
      <c r="Q414" t="n">
        <v>0</v>
      </c>
      <c r="R414" s="2" t="inlineStr"/>
    </row>
    <row r="415" ht="15" customHeight="1">
      <c r="A415" t="inlineStr">
        <is>
          <t>A 35165-2025</t>
        </is>
      </c>
      <c r="B415" s="1" t="n">
        <v>45852.72320601852</v>
      </c>
      <c r="C415" s="1" t="n">
        <v>45983</v>
      </c>
      <c r="D415" t="inlineStr">
        <is>
          <t>SÖDERMANLANDS LÄN</t>
        </is>
      </c>
      <c r="E415" t="inlineStr">
        <is>
          <t>KATRINEHOLM</t>
        </is>
      </c>
      <c r="F415" t="inlineStr">
        <is>
          <t>Övriga Aktiebolag</t>
        </is>
      </c>
      <c r="G415" t="n">
        <v>20.7</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45983</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35183-2022</t>
        </is>
      </c>
      <c r="B417" s="1" t="n">
        <v>44797</v>
      </c>
      <c r="C417" s="1" t="n">
        <v>45983</v>
      </c>
      <c r="D417" t="inlineStr">
        <is>
          <t>SÖDERMANLANDS LÄN</t>
        </is>
      </c>
      <c r="E417" t="inlineStr">
        <is>
          <t>KATRINEHOLM</t>
        </is>
      </c>
      <c r="G417" t="n">
        <v>4.6</v>
      </c>
      <c r="H417" t="n">
        <v>0</v>
      </c>
      <c r="I417" t="n">
        <v>0</v>
      </c>
      <c r="J417" t="n">
        <v>0</v>
      </c>
      <c r="K417" t="n">
        <v>0</v>
      </c>
      <c r="L417" t="n">
        <v>0</v>
      </c>
      <c r="M417" t="n">
        <v>0</v>
      </c>
      <c r="N417" t="n">
        <v>0</v>
      </c>
      <c r="O417" t="n">
        <v>0</v>
      </c>
      <c r="P417" t="n">
        <v>0</v>
      </c>
      <c r="Q417" t="n">
        <v>0</v>
      </c>
      <c r="R417" s="2" t="inlineStr"/>
    </row>
    <row r="418" ht="15" customHeight="1">
      <c r="A418" t="inlineStr">
        <is>
          <t>A 35149-2025</t>
        </is>
      </c>
      <c r="B418" s="1" t="n">
        <v>45852</v>
      </c>
      <c r="C418" s="1" t="n">
        <v>45983</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35161-2025</t>
        </is>
      </c>
      <c r="B419" s="1" t="n">
        <v>45852.70716435185</v>
      </c>
      <c r="C419" s="1" t="n">
        <v>45983</v>
      </c>
      <c r="D419" t="inlineStr">
        <is>
          <t>SÖDERMANLANDS LÄN</t>
        </is>
      </c>
      <c r="E419" t="inlineStr">
        <is>
          <t>KATRINEHOLM</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54359-2025</t>
        </is>
      </c>
      <c r="B420" s="1" t="n">
        <v>45964</v>
      </c>
      <c r="C420" s="1" t="n">
        <v>45983</v>
      </c>
      <c r="D420" t="inlineStr">
        <is>
          <t>SÖDERMANLANDS LÄN</t>
        </is>
      </c>
      <c r="E420" t="inlineStr">
        <is>
          <t>KATRINEHOLM</t>
        </is>
      </c>
      <c r="G420" t="n">
        <v>2.5</v>
      </c>
      <c r="H420" t="n">
        <v>0</v>
      </c>
      <c r="I420" t="n">
        <v>0</v>
      </c>
      <c r="J420" t="n">
        <v>0</v>
      </c>
      <c r="K420" t="n">
        <v>0</v>
      </c>
      <c r="L420" t="n">
        <v>0</v>
      </c>
      <c r="M420" t="n">
        <v>0</v>
      </c>
      <c r="N420" t="n">
        <v>0</v>
      </c>
      <c r="O420" t="n">
        <v>0</v>
      </c>
      <c r="P420" t="n">
        <v>0</v>
      </c>
      <c r="Q420" t="n">
        <v>0</v>
      </c>
      <c r="R420" s="2" t="inlineStr"/>
    </row>
    <row r="421" ht="15" customHeight="1">
      <c r="A421" t="inlineStr">
        <is>
          <t>A 35084-2025</t>
        </is>
      </c>
      <c r="B421" s="1" t="n">
        <v>45852</v>
      </c>
      <c r="C421" s="1" t="n">
        <v>45983</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35145-2025</t>
        </is>
      </c>
      <c r="B422" s="1" t="n">
        <v>45852</v>
      </c>
      <c r="C422" s="1" t="n">
        <v>45983</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34439-2025</t>
        </is>
      </c>
      <c r="B423" s="1" t="n">
        <v>45845</v>
      </c>
      <c r="C423" s="1" t="n">
        <v>45983</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35157-2025</t>
        </is>
      </c>
      <c r="B424" s="1" t="n">
        <v>45852</v>
      </c>
      <c r="C424" s="1" t="n">
        <v>45983</v>
      </c>
      <c r="D424" t="inlineStr">
        <is>
          <t>SÖDERMANLANDS LÄN</t>
        </is>
      </c>
      <c r="E424" t="inlineStr">
        <is>
          <t>KATRINEHOLM</t>
        </is>
      </c>
      <c r="G424" t="n">
        <v>3.7</v>
      </c>
      <c r="H424" t="n">
        <v>0</v>
      </c>
      <c r="I424" t="n">
        <v>0</v>
      </c>
      <c r="J424" t="n">
        <v>0</v>
      </c>
      <c r="K424" t="n">
        <v>0</v>
      </c>
      <c r="L424" t="n">
        <v>0</v>
      </c>
      <c r="M424" t="n">
        <v>0</v>
      </c>
      <c r="N424" t="n">
        <v>0</v>
      </c>
      <c r="O424" t="n">
        <v>0</v>
      </c>
      <c r="P424" t="n">
        <v>0</v>
      </c>
      <c r="Q424" t="n">
        <v>0</v>
      </c>
      <c r="R424" s="2" t="inlineStr"/>
    </row>
    <row r="425" ht="15" customHeight="1">
      <c r="A425" t="inlineStr">
        <is>
          <t>A 35158-2025</t>
        </is>
      </c>
      <c r="B425" s="1" t="n">
        <v>45852</v>
      </c>
      <c r="C425" s="1" t="n">
        <v>45983</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55029-2025</t>
        </is>
      </c>
      <c r="B426" s="1" t="n">
        <v>45967.63784722222</v>
      </c>
      <c r="C426" s="1" t="n">
        <v>45983</v>
      </c>
      <c r="D426" t="inlineStr">
        <is>
          <t>SÖDERMANLANDS LÄN</t>
        </is>
      </c>
      <c r="E426" t="inlineStr">
        <is>
          <t>KATRINEHOLM</t>
        </is>
      </c>
      <c r="G426" t="n">
        <v>10.1</v>
      </c>
      <c r="H426" t="n">
        <v>0</v>
      </c>
      <c r="I426" t="n">
        <v>0</v>
      </c>
      <c r="J426" t="n">
        <v>0</v>
      </c>
      <c r="K426" t="n">
        <v>0</v>
      </c>
      <c r="L426" t="n">
        <v>0</v>
      </c>
      <c r="M426" t="n">
        <v>0</v>
      </c>
      <c r="N426" t="n">
        <v>0</v>
      </c>
      <c r="O426" t="n">
        <v>0</v>
      </c>
      <c r="P426" t="n">
        <v>0</v>
      </c>
      <c r="Q426" t="n">
        <v>0</v>
      </c>
      <c r="R426" s="2" t="inlineStr"/>
    </row>
    <row r="427" ht="15" customHeight="1">
      <c r="A427" t="inlineStr">
        <is>
          <t>A 42519-2024</t>
        </is>
      </c>
      <c r="B427" s="1" t="n">
        <v>45565</v>
      </c>
      <c r="C427" s="1" t="n">
        <v>45983</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20826-2022</t>
        </is>
      </c>
      <c r="B428" s="1" t="n">
        <v>44701.44754629629</v>
      </c>
      <c r="C428" s="1" t="n">
        <v>45983</v>
      </c>
      <c r="D428" t="inlineStr">
        <is>
          <t>SÖDERMANLANDS LÄN</t>
        </is>
      </c>
      <c r="E428" t="inlineStr">
        <is>
          <t>KATRINEHOLM</t>
        </is>
      </c>
      <c r="G428" t="n">
        <v>6.8</v>
      </c>
      <c r="H428" t="n">
        <v>0</v>
      </c>
      <c r="I428" t="n">
        <v>0</v>
      </c>
      <c r="J428" t="n">
        <v>0</v>
      </c>
      <c r="K428" t="n">
        <v>0</v>
      </c>
      <c r="L428" t="n">
        <v>0</v>
      </c>
      <c r="M428" t="n">
        <v>0</v>
      </c>
      <c r="N428" t="n">
        <v>0</v>
      </c>
      <c r="O428" t="n">
        <v>0</v>
      </c>
      <c r="P428" t="n">
        <v>0</v>
      </c>
      <c r="Q428" t="n">
        <v>0</v>
      </c>
      <c r="R428" s="2" t="inlineStr"/>
    </row>
    <row r="429" ht="15" customHeight="1">
      <c r="A429" t="inlineStr">
        <is>
          <t>A 20846-2022</t>
        </is>
      </c>
      <c r="B429" s="1" t="n">
        <v>44701.4744212963</v>
      </c>
      <c r="C429" s="1" t="n">
        <v>45983</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46288-2025</t>
        </is>
      </c>
      <c r="B430" s="1" t="n">
        <v>45925.38545138889</v>
      </c>
      <c r="C430" s="1" t="n">
        <v>45983</v>
      </c>
      <c r="D430" t="inlineStr">
        <is>
          <t>SÖDERMANLANDS LÄN</t>
        </is>
      </c>
      <c r="E430" t="inlineStr">
        <is>
          <t>KATRINEHOLM</t>
        </is>
      </c>
      <c r="G430" t="n">
        <v>0.4</v>
      </c>
      <c r="H430" t="n">
        <v>0</v>
      </c>
      <c r="I430" t="n">
        <v>0</v>
      </c>
      <c r="J430" t="n">
        <v>0</v>
      </c>
      <c r="K430" t="n">
        <v>0</v>
      </c>
      <c r="L430" t="n">
        <v>0</v>
      </c>
      <c r="M430" t="n">
        <v>0</v>
      </c>
      <c r="N430" t="n">
        <v>0</v>
      </c>
      <c r="O430" t="n">
        <v>0</v>
      </c>
      <c r="P430" t="n">
        <v>0</v>
      </c>
      <c r="Q430" t="n">
        <v>0</v>
      </c>
      <c r="R430" s="2" t="inlineStr"/>
    </row>
    <row r="431" ht="15" customHeight="1">
      <c r="A431" t="inlineStr">
        <is>
          <t>A 54873-2025</t>
        </is>
      </c>
      <c r="B431" s="1" t="n">
        <v>45967.30731481482</v>
      </c>
      <c r="C431" s="1" t="n">
        <v>45983</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49078-2024</t>
        </is>
      </c>
      <c r="B432" s="1" t="n">
        <v>45594.62556712963</v>
      </c>
      <c r="C432" s="1" t="n">
        <v>45983</v>
      </c>
      <c r="D432" t="inlineStr">
        <is>
          <t>SÖDERMANLANDS LÄN</t>
        </is>
      </c>
      <c r="E432" t="inlineStr">
        <is>
          <t>KATRINEHOLM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51440-2024</t>
        </is>
      </c>
      <c r="B433" s="1" t="n">
        <v>45604</v>
      </c>
      <c r="C433" s="1" t="n">
        <v>45983</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45983</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47879-2023</t>
        </is>
      </c>
      <c r="B435" s="1" t="n">
        <v>45204</v>
      </c>
      <c r="C435" s="1" t="n">
        <v>45983</v>
      </c>
      <c r="D435" t="inlineStr">
        <is>
          <t>SÖDERMANLANDS LÄN</t>
        </is>
      </c>
      <c r="E435" t="inlineStr">
        <is>
          <t>KATRINEHOLM</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12975-2022</t>
        </is>
      </c>
      <c r="B436" s="1" t="n">
        <v>44643</v>
      </c>
      <c r="C436" s="1" t="n">
        <v>45983</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51260-2021</t>
        </is>
      </c>
      <c r="B437" s="1" t="n">
        <v>44461</v>
      </c>
      <c r="C437" s="1" t="n">
        <v>45983</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53843-2023</t>
        </is>
      </c>
      <c r="B438" s="1" t="n">
        <v>45230</v>
      </c>
      <c r="C438" s="1" t="n">
        <v>45983</v>
      </c>
      <c r="D438" t="inlineStr">
        <is>
          <t>SÖDERMANLANDS LÄN</t>
        </is>
      </c>
      <c r="E438" t="inlineStr">
        <is>
          <t>KATRINEHOLM</t>
        </is>
      </c>
      <c r="G438" t="n">
        <v>14.2</v>
      </c>
      <c r="H438" t="n">
        <v>0</v>
      </c>
      <c r="I438" t="n">
        <v>0</v>
      </c>
      <c r="J438" t="n">
        <v>0</v>
      </c>
      <c r="K438" t="n">
        <v>0</v>
      </c>
      <c r="L438" t="n">
        <v>0</v>
      </c>
      <c r="M438" t="n">
        <v>0</v>
      </c>
      <c r="N438" t="n">
        <v>0</v>
      </c>
      <c r="O438" t="n">
        <v>0</v>
      </c>
      <c r="P438" t="n">
        <v>0</v>
      </c>
      <c r="Q438" t="n">
        <v>0</v>
      </c>
      <c r="R438" s="2" t="inlineStr"/>
    </row>
    <row r="439" ht="15" customHeight="1">
      <c r="A439" t="inlineStr">
        <is>
          <t>A 46524-2025</t>
        </is>
      </c>
      <c r="B439" s="1" t="n">
        <v>45926</v>
      </c>
      <c r="C439" s="1" t="n">
        <v>45983</v>
      </c>
      <c r="D439" t="inlineStr">
        <is>
          <t>SÖDERMANLANDS LÄN</t>
        </is>
      </c>
      <c r="E439" t="inlineStr">
        <is>
          <t>KATRINEHOLM</t>
        </is>
      </c>
      <c r="G439" t="n">
        <v>5.7</v>
      </c>
      <c r="H439" t="n">
        <v>0</v>
      </c>
      <c r="I439" t="n">
        <v>0</v>
      </c>
      <c r="J439" t="n">
        <v>0</v>
      </c>
      <c r="K439" t="n">
        <v>0</v>
      </c>
      <c r="L439" t="n">
        <v>0</v>
      </c>
      <c r="M439" t="n">
        <v>0</v>
      </c>
      <c r="N439" t="n">
        <v>0</v>
      </c>
      <c r="O439" t="n">
        <v>0</v>
      </c>
      <c r="P439" t="n">
        <v>0</v>
      </c>
      <c r="Q439" t="n">
        <v>0</v>
      </c>
      <c r="R439" s="2" t="inlineStr"/>
    </row>
    <row r="440" ht="15" customHeight="1">
      <c r="A440" t="inlineStr">
        <is>
          <t>A 54999-2025</t>
        </is>
      </c>
      <c r="B440" s="1" t="n">
        <v>45967.59880787037</v>
      </c>
      <c r="C440" s="1" t="n">
        <v>45983</v>
      </c>
      <c r="D440" t="inlineStr">
        <is>
          <t>SÖDERMANLANDS LÄN</t>
        </is>
      </c>
      <c r="E440" t="inlineStr">
        <is>
          <t>KATRINEHOLM</t>
        </is>
      </c>
      <c r="G440" t="n">
        <v>8.5</v>
      </c>
      <c r="H440" t="n">
        <v>0</v>
      </c>
      <c r="I440" t="n">
        <v>0</v>
      </c>
      <c r="J440" t="n">
        <v>0</v>
      </c>
      <c r="K440" t="n">
        <v>0</v>
      </c>
      <c r="L440" t="n">
        <v>0</v>
      </c>
      <c r="M440" t="n">
        <v>0</v>
      </c>
      <c r="N440" t="n">
        <v>0</v>
      </c>
      <c r="O440" t="n">
        <v>0</v>
      </c>
      <c r="P440" t="n">
        <v>0</v>
      </c>
      <c r="Q440" t="n">
        <v>0</v>
      </c>
      <c r="R440" s="2" t="inlineStr"/>
    </row>
    <row r="441" ht="15" customHeight="1">
      <c r="A441" t="inlineStr">
        <is>
          <t>A 48763-2024</t>
        </is>
      </c>
      <c r="B441" s="1" t="n">
        <v>45593.60288194445</v>
      </c>
      <c r="C441" s="1" t="n">
        <v>45983</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14478-2023</t>
        </is>
      </c>
      <c r="B442" s="1" t="n">
        <v>45012.66421296296</v>
      </c>
      <c r="C442" s="1" t="n">
        <v>45983</v>
      </c>
      <c r="D442" t="inlineStr">
        <is>
          <t>SÖDERMANLANDS LÄN</t>
        </is>
      </c>
      <c r="E442" t="inlineStr">
        <is>
          <t>KATRINEHOLM</t>
        </is>
      </c>
      <c r="G442" t="n">
        <v>3.9</v>
      </c>
      <c r="H442" t="n">
        <v>0</v>
      </c>
      <c r="I442" t="n">
        <v>0</v>
      </c>
      <c r="J442" t="n">
        <v>0</v>
      </c>
      <c r="K442" t="n">
        <v>0</v>
      </c>
      <c r="L442" t="n">
        <v>0</v>
      </c>
      <c r="M442" t="n">
        <v>0</v>
      </c>
      <c r="N442" t="n">
        <v>0</v>
      </c>
      <c r="O442" t="n">
        <v>0</v>
      </c>
      <c r="P442" t="n">
        <v>0</v>
      </c>
      <c r="Q442" t="n">
        <v>0</v>
      </c>
      <c r="R442" s="2" t="inlineStr"/>
    </row>
    <row r="443" ht="15" customHeight="1">
      <c r="A443" t="inlineStr">
        <is>
          <t>A 20921-2023</t>
        </is>
      </c>
      <c r="B443" s="1" t="n">
        <v>45061</v>
      </c>
      <c r="C443" s="1" t="n">
        <v>45983</v>
      </c>
      <c r="D443" t="inlineStr">
        <is>
          <t>SÖDERMANLANDS LÄN</t>
        </is>
      </c>
      <c r="E443" t="inlineStr">
        <is>
          <t>KATRINEHOLM</t>
        </is>
      </c>
      <c r="G443" t="n">
        <v>8.9</v>
      </c>
      <c r="H443" t="n">
        <v>0</v>
      </c>
      <c r="I443" t="n">
        <v>0</v>
      </c>
      <c r="J443" t="n">
        <v>0</v>
      </c>
      <c r="K443" t="n">
        <v>0</v>
      </c>
      <c r="L443" t="n">
        <v>0</v>
      </c>
      <c r="M443" t="n">
        <v>0</v>
      </c>
      <c r="N443" t="n">
        <v>0</v>
      </c>
      <c r="O443" t="n">
        <v>0</v>
      </c>
      <c r="P443" t="n">
        <v>0</v>
      </c>
      <c r="Q443" t="n">
        <v>0</v>
      </c>
      <c r="R443" s="2" t="inlineStr"/>
    </row>
    <row r="444" ht="15" customHeight="1">
      <c r="A444" t="inlineStr">
        <is>
          <t>A 12930-2023</t>
        </is>
      </c>
      <c r="B444" s="1" t="n">
        <v>45001</v>
      </c>
      <c r="C444" s="1" t="n">
        <v>45983</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12938-2023</t>
        </is>
      </c>
      <c r="B445" s="1" t="n">
        <v>45001</v>
      </c>
      <c r="C445" s="1" t="n">
        <v>45983</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44024-2021</t>
        </is>
      </c>
      <c r="B446" s="1" t="n">
        <v>44434</v>
      </c>
      <c r="C446" s="1" t="n">
        <v>45983</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12559-2023</t>
        </is>
      </c>
      <c r="B447" s="1" t="n">
        <v>45000.36373842593</v>
      </c>
      <c r="C447" s="1" t="n">
        <v>45983</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7704-2023</t>
        </is>
      </c>
      <c r="B448" s="1" t="n">
        <v>44968</v>
      </c>
      <c r="C448" s="1" t="n">
        <v>45983</v>
      </c>
      <c r="D448" t="inlineStr">
        <is>
          <t>SÖDERMANLANDS LÄN</t>
        </is>
      </c>
      <c r="E448" t="inlineStr">
        <is>
          <t>KATRINEHOLM</t>
        </is>
      </c>
      <c r="G448" t="n">
        <v>7.3</v>
      </c>
      <c r="H448" t="n">
        <v>0</v>
      </c>
      <c r="I448" t="n">
        <v>0</v>
      </c>
      <c r="J448" t="n">
        <v>0</v>
      </c>
      <c r="K448" t="n">
        <v>0</v>
      </c>
      <c r="L448" t="n">
        <v>0</v>
      </c>
      <c r="M448" t="n">
        <v>0</v>
      </c>
      <c r="N448" t="n">
        <v>0</v>
      </c>
      <c r="O448" t="n">
        <v>0</v>
      </c>
      <c r="P448" t="n">
        <v>0</v>
      </c>
      <c r="Q448" t="n">
        <v>0</v>
      </c>
      <c r="R448" s="2" t="inlineStr"/>
    </row>
    <row r="449" ht="15" customHeight="1">
      <c r="A449" t="inlineStr">
        <is>
          <t>A 49122-2024</t>
        </is>
      </c>
      <c r="B449" s="1" t="n">
        <v>45594</v>
      </c>
      <c r="C449" s="1" t="n">
        <v>45983</v>
      </c>
      <c r="D449" t="inlineStr">
        <is>
          <t>SÖDERMANLANDS LÄN</t>
        </is>
      </c>
      <c r="E449" t="inlineStr">
        <is>
          <t>KATRINEHOLM</t>
        </is>
      </c>
      <c r="G449" t="n">
        <v>19.4</v>
      </c>
      <c r="H449" t="n">
        <v>0</v>
      </c>
      <c r="I449" t="n">
        <v>0</v>
      </c>
      <c r="J449" t="n">
        <v>0</v>
      </c>
      <c r="K449" t="n">
        <v>0</v>
      </c>
      <c r="L449" t="n">
        <v>0</v>
      </c>
      <c r="M449" t="n">
        <v>0</v>
      </c>
      <c r="N449" t="n">
        <v>0</v>
      </c>
      <c r="O449" t="n">
        <v>0</v>
      </c>
      <c r="P449" t="n">
        <v>0</v>
      </c>
      <c r="Q449" t="n">
        <v>0</v>
      </c>
      <c r="R449" s="2" t="inlineStr"/>
    </row>
    <row r="450" ht="15" customHeight="1">
      <c r="A450" t="inlineStr">
        <is>
          <t>A 12937-2023</t>
        </is>
      </c>
      <c r="B450" s="1" t="n">
        <v>45001</v>
      </c>
      <c r="C450" s="1" t="n">
        <v>45983</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11127-2023</t>
        </is>
      </c>
      <c r="B451" s="1" t="n">
        <v>44987</v>
      </c>
      <c r="C451" s="1" t="n">
        <v>45983</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45983</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55832-2025</t>
        </is>
      </c>
      <c r="B453" s="1" t="n">
        <v>45972.81768518518</v>
      </c>
      <c r="C453" s="1" t="n">
        <v>45983</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27345-2023</t>
        </is>
      </c>
      <c r="B454" s="1" t="n">
        <v>45096</v>
      </c>
      <c r="C454" s="1" t="n">
        <v>45983</v>
      </c>
      <c r="D454" t="inlineStr">
        <is>
          <t>SÖDERMANLANDS LÄN</t>
        </is>
      </c>
      <c r="E454" t="inlineStr">
        <is>
          <t>KATRINEHOLM</t>
        </is>
      </c>
      <c r="G454" t="n">
        <v>1.4</v>
      </c>
      <c r="H454" t="n">
        <v>0</v>
      </c>
      <c r="I454" t="n">
        <v>0</v>
      </c>
      <c r="J454" t="n">
        <v>0</v>
      </c>
      <c r="K454" t="n">
        <v>0</v>
      </c>
      <c r="L454" t="n">
        <v>0</v>
      </c>
      <c r="M454" t="n">
        <v>0</v>
      </c>
      <c r="N454" t="n">
        <v>0</v>
      </c>
      <c r="O454" t="n">
        <v>0</v>
      </c>
      <c r="P454" t="n">
        <v>0</v>
      </c>
      <c r="Q454" t="n">
        <v>0</v>
      </c>
      <c r="R454" s="2" t="inlineStr"/>
    </row>
    <row r="455" ht="15" customHeight="1">
      <c r="A455" t="inlineStr">
        <is>
          <t>A 1151-2025</t>
        </is>
      </c>
      <c r="B455" s="1" t="n">
        <v>45666</v>
      </c>
      <c r="C455" s="1" t="n">
        <v>45983</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6808-2023</t>
        </is>
      </c>
      <c r="B456" s="1" t="n">
        <v>44964</v>
      </c>
      <c r="C456" s="1" t="n">
        <v>45983</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36590-2025</t>
        </is>
      </c>
      <c r="B457" s="1" t="n">
        <v>45870</v>
      </c>
      <c r="C457" s="1" t="n">
        <v>45983</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26684-2025</t>
        </is>
      </c>
      <c r="B458" s="1" t="n">
        <v>45810</v>
      </c>
      <c r="C458" s="1" t="n">
        <v>45983</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61394-2024</t>
        </is>
      </c>
      <c r="B459" s="1" t="n">
        <v>45646.42061342593</v>
      </c>
      <c r="C459" s="1" t="n">
        <v>45983</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55829-2025</t>
        </is>
      </c>
      <c r="B460" s="1" t="n">
        <v>45972.79274305556</v>
      </c>
      <c r="C460" s="1" t="n">
        <v>45983</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12227-2025</t>
        </is>
      </c>
      <c r="B461" s="1" t="n">
        <v>45729.56836805555</v>
      </c>
      <c r="C461" s="1" t="n">
        <v>45983</v>
      </c>
      <c r="D461" t="inlineStr">
        <is>
          <t>SÖDERMANLANDS LÄN</t>
        </is>
      </c>
      <c r="E461" t="inlineStr">
        <is>
          <t>KATRINEHOLM</t>
        </is>
      </c>
      <c r="G461" t="n">
        <v>7</v>
      </c>
      <c r="H461" t="n">
        <v>0</v>
      </c>
      <c r="I461" t="n">
        <v>0</v>
      </c>
      <c r="J461" t="n">
        <v>0</v>
      </c>
      <c r="K461" t="n">
        <v>0</v>
      </c>
      <c r="L461" t="n">
        <v>0</v>
      </c>
      <c r="M461" t="n">
        <v>0</v>
      </c>
      <c r="N461" t="n">
        <v>0</v>
      </c>
      <c r="O461" t="n">
        <v>0</v>
      </c>
      <c r="P461" t="n">
        <v>0</v>
      </c>
      <c r="Q461" t="n">
        <v>0</v>
      </c>
      <c r="R461" s="2" t="inlineStr"/>
    </row>
    <row r="462" ht="15" customHeight="1">
      <c r="A462" t="inlineStr">
        <is>
          <t>A 18339-2023</t>
        </is>
      </c>
      <c r="B462" s="1" t="n">
        <v>45041</v>
      </c>
      <c r="C462" s="1" t="n">
        <v>45983</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58522-2024</t>
        </is>
      </c>
      <c r="B463" s="1" t="n">
        <v>45635.43770833333</v>
      </c>
      <c r="C463" s="1" t="n">
        <v>45983</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50021-2023</t>
        </is>
      </c>
      <c r="B464" s="1" t="n">
        <v>45215</v>
      </c>
      <c r="C464" s="1" t="n">
        <v>45983</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56330-2025</t>
        </is>
      </c>
      <c r="B465" s="1" t="n">
        <v>45974.64094907408</v>
      </c>
      <c r="C465" s="1" t="n">
        <v>45983</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37043-2025</t>
        </is>
      </c>
      <c r="B466" s="1" t="n">
        <v>45875.3396412037</v>
      </c>
      <c r="C466" s="1" t="n">
        <v>45983</v>
      </c>
      <c r="D466" t="inlineStr">
        <is>
          <t>SÖDERMANLANDS LÄN</t>
        </is>
      </c>
      <c r="E466" t="inlineStr">
        <is>
          <t>KATRINEHOLM</t>
        </is>
      </c>
      <c r="G466" t="n">
        <v>2.2</v>
      </c>
      <c r="H466" t="n">
        <v>0</v>
      </c>
      <c r="I466" t="n">
        <v>0</v>
      </c>
      <c r="J466" t="n">
        <v>0</v>
      </c>
      <c r="K466" t="n">
        <v>0</v>
      </c>
      <c r="L466" t="n">
        <v>0</v>
      </c>
      <c r="M466" t="n">
        <v>0</v>
      </c>
      <c r="N466" t="n">
        <v>0</v>
      </c>
      <c r="O466" t="n">
        <v>0</v>
      </c>
      <c r="P466" t="n">
        <v>0</v>
      </c>
      <c r="Q466" t="n">
        <v>0</v>
      </c>
      <c r="R466" s="2" t="inlineStr"/>
    </row>
    <row r="467" ht="15" customHeight="1">
      <c r="A467" t="inlineStr">
        <is>
          <t>A 47889-2023</t>
        </is>
      </c>
      <c r="B467" s="1" t="n">
        <v>45204</v>
      </c>
      <c r="C467" s="1" t="n">
        <v>45983</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34732-2022</t>
        </is>
      </c>
      <c r="B468" s="1" t="n">
        <v>44795</v>
      </c>
      <c r="C468" s="1" t="n">
        <v>45983</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11543-2025</t>
        </is>
      </c>
      <c r="B469" s="1" t="n">
        <v>45727.34248842593</v>
      </c>
      <c r="C469" s="1" t="n">
        <v>45983</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45983</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32169-2022</t>
        </is>
      </c>
      <c r="B471" s="1" t="n">
        <v>44781</v>
      </c>
      <c r="C471" s="1" t="n">
        <v>45983</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35864-2023</t>
        </is>
      </c>
      <c r="B472" s="1" t="n">
        <v>45147</v>
      </c>
      <c r="C472" s="1" t="n">
        <v>45983</v>
      </c>
      <c r="D472" t="inlineStr">
        <is>
          <t>SÖDERMANLANDS LÄN</t>
        </is>
      </c>
      <c r="E472" t="inlineStr">
        <is>
          <t>KATRINEHOLM</t>
        </is>
      </c>
      <c r="F472" t="inlineStr">
        <is>
          <t>Övriga Aktiebolag</t>
        </is>
      </c>
      <c r="G472" t="n">
        <v>4.7</v>
      </c>
      <c r="H472" t="n">
        <v>0</v>
      </c>
      <c r="I472" t="n">
        <v>0</v>
      </c>
      <c r="J472" t="n">
        <v>0</v>
      </c>
      <c r="K472" t="n">
        <v>0</v>
      </c>
      <c r="L472" t="n">
        <v>0</v>
      </c>
      <c r="M472" t="n">
        <v>0</v>
      </c>
      <c r="N472" t="n">
        <v>0</v>
      </c>
      <c r="O472" t="n">
        <v>0</v>
      </c>
      <c r="P472" t="n">
        <v>0</v>
      </c>
      <c r="Q472" t="n">
        <v>0</v>
      </c>
      <c r="R472" s="2" t="inlineStr"/>
    </row>
    <row r="473" ht="15" customHeight="1">
      <c r="A473" t="inlineStr">
        <is>
          <t>A 37827-2025</t>
        </is>
      </c>
      <c r="B473" s="1" t="n">
        <v>45881.40907407407</v>
      </c>
      <c r="C473" s="1" t="n">
        <v>45983</v>
      </c>
      <c r="D473" t="inlineStr">
        <is>
          <t>SÖDERMANLANDS LÄN</t>
        </is>
      </c>
      <c r="E473" t="inlineStr">
        <is>
          <t>KATRINEHOLM</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44637-2023</t>
        </is>
      </c>
      <c r="B474" s="1" t="n">
        <v>45189</v>
      </c>
      <c r="C474" s="1" t="n">
        <v>45983</v>
      </c>
      <c r="D474" t="inlineStr">
        <is>
          <t>SÖDERMANLANDS LÄN</t>
        </is>
      </c>
      <c r="E474" t="inlineStr">
        <is>
          <t>KATRINEHOLM</t>
        </is>
      </c>
      <c r="G474" t="n">
        <v>5.1</v>
      </c>
      <c r="H474" t="n">
        <v>0</v>
      </c>
      <c r="I474" t="n">
        <v>0</v>
      </c>
      <c r="J474" t="n">
        <v>0</v>
      </c>
      <c r="K474" t="n">
        <v>0</v>
      </c>
      <c r="L474" t="n">
        <v>0</v>
      </c>
      <c r="M474" t="n">
        <v>0</v>
      </c>
      <c r="N474" t="n">
        <v>0</v>
      </c>
      <c r="O474" t="n">
        <v>0</v>
      </c>
      <c r="P474" t="n">
        <v>0</v>
      </c>
      <c r="Q474" t="n">
        <v>0</v>
      </c>
      <c r="R474" s="2" t="inlineStr"/>
    </row>
    <row r="475" ht="15" customHeight="1">
      <c r="A475" t="inlineStr">
        <is>
          <t>A 56597-2025</t>
        </is>
      </c>
      <c r="B475" s="1" t="n">
        <v>45975.57271990741</v>
      </c>
      <c r="C475" s="1" t="n">
        <v>45983</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39055-2022</t>
        </is>
      </c>
      <c r="B476" s="1" t="n">
        <v>44817</v>
      </c>
      <c r="C476" s="1" t="n">
        <v>45983</v>
      </c>
      <c r="D476" t="inlineStr">
        <is>
          <t>SÖDERMANLANDS LÄN</t>
        </is>
      </c>
      <c r="E476" t="inlineStr">
        <is>
          <t>KATRINEHOLM</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46257-2021</t>
        </is>
      </c>
      <c r="B477" s="1" t="n">
        <v>44442</v>
      </c>
      <c r="C477" s="1" t="n">
        <v>45983</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52769-2023</t>
        </is>
      </c>
      <c r="B478" s="1" t="n">
        <v>45226</v>
      </c>
      <c r="C478" s="1" t="n">
        <v>45983</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4758-2025</t>
        </is>
      </c>
      <c r="B479" s="1" t="n">
        <v>45688</v>
      </c>
      <c r="C479" s="1" t="n">
        <v>45983</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27852-2023</t>
        </is>
      </c>
      <c r="B480" s="1" t="n">
        <v>45098</v>
      </c>
      <c r="C480" s="1" t="n">
        <v>45983</v>
      </c>
      <c r="D480" t="inlineStr">
        <is>
          <t>SÖDERMANLANDS LÄN</t>
        </is>
      </c>
      <c r="E480" t="inlineStr">
        <is>
          <t>KATRINEHOLM</t>
        </is>
      </c>
      <c r="G480" t="n">
        <v>7.4</v>
      </c>
      <c r="H480" t="n">
        <v>0</v>
      </c>
      <c r="I480" t="n">
        <v>0</v>
      </c>
      <c r="J480" t="n">
        <v>0</v>
      </c>
      <c r="K480" t="n">
        <v>0</v>
      </c>
      <c r="L480" t="n">
        <v>0</v>
      </c>
      <c r="M480" t="n">
        <v>0</v>
      </c>
      <c r="N480" t="n">
        <v>0</v>
      </c>
      <c r="O480" t="n">
        <v>0</v>
      </c>
      <c r="P480" t="n">
        <v>0</v>
      </c>
      <c r="Q480" t="n">
        <v>0</v>
      </c>
      <c r="R480" s="2" t="inlineStr"/>
    </row>
    <row r="481" ht="15" customHeight="1">
      <c r="A481" t="inlineStr">
        <is>
          <t>A 28304-2024</t>
        </is>
      </c>
      <c r="B481" s="1" t="n">
        <v>45477</v>
      </c>
      <c r="C481" s="1" t="n">
        <v>45983</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44502.35746527778</v>
      </c>
      <c r="C482" s="1" t="n">
        <v>45983</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42945-2023</t>
        </is>
      </c>
      <c r="B483" s="1" t="n">
        <v>45182.5793287037</v>
      </c>
      <c r="C483" s="1" t="n">
        <v>45983</v>
      </c>
      <c r="D483" t="inlineStr">
        <is>
          <t>SÖDERMANLANDS LÄN</t>
        </is>
      </c>
      <c r="E483" t="inlineStr">
        <is>
          <t>KATRINEHOLM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42962-2023</t>
        </is>
      </c>
      <c r="B484" s="1" t="n">
        <v>45182</v>
      </c>
      <c r="C484" s="1" t="n">
        <v>45983</v>
      </c>
      <c r="D484" t="inlineStr">
        <is>
          <t>SÖDERMANLANDS LÄN</t>
        </is>
      </c>
      <c r="E484" t="inlineStr">
        <is>
          <t>KATRINEHOLM</t>
        </is>
      </c>
      <c r="F484" t="inlineStr">
        <is>
          <t>Övriga Aktiebolag</t>
        </is>
      </c>
      <c r="G484" t="n">
        <v>10.6</v>
      </c>
      <c r="H484" t="n">
        <v>0</v>
      </c>
      <c r="I484" t="n">
        <v>0</v>
      </c>
      <c r="J484" t="n">
        <v>0</v>
      </c>
      <c r="K484" t="n">
        <v>0</v>
      </c>
      <c r="L484" t="n">
        <v>0</v>
      </c>
      <c r="M484" t="n">
        <v>0</v>
      </c>
      <c r="N484" t="n">
        <v>0</v>
      </c>
      <c r="O484" t="n">
        <v>0</v>
      </c>
      <c r="P484" t="n">
        <v>0</v>
      </c>
      <c r="Q484" t="n">
        <v>0</v>
      </c>
      <c r="R484" s="2" t="inlineStr"/>
    </row>
    <row r="485" ht="15" customHeight="1">
      <c r="A485" t="inlineStr">
        <is>
          <t>A 57323-2025</t>
        </is>
      </c>
      <c r="B485" s="1" t="n">
        <v>45980.32501157407</v>
      </c>
      <c r="C485" s="1" t="n">
        <v>45983</v>
      </c>
      <c r="D485" t="inlineStr">
        <is>
          <t>SÖDERMANLANDS LÄN</t>
        </is>
      </c>
      <c r="E485" t="inlineStr">
        <is>
          <t>KATRINEHOLM</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44915-2022</t>
        </is>
      </c>
      <c r="B486" s="1" t="n">
        <v>44840</v>
      </c>
      <c r="C486" s="1" t="n">
        <v>45983</v>
      </c>
      <c r="D486" t="inlineStr">
        <is>
          <t>SÖDERMANLANDS LÄN</t>
        </is>
      </c>
      <c r="E486" t="inlineStr">
        <is>
          <t>KATRINEHOLM</t>
        </is>
      </c>
      <c r="G486" t="n">
        <v>6.3</v>
      </c>
      <c r="H486" t="n">
        <v>0</v>
      </c>
      <c r="I486" t="n">
        <v>0</v>
      </c>
      <c r="J486" t="n">
        <v>0</v>
      </c>
      <c r="K486" t="n">
        <v>0</v>
      </c>
      <c r="L486" t="n">
        <v>0</v>
      </c>
      <c r="M486" t="n">
        <v>0</v>
      </c>
      <c r="N486" t="n">
        <v>0</v>
      </c>
      <c r="O486" t="n">
        <v>0</v>
      </c>
      <c r="P486" t="n">
        <v>0</v>
      </c>
      <c r="Q486" t="n">
        <v>0</v>
      </c>
      <c r="R486" s="2" t="inlineStr"/>
    </row>
    <row r="487" ht="15" customHeight="1">
      <c r="A487" t="inlineStr">
        <is>
          <t>A 5953-2021</t>
        </is>
      </c>
      <c r="B487" s="1" t="n">
        <v>44231</v>
      </c>
      <c r="C487" s="1" t="n">
        <v>45983</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48097-2023</t>
        </is>
      </c>
      <c r="B488" s="1" t="n">
        <v>45205.31987268518</v>
      </c>
      <c r="C488" s="1" t="n">
        <v>45983</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45793-2022</t>
        </is>
      </c>
      <c r="B489" s="1" t="n">
        <v>44844</v>
      </c>
      <c r="C489" s="1" t="n">
        <v>45983</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40393-2022</t>
        </is>
      </c>
      <c r="B490" s="1" t="n">
        <v>44823</v>
      </c>
      <c r="C490" s="1" t="n">
        <v>45983</v>
      </c>
      <c r="D490" t="inlineStr">
        <is>
          <t>SÖDERMANLANDS LÄN</t>
        </is>
      </c>
      <c r="E490" t="inlineStr">
        <is>
          <t>KATRINEHOLM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48685-2022</t>
        </is>
      </c>
      <c r="B491" s="1" t="n">
        <v>44859</v>
      </c>
      <c r="C491" s="1" t="n">
        <v>45983</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49743-2025</t>
        </is>
      </c>
      <c r="B492" s="1" t="n">
        <v>45940</v>
      </c>
      <c r="C492" s="1" t="n">
        <v>45983</v>
      </c>
      <c r="D492" t="inlineStr">
        <is>
          <t>SÖDERMANLANDS LÄN</t>
        </is>
      </c>
      <c r="E492" t="inlineStr">
        <is>
          <t>KATRINEHOLM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36133-2021</t>
        </is>
      </c>
      <c r="B493" s="1" t="n">
        <v>44386</v>
      </c>
      <c r="C493" s="1" t="n">
        <v>45983</v>
      </c>
      <c r="D493" t="inlineStr">
        <is>
          <t>SÖDERMANLANDS LÄN</t>
        </is>
      </c>
      <c r="E493" t="inlineStr">
        <is>
          <t>KATRINEHOLM</t>
        </is>
      </c>
      <c r="F493" t="inlineStr">
        <is>
          <t>Övriga Aktiebolag</t>
        </is>
      </c>
      <c r="G493" t="n">
        <v>8.9</v>
      </c>
      <c r="H493" t="n">
        <v>0</v>
      </c>
      <c r="I493" t="n">
        <v>0</v>
      </c>
      <c r="J493" t="n">
        <v>0</v>
      </c>
      <c r="K493" t="n">
        <v>0</v>
      </c>
      <c r="L493" t="n">
        <v>0</v>
      </c>
      <c r="M493" t="n">
        <v>0</v>
      </c>
      <c r="N493" t="n">
        <v>0</v>
      </c>
      <c r="O493" t="n">
        <v>0</v>
      </c>
      <c r="P493" t="n">
        <v>0</v>
      </c>
      <c r="Q493" t="n">
        <v>0</v>
      </c>
      <c r="R493" s="2" t="inlineStr"/>
    </row>
    <row r="494" ht="15" customHeight="1">
      <c r="A494" t="inlineStr">
        <is>
          <t>A 49700-2022</t>
        </is>
      </c>
      <c r="B494" s="1" t="n">
        <v>44862</v>
      </c>
      <c r="C494" s="1" t="n">
        <v>45983</v>
      </c>
      <c r="D494" t="inlineStr">
        <is>
          <t>SÖDERMANLANDS LÄN</t>
        </is>
      </c>
      <c r="E494" t="inlineStr">
        <is>
          <t>KATRINEHOLM</t>
        </is>
      </c>
      <c r="G494" t="n">
        <v>19.5</v>
      </c>
      <c r="H494" t="n">
        <v>0</v>
      </c>
      <c r="I494" t="n">
        <v>0</v>
      </c>
      <c r="J494" t="n">
        <v>0</v>
      </c>
      <c r="K494" t="n">
        <v>0</v>
      </c>
      <c r="L494" t="n">
        <v>0</v>
      </c>
      <c r="M494" t="n">
        <v>0</v>
      </c>
      <c r="N494" t="n">
        <v>0</v>
      </c>
      <c r="O494" t="n">
        <v>0</v>
      </c>
      <c r="P494" t="n">
        <v>0</v>
      </c>
      <c r="Q494" t="n">
        <v>0</v>
      </c>
      <c r="R494" s="2" t="inlineStr"/>
    </row>
    <row r="495" ht="15" customHeight="1">
      <c r="A495" t="inlineStr">
        <is>
          <t>A 30276-2023</t>
        </is>
      </c>
      <c r="B495" s="1" t="n">
        <v>45110</v>
      </c>
      <c r="C495" s="1" t="n">
        <v>45983</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57265-2022</t>
        </is>
      </c>
      <c r="B496" s="1" t="n">
        <v>44895</v>
      </c>
      <c r="C496" s="1" t="n">
        <v>45983</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57975-2025</t>
        </is>
      </c>
      <c r="B497" s="1" t="n">
        <v>45981</v>
      </c>
      <c r="C497" s="1" t="n">
        <v>45983</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50316-2023</t>
        </is>
      </c>
      <c r="B498" s="1" t="n">
        <v>45209</v>
      </c>
      <c r="C498" s="1" t="n">
        <v>45983</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52857-2021</t>
        </is>
      </c>
      <c r="B499" s="1" t="n">
        <v>44466</v>
      </c>
      <c r="C499" s="1" t="n">
        <v>45983</v>
      </c>
      <c r="D499" t="inlineStr">
        <is>
          <t>SÖDERMANLANDS LÄN</t>
        </is>
      </c>
      <c r="E499" t="inlineStr">
        <is>
          <t>KATRINEHOLM</t>
        </is>
      </c>
      <c r="G499" t="n">
        <v>0.8</v>
      </c>
      <c r="H499" t="n">
        <v>0</v>
      </c>
      <c r="I499" t="n">
        <v>0</v>
      </c>
      <c r="J499" t="n">
        <v>0</v>
      </c>
      <c r="K499" t="n">
        <v>0</v>
      </c>
      <c r="L499" t="n">
        <v>0</v>
      </c>
      <c r="M499" t="n">
        <v>0</v>
      </c>
      <c r="N499" t="n">
        <v>0</v>
      </c>
      <c r="O499" t="n">
        <v>0</v>
      </c>
      <c r="P499" t="n">
        <v>0</v>
      </c>
      <c r="Q499" t="n">
        <v>0</v>
      </c>
      <c r="R499" s="2" t="inlineStr"/>
    </row>
    <row r="500" ht="15" customHeight="1">
      <c r="A500" t="inlineStr">
        <is>
          <t>A 60160-2022</t>
        </is>
      </c>
      <c r="B500" s="1" t="n">
        <v>44909</v>
      </c>
      <c r="C500" s="1" t="n">
        <v>45983</v>
      </c>
      <c r="D500" t="inlineStr">
        <is>
          <t>SÖDERMANLANDS LÄN</t>
        </is>
      </c>
      <c r="E500" t="inlineStr">
        <is>
          <t>KATRINEHOLM</t>
        </is>
      </c>
      <c r="F500" t="inlineStr">
        <is>
          <t>Allmännings- och besparingsskogar</t>
        </is>
      </c>
      <c r="G500" t="n">
        <v>2</v>
      </c>
      <c r="H500" t="n">
        <v>0</v>
      </c>
      <c r="I500" t="n">
        <v>0</v>
      </c>
      <c r="J500" t="n">
        <v>0</v>
      </c>
      <c r="K500" t="n">
        <v>0</v>
      </c>
      <c r="L500" t="n">
        <v>0</v>
      </c>
      <c r="M500" t="n">
        <v>0</v>
      </c>
      <c r="N500" t="n">
        <v>0</v>
      </c>
      <c r="O500" t="n">
        <v>0</v>
      </c>
      <c r="P500" t="n">
        <v>0</v>
      </c>
      <c r="Q500" t="n">
        <v>0</v>
      </c>
      <c r="R500" s="2" t="inlineStr"/>
    </row>
    <row r="501" ht="15" customHeight="1">
      <c r="A501" t="inlineStr">
        <is>
          <t>A 19442-2023</t>
        </is>
      </c>
      <c r="B501" s="1" t="n">
        <v>45050</v>
      </c>
      <c r="C501" s="1" t="n">
        <v>45983</v>
      </c>
      <c r="D501" t="inlineStr">
        <is>
          <t>SÖDERMANLANDS LÄN</t>
        </is>
      </c>
      <c r="E501" t="inlineStr">
        <is>
          <t>KATRINEHOLM</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50840-2022</t>
        </is>
      </c>
      <c r="B502" s="1" t="n">
        <v>44862</v>
      </c>
      <c r="C502" s="1" t="n">
        <v>45983</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3060-2022</t>
        </is>
      </c>
      <c r="B503" s="1" t="n">
        <v>44582.40109953703</v>
      </c>
      <c r="C503" s="1" t="n">
        <v>45983</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6611-2023</t>
        </is>
      </c>
      <c r="B504" s="1" t="n">
        <v>44963</v>
      </c>
      <c r="C504" s="1" t="n">
        <v>45983</v>
      </c>
      <c r="D504" t="inlineStr">
        <is>
          <t>SÖDERMANLANDS LÄN</t>
        </is>
      </c>
      <c r="E504" t="inlineStr">
        <is>
          <t>KATRINEHOLM</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50804-2023</t>
        </is>
      </c>
      <c r="B505" s="1" t="n">
        <v>45211</v>
      </c>
      <c r="C505" s="1" t="n">
        <v>45983</v>
      </c>
      <c r="D505" t="inlineStr">
        <is>
          <t>SÖDERMANLANDS LÄN</t>
        </is>
      </c>
      <c r="E505" t="inlineStr">
        <is>
          <t>KATRINEHOLM</t>
        </is>
      </c>
      <c r="G505" t="n">
        <v>4</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45983</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43499-2021</t>
        </is>
      </c>
      <c r="B507" s="1" t="n">
        <v>44433</v>
      </c>
      <c r="C507" s="1" t="n">
        <v>45983</v>
      </c>
      <c r="D507" t="inlineStr">
        <is>
          <t>SÖDERMANLANDS LÄN</t>
        </is>
      </c>
      <c r="E507" t="inlineStr">
        <is>
          <t>KATRINEHOLM</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53996-2023</t>
        </is>
      </c>
      <c r="B508" s="1" t="n">
        <v>45231</v>
      </c>
      <c r="C508" s="1" t="n">
        <v>45983</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33790-2024</t>
        </is>
      </c>
      <c r="B509" s="1" t="n">
        <v>45520.59179398148</v>
      </c>
      <c r="C509" s="1" t="n">
        <v>45983</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47456-2022</t>
        </is>
      </c>
      <c r="B510" s="1" t="n">
        <v>44852</v>
      </c>
      <c r="C510" s="1" t="n">
        <v>45983</v>
      </c>
      <c r="D510" t="inlineStr">
        <is>
          <t>SÖDERMANLANDS LÄN</t>
        </is>
      </c>
      <c r="E510" t="inlineStr">
        <is>
          <t>KATRINEHOLM</t>
        </is>
      </c>
      <c r="G510" t="n">
        <v>3.7</v>
      </c>
      <c r="H510" t="n">
        <v>0</v>
      </c>
      <c r="I510" t="n">
        <v>0</v>
      </c>
      <c r="J510" t="n">
        <v>0</v>
      </c>
      <c r="K510" t="n">
        <v>0</v>
      </c>
      <c r="L510" t="n">
        <v>0</v>
      </c>
      <c r="M510" t="n">
        <v>0</v>
      </c>
      <c r="N510" t="n">
        <v>0</v>
      </c>
      <c r="O510" t="n">
        <v>0</v>
      </c>
      <c r="P510" t="n">
        <v>0</v>
      </c>
      <c r="Q510" t="n">
        <v>0</v>
      </c>
      <c r="R510" s="2" t="inlineStr"/>
    </row>
    <row r="511" ht="15" customHeight="1">
      <c r="A511" t="inlineStr">
        <is>
          <t>A 23347-2023</t>
        </is>
      </c>
      <c r="B511" s="1" t="n">
        <v>45076</v>
      </c>
      <c r="C511" s="1" t="n">
        <v>45983</v>
      </c>
      <c r="D511" t="inlineStr">
        <is>
          <t>SÖDERMANLANDS LÄN</t>
        </is>
      </c>
      <c r="E511" t="inlineStr">
        <is>
          <t>KATRINEHOLM</t>
        </is>
      </c>
      <c r="G511" t="n">
        <v>4.3</v>
      </c>
      <c r="H511" t="n">
        <v>0</v>
      </c>
      <c r="I511" t="n">
        <v>0</v>
      </c>
      <c r="J511" t="n">
        <v>0</v>
      </c>
      <c r="K511" t="n">
        <v>0</v>
      </c>
      <c r="L511" t="n">
        <v>0</v>
      </c>
      <c r="M511" t="n">
        <v>0</v>
      </c>
      <c r="N511" t="n">
        <v>0</v>
      </c>
      <c r="O511" t="n">
        <v>0</v>
      </c>
      <c r="P511" t="n">
        <v>0</v>
      </c>
      <c r="Q511" t="n">
        <v>0</v>
      </c>
      <c r="R511" s="2" t="inlineStr"/>
    </row>
    <row r="512" ht="15" customHeight="1">
      <c r="A512" t="inlineStr">
        <is>
          <t>A 74354-2021</t>
        </is>
      </c>
      <c r="B512" s="1" t="n">
        <v>44559.57041666667</v>
      </c>
      <c r="C512" s="1" t="n">
        <v>45983</v>
      </c>
      <c r="D512" t="inlineStr">
        <is>
          <t>SÖDERMANLANDS LÄN</t>
        </is>
      </c>
      <c r="E512" t="inlineStr">
        <is>
          <t>KATRINEHOLM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52348-2021</t>
        </is>
      </c>
      <c r="B513" s="1" t="n">
        <v>44464.49756944444</v>
      </c>
      <c r="C513" s="1" t="n">
        <v>45983</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56628-2021</t>
        </is>
      </c>
      <c r="B514" s="1" t="n">
        <v>44480</v>
      </c>
      <c r="C514" s="1" t="n">
        <v>45983</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45438-2021</t>
        </is>
      </c>
      <c r="B515" s="1" t="n">
        <v>44440</v>
      </c>
      <c r="C515" s="1" t="n">
        <v>45983</v>
      </c>
      <c r="D515" t="inlineStr">
        <is>
          <t>SÖDERMANLANDS LÄN</t>
        </is>
      </c>
      <c r="E515" t="inlineStr">
        <is>
          <t>KATRINEHOLM</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50061-2022</t>
        </is>
      </c>
      <c r="B516" s="1" t="n">
        <v>44865</v>
      </c>
      <c r="C516" s="1" t="n">
        <v>45983</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10446-2024</t>
        </is>
      </c>
      <c r="B517" s="1" t="n">
        <v>45366</v>
      </c>
      <c r="C517" s="1" t="n">
        <v>45983</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53860-2021</t>
        </is>
      </c>
      <c r="B518" s="1" t="n">
        <v>44467</v>
      </c>
      <c r="C518" s="1" t="n">
        <v>45983</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23842-2023</t>
        </is>
      </c>
      <c r="B519" s="1" t="n">
        <v>45075</v>
      </c>
      <c r="C519" s="1" t="n">
        <v>45983</v>
      </c>
      <c r="D519" t="inlineStr">
        <is>
          <t>SÖDERMANLANDS LÄN</t>
        </is>
      </c>
      <c r="E519" t="inlineStr">
        <is>
          <t>KATRINEHOLM</t>
        </is>
      </c>
      <c r="G519" t="n">
        <v>1.8</v>
      </c>
      <c r="H519" t="n">
        <v>0</v>
      </c>
      <c r="I519" t="n">
        <v>0</v>
      </c>
      <c r="J519" t="n">
        <v>0</v>
      </c>
      <c r="K519" t="n">
        <v>0</v>
      </c>
      <c r="L519" t="n">
        <v>0</v>
      </c>
      <c r="M519" t="n">
        <v>0</v>
      </c>
      <c r="N519" t="n">
        <v>0</v>
      </c>
      <c r="O519" t="n">
        <v>0</v>
      </c>
      <c r="P519" t="n">
        <v>0</v>
      </c>
      <c r="Q519" t="n">
        <v>0</v>
      </c>
      <c r="R519" s="2" t="inlineStr"/>
    </row>
    <row r="520" ht="15" customHeight="1">
      <c r="A520" t="inlineStr">
        <is>
          <t>A 34263-2023</t>
        </is>
      </c>
      <c r="B520" s="1" t="n">
        <v>45138.60248842592</v>
      </c>
      <c r="C520" s="1" t="n">
        <v>45983</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46899-2022</t>
        </is>
      </c>
      <c r="B521" s="1" t="n">
        <v>44848</v>
      </c>
      <c r="C521" s="1" t="n">
        <v>45983</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55296-2022</t>
        </is>
      </c>
      <c r="B522" s="1" t="n">
        <v>44887</v>
      </c>
      <c r="C522" s="1" t="n">
        <v>45983</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57524-2021</t>
        </is>
      </c>
      <c r="B523" s="1" t="n">
        <v>44483</v>
      </c>
      <c r="C523" s="1" t="n">
        <v>45983</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931-2023</t>
        </is>
      </c>
      <c r="B524" s="1" t="n">
        <v>44932.74261574074</v>
      </c>
      <c r="C524" s="1" t="n">
        <v>45983</v>
      </c>
      <c r="D524" t="inlineStr">
        <is>
          <t>SÖDERMANLANDS LÄN</t>
        </is>
      </c>
      <c r="E524" t="inlineStr">
        <is>
          <t>KATRINEHOLM</t>
        </is>
      </c>
      <c r="G524" t="n">
        <v>4</v>
      </c>
      <c r="H524" t="n">
        <v>0</v>
      </c>
      <c r="I524" t="n">
        <v>0</v>
      </c>
      <c r="J524" t="n">
        <v>0</v>
      </c>
      <c r="K524" t="n">
        <v>0</v>
      </c>
      <c r="L524" t="n">
        <v>0</v>
      </c>
      <c r="M524" t="n">
        <v>0</v>
      </c>
      <c r="N524" t="n">
        <v>0</v>
      </c>
      <c r="O524" t="n">
        <v>0</v>
      </c>
      <c r="P524" t="n">
        <v>0</v>
      </c>
      <c r="Q524" t="n">
        <v>0</v>
      </c>
      <c r="R524" s="2" t="inlineStr"/>
    </row>
    <row r="525" ht="15" customHeight="1">
      <c r="A525" t="inlineStr">
        <is>
          <t>A 55171-2023</t>
        </is>
      </c>
      <c r="B525" s="1" t="n">
        <v>45231</v>
      </c>
      <c r="C525" s="1" t="n">
        <v>45983</v>
      </c>
      <c r="D525" t="inlineStr">
        <is>
          <t>SÖDERMANLANDS LÄN</t>
        </is>
      </c>
      <c r="E525" t="inlineStr">
        <is>
          <t>KATRINEHOLM</t>
        </is>
      </c>
      <c r="G525" t="n">
        <v>4.2</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45983</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23031-2024</t>
        </is>
      </c>
      <c r="B527" s="1" t="n">
        <v>45450.38120370371</v>
      </c>
      <c r="C527" s="1" t="n">
        <v>45983</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22506-2023</t>
        </is>
      </c>
      <c r="B528" s="1" t="n">
        <v>45071.37393518518</v>
      </c>
      <c r="C528" s="1" t="n">
        <v>45983</v>
      </c>
      <c r="D528" t="inlineStr">
        <is>
          <t>SÖDERMANLANDS LÄN</t>
        </is>
      </c>
      <c r="E528" t="inlineStr">
        <is>
          <t>KATRINEHOLM</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12888-2025</t>
        </is>
      </c>
      <c r="B529" s="1" t="n">
        <v>45733</v>
      </c>
      <c r="C529" s="1" t="n">
        <v>45983</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22345-2023</t>
        </is>
      </c>
      <c r="B530" s="1" t="n">
        <v>45070</v>
      </c>
      <c r="C530" s="1" t="n">
        <v>45983</v>
      </c>
      <c r="D530" t="inlineStr">
        <is>
          <t>SÖDERMANLANDS LÄN</t>
        </is>
      </c>
      <c r="E530" t="inlineStr">
        <is>
          <t>KATRINEHOLM</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48877-2022</t>
        </is>
      </c>
      <c r="B531" s="1" t="n">
        <v>44859</v>
      </c>
      <c r="C531" s="1" t="n">
        <v>45983</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19868-2022</t>
        </is>
      </c>
      <c r="B532" s="1" t="n">
        <v>44696</v>
      </c>
      <c r="C532" s="1" t="n">
        <v>45983</v>
      </c>
      <c r="D532" t="inlineStr">
        <is>
          <t>SÖDERMANLANDS LÄN</t>
        </is>
      </c>
      <c r="E532" t="inlineStr">
        <is>
          <t>KATRINEHOLM</t>
        </is>
      </c>
      <c r="G532" t="n">
        <v>13</v>
      </c>
      <c r="H532" t="n">
        <v>0</v>
      </c>
      <c r="I532" t="n">
        <v>0</v>
      </c>
      <c r="J532" t="n">
        <v>0</v>
      </c>
      <c r="K532" t="n">
        <v>0</v>
      </c>
      <c r="L532" t="n">
        <v>0</v>
      </c>
      <c r="M532" t="n">
        <v>0</v>
      </c>
      <c r="N532" t="n">
        <v>0</v>
      </c>
      <c r="O532" t="n">
        <v>0</v>
      </c>
      <c r="P532" t="n">
        <v>0</v>
      </c>
      <c r="Q532" t="n">
        <v>0</v>
      </c>
      <c r="R532" s="2" t="inlineStr"/>
    </row>
    <row r="533" ht="15" customHeight="1">
      <c r="A533" t="inlineStr">
        <is>
          <t>A 63188-2021</t>
        </is>
      </c>
      <c r="B533" s="1" t="n">
        <v>44507.56865740741</v>
      </c>
      <c r="C533" s="1" t="n">
        <v>45983</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63677-2020</t>
        </is>
      </c>
      <c r="B534" s="1" t="n">
        <v>44166</v>
      </c>
      <c r="C534" s="1" t="n">
        <v>45983</v>
      </c>
      <c r="D534" t="inlineStr">
        <is>
          <t>SÖDERMANLANDS LÄN</t>
        </is>
      </c>
      <c r="E534" t="inlineStr">
        <is>
          <t>KATRINEHOLM</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29843-2023</t>
        </is>
      </c>
      <c r="B535" s="1" t="n">
        <v>45107</v>
      </c>
      <c r="C535" s="1" t="n">
        <v>45983</v>
      </c>
      <c r="D535" t="inlineStr">
        <is>
          <t>SÖDERMANLANDS LÄN</t>
        </is>
      </c>
      <c r="E535" t="inlineStr">
        <is>
          <t>KATRINEHOLM</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5834-2025</t>
        </is>
      </c>
      <c r="B536" s="1" t="n">
        <v>45694</v>
      </c>
      <c r="C536" s="1" t="n">
        <v>45983</v>
      </c>
      <c r="D536" t="inlineStr">
        <is>
          <t>SÖDERMANLANDS LÄN</t>
        </is>
      </c>
      <c r="E536" t="inlineStr">
        <is>
          <t>KATRINEHOLM</t>
        </is>
      </c>
      <c r="G536" t="n">
        <v>3.3</v>
      </c>
      <c r="H536" t="n">
        <v>0</v>
      </c>
      <c r="I536" t="n">
        <v>0</v>
      </c>
      <c r="J536" t="n">
        <v>0</v>
      </c>
      <c r="K536" t="n">
        <v>0</v>
      </c>
      <c r="L536" t="n">
        <v>0</v>
      </c>
      <c r="M536" t="n">
        <v>0</v>
      </c>
      <c r="N536" t="n">
        <v>0</v>
      </c>
      <c r="O536" t="n">
        <v>0</v>
      </c>
      <c r="P536" t="n">
        <v>0</v>
      </c>
      <c r="Q536" t="n">
        <v>0</v>
      </c>
      <c r="R536" s="2" t="inlineStr"/>
    </row>
    <row r="537" ht="15" customHeight="1">
      <c r="A537" t="inlineStr">
        <is>
          <t>A 34981-2023</t>
        </is>
      </c>
      <c r="B537" s="1" t="n">
        <v>45142</v>
      </c>
      <c r="C537" s="1" t="n">
        <v>45983</v>
      </c>
      <c r="D537" t="inlineStr">
        <is>
          <t>SÖDERMANLANDS LÄN</t>
        </is>
      </c>
      <c r="E537" t="inlineStr">
        <is>
          <t>KATRINEHOLM</t>
        </is>
      </c>
      <c r="G537" t="n">
        <v>10</v>
      </c>
      <c r="H537" t="n">
        <v>0</v>
      </c>
      <c r="I537" t="n">
        <v>0</v>
      </c>
      <c r="J537" t="n">
        <v>0</v>
      </c>
      <c r="K537" t="n">
        <v>0</v>
      </c>
      <c r="L537" t="n">
        <v>0</v>
      </c>
      <c r="M537" t="n">
        <v>0</v>
      </c>
      <c r="N537" t="n">
        <v>0</v>
      </c>
      <c r="O537" t="n">
        <v>0</v>
      </c>
      <c r="P537" t="n">
        <v>0</v>
      </c>
      <c r="Q537" t="n">
        <v>0</v>
      </c>
      <c r="R537" s="2" t="inlineStr"/>
    </row>
    <row r="538" ht="15" customHeight="1">
      <c r="A538" t="inlineStr">
        <is>
          <t>A 73412-2021</t>
        </is>
      </c>
      <c r="B538" s="1" t="n">
        <v>44551</v>
      </c>
      <c r="C538" s="1" t="n">
        <v>45983</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53750-2022</t>
        </is>
      </c>
      <c r="B539" s="1" t="n">
        <v>44875</v>
      </c>
      <c r="C539" s="1" t="n">
        <v>45983</v>
      </c>
      <c r="D539" t="inlineStr">
        <is>
          <t>SÖDERMANLANDS LÄN</t>
        </is>
      </c>
      <c r="E539" t="inlineStr">
        <is>
          <t>KATRINEHOLM</t>
        </is>
      </c>
      <c r="F539" t="inlineStr">
        <is>
          <t>Övriga Aktiebolag</t>
        </is>
      </c>
      <c r="G539" t="n">
        <v>12.6</v>
      </c>
      <c r="H539" t="n">
        <v>0</v>
      </c>
      <c r="I539" t="n">
        <v>0</v>
      </c>
      <c r="J539" t="n">
        <v>0</v>
      </c>
      <c r="K539" t="n">
        <v>0</v>
      </c>
      <c r="L539" t="n">
        <v>0</v>
      </c>
      <c r="M539" t="n">
        <v>0</v>
      </c>
      <c r="N539" t="n">
        <v>0</v>
      </c>
      <c r="O539" t="n">
        <v>0</v>
      </c>
      <c r="P539" t="n">
        <v>0</v>
      </c>
      <c r="Q539" t="n">
        <v>0</v>
      </c>
      <c r="R539" s="2" t="inlineStr"/>
    </row>
    <row r="540" ht="15" customHeight="1">
      <c r="A540" t="inlineStr">
        <is>
          <t>A 14245-2024</t>
        </is>
      </c>
      <c r="B540" s="1" t="n">
        <v>45393</v>
      </c>
      <c r="C540" s="1" t="n">
        <v>45983</v>
      </c>
      <c r="D540" t="inlineStr">
        <is>
          <t>SÖDERMANLANDS LÄN</t>
        </is>
      </c>
      <c r="E540" t="inlineStr">
        <is>
          <t>KATRINEHOLM</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11104-2023</t>
        </is>
      </c>
      <c r="B541" s="1" t="n">
        <v>44992</v>
      </c>
      <c r="C541" s="1" t="n">
        <v>45983</v>
      </c>
      <c r="D541" t="inlineStr">
        <is>
          <t>SÖDERMANLANDS LÄN</t>
        </is>
      </c>
      <c r="E541" t="inlineStr">
        <is>
          <t>KATRINEHOLM</t>
        </is>
      </c>
      <c r="F541" t="inlineStr">
        <is>
          <t>Allmännings- och besparingsskogar</t>
        </is>
      </c>
      <c r="G541" t="n">
        <v>7.8</v>
      </c>
      <c r="H541" t="n">
        <v>0</v>
      </c>
      <c r="I541" t="n">
        <v>0</v>
      </c>
      <c r="J541" t="n">
        <v>0</v>
      </c>
      <c r="K541" t="n">
        <v>0</v>
      </c>
      <c r="L541" t="n">
        <v>0</v>
      </c>
      <c r="M541" t="n">
        <v>0</v>
      </c>
      <c r="N541" t="n">
        <v>0</v>
      </c>
      <c r="O541" t="n">
        <v>0</v>
      </c>
      <c r="P541" t="n">
        <v>0</v>
      </c>
      <c r="Q541" t="n">
        <v>0</v>
      </c>
      <c r="R541" s="2" t="inlineStr"/>
    </row>
    <row r="542" ht="15" customHeight="1">
      <c r="A542" t="inlineStr">
        <is>
          <t>A 4387-2024</t>
        </is>
      </c>
      <c r="B542" s="1" t="n">
        <v>45327.35068287037</v>
      </c>
      <c r="C542" s="1" t="n">
        <v>45983</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4872-2024</t>
        </is>
      </c>
      <c r="B543" s="1" t="n">
        <v>45329</v>
      </c>
      <c r="C543" s="1" t="n">
        <v>45983</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29702-2021</t>
        </is>
      </c>
      <c r="B544" s="1" t="n">
        <v>44362</v>
      </c>
      <c r="C544" s="1" t="n">
        <v>45983</v>
      </c>
      <c r="D544" t="inlineStr">
        <is>
          <t>SÖDERMANLANDS LÄN</t>
        </is>
      </c>
      <c r="E544" t="inlineStr">
        <is>
          <t>KATRINEHOLM</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3986-2024</t>
        </is>
      </c>
      <c r="B545" s="1" t="n">
        <v>45322</v>
      </c>
      <c r="C545" s="1" t="n">
        <v>45983</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10996-2022</t>
        </is>
      </c>
      <c r="B546" s="1" t="n">
        <v>44628</v>
      </c>
      <c r="C546" s="1" t="n">
        <v>45983</v>
      </c>
      <c r="D546" t="inlineStr">
        <is>
          <t>SÖDERMANLANDS LÄN</t>
        </is>
      </c>
      <c r="E546" t="inlineStr">
        <is>
          <t>KATRINEHOLM</t>
        </is>
      </c>
      <c r="G546" t="n">
        <v>0.3</v>
      </c>
      <c r="H546" t="n">
        <v>0</v>
      </c>
      <c r="I546" t="n">
        <v>0</v>
      </c>
      <c r="J546" t="n">
        <v>0</v>
      </c>
      <c r="K546" t="n">
        <v>0</v>
      </c>
      <c r="L546" t="n">
        <v>0</v>
      </c>
      <c r="M546" t="n">
        <v>0</v>
      </c>
      <c r="N546" t="n">
        <v>0</v>
      </c>
      <c r="O546" t="n">
        <v>0</v>
      </c>
      <c r="P546" t="n">
        <v>0</v>
      </c>
      <c r="Q546" t="n">
        <v>0</v>
      </c>
      <c r="R546" s="2" t="inlineStr"/>
    </row>
    <row r="547" ht="15" customHeight="1">
      <c r="A547" t="inlineStr">
        <is>
          <t>A 42451-2023</t>
        </is>
      </c>
      <c r="B547" s="1" t="n">
        <v>45180</v>
      </c>
      <c r="C547" s="1" t="n">
        <v>45983</v>
      </c>
      <c r="D547" t="inlineStr">
        <is>
          <t>SÖDERMANLANDS LÄN</t>
        </is>
      </c>
      <c r="E547" t="inlineStr">
        <is>
          <t>KATRINEHOLM</t>
        </is>
      </c>
      <c r="G547" t="n">
        <v>3.8</v>
      </c>
      <c r="H547" t="n">
        <v>0</v>
      </c>
      <c r="I547" t="n">
        <v>0</v>
      </c>
      <c r="J547" t="n">
        <v>0</v>
      </c>
      <c r="K547" t="n">
        <v>0</v>
      </c>
      <c r="L547" t="n">
        <v>0</v>
      </c>
      <c r="M547" t="n">
        <v>0</v>
      </c>
      <c r="N547" t="n">
        <v>0</v>
      </c>
      <c r="O547" t="n">
        <v>0</v>
      </c>
      <c r="P547" t="n">
        <v>0</v>
      </c>
      <c r="Q547" t="n">
        <v>0</v>
      </c>
      <c r="R547" s="2" t="inlineStr"/>
    </row>
    <row r="548" ht="15" customHeight="1">
      <c r="A548" t="inlineStr">
        <is>
          <t>A 13113-2023</t>
        </is>
      </c>
      <c r="B548" s="1" t="n">
        <v>45002</v>
      </c>
      <c r="C548" s="1" t="n">
        <v>45983</v>
      </c>
      <c r="D548" t="inlineStr">
        <is>
          <t>SÖDERMANLANDS LÄN</t>
        </is>
      </c>
      <c r="E548" t="inlineStr">
        <is>
          <t>KATRINEHOLM</t>
        </is>
      </c>
      <c r="F548" t="inlineStr">
        <is>
          <t>Allmännings- och besparingsskogar</t>
        </is>
      </c>
      <c r="G548" t="n">
        <v>3.6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45983</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27646-2023</t>
        </is>
      </c>
      <c r="B550" s="1" t="n">
        <v>45097</v>
      </c>
      <c r="C550" s="1" t="n">
        <v>45983</v>
      </c>
      <c r="D550" t="inlineStr">
        <is>
          <t>SÖDERMANLANDS LÄN</t>
        </is>
      </c>
      <c r="E550" t="inlineStr">
        <is>
          <t>KATRINEHOLM</t>
        </is>
      </c>
      <c r="G550" t="n">
        <v>2.4</v>
      </c>
      <c r="H550" t="n">
        <v>0</v>
      </c>
      <c r="I550" t="n">
        <v>0</v>
      </c>
      <c r="J550" t="n">
        <v>0</v>
      </c>
      <c r="K550" t="n">
        <v>0</v>
      </c>
      <c r="L550" t="n">
        <v>0</v>
      </c>
      <c r="M550" t="n">
        <v>0</v>
      </c>
      <c r="N550" t="n">
        <v>0</v>
      </c>
      <c r="O550" t="n">
        <v>0</v>
      </c>
      <c r="P550" t="n">
        <v>0</v>
      </c>
      <c r="Q550" t="n">
        <v>0</v>
      </c>
      <c r="R550" s="2" t="inlineStr"/>
    </row>
    <row r="551" ht="15" customHeight="1">
      <c r="A551" t="inlineStr">
        <is>
          <t>A 15235-2023</t>
        </is>
      </c>
      <c r="B551" s="1" t="n">
        <v>45019</v>
      </c>
      <c r="C551" s="1" t="n">
        <v>45983</v>
      </c>
      <c r="D551" t="inlineStr">
        <is>
          <t>SÖDERMANLANDS LÄN</t>
        </is>
      </c>
      <c r="E551" t="inlineStr">
        <is>
          <t>KATRINEHOLM</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25433-2024</t>
        </is>
      </c>
      <c r="B552" s="1" t="n">
        <v>45463</v>
      </c>
      <c r="C552" s="1" t="n">
        <v>45983</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22304-2024</t>
        </is>
      </c>
      <c r="B553" s="1" t="n">
        <v>45446.56626157407</v>
      </c>
      <c r="C553" s="1" t="n">
        <v>45983</v>
      </c>
      <c r="D553" t="inlineStr">
        <is>
          <t>SÖDERMANLANDS LÄN</t>
        </is>
      </c>
      <c r="E553" t="inlineStr">
        <is>
          <t>KATRINEHOLM</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14224-2024</t>
        </is>
      </c>
      <c r="B554" s="1" t="n">
        <v>45393</v>
      </c>
      <c r="C554" s="1" t="n">
        <v>45983</v>
      </c>
      <c r="D554" t="inlineStr">
        <is>
          <t>SÖDERMANLANDS LÄN</t>
        </is>
      </c>
      <c r="E554" t="inlineStr">
        <is>
          <t>KATRINEHOLM</t>
        </is>
      </c>
      <c r="F554" t="inlineStr">
        <is>
          <t>Sveaskog</t>
        </is>
      </c>
      <c r="G554" t="n">
        <v>7.6</v>
      </c>
      <c r="H554" t="n">
        <v>0</v>
      </c>
      <c r="I554" t="n">
        <v>0</v>
      </c>
      <c r="J554" t="n">
        <v>0</v>
      </c>
      <c r="K554" t="n">
        <v>0</v>
      </c>
      <c r="L554" t="n">
        <v>0</v>
      </c>
      <c r="M554" t="n">
        <v>0</v>
      </c>
      <c r="N554" t="n">
        <v>0</v>
      </c>
      <c r="O554" t="n">
        <v>0</v>
      </c>
      <c r="P554" t="n">
        <v>0</v>
      </c>
      <c r="Q554" t="n">
        <v>0</v>
      </c>
      <c r="R554" s="2" t="inlineStr"/>
    </row>
    <row r="555" ht="15" customHeight="1">
      <c r="A555" t="inlineStr">
        <is>
          <t>A 23341-2023</t>
        </is>
      </c>
      <c r="B555" s="1" t="n">
        <v>45076</v>
      </c>
      <c r="C555" s="1" t="n">
        <v>45983</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36366-2023</t>
        </is>
      </c>
      <c r="B556" s="1" t="n">
        <v>45152</v>
      </c>
      <c r="C556" s="1" t="n">
        <v>45983</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36021-2023</t>
        </is>
      </c>
      <c r="B557" s="1" t="n">
        <v>45148</v>
      </c>
      <c r="C557" s="1" t="n">
        <v>45983</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28597-2024</t>
        </is>
      </c>
      <c r="B558" s="1" t="n">
        <v>45478</v>
      </c>
      <c r="C558" s="1" t="n">
        <v>45983</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29198-2023</t>
        </is>
      </c>
      <c r="B559" s="1" t="n">
        <v>45105</v>
      </c>
      <c r="C559" s="1" t="n">
        <v>45983</v>
      </c>
      <c r="D559" t="inlineStr">
        <is>
          <t>SÖDERMANLANDS LÄN</t>
        </is>
      </c>
      <c r="E559" t="inlineStr">
        <is>
          <t>KATRINEHOLM</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9992-2022</t>
        </is>
      </c>
      <c r="B560" s="1" t="n">
        <v>44621</v>
      </c>
      <c r="C560" s="1" t="n">
        <v>45983</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41267-2023</t>
        </is>
      </c>
      <c r="B561" s="1" t="n">
        <v>45174</v>
      </c>
      <c r="C561" s="1" t="n">
        <v>45983</v>
      </c>
      <c r="D561" t="inlineStr">
        <is>
          <t>SÖDERMANLANDS LÄN</t>
        </is>
      </c>
      <c r="E561" t="inlineStr">
        <is>
          <t>KATRINEHOLM</t>
        </is>
      </c>
      <c r="F561" t="inlineStr">
        <is>
          <t>Holmen skog AB</t>
        </is>
      </c>
      <c r="G561" t="n">
        <v>4.5</v>
      </c>
      <c r="H561" t="n">
        <v>0</v>
      </c>
      <c r="I561" t="n">
        <v>0</v>
      </c>
      <c r="J561" t="n">
        <v>0</v>
      </c>
      <c r="K561" t="n">
        <v>0</v>
      </c>
      <c r="L561" t="n">
        <v>0</v>
      </c>
      <c r="M561" t="n">
        <v>0</v>
      </c>
      <c r="N561" t="n">
        <v>0</v>
      </c>
      <c r="O561" t="n">
        <v>0</v>
      </c>
      <c r="P561" t="n">
        <v>0</v>
      </c>
      <c r="Q561" t="n">
        <v>0</v>
      </c>
      <c r="R561" s="2" t="inlineStr"/>
    </row>
    <row r="562" ht="15" customHeight="1">
      <c r="A562" t="inlineStr">
        <is>
          <t>A 4650-2024</t>
        </is>
      </c>
      <c r="B562" s="1" t="n">
        <v>45328</v>
      </c>
      <c r="C562" s="1" t="n">
        <v>45983</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4652-2024</t>
        </is>
      </c>
      <c r="B563" s="1" t="n">
        <v>45328</v>
      </c>
      <c r="C563" s="1" t="n">
        <v>45983</v>
      </c>
      <c r="D563" t="inlineStr">
        <is>
          <t>SÖDERMANLANDS LÄN</t>
        </is>
      </c>
      <c r="E563" t="inlineStr">
        <is>
          <t>KATRINEHOLM</t>
        </is>
      </c>
      <c r="F563" t="inlineStr">
        <is>
          <t>Övriga Aktiebolag</t>
        </is>
      </c>
      <c r="G563" t="n">
        <v>6.1</v>
      </c>
      <c r="H563" t="n">
        <v>0</v>
      </c>
      <c r="I563" t="n">
        <v>0</v>
      </c>
      <c r="J563" t="n">
        <v>0</v>
      </c>
      <c r="K563" t="n">
        <v>0</v>
      </c>
      <c r="L563" t="n">
        <v>0</v>
      </c>
      <c r="M563" t="n">
        <v>0</v>
      </c>
      <c r="N563" t="n">
        <v>0</v>
      </c>
      <c r="O563" t="n">
        <v>0</v>
      </c>
      <c r="P563" t="n">
        <v>0</v>
      </c>
      <c r="Q563" t="n">
        <v>0</v>
      </c>
      <c r="R563" s="2" t="inlineStr"/>
    </row>
    <row r="564" ht="15" customHeight="1">
      <c r="A564" t="inlineStr">
        <is>
          <t>A 29008-2024</t>
        </is>
      </c>
      <c r="B564" s="1" t="n">
        <v>45481</v>
      </c>
      <c r="C564" s="1" t="n">
        <v>45983</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9936-2023</t>
        </is>
      </c>
      <c r="B565" s="1" t="n">
        <v>44985.47086805556</v>
      </c>
      <c r="C565" s="1" t="n">
        <v>45983</v>
      </c>
      <c r="D565" t="inlineStr">
        <is>
          <t>SÖDERMANLANDS LÄN</t>
        </is>
      </c>
      <c r="E565" t="inlineStr">
        <is>
          <t>KATRINEHOLM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4645-2024</t>
        </is>
      </c>
      <c r="B566" s="1" t="n">
        <v>45328</v>
      </c>
      <c r="C566" s="1" t="n">
        <v>45983</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36001-2024</t>
        </is>
      </c>
      <c r="B567" s="1" t="n">
        <v>45533.54609953704</v>
      </c>
      <c r="C567" s="1" t="n">
        <v>45983</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36832-2023</t>
        </is>
      </c>
      <c r="B568" s="1" t="n">
        <v>45153</v>
      </c>
      <c r="C568" s="1" t="n">
        <v>45983</v>
      </c>
      <c r="D568" t="inlineStr">
        <is>
          <t>SÖDERMANLANDS LÄN</t>
        </is>
      </c>
      <c r="E568" t="inlineStr">
        <is>
          <t>KATRINEHOLM</t>
        </is>
      </c>
      <c r="F568" t="inlineStr">
        <is>
          <t>Övriga Aktiebolag</t>
        </is>
      </c>
      <c r="G568" t="n">
        <v>9</v>
      </c>
      <c r="H568" t="n">
        <v>0</v>
      </c>
      <c r="I568" t="n">
        <v>0</v>
      </c>
      <c r="J568" t="n">
        <v>0</v>
      </c>
      <c r="K568" t="n">
        <v>0</v>
      </c>
      <c r="L568" t="n">
        <v>0</v>
      </c>
      <c r="M568" t="n">
        <v>0</v>
      </c>
      <c r="N568" t="n">
        <v>0</v>
      </c>
      <c r="O568" t="n">
        <v>0</v>
      </c>
      <c r="P568" t="n">
        <v>0</v>
      </c>
      <c r="Q568" t="n">
        <v>0</v>
      </c>
      <c r="R568" s="2" t="inlineStr"/>
    </row>
    <row r="569" ht="15" customHeight="1">
      <c r="A569" t="inlineStr">
        <is>
          <t>A 28931-2024</t>
        </is>
      </c>
      <c r="B569" s="1" t="n">
        <v>45479</v>
      </c>
      <c r="C569" s="1" t="n">
        <v>45983</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6810-2023</t>
        </is>
      </c>
      <c r="B570" s="1" t="n">
        <v>44964</v>
      </c>
      <c r="C570" s="1" t="n">
        <v>45983</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32944-2023</t>
        </is>
      </c>
      <c r="B571" s="1" t="n">
        <v>45125</v>
      </c>
      <c r="C571" s="1" t="n">
        <v>45983</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29977-2023</t>
        </is>
      </c>
      <c r="B572" s="1" t="n">
        <v>45108</v>
      </c>
      <c r="C572" s="1" t="n">
        <v>45983</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5788-2022</t>
        </is>
      </c>
      <c r="B573" s="1" t="n">
        <v>44596.54990740741</v>
      </c>
      <c r="C573" s="1" t="n">
        <v>45983</v>
      </c>
      <c r="D573" t="inlineStr">
        <is>
          <t>SÖDERMANLANDS LÄN</t>
        </is>
      </c>
      <c r="E573" t="inlineStr">
        <is>
          <t>KATRINEHOLM</t>
        </is>
      </c>
      <c r="G573" t="n">
        <v>4.1</v>
      </c>
      <c r="H573" t="n">
        <v>0</v>
      </c>
      <c r="I573" t="n">
        <v>0</v>
      </c>
      <c r="J573" t="n">
        <v>0</v>
      </c>
      <c r="K573" t="n">
        <v>0</v>
      </c>
      <c r="L573" t="n">
        <v>0</v>
      </c>
      <c r="M573" t="n">
        <v>0</v>
      </c>
      <c r="N573" t="n">
        <v>0</v>
      </c>
      <c r="O573" t="n">
        <v>0</v>
      </c>
      <c r="P573" t="n">
        <v>0</v>
      </c>
      <c r="Q573" t="n">
        <v>0</v>
      </c>
      <c r="R573" s="2" t="inlineStr"/>
    </row>
    <row r="574" ht="15" customHeight="1">
      <c r="A574" t="inlineStr">
        <is>
          <t>A 20803-2024</t>
        </is>
      </c>
      <c r="B574" s="1" t="n">
        <v>45438</v>
      </c>
      <c r="C574" s="1" t="n">
        <v>45983</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5795-2022</t>
        </is>
      </c>
      <c r="B575" s="1" t="n">
        <v>44596</v>
      </c>
      <c r="C575" s="1" t="n">
        <v>45983</v>
      </c>
      <c r="D575" t="inlineStr">
        <is>
          <t>SÖDERMANLANDS LÄN</t>
        </is>
      </c>
      <c r="E575" t="inlineStr">
        <is>
          <t>KATRINEHOLM</t>
        </is>
      </c>
      <c r="G575" t="n">
        <v>8.1</v>
      </c>
      <c r="H575" t="n">
        <v>0</v>
      </c>
      <c r="I575" t="n">
        <v>0</v>
      </c>
      <c r="J575" t="n">
        <v>0</v>
      </c>
      <c r="K575" t="n">
        <v>0</v>
      </c>
      <c r="L575" t="n">
        <v>0</v>
      </c>
      <c r="M575" t="n">
        <v>0</v>
      </c>
      <c r="N575" t="n">
        <v>0</v>
      </c>
      <c r="O575" t="n">
        <v>0</v>
      </c>
      <c r="P575" t="n">
        <v>0</v>
      </c>
      <c r="Q575" t="n">
        <v>0</v>
      </c>
      <c r="R575" s="2" t="inlineStr"/>
    </row>
    <row r="576" ht="15" customHeight="1">
      <c r="A576" t="inlineStr">
        <is>
          <t>A 3075-2022</t>
        </is>
      </c>
      <c r="B576" s="1" t="n">
        <v>44582</v>
      </c>
      <c r="C576" s="1" t="n">
        <v>45983</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73409-2021</t>
        </is>
      </c>
      <c r="B577" s="1" t="n">
        <v>44551</v>
      </c>
      <c r="C577" s="1" t="n">
        <v>45983</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73415-2021</t>
        </is>
      </c>
      <c r="B578" s="1" t="n">
        <v>44551</v>
      </c>
      <c r="C578" s="1" t="n">
        <v>45983</v>
      </c>
      <c r="D578" t="inlineStr">
        <is>
          <t>SÖDERMANLANDS LÄN</t>
        </is>
      </c>
      <c r="E578" t="inlineStr">
        <is>
          <t>KATRINEHOLM</t>
        </is>
      </c>
      <c r="G578" t="n">
        <v>3.2</v>
      </c>
      <c r="H578" t="n">
        <v>0</v>
      </c>
      <c r="I578" t="n">
        <v>0</v>
      </c>
      <c r="J578" t="n">
        <v>0</v>
      </c>
      <c r="K578" t="n">
        <v>0</v>
      </c>
      <c r="L578" t="n">
        <v>0</v>
      </c>
      <c r="M578" t="n">
        <v>0</v>
      </c>
      <c r="N578" t="n">
        <v>0</v>
      </c>
      <c r="O578" t="n">
        <v>0</v>
      </c>
      <c r="P578" t="n">
        <v>0</v>
      </c>
      <c r="Q578" t="n">
        <v>0</v>
      </c>
      <c r="R578" s="2" t="inlineStr"/>
    </row>
    <row r="579" ht="15" customHeight="1">
      <c r="A579" t="inlineStr">
        <is>
          <t>A 8087-2022</t>
        </is>
      </c>
      <c r="B579" s="1" t="n">
        <v>44609.53502314815</v>
      </c>
      <c r="C579" s="1" t="n">
        <v>45983</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50935-2023</t>
        </is>
      </c>
      <c r="B580" s="1" t="n">
        <v>45211</v>
      </c>
      <c r="C580" s="1" t="n">
        <v>45983</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6298-2024</t>
        </is>
      </c>
      <c r="B581" s="1" t="n">
        <v>45338.34245370371</v>
      </c>
      <c r="C581" s="1" t="n">
        <v>45983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45983</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58175-2024</t>
        </is>
      </c>
      <c r="B583" s="1" t="n">
        <v>45632.46648148148</v>
      </c>
      <c r="C583" s="1" t="n">
        <v>45983</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53715-2023</t>
        </is>
      </c>
      <c r="B584" s="1" t="n">
        <v>45230</v>
      </c>
      <c r="C584" s="1" t="n">
        <v>45983</v>
      </c>
      <c r="D584" t="inlineStr">
        <is>
          <t>SÖDERMANLANDS LÄN</t>
        </is>
      </c>
      <c r="E584" t="inlineStr">
        <is>
          <t>KATRINEHOLM</t>
        </is>
      </c>
      <c r="F584" t="inlineStr">
        <is>
          <t>Allmännings- och besparingsskogar</t>
        </is>
      </c>
      <c r="G584" t="n">
        <v>5.6</v>
      </c>
      <c r="H584" t="n">
        <v>0</v>
      </c>
      <c r="I584" t="n">
        <v>0</v>
      </c>
      <c r="J584" t="n">
        <v>0</v>
      </c>
      <c r="K584" t="n">
        <v>0</v>
      </c>
      <c r="L584" t="n">
        <v>0</v>
      </c>
      <c r="M584" t="n">
        <v>0</v>
      </c>
      <c r="N584" t="n">
        <v>0</v>
      </c>
      <c r="O584" t="n">
        <v>0</v>
      </c>
      <c r="P584" t="n">
        <v>0</v>
      </c>
      <c r="Q584" t="n">
        <v>0</v>
      </c>
      <c r="R584" s="2" t="inlineStr"/>
    </row>
    <row r="585" ht="15" customHeight="1">
      <c r="A585" t="inlineStr">
        <is>
          <t>A 23705-2023</t>
        </is>
      </c>
      <c r="B585" s="1" t="n">
        <v>45077</v>
      </c>
      <c r="C585" s="1" t="n">
        <v>45983</v>
      </c>
      <c r="D585" t="inlineStr">
        <is>
          <t>SÖDERMANLANDS LÄN</t>
        </is>
      </c>
      <c r="E585" t="inlineStr">
        <is>
          <t>KATRINEHOLM</t>
        </is>
      </c>
      <c r="F585" t="inlineStr">
        <is>
          <t>Kyrkan</t>
        </is>
      </c>
      <c r="G585" t="n">
        <v>11.9</v>
      </c>
      <c r="H585" t="n">
        <v>0</v>
      </c>
      <c r="I585" t="n">
        <v>0</v>
      </c>
      <c r="J585" t="n">
        <v>0</v>
      </c>
      <c r="K585" t="n">
        <v>0</v>
      </c>
      <c r="L585" t="n">
        <v>0</v>
      </c>
      <c r="M585" t="n">
        <v>0</v>
      </c>
      <c r="N585" t="n">
        <v>0</v>
      </c>
      <c r="O585" t="n">
        <v>0</v>
      </c>
      <c r="P585" t="n">
        <v>0</v>
      </c>
      <c r="Q585" t="n">
        <v>0</v>
      </c>
      <c r="R585" s="2" t="inlineStr"/>
    </row>
    <row r="586" ht="15" customHeight="1">
      <c r="A586" t="inlineStr">
        <is>
          <t>A 39120-2023</t>
        </is>
      </c>
      <c r="B586" s="1" t="n">
        <v>45165</v>
      </c>
      <c r="C586" s="1" t="n">
        <v>45983</v>
      </c>
      <c r="D586" t="inlineStr">
        <is>
          <t>SÖDERMANLANDS LÄN</t>
        </is>
      </c>
      <c r="E586" t="inlineStr">
        <is>
          <t>KATRINEHOLM</t>
        </is>
      </c>
      <c r="G586" t="n">
        <v>4.4</v>
      </c>
      <c r="H586" t="n">
        <v>0</v>
      </c>
      <c r="I586" t="n">
        <v>0</v>
      </c>
      <c r="J586" t="n">
        <v>0</v>
      </c>
      <c r="K586" t="n">
        <v>0</v>
      </c>
      <c r="L586" t="n">
        <v>0</v>
      </c>
      <c r="M586" t="n">
        <v>0</v>
      </c>
      <c r="N586" t="n">
        <v>0</v>
      </c>
      <c r="O586" t="n">
        <v>0</v>
      </c>
      <c r="P586" t="n">
        <v>0</v>
      </c>
      <c r="Q586" t="n">
        <v>0</v>
      </c>
      <c r="R586" s="2" t="inlineStr"/>
    </row>
    <row r="587" ht="15" customHeight="1">
      <c r="A587" t="inlineStr">
        <is>
          <t>A 51397-2023</t>
        </is>
      </c>
      <c r="B587" s="1" t="n">
        <v>45214</v>
      </c>
      <c r="C587" s="1" t="n">
        <v>45983</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19452-2023</t>
        </is>
      </c>
      <c r="B588" s="1" t="n">
        <v>45050</v>
      </c>
      <c r="C588" s="1" t="n">
        <v>45983</v>
      </c>
      <c r="D588" t="inlineStr">
        <is>
          <t>SÖDERMANLANDS LÄN</t>
        </is>
      </c>
      <c r="E588" t="inlineStr">
        <is>
          <t>KATRINEHOLM</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52658-2023</t>
        </is>
      </c>
      <c r="B589" s="1" t="n">
        <v>45225</v>
      </c>
      <c r="C589" s="1" t="n">
        <v>45983</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5320-2025</t>
        </is>
      </c>
      <c r="B590" s="1" t="n">
        <v>45692</v>
      </c>
      <c r="C590" s="1" t="n">
        <v>45983</v>
      </c>
      <c r="D590" t="inlineStr">
        <is>
          <t>SÖDERMANLANDS LÄN</t>
        </is>
      </c>
      <c r="E590" t="inlineStr">
        <is>
          <t>KATRINEHOLM</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2606-2025</t>
        </is>
      </c>
      <c r="B591" s="1" t="n">
        <v>45674</v>
      </c>
      <c r="C591" s="1" t="n">
        <v>45983</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39748-2022</t>
        </is>
      </c>
      <c r="B592" s="1" t="n">
        <v>44817</v>
      </c>
      <c r="C592" s="1" t="n">
        <v>45983</v>
      </c>
      <c r="D592" t="inlineStr">
        <is>
          <t>SÖDERMANLANDS LÄN</t>
        </is>
      </c>
      <c r="E592" t="inlineStr">
        <is>
          <t>KATRINEHOLM</t>
        </is>
      </c>
      <c r="G592" t="n">
        <v>10.2</v>
      </c>
      <c r="H592" t="n">
        <v>0</v>
      </c>
      <c r="I592" t="n">
        <v>0</v>
      </c>
      <c r="J592" t="n">
        <v>0</v>
      </c>
      <c r="K592" t="n">
        <v>0</v>
      </c>
      <c r="L592" t="n">
        <v>0</v>
      </c>
      <c r="M592" t="n">
        <v>0</v>
      </c>
      <c r="N592" t="n">
        <v>0</v>
      </c>
      <c r="O592" t="n">
        <v>0</v>
      </c>
      <c r="P592" t="n">
        <v>0</v>
      </c>
      <c r="Q592" t="n">
        <v>0</v>
      </c>
      <c r="R592" s="2" t="inlineStr"/>
    </row>
    <row r="593" ht="15" customHeight="1">
      <c r="A593" t="inlineStr">
        <is>
          <t>A 34731-2023</t>
        </is>
      </c>
      <c r="B593" s="1" t="n">
        <v>45141</v>
      </c>
      <c r="C593" s="1" t="n">
        <v>45983</v>
      </c>
      <c r="D593" t="inlineStr">
        <is>
          <t>SÖDERMANLANDS LÄN</t>
        </is>
      </c>
      <c r="E593" t="inlineStr">
        <is>
          <t>KATRINEHOLM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34739-2023</t>
        </is>
      </c>
      <c r="B594" s="1" t="n">
        <v>45141</v>
      </c>
      <c r="C594" s="1" t="n">
        <v>45983</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20480-2022</t>
        </is>
      </c>
      <c r="B595" s="1" t="n">
        <v>44699</v>
      </c>
      <c r="C595" s="1" t="n">
        <v>45983</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50017-2023</t>
        </is>
      </c>
      <c r="B596" s="1" t="n">
        <v>45215</v>
      </c>
      <c r="C596" s="1" t="n">
        <v>45983</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50018-2023</t>
        </is>
      </c>
      <c r="B597" s="1" t="n">
        <v>45215</v>
      </c>
      <c r="C597" s="1" t="n">
        <v>45983</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28508-2023</t>
        </is>
      </c>
      <c r="B598" s="1" t="n">
        <v>45103.46788194445</v>
      </c>
      <c r="C598" s="1" t="n">
        <v>45983</v>
      </c>
      <c r="D598" t="inlineStr">
        <is>
          <t>SÖDERMANLANDS LÄN</t>
        </is>
      </c>
      <c r="E598" t="inlineStr">
        <is>
          <t>KATRINEHOLM</t>
        </is>
      </c>
      <c r="F598" t="inlineStr">
        <is>
          <t>Kyrkan</t>
        </is>
      </c>
      <c r="G598" t="n">
        <v>20.5</v>
      </c>
      <c r="H598" t="n">
        <v>0</v>
      </c>
      <c r="I598" t="n">
        <v>0</v>
      </c>
      <c r="J598" t="n">
        <v>0</v>
      </c>
      <c r="K598" t="n">
        <v>0</v>
      </c>
      <c r="L598" t="n">
        <v>0</v>
      </c>
      <c r="M598" t="n">
        <v>0</v>
      </c>
      <c r="N598" t="n">
        <v>0</v>
      </c>
      <c r="O598" t="n">
        <v>0</v>
      </c>
      <c r="P598" t="n">
        <v>0</v>
      </c>
      <c r="Q598" t="n">
        <v>0</v>
      </c>
      <c r="R598" s="2" t="inlineStr"/>
    </row>
    <row r="599" ht="15" customHeight="1">
      <c r="A599" t="inlineStr">
        <is>
          <t>A 46075-2023</t>
        </is>
      </c>
      <c r="B599" s="1" t="n">
        <v>45196</v>
      </c>
      <c r="C599" s="1" t="n">
        <v>45983</v>
      </c>
      <c r="D599" t="inlineStr">
        <is>
          <t>SÖDERMANLANDS LÄN</t>
        </is>
      </c>
      <c r="E599" t="inlineStr">
        <is>
          <t>KATRINEHOLM</t>
        </is>
      </c>
      <c r="F599" t="inlineStr">
        <is>
          <t>Övriga Aktiebolag</t>
        </is>
      </c>
      <c r="G599" t="n">
        <v>9.5</v>
      </c>
      <c r="H599" t="n">
        <v>0</v>
      </c>
      <c r="I599" t="n">
        <v>0</v>
      </c>
      <c r="J599" t="n">
        <v>0</v>
      </c>
      <c r="K599" t="n">
        <v>0</v>
      </c>
      <c r="L599" t="n">
        <v>0</v>
      </c>
      <c r="M599" t="n">
        <v>0</v>
      </c>
      <c r="N599" t="n">
        <v>0</v>
      </c>
      <c r="O599" t="n">
        <v>0</v>
      </c>
      <c r="P599" t="n">
        <v>0</v>
      </c>
      <c r="Q599" t="n">
        <v>0</v>
      </c>
      <c r="R599" s="2" t="inlineStr"/>
    </row>
    <row r="600" ht="15" customHeight="1">
      <c r="A600" t="inlineStr">
        <is>
          <t>A 25823-2023</t>
        </is>
      </c>
      <c r="B600" s="1" t="n">
        <v>45090.55078703703</v>
      </c>
      <c r="C600" s="1" t="n">
        <v>45983</v>
      </c>
      <c r="D600" t="inlineStr">
        <is>
          <t>SÖDERMANLANDS LÄN</t>
        </is>
      </c>
      <c r="E600" t="inlineStr">
        <is>
          <t>KATRINEHOLM</t>
        </is>
      </c>
      <c r="F600" t="inlineStr">
        <is>
          <t>Kyrkan</t>
        </is>
      </c>
      <c r="G600" t="n">
        <v>10.2</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45983</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45983</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46700-2023</t>
        </is>
      </c>
      <c r="B603" s="1" t="n">
        <v>45194</v>
      </c>
      <c r="C603" s="1" t="n">
        <v>45983</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55590-2023</t>
        </is>
      </c>
      <c r="B604" s="1" t="n">
        <v>45238</v>
      </c>
      <c r="C604" s="1" t="n">
        <v>45983</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15898-2022</t>
        </is>
      </c>
      <c r="B605" s="1" t="n">
        <v>44664.55688657407</v>
      </c>
      <c r="C605" s="1" t="n">
        <v>45983</v>
      </c>
      <c r="D605" t="inlineStr">
        <is>
          <t>SÖDERMANLANDS LÄN</t>
        </is>
      </c>
      <c r="E605" t="inlineStr">
        <is>
          <t>KATRINEHOLM</t>
        </is>
      </c>
      <c r="G605" t="n">
        <v>6.5</v>
      </c>
      <c r="H605" t="n">
        <v>0</v>
      </c>
      <c r="I605" t="n">
        <v>0</v>
      </c>
      <c r="J605" t="n">
        <v>0</v>
      </c>
      <c r="K605" t="n">
        <v>0</v>
      </c>
      <c r="L605" t="n">
        <v>0</v>
      </c>
      <c r="M605" t="n">
        <v>0</v>
      </c>
      <c r="N605" t="n">
        <v>0</v>
      </c>
      <c r="O605" t="n">
        <v>0</v>
      </c>
      <c r="P605" t="n">
        <v>0</v>
      </c>
      <c r="Q605" t="n">
        <v>0</v>
      </c>
      <c r="R605" s="2" t="inlineStr"/>
    </row>
    <row r="606" ht="15" customHeight="1">
      <c r="A606" t="inlineStr">
        <is>
          <t>A 15910-2022</t>
        </is>
      </c>
      <c r="B606" s="1" t="n">
        <v>44664</v>
      </c>
      <c r="C606" s="1" t="n">
        <v>45983</v>
      </c>
      <c r="D606" t="inlineStr">
        <is>
          <t>SÖDERMANLANDS LÄN</t>
        </is>
      </c>
      <c r="E606" t="inlineStr">
        <is>
          <t>KATRINEHOLM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32818-2023</t>
        </is>
      </c>
      <c r="B607" s="1" t="n">
        <v>45124.55633101852</v>
      </c>
      <c r="C607" s="1" t="n">
        <v>45983</v>
      </c>
      <c r="D607" t="inlineStr">
        <is>
          <t>SÖDERMANLANDS LÄN</t>
        </is>
      </c>
      <c r="E607" t="inlineStr">
        <is>
          <t>KATRINEHOLM</t>
        </is>
      </c>
      <c r="G607" t="n">
        <v>3.4</v>
      </c>
      <c r="H607" t="n">
        <v>0</v>
      </c>
      <c r="I607" t="n">
        <v>0</v>
      </c>
      <c r="J607" t="n">
        <v>0</v>
      </c>
      <c r="K607" t="n">
        <v>0</v>
      </c>
      <c r="L607" t="n">
        <v>0</v>
      </c>
      <c r="M607" t="n">
        <v>0</v>
      </c>
      <c r="N607" t="n">
        <v>0</v>
      </c>
      <c r="O607" t="n">
        <v>0</v>
      </c>
      <c r="P607" t="n">
        <v>0</v>
      </c>
      <c r="Q607" t="n">
        <v>0</v>
      </c>
      <c r="R607" s="2" t="inlineStr"/>
    </row>
    <row r="608" ht="15" customHeight="1">
      <c r="A608" t="inlineStr">
        <is>
          <t>A 20214-2025</t>
        </is>
      </c>
      <c r="B608" s="1" t="n">
        <v>45772.63540509259</v>
      </c>
      <c r="C608" s="1" t="n">
        <v>45983</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22272-2022</t>
        </is>
      </c>
      <c r="B609" s="1" t="n">
        <v>44712</v>
      </c>
      <c r="C609" s="1" t="n">
        <v>45983</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27334-2023</t>
        </is>
      </c>
      <c r="B610" s="1" t="n">
        <v>45096</v>
      </c>
      <c r="C610" s="1" t="n">
        <v>45983</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40186-2023</t>
        </is>
      </c>
      <c r="B611" s="1" t="n">
        <v>45169</v>
      </c>
      <c r="C611" s="1" t="n">
        <v>45983</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47886-2023</t>
        </is>
      </c>
      <c r="B612" s="1" t="n">
        <v>45204</v>
      </c>
      <c r="C612" s="1" t="n">
        <v>45983</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36562-2023</t>
        </is>
      </c>
      <c r="B613" s="1" t="n">
        <v>45153</v>
      </c>
      <c r="C613" s="1" t="n">
        <v>45983</v>
      </c>
      <c r="D613" t="inlineStr">
        <is>
          <t>SÖDERMANLANDS LÄN</t>
        </is>
      </c>
      <c r="E613" t="inlineStr">
        <is>
          <t>KATRINEHOLM</t>
        </is>
      </c>
      <c r="G613" t="n">
        <v>5.8</v>
      </c>
      <c r="H613" t="n">
        <v>0</v>
      </c>
      <c r="I613" t="n">
        <v>0</v>
      </c>
      <c r="J613" t="n">
        <v>0</v>
      </c>
      <c r="K613" t="n">
        <v>0</v>
      </c>
      <c r="L613" t="n">
        <v>0</v>
      </c>
      <c r="M613" t="n">
        <v>0</v>
      </c>
      <c r="N613" t="n">
        <v>0</v>
      </c>
      <c r="O613" t="n">
        <v>0</v>
      </c>
      <c r="P613" t="n">
        <v>0</v>
      </c>
      <c r="Q613" t="n">
        <v>0</v>
      </c>
      <c r="R613" s="2" t="inlineStr"/>
    </row>
    <row r="614" ht="15" customHeight="1">
      <c r="A614" t="inlineStr">
        <is>
          <t>A 34539-2022</t>
        </is>
      </c>
      <c r="B614" s="1" t="n">
        <v>44793.50563657407</v>
      </c>
      <c r="C614" s="1" t="n">
        <v>45983</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41205-2021</t>
        </is>
      </c>
      <c r="B615" s="1" t="n">
        <v>44424.38577546296</v>
      </c>
      <c r="C615" s="1" t="n">
        <v>45983</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24748-2024</t>
        </is>
      </c>
      <c r="B616" s="1" t="n">
        <v>45460.66567129629</v>
      </c>
      <c r="C616" s="1" t="n">
        <v>45983</v>
      </c>
      <c r="D616" t="inlineStr">
        <is>
          <t>SÖDERMANLANDS LÄN</t>
        </is>
      </c>
      <c r="E616" t="inlineStr">
        <is>
          <t>KATRINEHOLM</t>
        </is>
      </c>
      <c r="G616" t="n">
        <v>3.3</v>
      </c>
      <c r="H616" t="n">
        <v>0</v>
      </c>
      <c r="I616" t="n">
        <v>0</v>
      </c>
      <c r="J616" t="n">
        <v>0</v>
      </c>
      <c r="K616" t="n">
        <v>0</v>
      </c>
      <c r="L616" t="n">
        <v>0</v>
      </c>
      <c r="M616" t="n">
        <v>0</v>
      </c>
      <c r="N616" t="n">
        <v>0</v>
      </c>
      <c r="O616" t="n">
        <v>0</v>
      </c>
      <c r="P616" t="n">
        <v>0</v>
      </c>
      <c r="Q616" t="n">
        <v>0</v>
      </c>
      <c r="R616" s="2" t="inlineStr"/>
    </row>
    <row r="617" ht="15" customHeight="1">
      <c r="A617" t="inlineStr">
        <is>
          <t>A 2298-2021</t>
        </is>
      </c>
      <c r="B617" s="1" t="n">
        <v>44212</v>
      </c>
      <c r="C617" s="1" t="n">
        <v>45983</v>
      </c>
      <c r="D617" t="inlineStr">
        <is>
          <t>SÖDERMANLANDS LÄN</t>
        </is>
      </c>
      <c r="E617" t="inlineStr">
        <is>
          <t>KATRINEHOLM</t>
        </is>
      </c>
      <c r="G617" t="n">
        <v>3.4</v>
      </c>
      <c r="H617" t="n">
        <v>0</v>
      </c>
      <c r="I617" t="n">
        <v>0</v>
      </c>
      <c r="J617" t="n">
        <v>0</v>
      </c>
      <c r="K617" t="n">
        <v>0</v>
      </c>
      <c r="L617" t="n">
        <v>0</v>
      </c>
      <c r="M617" t="n">
        <v>0</v>
      </c>
      <c r="N617" t="n">
        <v>0</v>
      </c>
      <c r="O617" t="n">
        <v>0</v>
      </c>
      <c r="P617" t="n">
        <v>0</v>
      </c>
      <c r="Q617" t="n">
        <v>0</v>
      </c>
      <c r="R617" s="2" t="inlineStr"/>
    </row>
    <row r="618" ht="15" customHeight="1">
      <c r="A618" t="inlineStr">
        <is>
          <t>A 40402-2022</t>
        </is>
      </c>
      <c r="B618" s="1" t="n">
        <v>44823.44353009259</v>
      </c>
      <c r="C618" s="1" t="n">
        <v>45983</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17792-2025</t>
        </is>
      </c>
      <c r="B619" s="1" t="n">
        <v>45758</v>
      </c>
      <c r="C619" s="1" t="n">
        <v>45983</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17820-2025</t>
        </is>
      </c>
      <c r="B620" s="1" t="n">
        <v>45758</v>
      </c>
      <c r="C620" s="1" t="n">
        <v>45983</v>
      </c>
      <c r="D620" t="inlineStr">
        <is>
          <t>SÖDERMANLANDS LÄN</t>
        </is>
      </c>
      <c r="E620" t="inlineStr">
        <is>
          <t>KATRINEHOLM</t>
        </is>
      </c>
      <c r="G620" t="n">
        <v>5.9</v>
      </c>
      <c r="H620" t="n">
        <v>0</v>
      </c>
      <c r="I620" t="n">
        <v>0</v>
      </c>
      <c r="J620" t="n">
        <v>0</v>
      </c>
      <c r="K620" t="n">
        <v>0</v>
      </c>
      <c r="L620" t="n">
        <v>0</v>
      </c>
      <c r="M620" t="n">
        <v>0</v>
      </c>
      <c r="N620" t="n">
        <v>0</v>
      </c>
      <c r="O620" t="n">
        <v>0</v>
      </c>
      <c r="P620" t="n">
        <v>0</v>
      </c>
      <c r="Q620" t="n">
        <v>0</v>
      </c>
      <c r="R620" s="2" t="inlineStr"/>
    </row>
    <row r="621" ht="15" customHeight="1">
      <c r="A621" t="inlineStr">
        <is>
          <t>A 30387-2022</t>
        </is>
      </c>
      <c r="B621" s="1" t="n">
        <v>44760</v>
      </c>
      <c r="C621" s="1" t="n">
        <v>45983</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39052-2023</t>
        </is>
      </c>
      <c r="B622" s="1" t="n">
        <v>45163</v>
      </c>
      <c r="C622" s="1" t="n">
        <v>45983</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8922-2024</t>
        </is>
      </c>
      <c r="B623" s="1" t="n">
        <v>45357.38601851852</v>
      </c>
      <c r="C623" s="1" t="n">
        <v>45983</v>
      </c>
      <c r="D623" t="inlineStr">
        <is>
          <t>SÖDERMANLANDS LÄN</t>
        </is>
      </c>
      <c r="E623" t="inlineStr">
        <is>
          <t>KATRINEHOLM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48160-2022</t>
        </is>
      </c>
      <c r="B624" s="1" t="n">
        <v>44853</v>
      </c>
      <c r="C624" s="1" t="n">
        <v>45983</v>
      </c>
      <c r="D624" t="inlineStr">
        <is>
          <t>SÖDERMANLANDS LÄN</t>
        </is>
      </c>
      <c r="E624" t="inlineStr">
        <is>
          <t>KATRINEHOLM</t>
        </is>
      </c>
      <c r="F624" t="inlineStr">
        <is>
          <t>Övriga statliga verk och myndigheter</t>
        </is>
      </c>
      <c r="G624" t="n">
        <v>2.2</v>
      </c>
      <c r="H624" t="n">
        <v>0</v>
      </c>
      <c r="I624" t="n">
        <v>0</v>
      </c>
      <c r="J624" t="n">
        <v>0</v>
      </c>
      <c r="K624" t="n">
        <v>0</v>
      </c>
      <c r="L624" t="n">
        <v>0</v>
      </c>
      <c r="M624" t="n">
        <v>0</v>
      </c>
      <c r="N624" t="n">
        <v>0</v>
      </c>
      <c r="O624" t="n">
        <v>0</v>
      </c>
      <c r="P624" t="n">
        <v>0</v>
      </c>
      <c r="Q624" t="n">
        <v>0</v>
      </c>
      <c r="R624" s="2" t="inlineStr"/>
    </row>
    <row r="625" ht="15" customHeight="1">
      <c r="A625" t="inlineStr">
        <is>
          <t>A 28317-2024</t>
        </is>
      </c>
      <c r="B625" s="1" t="n">
        <v>45477</v>
      </c>
      <c r="C625" s="1" t="n">
        <v>45983</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66393-2021</t>
        </is>
      </c>
      <c r="B626" s="1" t="n">
        <v>44518</v>
      </c>
      <c r="C626" s="1" t="n">
        <v>45983</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47134-2022</t>
        </is>
      </c>
      <c r="B627" s="1" t="n">
        <v>44851</v>
      </c>
      <c r="C627" s="1" t="n">
        <v>45983</v>
      </c>
      <c r="D627" t="inlineStr">
        <is>
          <t>SÖDERMANLANDS LÄN</t>
        </is>
      </c>
      <c r="E627" t="inlineStr">
        <is>
          <t>KATRINEHOLM</t>
        </is>
      </c>
      <c r="F627" t="inlineStr">
        <is>
          <t>Övriga statliga verk och myndigheter</t>
        </is>
      </c>
      <c r="G627" t="n">
        <v>1.5</v>
      </c>
      <c r="H627" t="n">
        <v>0</v>
      </c>
      <c r="I627" t="n">
        <v>0</v>
      </c>
      <c r="J627" t="n">
        <v>0</v>
      </c>
      <c r="K627" t="n">
        <v>0</v>
      </c>
      <c r="L627" t="n">
        <v>0</v>
      </c>
      <c r="M627" t="n">
        <v>0</v>
      </c>
      <c r="N627" t="n">
        <v>0</v>
      </c>
      <c r="O627" t="n">
        <v>0</v>
      </c>
      <c r="P627" t="n">
        <v>0</v>
      </c>
      <c r="Q627" t="n">
        <v>0</v>
      </c>
      <c r="R627" s="2" t="inlineStr"/>
    </row>
    <row r="628" ht="15" customHeight="1">
      <c r="A628" t="inlineStr">
        <is>
          <t>A 1143-2024</t>
        </is>
      </c>
      <c r="B628" s="1" t="n">
        <v>45302</v>
      </c>
      <c r="C628" s="1" t="n">
        <v>45983</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3982-2024</t>
        </is>
      </c>
      <c r="B629" s="1" t="n">
        <v>45322</v>
      </c>
      <c r="C629" s="1" t="n">
        <v>45983</v>
      </c>
      <c r="D629" t="inlineStr">
        <is>
          <t>SÖDERMANLANDS LÄN</t>
        </is>
      </c>
      <c r="E629" t="inlineStr">
        <is>
          <t>KATRINEHOLM</t>
        </is>
      </c>
      <c r="G629" t="n">
        <v>3.7</v>
      </c>
      <c r="H629" t="n">
        <v>0</v>
      </c>
      <c r="I629" t="n">
        <v>0</v>
      </c>
      <c r="J629" t="n">
        <v>0</v>
      </c>
      <c r="K629" t="n">
        <v>0</v>
      </c>
      <c r="L629" t="n">
        <v>0</v>
      </c>
      <c r="M629" t="n">
        <v>0</v>
      </c>
      <c r="N629" t="n">
        <v>0</v>
      </c>
      <c r="O629" t="n">
        <v>0</v>
      </c>
      <c r="P629" t="n">
        <v>0</v>
      </c>
      <c r="Q629" t="n">
        <v>0</v>
      </c>
      <c r="R629" s="2" t="inlineStr"/>
    </row>
    <row r="630" ht="15" customHeight="1">
      <c r="A630" t="inlineStr">
        <is>
          <t>A 57263-2022</t>
        </is>
      </c>
      <c r="B630" s="1" t="n">
        <v>44895</v>
      </c>
      <c r="C630" s="1" t="n">
        <v>45983</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28431-2024</t>
        </is>
      </c>
      <c r="B631" s="1" t="n">
        <v>45477.65216435185</v>
      </c>
      <c r="C631" s="1" t="n">
        <v>45983</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62418-2023</t>
        </is>
      </c>
      <c r="B632" s="1" t="n">
        <v>45268</v>
      </c>
      <c r="C632" s="1" t="n">
        <v>45983</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45142-2021</t>
        </is>
      </c>
      <c r="B633" s="1" t="n">
        <v>44439</v>
      </c>
      <c r="C633" s="1" t="n">
        <v>45983</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7191-2023</t>
        </is>
      </c>
      <c r="B634" s="1" t="n">
        <v>44965</v>
      </c>
      <c r="C634" s="1" t="n">
        <v>45983</v>
      </c>
      <c r="D634" t="inlineStr">
        <is>
          <t>SÖDERMANLANDS LÄN</t>
        </is>
      </c>
      <c r="E634" t="inlineStr">
        <is>
          <t>KATRINEHOLM</t>
        </is>
      </c>
      <c r="G634" t="n">
        <v>14.1</v>
      </c>
      <c r="H634" t="n">
        <v>0</v>
      </c>
      <c r="I634" t="n">
        <v>0</v>
      </c>
      <c r="J634" t="n">
        <v>0</v>
      </c>
      <c r="K634" t="n">
        <v>0</v>
      </c>
      <c r="L634" t="n">
        <v>0</v>
      </c>
      <c r="M634" t="n">
        <v>0</v>
      </c>
      <c r="N634" t="n">
        <v>0</v>
      </c>
      <c r="O634" t="n">
        <v>0</v>
      </c>
      <c r="P634" t="n">
        <v>0</v>
      </c>
      <c r="Q634" t="n">
        <v>0</v>
      </c>
      <c r="R634" s="2" t="inlineStr"/>
    </row>
    <row r="635" ht="15" customHeight="1">
      <c r="A635" t="inlineStr">
        <is>
          <t>A 66540-2021</t>
        </is>
      </c>
      <c r="B635" s="1" t="n">
        <v>44519</v>
      </c>
      <c r="C635" s="1" t="n">
        <v>45983</v>
      </c>
      <c r="D635" t="inlineStr">
        <is>
          <t>SÖDERMANLANDS LÄN</t>
        </is>
      </c>
      <c r="E635" t="inlineStr">
        <is>
          <t>KATRINEHOLM</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8394-2024</t>
        </is>
      </c>
      <c r="B636" s="1" t="n">
        <v>45352</v>
      </c>
      <c r="C636" s="1" t="n">
        <v>45983</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13658-2023</t>
        </is>
      </c>
      <c r="B637" s="1" t="n">
        <v>45006</v>
      </c>
      <c r="C637" s="1" t="n">
        <v>45983</v>
      </c>
      <c r="D637" t="inlineStr">
        <is>
          <t>SÖDERMANLANDS LÄN</t>
        </is>
      </c>
      <c r="E637" t="inlineStr">
        <is>
          <t>KATRINEHOLM</t>
        </is>
      </c>
      <c r="F637" t="inlineStr">
        <is>
          <t>Kyrkan</t>
        </is>
      </c>
      <c r="G637" t="n">
        <v>24.3</v>
      </c>
      <c r="H637" t="n">
        <v>0</v>
      </c>
      <c r="I637" t="n">
        <v>0</v>
      </c>
      <c r="J637" t="n">
        <v>0</v>
      </c>
      <c r="K637" t="n">
        <v>0</v>
      </c>
      <c r="L637" t="n">
        <v>0</v>
      </c>
      <c r="M637" t="n">
        <v>0</v>
      </c>
      <c r="N637" t="n">
        <v>0</v>
      </c>
      <c r="O637" t="n">
        <v>0</v>
      </c>
      <c r="P637" t="n">
        <v>0</v>
      </c>
      <c r="Q637" t="n">
        <v>0</v>
      </c>
      <c r="R637" s="2" t="inlineStr"/>
    </row>
    <row r="638" ht="15" customHeight="1">
      <c r="A638" t="inlineStr">
        <is>
          <t>A 61385-2023</t>
        </is>
      </c>
      <c r="B638" s="1" t="n">
        <v>45264.64241898148</v>
      </c>
      <c r="C638" s="1" t="n">
        <v>45983</v>
      </c>
      <c r="D638" t="inlineStr">
        <is>
          <t>SÖDERMANLANDS LÄN</t>
        </is>
      </c>
      <c r="E638" t="inlineStr">
        <is>
          <t>KATRINEHOLM</t>
        </is>
      </c>
      <c r="G638" t="n">
        <v>0.4</v>
      </c>
      <c r="H638" t="n">
        <v>0</v>
      </c>
      <c r="I638" t="n">
        <v>0</v>
      </c>
      <c r="J638" t="n">
        <v>0</v>
      </c>
      <c r="K638" t="n">
        <v>0</v>
      </c>
      <c r="L638" t="n">
        <v>0</v>
      </c>
      <c r="M638" t="n">
        <v>0</v>
      </c>
      <c r="N638" t="n">
        <v>0</v>
      </c>
      <c r="O638" t="n">
        <v>0</v>
      </c>
      <c r="P638" t="n">
        <v>0</v>
      </c>
      <c r="Q638" t="n">
        <v>0</v>
      </c>
      <c r="R638" s="2" t="inlineStr"/>
    </row>
    <row r="639" ht="15" customHeight="1">
      <c r="A639" t="inlineStr">
        <is>
          <t>A 55825-2022</t>
        </is>
      </c>
      <c r="B639" s="1" t="n">
        <v>44886</v>
      </c>
      <c r="C639" s="1" t="n">
        <v>45983</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55856-2022</t>
        </is>
      </c>
      <c r="B640" s="1" t="n">
        <v>44888</v>
      </c>
      <c r="C640" s="1" t="n">
        <v>45983</v>
      </c>
      <c r="D640" t="inlineStr">
        <is>
          <t>SÖDERMANLANDS LÄN</t>
        </is>
      </c>
      <c r="E640" t="inlineStr">
        <is>
          <t>KATRINEHOLM</t>
        </is>
      </c>
      <c r="G640" t="n">
        <v>5.6</v>
      </c>
      <c r="H640" t="n">
        <v>0</v>
      </c>
      <c r="I640" t="n">
        <v>0</v>
      </c>
      <c r="J640" t="n">
        <v>0</v>
      </c>
      <c r="K640" t="n">
        <v>0</v>
      </c>
      <c r="L640" t="n">
        <v>0</v>
      </c>
      <c r="M640" t="n">
        <v>0</v>
      </c>
      <c r="N640" t="n">
        <v>0</v>
      </c>
      <c r="O640" t="n">
        <v>0</v>
      </c>
      <c r="P640" t="n">
        <v>0</v>
      </c>
      <c r="Q640" t="n">
        <v>0</v>
      </c>
      <c r="R640" s="2" t="inlineStr"/>
    </row>
    <row r="641" ht="15" customHeight="1">
      <c r="A641" t="inlineStr">
        <is>
          <t>A 43513-2023</t>
        </is>
      </c>
      <c r="B641" s="1" t="n">
        <v>45184</v>
      </c>
      <c r="C641" s="1" t="n">
        <v>45983</v>
      </c>
      <c r="D641" t="inlineStr">
        <is>
          <t>SÖDERMANLANDS LÄN</t>
        </is>
      </c>
      <c r="E641" t="inlineStr">
        <is>
          <t>KATRINEHOLM</t>
        </is>
      </c>
      <c r="G641" t="n">
        <v>3.8</v>
      </c>
      <c r="H641" t="n">
        <v>0</v>
      </c>
      <c r="I641" t="n">
        <v>0</v>
      </c>
      <c r="J641" t="n">
        <v>0</v>
      </c>
      <c r="K641" t="n">
        <v>0</v>
      </c>
      <c r="L641" t="n">
        <v>0</v>
      </c>
      <c r="M641" t="n">
        <v>0</v>
      </c>
      <c r="N641" t="n">
        <v>0</v>
      </c>
      <c r="O641" t="n">
        <v>0</v>
      </c>
      <c r="P641" t="n">
        <v>0</v>
      </c>
      <c r="Q641" t="n">
        <v>0</v>
      </c>
      <c r="R641" s="2" t="inlineStr"/>
    </row>
    <row r="642" ht="15" customHeight="1">
      <c r="A642" t="inlineStr">
        <is>
          <t>A 8951-2024</t>
        </is>
      </c>
      <c r="B642" s="1" t="n">
        <v>45357.44695601852</v>
      </c>
      <c r="C642" s="1" t="n">
        <v>45983</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8955-2024</t>
        </is>
      </c>
      <c r="B643" s="1" t="n">
        <v>45357.44873842593</v>
      </c>
      <c r="C643" s="1" t="n">
        <v>45983</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15945-2024</t>
        </is>
      </c>
      <c r="B644" s="1" t="n">
        <v>45405.48912037037</v>
      </c>
      <c r="C644" s="1" t="n">
        <v>45983</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4655-2024</t>
        </is>
      </c>
      <c r="B645" s="1" t="n">
        <v>45328</v>
      </c>
      <c r="C645" s="1" t="n">
        <v>45983</v>
      </c>
      <c r="D645" t="inlineStr">
        <is>
          <t>SÖDERMANLANDS LÄN</t>
        </is>
      </c>
      <c r="E645" t="inlineStr">
        <is>
          <t>KATRINEHOLM</t>
        </is>
      </c>
      <c r="G645" t="n">
        <v>17.7</v>
      </c>
      <c r="H645" t="n">
        <v>0</v>
      </c>
      <c r="I645" t="n">
        <v>0</v>
      </c>
      <c r="J645" t="n">
        <v>0</v>
      </c>
      <c r="K645" t="n">
        <v>0</v>
      </c>
      <c r="L645" t="n">
        <v>0</v>
      </c>
      <c r="M645" t="n">
        <v>0</v>
      </c>
      <c r="N645" t="n">
        <v>0</v>
      </c>
      <c r="O645" t="n">
        <v>0</v>
      </c>
      <c r="P645" t="n">
        <v>0</v>
      </c>
      <c r="Q645" t="n">
        <v>0</v>
      </c>
      <c r="R645" s="2" t="inlineStr"/>
    </row>
    <row r="646" ht="15" customHeight="1">
      <c r="A646" t="inlineStr">
        <is>
          <t>A 53387-2023</t>
        </is>
      </c>
      <c r="B646" s="1" t="n">
        <v>45229</v>
      </c>
      <c r="C646" s="1" t="n">
        <v>45983</v>
      </c>
      <c r="D646" t="inlineStr">
        <is>
          <t>SÖDERMANLANDS LÄN</t>
        </is>
      </c>
      <c r="E646" t="inlineStr">
        <is>
          <t>KATRINEHOLM</t>
        </is>
      </c>
      <c r="F646" t="inlineStr">
        <is>
          <t>Kyrkan</t>
        </is>
      </c>
      <c r="G646" t="n">
        <v>7.4</v>
      </c>
      <c r="H646" t="n">
        <v>0</v>
      </c>
      <c r="I646" t="n">
        <v>0</v>
      </c>
      <c r="J646" t="n">
        <v>0</v>
      </c>
      <c r="K646" t="n">
        <v>0</v>
      </c>
      <c r="L646" t="n">
        <v>0</v>
      </c>
      <c r="M646" t="n">
        <v>0</v>
      </c>
      <c r="N646" t="n">
        <v>0</v>
      </c>
      <c r="O646" t="n">
        <v>0</v>
      </c>
      <c r="P646" t="n">
        <v>0</v>
      </c>
      <c r="Q646" t="n">
        <v>0</v>
      </c>
      <c r="R646" s="2" t="inlineStr"/>
    </row>
    <row r="647" ht="15" customHeight="1">
      <c r="A647" t="inlineStr">
        <is>
          <t>A 42590-2022</t>
        </is>
      </c>
      <c r="B647" s="1" t="n">
        <v>44831</v>
      </c>
      <c r="C647" s="1" t="n">
        <v>45983</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38883-2024</t>
        </is>
      </c>
      <c r="B648" s="1" t="n">
        <v>45547</v>
      </c>
      <c r="C648" s="1" t="n">
        <v>45983</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4667-2024</t>
        </is>
      </c>
      <c r="B649" s="1" t="n">
        <v>45328.47</v>
      </c>
      <c r="C649" s="1" t="n">
        <v>45983</v>
      </c>
      <c r="D649" t="inlineStr">
        <is>
          <t>SÖDERMANLANDS LÄN</t>
        </is>
      </c>
      <c r="E649" t="inlineStr">
        <is>
          <t>KATRINEHOLM</t>
        </is>
      </c>
      <c r="F649" t="inlineStr">
        <is>
          <t>Övriga Aktiebolag</t>
        </is>
      </c>
      <c r="G649" t="n">
        <v>10.2</v>
      </c>
      <c r="H649" t="n">
        <v>0</v>
      </c>
      <c r="I649" t="n">
        <v>0</v>
      </c>
      <c r="J649" t="n">
        <v>0</v>
      </c>
      <c r="K649" t="n">
        <v>0</v>
      </c>
      <c r="L649" t="n">
        <v>0</v>
      </c>
      <c r="M649" t="n">
        <v>0</v>
      </c>
      <c r="N649" t="n">
        <v>0</v>
      </c>
      <c r="O649" t="n">
        <v>0</v>
      </c>
      <c r="P649" t="n">
        <v>0</v>
      </c>
      <c r="Q649" t="n">
        <v>0</v>
      </c>
      <c r="R649" s="2" t="inlineStr"/>
    </row>
    <row r="650" ht="15" customHeight="1">
      <c r="A650" t="inlineStr">
        <is>
          <t>A 39704-2023</t>
        </is>
      </c>
      <c r="B650" s="1" t="n">
        <v>45167</v>
      </c>
      <c r="C650" s="1" t="n">
        <v>45983</v>
      </c>
      <c r="D650" t="inlineStr">
        <is>
          <t>SÖDERMANLANDS LÄN</t>
        </is>
      </c>
      <c r="E650" t="inlineStr">
        <is>
          <t>KATRINEHOLM</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16087-2023</t>
        </is>
      </c>
      <c r="B651" s="1" t="n">
        <v>45026</v>
      </c>
      <c r="C651" s="1" t="n">
        <v>45983</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61867-2020</t>
        </is>
      </c>
      <c r="B652" s="1" t="n">
        <v>44159</v>
      </c>
      <c r="C652" s="1" t="n">
        <v>45983</v>
      </c>
      <c r="D652" t="inlineStr">
        <is>
          <t>SÖDERMANLANDS LÄN</t>
        </is>
      </c>
      <c r="E652" t="inlineStr">
        <is>
          <t>KATRINEHOLM</t>
        </is>
      </c>
      <c r="G652" t="n">
        <v>2.9</v>
      </c>
      <c r="H652" t="n">
        <v>0</v>
      </c>
      <c r="I652" t="n">
        <v>0</v>
      </c>
      <c r="J652" t="n">
        <v>0</v>
      </c>
      <c r="K652" t="n">
        <v>0</v>
      </c>
      <c r="L652" t="n">
        <v>0</v>
      </c>
      <c r="M652" t="n">
        <v>0</v>
      </c>
      <c r="N652" t="n">
        <v>0</v>
      </c>
      <c r="O652" t="n">
        <v>0</v>
      </c>
      <c r="P652" t="n">
        <v>0</v>
      </c>
      <c r="Q652" t="n">
        <v>0</v>
      </c>
      <c r="R652" s="2" t="inlineStr"/>
    </row>
    <row r="653" ht="15" customHeight="1">
      <c r="A653" t="inlineStr">
        <is>
          <t>A 28652-2024</t>
        </is>
      </c>
      <c r="B653" s="1" t="n">
        <v>45478</v>
      </c>
      <c r="C653" s="1" t="n">
        <v>45983</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42791-2023</t>
        </is>
      </c>
      <c r="B654" s="1" t="n">
        <v>45181.92876157408</v>
      </c>
      <c r="C654" s="1" t="n">
        <v>45983</v>
      </c>
      <c r="D654" t="inlineStr">
        <is>
          <t>SÖDERMANLANDS LÄN</t>
        </is>
      </c>
      <c r="E654" t="inlineStr">
        <is>
          <t>KATRINEHOLM</t>
        </is>
      </c>
      <c r="G654" t="n">
        <v>4.1</v>
      </c>
      <c r="H654" t="n">
        <v>0</v>
      </c>
      <c r="I654" t="n">
        <v>0</v>
      </c>
      <c r="J654" t="n">
        <v>0</v>
      </c>
      <c r="K654" t="n">
        <v>0</v>
      </c>
      <c r="L654" t="n">
        <v>0</v>
      </c>
      <c r="M654" t="n">
        <v>0</v>
      </c>
      <c r="N654" t="n">
        <v>0</v>
      </c>
      <c r="O654" t="n">
        <v>0</v>
      </c>
      <c r="P654" t="n">
        <v>0</v>
      </c>
      <c r="Q654" t="n">
        <v>0</v>
      </c>
      <c r="R654" s="2" t="inlineStr"/>
    </row>
    <row r="655" ht="15" customHeight="1">
      <c r="A655" t="inlineStr">
        <is>
          <t>A 42792-2023</t>
        </is>
      </c>
      <c r="B655" s="1" t="n">
        <v>45181.95491898148</v>
      </c>
      <c r="C655" s="1" t="n">
        <v>45983</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31740-2022</t>
        </is>
      </c>
      <c r="B656" s="1" t="n">
        <v>44776</v>
      </c>
      <c r="C656" s="1" t="n">
        <v>45983</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4679-2023</t>
        </is>
      </c>
      <c r="B657" s="1" t="n">
        <v>44957.44885416667</v>
      </c>
      <c r="C657" s="1" t="n">
        <v>45983</v>
      </c>
      <c r="D657" t="inlineStr">
        <is>
          <t>SÖDERMANLANDS LÄN</t>
        </is>
      </c>
      <c r="E657" t="inlineStr">
        <is>
          <t>KATRINEHOLM</t>
        </is>
      </c>
      <c r="G657" t="n">
        <v>5.3</v>
      </c>
      <c r="H657" t="n">
        <v>0</v>
      </c>
      <c r="I657" t="n">
        <v>0</v>
      </c>
      <c r="J657" t="n">
        <v>0</v>
      </c>
      <c r="K657" t="n">
        <v>0</v>
      </c>
      <c r="L657" t="n">
        <v>0</v>
      </c>
      <c r="M657" t="n">
        <v>0</v>
      </c>
      <c r="N657" t="n">
        <v>0</v>
      </c>
      <c r="O657" t="n">
        <v>0</v>
      </c>
      <c r="P657" t="n">
        <v>0</v>
      </c>
      <c r="Q657" t="n">
        <v>0</v>
      </c>
      <c r="R657" s="2" t="inlineStr"/>
    </row>
    <row r="658" ht="15" customHeight="1">
      <c r="A658" t="inlineStr">
        <is>
          <t>A 6087-2021</t>
        </is>
      </c>
      <c r="B658" s="1" t="n">
        <v>44232</v>
      </c>
      <c r="C658" s="1" t="n">
        <v>45983</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48528-2021</t>
        </is>
      </c>
      <c r="B659" s="1" t="n">
        <v>44449</v>
      </c>
      <c r="C659" s="1" t="n">
        <v>45983</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48398-2022</t>
        </is>
      </c>
      <c r="B660" s="1" t="n">
        <v>44858.60809027778</v>
      </c>
      <c r="C660" s="1" t="n">
        <v>45983</v>
      </c>
      <c r="D660" t="inlineStr">
        <is>
          <t>SÖDERMANLANDS LÄN</t>
        </is>
      </c>
      <c r="E660" t="inlineStr">
        <is>
          <t>KATRINEHOLM</t>
        </is>
      </c>
      <c r="G660" t="n">
        <v>1.9</v>
      </c>
      <c r="H660" t="n">
        <v>0</v>
      </c>
      <c r="I660" t="n">
        <v>0</v>
      </c>
      <c r="J660" t="n">
        <v>0</v>
      </c>
      <c r="K660" t="n">
        <v>0</v>
      </c>
      <c r="L660" t="n">
        <v>0</v>
      </c>
      <c r="M660" t="n">
        <v>0</v>
      </c>
      <c r="N660" t="n">
        <v>0</v>
      </c>
      <c r="O660" t="n">
        <v>0</v>
      </c>
      <c r="P660" t="n">
        <v>0</v>
      </c>
      <c r="Q660" t="n">
        <v>0</v>
      </c>
      <c r="R660" s="2" t="inlineStr"/>
    </row>
    <row r="661" ht="15" customHeight="1">
      <c r="A661" t="inlineStr">
        <is>
          <t>A 6753-2022</t>
        </is>
      </c>
      <c r="B661" s="1" t="n">
        <v>44602</v>
      </c>
      <c r="C661" s="1" t="n">
        <v>45983</v>
      </c>
      <c r="D661" t="inlineStr">
        <is>
          <t>SÖDERMANLANDS LÄN</t>
        </is>
      </c>
      <c r="E661" t="inlineStr">
        <is>
          <t>KATRINEHOLM</t>
        </is>
      </c>
      <c r="G661" t="n">
        <v>4.3</v>
      </c>
      <c r="H661" t="n">
        <v>0</v>
      </c>
      <c r="I661" t="n">
        <v>0</v>
      </c>
      <c r="J661" t="n">
        <v>0</v>
      </c>
      <c r="K661" t="n">
        <v>0</v>
      </c>
      <c r="L661" t="n">
        <v>0</v>
      </c>
      <c r="M661" t="n">
        <v>0</v>
      </c>
      <c r="N661" t="n">
        <v>0</v>
      </c>
      <c r="O661" t="n">
        <v>0</v>
      </c>
      <c r="P661" t="n">
        <v>0</v>
      </c>
      <c r="Q661" t="n">
        <v>0</v>
      </c>
      <c r="R661" s="2" t="inlineStr"/>
    </row>
    <row r="662" ht="15" customHeight="1">
      <c r="A662" t="inlineStr">
        <is>
          <t>A 15184-2023</t>
        </is>
      </c>
      <c r="B662" s="1" t="n">
        <v>45016</v>
      </c>
      <c r="C662" s="1" t="n">
        <v>45983</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38826-2021</t>
        </is>
      </c>
      <c r="B663" s="1" t="n">
        <v>44411</v>
      </c>
      <c r="C663" s="1" t="n">
        <v>45983</v>
      </c>
      <c r="D663" t="inlineStr">
        <is>
          <t>SÖDERMANLANDS LÄN</t>
        </is>
      </c>
      <c r="E663" t="inlineStr">
        <is>
          <t>KATRINEHOLM</t>
        </is>
      </c>
      <c r="G663" t="n">
        <v>3.1</v>
      </c>
      <c r="H663" t="n">
        <v>0</v>
      </c>
      <c r="I663" t="n">
        <v>0</v>
      </c>
      <c r="J663" t="n">
        <v>0</v>
      </c>
      <c r="K663" t="n">
        <v>0</v>
      </c>
      <c r="L663" t="n">
        <v>0</v>
      </c>
      <c r="M663" t="n">
        <v>0</v>
      </c>
      <c r="N663" t="n">
        <v>0</v>
      </c>
      <c r="O663" t="n">
        <v>0</v>
      </c>
      <c r="P663" t="n">
        <v>0</v>
      </c>
      <c r="Q663" t="n">
        <v>0</v>
      </c>
      <c r="R663" s="2" t="inlineStr"/>
    </row>
    <row r="664" ht="15" customHeight="1">
      <c r="A664" t="inlineStr">
        <is>
          <t>A 2297-2021</t>
        </is>
      </c>
      <c r="B664" s="1" t="n">
        <v>44212</v>
      </c>
      <c r="C664" s="1" t="n">
        <v>45983</v>
      </c>
      <c r="D664" t="inlineStr">
        <is>
          <t>SÖDERMANLANDS LÄN</t>
        </is>
      </c>
      <c r="E664" t="inlineStr">
        <is>
          <t>KATRINEHOLM</t>
        </is>
      </c>
      <c r="G664" t="n">
        <v>14.4</v>
      </c>
      <c r="H664" t="n">
        <v>0</v>
      </c>
      <c r="I664" t="n">
        <v>0</v>
      </c>
      <c r="J664" t="n">
        <v>0</v>
      </c>
      <c r="K664" t="n">
        <v>0</v>
      </c>
      <c r="L664" t="n">
        <v>0</v>
      </c>
      <c r="M664" t="n">
        <v>0</v>
      </c>
      <c r="N664" t="n">
        <v>0</v>
      </c>
      <c r="O664" t="n">
        <v>0</v>
      </c>
      <c r="P664" t="n">
        <v>0</v>
      </c>
      <c r="Q664" t="n">
        <v>0</v>
      </c>
      <c r="R664" s="2" t="inlineStr"/>
    </row>
    <row r="665" ht="15" customHeight="1">
      <c r="A665" t="inlineStr">
        <is>
          <t>A 9388-2021</t>
        </is>
      </c>
      <c r="B665" s="1" t="n">
        <v>44250</v>
      </c>
      <c r="C665" s="1" t="n">
        <v>45983</v>
      </c>
      <c r="D665" t="inlineStr">
        <is>
          <t>SÖDERMANLANDS LÄN</t>
        </is>
      </c>
      <c r="E665" t="inlineStr">
        <is>
          <t>KATRINEHOLM</t>
        </is>
      </c>
      <c r="G665" t="n">
        <v>5.4</v>
      </c>
      <c r="H665" t="n">
        <v>0</v>
      </c>
      <c r="I665" t="n">
        <v>0</v>
      </c>
      <c r="J665" t="n">
        <v>0</v>
      </c>
      <c r="K665" t="n">
        <v>0</v>
      </c>
      <c r="L665" t="n">
        <v>0</v>
      </c>
      <c r="M665" t="n">
        <v>0</v>
      </c>
      <c r="N665" t="n">
        <v>0</v>
      </c>
      <c r="O665" t="n">
        <v>0</v>
      </c>
      <c r="P665" t="n">
        <v>0</v>
      </c>
      <c r="Q665" t="n">
        <v>0</v>
      </c>
      <c r="R665" s="2" t="inlineStr"/>
    </row>
    <row r="666" ht="15" customHeight="1">
      <c r="A666" t="inlineStr">
        <is>
          <t>A 29830-2023</t>
        </is>
      </c>
      <c r="B666" s="1" t="n">
        <v>45107</v>
      </c>
      <c r="C666" s="1" t="n">
        <v>45983</v>
      </c>
      <c r="D666" t="inlineStr">
        <is>
          <t>SÖDERMANLANDS LÄN</t>
        </is>
      </c>
      <c r="E666" t="inlineStr">
        <is>
          <t>KATRINEHOLM</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65358-2020</t>
        </is>
      </c>
      <c r="B667" s="1" t="n">
        <v>44173</v>
      </c>
      <c r="C667" s="1" t="n">
        <v>45983</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62424-2020</t>
        </is>
      </c>
      <c r="B668" s="1" t="n">
        <v>44160</v>
      </c>
      <c r="C668" s="1" t="n">
        <v>45983</v>
      </c>
      <c r="D668" t="inlineStr">
        <is>
          <t>SÖDERMANLANDS LÄN</t>
        </is>
      </c>
      <c r="E668" t="inlineStr">
        <is>
          <t>KATRINEHOLM</t>
        </is>
      </c>
      <c r="G668" t="n">
        <v>2.4</v>
      </c>
      <c r="H668" t="n">
        <v>0</v>
      </c>
      <c r="I668" t="n">
        <v>0</v>
      </c>
      <c r="J668" t="n">
        <v>0</v>
      </c>
      <c r="K668" t="n">
        <v>0</v>
      </c>
      <c r="L668" t="n">
        <v>0</v>
      </c>
      <c r="M668" t="n">
        <v>0</v>
      </c>
      <c r="N668" t="n">
        <v>0</v>
      </c>
      <c r="O668" t="n">
        <v>0</v>
      </c>
      <c r="P668" t="n">
        <v>0</v>
      </c>
      <c r="Q668" t="n">
        <v>0</v>
      </c>
      <c r="R668" s="2" t="inlineStr"/>
    </row>
    <row r="669" ht="15" customHeight="1">
      <c r="A669" t="inlineStr">
        <is>
          <t>A 19098-2022</t>
        </is>
      </c>
      <c r="B669" s="1" t="n">
        <v>44691.52616898148</v>
      </c>
      <c r="C669" s="1" t="n">
        <v>45983</v>
      </c>
      <c r="D669" t="inlineStr">
        <is>
          <t>SÖDERMANLANDS LÄN</t>
        </is>
      </c>
      <c r="E669" t="inlineStr">
        <is>
          <t>KATRINEHOLM</t>
        </is>
      </c>
      <c r="G669" t="n">
        <v>5.5</v>
      </c>
      <c r="H669" t="n">
        <v>0</v>
      </c>
      <c r="I669" t="n">
        <v>0</v>
      </c>
      <c r="J669" t="n">
        <v>0</v>
      </c>
      <c r="K669" t="n">
        <v>0</v>
      </c>
      <c r="L669" t="n">
        <v>0</v>
      </c>
      <c r="M669" t="n">
        <v>0</v>
      </c>
      <c r="N669" t="n">
        <v>0</v>
      </c>
      <c r="O669" t="n">
        <v>0</v>
      </c>
      <c r="P669" t="n">
        <v>0</v>
      </c>
      <c r="Q669" t="n">
        <v>0</v>
      </c>
      <c r="R669" s="2" t="inlineStr"/>
    </row>
    <row r="670" ht="15" customHeight="1">
      <c r="A670" t="inlineStr">
        <is>
          <t>A 6628-2022</t>
        </is>
      </c>
      <c r="B670" s="1" t="n">
        <v>44601.78850694445</v>
      </c>
      <c r="C670" s="1" t="n">
        <v>45983</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72984-2021</t>
        </is>
      </c>
      <c r="B671" s="1" t="n">
        <v>44549.74741898148</v>
      </c>
      <c r="C671" s="1" t="n">
        <v>45983</v>
      </c>
      <c r="D671" t="inlineStr">
        <is>
          <t>SÖDERMANLANDS LÄN</t>
        </is>
      </c>
      <c r="E671" t="inlineStr">
        <is>
          <t>KATRINEHOLM</t>
        </is>
      </c>
      <c r="G671" t="n">
        <v>4.9</v>
      </c>
      <c r="H671" t="n">
        <v>0</v>
      </c>
      <c r="I671" t="n">
        <v>0</v>
      </c>
      <c r="J671" t="n">
        <v>0</v>
      </c>
      <c r="K671" t="n">
        <v>0</v>
      </c>
      <c r="L671" t="n">
        <v>0</v>
      </c>
      <c r="M671" t="n">
        <v>0</v>
      </c>
      <c r="N671" t="n">
        <v>0</v>
      </c>
      <c r="O671" t="n">
        <v>0</v>
      </c>
      <c r="P671" t="n">
        <v>0</v>
      </c>
      <c r="Q671" t="n">
        <v>0</v>
      </c>
      <c r="R671" s="2" t="inlineStr"/>
    </row>
    <row r="672" ht="15" customHeight="1">
      <c r="A672" t="inlineStr">
        <is>
          <t>A 2325-2023</t>
        </is>
      </c>
      <c r="B672" s="1" t="n">
        <v>44942</v>
      </c>
      <c r="C672" s="1" t="n">
        <v>45983</v>
      </c>
      <c r="D672" t="inlineStr">
        <is>
          <t>SÖDERMANLANDS LÄN</t>
        </is>
      </c>
      <c r="E672" t="inlineStr">
        <is>
          <t>KATRINEHOLM</t>
        </is>
      </c>
      <c r="G672" t="n">
        <v>5.6</v>
      </c>
      <c r="H672" t="n">
        <v>0</v>
      </c>
      <c r="I672" t="n">
        <v>0</v>
      </c>
      <c r="J672" t="n">
        <v>0</v>
      </c>
      <c r="K672" t="n">
        <v>0</v>
      </c>
      <c r="L672" t="n">
        <v>0</v>
      </c>
      <c r="M672" t="n">
        <v>0</v>
      </c>
      <c r="N672" t="n">
        <v>0</v>
      </c>
      <c r="O672" t="n">
        <v>0</v>
      </c>
      <c r="P672" t="n">
        <v>0</v>
      </c>
      <c r="Q672" t="n">
        <v>0</v>
      </c>
      <c r="R672" s="2" t="inlineStr"/>
    </row>
    <row r="673" ht="15" customHeight="1">
      <c r="A673" t="inlineStr">
        <is>
          <t>A 46011-2021</t>
        </is>
      </c>
      <c r="B673" s="1" t="n">
        <v>44441.88092592593</v>
      </c>
      <c r="C673" s="1" t="n">
        <v>45983</v>
      </c>
      <c r="D673" t="inlineStr">
        <is>
          <t>SÖDERMANLANDS LÄN</t>
        </is>
      </c>
      <c r="E673" t="inlineStr">
        <is>
          <t>KATRINEHOLM</t>
        </is>
      </c>
      <c r="G673" t="n">
        <v>4.7</v>
      </c>
      <c r="H673" t="n">
        <v>0</v>
      </c>
      <c r="I673" t="n">
        <v>0</v>
      </c>
      <c r="J673" t="n">
        <v>0</v>
      </c>
      <c r="K673" t="n">
        <v>0</v>
      </c>
      <c r="L673" t="n">
        <v>0</v>
      </c>
      <c r="M673" t="n">
        <v>0</v>
      </c>
      <c r="N673" t="n">
        <v>0</v>
      </c>
      <c r="O673" t="n">
        <v>0</v>
      </c>
      <c r="P673" t="n">
        <v>0</v>
      </c>
      <c r="Q673" t="n">
        <v>0</v>
      </c>
      <c r="R673" s="2" t="inlineStr"/>
    </row>
    <row r="674" ht="15" customHeight="1">
      <c r="A674" t="inlineStr">
        <is>
          <t>A 62140-2022</t>
        </is>
      </c>
      <c r="B674" s="1" t="n">
        <v>44922</v>
      </c>
      <c r="C674" s="1" t="n">
        <v>45983</v>
      </c>
      <c r="D674" t="inlineStr">
        <is>
          <t>SÖDERMANLANDS LÄN</t>
        </is>
      </c>
      <c r="E674" t="inlineStr">
        <is>
          <t>KATRINEHOLM</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33934-2022</t>
        </is>
      </c>
      <c r="B675" s="1" t="n">
        <v>44790</v>
      </c>
      <c r="C675" s="1" t="n">
        <v>45983</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13171-2024</t>
        </is>
      </c>
      <c r="B676" s="1" t="n">
        <v>45386</v>
      </c>
      <c r="C676" s="1" t="n">
        <v>45983</v>
      </c>
      <c r="D676" t="inlineStr">
        <is>
          <t>SÖDERMANLANDS LÄN</t>
        </is>
      </c>
      <c r="E676" t="inlineStr">
        <is>
          <t>KATRINEHOLM</t>
        </is>
      </c>
      <c r="G676" t="n">
        <v>1</v>
      </c>
      <c r="H676" t="n">
        <v>0</v>
      </c>
      <c r="I676" t="n">
        <v>0</v>
      </c>
      <c r="J676" t="n">
        <v>0</v>
      </c>
      <c r="K676" t="n">
        <v>0</v>
      </c>
      <c r="L676" t="n">
        <v>0</v>
      </c>
      <c r="M676" t="n">
        <v>0</v>
      </c>
      <c r="N676" t="n">
        <v>0</v>
      </c>
      <c r="O676" t="n">
        <v>0</v>
      </c>
      <c r="P676" t="n">
        <v>0</v>
      </c>
      <c r="Q676" t="n">
        <v>0</v>
      </c>
      <c r="R676" s="2" t="inlineStr"/>
    </row>
    <row r="677" ht="15" customHeight="1">
      <c r="A677" t="inlineStr">
        <is>
          <t>A 59384-2022</t>
        </is>
      </c>
      <c r="B677" s="1" t="n">
        <v>44905</v>
      </c>
      <c r="C677" s="1" t="n">
        <v>45983</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13086-2023</t>
        </is>
      </c>
      <c r="B678" s="1" t="n">
        <v>45002.42188657408</v>
      </c>
      <c r="C678" s="1" t="n">
        <v>45983</v>
      </c>
      <c r="D678" t="inlineStr">
        <is>
          <t>SÖDERMANLANDS LÄN</t>
        </is>
      </c>
      <c r="E678" t="inlineStr">
        <is>
          <t>KATRINEHOLM</t>
        </is>
      </c>
      <c r="G678" t="n">
        <v>2.2</v>
      </c>
      <c r="H678" t="n">
        <v>0</v>
      </c>
      <c r="I678" t="n">
        <v>0</v>
      </c>
      <c r="J678" t="n">
        <v>0</v>
      </c>
      <c r="K678" t="n">
        <v>0</v>
      </c>
      <c r="L678" t="n">
        <v>0</v>
      </c>
      <c r="M678" t="n">
        <v>0</v>
      </c>
      <c r="N678" t="n">
        <v>0</v>
      </c>
      <c r="O678" t="n">
        <v>0</v>
      </c>
      <c r="P678" t="n">
        <v>0</v>
      </c>
      <c r="Q678" t="n">
        <v>0</v>
      </c>
      <c r="R678" s="2" t="inlineStr"/>
    </row>
    <row r="679" ht="15" customHeight="1">
      <c r="A679" t="inlineStr">
        <is>
          <t>A 19670-2022</t>
        </is>
      </c>
      <c r="B679" s="1" t="n">
        <v>44694</v>
      </c>
      <c r="C679" s="1" t="n">
        <v>45983</v>
      </c>
      <c r="D679" t="inlineStr">
        <is>
          <t>SÖDERMANLANDS LÄN</t>
        </is>
      </c>
      <c r="E679" t="inlineStr">
        <is>
          <t>KATRINEHOLM</t>
        </is>
      </c>
      <c r="G679" t="n">
        <v>13.6</v>
      </c>
      <c r="H679" t="n">
        <v>0</v>
      </c>
      <c r="I679" t="n">
        <v>0</v>
      </c>
      <c r="J679" t="n">
        <v>0</v>
      </c>
      <c r="K679" t="n">
        <v>0</v>
      </c>
      <c r="L679" t="n">
        <v>0</v>
      </c>
      <c r="M679" t="n">
        <v>0</v>
      </c>
      <c r="N679" t="n">
        <v>0</v>
      </c>
      <c r="O679" t="n">
        <v>0</v>
      </c>
      <c r="P679" t="n">
        <v>0</v>
      </c>
      <c r="Q679" t="n">
        <v>0</v>
      </c>
      <c r="R679" s="2" t="inlineStr"/>
    </row>
    <row r="680" ht="15" customHeight="1">
      <c r="A680" t="inlineStr">
        <is>
          <t>A 19107-2022</t>
        </is>
      </c>
      <c r="B680" s="1" t="n">
        <v>44691.54077546296</v>
      </c>
      <c r="C680" s="1" t="n">
        <v>45983</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30333-2023</t>
        </is>
      </c>
      <c r="B681" s="1" t="n">
        <v>45111</v>
      </c>
      <c r="C681" s="1" t="n">
        <v>45983</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6175-2023</t>
        </is>
      </c>
      <c r="B682" s="1" t="n">
        <v>44964</v>
      </c>
      <c r="C682" s="1" t="n">
        <v>45983</v>
      </c>
      <c r="D682" t="inlineStr">
        <is>
          <t>SÖDERMANLANDS LÄN</t>
        </is>
      </c>
      <c r="E682" t="inlineStr">
        <is>
          <t>KATRINEHOLM</t>
        </is>
      </c>
      <c r="G682" t="n">
        <v>11.2</v>
      </c>
      <c r="H682" t="n">
        <v>0</v>
      </c>
      <c r="I682" t="n">
        <v>0</v>
      </c>
      <c r="J682" t="n">
        <v>0</v>
      </c>
      <c r="K682" t="n">
        <v>0</v>
      </c>
      <c r="L682" t="n">
        <v>0</v>
      </c>
      <c r="M682" t="n">
        <v>0</v>
      </c>
      <c r="N682" t="n">
        <v>0</v>
      </c>
      <c r="O682" t="n">
        <v>0</v>
      </c>
      <c r="P682" t="n">
        <v>0</v>
      </c>
      <c r="Q682" t="n">
        <v>0</v>
      </c>
      <c r="R682" s="2" t="inlineStr"/>
    </row>
    <row r="683" ht="15" customHeight="1">
      <c r="A683" t="inlineStr">
        <is>
          <t>A 11875-2023</t>
        </is>
      </c>
      <c r="B683" s="1" t="n">
        <v>44995</v>
      </c>
      <c r="C683" s="1" t="n">
        <v>45983</v>
      </c>
      <c r="D683" t="inlineStr">
        <is>
          <t>SÖDERMANLANDS LÄN</t>
        </is>
      </c>
      <c r="E683" t="inlineStr">
        <is>
          <t>KATRINEHOLM</t>
        </is>
      </c>
      <c r="F683" t="inlineStr">
        <is>
          <t>Kommuner</t>
        </is>
      </c>
      <c r="G683" t="n">
        <v>1.1</v>
      </c>
      <c r="H683" t="n">
        <v>0</v>
      </c>
      <c r="I683" t="n">
        <v>0</v>
      </c>
      <c r="J683" t="n">
        <v>0</v>
      </c>
      <c r="K683" t="n">
        <v>0</v>
      </c>
      <c r="L683" t="n">
        <v>0</v>
      </c>
      <c r="M683" t="n">
        <v>0</v>
      </c>
      <c r="N683" t="n">
        <v>0</v>
      </c>
      <c r="O683" t="n">
        <v>0</v>
      </c>
      <c r="P683" t="n">
        <v>0</v>
      </c>
      <c r="Q683" t="n">
        <v>0</v>
      </c>
      <c r="R683" s="2" t="inlineStr"/>
    </row>
    <row r="684" ht="15" customHeight="1">
      <c r="A684" t="inlineStr">
        <is>
          <t>A 6796-2022</t>
        </is>
      </c>
      <c r="B684" s="1" t="n">
        <v>44602</v>
      </c>
      <c r="C684" s="1" t="n">
        <v>45983</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45983</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39068-2022</t>
        </is>
      </c>
      <c r="B686" s="1" t="n">
        <v>44816</v>
      </c>
      <c r="C686" s="1" t="n">
        <v>45983</v>
      </c>
      <c r="D686" t="inlineStr">
        <is>
          <t>SÖDERMANLANDS LÄN</t>
        </is>
      </c>
      <c r="E686" t="inlineStr">
        <is>
          <t>KATRINEHOLM</t>
        </is>
      </c>
      <c r="G686" t="n">
        <v>3.6</v>
      </c>
      <c r="H686" t="n">
        <v>0</v>
      </c>
      <c r="I686" t="n">
        <v>0</v>
      </c>
      <c r="J686" t="n">
        <v>0</v>
      </c>
      <c r="K686" t="n">
        <v>0</v>
      </c>
      <c r="L686" t="n">
        <v>0</v>
      </c>
      <c r="M686" t="n">
        <v>0</v>
      </c>
      <c r="N686" t="n">
        <v>0</v>
      </c>
      <c r="O686" t="n">
        <v>0</v>
      </c>
      <c r="P686" t="n">
        <v>0</v>
      </c>
      <c r="Q686" t="n">
        <v>0</v>
      </c>
      <c r="R686" s="2" t="inlineStr"/>
    </row>
    <row r="687" ht="15" customHeight="1">
      <c r="A687" t="inlineStr">
        <is>
          <t>A 8765-2023</t>
        </is>
      </c>
      <c r="B687" s="1" t="n">
        <v>44978.52131944444</v>
      </c>
      <c r="C687" s="1" t="n">
        <v>45983</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45983</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21959-2022</t>
        </is>
      </c>
      <c r="B689" s="1" t="n">
        <v>44708</v>
      </c>
      <c r="C689" s="1" t="n">
        <v>45983</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51530-2023</t>
        </is>
      </c>
      <c r="B690" s="1" t="n">
        <v>45222</v>
      </c>
      <c r="C690" s="1" t="n">
        <v>45983</v>
      </c>
      <c r="D690" t="inlineStr">
        <is>
          <t>SÖDERMANLANDS LÄN</t>
        </is>
      </c>
      <c r="E690" t="inlineStr">
        <is>
          <t>KATRINEHOLM</t>
        </is>
      </c>
      <c r="G690" t="n">
        <v>0.9</v>
      </c>
      <c r="H690" t="n">
        <v>0</v>
      </c>
      <c r="I690" t="n">
        <v>0</v>
      </c>
      <c r="J690" t="n">
        <v>0</v>
      </c>
      <c r="K690" t="n">
        <v>0</v>
      </c>
      <c r="L690" t="n">
        <v>0</v>
      </c>
      <c r="M690" t="n">
        <v>0</v>
      </c>
      <c r="N690" t="n">
        <v>0</v>
      </c>
      <c r="O690" t="n">
        <v>0</v>
      </c>
      <c r="P690" t="n">
        <v>0</v>
      </c>
      <c r="Q690" t="n">
        <v>0</v>
      </c>
      <c r="R690" s="2" t="inlineStr"/>
    </row>
    <row r="691" ht="15" customHeight="1">
      <c r="A691" t="inlineStr">
        <is>
          <t>A 23916-2023</t>
        </is>
      </c>
      <c r="B691" s="1" t="n">
        <v>45075</v>
      </c>
      <c r="C691" s="1" t="n">
        <v>45983</v>
      </c>
      <c r="D691" t="inlineStr">
        <is>
          <t>SÖDERMANLANDS LÄN</t>
        </is>
      </c>
      <c r="E691" t="inlineStr">
        <is>
          <t>KATRINEHOLM</t>
        </is>
      </c>
      <c r="G691" t="n">
        <v>8</v>
      </c>
      <c r="H691" t="n">
        <v>0</v>
      </c>
      <c r="I691" t="n">
        <v>0</v>
      </c>
      <c r="J691" t="n">
        <v>0</v>
      </c>
      <c r="K691" t="n">
        <v>0</v>
      </c>
      <c r="L691" t="n">
        <v>0</v>
      </c>
      <c r="M691" t="n">
        <v>0</v>
      </c>
      <c r="N691" t="n">
        <v>0</v>
      </c>
      <c r="O691" t="n">
        <v>0</v>
      </c>
      <c r="P691" t="n">
        <v>0</v>
      </c>
      <c r="Q691" t="n">
        <v>0</v>
      </c>
      <c r="R691" s="2" t="inlineStr"/>
    </row>
    <row r="692" ht="15" customHeight="1">
      <c r="A692" t="inlineStr">
        <is>
          <t>A 38879-2024</t>
        </is>
      </c>
      <c r="B692" s="1" t="n">
        <v>45547</v>
      </c>
      <c r="C692" s="1" t="n">
        <v>45983</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64657-2020</t>
        </is>
      </c>
      <c r="B693" s="1" t="n">
        <v>44169</v>
      </c>
      <c r="C693" s="1" t="n">
        <v>45983</v>
      </c>
      <c r="D693" t="inlineStr">
        <is>
          <t>SÖDERMANLANDS LÄN</t>
        </is>
      </c>
      <c r="E693" t="inlineStr">
        <is>
          <t>KATRINEHOLM</t>
        </is>
      </c>
      <c r="F693" t="inlineStr">
        <is>
          <t>Kyrkan</t>
        </is>
      </c>
      <c r="G693" t="n">
        <v>7.6</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45983</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25362-2023</t>
        </is>
      </c>
      <c r="B695" s="1" t="n">
        <v>45088.83430555555</v>
      </c>
      <c r="C695" s="1" t="n">
        <v>45983</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4662-2023</t>
        </is>
      </c>
      <c r="B696" s="1" t="n">
        <v>44957</v>
      </c>
      <c r="C696" s="1" t="n">
        <v>45983</v>
      </c>
      <c r="D696" t="inlineStr">
        <is>
          <t>SÖDERMANLANDS LÄN</t>
        </is>
      </c>
      <c r="E696" t="inlineStr">
        <is>
          <t>KATRINEHOLM</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19685-2022</t>
        </is>
      </c>
      <c r="B697" s="1" t="n">
        <v>44694</v>
      </c>
      <c r="C697" s="1" t="n">
        <v>45983</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62419-2023</t>
        </is>
      </c>
      <c r="B698" s="1" t="n">
        <v>45268</v>
      </c>
      <c r="C698" s="1" t="n">
        <v>45983</v>
      </c>
      <c r="D698" t="inlineStr">
        <is>
          <t>SÖDERMANLANDS LÄN</t>
        </is>
      </c>
      <c r="E698" t="inlineStr">
        <is>
          <t>KATRINEHOLM</t>
        </is>
      </c>
      <c r="G698" t="n">
        <v>9</v>
      </c>
      <c r="H698" t="n">
        <v>0</v>
      </c>
      <c r="I698" t="n">
        <v>0</v>
      </c>
      <c r="J698" t="n">
        <v>0</v>
      </c>
      <c r="K698" t="n">
        <v>0</v>
      </c>
      <c r="L698" t="n">
        <v>0</v>
      </c>
      <c r="M698" t="n">
        <v>0</v>
      </c>
      <c r="N698" t="n">
        <v>0</v>
      </c>
      <c r="O698" t="n">
        <v>0</v>
      </c>
      <c r="P698" t="n">
        <v>0</v>
      </c>
      <c r="Q698" t="n">
        <v>0</v>
      </c>
      <c r="R698" s="2" t="inlineStr"/>
    </row>
    <row r="699" ht="15" customHeight="1">
      <c r="A699" t="inlineStr">
        <is>
          <t>A 39897-2023</t>
        </is>
      </c>
      <c r="B699" s="1" t="n">
        <v>45168</v>
      </c>
      <c r="C699" s="1" t="n">
        <v>45983</v>
      </c>
      <c r="D699" t="inlineStr">
        <is>
          <t>SÖDERMANLANDS LÄN</t>
        </is>
      </c>
      <c r="E699" t="inlineStr">
        <is>
          <t>KATRINEHOLM</t>
        </is>
      </c>
      <c r="G699" t="n">
        <v>15.6</v>
      </c>
      <c r="H699" t="n">
        <v>0</v>
      </c>
      <c r="I699" t="n">
        <v>0</v>
      </c>
      <c r="J699" t="n">
        <v>0</v>
      </c>
      <c r="K699" t="n">
        <v>0</v>
      </c>
      <c r="L699" t="n">
        <v>0</v>
      </c>
      <c r="M699" t="n">
        <v>0</v>
      </c>
      <c r="N699" t="n">
        <v>0</v>
      </c>
      <c r="O699" t="n">
        <v>0</v>
      </c>
      <c r="P699" t="n">
        <v>0</v>
      </c>
      <c r="Q699" t="n">
        <v>0</v>
      </c>
      <c r="R699" s="2" t="inlineStr"/>
    </row>
    <row r="700" ht="15" customHeight="1">
      <c r="A700" t="inlineStr">
        <is>
          <t>A 23207-2023</t>
        </is>
      </c>
      <c r="B700" s="1" t="n">
        <v>45071</v>
      </c>
      <c r="C700" s="1" t="n">
        <v>45983</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42025-2022</t>
        </is>
      </c>
      <c r="B701" s="1" t="n">
        <v>44830.47399305556</v>
      </c>
      <c r="C701" s="1" t="n">
        <v>45983</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45983</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48253-2022</t>
        </is>
      </c>
      <c r="B703" s="1" t="n">
        <v>44858</v>
      </c>
      <c r="C703" s="1" t="n">
        <v>45983</v>
      </c>
      <c r="D703" t="inlineStr">
        <is>
          <t>SÖDERMANLANDS LÄN</t>
        </is>
      </c>
      <c r="E703" t="inlineStr">
        <is>
          <t>KATRINEHOLM</t>
        </is>
      </c>
      <c r="G703" t="n">
        <v>4.7</v>
      </c>
      <c r="H703" t="n">
        <v>0</v>
      </c>
      <c r="I703" t="n">
        <v>0</v>
      </c>
      <c r="J703" t="n">
        <v>0</v>
      </c>
      <c r="K703" t="n">
        <v>0</v>
      </c>
      <c r="L703" t="n">
        <v>0</v>
      </c>
      <c r="M703" t="n">
        <v>0</v>
      </c>
      <c r="N703" t="n">
        <v>0</v>
      </c>
      <c r="O703" t="n">
        <v>0</v>
      </c>
      <c r="P703" t="n">
        <v>0</v>
      </c>
      <c r="Q703" t="n">
        <v>0</v>
      </c>
      <c r="R703" s="2" t="inlineStr"/>
    </row>
    <row r="704" ht="15" customHeight="1">
      <c r="A704" t="inlineStr">
        <is>
          <t>A 53809-2021</t>
        </is>
      </c>
      <c r="B704" s="1" t="n">
        <v>44467</v>
      </c>
      <c r="C704" s="1" t="n">
        <v>45983</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31719-2024</t>
        </is>
      </c>
      <c r="B705" s="1" t="n">
        <v>45509</v>
      </c>
      <c r="C705" s="1" t="n">
        <v>45983</v>
      </c>
      <c r="D705" t="inlineStr">
        <is>
          <t>SÖDERMANLANDS LÄN</t>
        </is>
      </c>
      <c r="E705" t="inlineStr">
        <is>
          <t>KATRINEHOLM</t>
        </is>
      </c>
      <c r="F705" t="inlineStr">
        <is>
          <t>Kyrkan</t>
        </is>
      </c>
      <c r="G705" t="n">
        <v>11.9</v>
      </c>
      <c r="H705" t="n">
        <v>0</v>
      </c>
      <c r="I705" t="n">
        <v>0</v>
      </c>
      <c r="J705" t="n">
        <v>0</v>
      </c>
      <c r="K705" t="n">
        <v>0</v>
      </c>
      <c r="L705" t="n">
        <v>0</v>
      </c>
      <c r="M705" t="n">
        <v>0</v>
      </c>
      <c r="N705" t="n">
        <v>0</v>
      </c>
      <c r="O705" t="n">
        <v>0</v>
      </c>
      <c r="P705" t="n">
        <v>0</v>
      </c>
      <c r="Q705" t="n">
        <v>0</v>
      </c>
      <c r="R705" s="2" t="inlineStr"/>
    </row>
    <row r="706" ht="15" customHeight="1">
      <c r="A706" t="inlineStr">
        <is>
          <t>A 13175-2024</t>
        </is>
      </c>
      <c r="B706" s="1" t="n">
        <v>45386</v>
      </c>
      <c r="C706" s="1" t="n">
        <v>45983</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40744-2022</t>
        </is>
      </c>
      <c r="B707" s="1" t="n">
        <v>44824.55655092592</v>
      </c>
      <c r="C707" s="1" t="n">
        <v>45983</v>
      </c>
      <c r="D707" t="inlineStr">
        <is>
          <t>SÖDERMANLANDS LÄN</t>
        </is>
      </c>
      <c r="E707" t="inlineStr">
        <is>
          <t>KATRINEHOLM</t>
        </is>
      </c>
      <c r="G707" t="n">
        <v>3.7</v>
      </c>
      <c r="H707" t="n">
        <v>0</v>
      </c>
      <c r="I707" t="n">
        <v>0</v>
      </c>
      <c r="J707" t="n">
        <v>0</v>
      </c>
      <c r="K707" t="n">
        <v>0</v>
      </c>
      <c r="L707" t="n">
        <v>0</v>
      </c>
      <c r="M707" t="n">
        <v>0</v>
      </c>
      <c r="N707" t="n">
        <v>0</v>
      </c>
      <c r="O707" t="n">
        <v>0</v>
      </c>
      <c r="P707" t="n">
        <v>0</v>
      </c>
      <c r="Q707" t="n">
        <v>0</v>
      </c>
      <c r="R707" s="2" t="inlineStr"/>
    </row>
    <row r="708" ht="15" customHeight="1">
      <c r="A708" t="inlineStr">
        <is>
          <t>A 8761-2023</t>
        </is>
      </c>
      <c r="B708" s="1" t="n">
        <v>44978.49685185185</v>
      </c>
      <c r="C708" s="1" t="n">
        <v>45983</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8778-2023</t>
        </is>
      </c>
      <c r="B709" s="1" t="n">
        <v>44978.5737037037</v>
      </c>
      <c r="C709" s="1" t="n">
        <v>45983</v>
      </c>
      <c r="D709" t="inlineStr">
        <is>
          <t>SÖDERMANLANDS LÄN</t>
        </is>
      </c>
      <c r="E709" t="inlineStr">
        <is>
          <t>KATRINEHOLM</t>
        </is>
      </c>
      <c r="G709" t="n">
        <v>4.5</v>
      </c>
      <c r="H709" t="n">
        <v>0</v>
      </c>
      <c r="I709" t="n">
        <v>0</v>
      </c>
      <c r="J709" t="n">
        <v>0</v>
      </c>
      <c r="K709" t="n">
        <v>0</v>
      </c>
      <c r="L709" t="n">
        <v>0</v>
      </c>
      <c r="M709" t="n">
        <v>0</v>
      </c>
      <c r="N709" t="n">
        <v>0</v>
      </c>
      <c r="O709" t="n">
        <v>0</v>
      </c>
      <c r="P709" t="n">
        <v>0</v>
      </c>
      <c r="Q709" t="n">
        <v>0</v>
      </c>
      <c r="R709" s="2" t="inlineStr"/>
    </row>
    <row r="710" ht="15" customHeight="1">
      <c r="A710" t="inlineStr">
        <is>
          <t>A 8457-2023</t>
        </is>
      </c>
      <c r="B710" s="1" t="n">
        <v>44977</v>
      </c>
      <c r="C710" s="1" t="n">
        <v>45983</v>
      </c>
      <c r="D710" t="inlineStr">
        <is>
          <t>SÖDERMANLANDS LÄN</t>
        </is>
      </c>
      <c r="E710" t="inlineStr">
        <is>
          <t>KATRINEHOLM</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7056-2022</t>
        </is>
      </c>
      <c r="B711" s="1" t="n">
        <v>44603</v>
      </c>
      <c r="C711" s="1" t="n">
        <v>45983</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32786-2022</t>
        </is>
      </c>
      <c r="B712" s="1" t="n">
        <v>44784</v>
      </c>
      <c r="C712" s="1" t="n">
        <v>45983</v>
      </c>
      <c r="D712" t="inlineStr">
        <is>
          <t>SÖDERMANLANDS LÄN</t>
        </is>
      </c>
      <c r="E712" t="inlineStr">
        <is>
          <t>KATRINEHOLM</t>
        </is>
      </c>
      <c r="G712" t="n">
        <v>7</v>
      </c>
      <c r="H712" t="n">
        <v>0</v>
      </c>
      <c r="I712" t="n">
        <v>0</v>
      </c>
      <c r="J712" t="n">
        <v>0</v>
      </c>
      <c r="K712" t="n">
        <v>0</v>
      </c>
      <c r="L712" t="n">
        <v>0</v>
      </c>
      <c r="M712" t="n">
        <v>0</v>
      </c>
      <c r="N712" t="n">
        <v>0</v>
      </c>
      <c r="O712" t="n">
        <v>0</v>
      </c>
      <c r="P712" t="n">
        <v>0</v>
      </c>
      <c r="Q712" t="n">
        <v>0</v>
      </c>
      <c r="R712" s="2" t="inlineStr"/>
    </row>
    <row r="713" ht="15" customHeight="1">
      <c r="A713" t="inlineStr">
        <is>
          <t>A 7223-2022</t>
        </is>
      </c>
      <c r="B713" s="1" t="n">
        <v>44603</v>
      </c>
      <c r="C713" s="1" t="n">
        <v>45983</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7459-2022</t>
        </is>
      </c>
      <c r="B714" s="1" t="n">
        <v>44607.35009259259</v>
      </c>
      <c r="C714" s="1" t="n">
        <v>45983</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27375-2024</t>
        </is>
      </c>
      <c r="B715" s="1" t="n">
        <v>45473.87645833333</v>
      </c>
      <c r="C715" s="1" t="n">
        <v>45983</v>
      </c>
      <c r="D715" t="inlineStr">
        <is>
          <t>SÖDERMANLANDS LÄN</t>
        </is>
      </c>
      <c r="E715" t="inlineStr">
        <is>
          <t>KATRINEHOLM</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20768-2022</t>
        </is>
      </c>
      <c r="B716" s="1" t="n">
        <v>44701.36431712963</v>
      </c>
      <c r="C716" s="1" t="n">
        <v>45983</v>
      </c>
      <c r="D716" t="inlineStr">
        <is>
          <t>SÖDERMANLANDS LÄN</t>
        </is>
      </c>
      <c r="E716" t="inlineStr">
        <is>
          <t>KATRINEHOLM</t>
        </is>
      </c>
      <c r="G716" t="n">
        <v>3.5</v>
      </c>
      <c r="H716" t="n">
        <v>0</v>
      </c>
      <c r="I716" t="n">
        <v>0</v>
      </c>
      <c r="J716" t="n">
        <v>0</v>
      </c>
      <c r="K716" t="n">
        <v>0</v>
      </c>
      <c r="L716" t="n">
        <v>0</v>
      </c>
      <c r="M716" t="n">
        <v>0</v>
      </c>
      <c r="N716" t="n">
        <v>0</v>
      </c>
      <c r="O716" t="n">
        <v>0</v>
      </c>
      <c r="P716" t="n">
        <v>0</v>
      </c>
      <c r="Q716" t="n">
        <v>0</v>
      </c>
      <c r="R716" s="2" t="inlineStr"/>
    </row>
    <row r="717" ht="15" customHeight="1">
      <c r="A717" t="inlineStr">
        <is>
          <t>A 15284-2023</t>
        </is>
      </c>
      <c r="B717" s="1" t="n">
        <v>45019</v>
      </c>
      <c r="C717" s="1" t="n">
        <v>45983</v>
      </c>
      <c r="D717" t="inlineStr">
        <is>
          <t>SÖDERMANLANDS LÄN</t>
        </is>
      </c>
      <c r="E717" t="inlineStr">
        <is>
          <t>KATRINEHOLM</t>
        </is>
      </c>
      <c r="F717" t="inlineStr">
        <is>
          <t>Allmännings- och besparingsskogar</t>
        </is>
      </c>
      <c r="G717" t="n">
        <v>17.4</v>
      </c>
      <c r="H717" t="n">
        <v>0</v>
      </c>
      <c r="I717" t="n">
        <v>0</v>
      </c>
      <c r="J717" t="n">
        <v>0</v>
      </c>
      <c r="K717" t="n">
        <v>0</v>
      </c>
      <c r="L717" t="n">
        <v>0</v>
      </c>
      <c r="M717" t="n">
        <v>0</v>
      </c>
      <c r="N717" t="n">
        <v>0</v>
      </c>
      <c r="O717" t="n">
        <v>0</v>
      </c>
      <c r="P717" t="n">
        <v>0</v>
      </c>
      <c r="Q717" t="n">
        <v>0</v>
      </c>
      <c r="R717" s="2" t="inlineStr"/>
    </row>
    <row r="718" ht="15" customHeight="1">
      <c r="A718" t="inlineStr">
        <is>
          <t>A 51613-2022</t>
        </is>
      </c>
      <c r="B718" s="1" t="n">
        <v>44871</v>
      </c>
      <c r="C718" s="1" t="n">
        <v>45983</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37834-2023</t>
        </is>
      </c>
      <c r="B719" s="1" t="n">
        <v>45160</v>
      </c>
      <c r="C719" s="1" t="n">
        <v>45983</v>
      </c>
      <c r="D719" t="inlineStr">
        <is>
          <t>SÖDERMANLANDS LÄN</t>
        </is>
      </c>
      <c r="E719" t="inlineStr">
        <is>
          <t>KATRINEHOLM</t>
        </is>
      </c>
      <c r="F719" t="inlineStr">
        <is>
          <t>Kyrkan</t>
        </is>
      </c>
      <c r="G719" t="n">
        <v>2.8</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45983</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32890-2024</t>
        </is>
      </c>
      <c r="B721" s="1" t="n">
        <v>45516</v>
      </c>
      <c r="C721" s="1" t="n">
        <v>45983</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2320-2023</t>
        </is>
      </c>
      <c r="B722" s="1" t="n">
        <v>44942.58850694444</v>
      </c>
      <c r="C722" s="1" t="n">
        <v>45983</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59898-2022</t>
        </is>
      </c>
      <c r="B723" s="1" t="n">
        <v>44908</v>
      </c>
      <c r="C723" s="1" t="n">
        <v>45983</v>
      </c>
      <c r="D723" t="inlineStr">
        <is>
          <t>SÖDERMANLANDS LÄN</t>
        </is>
      </c>
      <c r="E723" t="inlineStr">
        <is>
          <t>KATRINEHOLM</t>
        </is>
      </c>
      <c r="G723" t="n">
        <v>4.8</v>
      </c>
      <c r="H723" t="n">
        <v>0</v>
      </c>
      <c r="I723" t="n">
        <v>0</v>
      </c>
      <c r="J723" t="n">
        <v>0</v>
      </c>
      <c r="K723" t="n">
        <v>0</v>
      </c>
      <c r="L723" t="n">
        <v>0</v>
      </c>
      <c r="M723" t="n">
        <v>0</v>
      </c>
      <c r="N723" t="n">
        <v>0</v>
      </c>
      <c r="O723" t="n">
        <v>0</v>
      </c>
      <c r="P723" t="n">
        <v>0</v>
      </c>
      <c r="Q723" t="n">
        <v>0</v>
      </c>
      <c r="R723" s="2" t="inlineStr"/>
    </row>
    <row r="724" ht="15" customHeight="1">
      <c r="A724" t="inlineStr">
        <is>
          <t>A 20326-2023</t>
        </is>
      </c>
      <c r="B724" s="1" t="n">
        <v>45056.46821759259</v>
      </c>
      <c r="C724" s="1" t="n">
        <v>45983</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45983</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45246-2023</t>
        </is>
      </c>
      <c r="B726" s="1" t="n">
        <v>45191</v>
      </c>
      <c r="C726" s="1" t="n">
        <v>45983</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2735-2025</t>
        </is>
      </c>
      <c r="B727" s="1" t="n">
        <v>45677</v>
      </c>
      <c r="C727" s="1" t="n">
        <v>45983</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49914-2023</t>
        </is>
      </c>
      <c r="B728" s="1" t="n">
        <v>45214</v>
      </c>
      <c r="C728" s="1" t="n">
        <v>45983</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17335-2023</t>
        </is>
      </c>
      <c r="B729" s="1" t="n">
        <v>45033</v>
      </c>
      <c r="C729" s="1" t="n">
        <v>45983</v>
      </c>
      <c r="D729" t="inlineStr">
        <is>
          <t>SÖDERMANLANDS LÄN</t>
        </is>
      </c>
      <c r="E729" t="inlineStr">
        <is>
          <t>KATRINEHOLM</t>
        </is>
      </c>
      <c r="G729" t="n">
        <v>3.3</v>
      </c>
      <c r="H729" t="n">
        <v>0</v>
      </c>
      <c r="I729" t="n">
        <v>0</v>
      </c>
      <c r="J729" t="n">
        <v>0</v>
      </c>
      <c r="K729" t="n">
        <v>0</v>
      </c>
      <c r="L729" t="n">
        <v>0</v>
      </c>
      <c r="M729" t="n">
        <v>0</v>
      </c>
      <c r="N729" t="n">
        <v>0</v>
      </c>
      <c r="O729" t="n">
        <v>0</v>
      </c>
      <c r="P729" t="n">
        <v>0</v>
      </c>
      <c r="Q729" t="n">
        <v>0</v>
      </c>
      <c r="R729" s="2" t="inlineStr"/>
    </row>
    <row r="730" ht="15" customHeight="1">
      <c r="A730" t="inlineStr">
        <is>
          <t>A 16605-2025</t>
        </is>
      </c>
      <c r="B730" s="1" t="n">
        <v>45753.61614583333</v>
      </c>
      <c r="C730" s="1" t="n">
        <v>45983</v>
      </c>
      <c r="D730" t="inlineStr">
        <is>
          <t>SÖDERMANLANDS LÄN</t>
        </is>
      </c>
      <c r="E730" t="inlineStr">
        <is>
          <t>KATRINEHOLM</t>
        </is>
      </c>
      <c r="G730" t="n">
        <v>5.2</v>
      </c>
      <c r="H730" t="n">
        <v>0</v>
      </c>
      <c r="I730" t="n">
        <v>0</v>
      </c>
      <c r="J730" t="n">
        <v>0</v>
      </c>
      <c r="K730" t="n">
        <v>0</v>
      </c>
      <c r="L730" t="n">
        <v>0</v>
      </c>
      <c r="M730" t="n">
        <v>0</v>
      </c>
      <c r="N730" t="n">
        <v>0</v>
      </c>
      <c r="O730" t="n">
        <v>0</v>
      </c>
      <c r="P730" t="n">
        <v>0</v>
      </c>
      <c r="Q730" t="n">
        <v>0</v>
      </c>
      <c r="R730" s="2" t="inlineStr"/>
    </row>
    <row r="731" ht="15" customHeight="1">
      <c r="A731" t="inlineStr">
        <is>
          <t>A 33141-2023</t>
        </is>
      </c>
      <c r="B731" s="1" t="n">
        <v>45126.65491898148</v>
      </c>
      <c r="C731" s="1" t="n">
        <v>45983</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58528-2024</t>
        </is>
      </c>
      <c r="B732" s="1" t="n">
        <v>45635.44527777778</v>
      </c>
      <c r="C732" s="1" t="n">
        <v>45983</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9899-2023</t>
        </is>
      </c>
      <c r="B733" s="1" t="n">
        <v>44985</v>
      </c>
      <c r="C733" s="1" t="n">
        <v>45983</v>
      </c>
      <c r="D733" t="inlineStr">
        <is>
          <t>SÖDERMANLANDS LÄN</t>
        </is>
      </c>
      <c r="E733" t="inlineStr">
        <is>
          <t>KATRINEHOLM</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8288-2023</t>
        </is>
      </c>
      <c r="B734" s="1" t="n">
        <v>44974</v>
      </c>
      <c r="C734" s="1" t="n">
        <v>45983</v>
      </c>
      <c r="D734" t="inlineStr">
        <is>
          <t>SÖDERMANLANDS LÄN</t>
        </is>
      </c>
      <c r="E734" t="inlineStr">
        <is>
          <t>KATRINEHOLM</t>
        </is>
      </c>
      <c r="F734" t="inlineStr">
        <is>
          <t>Allmännings- och besparingsskogar</t>
        </is>
      </c>
      <c r="G734" t="n">
        <v>5.6</v>
      </c>
      <c r="H734" t="n">
        <v>0</v>
      </c>
      <c r="I734" t="n">
        <v>0</v>
      </c>
      <c r="J734" t="n">
        <v>0</v>
      </c>
      <c r="K734" t="n">
        <v>0</v>
      </c>
      <c r="L734" t="n">
        <v>0</v>
      </c>
      <c r="M734" t="n">
        <v>0</v>
      </c>
      <c r="N734" t="n">
        <v>0</v>
      </c>
      <c r="O734" t="n">
        <v>0</v>
      </c>
      <c r="P734" t="n">
        <v>0</v>
      </c>
      <c r="Q734" t="n">
        <v>0</v>
      </c>
      <c r="R734" s="2" t="inlineStr"/>
    </row>
    <row r="735" ht="15" customHeight="1">
      <c r="A735" t="inlineStr">
        <is>
          <t>A 3317-2023</t>
        </is>
      </c>
      <c r="B735" s="1" t="n">
        <v>44945</v>
      </c>
      <c r="C735" s="1" t="n">
        <v>45983</v>
      </c>
      <c r="D735" t="inlineStr">
        <is>
          <t>SÖDERMANLANDS LÄN</t>
        </is>
      </c>
      <c r="E735" t="inlineStr">
        <is>
          <t>KATRINEHOLM</t>
        </is>
      </c>
      <c r="G735" t="n">
        <v>3.2</v>
      </c>
      <c r="H735" t="n">
        <v>0</v>
      </c>
      <c r="I735" t="n">
        <v>0</v>
      </c>
      <c r="J735" t="n">
        <v>0</v>
      </c>
      <c r="K735" t="n">
        <v>0</v>
      </c>
      <c r="L735" t="n">
        <v>0</v>
      </c>
      <c r="M735" t="n">
        <v>0</v>
      </c>
      <c r="N735" t="n">
        <v>0</v>
      </c>
      <c r="O735" t="n">
        <v>0</v>
      </c>
      <c r="P735" t="n">
        <v>0</v>
      </c>
      <c r="Q735" t="n">
        <v>0</v>
      </c>
      <c r="R735" s="2" t="inlineStr"/>
    </row>
    <row r="736" ht="15" customHeight="1">
      <c r="A736" t="inlineStr">
        <is>
          <t>A 37185-2023</t>
        </is>
      </c>
      <c r="B736" s="1" t="n">
        <v>45154</v>
      </c>
      <c r="C736" s="1" t="n">
        <v>45983</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44872.57752314815</v>
      </c>
      <c r="C737" s="1" t="n">
        <v>45983</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49218-2023</t>
        </is>
      </c>
      <c r="B738" s="1" t="n">
        <v>45205</v>
      </c>
      <c r="C738" s="1" t="n">
        <v>45983</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55169-2022</t>
        </is>
      </c>
      <c r="B739" s="1" t="n">
        <v>44886</v>
      </c>
      <c r="C739" s="1" t="n">
        <v>45983</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1329-2025</t>
        </is>
      </c>
      <c r="B740" s="1" t="n">
        <v>45667</v>
      </c>
      <c r="C740" s="1" t="n">
        <v>45983</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61398-2024</t>
        </is>
      </c>
      <c r="B741" s="1" t="n">
        <v>45646.42608796297</v>
      </c>
      <c r="C741" s="1" t="n">
        <v>45983</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24287-2024</t>
        </is>
      </c>
      <c r="B742" s="1" t="n">
        <v>45457</v>
      </c>
      <c r="C742" s="1" t="n">
        <v>45983</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8518-2023</t>
        </is>
      </c>
      <c r="B743" s="1" t="n">
        <v>44977</v>
      </c>
      <c r="C743" s="1" t="n">
        <v>45983</v>
      </c>
      <c r="D743" t="inlineStr">
        <is>
          <t>SÖDERMANLANDS LÄN</t>
        </is>
      </c>
      <c r="E743" t="inlineStr">
        <is>
          <t>KATRINEHOLM</t>
        </is>
      </c>
      <c r="F743" t="inlineStr">
        <is>
          <t>Allmännings- och besparingsskogar</t>
        </is>
      </c>
      <c r="G743" t="n">
        <v>35.3</v>
      </c>
      <c r="H743" t="n">
        <v>0</v>
      </c>
      <c r="I743" t="n">
        <v>0</v>
      </c>
      <c r="J743" t="n">
        <v>0</v>
      </c>
      <c r="K743" t="n">
        <v>0</v>
      </c>
      <c r="L743" t="n">
        <v>0</v>
      </c>
      <c r="M743" t="n">
        <v>0</v>
      </c>
      <c r="N743" t="n">
        <v>0</v>
      </c>
      <c r="O743" t="n">
        <v>0</v>
      </c>
      <c r="P743" t="n">
        <v>0</v>
      </c>
      <c r="Q743" t="n">
        <v>0</v>
      </c>
      <c r="R743" s="2" t="inlineStr"/>
    </row>
    <row r="744" ht="15" customHeight="1">
      <c r="A744" t="inlineStr">
        <is>
          <t>A 48030-2022</t>
        </is>
      </c>
      <c r="B744" s="1" t="n">
        <v>44855</v>
      </c>
      <c r="C744" s="1" t="n">
        <v>45983</v>
      </c>
      <c r="D744" t="inlineStr">
        <is>
          <t>SÖDERMANLANDS LÄN</t>
        </is>
      </c>
      <c r="E744" t="inlineStr">
        <is>
          <t>KATRINEHOLM</t>
        </is>
      </c>
      <c r="F744" t="inlineStr">
        <is>
          <t>Allmännings- och besparingsskogar</t>
        </is>
      </c>
      <c r="G744" t="n">
        <v>1.5</v>
      </c>
      <c r="H744" t="n">
        <v>0</v>
      </c>
      <c r="I744" t="n">
        <v>0</v>
      </c>
      <c r="J744" t="n">
        <v>0</v>
      </c>
      <c r="K744" t="n">
        <v>0</v>
      </c>
      <c r="L744" t="n">
        <v>0</v>
      </c>
      <c r="M744" t="n">
        <v>0</v>
      </c>
      <c r="N744" t="n">
        <v>0</v>
      </c>
      <c r="O744" t="n">
        <v>0</v>
      </c>
      <c r="P744" t="n">
        <v>0</v>
      </c>
      <c r="Q744" t="n">
        <v>0</v>
      </c>
      <c r="R744" s="2" t="inlineStr"/>
    </row>
    <row r="745" ht="15" customHeight="1">
      <c r="A745" t="inlineStr">
        <is>
          <t>A 948-2023</t>
        </is>
      </c>
      <c r="B745" s="1" t="n">
        <v>44934</v>
      </c>
      <c r="C745" s="1" t="n">
        <v>45983</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37542-2022</t>
        </is>
      </c>
      <c r="B746" s="1" t="n">
        <v>44809</v>
      </c>
      <c r="C746" s="1" t="n">
        <v>45983</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41229-2022</t>
        </is>
      </c>
      <c r="B747" s="1" t="n">
        <v>44825</v>
      </c>
      <c r="C747" s="1" t="n">
        <v>45983</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64652-2023</t>
        </is>
      </c>
      <c r="B748" s="1" t="n">
        <v>45281</v>
      </c>
      <c r="C748" s="1" t="n">
        <v>45983</v>
      </c>
      <c r="D748" t="inlineStr">
        <is>
          <t>SÖDERMANLANDS LÄN</t>
        </is>
      </c>
      <c r="E748" t="inlineStr">
        <is>
          <t>KATRINEHOLM</t>
        </is>
      </c>
      <c r="F748" t="inlineStr">
        <is>
          <t>Övriga Aktiebolag</t>
        </is>
      </c>
      <c r="G748" t="n">
        <v>2.2</v>
      </c>
      <c r="H748" t="n">
        <v>0</v>
      </c>
      <c r="I748" t="n">
        <v>0</v>
      </c>
      <c r="J748" t="n">
        <v>0</v>
      </c>
      <c r="K748" t="n">
        <v>0</v>
      </c>
      <c r="L748" t="n">
        <v>0</v>
      </c>
      <c r="M748" t="n">
        <v>0</v>
      </c>
      <c r="N748" t="n">
        <v>0</v>
      </c>
      <c r="O748" t="n">
        <v>0</v>
      </c>
      <c r="P748" t="n">
        <v>0</v>
      </c>
      <c r="Q748" t="n">
        <v>0</v>
      </c>
      <c r="R748" s="2" t="inlineStr"/>
    </row>
    <row r="749" ht="15" customHeight="1">
      <c r="A749" t="inlineStr">
        <is>
          <t>A 51404-2023</t>
        </is>
      </c>
      <c r="B749" s="1" t="n">
        <v>45214</v>
      </c>
      <c r="C749" s="1" t="n">
        <v>45983</v>
      </c>
      <c r="D749" t="inlineStr">
        <is>
          <t>SÖDERMANLANDS LÄN</t>
        </is>
      </c>
      <c r="E749" t="inlineStr">
        <is>
          <t>KATRINEHOLM</t>
        </is>
      </c>
      <c r="G749" t="n">
        <v>9</v>
      </c>
      <c r="H749" t="n">
        <v>0</v>
      </c>
      <c r="I749" t="n">
        <v>0</v>
      </c>
      <c r="J749" t="n">
        <v>0</v>
      </c>
      <c r="K749" t="n">
        <v>0</v>
      </c>
      <c r="L749" t="n">
        <v>0</v>
      </c>
      <c r="M749" t="n">
        <v>0</v>
      </c>
      <c r="N749" t="n">
        <v>0</v>
      </c>
      <c r="O749" t="n">
        <v>0</v>
      </c>
      <c r="P749" t="n">
        <v>0</v>
      </c>
      <c r="Q749" t="n">
        <v>0</v>
      </c>
      <c r="R749" s="2" t="inlineStr"/>
    </row>
    <row r="750" ht="15" customHeight="1">
      <c r="A750" t="inlineStr">
        <is>
          <t>A 41946-2022</t>
        </is>
      </c>
      <c r="B750" s="1" t="n">
        <v>44830.38502314815</v>
      </c>
      <c r="C750" s="1" t="n">
        <v>45983</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3115-2024</t>
        </is>
      </c>
      <c r="B751" s="1" t="n">
        <v>45316.49630787037</v>
      </c>
      <c r="C751" s="1" t="n">
        <v>45983</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61431-2024</t>
        </is>
      </c>
      <c r="B752" s="1" t="n">
        <v>45646.45950231481</v>
      </c>
      <c r="C752" s="1" t="n">
        <v>45983</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44659-2023</t>
        </is>
      </c>
      <c r="B753" s="1" t="n">
        <v>45189</v>
      </c>
      <c r="C753" s="1" t="n">
        <v>45983</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51446-2023</t>
        </is>
      </c>
      <c r="B754" s="1" t="n">
        <v>45220.48068287037</v>
      </c>
      <c r="C754" s="1" t="n">
        <v>45983</v>
      </c>
      <c r="D754" t="inlineStr">
        <is>
          <t>SÖDERMANLANDS LÄN</t>
        </is>
      </c>
      <c r="E754" t="inlineStr">
        <is>
          <t>KATRINEHOLM</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27955-2023</t>
        </is>
      </c>
      <c r="B755" s="1" t="n">
        <v>45098</v>
      </c>
      <c r="C755" s="1" t="n">
        <v>45983</v>
      </c>
      <c r="D755" t="inlineStr">
        <is>
          <t>SÖDERMANLANDS LÄN</t>
        </is>
      </c>
      <c r="E755" t="inlineStr">
        <is>
          <t>KATRINEHOLM</t>
        </is>
      </c>
      <c r="G755" t="n">
        <v>5.9</v>
      </c>
      <c r="H755" t="n">
        <v>0</v>
      </c>
      <c r="I755" t="n">
        <v>0</v>
      </c>
      <c r="J755" t="n">
        <v>0</v>
      </c>
      <c r="K755" t="n">
        <v>0</v>
      </c>
      <c r="L755" t="n">
        <v>0</v>
      </c>
      <c r="M755" t="n">
        <v>0</v>
      </c>
      <c r="N755" t="n">
        <v>0</v>
      </c>
      <c r="O755" t="n">
        <v>0</v>
      </c>
      <c r="P755" t="n">
        <v>0</v>
      </c>
      <c r="Q755" t="n">
        <v>0</v>
      </c>
      <c r="R755" s="2" t="inlineStr"/>
    </row>
    <row r="756" ht="15" customHeight="1">
      <c r="A756" t="inlineStr">
        <is>
          <t>A 4669-2023</t>
        </is>
      </c>
      <c r="B756" s="1" t="n">
        <v>44957</v>
      </c>
      <c r="C756" s="1" t="n">
        <v>45983</v>
      </c>
      <c r="D756" t="inlineStr">
        <is>
          <t>SÖDERMANLANDS LÄN</t>
        </is>
      </c>
      <c r="E756" t="inlineStr">
        <is>
          <t>KATRINEHOLM</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4724-2023</t>
        </is>
      </c>
      <c r="B757" s="1" t="n">
        <v>44957</v>
      </c>
      <c r="C757" s="1" t="n">
        <v>45983</v>
      </c>
      <c r="D757" t="inlineStr">
        <is>
          <t>SÖDERMANLANDS LÄN</t>
        </is>
      </c>
      <c r="E757" t="inlineStr">
        <is>
          <t>KATRINEHOLM</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7197-2023</t>
        </is>
      </c>
      <c r="B758" s="1" t="n">
        <v>44965</v>
      </c>
      <c r="C758" s="1" t="n">
        <v>45983</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6092-2025</t>
        </is>
      </c>
      <c r="B759" s="1" t="n">
        <v>45697</v>
      </c>
      <c r="C759" s="1" t="n">
        <v>45983</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5327-2025</t>
        </is>
      </c>
      <c r="B760" s="1" t="n">
        <v>45692</v>
      </c>
      <c r="C760" s="1" t="n">
        <v>45983</v>
      </c>
      <c r="D760" t="inlineStr">
        <is>
          <t>SÖDERMANLANDS LÄN</t>
        </is>
      </c>
      <c r="E760" t="inlineStr">
        <is>
          <t>KATRINEHOLM</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45983</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45983</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50626-2024</t>
        </is>
      </c>
      <c r="B763" s="1" t="n">
        <v>45601</v>
      </c>
      <c r="C763" s="1" t="n">
        <v>45983</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7398-2024</t>
        </is>
      </c>
      <c r="B764" s="1" t="n">
        <v>45345</v>
      </c>
      <c r="C764" s="1" t="n">
        <v>45983</v>
      </c>
      <c r="D764" t="inlineStr">
        <is>
          <t>SÖDERMANLANDS LÄN</t>
        </is>
      </c>
      <c r="E764" t="inlineStr">
        <is>
          <t>KATRINEHOLM</t>
        </is>
      </c>
      <c r="G764" t="n">
        <v>4.4</v>
      </c>
      <c r="H764" t="n">
        <v>0</v>
      </c>
      <c r="I764" t="n">
        <v>0</v>
      </c>
      <c r="J764" t="n">
        <v>0</v>
      </c>
      <c r="K764" t="n">
        <v>0</v>
      </c>
      <c r="L764" t="n">
        <v>0</v>
      </c>
      <c r="M764" t="n">
        <v>0</v>
      </c>
      <c r="N764" t="n">
        <v>0</v>
      </c>
      <c r="O764" t="n">
        <v>0</v>
      </c>
      <c r="P764" t="n">
        <v>0</v>
      </c>
      <c r="Q764" t="n">
        <v>0</v>
      </c>
      <c r="R764" s="2" t="inlineStr"/>
    </row>
    <row r="765" ht="15" customHeight="1">
      <c r="A765" t="inlineStr">
        <is>
          <t>A 14629-2023</t>
        </is>
      </c>
      <c r="B765" s="1" t="n">
        <v>45013</v>
      </c>
      <c r="C765" s="1" t="n">
        <v>45983</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49116-2024</t>
        </is>
      </c>
      <c r="B766" s="1" t="n">
        <v>45594.6605787037</v>
      </c>
      <c r="C766" s="1" t="n">
        <v>45983</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2683-2025</t>
        </is>
      </c>
      <c r="B767" s="1" t="n">
        <v>45677</v>
      </c>
      <c r="C767" s="1" t="n">
        <v>45983</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61410-2024</t>
        </is>
      </c>
      <c r="B768" s="1" t="n">
        <v>45646.43950231482</v>
      </c>
      <c r="C768" s="1" t="n">
        <v>45983</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3315-2023</t>
        </is>
      </c>
      <c r="B769" s="1" t="n">
        <v>44945</v>
      </c>
      <c r="C769" s="1" t="n">
        <v>45983</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7867-2024</t>
        </is>
      </c>
      <c r="B770" s="1" t="n">
        <v>45350.32991898148</v>
      </c>
      <c r="C770" s="1" t="n">
        <v>45983</v>
      </c>
      <c r="D770" t="inlineStr">
        <is>
          <t>SÖDERMANLANDS LÄN</t>
        </is>
      </c>
      <c r="E770" t="inlineStr">
        <is>
          <t>KATRINEHOLM</t>
        </is>
      </c>
      <c r="F770" t="inlineStr">
        <is>
          <t>Kyrkan</t>
        </is>
      </c>
      <c r="G770" t="n">
        <v>3.3</v>
      </c>
      <c r="H770" t="n">
        <v>0</v>
      </c>
      <c r="I770" t="n">
        <v>0</v>
      </c>
      <c r="J770" t="n">
        <v>0</v>
      </c>
      <c r="K770" t="n">
        <v>0</v>
      </c>
      <c r="L770" t="n">
        <v>0</v>
      </c>
      <c r="M770" t="n">
        <v>0</v>
      </c>
      <c r="N770" t="n">
        <v>0</v>
      </c>
      <c r="O770" t="n">
        <v>0</v>
      </c>
      <c r="P770" t="n">
        <v>0</v>
      </c>
      <c r="Q770" t="n">
        <v>0</v>
      </c>
      <c r="R770" s="2" t="inlineStr"/>
    </row>
    <row r="771" ht="15" customHeight="1">
      <c r="A771" t="inlineStr">
        <is>
          <t>A 38869-2024</t>
        </is>
      </c>
      <c r="B771" s="1" t="n">
        <v>45547</v>
      </c>
      <c r="C771" s="1" t="n">
        <v>45983</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45983</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45983</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6311-2025</t>
        </is>
      </c>
      <c r="B774" s="1" t="n">
        <v>45698</v>
      </c>
      <c r="C774" s="1" t="n">
        <v>45983</v>
      </c>
      <c r="D774" t="inlineStr">
        <is>
          <t>SÖDERMANLANDS LÄN</t>
        </is>
      </c>
      <c r="E774" t="inlineStr">
        <is>
          <t>KATRINEHOLM</t>
        </is>
      </c>
      <c r="G774" t="n">
        <v>0.3</v>
      </c>
      <c r="H774" t="n">
        <v>0</v>
      </c>
      <c r="I774" t="n">
        <v>0</v>
      </c>
      <c r="J774" t="n">
        <v>0</v>
      </c>
      <c r="K774" t="n">
        <v>0</v>
      </c>
      <c r="L774" t="n">
        <v>0</v>
      </c>
      <c r="M774" t="n">
        <v>0</v>
      </c>
      <c r="N774" t="n">
        <v>0</v>
      </c>
      <c r="O774" t="n">
        <v>0</v>
      </c>
      <c r="P774" t="n">
        <v>0</v>
      </c>
      <c r="Q774" t="n">
        <v>0</v>
      </c>
      <c r="R774" s="2" t="inlineStr"/>
    </row>
    <row r="775">
      <c r="A775" t="inlineStr">
        <is>
          <t>A 23838-2021</t>
        </is>
      </c>
      <c r="B775" s="1" t="n">
        <v>44335</v>
      </c>
      <c r="C775" s="1" t="n">
        <v>45983</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2025-11-22T10:15:19Z</dcterms:created>
  <dcterms:modified xmlns:dcterms="http://purl.org/dc/terms/" xmlns:xsi="http://www.w3.org/2001/XMLSchema-instance" xsi:type="dcterms:W3CDTF">2025-11-22T10:15:20Z</dcterms:modified>
</cp:coreProperties>
</file>