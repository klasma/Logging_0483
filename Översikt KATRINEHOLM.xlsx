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46180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46180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46180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46180</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46180</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46180</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7585-2023</t>
        </is>
      </c>
      <c r="B17" s="1" t="n">
        <v>44972</v>
      </c>
      <c r="C17" s="1" t="n">
        <v>46180</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61384-2021</t>
        </is>
      </c>
      <c r="B18" s="1" t="n">
        <v>44500</v>
      </c>
      <c r="C18" s="1" t="n">
        <v>46180</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56897-2021</t>
        </is>
      </c>
      <c r="B19" s="1" t="n">
        <v>44481</v>
      </c>
      <c r="C19" s="1" t="n">
        <v>46180</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46180</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46180</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24718-2025</t>
        </is>
      </c>
      <c r="B22" s="1" t="n">
        <v>45799</v>
      </c>
      <c r="C22" s="1" t="n">
        <v>46180</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14858-2023</t>
        </is>
      </c>
      <c r="B23" s="1" t="n">
        <v>45014</v>
      </c>
      <c r="C23" s="1" t="n">
        <v>46180</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70501-2021</t>
        </is>
      </c>
      <c r="B24" s="1" t="n">
        <v>44536</v>
      </c>
      <c r="C24" s="1" t="n">
        <v>46180</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46180</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13873-2026</t>
        </is>
      </c>
      <c r="B26" s="1" t="n">
        <v>46098.42672453704</v>
      </c>
      <c r="C26" s="1" t="n">
        <v>46180</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46180</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1150-2025</t>
        </is>
      </c>
      <c r="B28" s="1" t="n">
        <v>45666</v>
      </c>
      <c r="C28" s="1" t="n">
        <v>46180</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46180</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23804-2026</t>
        </is>
      </c>
      <c r="B30" s="1" t="n">
        <v>46164.63459490741</v>
      </c>
      <c r="C30" s="1" t="n">
        <v>46180</v>
      </c>
      <c r="D30" t="inlineStr">
        <is>
          <t>SÖDERMANLANDS LÄN</t>
        </is>
      </c>
      <c r="E30" t="inlineStr">
        <is>
          <t>KATRINEHOLM</t>
        </is>
      </c>
      <c r="G30" t="n">
        <v>4.6</v>
      </c>
      <c r="H30" t="n">
        <v>1</v>
      </c>
      <c r="I30" t="n">
        <v>0</v>
      </c>
      <c r="J30" t="n">
        <v>1</v>
      </c>
      <c r="K30" t="n">
        <v>0</v>
      </c>
      <c r="L30" t="n">
        <v>0</v>
      </c>
      <c r="M30" t="n">
        <v>0</v>
      </c>
      <c r="N30" t="n">
        <v>0</v>
      </c>
      <c r="O30" t="n">
        <v>1</v>
      </c>
      <c r="P30" t="n">
        <v>0</v>
      </c>
      <c r="Q30" t="n">
        <v>2</v>
      </c>
      <c r="R30" s="2" t="inlineStr">
        <is>
          <t>Tallticka
Revlummer</t>
        </is>
      </c>
      <c r="S30">
        <f>HYPERLINK("https://klasma.github.io/Logging_0483/artfynd/A 23804-2026 artfynd.xlsx", "A 23804-2026")</f>
        <v/>
      </c>
      <c r="T30">
        <f>HYPERLINK("https://klasma.github.io/Logging_0483/kartor/A 23804-2026 karta.png", "A 23804-2026")</f>
        <v/>
      </c>
      <c r="V30">
        <f>HYPERLINK("https://klasma.github.io/Logging_0483/klagomål/A 23804-2026 FSC-klagomål.docx", "A 23804-2026")</f>
        <v/>
      </c>
      <c r="W30">
        <f>HYPERLINK("https://klasma.github.io/Logging_0483/klagomålsmail/A 23804-2026 FSC-klagomål mail.docx", "A 23804-2026")</f>
        <v/>
      </c>
      <c r="X30">
        <f>HYPERLINK("https://klasma.github.io/Logging_0483/tillsyn/A 23804-2026 tillsynsbegäran.docx", "A 23804-2026")</f>
        <v/>
      </c>
      <c r="Y30">
        <f>HYPERLINK("https://klasma.github.io/Logging_0483/tillsynsmail/A 23804-2026 tillsynsbegäran mail.docx", "A 23804-2026")</f>
        <v/>
      </c>
    </row>
    <row r="31" ht="15" customHeight="1">
      <c r="A31" t="inlineStr">
        <is>
          <t>A 65184-2021</t>
        </is>
      </c>
      <c r="B31" s="1" t="n">
        <v>44512</v>
      </c>
      <c r="C31" s="1" t="n">
        <v>46180</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46180</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46180</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46180</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46180</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46180</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1260-2026</t>
        </is>
      </c>
      <c r="B37" s="1" t="n">
        <v>46031.45652777778</v>
      </c>
      <c r="C37" s="1" t="n">
        <v>46180</v>
      </c>
      <c r="D37" t="inlineStr">
        <is>
          <t>SÖDERMANLANDS LÄN</t>
        </is>
      </c>
      <c r="E37" t="inlineStr">
        <is>
          <t>KATRINEHOLM</t>
        </is>
      </c>
      <c r="G37" t="n">
        <v>9.1</v>
      </c>
      <c r="H37" t="n">
        <v>1</v>
      </c>
      <c r="I37" t="n">
        <v>0</v>
      </c>
      <c r="J37" t="n">
        <v>1</v>
      </c>
      <c r="K37" t="n">
        <v>0</v>
      </c>
      <c r="L37" t="n">
        <v>0</v>
      </c>
      <c r="M37" t="n">
        <v>0</v>
      </c>
      <c r="N37" t="n">
        <v>0</v>
      </c>
      <c r="O37" t="n">
        <v>1</v>
      </c>
      <c r="P37" t="n">
        <v>0</v>
      </c>
      <c r="Q37" t="n">
        <v>1</v>
      </c>
      <c r="R37" s="2" t="inlineStr">
        <is>
          <t>Spillkråka</t>
        </is>
      </c>
      <c r="S37">
        <f>HYPERLINK("https://klasma.github.io/Logging_0483/artfynd/A 1260-2026 artfynd.xlsx", "A 1260-2026")</f>
        <v/>
      </c>
      <c r="T37">
        <f>HYPERLINK("https://klasma.github.io/Logging_0483/kartor/A 1260-2026 karta.png", "A 1260-2026")</f>
        <v/>
      </c>
      <c r="V37">
        <f>HYPERLINK("https://klasma.github.io/Logging_0483/klagomål/A 1260-2026 FSC-klagomål.docx", "A 1260-2026")</f>
        <v/>
      </c>
      <c r="W37">
        <f>HYPERLINK("https://klasma.github.io/Logging_0483/klagomålsmail/A 1260-2026 FSC-klagomål mail.docx", "A 1260-2026")</f>
        <v/>
      </c>
      <c r="X37">
        <f>HYPERLINK("https://klasma.github.io/Logging_0483/tillsyn/A 1260-2026 tillsynsbegäran.docx", "A 1260-2026")</f>
        <v/>
      </c>
      <c r="Y37">
        <f>HYPERLINK("https://klasma.github.io/Logging_0483/tillsynsmail/A 1260-2026 tillsynsbegäran mail.docx", "A 1260-2026")</f>
        <v/>
      </c>
      <c r="Z37">
        <f>HYPERLINK("https://klasma.github.io/Logging_0483/fåglar/A 1260-2026 prioriterade fågelarter.docx", "A 1260-2026")</f>
        <v/>
      </c>
    </row>
    <row r="38" ht="15" customHeight="1">
      <c r="A38" t="inlineStr">
        <is>
          <t>A 8917-2024</t>
        </is>
      </c>
      <c r="B38" s="1" t="n">
        <v>45357.37618055556</v>
      </c>
      <c r="C38" s="1" t="n">
        <v>46180</v>
      </c>
      <c r="D38" t="inlineStr">
        <is>
          <t>SÖDERMANLANDS LÄN</t>
        </is>
      </c>
      <c r="E38" t="inlineStr">
        <is>
          <t>KATRINEHOLM</t>
        </is>
      </c>
      <c r="G38" t="n">
        <v>3</v>
      </c>
      <c r="H38" t="n">
        <v>1</v>
      </c>
      <c r="I38" t="n">
        <v>0</v>
      </c>
      <c r="J38" t="n">
        <v>0</v>
      </c>
      <c r="K38" t="n">
        <v>0</v>
      </c>
      <c r="L38" t="n">
        <v>0</v>
      </c>
      <c r="M38" t="n">
        <v>0</v>
      </c>
      <c r="N38" t="n">
        <v>0</v>
      </c>
      <c r="O38" t="n">
        <v>0</v>
      </c>
      <c r="P38" t="n">
        <v>0</v>
      </c>
      <c r="Q38" t="n">
        <v>1</v>
      </c>
      <c r="R38" s="2" t="inlineStr">
        <is>
          <t>Gröngöling</t>
        </is>
      </c>
      <c r="S38">
        <f>HYPERLINK("https://klasma.github.io/Logging_0483/artfynd/A 8917-2024 artfynd.xlsx", "A 8917-2024")</f>
        <v/>
      </c>
      <c r="T38">
        <f>HYPERLINK("https://klasma.github.io/Logging_0483/kartor/A 8917-2024 karta.png", "A 8917-2024")</f>
        <v/>
      </c>
      <c r="V38">
        <f>HYPERLINK("https://klasma.github.io/Logging_0483/klagomål/A 8917-2024 FSC-klagomål.docx", "A 8917-2024")</f>
        <v/>
      </c>
      <c r="W38">
        <f>HYPERLINK("https://klasma.github.io/Logging_0483/klagomålsmail/A 8917-2024 FSC-klagomål mail.docx", "A 8917-2024")</f>
        <v/>
      </c>
      <c r="X38">
        <f>HYPERLINK("https://klasma.github.io/Logging_0483/tillsyn/A 8917-2024 tillsynsbegäran.docx", "A 8917-2024")</f>
        <v/>
      </c>
      <c r="Y38">
        <f>HYPERLINK("https://klasma.github.io/Logging_0483/tillsynsmail/A 8917-2024 tillsynsbegäran mail.docx", "A 8917-2024")</f>
        <v/>
      </c>
      <c r="Z38">
        <f>HYPERLINK("https://klasma.github.io/Logging_0483/fåglar/A 8917-2024 prioriterade fågelarter.docx", "A 8917-2024")</f>
        <v/>
      </c>
    </row>
    <row r="39" ht="15" customHeight="1">
      <c r="A39" t="inlineStr">
        <is>
          <t>A 42055-2025</t>
        </is>
      </c>
      <c r="B39" s="1" t="n">
        <v>45903</v>
      </c>
      <c r="C39" s="1" t="n">
        <v>46180</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16458-2022</t>
        </is>
      </c>
      <c r="B40" s="1" t="n">
        <v>44671</v>
      </c>
      <c r="C40" s="1" t="n">
        <v>46180</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27926-2025</t>
        </is>
      </c>
      <c r="B41" s="1" t="n">
        <v>45814</v>
      </c>
      <c r="C41" s="1" t="n">
        <v>46180</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23568-2023</t>
        </is>
      </c>
      <c r="B42" s="1" t="n">
        <v>45077</v>
      </c>
      <c r="C42" s="1" t="n">
        <v>46180</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57519-2021</t>
        </is>
      </c>
      <c r="B43" s="1" t="n">
        <v>44483</v>
      </c>
      <c r="C43" s="1" t="n">
        <v>46180</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35163-2025</t>
        </is>
      </c>
      <c r="B44" s="1" t="n">
        <v>45852.71136574074</v>
      </c>
      <c r="C44" s="1" t="n">
        <v>46180</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44486-2023</t>
        </is>
      </c>
      <c r="B45" s="1" t="n">
        <v>45183</v>
      </c>
      <c r="C45" s="1" t="n">
        <v>46180</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44632-2023</t>
        </is>
      </c>
      <c r="B46" s="1" t="n">
        <v>45184</v>
      </c>
      <c r="C46" s="1" t="n">
        <v>46180</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55700-2025</t>
        </is>
      </c>
      <c r="B47" s="1" t="n">
        <v>45972.45605324074</v>
      </c>
      <c r="C47" s="1" t="n">
        <v>46180</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33801-2023</t>
        </is>
      </c>
      <c r="B48" s="1" t="n">
        <v>45133</v>
      </c>
      <c r="C48" s="1" t="n">
        <v>46180</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46180</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45530-2023</t>
        </is>
      </c>
      <c r="B50" s="1" t="n">
        <v>45188</v>
      </c>
      <c r="C50" s="1" t="n">
        <v>46180</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63946-2025</t>
        </is>
      </c>
      <c r="B51" s="1" t="n">
        <v>46010</v>
      </c>
      <c r="C51" s="1" t="n">
        <v>46180</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46180</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7305-2024</t>
        </is>
      </c>
      <c r="B53" s="1" t="n">
        <v>45344</v>
      </c>
      <c r="C53" s="1" t="n">
        <v>46180</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46180</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46180</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46180</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11890-2023</t>
        </is>
      </c>
      <c r="B57" s="1" t="n">
        <v>44995</v>
      </c>
      <c r="C57" s="1" t="n">
        <v>46180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46180</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46180</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46180</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46180</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46180</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46180</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41980-2025</t>
        </is>
      </c>
      <c r="B64" s="1" t="n">
        <v>45903</v>
      </c>
      <c r="C64" s="1" t="n">
        <v>46180</v>
      </c>
      <c r="D64" t="inlineStr">
        <is>
          <t>SÖDERMANLANDS LÄN</t>
        </is>
      </c>
      <c r="E64" t="inlineStr">
        <is>
          <t>KATRINEHOLM</t>
        </is>
      </c>
      <c r="F64" t="inlineStr">
        <is>
          <t>Allmännings- och besparingsskogar</t>
        </is>
      </c>
      <c r="G64" t="n">
        <v>18.4</v>
      </c>
      <c r="H64" t="n">
        <v>0</v>
      </c>
      <c r="I64" t="n">
        <v>1</v>
      </c>
      <c r="J64" t="n">
        <v>0</v>
      </c>
      <c r="K64" t="n">
        <v>0</v>
      </c>
      <c r="L64" t="n">
        <v>0</v>
      </c>
      <c r="M64" t="n">
        <v>0</v>
      </c>
      <c r="N64" t="n">
        <v>0</v>
      </c>
      <c r="O64" t="n">
        <v>0</v>
      </c>
      <c r="P64" t="n">
        <v>0</v>
      </c>
      <c r="Q64" t="n">
        <v>1</v>
      </c>
      <c r="R64" s="2" t="inlineStr">
        <is>
          <t>Vätteros</t>
        </is>
      </c>
      <c r="S64">
        <f>HYPERLINK("https://klasma.github.io/Logging_0483/artfynd/A 41980-2025 artfynd.xlsx", "A 41980-2025")</f>
        <v/>
      </c>
      <c r="T64">
        <f>HYPERLINK("https://klasma.github.io/Logging_0483/kartor/A 41980-2025 karta.png", "A 41980-2025")</f>
        <v/>
      </c>
      <c r="V64">
        <f>HYPERLINK("https://klasma.github.io/Logging_0483/klagomål/A 41980-2025 FSC-klagomål.docx", "A 41980-2025")</f>
        <v/>
      </c>
      <c r="W64">
        <f>HYPERLINK("https://klasma.github.io/Logging_0483/klagomålsmail/A 41980-2025 FSC-klagomål mail.docx", "A 41980-2025")</f>
        <v/>
      </c>
      <c r="X64">
        <f>HYPERLINK("https://klasma.github.io/Logging_0483/tillsyn/A 41980-2025 tillsynsbegäran.docx", "A 41980-2025")</f>
        <v/>
      </c>
      <c r="Y64">
        <f>HYPERLINK("https://klasma.github.io/Logging_0483/tillsynsmail/A 41980-2025 tillsynsbegäran mail.docx", "A 41980-2025")</f>
        <v/>
      </c>
    </row>
    <row r="65" ht="15" customHeight="1">
      <c r="A65" t="inlineStr">
        <is>
          <t>A 36856-2021</t>
        </is>
      </c>
      <c r="B65" s="1" t="n">
        <v>44393</v>
      </c>
      <c r="C65" s="1" t="n">
        <v>46180</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46180</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46180</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46180</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46180</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46180</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46180</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46180</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46180</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46180</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46180</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50625-2022</t>
        </is>
      </c>
      <c r="B76" s="1" t="n">
        <v>44866.87912037037</v>
      </c>
      <c r="C76" s="1" t="n">
        <v>46180</v>
      </c>
      <c r="D76" t="inlineStr">
        <is>
          <t>SÖDERMANLANDS LÄN</t>
        </is>
      </c>
      <c r="E76" t="inlineStr">
        <is>
          <t>KATRINEHOLM</t>
        </is>
      </c>
      <c r="F76" t="inlineStr">
        <is>
          <t>Kyrkan</t>
        </is>
      </c>
      <c r="G76" t="n">
        <v>25</v>
      </c>
      <c r="H76" t="n">
        <v>0</v>
      </c>
      <c r="I76" t="n">
        <v>0</v>
      </c>
      <c r="J76" t="n">
        <v>0</v>
      </c>
      <c r="K76" t="n">
        <v>0</v>
      </c>
      <c r="L76" t="n">
        <v>0</v>
      </c>
      <c r="M76" t="n">
        <v>0</v>
      </c>
      <c r="N76" t="n">
        <v>0</v>
      </c>
      <c r="O76" t="n">
        <v>0</v>
      </c>
      <c r="P76" t="n">
        <v>0</v>
      </c>
      <c r="Q76" t="n">
        <v>0</v>
      </c>
      <c r="R76" s="2" t="inlineStr"/>
    </row>
    <row r="77" ht="15" customHeight="1">
      <c r="A77" t="inlineStr">
        <is>
          <t>A 70442-2021</t>
        </is>
      </c>
      <c r="B77" s="1" t="n">
        <v>44536</v>
      </c>
      <c r="C77" s="1" t="n">
        <v>46180</v>
      </c>
      <c r="D77" t="inlineStr">
        <is>
          <t>SÖDERMANLANDS LÄN</t>
        </is>
      </c>
      <c r="E77" t="inlineStr">
        <is>
          <t>KATRINEHOLM</t>
        </is>
      </c>
      <c r="G77" t="n">
        <v>0.9</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46180</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46180</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11024-2022</t>
        </is>
      </c>
      <c r="B80" s="1" t="n">
        <v>44628</v>
      </c>
      <c r="C80" s="1" t="n">
        <v>46180</v>
      </c>
      <c r="D80" t="inlineStr">
        <is>
          <t>SÖDERMANLANDS LÄN</t>
        </is>
      </c>
      <c r="E80" t="inlineStr">
        <is>
          <t>KATRINEHOLM</t>
        </is>
      </c>
      <c r="G80" t="n">
        <v>0.4</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46180</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46180</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53846-2021</t>
        </is>
      </c>
      <c r="B83" s="1" t="n">
        <v>44467</v>
      </c>
      <c r="C83" s="1" t="n">
        <v>46180</v>
      </c>
      <c r="D83" t="inlineStr">
        <is>
          <t>SÖDERMANLANDS LÄN</t>
        </is>
      </c>
      <c r="E83" t="inlineStr">
        <is>
          <t>KATRINEHOLM</t>
        </is>
      </c>
      <c r="G83" t="n">
        <v>1.9</v>
      </c>
      <c r="H83" t="n">
        <v>0</v>
      </c>
      <c r="I83" t="n">
        <v>0</v>
      </c>
      <c r="J83" t="n">
        <v>0</v>
      </c>
      <c r="K83" t="n">
        <v>0</v>
      </c>
      <c r="L83" t="n">
        <v>0</v>
      </c>
      <c r="M83" t="n">
        <v>0</v>
      </c>
      <c r="N83" t="n">
        <v>0</v>
      </c>
      <c r="O83" t="n">
        <v>0</v>
      </c>
      <c r="P83" t="n">
        <v>0</v>
      </c>
      <c r="Q83" t="n">
        <v>0</v>
      </c>
      <c r="R83" s="2" t="inlineStr"/>
    </row>
    <row r="84" ht="15" customHeight="1">
      <c r="A84" t="inlineStr">
        <is>
          <t>A 6695-2022</t>
        </is>
      </c>
      <c r="B84" s="1" t="n">
        <v>44602</v>
      </c>
      <c r="C84" s="1" t="n">
        <v>46180</v>
      </c>
      <c r="D84" t="inlineStr">
        <is>
          <t>SÖDERMANLANDS LÄN</t>
        </is>
      </c>
      <c r="E84" t="inlineStr">
        <is>
          <t>KATRINEHOLM</t>
        </is>
      </c>
      <c r="G84" t="n">
        <v>3.4</v>
      </c>
      <c r="H84" t="n">
        <v>0</v>
      </c>
      <c r="I84" t="n">
        <v>0</v>
      </c>
      <c r="J84" t="n">
        <v>0</v>
      </c>
      <c r="K84" t="n">
        <v>0</v>
      </c>
      <c r="L84" t="n">
        <v>0</v>
      </c>
      <c r="M84" t="n">
        <v>0</v>
      </c>
      <c r="N84" t="n">
        <v>0</v>
      </c>
      <c r="O84" t="n">
        <v>0</v>
      </c>
      <c r="P84" t="n">
        <v>0</v>
      </c>
      <c r="Q84" t="n">
        <v>0</v>
      </c>
      <c r="R84" s="2" t="inlineStr"/>
    </row>
    <row r="85" ht="15" customHeight="1">
      <c r="A85" t="inlineStr">
        <is>
          <t>A 38019-2022</t>
        </is>
      </c>
      <c r="B85" s="1" t="n">
        <v>44811.61142361111</v>
      </c>
      <c r="C85" s="1" t="n">
        <v>46180</v>
      </c>
      <c r="D85" t="inlineStr">
        <is>
          <t>SÖDERMANLANDS LÄN</t>
        </is>
      </c>
      <c r="E85" t="inlineStr">
        <is>
          <t>KATRINEHOLM</t>
        </is>
      </c>
      <c r="G85" t="n">
        <v>5.8</v>
      </c>
      <c r="H85" t="n">
        <v>0</v>
      </c>
      <c r="I85" t="n">
        <v>0</v>
      </c>
      <c r="J85" t="n">
        <v>0</v>
      </c>
      <c r="K85" t="n">
        <v>0</v>
      </c>
      <c r="L85" t="n">
        <v>0</v>
      </c>
      <c r="M85" t="n">
        <v>0</v>
      </c>
      <c r="N85" t="n">
        <v>0</v>
      </c>
      <c r="O85" t="n">
        <v>0</v>
      </c>
      <c r="P85" t="n">
        <v>0</v>
      </c>
      <c r="Q85" t="n">
        <v>0</v>
      </c>
      <c r="R85" s="2" t="inlineStr"/>
    </row>
    <row r="86" ht="15" customHeight="1">
      <c r="A86" t="inlineStr">
        <is>
          <t>A 23028-2022</t>
        </is>
      </c>
      <c r="B86" s="1" t="n">
        <v>44719</v>
      </c>
      <c r="C86" s="1" t="n">
        <v>46180</v>
      </c>
      <c r="D86" t="inlineStr">
        <is>
          <t>SÖDERMANLANDS LÄN</t>
        </is>
      </c>
      <c r="E86" t="inlineStr">
        <is>
          <t>KATRINEHOLM</t>
        </is>
      </c>
      <c r="G86" t="n">
        <v>1.2</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46180</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36605-2021</t>
        </is>
      </c>
      <c r="B88" s="1" t="n">
        <v>44391</v>
      </c>
      <c r="C88" s="1" t="n">
        <v>46180</v>
      </c>
      <c r="D88" t="inlineStr">
        <is>
          <t>SÖDERMANLANDS LÄN</t>
        </is>
      </c>
      <c r="E88" t="inlineStr">
        <is>
          <t>KATRINEHOLM</t>
        </is>
      </c>
      <c r="G88" t="n">
        <v>1.1</v>
      </c>
      <c r="H88" t="n">
        <v>0</v>
      </c>
      <c r="I88" t="n">
        <v>0</v>
      </c>
      <c r="J88" t="n">
        <v>0</v>
      </c>
      <c r="K88" t="n">
        <v>0</v>
      </c>
      <c r="L88" t="n">
        <v>0</v>
      </c>
      <c r="M88" t="n">
        <v>0</v>
      </c>
      <c r="N88" t="n">
        <v>0</v>
      </c>
      <c r="O88" t="n">
        <v>0</v>
      </c>
      <c r="P88" t="n">
        <v>0</v>
      </c>
      <c r="Q88" t="n">
        <v>0</v>
      </c>
      <c r="R88" s="2" t="inlineStr"/>
    </row>
    <row r="89" ht="15" customHeight="1">
      <c r="A89" t="inlineStr">
        <is>
          <t>A 39862-2021</t>
        </is>
      </c>
      <c r="B89" s="1" t="n">
        <v>44417</v>
      </c>
      <c r="C89" s="1" t="n">
        <v>46180</v>
      </c>
      <c r="D89" t="inlineStr">
        <is>
          <t>SÖDERMANLANDS LÄN</t>
        </is>
      </c>
      <c r="E89" t="inlineStr">
        <is>
          <t>KATRINEHOLM</t>
        </is>
      </c>
      <c r="G89" t="n">
        <v>8.699999999999999</v>
      </c>
      <c r="H89" t="n">
        <v>0</v>
      </c>
      <c r="I89" t="n">
        <v>0</v>
      </c>
      <c r="J89" t="n">
        <v>0</v>
      </c>
      <c r="K89" t="n">
        <v>0</v>
      </c>
      <c r="L89" t="n">
        <v>0</v>
      </c>
      <c r="M89" t="n">
        <v>0</v>
      </c>
      <c r="N89" t="n">
        <v>0</v>
      </c>
      <c r="O89" t="n">
        <v>0</v>
      </c>
      <c r="P89" t="n">
        <v>0</v>
      </c>
      <c r="Q89" t="n">
        <v>0</v>
      </c>
      <c r="R89" s="2" t="inlineStr"/>
    </row>
    <row r="90" ht="15" customHeight="1">
      <c r="A90" t="inlineStr">
        <is>
          <t>A 61174-2021</t>
        </is>
      </c>
      <c r="B90" s="1" t="n">
        <v>44466</v>
      </c>
      <c r="C90" s="1" t="n">
        <v>46180</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56337-2021</t>
        </is>
      </c>
      <c r="B91" s="1" t="n">
        <v>44480</v>
      </c>
      <c r="C91" s="1" t="n">
        <v>46180</v>
      </c>
      <c r="D91" t="inlineStr">
        <is>
          <t>SÖDERMANLANDS LÄN</t>
        </is>
      </c>
      <c r="E91" t="inlineStr">
        <is>
          <t>KATRINEHOLM</t>
        </is>
      </c>
      <c r="F91" t="inlineStr">
        <is>
          <t>Holmen skog AB</t>
        </is>
      </c>
      <c r="G91" t="n">
        <v>0.6</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46180</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23239-2022</t>
        </is>
      </c>
      <c r="B93" s="1" t="n">
        <v>44719</v>
      </c>
      <c r="C93" s="1" t="n">
        <v>46180</v>
      </c>
      <c r="D93" t="inlineStr">
        <is>
          <t>SÖDERMANLANDS LÄN</t>
        </is>
      </c>
      <c r="E93" t="inlineStr">
        <is>
          <t>KATRINEHOLM</t>
        </is>
      </c>
      <c r="G93" t="n">
        <v>7.4</v>
      </c>
      <c r="H93" t="n">
        <v>0</v>
      </c>
      <c r="I93" t="n">
        <v>0</v>
      </c>
      <c r="J93" t="n">
        <v>0</v>
      </c>
      <c r="K93" t="n">
        <v>0</v>
      </c>
      <c r="L93" t="n">
        <v>0</v>
      </c>
      <c r="M93" t="n">
        <v>0</v>
      </c>
      <c r="N93" t="n">
        <v>0</v>
      </c>
      <c r="O93" t="n">
        <v>0</v>
      </c>
      <c r="P93" t="n">
        <v>0</v>
      </c>
      <c r="Q93" t="n">
        <v>0</v>
      </c>
      <c r="R93" s="2" t="inlineStr"/>
    </row>
    <row r="94" ht="15" customHeight="1">
      <c r="A94" t="inlineStr">
        <is>
          <t>A 31846-2021</t>
        </is>
      </c>
      <c r="B94" s="1" t="n">
        <v>44370</v>
      </c>
      <c r="C94" s="1" t="n">
        <v>46180</v>
      </c>
      <c r="D94" t="inlineStr">
        <is>
          <t>SÖDERMANLANDS LÄN</t>
        </is>
      </c>
      <c r="E94" t="inlineStr">
        <is>
          <t>KATRINEHOLM</t>
        </is>
      </c>
      <c r="G94" t="n">
        <v>4.9</v>
      </c>
      <c r="H94" t="n">
        <v>0</v>
      </c>
      <c r="I94" t="n">
        <v>0</v>
      </c>
      <c r="J94" t="n">
        <v>0</v>
      </c>
      <c r="K94" t="n">
        <v>0</v>
      </c>
      <c r="L94" t="n">
        <v>0</v>
      </c>
      <c r="M94" t="n">
        <v>0</v>
      </c>
      <c r="N94" t="n">
        <v>0</v>
      </c>
      <c r="O94" t="n">
        <v>0</v>
      </c>
      <c r="P94" t="n">
        <v>0</v>
      </c>
      <c r="Q94" t="n">
        <v>0</v>
      </c>
      <c r="R94" s="2" t="inlineStr"/>
    </row>
    <row r="95" ht="15" customHeight="1">
      <c r="A95" t="inlineStr">
        <is>
          <t>A 3572-2022</t>
        </is>
      </c>
      <c r="B95" s="1" t="n">
        <v>44585</v>
      </c>
      <c r="C95" s="1" t="n">
        <v>46180</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46180</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24207-2022</t>
        </is>
      </c>
      <c r="B97" s="1" t="n">
        <v>44725</v>
      </c>
      <c r="C97" s="1" t="n">
        <v>46180</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34070-2022</t>
        </is>
      </c>
      <c r="B98" s="1" t="n">
        <v>44791.42287037037</v>
      </c>
      <c r="C98" s="1" t="n">
        <v>46180</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9786-2022</t>
        </is>
      </c>
      <c r="B99" s="1" t="n">
        <v>44619</v>
      </c>
      <c r="C99" s="1" t="n">
        <v>46180</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53349-2021</t>
        </is>
      </c>
      <c r="B100" s="1" t="n">
        <v>44468</v>
      </c>
      <c r="C100" s="1" t="n">
        <v>46180</v>
      </c>
      <c r="D100" t="inlineStr">
        <is>
          <t>SÖDERMANLANDS LÄN</t>
        </is>
      </c>
      <c r="E100" t="inlineStr">
        <is>
          <t>KATRINEHOLM</t>
        </is>
      </c>
      <c r="G100" t="n">
        <v>4</v>
      </c>
      <c r="H100" t="n">
        <v>0</v>
      </c>
      <c r="I100" t="n">
        <v>0</v>
      </c>
      <c r="J100" t="n">
        <v>0</v>
      </c>
      <c r="K100" t="n">
        <v>0</v>
      </c>
      <c r="L100" t="n">
        <v>0</v>
      </c>
      <c r="M100" t="n">
        <v>0</v>
      </c>
      <c r="N100" t="n">
        <v>0</v>
      </c>
      <c r="O100" t="n">
        <v>0</v>
      </c>
      <c r="P100" t="n">
        <v>0</v>
      </c>
      <c r="Q100" t="n">
        <v>0</v>
      </c>
      <c r="R100" s="2" t="inlineStr"/>
    </row>
    <row r="101" ht="15" customHeight="1">
      <c r="A101" t="inlineStr">
        <is>
          <t>A 65589-2021</t>
        </is>
      </c>
      <c r="B101" s="1" t="n">
        <v>44515</v>
      </c>
      <c r="C101" s="1" t="n">
        <v>46180</v>
      </c>
      <c r="D101" t="inlineStr">
        <is>
          <t>SÖDERMANLANDS LÄN</t>
        </is>
      </c>
      <c r="E101" t="inlineStr">
        <is>
          <t>KATRINEHOLM</t>
        </is>
      </c>
      <c r="G101" t="n">
        <v>2.6</v>
      </c>
      <c r="H101" t="n">
        <v>0</v>
      </c>
      <c r="I101" t="n">
        <v>0</v>
      </c>
      <c r="J101" t="n">
        <v>0</v>
      </c>
      <c r="K101" t="n">
        <v>0</v>
      </c>
      <c r="L101" t="n">
        <v>0</v>
      </c>
      <c r="M101" t="n">
        <v>0</v>
      </c>
      <c r="N101" t="n">
        <v>0</v>
      </c>
      <c r="O101" t="n">
        <v>0</v>
      </c>
      <c r="P101" t="n">
        <v>0</v>
      </c>
      <c r="Q101" t="n">
        <v>0</v>
      </c>
      <c r="R101" s="2" t="inlineStr"/>
    </row>
    <row r="102" ht="15" customHeight="1">
      <c r="A102" t="inlineStr">
        <is>
          <t>A 41876-2021</t>
        </is>
      </c>
      <c r="B102" s="1" t="n">
        <v>44426</v>
      </c>
      <c r="C102" s="1" t="n">
        <v>46180</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2884-2022</t>
        </is>
      </c>
      <c r="B103" s="1" t="n">
        <v>44581</v>
      </c>
      <c r="C103" s="1" t="n">
        <v>46180</v>
      </c>
      <c r="D103" t="inlineStr">
        <is>
          <t>SÖDERMANLANDS LÄN</t>
        </is>
      </c>
      <c r="E103" t="inlineStr">
        <is>
          <t>KATRINEHOLM</t>
        </is>
      </c>
      <c r="G103" t="n">
        <v>0.8</v>
      </c>
      <c r="H103" t="n">
        <v>0</v>
      </c>
      <c r="I103" t="n">
        <v>0</v>
      </c>
      <c r="J103" t="n">
        <v>0</v>
      </c>
      <c r="K103" t="n">
        <v>0</v>
      </c>
      <c r="L103" t="n">
        <v>0</v>
      </c>
      <c r="M103" t="n">
        <v>0</v>
      </c>
      <c r="N103" t="n">
        <v>0</v>
      </c>
      <c r="O103" t="n">
        <v>0</v>
      </c>
      <c r="P103" t="n">
        <v>0</v>
      </c>
      <c r="Q103" t="n">
        <v>0</v>
      </c>
      <c r="R103" s="2" t="inlineStr"/>
    </row>
    <row r="104" ht="15" customHeight="1">
      <c r="A104" t="inlineStr">
        <is>
          <t>A 2636-2022</t>
        </is>
      </c>
      <c r="B104" s="1" t="n">
        <v>44580.49780092593</v>
      </c>
      <c r="C104" s="1" t="n">
        <v>46180</v>
      </c>
      <c r="D104" t="inlineStr">
        <is>
          <t>SÖDERMANLANDS LÄN</t>
        </is>
      </c>
      <c r="E104" t="inlineStr">
        <is>
          <t>KATRINEHOLM</t>
        </is>
      </c>
      <c r="F104" t="inlineStr">
        <is>
          <t>Övriga Aktiebolag</t>
        </is>
      </c>
      <c r="G104" t="n">
        <v>2.5</v>
      </c>
      <c r="H104" t="n">
        <v>0</v>
      </c>
      <c r="I104" t="n">
        <v>0</v>
      </c>
      <c r="J104" t="n">
        <v>0</v>
      </c>
      <c r="K104" t="n">
        <v>0</v>
      </c>
      <c r="L104" t="n">
        <v>0</v>
      </c>
      <c r="M104" t="n">
        <v>0</v>
      </c>
      <c r="N104" t="n">
        <v>0</v>
      </c>
      <c r="O104" t="n">
        <v>0</v>
      </c>
      <c r="P104" t="n">
        <v>0</v>
      </c>
      <c r="Q104" t="n">
        <v>0</v>
      </c>
      <c r="R104" s="2" t="inlineStr"/>
    </row>
    <row r="105" ht="15" customHeight="1">
      <c r="A105" t="inlineStr">
        <is>
          <t>A 45274-2022</t>
        </is>
      </c>
      <c r="B105" s="1" t="n">
        <v>44844.52039351852</v>
      </c>
      <c r="C105" s="1" t="n">
        <v>46180</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61236-2021</t>
        </is>
      </c>
      <c r="B106" s="1" t="n">
        <v>44498.53755787037</v>
      </c>
      <c r="C106" s="1" t="n">
        <v>46180</v>
      </c>
      <c r="D106" t="inlineStr">
        <is>
          <t>SÖDERMANLANDS LÄN</t>
        </is>
      </c>
      <c r="E106" t="inlineStr">
        <is>
          <t>KATRINEHOLM</t>
        </is>
      </c>
      <c r="G106" t="n">
        <v>3.9</v>
      </c>
      <c r="H106" t="n">
        <v>0</v>
      </c>
      <c r="I106" t="n">
        <v>0</v>
      </c>
      <c r="J106" t="n">
        <v>0</v>
      </c>
      <c r="K106" t="n">
        <v>0</v>
      </c>
      <c r="L106" t="n">
        <v>0</v>
      </c>
      <c r="M106" t="n">
        <v>0</v>
      </c>
      <c r="N106" t="n">
        <v>0</v>
      </c>
      <c r="O106" t="n">
        <v>0</v>
      </c>
      <c r="P106" t="n">
        <v>0</v>
      </c>
      <c r="Q106" t="n">
        <v>0</v>
      </c>
      <c r="R106" s="2" t="inlineStr"/>
    </row>
    <row r="107" ht="15" customHeight="1">
      <c r="A107" t="inlineStr">
        <is>
          <t>A 31836-2021</t>
        </is>
      </c>
      <c r="B107" s="1" t="n">
        <v>44370.40364583334</v>
      </c>
      <c r="C107" s="1" t="n">
        <v>46180</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22197-2022</t>
        </is>
      </c>
      <c r="B108" s="1" t="n">
        <v>44712</v>
      </c>
      <c r="C108" s="1" t="n">
        <v>46180</v>
      </c>
      <c r="D108" t="inlineStr">
        <is>
          <t>SÖDERMANLANDS LÄN</t>
        </is>
      </c>
      <c r="E108" t="inlineStr">
        <is>
          <t>KATRINEHOLM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32632-2022</t>
        </is>
      </c>
      <c r="B109" s="1" t="n">
        <v>44783</v>
      </c>
      <c r="C109" s="1" t="n">
        <v>46180</v>
      </c>
      <c r="D109" t="inlineStr">
        <is>
          <t>SÖDERMANLANDS LÄN</t>
        </is>
      </c>
      <c r="E109" t="inlineStr">
        <is>
          <t>KATRINEHOLM</t>
        </is>
      </c>
      <c r="G109" t="n">
        <v>0.9</v>
      </c>
      <c r="H109" t="n">
        <v>0</v>
      </c>
      <c r="I109" t="n">
        <v>0</v>
      </c>
      <c r="J109" t="n">
        <v>0</v>
      </c>
      <c r="K109" t="n">
        <v>0</v>
      </c>
      <c r="L109" t="n">
        <v>0</v>
      </c>
      <c r="M109" t="n">
        <v>0</v>
      </c>
      <c r="N109" t="n">
        <v>0</v>
      </c>
      <c r="O109" t="n">
        <v>0</v>
      </c>
      <c r="P109" t="n">
        <v>0</v>
      </c>
      <c r="Q109" t="n">
        <v>0</v>
      </c>
      <c r="R109" s="2" t="inlineStr"/>
    </row>
    <row r="110" ht="15" customHeight="1">
      <c r="A110" t="inlineStr">
        <is>
          <t>A 32639-2022</t>
        </is>
      </c>
      <c r="B110" s="1" t="n">
        <v>44783</v>
      </c>
      <c r="C110" s="1" t="n">
        <v>46180</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52063-2021</t>
        </is>
      </c>
      <c r="B111" s="1" t="n">
        <v>44449</v>
      </c>
      <c r="C111" s="1" t="n">
        <v>46180</v>
      </c>
      <c r="D111" t="inlineStr">
        <is>
          <t>SÖDERMANLANDS LÄN</t>
        </is>
      </c>
      <c r="E111" t="inlineStr">
        <is>
          <t>KATRINEHOLM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32600-2022</t>
        </is>
      </c>
      <c r="B112" s="1" t="n">
        <v>44783</v>
      </c>
      <c r="C112" s="1" t="n">
        <v>46180</v>
      </c>
      <c r="D112" t="inlineStr">
        <is>
          <t>SÖDERMANLANDS LÄN</t>
        </is>
      </c>
      <c r="E112" t="inlineStr">
        <is>
          <t>KATRINEHOLM</t>
        </is>
      </c>
      <c r="G112" t="n">
        <v>1.1</v>
      </c>
      <c r="H112" t="n">
        <v>0</v>
      </c>
      <c r="I112" t="n">
        <v>0</v>
      </c>
      <c r="J112" t="n">
        <v>0</v>
      </c>
      <c r="K112" t="n">
        <v>0</v>
      </c>
      <c r="L112" t="n">
        <v>0</v>
      </c>
      <c r="M112" t="n">
        <v>0</v>
      </c>
      <c r="N112" t="n">
        <v>0</v>
      </c>
      <c r="O112" t="n">
        <v>0</v>
      </c>
      <c r="P112" t="n">
        <v>0</v>
      </c>
      <c r="Q112" t="n">
        <v>0</v>
      </c>
      <c r="R112" s="2" t="inlineStr"/>
    </row>
    <row r="113" ht="15" customHeight="1">
      <c r="A113" t="inlineStr">
        <is>
          <t>A 64261-2021</t>
        </is>
      </c>
      <c r="B113" s="1" t="n">
        <v>44510</v>
      </c>
      <c r="C113" s="1" t="n">
        <v>46180</v>
      </c>
      <c r="D113" t="inlineStr">
        <is>
          <t>SÖDERMANLANDS LÄN</t>
        </is>
      </c>
      <c r="E113" t="inlineStr">
        <is>
          <t>KATRINEHOLM</t>
        </is>
      </c>
      <c r="F113" t="inlineStr">
        <is>
          <t>Holmen skog AB</t>
        </is>
      </c>
      <c r="G113" t="n">
        <v>1.4</v>
      </c>
      <c r="H113" t="n">
        <v>0</v>
      </c>
      <c r="I113" t="n">
        <v>0</v>
      </c>
      <c r="J113" t="n">
        <v>0</v>
      </c>
      <c r="K113" t="n">
        <v>0</v>
      </c>
      <c r="L113" t="n">
        <v>0</v>
      </c>
      <c r="M113" t="n">
        <v>0</v>
      </c>
      <c r="N113" t="n">
        <v>0</v>
      </c>
      <c r="O113" t="n">
        <v>0</v>
      </c>
      <c r="P113" t="n">
        <v>0</v>
      </c>
      <c r="Q113" t="n">
        <v>0</v>
      </c>
      <c r="R113" s="2" t="inlineStr"/>
    </row>
    <row r="114" ht="15" customHeight="1">
      <c r="A114" t="inlineStr">
        <is>
          <t>A 6826-2022</t>
        </is>
      </c>
      <c r="B114" s="1" t="n">
        <v>44602.5965162037</v>
      </c>
      <c r="C114" s="1" t="n">
        <v>46180</v>
      </c>
      <c r="D114" t="inlineStr">
        <is>
          <t>SÖDERMANLANDS LÄN</t>
        </is>
      </c>
      <c r="E114" t="inlineStr">
        <is>
          <t>KATRINEHOLM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46640-2021</t>
        </is>
      </c>
      <c r="B115" s="1" t="n">
        <v>44445.58675925926</v>
      </c>
      <c r="C115" s="1" t="n">
        <v>46180</v>
      </c>
      <c r="D115" t="inlineStr">
        <is>
          <t>SÖDERMANLANDS LÄN</t>
        </is>
      </c>
      <c r="E115" t="inlineStr">
        <is>
          <t>KATRINEHOLM</t>
        </is>
      </c>
      <c r="G115" t="n">
        <v>5.6</v>
      </c>
      <c r="H115" t="n">
        <v>0</v>
      </c>
      <c r="I115" t="n">
        <v>0</v>
      </c>
      <c r="J115" t="n">
        <v>0</v>
      </c>
      <c r="K115" t="n">
        <v>0</v>
      </c>
      <c r="L115" t="n">
        <v>0</v>
      </c>
      <c r="M115" t="n">
        <v>0</v>
      </c>
      <c r="N115" t="n">
        <v>0</v>
      </c>
      <c r="O115" t="n">
        <v>0</v>
      </c>
      <c r="P115" t="n">
        <v>0</v>
      </c>
      <c r="Q115" t="n">
        <v>0</v>
      </c>
      <c r="R115" s="2" t="inlineStr"/>
    </row>
    <row r="116" ht="15" customHeight="1">
      <c r="A116" t="inlineStr">
        <is>
          <t>A 60475-2021</t>
        </is>
      </c>
      <c r="B116" s="1" t="n">
        <v>44495</v>
      </c>
      <c r="C116" s="1" t="n">
        <v>46180</v>
      </c>
      <c r="D116" t="inlineStr">
        <is>
          <t>SÖDERMANLANDS LÄN</t>
        </is>
      </c>
      <c r="E116" t="inlineStr">
        <is>
          <t>KATRINEHOLM</t>
        </is>
      </c>
      <c r="G116" t="n">
        <v>6.7</v>
      </c>
      <c r="H116" t="n">
        <v>0</v>
      </c>
      <c r="I116" t="n">
        <v>0</v>
      </c>
      <c r="J116" t="n">
        <v>0</v>
      </c>
      <c r="K116" t="n">
        <v>0</v>
      </c>
      <c r="L116" t="n">
        <v>0</v>
      </c>
      <c r="M116" t="n">
        <v>0</v>
      </c>
      <c r="N116" t="n">
        <v>0</v>
      </c>
      <c r="O116" t="n">
        <v>0</v>
      </c>
      <c r="P116" t="n">
        <v>0</v>
      </c>
      <c r="Q116" t="n">
        <v>0</v>
      </c>
      <c r="R116" s="2" t="inlineStr"/>
    </row>
    <row r="117" ht="15" customHeight="1">
      <c r="A117" t="inlineStr">
        <is>
          <t>A 60501-2021</t>
        </is>
      </c>
      <c r="B117" s="1" t="n">
        <v>44496</v>
      </c>
      <c r="C117" s="1" t="n">
        <v>46180</v>
      </c>
      <c r="D117" t="inlineStr">
        <is>
          <t>SÖDERMANLANDS LÄN</t>
        </is>
      </c>
      <c r="E117" t="inlineStr">
        <is>
          <t>KATRINEHOLM</t>
        </is>
      </c>
      <c r="G117" t="n">
        <v>2.2</v>
      </c>
      <c r="H117" t="n">
        <v>0</v>
      </c>
      <c r="I117" t="n">
        <v>0</v>
      </c>
      <c r="J117" t="n">
        <v>0</v>
      </c>
      <c r="K117" t="n">
        <v>0</v>
      </c>
      <c r="L117" t="n">
        <v>0</v>
      </c>
      <c r="M117" t="n">
        <v>0</v>
      </c>
      <c r="N117" t="n">
        <v>0</v>
      </c>
      <c r="O117" t="n">
        <v>0</v>
      </c>
      <c r="P117" t="n">
        <v>0</v>
      </c>
      <c r="Q117" t="n">
        <v>0</v>
      </c>
      <c r="R117" s="2" t="inlineStr"/>
    </row>
    <row r="118" ht="15" customHeight="1">
      <c r="A118" t="inlineStr">
        <is>
          <t>A 20847-2022</t>
        </is>
      </c>
      <c r="B118" s="1" t="n">
        <v>44701</v>
      </c>
      <c r="C118" s="1" t="n">
        <v>46180</v>
      </c>
      <c r="D118" t="inlineStr">
        <is>
          <t>SÖDERMANLANDS LÄN</t>
        </is>
      </c>
      <c r="E118" t="inlineStr">
        <is>
          <t>KATRINEHOLM</t>
        </is>
      </c>
      <c r="G118" t="n">
        <v>3.5</v>
      </c>
      <c r="H118" t="n">
        <v>0</v>
      </c>
      <c r="I118" t="n">
        <v>0</v>
      </c>
      <c r="J118" t="n">
        <v>0</v>
      </c>
      <c r="K118" t="n">
        <v>0</v>
      </c>
      <c r="L118" t="n">
        <v>0</v>
      </c>
      <c r="M118" t="n">
        <v>0</v>
      </c>
      <c r="N118" t="n">
        <v>0</v>
      </c>
      <c r="O118" t="n">
        <v>0</v>
      </c>
      <c r="P118" t="n">
        <v>0</v>
      </c>
      <c r="Q118" t="n">
        <v>0</v>
      </c>
      <c r="R118" s="2" t="inlineStr"/>
    </row>
    <row r="119" ht="15" customHeight="1">
      <c r="A119" t="inlineStr">
        <is>
          <t>A 17800-2022</t>
        </is>
      </c>
      <c r="B119" s="1" t="n">
        <v>44683</v>
      </c>
      <c r="C119" s="1" t="n">
        <v>46180</v>
      </c>
      <c r="D119" t="inlineStr">
        <is>
          <t>SÖDERMANLANDS LÄN</t>
        </is>
      </c>
      <c r="E119" t="inlineStr">
        <is>
          <t>KATRINEHOLM</t>
        </is>
      </c>
      <c r="G119" t="n">
        <v>8.1</v>
      </c>
      <c r="H119" t="n">
        <v>0</v>
      </c>
      <c r="I119" t="n">
        <v>0</v>
      </c>
      <c r="J119" t="n">
        <v>0</v>
      </c>
      <c r="K119" t="n">
        <v>0</v>
      </c>
      <c r="L119" t="n">
        <v>0</v>
      </c>
      <c r="M119" t="n">
        <v>0</v>
      </c>
      <c r="N119" t="n">
        <v>0</v>
      </c>
      <c r="O119" t="n">
        <v>0</v>
      </c>
      <c r="P119" t="n">
        <v>0</v>
      </c>
      <c r="Q119" t="n">
        <v>0</v>
      </c>
      <c r="R119" s="2" t="inlineStr"/>
    </row>
    <row r="120" ht="15" customHeight="1">
      <c r="A120" t="inlineStr">
        <is>
          <t>A 73142-2021</t>
        </is>
      </c>
      <c r="B120" s="1" t="n">
        <v>44550</v>
      </c>
      <c r="C120" s="1" t="n">
        <v>46180</v>
      </c>
      <c r="D120" t="inlineStr">
        <is>
          <t>SÖDERMANLANDS LÄN</t>
        </is>
      </c>
      <c r="E120" t="inlineStr">
        <is>
          <t>KATRINEHOLM</t>
        </is>
      </c>
      <c r="F120" t="inlineStr">
        <is>
          <t>Kyrkan</t>
        </is>
      </c>
      <c r="G120" t="n">
        <v>0.9</v>
      </c>
      <c r="H120" t="n">
        <v>0</v>
      </c>
      <c r="I120" t="n">
        <v>0</v>
      </c>
      <c r="J120" t="n">
        <v>0</v>
      </c>
      <c r="K120" t="n">
        <v>0</v>
      </c>
      <c r="L120" t="n">
        <v>0</v>
      </c>
      <c r="M120" t="n">
        <v>0</v>
      </c>
      <c r="N120" t="n">
        <v>0</v>
      </c>
      <c r="O120" t="n">
        <v>0</v>
      </c>
      <c r="P120" t="n">
        <v>0</v>
      </c>
      <c r="Q120" t="n">
        <v>0</v>
      </c>
      <c r="R120" s="2" t="inlineStr"/>
    </row>
    <row r="121" ht="15" customHeight="1">
      <c r="A121" t="inlineStr">
        <is>
          <t>A 55349-2021</t>
        </is>
      </c>
      <c r="B121" s="1" t="n">
        <v>44475</v>
      </c>
      <c r="C121" s="1" t="n">
        <v>46180</v>
      </c>
      <c r="D121" t="inlineStr">
        <is>
          <t>SÖDERMANLANDS LÄN</t>
        </is>
      </c>
      <c r="E121" t="inlineStr">
        <is>
          <t>KATRINEHOLM</t>
        </is>
      </c>
      <c r="G121" t="n">
        <v>2.8</v>
      </c>
      <c r="H121" t="n">
        <v>0</v>
      </c>
      <c r="I121" t="n">
        <v>0</v>
      </c>
      <c r="J121" t="n">
        <v>0</v>
      </c>
      <c r="K121" t="n">
        <v>0</v>
      </c>
      <c r="L121" t="n">
        <v>0</v>
      </c>
      <c r="M121" t="n">
        <v>0</v>
      </c>
      <c r="N121" t="n">
        <v>0</v>
      </c>
      <c r="O121" t="n">
        <v>0</v>
      </c>
      <c r="P121" t="n">
        <v>0</v>
      </c>
      <c r="Q121" t="n">
        <v>0</v>
      </c>
      <c r="R121" s="2" t="inlineStr"/>
    </row>
    <row r="122" ht="15" customHeight="1">
      <c r="A122" t="inlineStr">
        <is>
          <t>A 41863-2021</t>
        </is>
      </c>
      <c r="B122" s="1" t="n">
        <v>44426</v>
      </c>
      <c r="C122" s="1" t="n">
        <v>46180</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39001-2021</t>
        </is>
      </c>
      <c r="B123" s="1" t="n">
        <v>44412</v>
      </c>
      <c r="C123" s="1" t="n">
        <v>46180</v>
      </c>
      <c r="D123" t="inlineStr">
        <is>
          <t>SÖDERMANLANDS LÄN</t>
        </is>
      </c>
      <c r="E123" t="inlineStr">
        <is>
          <t>KATRINEHOLM</t>
        </is>
      </c>
      <c r="G123" t="n">
        <v>0.6</v>
      </c>
      <c r="H123" t="n">
        <v>0</v>
      </c>
      <c r="I123" t="n">
        <v>0</v>
      </c>
      <c r="J123" t="n">
        <v>0</v>
      </c>
      <c r="K123" t="n">
        <v>0</v>
      </c>
      <c r="L123" t="n">
        <v>0</v>
      </c>
      <c r="M123" t="n">
        <v>0</v>
      </c>
      <c r="N123" t="n">
        <v>0</v>
      </c>
      <c r="O123" t="n">
        <v>0</v>
      </c>
      <c r="P123" t="n">
        <v>0</v>
      </c>
      <c r="Q123" t="n">
        <v>0</v>
      </c>
      <c r="R123" s="2" t="inlineStr"/>
    </row>
    <row r="124" ht="15" customHeight="1">
      <c r="A124" t="inlineStr">
        <is>
          <t>A 34794-2021</t>
        </is>
      </c>
      <c r="B124" s="1" t="n">
        <v>44383.23978009259</v>
      </c>
      <c r="C124" s="1" t="n">
        <v>46180</v>
      </c>
      <c r="D124" t="inlineStr">
        <is>
          <t>SÖDERMANLANDS LÄN</t>
        </is>
      </c>
      <c r="E124" t="inlineStr">
        <is>
          <t>KATRINEHOLM</t>
        </is>
      </c>
      <c r="G124" t="n">
        <v>4.1</v>
      </c>
      <c r="H124" t="n">
        <v>0</v>
      </c>
      <c r="I124" t="n">
        <v>0</v>
      </c>
      <c r="J124" t="n">
        <v>0</v>
      </c>
      <c r="K124" t="n">
        <v>0</v>
      </c>
      <c r="L124" t="n">
        <v>0</v>
      </c>
      <c r="M124" t="n">
        <v>0</v>
      </c>
      <c r="N124" t="n">
        <v>0</v>
      </c>
      <c r="O124" t="n">
        <v>0</v>
      </c>
      <c r="P124" t="n">
        <v>0</v>
      </c>
      <c r="Q124" t="n">
        <v>0</v>
      </c>
      <c r="R124" s="2" t="inlineStr"/>
    </row>
    <row r="125" ht="15" customHeight="1">
      <c r="A125" t="inlineStr">
        <is>
          <t>A 39527-2021</t>
        </is>
      </c>
      <c r="B125" s="1" t="n">
        <v>44415</v>
      </c>
      <c r="C125" s="1" t="n">
        <v>46180</v>
      </c>
      <c r="D125" t="inlineStr">
        <is>
          <t>SÖDERMANLANDS LÄN</t>
        </is>
      </c>
      <c r="E125" t="inlineStr">
        <is>
          <t>KATRINEHOLM</t>
        </is>
      </c>
      <c r="G125" t="n">
        <v>0.9</v>
      </c>
      <c r="H125" t="n">
        <v>0</v>
      </c>
      <c r="I125" t="n">
        <v>0</v>
      </c>
      <c r="J125" t="n">
        <v>0</v>
      </c>
      <c r="K125" t="n">
        <v>0</v>
      </c>
      <c r="L125" t="n">
        <v>0</v>
      </c>
      <c r="M125" t="n">
        <v>0</v>
      </c>
      <c r="N125" t="n">
        <v>0</v>
      </c>
      <c r="O125" t="n">
        <v>0</v>
      </c>
      <c r="P125" t="n">
        <v>0</v>
      </c>
      <c r="Q125" t="n">
        <v>0</v>
      </c>
      <c r="R125" s="2" t="inlineStr"/>
    </row>
    <row r="126" ht="15" customHeight="1">
      <c r="A126" t="inlineStr">
        <is>
          <t>A 912-2022</t>
        </is>
      </c>
      <c r="B126" s="1" t="n">
        <v>44571</v>
      </c>
      <c r="C126" s="1" t="n">
        <v>46180</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49784-2021</t>
        </is>
      </c>
      <c r="B127" s="1" t="n">
        <v>44455</v>
      </c>
      <c r="C127" s="1" t="n">
        <v>46180</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39546-2021</t>
        </is>
      </c>
      <c r="B128" s="1" t="n">
        <v>44416.40457175926</v>
      </c>
      <c r="C128" s="1" t="n">
        <v>46180</v>
      </c>
      <c r="D128" t="inlineStr">
        <is>
          <t>SÖDERMANLANDS LÄN</t>
        </is>
      </c>
      <c r="E128" t="inlineStr">
        <is>
          <t>KATRINEHOLM</t>
        </is>
      </c>
      <c r="G128" t="n">
        <v>0.7</v>
      </c>
      <c r="H128" t="n">
        <v>0</v>
      </c>
      <c r="I128" t="n">
        <v>0</v>
      </c>
      <c r="J128" t="n">
        <v>0</v>
      </c>
      <c r="K128" t="n">
        <v>0</v>
      </c>
      <c r="L128" t="n">
        <v>0</v>
      </c>
      <c r="M128" t="n">
        <v>0</v>
      </c>
      <c r="N128" t="n">
        <v>0</v>
      </c>
      <c r="O128" t="n">
        <v>0</v>
      </c>
      <c r="P128" t="n">
        <v>0</v>
      </c>
      <c r="Q128" t="n">
        <v>0</v>
      </c>
      <c r="R128" s="2" t="inlineStr"/>
    </row>
    <row r="129" ht="15" customHeight="1">
      <c r="A129" t="inlineStr">
        <is>
          <t>A 6533-2022</t>
        </is>
      </c>
      <c r="B129" s="1" t="n">
        <v>44601</v>
      </c>
      <c r="C129" s="1" t="n">
        <v>46180</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49677-2021</t>
        </is>
      </c>
      <c r="B130" s="1" t="n">
        <v>44455</v>
      </c>
      <c r="C130" s="1" t="n">
        <v>46180</v>
      </c>
      <c r="D130" t="inlineStr">
        <is>
          <t>SÖDERMANLANDS LÄN</t>
        </is>
      </c>
      <c r="E130" t="inlineStr">
        <is>
          <t>KATRINEHOLM</t>
        </is>
      </c>
      <c r="G130" t="n">
        <v>2.1</v>
      </c>
      <c r="H130" t="n">
        <v>0</v>
      </c>
      <c r="I130" t="n">
        <v>0</v>
      </c>
      <c r="J130" t="n">
        <v>0</v>
      </c>
      <c r="K130" t="n">
        <v>0</v>
      </c>
      <c r="L130" t="n">
        <v>0</v>
      </c>
      <c r="M130" t="n">
        <v>0</v>
      </c>
      <c r="N130" t="n">
        <v>0</v>
      </c>
      <c r="O130" t="n">
        <v>0</v>
      </c>
      <c r="P130" t="n">
        <v>0</v>
      </c>
      <c r="Q130" t="n">
        <v>0</v>
      </c>
      <c r="R130" s="2" t="inlineStr"/>
    </row>
    <row r="131" ht="15" customHeight="1">
      <c r="A131" t="inlineStr">
        <is>
          <t>A 49735-2021</t>
        </is>
      </c>
      <c r="B131" s="1" t="n">
        <v>44455</v>
      </c>
      <c r="C131" s="1" t="n">
        <v>46180</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59212-2021</t>
        </is>
      </c>
      <c r="B132" s="1" t="n">
        <v>44490.60873842592</v>
      </c>
      <c r="C132" s="1" t="n">
        <v>46180</v>
      </c>
      <c r="D132" t="inlineStr">
        <is>
          <t>SÖDERMANLANDS LÄN</t>
        </is>
      </c>
      <c r="E132" t="inlineStr">
        <is>
          <t>KATRINEHOLM</t>
        </is>
      </c>
      <c r="G132" t="n">
        <v>2.6</v>
      </c>
      <c r="H132" t="n">
        <v>0</v>
      </c>
      <c r="I132" t="n">
        <v>0</v>
      </c>
      <c r="J132" t="n">
        <v>0</v>
      </c>
      <c r="K132" t="n">
        <v>0</v>
      </c>
      <c r="L132" t="n">
        <v>0</v>
      </c>
      <c r="M132" t="n">
        <v>0</v>
      </c>
      <c r="N132" t="n">
        <v>0</v>
      </c>
      <c r="O132" t="n">
        <v>0</v>
      </c>
      <c r="P132" t="n">
        <v>0</v>
      </c>
      <c r="Q132" t="n">
        <v>0</v>
      </c>
      <c r="R132" s="2" t="inlineStr"/>
    </row>
    <row r="133" ht="15" customHeight="1">
      <c r="A133" t="inlineStr">
        <is>
          <t>A 7550-2022</t>
        </is>
      </c>
      <c r="B133" s="1" t="n">
        <v>44607</v>
      </c>
      <c r="C133" s="1" t="n">
        <v>46180</v>
      </c>
      <c r="D133" t="inlineStr">
        <is>
          <t>SÖDERMANLANDS LÄN</t>
        </is>
      </c>
      <c r="E133" t="inlineStr">
        <is>
          <t>KATRINEHOLM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51602-2022</t>
        </is>
      </c>
      <c r="B134" s="1" t="n">
        <v>44871.69347222222</v>
      </c>
      <c r="C134" s="1" t="n">
        <v>46180</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25893-2022</t>
        </is>
      </c>
      <c r="B135" s="1" t="n">
        <v>44733.77543981482</v>
      </c>
      <c r="C135" s="1" t="n">
        <v>46180</v>
      </c>
      <c r="D135" t="inlineStr">
        <is>
          <t>SÖDERMANLANDS LÄN</t>
        </is>
      </c>
      <c r="E135" t="inlineStr">
        <is>
          <t>KATRINEHOLM</t>
        </is>
      </c>
      <c r="G135" t="n">
        <v>0.5</v>
      </c>
      <c r="H135" t="n">
        <v>0</v>
      </c>
      <c r="I135" t="n">
        <v>0</v>
      </c>
      <c r="J135" t="n">
        <v>0</v>
      </c>
      <c r="K135" t="n">
        <v>0</v>
      </c>
      <c r="L135" t="n">
        <v>0</v>
      </c>
      <c r="M135" t="n">
        <v>0</v>
      </c>
      <c r="N135" t="n">
        <v>0</v>
      </c>
      <c r="O135" t="n">
        <v>0</v>
      </c>
      <c r="P135" t="n">
        <v>0</v>
      </c>
      <c r="Q135" t="n">
        <v>0</v>
      </c>
      <c r="R135" s="2" t="inlineStr"/>
    </row>
    <row r="136" ht="15" customHeight="1">
      <c r="A136" t="inlineStr">
        <is>
          <t>A 24199-2022</t>
        </is>
      </c>
      <c r="B136" s="1" t="n">
        <v>44725</v>
      </c>
      <c r="C136" s="1" t="n">
        <v>46180</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38835-2021</t>
        </is>
      </c>
      <c r="B137" s="1" t="n">
        <v>44411</v>
      </c>
      <c r="C137" s="1" t="n">
        <v>46180</v>
      </c>
      <c r="D137" t="inlineStr">
        <is>
          <t>SÖDERMANLANDS LÄN</t>
        </is>
      </c>
      <c r="E137" t="inlineStr">
        <is>
          <t>KATRINEHOLM</t>
        </is>
      </c>
      <c r="G137" t="n">
        <v>10.2</v>
      </c>
      <c r="H137" t="n">
        <v>0</v>
      </c>
      <c r="I137" t="n">
        <v>0</v>
      </c>
      <c r="J137" t="n">
        <v>0</v>
      </c>
      <c r="K137" t="n">
        <v>0</v>
      </c>
      <c r="L137" t="n">
        <v>0</v>
      </c>
      <c r="M137" t="n">
        <v>0</v>
      </c>
      <c r="N137" t="n">
        <v>0</v>
      </c>
      <c r="O137" t="n">
        <v>0</v>
      </c>
      <c r="P137" t="n">
        <v>0</v>
      </c>
      <c r="Q137" t="n">
        <v>0</v>
      </c>
      <c r="R137" s="2" t="inlineStr"/>
    </row>
    <row r="138" ht="15" customHeight="1">
      <c r="A138" t="inlineStr">
        <is>
          <t>A 68206-2021</t>
        </is>
      </c>
      <c r="B138" s="1" t="n">
        <v>44526</v>
      </c>
      <c r="C138" s="1" t="n">
        <v>46180</v>
      </c>
      <c r="D138" t="inlineStr">
        <is>
          <t>SÖDERMANLANDS LÄN</t>
        </is>
      </c>
      <c r="E138" t="inlineStr">
        <is>
          <t>KATRINEHOLM</t>
        </is>
      </c>
      <c r="G138" t="n">
        <v>2.9</v>
      </c>
      <c r="H138" t="n">
        <v>0</v>
      </c>
      <c r="I138" t="n">
        <v>0</v>
      </c>
      <c r="J138" t="n">
        <v>0</v>
      </c>
      <c r="K138" t="n">
        <v>0</v>
      </c>
      <c r="L138" t="n">
        <v>0</v>
      </c>
      <c r="M138" t="n">
        <v>0</v>
      </c>
      <c r="N138" t="n">
        <v>0</v>
      </c>
      <c r="O138" t="n">
        <v>0</v>
      </c>
      <c r="P138" t="n">
        <v>0</v>
      </c>
      <c r="Q138" t="n">
        <v>0</v>
      </c>
      <c r="R138" s="2" t="inlineStr"/>
    </row>
    <row r="139" ht="15" customHeight="1">
      <c r="A139" t="inlineStr">
        <is>
          <t>A 69429-2021</t>
        </is>
      </c>
      <c r="B139" s="1" t="n">
        <v>44531</v>
      </c>
      <c r="C139" s="1" t="n">
        <v>46180</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34625-2022</t>
        </is>
      </c>
      <c r="B140" s="1" t="n">
        <v>44795.44392361111</v>
      </c>
      <c r="C140" s="1" t="n">
        <v>46180</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41642-2022</t>
        </is>
      </c>
      <c r="B141" s="1" t="n">
        <v>44827</v>
      </c>
      <c r="C141" s="1" t="n">
        <v>46180</v>
      </c>
      <c r="D141" t="inlineStr">
        <is>
          <t>SÖDERMANLANDS LÄN</t>
        </is>
      </c>
      <c r="E141" t="inlineStr">
        <is>
          <t>KATRINEHOLM</t>
        </is>
      </c>
      <c r="G141" t="n">
        <v>2.4</v>
      </c>
      <c r="H141" t="n">
        <v>0</v>
      </c>
      <c r="I141" t="n">
        <v>0</v>
      </c>
      <c r="J141" t="n">
        <v>0</v>
      </c>
      <c r="K141" t="n">
        <v>0</v>
      </c>
      <c r="L141" t="n">
        <v>0</v>
      </c>
      <c r="M141" t="n">
        <v>0</v>
      </c>
      <c r="N141" t="n">
        <v>0</v>
      </c>
      <c r="O141" t="n">
        <v>0</v>
      </c>
      <c r="P141" t="n">
        <v>0</v>
      </c>
      <c r="Q141" t="n">
        <v>0</v>
      </c>
      <c r="R141" s="2" t="inlineStr"/>
    </row>
    <row r="142" ht="15" customHeight="1">
      <c r="A142" t="inlineStr">
        <is>
          <t>A 52044-2021</t>
        </is>
      </c>
      <c r="B142" s="1" t="n">
        <v>44463</v>
      </c>
      <c r="C142" s="1" t="n">
        <v>46180</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36964-2021</t>
        </is>
      </c>
      <c r="B143" s="1" t="n">
        <v>44393</v>
      </c>
      <c r="C143" s="1" t="n">
        <v>46180</v>
      </c>
      <c r="D143" t="inlineStr">
        <is>
          <t>SÖDERMANLANDS LÄN</t>
        </is>
      </c>
      <c r="E143" t="inlineStr">
        <is>
          <t>KATRINEHOLM</t>
        </is>
      </c>
      <c r="G143" t="n">
        <v>3.5</v>
      </c>
      <c r="H143" t="n">
        <v>0</v>
      </c>
      <c r="I143" t="n">
        <v>0</v>
      </c>
      <c r="J143" t="n">
        <v>0</v>
      </c>
      <c r="K143" t="n">
        <v>0</v>
      </c>
      <c r="L143" t="n">
        <v>0</v>
      </c>
      <c r="M143" t="n">
        <v>0</v>
      </c>
      <c r="N143" t="n">
        <v>0</v>
      </c>
      <c r="O143" t="n">
        <v>0</v>
      </c>
      <c r="P143" t="n">
        <v>0</v>
      </c>
      <c r="Q143" t="n">
        <v>0</v>
      </c>
      <c r="R143" s="2" t="inlineStr"/>
    </row>
    <row r="144" ht="15" customHeight="1">
      <c r="A144" t="inlineStr">
        <is>
          <t>A 30981-2022</t>
        </is>
      </c>
      <c r="B144" s="1" t="n">
        <v>44768</v>
      </c>
      <c r="C144" s="1" t="n">
        <v>46180</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53822-2023</t>
        </is>
      </c>
      <c r="B145" s="1" t="n">
        <v>45231.40846064815</v>
      </c>
      <c r="C145" s="1" t="n">
        <v>46180</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6789-2022</t>
        </is>
      </c>
      <c r="B146" s="1" t="n">
        <v>44602</v>
      </c>
      <c r="C146" s="1" t="n">
        <v>46180</v>
      </c>
      <c r="D146" t="inlineStr">
        <is>
          <t>SÖDERMANLANDS LÄN</t>
        </is>
      </c>
      <c r="E146" t="inlineStr">
        <is>
          <t>KATRINEHOLM</t>
        </is>
      </c>
      <c r="G146" t="n">
        <v>4.6</v>
      </c>
      <c r="H146" t="n">
        <v>0</v>
      </c>
      <c r="I146" t="n">
        <v>0</v>
      </c>
      <c r="J146" t="n">
        <v>0</v>
      </c>
      <c r="K146" t="n">
        <v>0</v>
      </c>
      <c r="L146" t="n">
        <v>0</v>
      </c>
      <c r="M146" t="n">
        <v>0</v>
      </c>
      <c r="N146" t="n">
        <v>0</v>
      </c>
      <c r="O146" t="n">
        <v>0</v>
      </c>
      <c r="P146" t="n">
        <v>0</v>
      </c>
      <c r="Q146" t="n">
        <v>0</v>
      </c>
      <c r="R146" s="2" t="inlineStr"/>
    </row>
    <row r="147" ht="15" customHeight="1">
      <c r="A147" t="inlineStr">
        <is>
          <t>A 21576-2022</t>
        </is>
      </c>
      <c r="B147" s="1" t="n">
        <v>44706</v>
      </c>
      <c r="C147" s="1" t="n">
        <v>46180</v>
      </c>
      <c r="D147" t="inlineStr">
        <is>
          <t>SÖDERMANLANDS LÄN</t>
        </is>
      </c>
      <c r="E147" t="inlineStr">
        <is>
          <t>KATRINEHOLM</t>
        </is>
      </c>
      <c r="G147" t="n">
        <v>4.2</v>
      </c>
      <c r="H147" t="n">
        <v>0</v>
      </c>
      <c r="I147" t="n">
        <v>0</v>
      </c>
      <c r="J147" t="n">
        <v>0</v>
      </c>
      <c r="K147" t="n">
        <v>0</v>
      </c>
      <c r="L147" t="n">
        <v>0</v>
      </c>
      <c r="M147" t="n">
        <v>0</v>
      </c>
      <c r="N147" t="n">
        <v>0</v>
      </c>
      <c r="O147" t="n">
        <v>0</v>
      </c>
      <c r="P147" t="n">
        <v>0</v>
      </c>
      <c r="Q147" t="n">
        <v>0</v>
      </c>
      <c r="R147" s="2" t="inlineStr"/>
    </row>
    <row r="148" ht="15" customHeight="1">
      <c r="A148" t="inlineStr">
        <is>
          <t>A 43967-2022</t>
        </is>
      </c>
      <c r="B148" s="1" t="n">
        <v>44837</v>
      </c>
      <c r="C148" s="1" t="n">
        <v>46180</v>
      </c>
      <c r="D148" t="inlineStr">
        <is>
          <t>SÖDERMANLANDS LÄN</t>
        </is>
      </c>
      <c r="E148" t="inlineStr">
        <is>
          <t>KATRINEHOLM</t>
        </is>
      </c>
      <c r="G148" t="n">
        <v>6.2</v>
      </c>
      <c r="H148" t="n">
        <v>0</v>
      </c>
      <c r="I148" t="n">
        <v>0</v>
      </c>
      <c r="J148" t="n">
        <v>0</v>
      </c>
      <c r="K148" t="n">
        <v>0</v>
      </c>
      <c r="L148" t="n">
        <v>0</v>
      </c>
      <c r="M148" t="n">
        <v>0</v>
      </c>
      <c r="N148" t="n">
        <v>0</v>
      </c>
      <c r="O148" t="n">
        <v>0</v>
      </c>
      <c r="P148" t="n">
        <v>0</v>
      </c>
      <c r="Q148" t="n">
        <v>0</v>
      </c>
      <c r="R148" s="2" t="inlineStr"/>
    </row>
    <row r="149" ht="15" customHeight="1">
      <c r="A149" t="inlineStr">
        <is>
          <t>A 44012-2022</t>
        </is>
      </c>
      <c r="B149" s="1" t="n">
        <v>44838</v>
      </c>
      <c r="C149" s="1" t="n">
        <v>46180</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51835-2022</t>
        </is>
      </c>
      <c r="B150" s="1" t="n">
        <v>44872.57288194444</v>
      </c>
      <c r="C150" s="1" t="n">
        <v>46180</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24099-2022</t>
        </is>
      </c>
      <c r="B151" s="1" t="n">
        <v>44725</v>
      </c>
      <c r="C151" s="1" t="n">
        <v>46180</v>
      </c>
      <c r="D151" t="inlineStr">
        <is>
          <t>SÖDERMANLANDS LÄN</t>
        </is>
      </c>
      <c r="E151" t="inlineStr">
        <is>
          <t>KATRINEHOLM</t>
        </is>
      </c>
      <c r="G151" t="n">
        <v>1.5</v>
      </c>
      <c r="H151" t="n">
        <v>0</v>
      </c>
      <c r="I151" t="n">
        <v>0</v>
      </c>
      <c r="J151" t="n">
        <v>0</v>
      </c>
      <c r="K151" t="n">
        <v>0</v>
      </c>
      <c r="L151" t="n">
        <v>0</v>
      </c>
      <c r="M151" t="n">
        <v>0</v>
      </c>
      <c r="N151" t="n">
        <v>0</v>
      </c>
      <c r="O151" t="n">
        <v>0</v>
      </c>
      <c r="P151" t="n">
        <v>0</v>
      </c>
      <c r="Q151" t="n">
        <v>0</v>
      </c>
      <c r="R151" s="2" t="inlineStr"/>
    </row>
    <row r="152" ht="15" customHeight="1">
      <c r="A152" t="inlineStr">
        <is>
          <t>A 35088-2022</t>
        </is>
      </c>
      <c r="B152" s="1" t="n">
        <v>44797</v>
      </c>
      <c r="C152" s="1" t="n">
        <v>46180</v>
      </c>
      <c r="D152" t="inlineStr">
        <is>
          <t>SÖDERMANLANDS LÄN</t>
        </is>
      </c>
      <c r="E152" t="inlineStr">
        <is>
          <t>KATRINEHOLM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31684-2021</t>
        </is>
      </c>
      <c r="B153" s="1" t="n">
        <v>44369</v>
      </c>
      <c r="C153" s="1" t="n">
        <v>46180</v>
      </c>
      <c r="D153" t="inlineStr">
        <is>
          <t>SÖDERMANLANDS LÄN</t>
        </is>
      </c>
      <c r="E153" t="inlineStr">
        <is>
          <t>KATRINEHOLM</t>
        </is>
      </c>
      <c r="G153" t="n">
        <v>3.4</v>
      </c>
      <c r="H153" t="n">
        <v>0</v>
      </c>
      <c r="I153" t="n">
        <v>0</v>
      </c>
      <c r="J153" t="n">
        <v>0</v>
      </c>
      <c r="K153" t="n">
        <v>0</v>
      </c>
      <c r="L153" t="n">
        <v>0</v>
      </c>
      <c r="M153" t="n">
        <v>0</v>
      </c>
      <c r="N153" t="n">
        <v>0</v>
      </c>
      <c r="O153" t="n">
        <v>0</v>
      </c>
      <c r="P153" t="n">
        <v>0</v>
      </c>
      <c r="Q153" t="n">
        <v>0</v>
      </c>
      <c r="R153" s="2" t="inlineStr"/>
    </row>
    <row r="154" ht="15" customHeight="1">
      <c r="A154" t="inlineStr">
        <is>
          <t>A 2877-2022</t>
        </is>
      </c>
      <c r="B154" s="1" t="n">
        <v>44581</v>
      </c>
      <c r="C154" s="1" t="n">
        <v>46180</v>
      </c>
      <c r="D154" t="inlineStr">
        <is>
          <t>SÖDERMANLANDS LÄN</t>
        </is>
      </c>
      <c r="E154" t="inlineStr">
        <is>
          <t>KATRINEHOLM</t>
        </is>
      </c>
      <c r="G154" t="n">
        <v>10.3</v>
      </c>
      <c r="H154" t="n">
        <v>0</v>
      </c>
      <c r="I154" t="n">
        <v>0</v>
      </c>
      <c r="J154" t="n">
        <v>0</v>
      </c>
      <c r="K154" t="n">
        <v>0</v>
      </c>
      <c r="L154" t="n">
        <v>0</v>
      </c>
      <c r="M154" t="n">
        <v>0</v>
      </c>
      <c r="N154" t="n">
        <v>0</v>
      </c>
      <c r="O154" t="n">
        <v>0</v>
      </c>
      <c r="P154" t="n">
        <v>0</v>
      </c>
      <c r="Q154" t="n">
        <v>0</v>
      </c>
      <c r="R154" s="2" t="inlineStr"/>
    </row>
    <row r="155" ht="15" customHeight="1">
      <c r="A155" t="inlineStr">
        <is>
          <t>A 60596-2021</t>
        </is>
      </c>
      <c r="B155" s="1" t="n">
        <v>44496.58033564815</v>
      </c>
      <c r="C155" s="1" t="n">
        <v>46180</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33753-2022</t>
        </is>
      </c>
      <c r="B156" s="1" t="n">
        <v>44789</v>
      </c>
      <c r="C156" s="1" t="n">
        <v>46180</v>
      </c>
      <c r="D156" t="inlineStr">
        <is>
          <t>SÖDERMANLANDS LÄN</t>
        </is>
      </c>
      <c r="E156" t="inlineStr">
        <is>
          <t>KATRINEHOLM</t>
        </is>
      </c>
      <c r="G156" t="n">
        <v>4.9</v>
      </c>
      <c r="H156" t="n">
        <v>0</v>
      </c>
      <c r="I156" t="n">
        <v>0</v>
      </c>
      <c r="J156" t="n">
        <v>0</v>
      </c>
      <c r="K156" t="n">
        <v>0</v>
      </c>
      <c r="L156" t="n">
        <v>0</v>
      </c>
      <c r="M156" t="n">
        <v>0</v>
      </c>
      <c r="N156" t="n">
        <v>0</v>
      </c>
      <c r="O156" t="n">
        <v>0</v>
      </c>
      <c r="P156" t="n">
        <v>0</v>
      </c>
      <c r="Q156" t="n">
        <v>0</v>
      </c>
      <c r="R156" s="2" t="inlineStr"/>
    </row>
    <row r="157" ht="15" customHeight="1">
      <c r="A157" t="inlineStr">
        <is>
          <t>A 53791-2021</t>
        </is>
      </c>
      <c r="B157" s="1" t="n">
        <v>44467</v>
      </c>
      <c r="C157" s="1" t="n">
        <v>46180</v>
      </c>
      <c r="D157" t="inlineStr">
        <is>
          <t>SÖDERMANLANDS LÄN</t>
        </is>
      </c>
      <c r="E157" t="inlineStr">
        <is>
          <t>KATRINEHOLM</t>
        </is>
      </c>
      <c r="G157" t="n">
        <v>2.7</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46180</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38607-2021</t>
        </is>
      </c>
      <c r="B159" s="1" t="n">
        <v>44409.41428240741</v>
      </c>
      <c r="C159" s="1" t="n">
        <v>46180</v>
      </c>
      <c r="D159" t="inlineStr">
        <is>
          <t>SÖDERMANLANDS LÄN</t>
        </is>
      </c>
      <c r="E159" t="inlineStr">
        <is>
          <t>KATRINEHOLM</t>
        </is>
      </c>
      <c r="G159" t="n">
        <v>2.9</v>
      </c>
      <c r="H159" t="n">
        <v>0</v>
      </c>
      <c r="I159" t="n">
        <v>0</v>
      </c>
      <c r="J159" t="n">
        <v>0</v>
      </c>
      <c r="K159" t="n">
        <v>0</v>
      </c>
      <c r="L159" t="n">
        <v>0</v>
      </c>
      <c r="M159" t="n">
        <v>0</v>
      </c>
      <c r="N159" t="n">
        <v>0</v>
      </c>
      <c r="O159" t="n">
        <v>0</v>
      </c>
      <c r="P159" t="n">
        <v>0</v>
      </c>
      <c r="Q159" t="n">
        <v>0</v>
      </c>
      <c r="R159" s="2" t="inlineStr"/>
    </row>
    <row r="160" ht="15" customHeight="1">
      <c r="A160" t="inlineStr">
        <is>
          <t>A 7189-2022</t>
        </is>
      </c>
      <c r="B160" s="1" t="n">
        <v>44605</v>
      </c>
      <c r="C160" s="1" t="n">
        <v>46180</v>
      </c>
      <c r="D160" t="inlineStr">
        <is>
          <t>SÖDERMANLANDS LÄN</t>
        </is>
      </c>
      <c r="E160" t="inlineStr">
        <is>
          <t>KATRINEHOLM</t>
        </is>
      </c>
      <c r="G160" t="n">
        <v>1.8</v>
      </c>
      <c r="H160" t="n">
        <v>0</v>
      </c>
      <c r="I160" t="n">
        <v>0</v>
      </c>
      <c r="J160" t="n">
        <v>0</v>
      </c>
      <c r="K160" t="n">
        <v>0</v>
      </c>
      <c r="L160" t="n">
        <v>0</v>
      </c>
      <c r="M160" t="n">
        <v>0</v>
      </c>
      <c r="N160" t="n">
        <v>0</v>
      </c>
      <c r="O160" t="n">
        <v>0</v>
      </c>
      <c r="P160" t="n">
        <v>0</v>
      </c>
      <c r="Q160" t="n">
        <v>0</v>
      </c>
      <c r="R160" s="2" t="inlineStr"/>
    </row>
    <row r="161" ht="15" customHeight="1">
      <c r="A161" t="inlineStr">
        <is>
          <t>A 54698-2021</t>
        </is>
      </c>
      <c r="B161" s="1" t="n">
        <v>44473</v>
      </c>
      <c r="C161" s="1" t="n">
        <v>46180</v>
      </c>
      <c r="D161" t="inlineStr">
        <is>
          <t>SÖDERMANLANDS LÄN</t>
        </is>
      </c>
      <c r="E161" t="inlineStr">
        <is>
          <t>KATRINEHOLM</t>
        </is>
      </c>
      <c r="F161" t="inlineStr">
        <is>
          <t>Holmen skog AB</t>
        </is>
      </c>
      <c r="G161" t="n">
        <v>1.7</v>
      </c>
      <c r="H161" t="n">
        <v>0</v>
      </c>
      <c r="I161" t="n">
        <v>0</v>
      </c>
      <c r="J161" t="n">
        <v>0</v>
      </c>
      <c r="K161" t="n">
        <v>0</v>
      </c>
      <c r="L161" t="n">
        <v>0</v>
      </c>
      <c r="M161" t="n">
        <v>0</v>
      </c>
      <c r="N161" t="n">
        <v>0</v>
      </c>
      <c r="O161" t="n">
        <v>0</v>
      </c>
      <c r="P161" t="n">
        <v>0</v>
      </c>
      <c r="Q161" t="n">
        <v>0</v>
      </c>
      <c r="R161" s="2" t="inlineStr"/>
    </row>
    <row r="162" ht="15" customHeight="1">
      <c r="A162" t="inlineStr">
        <is>
          <t>A 12658-2022</t>
        </is>
      </c>
      <c r="B162" s="1" t="n">
        <v>44641</v>
      </c>
      <c r="C162" s="1" t="n">
        <v>46180</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46412-2022</t>
        </is>
      </c>
      <c r="B163" s="1" t="n">
        <v>44848.42216435185</v>
      </c>
      <c r="C163" s="1" t="n">
        <v>46180</v>
      </c>
      <c r="D163" t="inlineStr">
        <is>
          <t>SÖDERMANLANDS LÄN</t>
        </is>
      </c>
      <c r="E163" t="inlineStr">
        <is>
          <t>KATRINEHOLM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56572-2021</t>
        </is>
      </c>
      <c r="B164" s="1" t="n">
        <v>44480</v>
      </c>
      <c r="C164" s="1" t="n">
        <v>46180</v>
      </c>
      <c r="D164" t="inlineStr">
        <is>
          <t>SÖDERMANLANDS LÄN</t>
        </is>
      </c>
      <c r="E164" t="inlineStr">
        <is>
          <t>KATRINEHOLM</t>
        </is>
      </c>
      <c r="F164" t="inlineStr">
        <is>
          <t>Holmen skog AB</t>
        </is>
      </c>
      <c r="G164" t="n">
        <v>0.5</v>
      </c>
      <c r="H164" t="n">
        <v>0</v>
      </c>
      <c r="I164" t="n">
        <v>0</v>
      </c>
      <c r="J164" t="n">
        <v>0</v>
      </c>
      <c r="K164" t="n">
        <v>0</v>
      </c>
      <c r="L164" t="n">
        <v>0</v>
      </c>
      <c r="M164" t="n">
        <v>0</v>
      </c>
      <c r="N164" t="n">
        <v>0</v>
      </c>
      <c r="O164" t="n">
        <v>0</v>
      </c>
      <c r="P164" t="n">
        <v>0</v>
      </c>
      <c r="Q164" t="n">
        <v>0</v>
      </c>
      <c r="R164" s="2" t="inlineStr"/>
    </row>
    <row r="165" ht="15" customHeight="1">
      <c r="A165" t="inlineStr">
        <is>
          <t>A 9419-2022</t>
        </is>
      </c>
      <c r="B165" s="1" t="n">
        <v>44616</v>
      </c>
      <c r="C165" s="1" t="n">
        <v>46180</v>
      </c>
      <c r="D165" t="inlineStr">
        <is>
          <t>SÖDERMANLANDS LÄN</t>
        </is>
      </c>
      <c r="E165" t="inlineStr">
        <is>
          <t>KATRINEHOLM</t>
        </is>
      </c>
      <c r="F165" t="inlineStr">
        <is>
          <t>Övriga Aktiebolag</t>
        </is>
      </c>
      <c r="G165" t="n">
        <v>1.7</v>
      </c>
      <c r="H165" t="n">
        <v>0</v>
      </c>
      <c r="I165" t="n">
        <v>0</v>
      </c>
      <c r="J165" t="n">
        <v>0</v>
      </c>
      <c r="K165" t="n">
        <v>0</v>
      </c>
      <c r="L165" t="n">
        <v>0</v>
      </c>
      <c r="M165" t="n">
        <v>0</v>
      </c>
      <c r="N165" t="n">
        <v>0</v>
      </c>
      <c r="O165" t="n">
        <v>0</v>
      </c>
      <c r="P165" t="n">
        <v>0</v>
      </c>
      <c r="Q165" t="n">
        <v>0</v>
      </c>
      <c r="R165" s="2" t="inlineStr"/>
    </row>
    <row r="166" ht="15" customHeight="1">
      <c r="A166" t="inlineStr">
        <is>
          <t>A 51885-2022</t>
        </is>
      </c>
      <c r="B166" s="1" t="n">
        <v>44872.60384259259</v>
      </c>
      <c r="C166" s="1" t="n">
        <v>46180</v>
      </c>
      <c r="D166" t="inlineStr">
        <is>
          <t>SÖDERMANLANDS LÄN</t>
        </is>
      </c>
      <c r="E166" t="inlineStr">
        <is>
          <t>KATRINEHOLM</t>
        </is>
      </c>
      <c r="G166" t="n">
        <v>1</v>
      </c>
      <c r="H166" t="n">
        <v>0</v>
      </c>
      <c r="I166" t="n">
        <v>0</v>
      </c>
      <c r="J166" t="n">
        <v>0</v>
      </c>
      <c r="K166" t="n">
        <v>0</v>
      </c>
      <c r="L166" t="n">
        <v>0</v>
      </c>
      <c r="M166" t="n">
        <v>0</v>
      </c>
      <c r="N166" t="n">
        <v>0</v>
      </c>
      <c r="O166" t="n">
        <v>0</v>
      </c>
      <c r="P166" t="n">
        <v>0</v>
      </c>
      <c r="Q166" t="n">
        <v>0</v>
      </c>
      <c r="R166" s="2" t="inlineStr"/>
    </row>
    <row r="167" ht="15" customHeight="1">
      <c r="A167" t="inlineStr">
        <is>
          <t>A 42735-2022</t>
        </is>
      </c>
      <c r="B167" s="1" t="n">
        <v>44832</v>
      </c>
      <c r="C167" s="1" t="n">
        <v>46180</v>
      </c>
      <c r="D167" t="inlineStr">
        <is>
          <t>SÖDERMANLANDS LÄN</t>
        </is>
      </c>
      <c r="E167" t="inlineStr">
        <is>
          <t>KATRINEHOLM</t>
        </is>
      </c>
      <c r="G167" t="n">
        <v>0.5</v>
      </c>
      <c r="H167" t="n">
        <v>0</v>
      </c>
      <c r="I167" t="n">
        <v>0</v>
      </c>
      <c r="J167" t="n">
        <v>0</v>
      </c>
      <c r="K167" t="n">
        <v>0</v>
      </c>
      <c r="L167" t="n">
        <v>0</v>
      </c>
      <c r="M167" t="n">
        <v>0</v>
      </c>
      <c r="N167" t="n">
        <v>0</v>
      </c>
      <c r="O167" t="n">
        <v>0</v>
      </c>
      <c r="P167" t="n">
        <v>0</v>
      </c>
      <c r="Q167" t="n">
        <v>0</v>
      </c>
      <c r="R167" s="2" t="inlineStr"/>
    </row>
    <row r="168" ht="15" customHeight="1">
      <c r="A168" t="inlineStr">
        <is>
          <t>A 66801-2021</t>
        </is>
      </c>
      <c r="B168" s="1" t="n">
        <v>44522</v>
      </c>
      <c r="C168" s="1" t="n">
        <v>46180</v>
      </c>
      <c r="D168" t="inlineStr">
        <is>
          <t>SÖDERMANLANDS LÄN</t>
        </is>
      </c>
      <c r="E168" t="inlineStr">
        <is>
          <t>KATRINEHOLM</t>
        </is>
      </c>
      <c r="F168" t="inlineStr">
        <is>
          <t>Holmen skog AB</t>
        </is>
      </c>
      <c r="G168" t="n">
        <v>0.2</v>
      </c>
      <c r="H168" t="n">
        <v>0</v>
      </c>
      <c r="I168" t="n">
        <v>0</v>
      </c>
      <c r="J168" t="n">
        <v>0</v>
      </c>
      <c r="K168" t="n">
        <v>0</v>
      </c>
      <c r="L168" t="n">
        <v>0</v>
      </c>
      <c r="M168" t="n">
        <v>0</v>
      </c>
      <c r="N168" t="n">
        <v>0</v>
      </c>
      <c r="O168" t="n">
        <v>0</v>
      </c>
      <c r="P168" t="n">
        <v>0</v>
      </c>
      <c r="Q168" t="n">
        <v>0</v>
      </c>
      <c r="R168" s="2" t="inlineStr"/>
    </row>
    <row r="169" ht="15" customHeight="1">
      <c r="A169" t="inlineStr">
        <is>
          <t>A 45038-2022</t>
        </is>
      </c>
      <c r="B169" s="1" t="n">
        <v>44840</v>
      </c>
      <c r="C169" s="1" t="n">
        <v>46180</v>
      </c>
      <c r="D169" t="inlineStr">
        <is>
          <t>SÖDERMANLANDS LÄN</t>
        </is>
      </c>
      <c r="E169" t="inlineStr">
        <is>
          <t>KATRINEHOLM</t>
        </is>
      </c>
      <c r="G169" t="n">
        <v>3.6</v>
      </c>
      <c r="H169" t="n">
        <v>0</v>
      </c>
      <c r="I169" t="n">
        <v>0</v>
      </c>
      <c r="J169" t="n">
        <v>0</v>
      </c>
      <c r="K169" t="n">
        <v>0</v>
      </c>
      <c r="L169" t="n">
        <v>0</v>
      </c>
      <c r="M169" t="n">
        <v>0</v>
      </c>
      <c r="N169" t="n">
        <v>0</v>
      </c>
      <c r="O169" t="n">
        <v>0</v>
      </c>
      <c r="P169" t="n">
        <v>0</v>
      </c>
      <c r="Q169" t="n">
        <v>0</v>
      </c>
      <c r="R169" s="2" t="inlineStr"/>
    </row>
    <row r="170" ht="15" customHeight="1">
      <c r="A170" t="inlineStr">
        <is>
          <t>A 67351-2021</t>
        </is>
      </c>
      <c r="B170" s="1" t="n">
        <v>44523</v>
      </c>
      <c r="C170" s="1" t="n">
        <v>46180</v>
      </c>
      <c r="D170" t="inlineStr">
        <is>
          <t>SÖDERMANLANDS LÄN</t>
        </is>
      </c>
      <c r="E170" t="inlineStr">
        <is>
          <t>KATRINEHOLM</t>
        </is>
      </c>
      <c r="G170" t="n">
        <v>5.4</v>
      </c>
      <c r="H170" t="n">
        <v>0</v>
      </c>
      <c r="I170" t="n">
        <v>0</v>
      </c>
      <c r="J170" t="n">
        <v>0</v>
      </c>
      <c r="K170" t="n">
        <v>0</v>
      </c>
      <c r="L170" t="n">
        <v>0</v>
      </c>
      <c r="M170" t="n">
        <v>0</v>
      </c>
      <c r="N170" t="n">
        <v>0</v>
      </c>
      <c r="O170" t="n">
        <v>0</v>
      </c>
      <c r="P170" t="n">
        <v>0</v>
      </c>
      <c r="Q170" t="n">
        <v>0</v>
      </c>
      <c r="R170" s="2" t="inlineStr"/>
    </row>
    <row r="171" ht="15" customHeight="1">
      <c r="A171" t="inlineStr">
        <is>
          <t>A 32733-2021</t>
        </is>
      </c>
      <c r="B171" s="1" t="n">
        <v>44375</v>
      </c>
      <c r="C171" s="1" t="n">
        <v>46180</v>
      </c>
      <c r="D171" t="inlineStr">
        <is>
          <t>SÖDERMANLANDS LÄN</t>
        </is>
      </c>
      <c r="E171" t="inlineStr">
        <is>
          <t>KATRINEHOLM</t>
        </is>
      </c>
      <c r="G171" t="n">
        <v>9</v>
      </c>
      <c r="H171" t="n">
        <v>0</v>
      </c>
      <c r="I171" t="n">
        <v>0</v>
      </c>
      <c r="J171" t="n">
        <v>0</v>
      </c>
      <c r="K171" t="n">
        <v>0</v>
      </c>
      <c r="L171" t="n">
        <v>0</v>
      </c>
      <c r="M171" t="n">
        <v>0</v>
      </c>
      <c r="N171" t="n">
        <v>0</v>
      </c>
      <c r="O171" t="n">
        <v>0</v>
      </c>
      <c r="P171" t="n">
        <v>0</v>
      </c>
      <c r="Q171" t="n">
        <v>0</v>
      </c>
      <c r="R171" s="2" t="inlineStr"/>
      <c r="U171">
        <f>HYPERLINK("https://klasma.github.io/Logging_0483/knärot/A 32733-2021 karta knärot.png", "A 32733-2021")</f>
        <v/>
      </c>
      <c r="V171">
        <f>HYPERLINK("https://klasma.github.io/Logging_0483/klagomål/A 32733-2021 FSC-klagomål.docx", "A 32733-2021")</f>
        <v/>
      </c>
      <c r="W171">
        <f>HYPERLINK("https://klasma.github.io/Logging_0483/klagomålsmail/A 32733-2021 FSC-klagomål mail.docx", "A 32733-2021")</f>
        <v/>
      </c>
      <c r="X171">
        <f>HYPERLINK("https://klasma.github.io/Logging_0483/tillsyn/A 32733-2021 tillsynsbegäran.docx", "A 32733-2021")</f>
        <v/>
      </c>
      <c r="Y171">
        <f>HYPERLINK("https://klasma.github.io/Logging_0483/tillsynsmail/A 32733-2021 tillsynsbegäran mail.docx", "A 32733-2021")</f>
        <v/>
      </c>
    </row>
    <row r="172" ht="15" customHeight="1">
      <c r="A172" t="inlineStr">
        <is>
          <t>A 24098-2022</t>
        </is>
      </c>
      <c r="B172" s="1" t="n">
        <v>44725</v>
      </c>
      <c r="C172" s="1" t="n">
        <v>46180</v>
      </c>
      <c r="D172" t="inlineStr">
        <is>
          <t>SÖDERMANLANDS LÄN</t>
        </is>
      </c>
      <c r="E172" t="inlineStr">
        <is>
          <t>KATRINEHOLM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65162-2021</t>
        </is>
      </c>
      <c r="B173" s="1" t="n">
        <v>44512</v>
      </c>
      <c r="C173" s="1" t="n">
        <v>46180</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30567-2022</t>
        </is>
      </c>
      <c r="B174" s="1" t="n">
        <v>44762</v>
      </c>
      <c r="C174" s="1" t="n">
        <v>46180</v>
      </c>
      <c r="D174" t="inlineStr">
        <is>
          <t>SÖDERMANLANDS LÄN</t>
        </is>
      </c>
      <c r="E174" t="inlineStr">
        <is>
          <t>KATRINEHOLM</t>
        </is>
      </c>
      <c r="F174" t="inlineStr">
        <is>
          <t>Övriga Aktiebolag</t>
        </is>
      </c>
      <c r="G174" t="n">
        <v>0.5</v>
      </c>
      <c r="H174" t="n">
        <v>0</v>
      </c>
      <c r="I174" t="n">
        <v>0</v>
      </c>
      <c r="J174" t="n">
        <v>0</v>
      </c>
      <c r="K174" t="n">
        <v>0</v>
      </c>
      <c r="L174" t="n">
        <v>0</v>
      </c>
      <c r="M174" t="n">
        <v>0</v>
      </c>
      <c r="N174" t="n">
        <v>0</v>
      </c>
      <c r="O174" t="n">
        <v>0</v>
      </c>
      <c r="P174" t="n">
        <v>0</v>
      </c>
      <c r="Q174" t="n">
        <v>0</v>
      </c>
      <c r="R174" s="2" t="inlineStr"/>
    </row>
    <row r="175" ht="15" customHeight="1">
      <c r="A175" t="inlineStr">
        <is>
          <t>A 34040-2022</t>
        </is>
      </c>
      <c r="B175" s="1" t="n">
        <v>44790</v>
      </c>
      <c r="C175" s="1" t="n">
        <v>46180</v>
      </c>
      <c r="D175" t="inlineStr">
        <is>
          <t>SÖDERMANLANDS LÄN</t>
        </is>
      </c>
      <c r="E175" t="inlineStr">
        <is>
          <t>KATRINEHOLM</t>
        </is>
      </c>
      <c r="F175" t="inlineStr">
        <is>
          <t>Allmännings- och besparingsskogar</t>
        </is>
      </c>
      <c r="G175" t="n">
        <v>2.5</v>
      </c>
      <c r="H175" t="n">
        <v>0</v>
      </c>
      <c r="I175" t="n">
        <v>0</v>
      </c>
      <c r="J175" t="n">
        <v>0</v>
      </c>
      <c r="K175" t="n">
        <v>0</v>
      </c>
      <c r="L175" t="n">
        <v>0</v>
      </c>
      <c r="M175" t="n">
        <v>0</v>
      </c>
      <c r="N175" t="n">
        <v>0</v>
      </c>
      <c r="O175" t="n">
        <v>0</v>
      </c>
      <c r="P175" t="n">
        <v>0</v>
      </c>
      <c r="Q175" t="n">
        <v>0</v>
      </c>
      <c r="R175" s="2" t="inlineStr"/>
    </row>
    <row r="176" ht="15" customHeight="1">
      <c r="A176" t="inlineStr">
        <is>
          <t>A 45147-2021</t>
        </is>
      </c>
      <c r="B176" s="1" t="n">
        <v>44439</v>
      </c>
      <c r="C176" s="1" t="n">
        <v>46180</v>
      </c>
      <c r="D176" t="inlineStr">
        <is>
          <t>SÖDERMANLANDS LÄN</t>
        </is>
      </c>
      <c r="E176" t="inlineStr">
        <is>
          <t>KATRINEHOLM</t>
        </is>
      </c>
      <c r="G176" t="n">
        <v>3.2</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46180</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40749-2022</t>
        </is>
      </c>
      <c r="B178" s="1" t="n">
        <v>44824</v>
      </c>
      <c r="C178" s="1" t="n">
        <v>46180</v>
      </c>
      <c r="D178" t="inlineStr">
        <is>
          <t>SÖDERMANLANDS LÄN</t>
        </is>
      </c>
      <c r="E178" t="inlineStr">
        <is>
          <t>KATRINEHOLM</t>
        </is>
      </c>
      <c r="G178" t="n">
        <v>0.2</v>
      </c>
      <c r="H178" t="n">
        <v>0</v>
      </c>
      <c r="I178" t="n">
        <v>0</v>
      </c>
      <c r="J178" t="n">
        <v>0</v>
      </c>
      <c r="K178" t="n">
        <v>0</v>
      </c>
      <c r="L178" t="n">
        <v>0</v>
      </c>
      <c r="M178" t="n">
        <v>0</v>
      </c>
      <c r="N178" t="n">
        <v>0</v>
      </c>
      <c r="O178" t="n">
        <v>0</v>
      </c>
      <c r="P178" t="n">
        <v>0</v>
      </c>
      <c r="Q178" t="n">
        <v>0</v>
      </c>
      <c r="R178" s="2" t="inlineStr"/>
    </row>
    <row r="179" ht="15" customHeight="1">
      <c r="A179" t="inlineStr">
        <is>
          <t>A 35188-2022</t>
        </is>
      </c>
      <c r="B179" s="1" t="n">
        <v>44797</v>
      </c>
      <c r="C179" s="1" t="n">
        <v>46180</v>
      </c>
      <c r="D179" t="inlineStr">
        <is>
          <t>SÖDERMANLANDS LÄN</t>
        </is>
      </c>
      <c r="E179" t="inlineStr">
        <is>
          <t>KATRINEHOLM</t>
        </is>
      </c>
      <c r="G179" t="n">
        <v>3</v>
      </c>
      <c r="H179" t="n">
        <v>0</v>
      </c>
      <c r="I179" t="n">
        <v>0</v>
      </c>
      <c r="J179" t="n">
        <v>0</v>
      </c>
      <c r="K179" t="n">
        <v>0</v>
      </c>
      <c r="L179" t="n">
        <v>0</v>
      </c>
      <c r="M179" t="n">
        <v>0</v>
      </c>
      <c r="N179" t="n">
        <v>0</v>
      </c>
      <c r="O179" t="n">
        <v>0</v>
      </c>
      <c r="P179" t="n">
        <v>0</v>
      </c>
      <c r="Q179" t="n">
        <v>0</v>
      </c>
      <c r="R179" s="2" t="inlineStr"/>
    </row>
    <row r="180" ht="15" customHeight="1">
      <c r="A180" t="inlineStr">
        <is>
          <t>A 58473-2021</t>
        </is>
      </c>
      <c r="B180" s="1" t="n">
        <v>44488</v>
      </c>
      <c r="C180" s="1" t="n">
        <v>46180</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46569-2022</t>
        </is>
      </c>
      <c r="B181" s="1" t="n">
        <v>44847</v>
      </c>
      <c r="C181" s="1" t="n">
        <v>46180</v>
      </c>
      <c r="D181" t="inlineStr">
        <is>
          <t>SÖDERMANLANDS LÄN</t>
        </is>
      </c>
      <c r="E181" t="inlineStr">
        <is>
          <t>KATRINEHOLM</t>
        </is>
      </c>
      <c r="G181" t="n">
        <v>1.7</v>
      </c>
      <c r="H181" t="n">
        <v>0</v>
      </c>
      <c r="I181" t="n">
        <v>0</v>
      </c>
      <c r="J181" t="n">
        <v>0</v>
      </c>
      <c r="K181" t="n">
        <v>0</v>
      </c>
      <c r="L181" t="n">
        <v>0</v>
      </c>
      <c r="M181" t="n">
        <v>0</v>
      </c>
      <c r="N181" t="n">
        <v>0</v>
      </c>
      <c r="O181" t="n">
        <v>0</v>
      </c>
      <c r="P181" t="n">
        <v>0</v>
      </c>
      <c r="Q181" t="n">
        <v>0</v>
      </c>
      <c r="R181" s="2" t="inlineStr"/>
    </row>
    <row r="182" ht="15" customHeight="1">
      <c r="A182" t="inlineStr">
        <is>
          <t>A 6093-2025</t>
        </is>
      </c>
      <c r="B182" s="1" t="n">
        <v>45697</v>
      </c>
      <c r="C182" s="1" t="n">
        <v>46180</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41966-2023</t>
        </is>
      </c>
      <c r="B183" s="1" t="n">
        <v>45177</v>
      </c>
      <c r="C183" s="1" t="n">
        <v>46180</v>
      </c>
      <c r="D183" t="inlineStr">
        <is>
          <t>SÖDERMANLANDS LÄN</t>
        </is>
      </c>
      <c r="E183" t="inlineStr">
        <is>
          <t>KATRINEHOLM</t>
        </is>
      </c>
      <c r="G183" t="n">
        <v>36.9</v>
      </c>
      <c r="H183" t="n">
        <v>0</v>
      </c>
      <c r="I183" t="n">
        <v>0</v>
      </c>
      <c r="J183" t="n">
        <v>0</v>
      </c>
      <c r="K183" t="n">
        <v>0</v>
      </c>
      <c r="L183" t="n">
        <v>0</v>
      </c>
      <c r="M183" t="n">
        <v>0</v>
      </c>
      <c r="N183" t="n">
        <v>0</v>
      </c>
      <c r="O183" t="n">
        <v>0</v>
      </c>
      <c r="P183" t="n">
        <v>0</v>
      </c>
      <c r="Q183" t="n">
        <v>0</v>
      </c>
      <c r="R183" s="2" t="inlineStr"/>
    </row>
    <row r="184" ht="15" customHeight="1">
      <c r="A184" t="inlineStr">
        <is>
          <t>A 48682-2022</t>
        </is>
      </c>
      <c r="B184" s="1" t="n">
        <v>44859</v>
      </c>
      <c r="C184" s="1" t="n">
        <v>46180</v>
      </c>
      <c r="D184" t="inlineStr">
        <is>
          <t>SÖDERMANLANDS LÄN</t>
        </is>
      </c>
      <c r="E184" t="inlineStr">
        <is>
          <t>KATRINEHOLM</t>
        </is>
      </c>
      <c r="G184" t="n">
        <v>2</v>
      </c>
      <c r="H184" t="n">
        <v>0</v>
      </c>
      <c r="I184" t="n">
        <v>0</v>
      </c>
      <c r="J184" t="n">
        <v>0</v>
      </c>
      <c r="K184" t="n">
        <v>0</v>
      </c>
      <c r="L184" t="n">
        <v>0</v>
      </c>
      <c r="M184" t="n">
        <v>0</v>
      </c>
      <c r="N184" t="n">
        <v>0</v>
      </c>
      <c r="O184" t="n">
        <v>0</v>
      </c>
      <c r="P184" t="n">
        <v>0</v>
      </c>
      <c r="Q184" t="n">
        <v>0</v>
      </c>
      <c r="R184" s="2" t="inlineStr"/>
    </row>
    <row r="185" ht="15" customHeight="1">
      <c r="A185" t="inlineStr">
        <is>
          <t>A 36210-2022</t>
        </is>
      </c>
      <c r="B185" s="1" t="n">
        <v>44803.47950231482</v>
      </c>
      <c r="C185" s="1" t="n">
        <v>46180</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33538-2022</t>
        </is>
      </c>
      <c r="B186" s="1" t="n">
        <v>44789</v>
      </c>
      <c r="C186" s="1" t="n">
        <v>46180</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9693-2024</t>
        </is>
      </c>
      <c r="B187" s="1" t="n">
        <v>45362</v>
      </c>
      <c r="C187" s="1" t="n">
        <v>46180</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43964-2022</t>
        </is>
      </c>
      <c r="B188" s="1" t="n">
        <v>44837</v>
      </c>
      <c r="C188" s="1" t="n">
        <v>46180</v>
      </c>
      <c r="D188" t="inlineStr">
        <is>
          <t>SÖDERMANLANDS LÄN</t>
        </is>
      </c>
      <c r="E188" t="inlineStr">
        <is>
          <t>KATRINEHOLM</t>
        </is>
      </c>
      <c r="G188" t="n">
        <v>3.6</v>
      </c>
      <c r="H188" t="n">
        <v>0</v>
      </c>
      <c r="I188" t="n">
        <v>0</v>
      </c>
      <c r="J188" t="n">
        <v>0</v>
      </c>
      <c r="K188" t="n">
        <v>0</v>
      </c>
      <c r="L188" t="n">
        <v>0</v>
      </c>
      <c r="M188" t="n">
        <v>0</v>
      </c>
      <c r="N188" t="n">
        <v>0</v>
      </c>
      <c r="O188" t="n">
        <v>0</v>
      </c>
      <c r="P188" t="n">
        <v>0</v>
      </c>
      <c r="Q188" t="n">
        <v>0</v>
      </c>
      <c r="R188" s="2" t="inlineStr"/>
    </row>
    <row r="189" ht="15" customHeight="1">
      <c r="A189" t="inlineStr">
        <is>
          <t>A 42015-2022</t>
        </is>
      </c>
      <c r="B189" s="1" t="n">
        <v>44830.4649074074</v>
      </c>
      <c r="C189" s="1" t="n">
        <v>46180</v>
      </c>
      <c r="D189" t="inlineStr">
        <is>
          <t>SÖDERMANLANDS LÄN</t>
        </is>
      </c>
      <c r="E189" t="inlineStr">
        <is>
          <t>KATRINEHOLM</t>
        </is>
      </c>
      <c r="G189" t="n">
        <v>3.8</v>
      </c>
      <c r="H189" t="n">
        <v>0</v>
      </c>
      <c r="I189" t="n">
        <v>0</v>
      </c>
      <c r="J189" t="n">
        <v>0</v>
      </c>
      <c r="K189" t="n">
        <v>0</v>
      </c>
      <c r="L189" t="n">
        <v>0</v>
      </c>
      <c r="M189" t="n">
        <v>0</v>
      </c>
      <c r="N189" t="n">
        <v>0</v>
      </c>
      <c r="O189" t="n">
        <v>0</v>
      </c>
      <c r="P189" t="n">
        <v>0</v>
      </c>
      <c r="Q189" t="n">
        <v>0</v>
      </c>
      <c r="R189" s="2" t="inlineStr"/>
    </row>
    <row r="190" ht="15" customHeight="1">
      <c r="A190" t="inlineStr">
        <is>
          <t>A 42020-2022</t>
        </is>
      </c>
      <c r="B190" s="1" t="n">
        <v>44830.46849537037</v>
      </c>
      <c r="C190" s="1" t="n">
        <v>46180</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55846-2022</t>
        </is>
      </c>
      <c r="B191" s="1" t="n">
        <v>44888</v>
      </c>
      <c r="C191" s="1" t="n">
        <v>46180</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20460-2025</t>
        </is>
      </c>
      <c r="B192" s="1" t="n">
        <v>45775.52854166667</v>
      </c>
      <c r="C192" s="1" t="n">
        <v>46180</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53722-2023</t>
        </is>
      </c>
      <c r="B193" s="1" t="n">
        <v>45230</v>
      </c>
      <c r="C193" s="1" t="n">
        <v>46180</v>
      </c>
      <c r="D193" t="inlineStr">
        <is>
          <t>SÖDERMANLANDS LÄN</t>
        </is>
      </c>
      <c r="E193" t="inlineStr">
        <is>
          <t>KATRINEHOLM</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55863-2022</t>
        </is>
      </c>
      <c r="B194" s="1" t="n">
        <v>44888</v>
      </c>
      <c r="C194" s="1" t="n">
        <v>46180</v>
      </c>
      <c r="D194" t="inlineStr">
        <is>
          <t>SÖDERMANLANDS LÄN</t>
        </is>
      </c>
      <c r="E194" t="inlineStr">
        <is>
          <t>KATRINEHOLM</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55865-2022</t>
        </is>
      </c>
      <c r="B195" s="1" t="n">
        <v>44888</v>
      </c>
      <c r="C195" s="1" t="n">
        <v>46180</v>
      </c>
      <c r="D195" t="inlineStr">
        <is>
          <t>SÖDERMANLANDS LÄN</t>
        </is>
      </c>
      <c r="E195" t="inlineStr">
        <is>
          <t>KATRINEHOLM</t>
        </is>
      </c>
      <c r="G195" t="n">
        <v>9.1</v>
      </c>
      <c r="H195" t="n">
        <v>0</v>
      </c>
      <c r="I195" t="n">
        <v>0</v>
      </c>
      <c r="J195" t="n">
        <v>0</v>
      </c>
      <c r="K195" t="n">
        <v>0</v>
      </c>
      <c r="L195" t="n">
        <v>0</v>
      </c>
      <c r="M195" t="n">
        <v>0</v>
      </c>
      <c r="N195" t="n">
        <v>0</v>
      </c>
      <c r="O195" t="n">
        <v>0</v>
      </c>
      <c r="P195" t="n">
        <v>0</v>
      </c>
      <c r="Q195" t="n">
        <v>0</v>
      </c>
      <c r="R195" s="2" t="inlineStr"/>
    </row>
    <row r="196" ht="15" customHeight="1">
      <c r="A196" t="inlineStr">
        <is>
          <t>A 48520-2023</t>
        </is>
      </c>
      <c r="B196" s="1" t="n">
        <v>45208</v>
      </c>
      <c r="C196" s="1" t="n">
        <v>46180</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56661-2021</t>
        </is>
      </c>
      <c r="B197" s="1" t="n">
        <v>44481.24327546296</v>
      </c>
      <c r="C197" s="1" t="n">
        <v>46180</v>
      </c>
      <c r="D197" t="inlineStr">
        <is>
          <t>SÖDERMANLANDS LÄN</t>
        </is>
      </c>
      <c r="E197" t="inlineStr">
        <is>
          <t>KATRINEHOLM</t>
        </is>
      </c>
      <c r="G197" t="n">
        <v>5.8</v>
      </c>
      <c r="H197" t="n">
        <v>0</v>
      </c>
      <c r="I197" t="n">
        <v>0</v>
      </c>
      <c r="J197" t="n">
        <v>0</v>
      </c>
      <c r="K197" t="n">
        <v>0</v>
      </c>
      <c r="L197" t="n">
        <v>0</v>
      </c>
      <c r="M197" t="n">
        <v>0</v>
      </c>
      <c r="N197" t="n">
        <v>0</v>
      </c>
      <c r="O197" t="n">
        <v>0</v>
      </c>
      <c r="P197" t="n">
        <v>0</v>
      </c>
      <c r="Q197" t="n">
        <v>0</v>
      </c>
      <c r="R197" s="2" t="inlineStr"/>
    </row>
    <row r="198" ht="15" customHeight="1">
      <c r="A198" t="inlineStr">
        <is>
          <t>A 28394-2023</t>
        </is>
      </c>
      <c r="B198" s="1" t="n">
        <v>45100</v>
      </c>
      <c r="C198" s="1" t="n">
        <v>46180</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4122-2023</t>
        </is>
      </c>
      <c r="B199" s="1" t="n">
        <v>44952</v>
      </c>
      <c r="C199" s="1" t="n">
        <v>46180</v>
      </c>
      <c r="D199" t="inlineStr">
        <is>
          <t>SÖDERMANLANDS LÄN</t>
        </is>
      </c>
      <c r="E199" t="inlineStr">
        <is>
          <t>KATRINEHOLM</t>
        </is>
      </c>
      <c r="G199" t="n">
        <v>9</v>
      </c>
      <c r="H199" t="n">
        <v>0</v>
      </c>
      <c r="I199" t="n">
        <v>0</v>
      </c>
      <c r="J199" t="n">
        <v>0</v>
      </c>
      <c r="K199" t="n">
        <v>0</v>
      </c>
      <c r="L199" t="n">
        <v>0</v>
      </c>
      <c r="M199" t="n">
        <v>0</v>
      </c>
      <c r="N199" t="n">
        <v>0</v>
      </c>
      <c r="O199" t="n">
        <v>0</v>
      </c>
      <c r="P199" t="n">
        <v>0</v>
      </c>
      <c r="Q199" t="n">
        <v>0</v>
      </c>
      <c r="R199" s="2" t="inlineStr"/>
    </row>
    <row r="200" ht="15" customHeight="1">
      <c r="A200" t="inlineStr">
        <is>
          <t>A 55795-2023</t>
        </is>
      </c>
      <c r="B200" s="1" t="n">
        <v>45239.54861111111</v>
      </c>
      <c r="C200" s="1" t="n">
        <v>46180</v>
      </c>
      <c r="D200" t="inlineStr">
        <is>
          <t>SÖDERMANLANDS LÄN</t>
        </is>
      </c>
      <c r="E200" t="inlineStr">
        <is>
          <t>KATRINEHOLM</t>
        </is>
      </c>
      <c r="G200" t="n">
        <v>7</v>
      </c>
      <c r="H200" t="n">
        <v>0</v>
      </c>
      <c r="I200" t="n">
        <v>0</v>
      </c>
      <c r="J200" t="n">
        <v>0</v>
      </c>
      <c r="K200" t="n">
        <v>0</v>
      </c>
      <c r="L200" t="n">
        <v>0</v>
      </c>
      <c r="M200" t="n">
        <v>0</v>
      </c>
      <c r="N200" t="n">
        <v>0</v>
      </c>
      <c r="O200" t="n">
        <v>0</v>
      </c>
      <c r="P200" t="n">
        <v>0</v>
      </c>
      <c r="Q200" t="n">
        <v>0</v>
      </c>
      <c r="R200" s="2" t="inlineStr"/>
    </row>
    <row r="201" ht="15" customHeight="1">
      <c r="A201" t="inlineStr">
        <is>
          <t>A 24284-2024</t>
        </is>
      </c>
      <c r="B201" s="1" t="n">
        <v>45457</v>
      </c>
      <c r="C201" s="1" t="n">
        <v>46180</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33712-2022</t>
        </is>
      </c>
      <c r="B202" s="1" t="n">
        <v>44789</v>
      </c>
      <c r="C202" s="1" t="n">
        <v>46180</v>
      </c>
      <c r="D202" t="inlineStr">
        <is>
          <t>SÖDERMANLANDS LÄN</t>
        </is>
      </c>
      <c r="E202" t="inlineStr">
        <is>
          <t>KATRINEHOLM</t>
        </is>
      </c>
      <c r="G202" t="n">
        <v>4.3</v>
      </c>
      <c r="H202" t="n">
        <v>0</v>
      </c>
      <c r="I202" t="n">
        <v>0</v>
      </c>
      <c r="J202" t="n">
        <v>0</v>
      </c>
      <c r="K202" t="n">
        <v>0</v>
      </c>
      <c r="L202" t="n">
        <v>0</v>
      </c>
      <c r="M202" t="n">
        <v>0</v>
      </c>
      <c r="N202" t="n">
        <v>0</v>
      </c>
      <c r="O202" t="n">
        <v>0</v>
      </c>
      <c r="P202" t="n">
        <v>0</v>
      </c>
      <c r="Q202" t="n">
        <v>0</v>
      </c>
      <c r="R202" s="2" t="inlineStr"/>
    </row>
    <row r="203" ht="15" customHeight="1">
      <c r="A203" t="inlineStr">
        <is>
          <t>A 55034-2021</t>
        </is>
      </c>
      <c r="B203" s="1" t="n">
        <v>44474</v>
      </c>
      <c r="C203" s="1" t="n">
        <v>46180</v>
      </c>
      <c r="D203" t="inlineStr">
        <is>
          <t>SÖDERMANLANDS LÄN</t>
        </is>
      </c>
      <c r="E203" t="inlineStr">
        <is>
          <t>KATRINEHOLM</t>
        </is>
      </c>
      <c r="G203" t="n">
        <v>5</v>
      </c>
      <c r="H203" t="n">
        <v>0</v>
      </c>
      <c r="I203" t="n">
        <v>0</v>
      </c>
      <c r="J203" t="n">
        <v>0</v>
      </c>
      <c r="K203" t="n">
        <v>0</v>
      </c>
      <c r="L203" t="n">
        <v>0</v>
      </c>
      <c r="M203" t="n">
        <v>0</v>
      </c>
      <c r="N203" t="n">
        <v>0</v>
      </c>
      <c r="O203" t="n">
        <v>0</v>
      </c>
      <c r="P203" t="n">
        <v>0</v>
      </c>
      <c r="Q203" t="n">
        <v>0</v>
      </c>
      <c r="R203" s="2" t="inlineStr"/>
    </row>
    <row r="204" ht="15" customHeight="1">
      <c r="A204" t="inlineStr">
        <is>
          <t>A 33717-2022</t>
        </is>
      </c>
      <c r="B204" s="1" t="n">
        <v>44789</v>
      </c>
      <c r="C204" s="1" t="n">
        <v>46180</v>
      </c>
      <c r="D204" t="inlineStr">
        <is>
          <t>SÖDERMANLANDS LÄN</t>
        </is>
      </c>
      <c r="E204" t="inlineStr">
        <is>
          <t>KATRINEHOLM</t>
        </is>
      </c>
      <c r="G204" t="n">
        <v>4.4</v>
      </c>
      <c r="H204" t="n">
        <v>0</v>
      </c>
      <c r="I204" t="n">
        <v>0</v>
      </c>
      <c r="J204" t="n">
        <v>0</v>
      </c>
      <c r="K204" t="n">
        <v>0</v>
      </c>
      <c r="L204" t="n">
        <v>0</v>
      </c>
      <c r="M204" t="n">
        <v>0</v>
      </c>
      <c r="N204" t="n">
        <v>0</v>
      </c>
      <c r="O204" t="n">
        <v>0</v>
      </c>
      <c r="P204" t="n">
        <v>0</v>
      </c>
      <c r="Q204" t="n">
        <v>0</v>
      </c>
      <c r="R204" s="2" t="inlineStr"/>
    </row>
    <row r="205" ht="15" customHeight="1">
      <c r="A205" t="inlineStr">
        <is>
          <t>A 29502-2023</t>
        </is>
      </c>
      <c r="B205" s="1" t="n">
        <v>45106</v>
      </c>
      <c r="C205" s="1" t="n">
        <v>46180</v>
      </c>
      <c r="D205" t="inlineStr">
        <is>
          <t>SÖDERMANLANDS LÄN</t>
        </is>
      </c>
      <c r="E205" t="inlineStr">
        <is>
          <t>KATRINEHOLM</t>
        </is>
      </c>
      <c r="G205" t="n">
        <v>2.3</v>
      </c>
      <c r="H205" t="n">
        <v>0</v>
      </c>
      <c r="I205" t="n">
        <v>0</v>
      </c>
      <c r="J205" t="n">
        <v>0</v>
      </c>
      <c r="K205" t="n">
        <v>0</v>
      </c>
      <c r="L205" t="n">
        <v>0</v>
      </c>
      <c r="M205" t="n">
        <v>0</v>
      </c>
      <c r="N205" t="n">
        <v>0</v>
      </c>
      <c r="O205" t="n">
        <v>0</v>
      </c>
      <c r="P205" t="n">
        <v>0</v>
      </c>
      <c r="Q205" t="n">
        <v>0</v>
      </c>
      <c r="R205" s="2" t="inlineStr"/>
    </row>
    <row r="206" ht="15" customHeight="1">
      <c r="A206" t="inlineStr">
        <is>
          <t>A 42111-2022</t>
        </is>
      </c>
      <c r="B206" s="1" t="n">
        <v>44830</v>
      </c>
      <c r="C206" s="1" t="n">
        <v>46180</v>
      </c>
      <c r="D206" t="inlineStr">
        <is>
          <t>SÖDERMANLANDS LÄN</t>
        </is>
      </c>
      <c r="E206" t="inlineStr">
        <is>
          <t>KATRINEHOLM</t>
        </is>
      </c>
      <c r="G206" t="n">
        <v>2.5</v>
      </c>
      <c r="H206" t="n">
        <v>0</v>
      </c>
      <c r="I206" t="n">
        <v>0</v>
      </c>
      <c r="J206" t="n">
        <v>0</v>
      </c>
      <c r="K206" t="n">
        <v>0</v>
      </c>
      <c r="L206" t="n">
        <v>0</v>
      </c>
      <c r="M206" t="n">
        <v>0</v>
      </c>
      <c r="N206" t="n">
        <v>0</v>
      </c>
      <c r="O206" t="n">
        <v>0</v>
      </c>
      <c r="P206" t="n">
        <v>0</v>
      </c>
      <c r="Q206" t="n">
        <v>0</v>
      </c>
      <c r="R206" s="2" t="inlineStr"/>
    </row>
    <row r="207" ht="15" customHeight="1">
      <c r="A207" t="inlineStr">
        <is>
          <t>A 33752-2023</t>
        </is>
      </c>
      <c r="B207" s="1" t="n">
        <v>45120</v>
      </c>
      <c r="C207" s="1" t="n">
        <v>46180</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36767-2022</t>
        </is>
      </c>
      <c r="B208" s="1" t="n">
        <v>44805</v>
      </c>
      <c r="C208" s="1" t="n">
        <v>46180</v>
      </c>
      <c r="D208" t="inlineStr">
        <is>
          <t>SÖDERMANLANDS LÄN</t>
        </is>
      </c>
      <c r="E208" t="inlineStr">
        <is>
          <t>KATRINEHOLM</t>
        </is>
      </c>
      <c r="G208" t="n">
        <v>1.1</v>
      </c>
      <c r="H208" t="n">
        <v>0</v>
      </c>
      <c r="I208" t="n">
        <v>0</v>
      </c>
      <c r="J208" t="n">
        <v>0</v>
      </c>
      <c r="K208" t="n">
        <v>0</v>
      </c>
      <c r="L208" t="n">
        <v>0</v>
      </c>
      <c r="M208" t="n">
        <v>0</v>
      </c>
      <c r="N208" t="n">
        <v>0</v>
      </c>
      <c r="O208" t="n">
        <v>0</v>
      </c>
      <c r="P208" t="n">
        <v>0</v>
      </c>
      <c r="Q208" t="n">
        <v>0</v>
      </c>
      <c r="R208" s="2" t="inlineStr"/>
    </row>
    <row r="209" ht="15" customHeight="1">
      <c r="A209" t="inlineStr">
        <is>
          <t>A 55122-2022</t>
        </is>
      </c>
      <c r="B209" s="1" t="n">
        <v>44886.65092592593</v>
      </c>
      <c r="C209" s="1" t="n">
        <v>46180</v>
      </c>
      <c r="D209" t="inlineStr">
        <is>
          <t>SÖDERMANLANDS LÄN</t>
        </is>
      </c>
      <c r="E209" t="inlineStr">
        <is>
          <t>KATRINEHOLM</t>
        </is>
      </c>
      <c r="G209" t="n">
        <v>6.5</v>
      </c>
      <c r="H209" t="n">
        <v>0</v>
      </c>
      <c r="I209" t="n">
        <v>0</v>
      </c>
      <c r="J209" t="n">
        <v>0</v>
      </c>
      <c r="K209" t="n">
        <v>0</v>
      </c>
      <c r="L209" t="n">
        <v>0</v>
      </c>
      <c r="M209" t="n">
        <v>0</v>
      </c>
      <c r="N209" t="n">
        <v>0</v>
      </c>
      <c r="O209" t="n">
        <v>0</v>
      </c>
      <c r="P209" t="n">
        <v>0</v>
      </c>
      <c r="Q209" t="n">
        <v>0</v>
      </c>
      <c r="R209" s="2" t="inlineStr"/>
    </row>
    <row r="210" ht="15" customHeight="1">
      <c r="A210" t="inlineStr">
        <is>
          <t>A 17746-2024</t>
        </is>
      </c>
      <c r="B210" s="1" t="n">
        <v>45415</v>
      </c>
      <c r="C210" s="1" t="n">
        <v>46180</v>
      </c>
      <c r="D210" t="inlineStr">
        <is>
          <t>SÖDERMANLANDS LÄN</t>
        </is>
      </c>
      <c r="E210" t="inlineStr">
        <is>
          <t>KATRINEHOLM</t>
        </is>
      </c>
      <c r="G210" t="n">
        <v>7.8</v>
      </c>
      <c r="H210" t="n">
        <v>0</v>
      </c>
      <c r="I210" t="n">
        <v>0</v>
      </c>
      <c r="J210" t="n">
        <v>0</v>
      </c>
      <c r="K210" t="n">
        <v>0</v>
      </c>
      <c r="L210" t="n">
        <v>0</v>
      </c>
      <c r="M210" t="n">
        <v>0</v>
      </c>
      <c r="N210" t="n">
        <v>0</v>
      </c>
      <c r="O210" t="n">
        <v>0</v>
      </c>
      <c r="P210" t="n">
        <v>0</v>
      </c>
      <c r="Q210" t="n">
        <v>0</v>
      </c>
      <c r="R210" s="2" t="inlineStr"/>
    </row>
    <row r="211" ht="15" customHeight="1">
      <c r="A211" t="inlineStr">
        <is>
          <t>A 45376-2022</t>
        </is>
      </c>
      <c r="B211" s="1" t="n">
        <v>44844</v>
      </c>
      <c r="C211" s="1" t="n">
        <v>46180</v>
      </c>
      <c r="D211" t="inlineStr">
        <is>
          <t>SÖDERMANLANDS LÄN</t>
        </is>
      </c>
      <c r="E211" t="inlineStr">
        <is>
          <t>KATRINEHOLM</t>
        </is>
      </c>
      <c r="G211" t="n">
        <v>4.7</v>
      </c>
      <c r="H211" t="n">
        <v>0</v>
      </c>
      <c r="I211" t="n">
        <v>0</v>
      </c>
      <c r="J211" t="n">
        <v>0</v>
      </c>
      <c r="K211" t="n">
        <v>0</v>
      </c>
      <c r="L211" t="n">
        <v>0</v>
      </c>
      <c r="M211" t="n">
        <v>0</v>
      </c>
      <c r="N211" t="n">
        <v>0</v>
      </c>
      <c r="O211" t="n">
        <v>0</v>
      </c>
      <c r="P211" t="n">
        <v>0</v>
      </c>
      <c r="Q211" t="n">
        <v>0</v>
      </c>
      <c r="R211" s="2" t="inlineStr"/>
    </row>
    <row r="212" ht="15" customHeight="1">
      <c r="A212" t="inlineStr">
        <is>
          <t>A 51128-2021</t>
        </is>
      </c>
      <c r="B212" s="1" t="n">
        <v>44460</v>
      </c>
      <c r="C212" s="1" t="n">
        <v>46180</v>
      </c>
      <c r="D212" t="inlineStr">
        <is>
          <t>SÖDERMANLANDS LÄN</t>
        </is>
      </c>
      <c r="E212" t="inlineStr">
        <is>
          <t>KATRINEHOLM</t>
        </is>
      </c>
      <c r="G212" t="n">
        <v>7.8</v>
      </c>
      <c r="H212" t="n">
        <v>0</v>
      </c>
      <c r="I212" t="n">
        <v>0</v>
      </c>
      <c r="J212" t="n">
        <v>0</v>
      </c>
      <c r="K212" t="n">
        <v>0</v>
      </c>
      <c r="L212" t="n">
        <v>0</v>
      </c>
      <c r="M212" t="n">
        <v>0</v>
      </c>
      <c r="N212" t="n">
        <v>0</v>
      </c>
      <c r="O212" t="n">
        <v>0</v>
      </c>
      <c r="P212" t="n">
        <v>0</v>
      </c>
      <c r="Q212" t="n">
        <v>0</v>
      </c>
      <c r="R212" s="2" t="inlineStr"/>
    </row>
    <row r="213" ht="15" customHeight="1">
      <c r="A213" t="inlineStr">
        <is>
          <t>A 3980-2024</t>
        </is>
      </c>
      <c r="B213" s="1" t="n">
        <v>45322</v>
      </c>
      <c r="C213" s="1" t="n">
        <v>46180</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46180</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64713-2023</t>
        </is>
      </c>
      <c r="B215" s="1" t="n">
        <v>45281</v>
      </c>
      <c r="C215" s="1" t="n">
        <v>46180</v>
      </c>
      <c r="D215" t="inlineStr">
        <is>
          <t>SÖDERMANLANDS LÄN</t>
        </is>
      </c>
      <c r="E215" t="inlineStr">
        <is>
          <t>KATRINEHOLM</t>
        </is>
      </c>
      <c r="G215" t="n">
        <v>4.9</v>
      </c>
      <c r="H215" t="n">
        <v>0</v>
      </c>
      <c r="I215" t="n">
        <v>0</v>
      </c>
      <c r="J215" t="n">
        <v>0</v>
      </c>
      <c r="K215" t="n">
        <v>0</v>
      </c>
      <c r="L215" t="n">
        <v>0</v>
      </c>
      <c r="M215" t="n">
        <v>0</v>
      </c>
      <c r="N215" t="n">
        <v>0</v>
      </c>
      <c r="O215" t="n">
        <v>0</v>
      </c>
      <c r="P215" t="n">
        <v>0</v>
      </c>
      <c r="Q215" t="n">
        <v>0</v>
      </c>
      <c r="R215" s="2" t="inlineStr"/>
    </row>
    <row r="216" ht="15" customHeight="1">
      <c r="A216" t="inlineStr">
        <is>
          <t>A 64605-2023</t>
        </is>
      </c>
      <c r="B216" s="1" t="n">
        <v>45281</v>
      </c>
      <c r="C216" s="1" t="n">
        <v>46180</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51264-2021</t>
        </is>
      </c>
      <c r="B217" s="1" t="n">
        <v>44461</v>
      </c>
      <c r="C217" s="1" t="n">
        <v>46180</v>
      </c>
      <c r="D217" t="inlineStr">
        <is>
          <t>SÖDERMANLANDS LÄN</t>
        </is>
      </c>
      <c r="E217" t="inlineStr">
        <is>
          <t>KATRINEHOLM</t>
        </is>
      </c>
      <c r="G217" t="n">
        <v>3.1</v>
      </c>
      <c r="H217" t="n">
        <v>0</v>
      </c>
      <c r="I217" t="n">
        <v>0</v>
      </c>
      <c r="J217" t="n">
        <v>0</v>
      </c>
      <c r="K217" t="n">
        <v>0</v>
      </c>
      <c r="L217" t="n">
        <v>0</v>
      </c>
      <c r="M217" t="n">
        <v>0</v>
      </c>
      <c r="N217" t="n">
        <v>0</v>
      </c>
      <c r="O217" t="n">
        <v>0</v>
      </c>
      <c r="P217" t="n">
        <v>0</v>
      </c>
      <c r="Q217" t="n">
        <v>0</v>
      </c>
      <c r="R217" s="2" t="inlineStr"/>
    </row>
    <row r="218" ht="15" customHeight="1">
      <c r="A218" t="inlineStr">
        <is>
          <t>A 60677-2021</t>
        </is>
      </c>
      <c r="B218" s="1" t="n">
        <v>44495</v>
      </c>
      <c r="C218" s="1" t="n">
        <v>46180</v>
      </c>
      <c r="D218" t="inlineStr">
        <is>
          <t>SÖDERMANLANDS LÄN</t>
        </is>
      </c>
      <c r="E218" t="inlineStr">
        <is>
          <t>KATRINEHOLM</t>
        </is>
      </c>
      <c r="G218" t="n">
        <v>1.8</v>
      </c>
      <c r="H218" t="n">
        <v>0</v>
      </c>
      <c r="I218" t="n">
        <v>0</v>
      </c>
      <c r="J218" t="n">
        <v>0</v>
      </c>
      <c r="K218" t="n">
        <v>0</v>
      </c>
      <c r="L218" t="n">
        <v>0</v>
      </c>
      <c r="M218" t="n">
        <v>0</v>
      </c>
      <c r="N218" t="n">
        <v>0</v>
      </c>
      <c r="O218" t="n">
        <v>0</v>
      </c>
      <c r="P218" t="n">
        <v>0</v>
      </c>
      <c r="Q218" t="n">
        <v>0</v>
      </c>
      <c r="R218" s="2" t="inlineStr"/>
    </row>
    <row r="219" ht="15" customHeight="1">
      <c r="A219" t="inlineStr">
        <is>
          <t>A 43088-2022</t>
        </is>
      </c>
      <c r="B219" s="1" t="n">
        <v>44833</v>
      </c>
      <c r="C219" s="1" t="n">
        <v>46180</v>
      </c>
      <c r="D219" t="inlineStr">
        <is>
          <t>SÖDERMANLANDS LÄN</t>
        </is>
      </c>
      <c r="E219" t="inlineStr">
        <is>
          <t>KATRINEHOLM</t>
        </is>
      </c>
      <c r="G219" t="n">
        <v>6.6</v>
      </c>
      <c r="H219" t="n">
        <v>0</v>
      </c>
      <c r="I219" t="n">
        <v>0</v>
      </c>
      <c r="J219" t="n">
        <v>0</v>
      </c>
      <c r="K219" t="n">
        <v>0</v>
      </c>
      <c r="L219" t="n">
        <v>0</v>
      </c>
      <c r="M219" t="n">
        <v>0</v>
      </c>
      <c r="N219" t="n">
        <v>0</v>
      </c>
      <c r="O219" t="n">
        <v>0</v>
      </c>
      <c r="P219" t="n">
        <v>0</v>
      </c>
      <c r="Q219" t="n">
        <v>0</v>
      </c>
      <c r="R219" s="2" t="inlineStr"/>
    </row>
    <row r="220" ht="15" customHeight="1">
      <c r="A220" t="inlineStr">
        <is>
          <t>A 28582-2024</t>
        </is>
      </c>
      <c r="B220" s="1" t="n">
        <v>45478.40751157407</v>
      </c>
      <c r="C220" s="1" t="n">
        <v>46180</v>
      </c>
      <c r="D220" t="inlineStr">
        <is>
          <t>SÖDERMANLANDS LÄN</t>
        </is>
      </c>
      <c r="E220" t="inlineStr">
        <is>
          <t>KATRINEHOLM</t>
        </is>
      </c>
      <c r="F220" t="inlineStr">
        <is>
          <t>Övriga Aktiebolag</t>
        </is>
      </c>
      <c r="G220" t="n">
        <v>4</v>
      </c>
      <c r="H220" t="n">
        <v>0</v>
      </c>
      <c r="I220" t="n">
        <v>0</v>
      </c>
      <c r="J220" t="n">
        <v>0</v>
      </c>
      <c r="K220" t="n">
        <v>0</v>
      </c>
      <c r="L220" t="n">
        <v>0</v>
      </c>
      <c r="M220" t="n">
        <v>0</v>
      </c>
      <c r="N220" t="n">
        <v>0</v>
      </c>
      <c r="O220" t="n">
        <v>0</v>
      </c>
      <c r="P220" t="n">
        <v>0</v>
      </c>
      <c r="Q220" t="n">
        <v>0</v>
      </c>
      <c r="R220" s="2" t="inlineStr"/>
    </row>
    <row r="221" ht="15" customHeight="1">
      <c r="A221" t="inlineStr">
        <is>
          <t>A 26081-2024</t>
        </is>
      </c>
      <c r="B221" s="1" t="n">
        <v>45462</v>
      </c>
      <c r="C221" s="1" t="n">
        <v>46180</v>
      </c>
      <c r="D221" t="inlineStr">
        <is>
          <t>SÖDERMANLANDS LÄN</t>
        </is>
      </c>
      <c r="E221" t="inlineStr">
        <is>
          <t>KATRINEHOLM</t>
        </is>
      </c>
      <c r="G221" t="n">
        <v>4.1</v>
      </c>
      <c r="H221" t="n">
        <v>0</v>
      </c>
      <c r="I221" t="n">
        <v>0</v>
      </c>
      <c r="J221" t="n">
        <v>0</v>
      </c>
      <c r="K221" t="n">
        <v>0</v>
      </c>
      <c r="L221" t="n">
        <v>0</v>
      </c>
      <c r="M221" t="n">
        <v>0</v>
      </c>
      <c r="N221" t="n">
        <v>0</v>
      </c>
      <c r="O221" t="n">
        <v>0</v>
      </c>
      <c r="P221" t="n">
        <v>0</v>
      </c>
      <c r="Q221" t="n">
        <v>0</v>
      </c>
      <c r="R221" s="2" t="inlineStr"/>
    </row>
    <row r="222" ht="15" customHeight="1">
      <c r="A222" t="inlineStr">
        <is>
          <t>A 30242-2023</t>
        </is>
      </c>
      <c r="B222" s="1" t="n">
        <v>45099</v>
      </c>
      <c r="C222" s="1" t="n">
        <v>46180</v>
      </c>
      <c r="D222" t="inlineStr">
        <is>
          <t>SÖDERMANLANDS LÄN</t>
        </is>
      </c>
      <c r="E222" t="inlineStr">
        <is>
          <t>KATRINEHOLM</t>
        </is>
      </c>
      <c r="G222" t="n">
        <v>3</v>
      </c>
      <c r="H222" t="n">
        <v>0</v>
      </c>
      <c r="I222" t="n">
        <v>0</v>
      </c>
      <c r="J222" t="n">
        <v>0</v>
      </c>
      <c r="K222" t="n">
        <v>0</v>
      </c>
      <c r="L222" t="n">
        <v>0</v>
      </c>
      <c r="M222" t="n">
        <v>0</v>
      </c>
      <c r="N222" t="n">
        <v>0</v>
      </c>
      <c r="O222" t="n">
        <v>0</v>
      </c>
      <c r="P222" t="n">
        <v>0</v>
      </c>
      <c r="Q222" t="n">
        <v>0</v>
      </c>
      <c r="R222" s="2" t="inlineStr"/>
    </row>
    <row r="223" ht="15" customHeight="1">
      <c r="A223" t="inlineStr">
        <is>
          <t>A 35228-2025</t>
        </is>
      </c>
      <c r="B223" s="1" t="n">
        <v>45853</v>
      </c>
      <c r="C223" s="1" t="n">
        <v>46180</v>
      </c>
      <c r="D223" t="inlineStr">
        <is>
          <t>SÖDERMANLANDS LÄN</t>
        </is>
      </c>
      <c r="E223" t="inlineStr">
        <is>
          <t>KATRINEHOLM</t>
        </is>
      </c>
      <c r="G223" t="n">
        <v>1.1</v>
      </c>
      <c r="H223" t="n">
        <v>0</v>
      </c>
      <c r="I223" t="n">
        <v>0</v>
      </c>
      <c r="J223" t="n">
        <v>0</v>
      </c>
      <c r="K223" t="n">
        <v>0</v>
      </c>
      <c r="L223" t="n">
        <v>0</v>
      </c>
      <c r="M223" t="n">
        <v>0</v>
      </c>
      <c r="N223" t="n">
        <v>0</v>
      </c>
      <c r="O223" t="n">
        <v>0</v>
      </c>
      <c r="P223" t="n">
        <v>0</v>
      </c>
      <c r="Q223" t="n">
        <v>0</v>
      </c>
      <c r="R223" s="2" t="inlineStr"/>
    </row>
    <row r="224" ht="15" customHeight="1">
      <c r="A224" t="inlineStr">
        <is>
          <t>A 69117-2021</t>
        </is>
      </c>
      <c r="B224" s="1" t="n">
        <v>44530.82445601852</v>
      </c>
      <c r="C224" s="1" t="n">
        <v>46180</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38308-2021</t>
        </is>
      </c>
      <c r="B225" s="1" t="n">
        <v>44406</v>
      </c>
      <c r="C225" s="1" t="n">
        <v>46180</v>
      </c>
      <c r="D225" t="inlineStr">
        <is>
          <t>SÖDERMANLANDS LÄN</t>
        </is>
      </c>
      <c r="E225" t="inlineStr">
        <is>
          <t>KATRINEHOLM</t>
        </is>
      </c>
      <c r="G225" t="n">
        <v>1.7</v>
      </c>
      <c r="H225" t="n">
        <v>0</v>
      </c>
      <c r="I225" t="n">
        <v>0</v>
      </c>
      <c r="J225" t="n">
        <v>0</v>
      </c>
      <c r="K225" t="n">
        <v>0</v>
      </c>
      <c r="L225" t="n">
        <v>0</v>
      </c>
      <c r="M225" t="n">
        <v>0</v>
      </c>
      <c r="N225" t="n">
        <v>0</v>
      </c>
      <c r="O225" t="n">
        <v>0</v>
      </c>
      <c r="P225" t="n">
        <v>0</v>
      </c>
      <c r="Q225" t="n">
        <v>0</v>
      </c>
      <c r="R225" s="2" t="inlineStr"/>
    </row>
    <row r="226" ht="15" customHeight="1">
      <c r="A226" t="inlineStr">
        <is>
          <t>A 55172-2022</t>
        </is>
      </c>
      <c r="B226" s="1" t="n">
        <v>44886</v>
      </c>
      <c r="C226" s="1" t="n">
        <v>46180</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67337-2021</t>
        </is>
      </c>
      <c r="B227" s="1" t="n">
        <v>44523</v>
      </c>
      <c r="C227" s="1" t="n">
        <v>46180</v>
      </c>
      <c r="D227" t="inlineStr">
        <is>
          <t>SÖDERMANLANDS LÄN</t>
        </is>
      </c>
      <c r="E227" t="inlineStr">
        <is>
          <t>KATRINEHOLM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1098-2026</t>
        </is>
      </c>
      <c r="B228" s="1" t="n">
        <v>46030.66519675926</v>
      </c>
      <c r="C228" s="1" t="n">
        <v>46180</v>
      </c>
      <c r="D228" t="inlineStr">
        <is>
          <t>SÖDERMANLANDS LÄN</t>
        </is>
      </c>
      <c r="E228" t="inlineStr">
        <is>
          <t>KATRINEHOLM</t>
        </is>
      </c>
      <c r="G228" t="n">
        <v>3.4</v>
      </c>
      <c r="H228" t="n">
        <v>0</v>
      </c>
      <c r="I228" t="n">
        <v>0</v>
      </c>
      <c r="J228" t="n">
        <v>0</v>
      </c>
      <c r="K228" t="n">
        <v>0</v>
      </c>
      <c r="L228" t="n">
        <v>0</v>
      </c>
      <c r="M228" t="n">
        <v>0</v>
      </c>
      <c r="N228" t="n">
        <v>0</v>
      </c>
      <c r="O228" t="n">
        <v>0</v>
      </c>
      <c r="P228" t="n">
        <v>0</v>
      </c>
      <c r="Q228" t="n">
        <v>0</v>
      </c>
      <c r="R228" s="2" t="inlineStr"/>
    </row>
    <row r="229" ht="15" customHeight="1">
      <c r="A229" t="inlineStr">
        <is>
          <t>A 1106-2026</t>
        </is>
      </c>
      <c r="B229" s="1" t="n">
        <v>46030.67123842592</v>
      </c>
      <c r="C229" s="1" t="n">
        <v>46180</v>
      </c>
      <c r="D229" t="inlineStr">
        <is>
          <t>SÖDERMANLANDS LÄN</t>
        </is>
      </c>
      <c r="E229" t="inlineStr">
        <is>
          <t>KATRINEHOLM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29394-2024</t>
        </is>
      </c>
      <c r="B230" s="1" t="n">
        <v>45483</v>
      </c>
      <c r="C230" s="1" t="n">
        <v>46180</v>
      </c>
      <c r="D230" t="inlineStr">
        <is>
          <t>SÖDERMANLANDS LÄN</t>
        </is>
      </c>
      <c r="E230" t="inlineStr">
        <is>
          <t>KATRINEHOLM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50032-2022</t>
        </is>
      </c>
      <c r="B231" s="1" t="n">
        <v>44860</v>
      </c>
      <c r="C231" s="1" t="n">
        <v>46180</v>
      </c>
      <c r="D231" t="inlineStr">
        <is>
          <t>SÖDERMANLANDS LÄN</t>
        </is>
      </c>
      <c r="E231" t="inlineStr">
        <is>
          <t>KATRINEHOLM</t>
        </is>
      </c>
      <c r="G231" t="n">
        <v>7.5</v>
      </c>
      <c r="H231" t="n">
        <v>0</v>
      </c>
      <c r="I231" t="n">
        <v>0</v>
      </c>
      <c r="J231" t="n">
        <v>0</v>
      </c>
      <c r="K231" t="n">
        <v>0</v>
      </c>
      <c r="L231" t="n">
        <v>0</v>
      </c>
      <c r="M231" t="n">
        <v>0</v>
      </c>
      <c r="N231" t="n">
        <v>0</v>
      </c>
      <c r="O231" t="n">
        <v>0</v>
      </c>
      <c r="P231" t="n">
        <v>0</v>
      </c>
      <c r="Q231" t="n">
        <v>0</v>
      </c>
      <c r="R231" s="2" t="inlineStr"/>
    </row>
    <row r="232" ht="15" customHeight="1">
      <c r="A232" t="inlineStr">
        <is>
          <t>A 26713-2024</t>
        </is>
      </c>
      <c r="B232" s="1" t="n">
        <v>45470</v>
      </c>
      <c r="C232" s="1" t="n">
        <v>46180</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43837-2022</t>
        </is>
      </c>
      <c r="B233" s="1" t="n">
        <v>44838</v>
      </c>
      <c r="C233" s="1" t="n">
        <v>46180</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57510-2021</t>
        </is>
      </c>
      <c r="B234" s="1" t="n">
        <v>44483</v>
      </c>
      <c r="C234" s="1" t="n">
        <v>46180</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2603-2025</t>
        </is>
      </c>
      <c r="B235" s="1" t="n">
        <v>45674</v>
      </c>
      <c r="C235" s="1" t="n">
        <v>46180</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1112-2026</t>
        </is>
      </c>
      <c r="B236" s="1" t="n">
        <v>46030.68107638889</v>
      </c>
      <c r="C236" s="1" t="n">
        <v>46180</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1114-2026</t>
        </is>
      </c>
      <c r="B237" s="1" t="n">
        <v>46030.684375</v>
      </c>
      <c r="C237" s="1" t="n">
        <v>46180</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55732-2023</t>
        </is>
      </c>
      <c r="B238" s="1" t="n">
        <v>45239</v>
      </c>
      <c r="C238" s="1" t="n">
        <v>46180</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40159-2023</t>
        </is>
      </c>
      <c r="B239" s="1" t="n">
        <v>45169</v>
      </c>
      <c r="C239" s="1" t="n">
        <v>46180</v>
      </c>
      <c r="D239" t="inlineStr">
        <is>
          <t>SÖDERMANLANDS LÄN</t>
        </is>
      </c>
      <c r="E239" t="inlineStr">
        <is>
          <t>KATRINEHOLM</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28675-2024</t>
        </is>
      </c>
      <c r="B240" s="1" t="n">
        <v>45478</v>
      </c>
      <c r="C240" s="1" t="n">
        <v>46180</v>
      </c>
      <c r="D240" t="inlineStr">
        <is>
          <t>SÖDERMANLANDS LÄN</t>
        </is>
      </c>
      <c r="E240" t="inlineStr">
        <is>
          <t>KATRINEHOLM</t>
        </is>
      </c>
      <c r="F240" t="inlineStr">
        <is>
          <t>Övriga Aktiebolag</t>
        </is>
      </c>
      <c r="G240" t="n">
        <v>3.5</v>
      </c>
      <c r="H240" t="n">
        <v>0</v>
      </c>
      <c r="I240" t="n">
        <v>0</v>
      </c>
      <c r="J240" t="n">
        <v>0</v>
      </c>
      <c r="K240" t="n">
        <v>0</v>
      </c>
      <c r="L240" t="n">
        <v>0</v>
      </c>
      <c r="M240" t="n">
        <v>0</v>
      </c>
      <c r="N240" t="n">
        <v>0</v>
      </c>
      <c r="O240" t="n">
        <v>0</v>
      </c>
      <c r="P240" t="n">
        <v>0</v>
      </c>
      <c r="Q240" t="n">
        <v>0</v>
      </c>
      <c r="R240" s="2" t="inlineStr"/>
    </row>
    <row r="241" ht="15" customHeight="1">
      <c r="A241" t="inlineStr">
        <is>
          <t>A 27875-2024</t>
        </is>
      </c>
      <c r="B241" s="1" t="n">
        <v>45475</v>
      </c>
      <c r="C241" s="1" t="n">
        <v>46180</v>
      </c>
      <c r="D241" t="inlineStr">
        <is>
          <t>SÖDERMANLANDS LÄN</t>
        </is>
      </c>
      <c r="E241" t="inlineStr">
        <is>
          <t>KATRINEHOLM</t>
        </is>
      </c>
      <c r="G241" t="n">
        <v>1.8</v>
      </c>
      <c r="H241" t="n">
        <v>0</v>
      </c>
      <c r="I241" t="n">
        <v>0</v>
      </c>
      <c r="J241" t="n">
        <v>0</v>
      </c>
      <c r="K241" t="n">
        <v>0</v>
      </c>
      <c r="L241" t="n">
        <v>0</v>
      </c>
      <c r="M241" t="n">
        <v>0</v>
      </c>
      <c r="N241" t="n">
        <v>0</v>
      </c>
      <c r="O241" t="n">
        <v>0</v>
      </c>
      <c r="P241" t="n">
        <v>0</v>
      </c>
      <c r="Q241" t="n">
        <v>0</v>
      </c>
      <c r="R241" s="2" t="inlineStr"/>
    </row>
    <row r="242" ht="15" customHeight="1">
      <c r="A242" t="inlineStr">
        <is>
          <t>A 27376-2024</t>
        </is>
      </c>
      <c r="B242" s="1" t="n">
        <v>45473.88313657408</v>
      </c>
      <c r="C242" s="1" t="n">
        <v>46180</v>
      </c>
      <c r="D242" t="inlineStr">
        <is>
          <t>SÖDERMANLANDS LÄN</t>
        </is>
      </c>
      <c r="E242" t="inlineStr">
        <is>
          <t>KATRINEHOLM</t>
        </is>
      </c>
      <c r="F242" t="inlineStr">
        <is>
          <t>Kommuner</t>
        </is>
      </c>
      <c r="G242" t="n">
        <v>2.8</v>
      </c>
      <c r="H242" t="n">
        <v>0</v>
      </c>
      <c r="I242" t="n">
        <v>0</v>
      </c>
      <c r="J242" t="n">
        <v>0</v>
      </c>
      <c r="K242" t="n">
        <v>0</v>
      </c>
      <c r="L242" t="n">
        <v>0</v>
      </c>
      <c r="M242" t="n">
        <v>0</v>
      </c>
      <c r="N242" t="n">
        <v>0</v>
      </c>
      <c r="O242" t="n">
        <v>0</v>
      </c>
      <c r="P242" t="n">
        <v>0</v>
      </c>
      <c r="Q242" t="n">
        <v>0</v>
      </c>
      <c r="R242" s="2" t="inlineStr"/>
    </row>
    <row r="243" ht="15" customHeight="1">
      <c r="A243" t="inlineStr">
        <is>
          <t>A 24566-2025</t>
        </is>
      </c>
      <c r="B243" s="1" t="n">
        <v>45798.46452546296</v>
      </c>
      <c r="C243" s="1" t="n">
        <v>46180</v>
      </c>
      <c r="D243" t="inlineStr">
        <is>
          <t>SÖDERMANLANDS LÄN</t>
        </is>
      </c>
      <c r="E243" t="inlineStr">
        <is>
          <t>KATRINEHOLM</t>
        </is>
      </c>
      <c r="G243" t="n">
        <v>6.3</v>
      </c>
      <c r="H243" t="n">
        <v>0</v>
      </c>
      <c r="I243" t="n">
        <v>0</v>
      </c>
      <c r="J243" t="n">
        <v>0</v>
      </c>
      <c r="K243" t="n">
        <v>0</v>
      </c>
      <c r="L243" t="n">
        <v>0</v>
      </c>
      <c r="M243" t="n">
        <v>0</v>
      </c>
      <c r="N243" t="n">
        <v>0</v>
      </c>
      <c r="O243" t="n">
        <v>0</v>
      </c>
      <c r="P243" t="n">
        <v>0</v>
      </c>
      <c r="Q243" t="n">
        <v>0</v>
      </c>
      <c r="R243" s="2" t="inlineStr"/>
    </row>
    <row r="244" ht="15" customHeight="1">
      <c r="A244" t="inlineStr">
        <is>
          <t>A 24605-2025</t>
        </is>
      </c>
      <c r="B244" s="1" t="n">
        <v>45798.57403935185</v>
      </c>
      <c r="C244" s="1" t="n">
        <v>46180</v>
      </c>
      <c r="D244" t="inlineStr">
        <is>
          <t>SÖDERMANLANDS LÄN</t>
        </is>
      </c>
      <c r="E244" t="inlineStr">
        <is>
          <t>KATRINEHOLM</t>
        </is>
      </c>
      <c r="G244" t="n">
        <v>7</v>
      </c>
      <c r="H244" t="n">
        <v>0</v>
      </c>
      <c r="I244" t="n">
        <v>0</v>
      </c>
      <c r="J244" t="n">
        <v>0</v>
      </c>
      <c r="K244" t="n">
        <v>0</v>
      </c>
      <c r="L244" t="n">
        <v>0</v>
      </c>
      <c r="M244" t="n">
        <v>0</v>
      </c>
      <c r="N244" t="n">
        <v>0</v>
      </c>
      <c r="O244" t="n">
        <v>0</v>
      </c>
      <c r="P244" t="n">
        <v>0</v>
      </c>
      <c r="Q244" t="n">
        <v>0</v>
      </c>
      <c r="R244" s="2" t="inlineStr"/>
    </row>
    <row r="245" ht="15" customHeight="1">
      <c r="A245" t="inlineStr">
        <is>
          <t>A 28995-2024</t>
        </is>
      </c>
      <c r="B245" s="1" t="n">
        <v>45481.49899305555</v>
      </c>
      <c r="C245" s="1" t="n">
        <v>46180</v>
      </c>
      <c r="D245" t="inlineStr">
        <is>
          <t>SÖDERMANLANDS LÄN</t>
        </is>
      </c>
      <c r="E245" t="inlineStr">
        <is>
          <t>KATRINEHOLM</t>
        </is>
      </c>
      <c r="G245" t="n">
        <v>0.9</v>
      </c>
      <c r="H245" t="n">
        <v>0</v>
      </c>
      <c r="I245" t="n">
        <v>0</v>
      </c>
      <c r="J245" t="n">
        <v>0</v>
      </c>
      <c r="K245" t="n">
        <v>0</v>
      </c>
      <c r="L245" t="n">
        <v>0</v>
      </c>
      <c r="M245" t="n">
        <v>0</v>
      </c>
      <c r="N245" t="n">
        <v>0</v>
      </c>
      <c r="O245" t="n">
        <v>0</v>
      </c>
      <c r="P245" t="n">
        <v>0</v>
      </c>
      <c r="Q245" t="n">
        <v>0</v>
      </c>
      <c r="R245" s="2" t="inlineStr"/>
    </row>
    <row r="246" ht="15" customHeight="1">
      <c r="A246" t="inlineStr">
        <is>
          <t>A 44989-2022</t>
        </is>
      </c>
      <c r="B246" s="1" t="n">
        <v>44840</v>
      </c>
      <c r="C246" s="1" t="n">
        <v>46180</v>
      </c>
      <c r="D246" t="inlineStr">
        <is>
          <t>SÖDERMANLANDS LÄN</t>
        </is>
      </c>
      <c r="E246" t="inlineStr">
        <is>
          <t>KATRINEHOLM</t>
        </is>
      </c>
      <c r="G246" t="n">
        <v>6</v>
      </c>
      <c r="H246" t="n">
        <v>0</v>
      </c>
      <c r="I246" t="n">
        <v>0</v>
      </c>
      <c r="J246" t="n">
        <v>0</v>
      </c>
      <c r="K246" t="n">
        <v>0</v>
      </c>
      <c r="L246" t="n">
        <v>0</v>
      </c>
      <c r="M246" t="n">
        <v>0</v>
      </c>
      <c r="N246" t="n">
        <v>0</v>
      </c>
      <c r="O246" t="n">
        <v>0</v>
      </c>
      <c r="P246" t="n">
        <v>0</v>
      </c>
      <c r="Q246" t="n">
        <v>0</v>
      </c>
      <c r="R246" s="2" t="inlineStr"/>
    </row>
    <row r="247" ht="15" customHeight="1">
      <c r="A247" t="inlineStr">
        <is>
          <t>A 48259-2022</t>
        </is>
      </c>
      <c r="B247" s="1" t="n">
        <v>44858</v>
      </c>
      <c r="C247" s="1" t="n">
        <v>46180</v>
      </c>
      <c r="D247" t="inlineStr">
        <is>
          <t>SÖDERMANLANDS LÄN</t>
        </is>
      </c>
      <c r="E247" t="inlineStr">
        <is>
          <t>KATRINEHOLM</t>
        </is>
      </c>
      <c r="G247" t="n">
        <v>3.5</v>
      </c>
      <c r="H247" t="n">
        <v>0</v>
      </c>
      <c r="I247" t="n">
        <v>0</v>
      </c>
      <c r="J247" t="n">
        <v>0</v>
      </c>
      <c r="K247" t="n">
        <v>0</v>
      </c>
      <c r="L247" t="n">
        <v>0</v>
      </c>
      <c r="M247" t="n">
        <v>0</v>
      </c>
      <c r="N247" t="n">
        <v>0</v>
      </c>
      <c r="O247" t="n">
        <v>0</v>
      </c>
      <c r="P247" t="n">
        <v>0</v>
      </c>
      <c r="Q247" t="n">
        <v>0</v>
      </c>
      <c r="R247" s="2" t="inlineStr"/>
    </row>
    <row r="248" ht="15" customHeight="1">
      <c r="A248" t="inlineStr">
        <is>
          <t>A 56086-2023</t>
        </is>
      </c>
      <c r="B248" s="1" t="n">
        <v>45240</v>
      </c>
      <c r="C248" s="1" t="n">
        <v>46180</v>
      </c>
      <c r="D248" t="inlineStr">
        <is>
          <t>SÖDERMANLANDS LÄN</t>
        </is>
      </c>
      <c r="E248" t="inlineStr">
        <is>
          <t>KATRINEHOLM</t>
        </is>
      </c>
      <c r="F248" t="inlineStr">
        <is>
          <t>Kyrkan</t>
        </is>
      </c>
      <c r="G248" t="n">
        <v>17</v>
      </c>
      <c r="H248" t="n">
        <v>0</v>
      </c>
      <c r="I248" t="n">
        <v>0</v>
      </c>
      <c r="J248" t="n">
        <v>0</v>
      </c>
      <c r="K248" t="n">
        <v>0</v>
      </c>
      <c r="L248" t="n">
        <v>0</v>
      </c>
      <c r="M248" t="n">
        <v>0</v>
      </c>
      <c r="N248" t="n">
        <v>0</v>
      </c>
      <c r="O248" t="n">
        <v>0</v>
      </c>
      <c r="P248" t="n">
        <v>0</v>
      </c>
      <c r="Q248" t="n">
        <v>0</v>
      </c>
      <c r="R248" s="2" t="inlineStr"/>
    </row>
    <row r="249" ht="15" customHeight="1">
      <c r="A249" t="inlineStr">
        <is>
          <t>A 28992-2024</t>
        </is>
      </c>
      <c r="B249" s="1" t="n">
        <v>45481.49289351852</v>
      </c>
      <c r="C249" s="1" t="n">
        <v>46180</v>
      </c>
      <c r="D249" t="inlineStr">
        <is>
          <t>SÖDERMANLANDS LÄN</t>
        </is>
      </c>
      <c r="E249" t="inlineStr">
        <is>
          <t>KATRINEHOLM</t>
        </is>
      </c>
      <c r="G249" t="n">
        <v>2.3</v>
      </c>
      <c r="H249" t="n">
        <v>0</v>
      </c>
      <c r="I249" t="n">
        <v>0</v>
      </c>
      <c r="J249" t="n">
        <v>0</v>
      </c>
      <c r="K249" t="n">
        <v>0</v>
      </c>
      <c r="L249" t="n">
        <v>0</v>
      </c>
      <c r="M249" t="n">
        <v>0</v>
      </c>
      <c r="N249" t="n">
        <v>0</v>
      </c>
      <c r="O249" t="n">
        <v>0</v>
      </c>
      <c r="P249" t="n">
        <v>0</v>
      </c>
      <c r="Q249" t="n">
        <v>0</v>
      </c>
      <c r="R249" s="2" t="inlineStr"/>
    </row>
    <row r="250" ht="15" customHeight="1">
      <c r="A250" t="inlineStr">
        <is>
          <t>A 1668-2026</t>
        </is>
      </c>
      <c r="B250" s="1" t="n">
        <v>46034.55986111111</v>
      </c>
      <c r="C250" s="1" t="n">
        <v>46180</v>
      </c>
      <c r="D250" t="inlineStr">
        <is>
          <t>SÖDERMANLANDS LÄN</t>
        </is>
      </c>
      <c r="E250" t="inlineStr">
        <is>
          <t>KATRINEHOLM</t>
        </is>
      </c>
      <c r="G250" t="n">
        <v>4.1</v>
      </c>
      <c r="H250" t="n">
        <v>0</v>
      </c>
      <c r="I250" t="n">
        <v>0</v>
      </c>
      <c r="J250" t="n">
        <v>0</v>
      </c>
      <c r="K250" t="n">
        <v>0</v>
      </c>
      <c r="L250" t="n">
        <v>0</v>
      </c>
      <c r="M250" t="n">
        <v>0</v>
      </c>
      <c r="N250" t="n">
        <v>0</v>
      </c>
      <c r="O250" t="n">
        <v>0</v>
      </c>
      <c r="P250" t="n">
        <v>0</v>
      </c>
      <c r="Q250" t="n">
        <v>0</v>
      </c>
      <c r="R250" s="2" t="inlineStr"/>
    </row>
    <row r="251" ht="15" customHeight="1">
      <c r="A251" t="inlineStr">
        <is>
          <t>A 7322-2023</t>
        </is>
      </c>
      <c r="B251" s="1" t="n">
        <v>44970</v>
      </c>
      <c r="C251" s="1" t="n">
        <v>46180</v>
      </c>
      <c r="D251" t="inlineStr">
        <is>
          <t>SÖDERMANLANDS LÄN</t>
        </is>
      </c>
      <c r="E251" t="inlineStr">
        <is>
          <t>KATRINEHOLM</t>
        </is>
      </c>
      <c r="G251" t="n">
        <v>2.1</v>
      </c>
      <c r="H251" t="n">
        <v>0</v>
      </c>
      <c r="I251" t="n">
        <v>0</v>
      </c>
      <c r="J251" t="n">
        <v>0</v>
      </c>
      <c r="K251" t="n">
        <v>0</v>
      </c>
      <c r="L251" t="n">
        <v>0</v>
      </c>
      <c r="M251" t="n">
        <v>0</v>
      </c>
      <c r="N251" t="n">
        <v>0</v>
      </c>
      <c r="O251" t="n">
        <v>0</v>
      </c>
      <c r="P251" t="n">
        <v>0</v>
      </c>
      <c r="Q251" t="n">
        <v>0</v>
      </c>
      <c r="R251" s="2" t="inlineStr"/>
    </row>
    <row r="252" ht="15" customHeight="1">
      <c r="A252" t="inlineStr">
        <is>
          <t>A 2093-2025</t>
        </is>
      </c>
      <c r="B252" s="1" t="n">
        <v>45672</v>
      </c>
      <c r="C252" s="1" t="n">
        <v>46180</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27886-2024</t>
        </is>
      </c>
      <c r="B253" s="1" t="n">
        <v>45475</v>
      </c>
      <c r="C253" s="1" t="n">
        <v>46180</v>
      </c>
      <c r="D253" t="inlineStr">
        <is>
          <t>SÖDERMANLANDS LÄN</t>
        </is>
      </c>
      <c r="E253" t="inlineStr">
        <is>
          <t>KATRINEHOLM</t>
        </is>
      </c>
      <c r="G253" t="n">
        <v>10.3</v>
      </c>
      <c r="H253" t="n">
        <v>0</v>
      </c>
      <c r="I253" t="n">
        <v>0</v>
      </c>
      <c r="J253" t="n">
        <v>0</v>
      </c>
      <c r="K253" t="n">
        <v>0</v>
      </c>
      <c r="L253" t="n">
        <v>0</v>
      </c>
      <c r="M253" t="n">
        <v>0</v>
      </c>
      <c r="N253" t="n">
        <v>0</v>
      </c>
      <c r="O253" t="n">
        <v>0</v>
      </c>
      <c r="P253" t="n">
        <v>0</v>
      </c>
      <c r="Q253" t="n">
        <v>0</v>
      </c>
      <c r="R253" s="2" t="inlineStr"/>
    </row>
    <row r="254" ht="15" customHeight="1">
      <c r="A254" t="inlineStr">
        <is>
          <t>A 25363-2023</t>
        </is>
      </c>
      <c r="B254" s="1" t="n">
        <v>45088.83840277778</v>
      </c>
      <c r="C254" s="1" t="n">
        <v>46180</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6722-2022</t>
        </is>
      </c>
      <c r="B255" s="1" t="n">
        <v>44602</v>
      </c>
      <c r="C255" s="1" t="n">
        <v>46180</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28427-2024</t>
        </is>
      </c>
      <c r="B256" s="1" t="n">
        <v>45477.64910879629</v>
      </c>
      <c r="C256" s="1" t="n">
        <v>46180</v>
      </c>
      <c r="D256" t="inlineStr">
        <is>
          <t>SÖDERMANLANDS LÄN</t>
        </is>
      </c>
      <c r="E256" t="inlineStr">
        <is>
          <t>KATRINEHOLM</t>
        </is>
      </c>
      <c r="G256" t="n">
        <v>5.9</v>
      </c>
      <c r="H256" t="n">
        <v>0</v>
      </c>
      <c r="I256" t="n">
        <v>0</v>
      </c>
      <c r="J256" t="n">
        <v>0</v>
      </c>
      <c r="K256" t="n">
        <v>0</v>
      </c>
      <c r="L256" t="n">
        <v>0</v>
      </c>
      <c r="M256" t="n">
        <v>0</v>
      </c>
      <c r="N256" t="n">
        <v>0</v>
      </c>
      <c r="O256" t="n">
        <v>0</v>
      </c>
      <c r="P256" t="n">
        <v>0</v>
      </c>
      <c r="Q256" t="n">
        <v>0</v>
      </c>
      <c r="R256" s="2" t="inlineStr"/>
    </row>
    <row r="257" ht="15" customHeight="1">
      <c r="A257" t="inlineStr">
        <is>
          <t>A 6763-2022</t>
        </is>
      </c>
      <c r="B257" s="1" t="n">
        <v>44602</v>
      </c>
      <c r="C257" s="1" t="n">
        <v>46180</v>
      </c>
      <c r="D257" t="inlineStr">
        <is>
          <t>SÖDERMANLANDS LÄN</t>
        </is>
      </c>
      <c r="E257" t="inlineStr">
        <is>
          <t>KATRINEHOLM</t>
        </is>
      </c>
      <c r="G257" t="n">
        <v>6.7</v>
      </c>
      <c r="H257" t="n">
        <v>0</v>
      </c>
      <c r="I257" t="n">
        <v>0</v>
      </c>
      <c r="J257" t="n">
        <v>0</v>
      </c>
      <c r="K257" t="n">
        <v>0</v>
      </c>
      <c r="L257" t="n">
        <v>0</v>
      </c>
      <c r="M257" t="n">
        <v>0</v>
      </c>
      <c r="N257" t="n">
        <v>0</v>
      </c>
      <c r="O257" t="n">
        <v>0</v>
      </c>
      <c r="P257" t="n">
        <v>0</v>
      </c>
      <c r="Q257" t="n">
        <v>0</v>
      </c>
      <c r="R257" s="2" t="inlineStr"/>
    </row>
    <row r="258" ht="15" customHeight="1">
      <c r="A258" t="inlineStr">
        <is>
          <t>A 61423-2024</t>
        </is>
      </c>
      <c r="B258" s="1" t="n">
        <v>45646.45209490741</v>
      </c>
      <c r="C258" s="1" t="n">
        <v>46180</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5790-2022</t>
        </is>
      </c>
      <c r="B259" s="1" t="n">
        <v>44596.55368055555</v>
      </c>
      <c r="C259" s="1" t="n">
        <v>46180</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14313-2024</t>
        </is>
      </c>
      <c r="B260" s="1" t="n">
        <v>45393</v>
      </c>
      <c r="C260" s="1" t="n">
        <v>46180</v>
      </c>
      <c r="D260" t="inlineStr">
        <is>
          <t>SÖDERMANLANDS LÄN</t>
        </is>
      </c>
      <c r="E260" t="inlineStr">
        <is>
          <t>KATRINEHOLM</t>
        </is>
      </c>
      <c r="G260" t="n">
        <v>3.1</v>
      </c>
      <c r="H260" t="n">
        <v>0</v>
      </c>
      <c r="I260" t="n">
        <v>0</v>
      </c>
      <c r="J260" t="n">
        <v>0</v>
      </c>
      <c r="K260" t="n">
        <v>0</v>
      </c>
      <c r="L260" t="n">
        <v>0</v>
      </c>
      <c r="M260" t="n">
        <v>0</v>
      </c>
      <c r="N260" t="n">
        <v>0</v>
      </c>
      <c r="O260" t="n">
        <v>0</v>
      </c>
      <c r="P260" t="n">
        <v>0</v>
      </c>
      <c r="Q260" t="n">
        <v>0</v>
      </c>
      <c r="R260" s="2" t="inlineStr"/>
    </row>
    <row r="261" ht="15" customHeight="1">
      <c r="A261" t="inlineStr">
        <is>
          <t>A 41727-2024</t>
        </is>
      </c>
      <c r="B261" s="1" t="n">
        <v>45560</v>
      </c>
      <c r="C261" s="1" t="n">
        <v>46180</v>
      </c>
      <c r="D261" t="inlineStr">
        <is>
          <t>SÖDERMANLANDS LÄN</t>
        </is>
      </c>
      <c r="E261" t="inlineStr">
        <is>
          <t>KATRINEHOLM</t>
        </is>
      </c>
      <c r="G261" t="n">
        <v>3.9</v>
      </c>
      <c r="H261" t="n">
        <v>0</v>
      </c>
      <c r="I261" t="n">
        <v>0</v>
      </c>
      <c r="J261" t="n">
        <v>0</v>
      </c>
      <c r="K261" t="n">
        <v>0</v>
      </c>
      <c r="L261" t="n">
        <v>0</v>
      </c>
      <c r="M261" t="n">
        <v>0</v>
      </c>
      <c r="N261" t="n">
        <v>0</v>
      </c>
      <c r="O261" t="n">
        <v>0</v>
      </c>
      <c r="P261" t="n">
        <v>0</v>
      </c>
      <c r="Q261" t="n">
        <v>0</v>
      </c>
      <c r="R261" s="2" t="inlineStr"/>
    </row>
    <row r="262" ht="15" customHeight="1">
      <c r="A262" t="inlineStr">
        <is>
          <t>A 2645-2026</t>
        </is>
      </c>
      <c r="B262" s="1" t="n">
        <v>46037.62321759259</v>
      </c>
      <c r="C262" s="1" t="n">
        <v>46180</v>
      </c>
      <c r="D262" t="inlineStr">
        <is>
          <t>SÖDERMANLANDS LÄN</t>
        </is>
      </c>
      <c r="E262" t="inlineStr">
        <is>
          <t>KATRINEHOLM</t>
        </is>
      </c>
      <c r="G262" t="n">
        <v>2.1</v>
      </c>
      <c r="H262" t="n">
        <v>0</v>
      </c>
      <c r="I262" t="n">
        <v>0</v>
      </c>
      <c r="J262" t="n">
        <v>0</v>
      </c>
      <c r="K262" t="n">
        <v>0</v>
      </c>
      <c r="L262" t="n">
        <v>0</v>
      </c>
      <c r="M262" t="n">
        <v>0</v>
      </c>
      <c r="N262" t="n">
        <v>0</v>
      </c>
      <c r="O262" t="n">
        <v>0</v>
      </c>
      <c r="P262" t="n">
        <v>0</v>
      </c>
      <c r="Q262" t="n">
        <v>0</v>
      </c>
      <c r="R262" s="2" t="inlineStr"/>
    </row>
    <row r="263" ht="15" customHeight="1">
      <c r="A263" t="inlineStr">
        <is>
          <t>A 29397-2024</t>
        </is>
      </c>
      <c r="B263" s="1" t="n">
        <v>45483</v>
      </c>
      <c r="C263" s="1" t="n">
        <v>46180</v>
      </c>
      <c r="D263" t="inlineStr">
        <is>
          <t>SÖDERMANLANDS LÄN</t>
        </is>
      </c>
      <c r="E263" t="inlineStr">
        <is>
          <t>KATRINEHOLM</t>
        </is>
      </c>
      <c r="G263" t="n">
        <v>3.4</v>
      </c>
      <c r="H263" t="n">
        <v>0</v>
      </c>
      <c r="I263" t="n">
        <v>0</v>
      </c>
      <c r="J263" t="n">
        <v>0</v>
      </c>
      <c r="K263" t="n">
        <v>0</v>
      </c>
      <c r="L263" t="n">
        <v>0</v>
      </c>
      <c r="M263" t="n">
        <v>0</v>
      </c>
      <c r="N263" t="n">
        <v>0</v>
      </c>
      <c r="O263" t="n">
        <v>0</v>
      </c>
      <c r="P263" t="n">
        <v>0</v>
      </c>
      <c r="Q263" t="n">
        <v>0</v>
      </c>
      <c r="R263" s="2" t="inlineStr"/>
    </row>
    <row r="264" ht="15" customHeight="1">
      <c r="A264" t="inlineStr">
        <is>
          <t>A 2672-2026</t>
        </is>
      </c>
      <c r="B264" s="1" t="n">
        <v>46037</v>
      </c>
      <c r="C264" s="1" t="n">
        <v>46180</v>
      </c>
      <c r="D264" t="inlineStr">
        <is>
          <t>SÖDERMANLANDS LÄN</t>
        </is>
      </c>
      <c r="E264" t="inlineStr">
        <is>
          <t>KATRINEHOLM</t>
        </is>
      </c>
      <c r="G264" t="n">
        <v>2.1</v>
      </c>
      <c r="H264" t="n">
        <v>0</v>
      </c>
      <c r="I264" t="n">
        <v>0</v>
      </c>
      <c r="J264" t="n">
        <v>0</v>
      </c>
      <c r="K264" t="n">
        <v>0</v>
      </c>
      <c r="L264" t="n">
        <v>0</v>
      </c>
      <c r="M264" t="n">
        <v>0</v>
      </c>
      <c r="N264" t="n">
        <v>0</v>
      </c>
      <c r="O264" t="n">
        <v>0</v>
      </c>
      <c r="P264" t="n">
        <v>0</v>
      </c>
      <c r="Q264" t="n">
        <v>0</v>
      </c>
      <c r="R264" s="2" t="inlineStr"/>
    </row>
    <row r="265" ht="15" customHeight="1">
      <c r="A265" t="inlineStr">
        <is>
          <t>A 38708-2025</t>
        </is>
      </c>
      <c r="B265" s="1" t="n">
        <v>45885</v>
      </c>
      <c r="C265" s="1" t="n">
        <v>46180</v>
      </c>
      <c r="D265" t="inlineStr">
        <is>
          <t>SÖDERMANLANDS LÄN</t>
        </is>
      </c>
      <c r="E265" t="inlineStr">
        <is>
          <t>KATRINEHOLM</t>
        </is>
      </c>
      <c r="G265" t="n">
        <v>1.9</v>
      </c>
      <c r="H265" t="n">
        <v>0</v>
      </c>
      <c r="I265" t="n">
        <v>0</v>
      </c>
      <c r="J265" t="n">
        <v>0</v>
      </c>
      <c r="K265" t="n">
        <v>0</v>
      </c>
      <c r="L265" t="n">
        <v>0</v>
      </c>
      <c r="M265" t="n">
        <v>0</v>
      </c>
      <c r="N265" t="n">
        <v>0</v>
      </c>
      <c r="O265" t="n">
        <v>0</v>
      </c>
      <c r="P265" t="n">
        <v>0</v>
      </c>
      <c r="Q265" t="n">
        <v>0</v>
      </c>
      <c r="R265" s="2" t="inlineStr"/>
    </row>
    <row r="266" ht="15" customHeight="1">
      <c r="A266" t="inlineStr">
        <is>
          <t>A 2913-2026</t>
        </is>
      </c>
      <c r="B266" s="1" t="n">
        <v>46038.56913194444</v>
      </c>
      <c r="C266" s="1" t="n">
        <v>46180</v>
      </c>
      <c r="D266" t="inlineStr">
        <is>
          <t>SÖDERMANLANDS LÄN</t>
        </is>
      </c>
      <c r="E266" t="inlineStr">
        <is>
          <t>KATRINEHOLM</t>
        </is>
      </c>
      <c r="F266" t="inlineStr">
        <is>
          <t>Övriga Aktiebolag</t>
        </is>
      </c>
      <c r="G266" t="n">
        <v>6.2</v>
      </c>
      <c r="H266" t="n">
        <v>0</v>
      </c>
      <c r="I266" t="n">
        <v>0</v>
      </c>
      <c r="J266" t="n">
        <v>0</v>
      </c>
      <c r="K266" t="n">
        <v>0</v>
      </c>
      <c r="L266" t="n">
        <v>0</v>
      </c>
      <c r="M266" t="n">
        <v>0</v>
      </c>
      <c r="N266" t="n">
        <v>0</v>
      </c>
      <c r="O266" t="n">
        <v>0</v>
      </c>
      <c r="P266" t="n">
        <v>0</v>
      </c>
      <c r="Q266" t="n">
        <v>0</v>
      </c>
      <c r="R266" s="2" t="inlineStr"/>
    </row>
    <row r="267" ht="15" customHeight="1">
      <c r="A267" t="inlineStr">
        <is>
          <t>A 24717-2025</t>
        </is>
      </c>
      <c r="B267" s="1" t="n">
        <v>45799.27168981481</v>
      </c>
      <c r="C267" s="1" t="n">
        <v>46180</v>
      </c>
      <c r="D267" t="inlineStr">
        <is>
          <t>SÖDERMANLANDS LÄN</t>
        </is>
      </c>
      <c r="E267" t="inlineStr">
        <is>
          <t>KATRINEHOLM</t>
        </is>
      </c>
      <c r="G267" t="n">
        <v>24.5</v>
      </c>
      <c r="H267" t="n">
        <v>0</v>
      </c>
      <c r="I267" t="n">
        <v>0</v>
      </c>
      <c r="J267" t="n">
        <v>0</v>
      </c>
      <c r="K267" t="n">
        <v>0</v>
      </c>
      <c r="L267" t="n">
        <v>0</v>
      </c>
      <c r="M267" t="n">
        <v>0</v>
      </c>
      <c r="N267" t="n">
        <v>0</v>
      </c>
      <c r="O267" t="n">
        <v>0</v>
      </c>
      <c r="P267" t="n">
        <v>0</v>
      </c>
      <c r="Q267" t="n">
        <v>0</v>
      </c>
      <c r="R267" s="2" t="inlineStr"/>
    </row>
    <row r="268" ht="15" customHeight="1">
      <c r="A268" t="inlineStr">
        <is>
          <t>A 33278-2024</t>
        </is>
      </c>
      <c r="B268" s="1" t="n">
        <v>45518</v>
      </c>
      <c r="C268" s="1" t="n">
        <v>46180</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53999-2023</t>
        </is>
      </c>
      <c r="B269" s="1" t="n">
        <v>45231</v>
      </c>
      <c r="C269" s="1" t="n">
        <v>46180</v>
      </c>
      <c r="D269" t="inlineStr">
        <is>
          <t>SÖDERMANLANDS LÄN</t>
        </is>
      </c>
      <c r="E269" t="inlineStr">
        <is>
          <t>KATRINEHOLM</t>
        </is>
      </c>
      <c r="G269" t="n">
        <v>5.4</v>
      </c>
      <c r="H269" t="n">
        <v>0</v>
      </c>
      <c r="I269" t="n">
        <v>0</v>
      </c>
      <c r="J269" t="n">
        <v>0</v>
      </c>
      <c r="K269" t="n">
        <v>0</v>
      </c>
      <c r="L269" t="n">
        <v>0</v>
      </c>
      <c r="M269" t="n">
        <v>0</v>
      </c>
      <c r="N269" t="n">
        <v>0</v>
      </c>
      <c r="O269" t="n">
        <v>0</v>
      </c>
      <c r="P269" t="n">
        <v>0</v>
      </c>
      <c r="Q269" t="n">
        <v>0</v>
      </c>
      <c r="R269" s="2" t="inlineStr"/>
    </row>
    <row r="270" ht="15" customHeight="1">
      <c r="A270" t="inlineStr">
        <is>
          <t>A 24719-2025</t>
        </is>
      </c>
      <c r="B270" s="1" t="n">
        <v>45799</v>
      </c>
      <c r="C270" s="1" t="n">
        <v>46180</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9714-2024</t>
        </is>
      </c>
      <c r="B271" s="1" t="n">
        <v>45362</v>
      </c>
      <c r="C271" s="1" t="n">
        <v>46180</v>
      </c>
      <c r="D271" t="inlineStr">
        <is>
          <t>SÖDERMANLANDS LÄN</t>
        </is>
      </c>
      <c r="E271" t="inlineStr">
        <is>
          <t>KATRINEHOLM</t>
        </is>
      </c>
      <c r="G271" t="n">
        <v>4</v>
      </c>
      <c r="H271" t="n">
        <v>0</v>
      </c>
      <c r="I271" t="n">
        <v>0</v>
      </c>
      <c r="J271" t="n">
        <v>0</v>
      </c>
      <c r="K271" t="n">
        <v>0</v>
      </c>
      <c r="L271" t="n">
        <v>0</v>
      </c>
      <c r="M271" t="n">
        <v>0</v>
      </c>
      <c r="N271" t="n">
        <v>0</v>
      </c>
      <c r="O271" t="n">
        <v>0</v>
      </c>
      <c r="P271" t="n">
        <v>0</v>
      </c>
      <c r="Q271" t="n">
        <v>0</v>
      </c>
      <c r="R271" s="2" t="inlineStr"/>
    </row>
    <row r="272" ht="15" customHeight="1">
      <c r="A272" t="inlineStr">
        <is>
          <t>A 39645-2025</t>
        </is>
      </c>
      <c r="B272" s="1" t="n">
        <v>45890</v>
      </c>
      <c r="C272" s="1" t="n">
        <v>46180</v>
      </c>
      <c r="D272" t="inlineStr">
        <is>
          <t>SÖDERMANLANDS LÄN</t>
        </is>
      </c>
      <c r="E272" t="inlineStr">
        <is>
          <t>KATRINEHOLM</t>
        </is>
      </c>
      <c r="G272" t="n">
        <v>0.2</v>
      </c>
      <c r="H272" t="n">
        <v>0</v>
      </c>
      <c r="I272" t="n">
        <v>0</v>
      </c>
      <c r="J272" t="n">
        <v>0</v>
      </c>
      <c r="K272" t="n">
        <v>0</v>
      </c>
      <c r="L272" t="n">
        <v>0</v>
      </c>
      <c r="M272" t="n">
        <v>0</v>
      </c>
      <c r="N272" t="n">
        <v>0</v>
      </c>
      <c r="O272" t="n">
        <v>0</v>
      </c>
      <c r="P272" t="n">
        <v>0</v>
      </c>
      <c r="Q272" t="n">
        <v>0</v>
      </c>
      <c r="R272" s="2" t="inlineStr"/>
    </row>
    <row r="273" ht="15" customHeight="1">
      <c r="A273" t="inlineStr">
        <is>
          <t>A 2473-2026</t>
        </is>
      </c>
      <c r="B273" s="1" t="n">
        <v>46037.37704861111</v>
      </c>
      <c r="C273" s="1" t="n">
        <v>46180</v>
      </c>
      <c r="D273" t="inlineStr">
        <is>
          <t>SÖDERMANLANDS LÄN</t>
        </is>
      </c>
      <c r="E273" t="inlineStr">
        <is>
          <t>KATRINEHOLM</t>
        </is>
      </c>
      <c r="F273" t="inlineStr">
        <is>
          <t>Övriga Aktiebolag</t>
        </is>
      </c>
      <c r="G273" t="n">
        <v>3.6</v>
      </c>
      <c r="H273" t="n">
        <v>0</v>
      </c>
      <c r="I273" t="n">
        <v>0</v>
      </c>
      <c r="J273" t="n">
        <v>0</v>
      </c>
      <c r="K273" t="n">
        <v>0</v>
      </c>
      <c r="L273" t="n">
        <v>0</v>
      </c>
      <c r="M273" t="n">
        <v>0</v>
      </c>
      <c r="N273" t="n">
        <v>0</v>
      </c>
      <c r="O273" t="n">
        <v>0</v>
      </c>
      <c r="P273" t="n">
        <v>0</v>
      </c>
      <c r="Q273" t="n">
        <v>0</v>
      </c>
      <c r="R273" s="2" t="inlineStr"/>
    </row>
    <row r="274" ht="15" customHeight="1">
      <c r="A274" t="inlineStr">
        <is>
          <t>A 24619-2024</t>
        </is>
      </c>
      <c r="B274" s="1" t="n">
        <v>45460</v>
      </c>
      <c r="C274" s="1" t="n">
        <v>46180</v>
      </c>
      <c r="D274" t="inlineStr">
        <is>
          <t>SÖDERMANLANDS LÄN</t>
        </is>
      </c>
      <c r="E274" t="inlineStr">
        <is>
          <t>KATRINEHOLM</t>
        </is>
      </c>
      <c r="G274" t="n">
        <v>4.7</v>
      </c>
      <c r="H274" t="n">
        <v>0</v>
      </c>
      <c r="I274" t="n">
        <v>0</v>
      </c>
      <c r="J274" t="n">
        <v>0</v>
      </c>
      <c r="K274" t="n">
        <v>0</v>
      </c>
      <c r="L274" t="n">
        <v>0</v>
      </c>
      <c r="M274" t="n">
        <v>0</v>
      </c>
      <c r="N274" t="n">
        <v>0</v>
      </c>
      <c r="O274" t="n">
        <v>0</v>
      </c>
      <c r="P274" t="n">
        <v>0</v>
      </c>
      <c r="Q274" t="n">
        <v>0</v>
      </c>
      <c r="R274" s="2" t="inlineStr"/>
    </row>
    <row r="275" ht="15" customHeight="1">
      <c r="A275" t="inlineStr">
        <is>
          <t>A 9699-2024</t>
        </is>
      </c>
      <c r="B275" s="1" t="n">
        <v>45362</v>
      </c>
      <c r="C275" s="1" t="n">
        <v>46180</v>
      </c>
      <c r="D275" t="inlineStr">
        <is>
          <t>SÖDERMANLANDS LÄN</t>
        </is>
      </c>
      <c r="E275" t="inlineStr">
        <is>
          <t>KATRINEHOLM</t>
        </is>
      </c>
      <c r="G275" t="n">
        <v>7.7</v>
      </c>
      <c r="H275" t="n">
        <v>0</v>
      </c>
      <c r="I275" t="n">
        <v>0</v>
      </c>
      <c r="J275" t="n">
        <v>0</v>
      </c>
      <c r="K275" t="n">
        <v>0</v>
      </c>
      <c r="L275" t="n">
        <v>0</v>
      </c>
      <c r="M275" t="n">
        <v>0</v>
      </c>
      <c r="N275" t="n">
        <v>0</v>
      </c>
      <c r="O275" t="n">
        <v>0</v>
      </c>
      <c r="P275" t="n">
        <v>0</v>
      </c>
      <c r="Q275" t="n">
        <v>0</v>
      </c>
      <c r="R275" s="2" t="inlineStr"/>
    </row>
    <row r="276" ht="15" customHeight="1">
      <c r="A276" t="inlineStr">
        <is>
          <t>A 39663-2025</t>
        </is>
      </c>
      <c r="B276" s="1" t="n">
        <v>45890</v>
      </c>
      <c r="C276" s="1" t="n">
        <v>46180</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59474-2021</t>
        </is>
      </c>
      <c r="B277" s="1" t="n">
        <v>44491</v>
      </c>
      <c r="C277" s="1" t="n">
        <v>46180</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14239-2024</t>
        </is>
      </c>
      <c r="B278" s="1" t="n">
        <v>45393</v>
      </c>
      <c r="C278" s="1" t="n">
        <v>46180</v>
      </c>
      <c r="D278" t="inlineStr">
        <is>
          <t>SÖDERMANLANDS LÄN</t>
        </is>
      </c>
      <c r="E278" t="inlineStr">
        <is>
          <t>KATRINEHOLM</t>
        </is>
      </c>
      <c r="G278" t="n">
        <v>2.7</v>
      </c>
      <c r="H278" t="n">
        <v>0</v>
      </c>
      <c r="I278" t="n">
        <v>0</v>
      </c>
      <c r="J278" t="n">
        <v>0</v>
      </c>
      <c r="K278" t="n">
        <v>0</v>
      </c>
      <c r="L278" t="n">
        <v>0</v>
      </c>
      <c r="M278" t="n">
        <v>0</v>
      </c>
      <c r="N278" t="n">
        <v>0</v>
      </c>
      <c r="O278" t="n">
        <v>0</v>
      </c>
      <c r="P278" t="n">
        <v>0</v>
      </c>
      <c r="Q278" t="n">
        <v>0</v>
      </c>
      <c r="R278" s="2" t="inlineStr"/>
    </row>
    <row r="279" ht="15" customHeight="1">
      <c r="A279" t="inlineStr">
        <is>
          <t>A 14248-2024</t>
        </is>
      </c>
      <c r="B279" s="1" t="n">
        <v>45393</v>
      </c>
      <c r="C279" s="1" t="n">
        <v>46180</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11635-2023</t>
        </is>
      </c>
      <c r="B280" s="1" t="n">
        <v>44994</v>
      </c>
      <c r="C280" s="1" t="n">
        <v>46180</v>
      </c>
      <c r="D280" t="inlineStr">
        <is>
          <t>SÖDERMANLANDS LÄN</t>
        </is>
      </c>
      <c r="E280" t="inlineStr">
        <is>
          <t>KATRINEHOLM</t>
        </is>
      </c>
      <c r="G280" t="n">
        <v>4.3</v>
      </c>
      <c r="H280" t="n">
        <v>0</v>
      </c>
      <c r="I280" t="n">
        <v>0</v>
      </c>
      <c r="J280" t="n">
        <v>0</v>
      </c>
      <c r="K280" t="n">
        <v>0</v>
      </c>
      <c r="L280" t="n">
        <v>0</v>
      </c>
      <c r="M280" t="n">
        <v>0</v>
      </c>
      <c r="N280" t="n">
        <v>0</v>
      </c>
      <c r="O280" t="n">
        <v>0</v>
      </c>
      <c r="P280" t="n">
        <v>0</v>
      </c>
      <c r="Q280" t="n">
        <v>0</v>
      </c>
      <c r="R280" s="2" t="inlineStr"/>
    </row>
    <row r="281" ht="15" customHeight="1">
      <c r="A281" t="inlineStr">
        <is>
          <t>A 10932-2023</t>
        </is>
      </c>
      <c r="B281" s="1" t="n">
        <v>44985</v>
      </c>
      <c r="C281" s="1" t="n">
        <v>46180</v>
      </c>
      <c r="D281" t="inlineStr">
        <is>
          <t>SÖDERMANLANDS LÄN</t>
        </is>
      </c>
      <c r="E281" t="inlineStr">
        <is>
          <t>KATRINEHOLM</t>
        </is>
      </c>
      <c r="G281" t="n">
        <v>1.8</v>
      </c>
      <c r="H281" t="n">
        <v>0</v>
      </c>
      <c r="I281" t="n">
        <v>0</v>
      </c>
      <c r="J281" t="n">
        <v>0</v>
      </c>
      <c r="K281" t="n">
        <v>0</v>
      </c>
      <c r="L281" t="n">
        <v>0</v>
      </c>
      <c r="M281" t="n">
        <v>0</v>
      </c>
      <c r="N281" t="n">
        <v>0</v>
      </c>
      <c r="O281" t="n">
        <v>0</v>
      </c>
      <c r="P281" t="n">
        <v>0</v>
      </c>
      <c r="Q281" t="n">
        <v>0</v>
      </c>
      <c r="R281" s="2" t="inlineStr"/>
    </row>
    <row r="282" ht="15" customHeight="1">
      <c r="A282" t="inlineStr">
        <is>
          <t>A 39737-2025</t>
        </is>
      </c>
      <c r="B282" s="1" t="n">
        <v>45891</v>
      </c>
      <c r="C282" s="1" t="n">
        <v>46180</v>
      </c>
      <c r="D282" t="inlineStr">
        <is>
          <t>SÖDERMANLANDS LÄN</t>
        </is>
      </c>
      <c r="E282" t="inlineStr">
        <is>
          <t>KATRINEHOLM</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39847-2025</t>
        </is>
      </c>
      <c r="B283" s="1" t="n">
        <v>45891.58381944444</v>
      </c>
      <c r="C283" s="1" t="n">
        <v>46180</v>
      </c>
      <c r="D283" t="inlineStr">
        <is>
          <t>SÖDERMANLANDS LÄN</t>
        </is>
      </c>
      <c r="E283" t="inlineStr">
        <is>
          <t>KATRINEHOLM</t>
        </is>
      </c>
      <c r="F283" t="inlineStr">
        <is>
          <t>Holmen skog AB</t>
        </is>
      </c>
      <c r="G283" t="n">
        <v>2.5</v>
      </c>
      <c r="H283" t="n">
        <v>0</v>
      </c>
      <c r="I283" t="n">
        <v>0</v>
      </c>
      <c r="J283" t="n">
        <v>0</v>
      </c>
      <c r="K283" t="n">
        <v>0</v>
      </c>
      <c r="L283" t="n">
        <v>0</v>
      </c>
      <c r="M283" t="n">
        <v>0</v>
      </c>
      <c r="N283" t="n">
        <v>0</v>
      </c>
      <c r="O283" t="n">
        <v>0</v>
      </c>
      <c r="P283" t="n">
        <v>0</v>
      </c>
      <c r="Q283" t="n">
        <v>0</v>
      </c>
      <c r="R283" s="2" t="inlineStr"/>
    </row>
    <row r="284" ht="15" customHeight="1">
      <c r="A284" t="inlineStr">
        <is>
          <t>A 6087-2022</t>
        </is>
      </c>
      <c r="B284" s="1" t="n">
        <v>44599.61034722222</v>
      </c>
      <c r="C284" s="1" t="n">
        <v>46180</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8957-2024</t>
        </is>
      </c>
      <c r="B285" s="1" t="n">
        <v>45357.45089120371</v>
      </c>
      <c r="C285" s="1" t="n">
        <v>46180</v>
      </c>
      <c r="D285" t="inlineStr">
        <is>
          <t>SÖDERMANLANDS LÄN</t>
        </is>
      </c>
      <c r="E285" t="inlineStr">
        <is>
          <t>KATRINEHOLM</t>
        </is>
      </c>
      <c r="G285" t="n">
        <v>3.6</v>
      </c>
      <c r="H285" t="n">
        <v>0</v>
      </c>
      <c r="I285" t="n">
        <v>0</v>
      </c>
      <c r="J285" t="n">
        <v>0</v>
      </c>
      <c r="K285" t="n">
        <v>0</v>
      </c>
      <c r="L285" t="n">
        <v>0</v>
      </c>
      <c r="M285" t="n">
        <v>0</v>
      </c>
      <c r="N285" t="n">
        <v>0</v>
      </c>
      <c r="O285" t="n">
        <v>0</v>
      </c>
      <c r="P285" t="n">
        <v>0</v>
      </c>
      <c r="Q285" t="n">
        <v>0</v>
      </c>
      <c r="R285" s="2" t="inlineStr"/>
    </row>
    <row r="286" ht="15" customHeight="1">
      <c r="A286" t="inlineStr">
        <is>
          <t>A 25786-2025</t>
        </is>
      </c>
      <c r="B286" s="1" t="n">
        <v>45804.37456018518</v>
      </c>
      <c r="C286" s="1" t="n">
        <v>46180</v>
      </c>
      <c r="D286" t="inlineStr">
        <is>
          <t>SÖDERMANLANDS LÄN</t>
        </is>
      </c>
      <c r="E286" t="inlineStr">
        <is>
          <t>KATRINEHOLM</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42896-2024</t>
        </is>
      </c>
      <c r="B287" s="1" t="n">
        <v>45566.82973379629</v>
      </c>
      <c r="C287" s="1" t="n">
        <v>46180</v>
      </c>
      <c r="D287" t="inlineStr">
        <is>
          <t>SÖDERMANLANDS LÄN</t>
        </is>
      </c>
      <c r="E287" t="inlineStr">
        <is>
          <t>KATRINEHOLM</t>
        </is>
      </c>
      <c r="G287" t="n">
        <v>4.3</v>
      </c>
      <c r="H287" t="n">
        <v>0</v>
      </c>
      <c r="I287" t="n">
        <v>0</v>
      </c>
      <c r="J287" t="n">
        <v>0</v>
      </c>
      <c r="K287" t="n">
        <v>0</v>
      </c>
      <c r="L287" t="n">
        <v>0</v>
      </c>
      <c r="M287" t="n">
        <v>0</v>
      </c>
      <c r="N287" t="n">
        <v>0</v>
      </c>
      <c r="O287" t="n">
        <v>0</v>
      </c>
      <c r="P287" t="n">
        <v>0</v>
      </c>
      <c r="Q287" t="n">
        <v>0</v>
      </c>
      <c r="R287" s="2" t="inlineStr"/>
    </row>
    <row r="288" ht="15" customHeight="1">
      <c r="A288" t="inlineStr">
        <is>
          <t>A 26154-2025</t>
        </is>
      </c>
      <c r="B288" s="1" t="n">
        <v>45805.43341435185</v>
      </c>
      <c r="C288" s="1" t="n">
        <v>46180</v>
      </c>
      <c r="D288" t="inlineStr">
        <is>
          <t>SÖDERMANLANDS LÄN</t>
        </is>
      </c>
      <c r="E288" t="inlineStr">
        <is>
          <t>KATRINEHOLM</t>
        </is>
      </c>
      <c r="G288" t="n">
        <v>4.5</v>
      </c>
      <c r="H288" t="n">
        <v>0</v>
      </c>
      <c r="I288" t="n">
        <v>0</v>
      </c>
      <c r="J288" t="n">
        <v>0</v>
      </c>
      <c r="K288" t="n">
        <v>0</v>
      </c>
      <c r="L288" t="n">
        <v>0</v>
      </c>
      <c r="M288" t="n">
        <v>0</v>
      </c>
      <c r="N288" t="n">
        <v>0</v>
      </c>
      <c r="O288" t="n">
        <v>0</v>
      </c>
      <c r="P288" t="n">
        <v>0</v>
      </c>
      <c r="Q288" t="n">
        <v>0</v>
      </c>
      <c r="R288" s="2" t="inlineStr"/>
    </row>
    <row r="289" ht="15" customHeight="1">
      <c r="A289" t="inlineStr">
        <is>
          <t>A 7747-2024</t>
        </is>
      </c>
      <c r="B289" s="1" t="n">
        <v>45348</v>
      </c>
      <c r="C289" s="1" t="n">
        <v>46180</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7753-2024</t>
        </is>
      </c>
      <c r="B290" s="1" t="n">
        <v>45348</v>
      </c>
      <c r="C290" s="1" t="n">
        <v>46180</v>
      </c>
      <c r="D290" t="inlineStr">
        <is>
          <t>SÖDERMANLANDS LÄN</t>
        </is>
      </c>
      <c r="E290" t="inlineStr">
        <is>
          <t>KATRINEHOLM</t>
        </is>
      </c>
      <c r="G290" t="n">
        <v>13.4</v>
      </c>
      <c r="H290" t="n">
        <v>0</v>
      </c>
      <c r="I290" t="n">
        <v>0</v>
      </c>
      <c r="J290" t="n">
        <v>0</v>
      </c>
      <c r="K290" t="n">
        <v>0</v>
      </c>
      <c r="L290" t="n">
        <v>0</v>
      </c>
      <c r="M290" t="n">
        <v>0</v>
      </c>
      <c r="N290" t="n">
        <v>0</v>
      </c>
      <c r="O290" t="n">
        <v>0</v>
      </c>
      <c r="P290" t="n">
        <v>0</v>
      </c>
      <c r="Q290" t="n">
        <v>0</v>
      </c>
      <c r="R290" s="2" t="inlineStr"/>
    </row>
    <row r="291" ht="15" customHeight="1">
      <c r="A291" t="inlineStr">
        <is>
          <t>A 26156-2025</t>
        </is>
      </c>
      <c r="B291" s="1" t="n">
        <v>45805.43864583333</v>
      </c>
      <c r="C291" s="1" t="n">
        <v>46180</v>
      </c>
      <c r="D291" t="inlineStr">
        <is>
          <t>SÖDERMANLANDS LÄN</t>
        </is>
      </c>
      <c r="E291" t="inlineStr">
        <is>
          <t>KATRINEHOLM</t>
        </is>
      </c>
      <c r="G291" t="n">
        <v>4.1</v>
      </c>
      <c r="H291" t="n">
        <v>0</v>
      </c>
      <c r="I291" t="n">
        <v>0</v>
      </c>
      <c r="J291" t="n">
        <v>0</v>
      </c>
      <c r="K291" t="n">
        <v>0</v>
      </c>
      <c r="L291" t="n">
        <v>0</v>
      </c>
      <c r="M291" t="n">
        <v>0</v>
      </c>
      <c r="N291" t="n">
        <v>0</v>
      </c>
      <c r="O291" t="n">
        <v>0</v>
      </c>
      <c r="P291" t="n">
        <v>0</v>
      </c>
      <c r="Q291" t="n">
        <v>0</v>
      </c>
      <c r="R291" s="2" t="inlineStr"/>
    </row>
    <row r="292" ht="15" customHeight="1">
      <c r="A292" t="inlineStr">
        <is>
          <t>A 5935-2023</t>
        </is>
      </c>
      <c r="B292" s="1" t="n">
        <v>44963</v>
      </c>
      <c r="C292" s="1" t="n">
        <v>46180</v>
      </c>
      <c r="D292" t="inlineStr">
        <is>
          <t>SÖDERMANLANDS LÄN</t>
        </is>
      </c>
      <c r="E292" t="inlineStr">
        <is>
          <t>KATRINEHOLM</t>
        </is>
      </c>
      <c r="G292" t="n">
        <v>1.5</v>
      </c>
      <c r="H292" t="n">
        <v>0</v>
      </c>
      <c r="I292" t="n">
        <v>0</v>
      </c>
      <c r="J292" t="n">
        <v>0</v>
      </c>
      <c r="K292" t="n">
        <v>0</v>
      </c>
      <c r="L292" t="n">
        <v>0</v>
      </c>
      <c r="M292" t="n">
        <v>0</v>
      </c>
      <c r="N292" t="n">
        <v>0</v>
      </c>
      <c r="O292" t="n">
        <v>0</v>
      </c>
      <c r="P292" t="n">
        <v>0</v>
      </c>
      <c r="Q292" t="n">
        <v>0</v>
      </c>
      <c r="R292" s="2" t="inlineStr"/>
    </row>
    <row r="293" ht="15" customHeight="1">
      <c r="A293" t="inlineStr">
        <is>
          <t>A 41074-2025</t>
        </is>
      </c>
      <c r="B293" s="1" t="n">
        <v>45898</v>
      </c>
      <c r="C293" s="1" t="n">
        <v>46180</v>
      </c>
      <c r="D293" t="inlineStr">
        <is>
          <t>SÖDERMANLANDS LÄN</t>
        </is>
      </c>
      <c r="E293" t="inlineStr">
        <is>
          <t>KATRINEHOLM</t>
        </is>
      </c>
      <c r="F293" t="inlineStr">
        <is>
          <t>Allmännings- och besparingsskogar</t>
        </is>
      </c>
      <c r="G293" t="n">
        <v>4.8</v>
      </c>
      <c r="H293" t="n">
        <v>0</v>
      </c>
      <c r="I293" t="n">
        <v>0</v>
      </c>
      <c r="J293" t="n">
        <v>0</v>
      </c>
      <c r="K293" t="n">
        <v>0</v>
      </c>
      <c r="L293" t="n">
        <v>0</v>
      </c>
      <c r="M293" t="n">
        <v>0</v>
      </c>
      <c r="N293" t="n">
        <v>0</v>
      </c>
      <c r="O293" t="n">
        <v>0</v>
      </c>
      <c r="P293" t="n">
        <v>0</v>
      </c>
      <c r="Q293" t="n">
        <v>0</v>
      </c>
      <c r="R293" s="2" t="inlineStr"/>
    </row>
    <row r="294" ht="15" customHeight="1">
      <c r="A294" t="inlineStr">
        <is>
          <t>A 10732-2022</t>
        </is>
      </c>
      <c r="B294" s="1" t="n">
        <v>44627.34033564815</v>
      </c>
      <c r="C294" s="1" t="n">
        <v>46180</v>
      </c>
      <c r="D294" t="inlineStr">
        <is>
          <t>SÖDERMANLANDS LÄN</t>
        </is>
      </c>
      <c r="E294" t="inlineStr">
        <is>
          <t>KATRINEHOLM</t>
        </is>
      </c>
      <c r="G294" t="n">
        <v>2.4</v>
      </c>
      <c r="H294" t="n">
        <v>0</v>
      </c>
      <c r="I294" t="n">
        <v>0</v>
      </c>
      <c r="J294" t="n">
        <v>0</v>
      </c>
      <c r="K294" t="n">
        <v>0</v>
      </c>
      <c r="L294" t="n">
        <v>0</v>
      </c>
      <c r="M294" t="n">
        <v>0</v>
      </c>
      <c r="N294" t="n">
        <v>0</v>
      </c>
      <c r="O294" t="n">
        <v>0</v>
      </c>
      <c r="P294" t="n">
        <v>0</v>
      </c>
      <c r="Q294" t="n">
        <v>0</v>
      </c>
      <c r="R294" s="2" t="inlineStr"/>
    </row>
    <row r="295" ht="15" customHeight="1">
      <c r="A295" t="inlineStr">
        <is>
          <t>A 3939-2022</t>
        </is>
      </c>
      <c r="B295" s="1" t="n">
        <v>44587</v>
      </c>
      <c r="C295" s="1" t="n">
        <v>46180</v>
      </c>
      <c r="D295" t="inlineStr">
        <is>
          <t>SÖDERMANLANDS LÄN</t>
        </is>
      </c>
      <c r="E295" t="inlineStr">
        <is>
          <t>KATRINEHOLM</t>
        </is>
      </c>
      <c r="G295" t="n">
        <v>0.8</v>
      </c>
      <c r="H295" t="n">
        <v>0</v>
      </c>
      <c r="I295" t="n">
        <v>0</v>
      </c>
      <c r="J295" t="n">
        <v>0</v>
      </c>
      <c r="K295" t="n">
        <v>0</v>
      </c>
      <c r="L295" t="n">
        <v>0</v>
      </c>
      <c r="M295" t="n">
        <v>0</v>
      </c>
      <c r="N295" t="n">
        <v>0</v>
      </c>
      <c r="O295" t="n">
        <v>0</v>
      </c>
      <c r="P295" t="n">
        <v>0</v>
      </c>
      <c r="Q295" t="n">
        <v>0</v>
      </c>
      <c r="R295" s="2" t="inlineStr"/>
    </row>
    <row r="296" ht="15" customHeight="1">
      <c r="A296" t="inlineStr">
        <is>
          <t>A 56074-2022</t>
        </is>
      </c>
      <c r="B296" s="1" t="n">
        <v>44889</v>
      </c>
      <c r="C296" s="1" t="n">
        <v>46180</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c r="T296">
        <f>HYPERLINK("https://klasma.github.io/Logging_0483/kartor/A 56074-2022 karta.png", "A 56074-2022")</f>
        <v/>
      </c>
      <c r="V296">
        <f>HYPERLINK("https://klasma.github.io/Logging_0483/klagomål/A 56074-2022 FSC-klagomål.docx", "A 56074-2022")</f>
        <v/>
      </c>
      <c r="W296">
        <f>HYPERLINK("https://klasma.github.io/Logging_0483/klagomålsmail/A 56074-2022 FSC-klagomål mail.docx", "A 56074-2022")</f>
        <v/>
      </c>
      <c r="X296">
        <f>HYPERLINK("https://klasma.github.io/Logging_0483/tillsyn/A 56074-2022 tillsynsbegäran.docx", "A 56074-2022")</f>
        <v/>
      </c>
      <c r="Y296">
        <f>HYPERLINK("https://klasma.github.io/Logging_0483/tillsynsmail/A 56074-2022 tillsynsbegäran mail.docx", "A 56074-2022")</f>
        <v/>
      </c>
    </row>
    <row r="297" ht="15" customHeight="1">
      <c r="A297" t="inlineStr">
        <is>
          <t>A 49341-2024</t>
        </is>
      </c>
      <c r="B297" s="1" t="n">
        <v>45595</v>
      </c>
      <c r="C297" s="1" t="n">
        <v>46180</v>
      </c>
      <c r="D297" t="inlineStr">
        <is>
          <t>SÖDERMANLANDS LÄN</t>
        </is>
      </c>
      <c r="E297" t="inlineStr">
        <is>
          <t>KATRINEHOLM</t>
        </is>
      </c>
      <c r="G297" t="n">
        <v>10</v>
      </c>
      <c r="H297" t="n">
        <v>0</v>
      </c>
      <c r="I297" t="n">
        <v>0</v>
      </c>
      <c r="J297" t="n">
        <v>0</v>
      </c>
      <c r="K297" t="n">
        <v>0</v>
      </c>
      <c r="L297" t="n">
        <v>0</v>
      </c>
      <c r="M297" t="n">
        <v>0</v>
      </c>
      <c r="N297" t="n">
        <v>0</v>
      </c>
      <c r="O297" t="n">
        <v>0</v>
      </c>
      <c r="P297" t="n">
        <v>0</v>
      </c>
      <c r="Q297" t="n">
        <v>0</v>
      </c>
      <c r="R297" s="2" t="inlineStr"/>
    </row>
    <row r="298" ht="15" customHeight="1">
      <c r="A298" t="inlineStr">
        <is>
          <t>A 61915-2021</t>
        </is>
      </c>
      <c r="B298" s="1" t="n">
        <v>44502.36780092592</v>
      </c>
      <c r="C298" s="1" t="n">
        <v>46180</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4656-2023</t>
        </is>
      </c>
      <c r="B299" s="1" t="n">
        <v>44957</v>
      </c>
      <c r="C299" s="1" t="n">
        <v>46180</v>
      </c>
      <c r="D299" t="inlineStr">
        <is>
          <t>SÖDERMANLANDS LÄN</t>
        </is>
      </c>
      <c r="E299" t="inlineStr">
        <is>
          <t>KATRINEHOLM</t>
        </is>
      </c>
      <c r="F299" t="inlineStr">
        <is>
          <t>Holmen skog AB</t>
        </is>
      </c>
      <c r="G299" t="n">
        <v>1.7</v>
      </c>
      <c r="H299" t="n">
        <v>0</v>
      </c>
      <c r="I299" t="n">
        <v>0</v>
      </c>
      <c r="J299" t="n">
        <v>0</v>
      </c>
      <c r="K299" t="n">
        <v>0</v>
      </c>
      <c r="L299" t="n">
        <v>0</v>
      </c>
      <c r="M299" t="n">
        <v>0</v>
      </c>
      <c r="N299" t="n">
        <v>0</v>
      </c>
      <c r="O299" t="n">
        <v>0</v>
      </c>
      <c r="P299" t="n">
        <v>0</v>
      </c>
      <c r="Q299" t="n">
        <v>0</v>
      </c>
      <c r="R299" s="2" t="inlineStr"/>
    </row>
    <row r="300" ht="15" customHeight="1">
      <c r="A300" t="inlineStr">
        <is>
          <t>A 59093-2024</t>
        </is>
      </c>
      <c r="B300" s="1" t="n">
        <v>45636</v>
      </c>
      <c r="C300" s="1" t="n">
        <v>46180</v>
      </c>
      <c r="D300" t="inlineStr">
        <is>
          <t>SÖDERMANLANDS LÄN</t>
        </is>
      </c>
      <c r="E300" t="inlineStr">
        <is>
          <t>KATRINEHOLM</t>
        </is>
      </c>
      <c r="G300" t="n">
        <v>2.8</v>
      </c>
      <c r="H300" t="n">
        <v>0</v>
      </c>
      <c r="I300" t="n">
        <v>0</v>
      </c>
      <c r="J300" t="n">
        <v>0</v>
      </c>
      <c r="K300" t="n">
        <v>0</v>
      </c>
      <c r="L300" t="n">
        <v>0</v>
      </c>
      <c r="M300" t="n">
        <v>0</v>
      </c>
      <c r="N300" t="n">
        <v>0</v>
      </c>
      <c r="O300" t="n">
        <v>0</v>
      </c>
      <c r="P300" t="n">
        <v>0</v>
      </c>
      <c r="Q300" t="n">
        <v>0</v>
      </c>
      <c r="R300" s="2" t="inlineStr"/>
    </row>
    <row r="301" ht="15" customHeight="1">
      <c r="A301" t="inlineStr">
        <is>
          <t>A 27534-2025</t>
        </is>
      </c>
      <c r="B301" s="1" t="n">
        <v>45813</v>
      </c>
      <c r="C301" s="1" t="n">
        <v>46180</v>
      </c>
      <c r="D301" t="inlineStr">
        <is>
          <t>SÖDERMANLANDS LÄN</t>
        </is>
      </c>
      <c r="E301" t="inlineStr">
        <is>
          <t>KATRINEHOLM</t>
        </is>
      </c>
      <c r="G301" t="n">
        <v>0.7</v>
      </c>
      <c r="H301" t="n">
        <v>0</v>
      </c>
      <c r="I301" t="n">
        <v>0</v>
      </c>
      <c r="J301" t="n">
        <v>0</v>
      </c>
      <c r="K301" t="n">
        <v>0</v>
      </c>
      <c r="L301" t="n">
        <v>0</v>
      </c>
      <c r="M301" t="n">
        <v>0</v>
      </c>
      <c r="N301" t="n">
        <v>0</v>
      </c>
      <c r="O301" t="n">
        <v>0</v>
      </c>
      <c r="P301" t="n">
        <v>0</v>
      </c>
      <c r="Q301" t="n">
        <v>0</v>
      </c>
      <c r="R301" s="2" t="inlineStr"/>
    </row>
    <row r="302" ht="15" customHeight="1">
      <c r="A302" t="inlineStr">
        <is>
          <t>A 27636-2025</t>
        </is>
      </c>
      <c r="B302" s="1" t="n">
        <v>45813.57603009259</v>
      </c>
      <c r="C302" s="1" t="n">
        <v>46180</v>
      </c>
      <c r="D302" t="inlineStr">
        <is>
          <t>SÖDERMANLANDS LÄN</t>
        </is>
      </c>
      <c r="E302" t="inlineStr">
        <is>
          <t>KATRINEHOLM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24600-2025</t>
        </is>
      </c>
      <c r="B303" s="1" t="n">
        <v>45798.56348379629</v>
      </c>
      <c r="C303" s="1" t="n">
        <v>46180</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42799-2025</t>
        </is>
      </c>
      <c r="B304" s="1" t="n">
        <v>45907</v>
      </c>
      <c r="C304" s="1" t="n">
        <v>46180</v>
      </c>
      <c r="D304" t="inlineStr">
        <is>
          <t>SÖDERMANLANDS LÄN</t>
        </is>
      </c>
      <c r="E304" t="inlineStr">
        <is>
          <t>KATRINEHOLM</t>
        </is>
      </c>
      <c r="G304" t="n">
        <v>3.9</v>
      </c>
      <c r="H304" t="n">
        <v>0</v>
      </c>
      <c r="I304" t="n">
        <v>0</v>
      </c>
      <c r="J304" t="n">
        <v>0</v>
      </c>
      <c r="K304" t="n">
        <v>0</v>
      </c>
      <c r="L304" t="n">
        <v>0</v>
      </c>
      <c r="M304" t="n">
        <v>0</v>
      </c>
      <c r="N304" t="n">
        <v>0</v>
      </c>
      <c r="O304" t="n">
        <v>0</v>
      </c>
      <c r="P304" t="n">
        <v>0</v>
      </c>
      <c r="Q304" t="n">
        <v>0</v>
      </c>
      <c r="R304" s="2" t="inlineStr"/>
    </row>
    <row r="305" ht="15" customHeight="1">
      <c r="A305" t="inlineStr">
        <is>
          <t>A 42474-2025</t>
        </is>
      </c>
      <c r="B305" s="1" t="n">
        <v>45905.46659722222</v>
      </c>
      <c r="C305" s="1" t="n">
        <v>46180</v>
      </c>
      <c r="D305" t="inlineStr">
        <is>
          <t>SÖDERMANLANDS LÄN</t>
        </is>
      </c>
      <c r="E305" t="inlineStr">
        <is>
          <t>KATRINEHOLM</t>
        </is>
      </c>
      <c r="G305" t="n">
        <v>4</v>
      </c>
      <c r="H305" t="n">
        <v>0</v>
      </c>
      <c r="I305" t="n">
        <v>0</v>
      </c>
      <c r="J305" t="n">
        <v>0</v>
      </c>
      <c r="K305" t="n">
        <v>0</v>
      </c>
      <c r="L305" t="n">
        <v>0</v>
      </c>
      <c r="M305" t="n">
        <v>0</v>
      </c>
      <c r="N305" t="n">
        <v>0</v>
      </c>
      <c r="O305" t="n">
        <v>0</v>
      </c>
      <c r="P305" t="n">
        <v>0</v>
      </c>
      <c r="Q305" t="n">
        <v>0</v>
      </c>
      <c r="R305" s="2" t="inlineStr"/>
    </row>
    <row r="306" ht="15" customHeight="1">
      <c r="A306" t="inlineStr">
        <is>
          <t>A 35608-2024</t>
        </is>
      </c>
      <c r="B306" s="1" t="n">
        <v>45531</v>
      </c>
      <c r="C306" s="1" t="n">
        <v>46180</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9932-2023</t>
        </is>
      </c>
      <c r="B307" s="1" t="n">
        <v>44985.46709490741</v>
      </c>
      <c r="C307" s="1" t="n">
        <v>46180</v>
      </c>
      <c r="D307" t="inlineStr">
        <is>
          <t>SÖDERMANLANDS LÄN</t>
        </is>
      </c>
      <c r="E307" t="inlineStr">
        <is>
          <t>KATRINEHOLM</t>
        </is>
      </c>
      <c r="G307" t="n">
        <v>0.3</v>
      </c>
      <c r="H307" t="n">
        <v>0</v>
      </c>
      <c r="I307" t="n">
        <v>0</v>
      </c>
      <c r="J307" t="n">
        <v>0</v>
      </c>
      <c r="K307" t="n">
        <v>0</v>
      </c>
      <c r="L307" t="n">
        <v>0</v>
      </c>
      <c r="M307" t="n">
        <v>0</v>
      </c>
      <c r="N307" t="n">
        <v>0</v>
      </c>
      <c r="O307" t="n">
        <v>0</v>
      </c>
      <c r="P307" t="n">
        <v>0</v>
      </c>
      <c r="Q307" t="n">
        <v>0</v>
      </c>
      <c r="R307" s="2" t="inlineStr"/>
    </row>
    <row r="308" ht="15" customHeight="1">
      <c r="A308" t="inlineStr">
        <is>
          <t>A 9192-2023</t>
        </is>
      </c>
      <c r="B308" s="1" t="n">
        <v>44980</v>
      </c>
      <c r="C308" s="1" t="n">
        <v>46180</v>
      </c>
      <c r="D308" t="inlineStr">
        <is>
          <t>SÖDERMANLANDS LÄN</t>
        </is>
      </c>
      <c r="E308" t="inlineStr">
        <is>
          <t>KATRINEHOLM</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15399-2022</t>
        </is>
      </c>
      <c r="B309" s="1" t="n">
        <v>44659</v>
      </c>
      <c r="C309" s="1" t="n">
        <v>46180</v>
      </c>
      <c r="D309" t="inlineStr">
        <is>
          <t>SÖDERMANLANDS LÄN</t>
        </is>
      </c>
      <c r="E309" t="inlineStr">
        <is>
          <t>KATRINEHOLM</t>
        </is>
      </c>
      <c r="G309" t="n">
        <v>5.6</v>
      </c>
      <c r="H309" t="n">
        <v>0</v>
      </c>
      <c r="I309" t="n">
        <v>0</v>
      </c>
      <c r="J309" t="n">
        <v>0</v>
      </c>
      <c r="K309" t="n">
        <v>0</v>
      </c>
      <c r="L309" t="n">
        <v>0</v>
      </c>
      <c r="M309" t="n">
        <v>0</v>
      </c>
      <c r="N309" t="n">
        <v>0</v>
      </c>
      <c r="O309" t="n">
        <v>0</v>
      </c>
      <c r="P309" t="n">
        <v>0</v>
      </c>
      <c r="Q309" t="n">
        <v>0</v>
      </c>
      <c r="R309" s="2" t="inlineStr"/>
    </row>
    <row r="310" ht="15" customHeight="1">
      <c r="A310" t="inlineStr">
        <is>
          <t>A 11872-2023</t>
        </is>
      </c>
      <c r="B310" s="1" t="n">
        <v>44995</v>
      </c>
      <c r="C310" s="1" t="n">
        <v>46180</v>
      </c>
      <c r="D310" t="inlineStr">
        <is>
          <t>SÖDERMANLANDS LÄN</t>
        </is>
      </c>
      <c r="E310" t="inlineStr">
        <is>
          <t>KATRINEHOLM</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12633-2022</t>
        </is>
      </c>
      <c r="B311" s="1" t="n">
        <v>44638</v>
      </c>
      <c r="C311" s="1" t="n">
        <v>46180</v>
      </c>
      <c r="D311" t="inlineStr">
        <is>
          <t>SÖDERMANLANDS LÄN</t>
        </is>
      </c>
      <c r="E311" t="inlineStr">
        <is>
          <t>KATRINEHOLM</t>
        </is>
      </c>
      <c r="G311" t="n">
        <v>6.4</v>
      </c>
      <c r="H311" t="n">
        <v>0</v>
      </c>
      <c r="I311" t="n">
        <v>0</v>
      </c>
      <c r="J311" t="n">
        <v>0</v>
      </c>
      <c r="K311" t="n">
        <v>0</v>
      </c>
      <c r="L311" t="n">
        <v>0</v>
      </c>
      <c r="M311" t="n">
        <v>0</v>
      </c>
      <c r="N311" t="n">
        <v>0</v>
      </c>
      <c r="O311" t="n">
        <v>0</v>
      </c>
      <c r="P311" t="n">
        <v>0</v>
      </c>
      <c r="Q311" t="n">
        <v>0</v>
      </c>
      <c r="R311" s="2" t="inlineStr"/>
    </row>
    <row r="312" ht="15" customHeight="1">
      <c r="A312" t="inlineStr">
        <is>
          <t>A 49092-2024</t>
        </is>
      </c>
      <c r="B312" s="1" t="n">
        <v>45594.63619212963</v>
      </c>
      <c r="C312" s="1" t="n">
        <v>46180</v>
      </c>
      <c r="D312" t="inlineStr">
        <is>
          <t>SÖDERMANLANDS LÄN</t>
        </is>
      </c>
      <c r="E312" t="inlineStr">
        <is>
          <t>KATRINEHOLM</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49095-2024</t>
        </is>
      </c>
      <c r="B313" s="1" t="n">
        <v>45594.63828703704</v>
      </c>
      <c r="C313" s="1" t="n">
        <v>46180</v>
      </c>
      <c r="D313" t="inlineStr">
        <is>
          <t>SÖDERMANLANDS LÄN</t>
        </is>
      </c>
      <c r="E313" t="inlineStr">
        <is>
          <t>KATRINEHOLM</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29189-2025</t>
        </is>
      </c>
      <c r="B314" s="1" t="n">
        <v>45822</v>
      </c>
      <c r="C314" s="1" t="n">
        <v>46180</v>
      </c>
      <c r="D314" t="inlineStr">
        <is>
          <t>SÖDERMANLANDS LÄN</t>
        </is>
      </c>
      <c r="E314" t="inlineStr">
        <is>
          <t>KATRINEHOLM</t>
        </is>
      </c>
      <c r="G314" t="n">
        <v>3.5</v>
      </c>
      <c r="H314" t="n">
        <v>0</v>
      </c>
      <c r="I314" t="n">
        <v>0</v>
      </c>
      <c r="J314" t="n">
        <v>0</v>
      </c>
      <c r="K314" t="n">
        <v>0</v>
      </c>
      <c r="L314" t="n">
        <v>0</v>
      </c>
      <c r="M314" t="n">
        <v>0</v>
      </c>
      <c r="N314" t="n">
        <v>0</v>
      </c>
      <c r="O314" t="n">
        <v>0</v>
      </c>
      <c r="P314" t="n">
        <v>0</v>
      </c>
      <c r="Q314" t="n">
        <v>0</v>
      </c>
      <c r="R314" s="2" t="inlineStr"/>
    </row>
    <row r="315" ht="15" customHeight="1">
      <c r="A315" t="inlineStr">
        <is>
          <t>A 30070-2025</t>
        </is>
      </c>
      <c r="B315" s="1" t="n">
        <v>45826.63324074074</v>
      </c>
      <c r="C315" s="1" t="n">
        <v>46180</v>
      </c>
      <c r="D315" t="inlineStr">
        <is>
          <t>SÖDERMANLANDS LÄN</t>
        </is>
      </c>
      <c r="E315" t="inlineStr">
        <is>
          <t>KATRINEHOLM</t>
        </is>
      </c>
      <c r="G315" t="n">
        <v>1.7</v>
      </c>
      <c r="H315" t="n">
        <v>0</v>
      </c>
      <c r="I315" t="n">
        <v>0</v>
      </c>
      <c r="J315" t="n">
        <v>0</v>
      </c>
      <c r="K315" t="n">
        <v>0</v>
      </c>
      <c r="L315" t="n">
        <v>0</v>
      </c>
      <c r="M315" t="n">
        <v>0</v>
      </c>
      <c r="N315" t="n">
        <v>0</v>
      </c>
      <c r="O315" t="n">
        <v>0</v>
      </c>
      <c r="P315" t="n">
        <v>0</v>
      </c>
      <c r="Q315" t="n">
        <v>0</v>
      </c>
      <c r="R315" s="2" t="inlineStr"/>
    </row>
    <row r="316" ht="15" customHeight="1">
      <c r="A316" t="inlineStr">
        <is>
          <t>A 4889-2026</t>
        </is>
      </c>
      <c r="B316" s="1" t="n">
        <v>46048.66766203703</v>
      </c>
      <c r="C316" s="1" t="n">
        <v>46180</v>
      </c>
      <c r="D316" t="inlineStr">
        <is>
          <t>SÖDERMANLANDS LÄN</t>
        </is>
      </c>
      <c r="E316" t="inlineStr">
        <is>
          <t>KATRINEHOLM</t>
        </is>
      </c>
      <c r="F316" t="inlineStr">
        <is>
          <t>Övriga Aktiebolag</t>
        </is>
      </c>
      <c r="G316" t="n">
        <v>2.4</v>
      </c>
      <c r="H316" t="n">
        <v>0</v>
      </c>
      <c r="I316" t="n">
        <v>0</v>
      </c>
      <c r="J316" t="n">
        <v>0</v>
      </c>
      <c r="K316" t="n">
        <v>0</v>
      </c>
      <c r="L316" t="n">
        <v>0</v>
      </c>
      <c r="M316" t="n">
        <v>0</v>
      </c>
      <c r="N316" t="n">
        <v>0</v>
      </c>
      <c r="O316" t="n">
        <v>0</v>
      </c>
      <c r="P316" t="n">
        <v>0</v>
      </c>
      <c r="Q316" t="n">
        <v>0</v>
      </c>
      <c r="R316" s="2" t="inlineStr"/>
    </row>
    <row r="317" ht="15" customHeight="1">
      <c r="A317" t="inlineStr">
        <is>
          <t>A 36-2023</t>
        </is>
      </c>
      <c r="B317" s="1" t="n">
        <v>44928.36578703704</v>
      </c>
      <c r="C317" s="1" t="n">
        <v>46180</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10341-2022</t>
        </is>
      </c>
      <c r="B318" s="1" t="n">
        <v>44623</v>
      </c>
      <c r="C318" s="1" t="n">
        <v>46180</v>
      </c>
      <c r="D318" t="inlineStr">
        <is>
          <t>SÖDERMANLANDS LÄN</t>
        </is>
      </c>
      <c r="E318" t="inlineStr">
        <is>
          <t>KATRINEHOLM</t>
        </is>
      </c>
      <c r="G318" t="n">
        <v>2.3</v>
      </c>
      <c r="H318" t="n">
        <v>0</v>
      </c>
      <c r="I318" t="n">
        <v>0</v>
      </c>
      <c r="J318" t="n">
        <v>0</v>
      </c>
      <c r="K318" t="n">
        <v>0</v>
      </c>
      <c r="L318" t="n">
        <v>0</v>
      </c>
      <c r="M318" t="n">
        <v>0</v>
      </c>
      <c r="N318" t="n">
        <v>0</v>
      </c>
      <c r="O318" t="n">
        <v>0</v>
      </c>
      <c r="P318" t="n">
        <v>0</v>
      </c>
      <c r="Q318" t="n">
        <v>0</v>
      </c>
      <c r="R318" s="2" t="inlineStr"/>
    </row>
    <row r="319" ht="15" customHeight="1">
      <c r="A319" t="inlineStr">
        <is>
          <t>A 43975-2025</t>
        </is>
      </c>
      <c r="B319" s="1" t="n">
        <v>45915.41148148148</v>
      </c>
      <c r="C319" s="1" t="n">
        <v>46180</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12835-2024</t>
        </is>
      </c>
      <c r="B320" s="1" t="n">
        <v>45384</v>
      </c>
      <c r="C320" s="1" t="n">
        <v>46180</v>
      </c>
      <c r="D320" t="inlineStr">
        <is>
          <t>SÖDERMANLANDS LÄN</t>
        </is>
      </c>
      <c r="E320" t="inlineStr">
        <is>
          <t>KATRINEHOLM</t>
        </is>
      </c>
      <c r="F320" t="inlineStr">
        <is>
          <t>Allmännings- och besparingsskogar</t>
        </is>
      </c>
      <c r="G320" t="n">
        <v>0.5</v>
      </c>
      <c r="H320" t="n">
        <v>0</v>
      </c>
      <c r="I320" t="n">
        <v>0</v>
      </c>
      <c r="J320" t="n">
        <v>0</v>
      </c>
      <c r="K320" t="n">
        <v>0</v>
      </c>
      <c r="L320" t="n">
        <v>0</v>
      </c>
      <c r="M320" t="n">
        <v>0</v>
      </c>
      <c r="N320" t="n">
        <v>0</v>
      </c>
      <c r="O320" t="n">
        <v>0</v>
      </c>
      <c r="P320" t="n">
        <v>0</v>
      </c>
      <c r="Q320" t="n">
        <v>0</v>
      </c>
      <c r="R320" s="2" t="inlineStr"/>
    </row>
    <row r="321" ht="15" customHeight="1">
      <c r="A321" t="inlineStr">
        <is>
          <t>A 25716-2022</t>
        </is>
      </c>
      <c r="B321" s="1" t="n">
        <v>44733.39600694444</v>
      </c>
      <c r="C321" s="1" t="n">
        <v>46180</v>
      </c>
      <c r="D321" t="inlineStr">
        <is>
          <t>SÖDERMANLANDS LÄN</t>
        </is>
      </c>
      <c r="E321" t="inlineStr">
        <is>
          <t>KATRINEHOLM</t>
        </is>
      </c>
      <c r="G321" t="n">
        <v>3.4</v>
      </c>
      <c r="H321" t="n">
        <v>0</v>
      </c>
      <c r="I321" t="n">
        <v>0</v>
      </c>
      <c r="J321" t="n">
        <v>0</v>
      </c>
      <c r="K321" t="n">
        <v>0</v>
      </c>
      <c r="L321" t="n">
        <v>0</v>
      </c>
      <c r="M321" t="n">
        <v>0</v>
      </c>
      <c r="N321" t="n">
        <v>0</v>
      </c>
      <c r="O321" t="n">
        <v>0</v>
      </c>
      <c r="P321" t="n">
        <v>0</v>
      </c>
      <c r="Q321" t="n">
        <v>0</v>
      </c>
      <c r="R321" s="2" t="inlineStr"/>
    </row>
    <row r="322" ht="15" customHeight="1">
      <c r="A322" t="inlineStr">
        <is>
          <t>A 6807-2023</t>
        </is>
      </c>
      <c r="B322" s="1" t="n">
        <v>44964</v>
      </c>
      <c r="C322" s="1" t="n">
        <v>46180</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9668-2023</t>
        </is>
      </c>
      <c r="B323" s="1" t="n">
        <v>44984.41238425926</v>
      </c>
      <c r="C323" s="1" t="n">
        <v>46180</v>
      </c>
      <c r="D323" t="inlineStr">
        <is>
          <t>SÖDERMANLANDS LÄN</t>
        </is>
      </c>
      <c r="E323" t="inlineStr">
        <is>
          <t>KATRINEHOLM</t>
        </is>
      </c>
      <c r="G323" t="n">
        <v>4.8</v>
      </c>
      <c r="H323" t="n">
        <v>0</v>
      </c>
      <c r="I323" t="n">
        <v>0</v>
      </c>
      <c r="J323" t="n">
        <v>0</v>
      </c>
      <c r="K323" t="n">
        <v>0</v>
      </c>
      <c r="L323" t="n">
        <v>0</v>
      </c>
      <c r="M323" t="n">
        <v>0</v>
      </c>
      <c r="N323" t="n">
        <v>0</v>
      </c>
      <c r="O323" t="n">
        <v>0</v>
      </c>
      <c r="P323" t="n">
        <v>0</v>
      </c>
      <c r="Q323" t="n">
        <v>0</v>
      </c>
      <c r="R323" s="2" t="inlineStr"/>
    </row>
    <row r="324" ht="15" customHeight="1">
      <c r="A324" t="inlineStr">
        <is>
          <t>A 5703-2026</t>
        </is>
      </c>
      <c r="B324" s="1" t="n">
        <v>46051.50774305555</v>
      </c>
      <c r="C324" s="1" t="n">
        <v>46180</v>
      </c>
      <c r="D324" t="inlineStr">
        <is>
          <t>SÖDERMANLANDS LÄN</t>
        </is>
      </c>
      <c r="E324" t="inlineStr">
        <is>
          <t>KATRINEHOLM</t>
        </is>
      </c>
      <c r="G324" t="n">
        <v>0.6</v>
      </c>
      <c r="H324" t="n">
        <v>0</v>
      </c>
      <c r="I324" t="n">
        <v>0</v>
      </c>
      <c r="J324" t="n">
        <v>0</v>
      </c>
      <c r="K324" t="n">
        <v>0</v>
      </c>
      <c r="L324" t="n">
        <v>0</v>
      </c>
      <c r="M324" t="n">
        <v>0</v>
      </c>
      <c r="N324" t="n">
        <v>0</v>
      </c>
      <c r="O324" t="n">
        <v>0</v>
      </c>
      <c r="P324" t="n">
        <v>0</v>
      </c>
      <c r="Q324" t="n">
        <v>0</v>
      </c>
      <c r="R324" s="2" t="inlineStr"/>
    </row>
    <row r="325" ht="15" customHeight="1">
      <c r="A325" t="inlineStr">
        <is>
          <t>A 9044-2022</t>
        </is>
      </c>
      <c r="B325" s="1" t="n">
        <v>44602</v>
      </c>
      <c r="C325" s="1" t="n">
        <v>46180</v>
      </c>
      <c r="D325" t="inlineStr">
        <is>
          <t>SÖDERMANLANDS LÄN</t>
        </is>
      </c>
      <c r="E325" t="inlineStr">
        <is>
          <t>KATRINEHOLM</t>
        </is>
      </c>
      <c r="G325" t="n">
        <v>5.8</v>
      </c>
      <c r="H325" t="n">
        <v>0</v>
      </c>
      <c r="I325" t="n">
        <v>0</v>
      </c>
      <c r="J325" t="n">
        <v>0</v>
      </c>
      <c r="K325" t="n">
        <v>0</v>
      </c>
      <c r="L325" t="n">
        <v>0</v>
      </c>
      <c r="M325" t="n">
        <v>0</v>
      </c>
      <c r="N325" t="n">
        <v>0</v>
      </c>
      <c r="O325" t="n">
        <v>0</v>
      </c>
      <c r="P325" t="n">
        <v>0</v>
      </c>
      <c r="Q325" t="n">
        <v>0</v>
      </c>
      <c r="R325" s="2" t="inlineStr"/>
    </row>
    <row r="326" ht="15" customHeight="1">
      <c r="A326" t="inlineStr">
        <is>
          <t>A 48091-2024</t>
        </is>
      </c>
      <c r="B326" s="1" t="n">
        <v>45590</v>
      </c>
      <c r="C326" s="1" t="n">
        <v>46180</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31386-2025</t>
        </is>
      </c>
      <c r="B327" s="1" t="n">
        <v>45833.45259259259</v>
      </c>
      <c r="C327" s="1" t="n">
        <v>46180</v>
      </c>
      <c r="D327" t="inlineStr">
        <is>
          <t>SÖDERMANLANDS LÄN</t>
        </is>
      </c>
      <c r="E327" t="inlineStr">
        <is>
          <t>KATRINEHOLM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24097-2022</t>
        </is>
      </c>
      <c r="B328" s="1" t="n">
        <v>44725.39371527778</v>
      </c>
      <c r="C328" s="1" t="n">
        <v>46180</v>
      </c>
      <c r="D328" t="inlineStr">
        <is>
          <t>SÖDERMANLANDS LÄN</t>
        </is>
      </c>
      <c r="E328" t="inlineStr">
        <is>
          <t>KATRINEHOLM</t>
        </is>
      </c>
      <c r="G328" t="n">
        <v>6.5</v>
      </c>
      <c r="H328" t="n">
        <v>0</v>
      </c>
      <c r="I328" t="n">
        <v>0</v>
      </c>
      <c r="J328" t="n">
        <v>0</v>
      </c>
      <c r="K328" t="n">
        <v>0</v>
      </c>
      <c r="L328" t="n">
        <v>0</v>
      </c>
      <c r="M328" t="n">
        <v>0</v>
      </c>
      <c r="N328" t="n">
        <v>0</v>
      </c>
      <c r="O328" t="n">
        <v>0</v>
      </c>
      <c r="P328" t="n">
        <v>0</v>
      </c>
      <c r="Q328" t="n">
        <v>0</v>
      </c>
      <c r="R328" s="2" t="inlineStr"/>
    </row>
    <row r="329" ht="15" customHeight="1">
      <c r="A329" t="inlineStr">
        <is>
          <t>A 46670-2021</t>
        </is>
      </c>
      <c r="B329" s="1" t="n">
        <v>44445</v>
      </c>
      <c r="C329" s="1" t="n">
        <v>46180</v>
      </c>
      <c r="D329" t="inlineStr">
        <is>
          <t>SÖDERMANLANDS LÄN</t>
        </is>
      </c>
      <c r="E329" t="inlineStr">
        <is>
          <t>KATRINEHOLM</t>
        </is>
      </c>
      <c r="G329" t="n">
        <v>4.4</v>
      </c>
      <c r="H329" t="n">
        <v>0</v>
      </c>
      <c r="I329" t="n">
        <v>0</v>
      </c>
      <c r="J329" t="n">
        <v>0</v>
      </c>
      <c r="K329" t="n">
        <v>0</v>
      </c>
      <c r="L329" t="n">
        <v>0</v>
      </c>
      <c r="M329" t="n">
        <v>0</v>
      </c>
      <c r="N329" t="n">
        <v>0</v>
      </c>
      <c r="O329" t="n">
        <v>0</v>
      </c>
      <c r="P329" t="n">
        <v>0</v>
      </c>
      <c r="Q329" t="n">
        <v>0</v>
      </c>
      <c r="R329" s="2" t="inlineStr"/>
    </row>
    <row r="330" ht="15" customHeight="1">
      <c r="A330" t="inlineStr">
        <is>
          <t>A 62954-2023</t>
        </is>
      </c>
      <c r="B330" s="1" t="n">
        <v>45272.55362268518</v>
      </c>
      <c r="C330" s="1" t="n">
        <v>46180</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46288-2025</t>
        </is>
      </c>
      <c r="B331" s="1" t="n">
        <v>45925.38545138889</v>
      </c>
      <c r="C331" s="1" t="n">
        <v>46180</v>
      </c>
      <c r="D331" t="inlineStr">
        <is>
          <t>SÖDERMANLANDS LÄN</t>
        </is>
      </c>
      <c r="E331" t="inlineStr">
        <is>
          <t>KATRINEHOLM</t>
        </is>
      </c>
      <c r="G331" t="n">
        <v>0.4</v>
      </c>
      <c r="H331" t="n">
        <v>0</v>
      </c>
      <c r="I331" t="n">
        <v>0</v>
      </c>
      <c r="J331" t="n">
        <v>0</v>
      </c>
      <c r="K331" t="n">
        <v>0</v>
      </c>
      <c r="L331" t="n">
        <v>0</v>
      </c>
      <c r="M331" t="n">
        <v>0</v>
      </c>
      <c r="N331" t="n">
        <v>0</v>
      </c>
      <c r="O331" t="n">
        <v>0</v>
      </c>
      <c r="P331" t="n">
        <v>0</v>
      </c>
      <c r="Q331" t="n">
        <v>0</v>
      </c>
      <c r="R331" s="2" t="inlineStr"/>
    </row>
    <row r="332" ht="15" customHeight="1">
      <c r="A332" t="inlineStr">
        <is>
          <t>A 58651-2023</t>
        </is>
      </c>
      <c r="B332" s="1" t="n">
        <v>45247</v>
      </c>
      <c r="C332" s="1" t="n">
        <v>46180</v>
      </c>
      <c r="D332" t="inlineStr">
        <is>
          <t>SÖDERMANLANDS LÄN</t>
        </is>
      </c>
      <c r="E332" t="inlineStr">
        <is>
          <t>KATRINEHOLM</t>
        </is>
      </c>
      <c r="G332" t="n">
        <v>2.7</v>
      </c>
      <c r="H332" t="n">
        <v>0</v>
      </c>
      <c r="I332" t="n">
        <v>0</v>
      </c>
      <c r="J332" t="n">
        <v>0</v>
      </c>
      <c r="K332" t="n">
        <v>0</v>
      </c>
      <c r="L332" t="n">
        <v>0</v>
      </c>
      <c r="M332" t="n">
        <v>0</v>
      </c>
      <c r="N332" t="n">
        <v>0</v>
      </c>
      <c r="O332" t="n">
        <v>0</v>
      </c>
      <c r="P332" t="n">
        <v>0</v>
      </c>
      <c r="Q332" t="n">
        <v>0</v>
      </c>
      <c r="R332" s="2" t="inlineStr"/>
    </row>
    <row r="333" ht="15" customHeight="1">
      <c r="A333" t="inlineStr">
        <is>
          <t>A 31990-2025</t>
        </is>
      </c>
      <c r="B333" s="1" t="n">
        <v>45835.36697916667</v>
      </c>
      <c r="C333" s="1" t="n">
        <v>46180</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6446-2022</t>
        </is>
      </c>
      <c r="B334" s="1" t="n">
        <v>44600</v>
      </c>
      <c r="C334" s="1" t="n">
        <v>46180</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51923-2023</t>
        </is>
      </c>
      <c r="B335" s="1" t="n">
        <v>45223</v>
      </c>
      <c r="C335" s="1" t="n">
        <v>46180</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33090-2025</t>
        </is>
      </c>
      <c r="B336" s="1" t="n">
        <v>45840.46840277778</v>
      </c>
      <c r="C336" s="1" t="n">
        <v>46180</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33577-2025</t>
        </is>
      </c>
      <c r="B337" s="1" t="n">
        <v>45841.59056712963</v>
      </c>
      <c r="C337" s="1" t="n">
        <v>46180</v>
      </c>
      <c r="D337" t="inlineStr">
        <is>
          <t>SÖDERMANLANDS LÄN</t>
        </is>
      </c>
      <c r="E337" t="inlineStr">
        <is>
          <t>KATRINEHOLM</t>
        </is>
      </c>
      <c r="F337" t="inlineStr">
        <is>
          <t>Holmen skog AB</t>
        </is>
      </c>
      <c r="G337" t="n">
        <v>0.3</v>
      </c>
      <c r="H337" t="n">
        <v>0</v>
      </c>
      <c r="I337" t="n">
        <v>0</v>
      </c>
      <c r="J337" t="n">
        <v>0</v>
      </c>
      <c r="K337" t="n">
        <v>0</v>
      </c>
      <c r="L337" t="n">
        <v>0</v>
      </c>
      <c r="M337" t="n">
        <v>0</v>
      </c>
      <c r="N337" t="n">
        <v>0</v>
      </c>
      <c r="O337" t="n">
        <v>0</v>
      </c>
      <c r="P337" t="n">
        <v>0</v>
      </c>
      <c r="Q337" t="n">
        <v>0</v>
      </c>
      <c r="R337" s="2" t="inlineStr"/>
    </row>
    <row r="338" ht="15" customHeight="1">
      <c r="A338" t="inlineStr">
        <is>
          <t>A 18386-2025</t>
        </is>
      </c>
      <c r="B338" s="1" t="n">
        <v>45762</v>
      </c>
      <c r="C338" s="1" t="n">
        <v>46180</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3125-2024</t>
        </is>
      </c>
      <c r="B339" s="1" t="n">
        <v>45316</v>
      </c>
      <c r="C339" s="1" t="n">
        <v>46180</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35183-2022</t>
        </is>
      </c>
      <c r="B340" s="1" t="n">
        <v>44797</v>
      </c>
      <c r="C340" s="1" t="n">
        <v>46180</v>
      </c>
      <c r="D340" t="inlineStr">
        <is>
          <t>SÖDERMANLANDS LÄN</t>
        </is>
      </c>
      <c r="E340" t="inlineStr">
        <is>
          <t>KATRINEHOLM</t>
        </is>
      </c>
      <c r="G340" t="n">
        <v>4.6</v>
      </c>
      <c r="H340" t="n">
        <v>0</v>
      </c>
      <c r="I340" t="n">
        <v>0</v>
      </c>
      <c r="J340" t="n">
        <v>0</v>
      </c>
      <c r="K340" t="n">
        <v>0</v>
      </c>
      <c r="L340" t="n">
        <v>0</v>
      </c>
      <c r="M340" t="n">
        <v>0</v>
      </c>
      <c r="N340" t="n">
        <v>0</v>
      </c>
      <c r="O340" t="n">
        <v>0</v>
      </c>
      <c r="P340" t="n">
        <v>0</v>
      </c>
      <c r="Q340" t="n">
        <v>0</v>
      </c>
      <c r="R340" s="2" t="inlineStr"/>
    </row>
    <row r="341" ht="15" customHeight="1">
      <c r="A341" t="inlineStr">
        <is>
          <t>A 33812-2025</t>
        </is>
      </c>
      <c r="B341" s="1" t="n">
        <v>45842</v>
      </c>
      <c r="C341" s="1" t="n">
        <v>46180</v>
      </c>
      <c r="D341" t="inlineStr">
        <is>
          <t>SÖDERMANLANDS LÄN</t>
        </is>
      </c>
      <c r="E341" t="inlineStr">
        <is>
          <t>KATRINEHOLM</t>
        </is>
      </c>
      <c r="G341" t="n">
        <v>1.5</v>
      </c>
      <c r="H341" t="n">
        <v>0</v>
      </c>
      <c r="I341" t="n">
        <v>0</v>
      </c>
      <c r="J341" t="n">
        <v>0</v>
      </c>
      <c r="K341" t="n">
        <v>0</v>
      </c>
      <c r="L341" t="n">
        <v>0</v>
      </c>
      <c r="M341" t="n">
        <v>0</v>
      </c>
      <c r="N341" t="n">
        <v>0</v>
      </c>
      <c r="O341" t="n">
        <v>0</v>
      </c>
      <c r="P341" t="n">
        <v>0</v>
      </c>
      <c r="Q341" t="n">
        <v>0</v>
      </c>
      <c r="R341" s="2" t="inlineStr"/>
    </row>
    <row r="342" ht="15" customHeight="1">
      <c r="A342" t="inlineStr">
        <is>
          <t>A 42519-2024</t>
        </is>
      </c>
      <c r="B342" s="1" t="n">
        <v>45565</v>
      </c>
      <c r="C342" s="1" t="n">
        <v>46180</v>
      </c>
      <c r="D342" t="inlineStr">
        <is>
          <t>SÖDERMANLANDS LÄN</t>
        </is>
      </c>
      <c r="E342" t="inlineStr">
        <is>
          <t>KATRINEHOLM</t>
        </is>
      </c>
      <c r="G342" t="n">
        <v>1.7</v>
      </c>
      <c r="H342" t="n">
        <v>0</v>
      </c>
      <c r="I342" t="n">
        <v>0</v>
      </c>
      <c r="J342" t="n">
        <v>0</v>
      </c>
      <c r="K342" t="n">
        <v>0</v>
      </c>
      <c r="L342" t="n">
        <v>0</v>
      </c>
      <c r="M342" t="n">
        <v>0</v>
      </c>
      <c r="N342" t="n">
        <v>0</v>
      </c>
      <c r="O342" t="n">
        <v>0</v>
      </c>
      <c r="P342" t="n">
        <v>0</v>
      </c>
      <c r="Q342" t="n">
        <v>0</v>
      </c>
      <c r="R342" s="2" t="inlineStr"/>
    </row>
    <row r="343" ht="15" customHeight="1">
      <c r="A343" t="inlineStr">
        <is>
          <t>A 20826-2022</t>
        </is>
      </c>
      <c r="B343" s="1" t="n">
        <v>44701.44754629629</v>
      </c>
      <c r="C343" s="1" t="n">
        <v>46180</v>
      </c>
      <c r="D343" t="inlineStr">
        <is>
          <t>SÖDERMANLANDS LÄN</t>
        </is>
      </c>
      <c r="E343" t="inlineStr">
        <is>
          <t>KATRINEHOLM</t>
        </is>
      </c>
      <c r="G343" t="n">
        <v>6.8</v>
      </c>
      <c r="H343" t="n">
        <v>0</v>
      </c>
      <c r="I343" t="n">
        <v>0</v>
      </c>
      <c r="J343" t="n">
        <v>0</v>
      </c>
      <c r="K343" t="n">
        <v>0</v>
      </c>
      <c r="L343" t="n">
        <v>0</v>
      </c>
      <c r="M343" t="n">
        <v>0</v>
      </c>
      <c r="N343" t="n">
        <v>0</v>
      </c>
      <c r="O343" t="n">
        <v>0</v>
      </c>
      <c r="P343" t="n">
        <v>0</v>
      </c>
      <c r="Q343" t="n">
        <v>0</v>
      </c>
      <c r="R343" s="2" t="inlineStr"/>
    </row>
    <row r="344" ht="15" customHeight="1">
      <c r="A344" t="inlineStr">
        <is>
          <t>A 20846-2022</t>
        </is>
      </c>
      <c r="B344" s="1" t="n">
        <v>44701.4744212963</v>
      </c>
      <c r="C344" s="1" t="n">
        <v>46180</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6762-2025</t>
        </is>
      </c>
      <c r="B345" s="1" t="n">
        <v>45700</v>
      </c>
      <c r="C345" s="1" t="n">
        <v>46180</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20213-2025</t>
        </is>
      </c>
      <c r="B346" s="1" t="n">
        <v>45772.63453703704</v>
      </c>
      <c r="C346" s="1" t="n">
        <v>46180</v>
      </c>
      <c r="D346" t="inlineStr">
        <is>
          <t>SÖDERMANLANDS LÄN</t>
        </is>
      </c>
      <c r="E346" t="inlineStr">
        <is>
          <t>KATRINEHOLM</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49078-2024</t>
        </is>
      </c>
      <c r="B347" s="1" t="n">
        <v>45594.62556712963</v>
      </c>
      <c r="C347" s="1" t="n">
        <v>46180</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47879-2023</t>
        </is>
      </c>
      <c r="B348" s="1" t="n">
        <v>45204</v>
      </c>
      <c r="C348" s="1" t="n">
        <v>46180</v>
      </c>
      <c r="D348" t="inlineStr">
        <is>
          <t>SÖDERMANLANDS LÄN</t>
        </is>
      </c>
      <c r="E348" t="inlineStr">
        <is>
          <t>KATRINEHOLM</t>
        </is>
      </c>
      <c r="F348" t="inlineStr">
        <is>
          <t>Övriga Aktiebolag</t>
        </is>
      </c>
      <c r="G348" t="n">
        <v>2.3</v>
      </c>
      <c r="H348" t="n">
        <v>0</v>
      </c>
      <c r="I348" t="n">
        <v>0</v>
      </c>
      <c r="J348" t="n">
        <v>0</v>
      </c>
      <c r="K348" t="n">
        <v>0</v>
      </c>
      <c r="L348" t="n">
        <v>0</v>
      </c>
      <c r="M348" t="n">
        <v>0</v>
      </c>
      <c r="N348" t="n">
        <v>0</v>
      </c>
      <c r="O348" t="n">
        <v>0</v>
      </c>
      <c r="P348" t="n">
        <v>0</v>
      </c>
      <c r="Q348" t="n">
        <v>0</v>
      </c>
      <c r="R348" s="2" t="inlineStr"/>
    </row>
    <row r="349" ht="15" customHeight="1">
      <c r="A349" t="inlineStr">
        <is>
          <t>A 12975-2022</t>
        </is>
      </c>
      <c r="B349" s="1" t="n">
        <v>44643</v>
      </c>
      <c r="C349" s="1" t="n">
        <v>46180</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51260-2021</t>
        </is>
      </c>
      <c r="B350" s="1" t="n">
        <v>44461</v>
      </c>
      <c r="C350" s="1" t="n">
        <v>46180</v>
      </c>
      <c r="D350" t="inlineStr">
        <is>
          <t>SÖDERMANLANDS LÄN</t>
        </is>
      </c>
      <c r="E350" t="inlineStr">
        <is>
          <t>KATRINEHOLM</t>
        </is>
      </c>
      <c r="G350" t="n">
        <v>0.7</v>
      </c>
      <c r="H350" t="n">
        <v>0</v>
      </c>
      <c r="I350" t="n">
        <v>0</v>
      </c>
      <c r="J350" t="n">
        <v>0</v>
      </c>
      <c r="K350" t="n">
        <v>0</v>
      </c>
      <c r="L350" t="n">
        <v>0</v>
      </c>
      <c r="M350" t="n">
        <v>0</v>
      </c>
      <c r="N350" t="n">
        <v>0</v>
      </c>
      <c r="O350" t="n">
        <v>0</v>
      </c>
      <c r="P350" t="n">
        <v>0</v>
      </c>
      <c r="Q350" t="n">
        <v>0</v>
      </c>
      <c r="R350" s="2" t="inlineStr"/>
    </row>
    <row r="351" ht="15" customHeight="1">
      <c r="A351" t="inlineStr">
        <is>
          <t>A 53843-2023</t>
        </is>
      </c>
      <c r="B351" s="1" t="n">
        <v>45230</v>
      </c>
      <c r="C351" s="1" t="n">
        <v>46180</v>
      </c>
      <c r="D351" t="inlineStr">
        <is>
          <t>SÖDERMANLANDS LÄN</t>
        </is>
      </c>
      <c r="E351" t="inlineStr">
        <is>
          <t>KATRINEHOLM</t>
        </is>
      </c>
      <c r="G351" t="n">
        <v>14.2</v>
      </c>
      <c r="H351" t="n">
        <v>0</v>
      </c>
      <c r="I351" t="n">
        <v>0</v>
      </c>
      <c r="J351" t="n">
        <v>0</v>
      </c>
      <c r="K351" t="n">
        <v>0</v>
      </c>
      <c r="L351" t="n">
        <v>0</v>
      </c>
      <c r="M351" t="n">
        <v>0</v>
      </c>
      <c r="N351" t="n">
        <v>0</v>
      </c>
      <c r="O351" t="n">
        <v>0</v>
      </c>
      <c r="P351" t="n">
        <v>0</v>
      </c>
      <c r="Q351" t="n">
        <v>0</v>
      </c>
      <c r="R351" s="2" t="inlineStr"/>
    </row>
    <row r="352" ht="15" customHeight="1">
      <c r="A352" t="inlineStr">
        <is>
          <t>A 48763-2024</t>
        </is>
      </c>
      <c r="B352" s="1" t="n">
        <v>45593.60288194445</v>
      </c>
      <c r="C352" s="1" t="n">
        <v>46180</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35156-2025</t>
        </is>
      </c>
      <c r="B353" s="1" t="n">
        <v>45852</v>
      </c>
      <c r="C353" s="1" t="n">
        <v>46180</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35152-2025</t>
        </is>
      </c>
      <c r="B354" s="1" t="n">
        <v>45852</v>
      </c>
      <c r="C354" s="1" t="n">
        <v>46180</v>
      </c>
      <c r="D354" t="inlineStr">
        <is>
          <t>SÖDERMANLANDS LÄN</t>
        </is>
      </c>
      <c r="E354" t="inlineStr">
        <is>
          <t>KATRINEHOLM</t>
        </is>
      </c>
      <c r="G354" t="n">
        <v>4.6</v>
      </c>
      <c r="H354" t="n">
        <v>0</v>
      </c>
      <c r="I354" t="n">
        <v>0</v>
      </c>
      <c r="J354" t="n">
        <v>0</v>
      </c>
      <c r="K354" t="n">
        <v>0</v>
      </c>
      <c r="L354" t="n">
        <v>0</v>
      </c>
      <c r="M354" t="n">
        <v>0</v>
      </c>
      <c r="N354" t="n">
        <v>0</v>
      </c>
      <c r="O354" t="n">
        <v>0</v>
      </c>
      <c r="P354" t="n">
        <v>0</v>
      </c>
      <c r="Q354" t="n">
        <v>0</v>
      </c>
      <c r="R354" s="2" t="inlineStr"/>
    </row>
    <row r="355" ht="15" customHeight="1">
      <c r="A355" t="inlineStr">
        <is>
          <t>A 35165-2025</t>
        </is>
      </c>
      <c r="B355" s="1" t="n">
        <v>45852.72320601852</v>
      </c>
      <c r="C355" s="1" t="n">
        <v>46180</v>
      </c>
      <c r="D355" t="inlineStr">
        <is>
          <t>SÖDERMANLANDS LÄN</t>
        </is>
      </c>
      <c r="E355" t="inlineStr">
        <is>
          <t>KATRINEHOLM</t>
        </is>
      </c>
      <c r="F355" t="inlineStr">
        <is>
          <t>Övriga Aktiebolag</t>
        </is>
      </c>
      <c r="G355" t="n">
        <v>20.7</v>
      </c>
      <c r="H355" t="n">
        <v>0</v>
      </c>
      <c r="I355" t="n">
        <v>0</v>
      </c>
      <c r="J355" t="n">
        <v>0</v>
      </c>
      <c r="K355" t="n">
        <v>0</v>
      </c>
      <c r="L355" t="n">
        <v>0</v>
      </c>
      <c r="M355" t="n">
        <v>0</v>
      </c>
      <c r="N355" t="n">
        <v>0</v>
      </c>
      <c r="O355" t="n">
        <v>0</v>
      </c>
      <c r="P355" t="n">
        <v>0</v>
      </c>
      <c r="Q355" t="n">
        <v>0</v>
      </c>
      <c r="R355" s="2" t="inlineStr"/>
    </row>
    <row r="356" ht="15" customHeight="1">
      <c r="A356" t="inlineStr">
        <is>
          <t>A 35084-2025</t>
        </is>
      </c>
      <c r="B356" s="1" t="n">
        <v>45852</v>
      </c>
      <c r="C356" s="1" t="n">
        <v>46180</v>
      </c>
      <c r="D356" t="inlineStr">
        <is>
          <t>SÖDERMANLANDS LÄN</t>
        </is>
      </c>
      <c r="E356" t="inlineStr">
        <is>
          <t>KATRINEHOLM</t>
        </is>
      </c>
      <c r="G356" t="n">
        <v>3.2</v>
      </c>
      <c r="H356" t="n">
        <v>0</v>
      </c>
      <c r="I356" t="n">
        <v>0</v>
      </c>
      <c r="J356" t="n">
        <v>0</v>
      </c>
      <c r="K356" t="n">
        <v>0</v>
      </c>
      <c r="L356" t="n">
        <v>0</v>
      </c>
      <c r="M356" t="n">
        <v>0</v>
      </c>
      <c r="N356" t="n">
        <v>0</v>
      </c>
      <c r="O356" t="n">
        <v>0</v>
      </c>
      <c r="P356" t="n">
        <v>0</v>
      </c>
      <c r="Q356" t="n">
        <v>0</v>
      </c>
      <c r="R356" s="2" t="inlineStr"/>
    </row>
    <row r="357" ht="15" customHeight="1">
      <c r="A357" t="inlineStr">
        <is>
          <t>A 14478-2023</t>
        </is>
      </c>
      <c r="B357" s="1" t="n">
        <v>45012.66421296296</v>
      </c>
      <c r="C357" s="1" t="n">
        <v>46180</v>
      </c>
      <c r="D357" t="inlineStr">
        <is>
          <t>SÖDERMANLANDS LÄN</t>
        </is>
      </c>
      <c r="E357" t="inlineStr">
        <is>
          <t>KATRINEHOLM</t>
        </is>
      </c>
      <c r="G357" t="n">
        <v>3.9</v>
      </c>
      <c r="H357" t="n">
        <v>0</v>
      </c>
      <c r="I357" t="n">
        <v>0</v>
      </c>
      <c r="J357" t="n">
        <v>0</v>
      </c>
      <c r="K357" t="n">
        <v>0</v>
      </c>
      <c r="L357" t="n">
        <v>0</v>
      </c>
      <c r="M357" t="n">
        <v>0</v>
      </c>
      <c r="N357" t="n">
        <v>0</v>
      </c>
      <c r="O357" t="n">
        <v>0</v>
      </c>
      <c r="P357" t="n">
        <v>0</v>
      </c>
      <c r="Q357" t="n">
        <v>0</v>
      </c>
      <c r="R357" s="2" t="inlineStr"/>
    </row>
    <row r="358" ht="15" customHeight="1">
      <c r="A358" t="inlineStr">
        <is>
          <t>A 34439-2025</t>
        </is>
      </c>
      <c r="B358" s="1" t="n">
        <v>45845</v>
      </c>
      <c r="C358" s="1" t="n">
        <v>46180</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35157-2025</t>
        </is>
      </c>
      <c r="B359" s="1" t="n">
        <v>45852</v>
      </c>
      <c r="C359" s="1" t="n">
        <v>46180</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35158-2025</t>
        </is>
      </c>
      <c r="B360" s="1" t="n">
        <v>45852</v>
      </c>
      <c r="C360" s="1" t="n">
        <v>46180</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20921-2023</t>
        </is>
      </c>
      <c r="B361" s="1" t="n">
        <v>45061</v>
      </c>
      <c r="C361" s="1" t="n">
        <v>46180</v>
      </c>
      <c r="D361" t="inlineStr">
        <is>
          <t>SÖDERMANLANDS LÄN</t>
        </is>
      </c>
      <c r="E361" t="inlineStr">
        <is>
          <t>KATRINEHOLM</t>
        </is>
      </c>
      <c r="G361" t="n">
        <v>8.9</v>
      </c>
      <c r="H361" t="n">
        <v>0</v>
      </c>
      <c r="I361" t="n">
        <v>0</v>
      </c>
      <c r="J361" t="n">
        <v>0</v>
      </c>
      <c r="K361" t="n">
        <v>0</v>
      </c>
      <c r="L361" t="n">
        <v>0</v>
      </c>
      <c r="M361" t="n">
        <v>0</v>
      </c>
      <c r="N361" t="n">
        <v>0</v>
      </c>
      <c r="O361" t="n">
        <v>0</v>
      </c>
      <c r="P361" t="n">
        <v>0</v>
      </c>
      <c r="Q361" t="n">
        <v>0</v>
      </c>
      <c r="R361" s="2" t="inlineStr"/>
    </row>
    <row r="362" ht="15" customHeight="1">
      <c r="A362" t="inlineStr">
        <is>
          <t>A 12930-2023</t>
        </is>
      </c>
      <c r="B362" s="1" t="n">
        <v>45001</v>
      </c>
      <c r="C362" s="1" t="n">
        <v>46180</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12938-2023</t>
        </is>
      </c>
      <c r="B363" s="1" t="n">
        <v>45001</v>
      </c>
      <c r="C363" s="1" t="n">
        <v>46180</v>
      </c>
      <c r="D363" t="inlineStr">
        <is>
          <t>SÖDERMANLANDS LÄN</t>
        </is>
      </c>
      <c r="E363" t="inlineStr">
        <is>
          <t>KATRINEHOLM</t>
        </is>
      </c>
      <c r="G363" t="n">
        <v>0.4</v>
      </c>
      <c r="H363" t="n">
        <v>0</v>
      </c>
      <c r="I363" t="n">
        <v>0</v>
      </c>
      <c r="J363" t="n">
        <v>0</v>
      </c>
      <c r="K363" t="n">
        <v>0</v>
      </c>
      <c r="L363" t="n">
        <v>0</v>
      </c>
      <c r="M363" t="n">
        <v>0</v>
      </c>
      <c r="N363" t="n">
        <v>0</v>
      </c>
      <c r="O363" t="n">
        <v>0</v>
      </c>
      <c r="P363" t="n">
        <v>0</v>
      </c>
      <c r="Q363" t="n">
        <v>0</v>
      </c>
      <c r="R363" s="2" t="inlineStr"/>
    </row>
    <row r="364" ht="15" customHeight="1">
      <c r="A364" t="inlineStr">
        <is>
          <t>A 12559-2023</t>
        </is>
      </c>
      <c r="B364" s="1" t="n">
        <v>45000.36373842593</v>
      </c>
      <c r="C364" s="1" t="n">
        <v>46180</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7704-2023</t>
        </is>
      </c>
      <c r="B365" s="1" t="n">
        <v>44968</v>
      </c>
      <c r="C365" s="1" t="n">
        <v>46180</v>
      </c>
      <c r="D365" t="inlineStr">
        <is>
          <t>SÖDERMANLANDS LÄN</t>
        </is>
      </c>
      <c r="E365" t="inlineStr">
        <is>
          <t>KATRINEHOLM</t>
        </is>
      </c>
      <c r="G365" t="n">
        <v>7.3</v>
      </c>
      <c r="H365" t="n">
        <v>0</v>
      </c>
      <c r="I365" t="n">
        <v>0</v>
      </c>
      <c r="J365" t="n">
        <v>0</v>
      </c>
      <c r="K365" t="n">
        <v>0</v>
      </c>
      <c r="L365" t="n">
        <v>0</v>
      </c>
      <c r="M365" t="n">
        <v>0</v>
      </c>
      <c r="N365" t="n">
        <v>0</v>
      </c>
      <c r="O365" t="n">
        <v>0</v>
      </c>
      <c r="P365" t="n">
        <v>0</v>
      </c>
      <c r="Q365" t="n">
        <v>0</v>
      </c>
      <c r="R365" s="2" t="inlineStr"/>
    </row>
    <row r="366" ht="15" customHeight="1">
      <c r="A366" t="inlineStr">
        <is>
          <t>A 49122-2024</t>
        </is>
      </c>
      <c r="B366" s="1" t="n">
        <v>45594</v>
      </c>
      <c r="C366" s="1" t="n">
        <v>46180</v>
      </c>
      <c r="D366" t="inlineStr">
        <is>
          <t>SÖDERMANLANDS LÄN</t>
        </is>
      </c>
      <c r="E366" t="inlineStr">
        <is>
          <t>KATRINEHOLM</t>
        </is>
      </c>
      <c r="G366" t="n">
        <v>19.4</v>
      </c>
      <c r="H366" t="n">
        <v>0</v>
      </c>
      <c r="I366" t="n">
        <v>0</v>
      </c>
      <c r="J366" t="n">
        <v>0</v>
      </c>
      <c r="K366" t="n">
        <v>0</v>
      </c>
      <c r="L366" t="n">
        <v>0</v>
      </c>
      <c r="M366" t="n">
        <v>0</v>
      </c>
      <c r="N366" t="n">
        <v>0</v>
      </c>
      <c r="O366" t="n">
        <v>0</v>
      </c>
      <c r="P366" t="n">
        <v>0</v>
      </c>
      <c r="Q366" t="n">
        <v>0</v>
      </c>
      <c r="R366" s="2" t="inlineStr"/>
    </row>
    <row r="367" ht="15" customHeight="1">
      <c r="A367" t="inlineStr">
        <is>
          <t>A 12937-2023</t>
        </is>
      </c>
      <c r="B367" s="1" t="n">
        <v>45001</v>
      </c>
      <c r="C367" s="1" t="n">
        <v>46180</v>
      </c>
      <c r="D367" t="inlineStr">
        <is>
          <t>SÖDERMANLANDS LÄN</t>
        </is>
      </c>
      <c r="E367" t="inlineStr">
        <is>
          <t>KATRINEHOLM</t>
        </is>
      </c>
      <c r="G367" t="n">
        <v>0.9</v>
      </c>
      <c r="H367" t="n">
        <v>0</v>
      </c>
      <c r="I367" t="n">
        <v>0</v>
      </c>
      <c r="J367" t="n">
        <v>0</v>
      </c>
      <c r="K367" t="n">
        <v>0</v>
      </c>
      <c r="L367" t="n">
        <v>0</v>
      </c>
      <c r="M367" t="n">
        <v>0</v>
      </c>
      <c r="N367" t="n">
        <v>0</v>
      </c>
      <c r="O367" t="n">
        <v>0</v>
      </c>
      <c r="P367" t="n">
        <v>0</v>
      </c>
      <c r="Q367" t="n">
        <v>0</v>
      </c>
      <c r="R367" s="2" t="inlineStr"/>
    </row>
    <row r="368" ht="15" customHeight="1">
      <c r="A368" t="inlineStr">
        <is>
          <t>A 11127-2023</t>
        </is>
      </c>
      <c r="B368" s="1" t="n">
        <v>44987</v>
      </c>
      <c r="C368" s="1" t="n">
        <v>46180</v>
      </c>
      <c r="D368" t="inlineStr">
        <is>
          <t>SÖDERMANLANDS LÄN</t>
        </is>
      </c>
      <c r="E368" t="inlineStr">
        <is>
          <t>KATRINEHOLM</t>
        </is>
      </c>
      <c r="G368" t="n">
        <v>4.3</v>
      </c>
      <c r="H368" t="n">
        <v>0</v>
      </c>
      <c r="I368" t="n">
        <v>0</v>
      </c>
      <c r="J368" t="n">
        <v>0</v>
      </c>
      <c r="K368" t="n">
        <v>0</v>
      </c>
      <c r="L368" t="n">
        <v>0</v>
      </c>
      <c r="M368" t="n">
        <v>0</v>
      </c>
      <c r="N368" t="n">
        <v>0</v>
      </c>
      <c r="O368" t="n">
        <v>0</v>
      </c>
      <c r="P368" t="n">
        <v>0</v>
      </c>
      <c r="Q368" t="n">
        <v>0</v>
      </c>
      <c r="R368" s="2" t="inlineStr"/>
    </row>
    <row r="369" ht="15" customHeight="1">
      <c r="A369" t="inlineStr">
        <is>
          <t>A 7513-2026</t>
        </is>
      </c>
      <c r="B369" s="1" t="n">
        <v>46059.59083333334</v>
      </c>
      <c r="C369" s="1" t="n">
        <v>46180</v>
      </c>
      <c r="D369" t="inlineStr">
        <is>
          <t>SÖDERMANLANDS LÄN</t>
        </is>
      </c>
      <c r="E369" t="inlineStr">
        <is>
          <t>KATRINEHOLM</t>
        </is>
      </c>
      <c r="F369" t="inlineStr">
        <is>
          <t>Övriga Aktiebolag</t>
        </is>
      </c>
      <c r="G369" t="n">
        <v>5</v>
      </c>
      <c r="H369" t="n">
        <v>0</v>
      </c>
      <c r="I369" t="n">
        <v>0</v>
      </c>
      <c r="J369" t="n">
        <v>0</v>
      </c>
      <c r="K369" t="n">
        <v>0</v>
      </c>
      <c r="L369" t="n">
        <v>0</v>
      </c>
      <c r="M369" t="n">
        <v>0</v>
      </c>
      <c r="N369" t="n">
        <v>0</v>
      </c>
      <c r="O369" t="n">
        <v>0</v>
      </c>
      <c r="P369" t="n">
        <v>0</v>
      </c>
      <c r="Q369" t="n">
        <v>0</v>
      </c>
      <c r="R369" s="2" t="inlineStr"/>
    </row>
    <row r="370" ht="15" customHeight="1">
      <c r="A370" t="inlineStr">
        <is>
          <t>A 34176-2025</t>
        </is>
      </c>
      <c r="B370" s="1" t="n">
        <v>45845</v>
      </c>
      <c r="C370" s="1" t="n">
        <v>46180</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44024-2021</t>
        </is>
      </c>
      <c r="B371" s="1" t="n">
        <v>44434</v>
      </c>
      <c r="C371" s="1" t="n">
        <v>46180</v>
      </c>
      <c r="D371" t="inlineStr">
        <is>
          <t>SÖDERMANLANDS LÄN</t>
        </is>
      </c>
      <c r="E371" t="inlineStr">
        <is>
          <t>KATRINEHOLM</t>
        </is>
      </c>
      <c r="G371" t="n">
        <v>13</v>
      </c>
      <c r="H371" t="n">
        <v>0</v>
      </c>
      <c r="I371" t="n">
        <v>0</v>
      </c>
      <c r="J371" t="n">
        <v>0</v>
      </c>
      <c r="K371" t="n">
        <v>0</v>
      </c>
      <c r="L371" t="n">
        <v>0</v>
      </c>
      <c r="M371" t="n">
        <v>0</v>
      </c>
      <c r="N371" t="n">
        <v>0</v>
      </c>
      <c r="O371" t="n">
        <v>0</v>
      </c>
      <c r="P371" t="n">
        <v>0</v>
      </c>
      <c r="Q371" t="n">
        <v>0</v>
      </c>
      <c r="R371" s="2" t="inlineStr"/>
    </row>
    <row r="372" ht="15" customHeight="1">
      <c r="A372" t="inlineStr">
        <is>
          <t>A 27345-2023</t>
        </is>
      </c>
      <c r="B372" s="1" t="n">
        <v>45096</v>
      </c>
      <c r="C372" s="1" t="n">
        <v>46180</v>
      </c>
      <c r="D372" t="inlineStr">
        <is>
          <t>SÖDERMANLANDS LÄN</t>
        </is>
      </c>
      <c r="E372" t="inlineStr">
        <is>
          <t>KATRINEHOLM</t>
        </is>
      </c>
      <c r="G372" t="n">
        <v>1.4</v>
      </c>
      <c r="H372" t="n">
        <v>0</v>
      </c>
      <c r="I372" t="n">
        <v>0</v>
      </c>
      <c r="J372" t="n">
        <v>0</v>
      </c>
      <c r="K372" t="n">
        <v>0</v>
      </c>
      <c r="L372" t="n">
        <v>0</v>
      </c>
      <c r="M372" t="n">
        <v>0</v>
      </c>
      <c r="N372" t="n">
        <v>0</v>
      </c>
      <c r="O372" t="n">
        <v>0</v>
      </c>
      <c r="P372" t="n">
        <v>0</v>
      </c>
      <c r="Q372" t="n">
        <v>0</v>
      </c>
      <c r="R372" s="2" t="inlineStr"/>
    </row>
    <row r="373" ht="15" customHeight="1">
      <c r="A373" t="inlineStr">
        <is>
          <t>A 1151-2025</t>
        </is>
      </c>
      <c r="B373" s="1" t="n">
        <v>45666</v>
      </c>
      <c r="C373" s="1" t="n">
        <v>46180</v>
      </c>
      <c r="D373" t="inlineStr">
        <is>
          <t>SÖDERMANLANDS LÄN</t>
        </is>
      </c>
      <c r="E373" t="inlineStr">
        <is>
          <t>KATRINEHOLM</t>
        </is>
      </c>
      <c r="G373" t="n">
        <v>1.9</v>
      </c>
      <c r="H373" t="n">
        <v>0</v>
      </c>
      <c r="I373" t="n">
        <v>0</v>
      </c>
      <c r="J373" t="n">
        <v>0</v>
      </c>
      <c r="K373" t="n">
        <v>0</v>
      </c>
      <c r="L373" t="n">
        <v>0</v>
      </c>
      <c r="M373" t="n">
        <v>0</v>
      </c>
      <c r="N373" t="n">
        <v>0</v>
      </c>
      <c r="O373" t="n">
        <v>0</v>
      </c>
      <c r="P373" t="n">
        <v>0</v>
      </c>
      <c r="Q373" t="n">
        <v>0</v>
      </c>
      <c r="R373" s="2" t="inlineStr"/>
    </row>
    <row r="374" ht="15" customHeight="1">
      <c r="A374" t="inlineStr">
        <is>
          <t>A 36590-2025</t>
        </is>
      </c>
      <c r="B374" s="1" t="n">
        <v>45870</v>
      </c>
      <c r="C374" s="1" t="n">
        <v>46180</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26684-2025</t>
        </is>
      </c>
      <c r="B375" s="1" t="n">
        <v>45810</v>
      </c>
      <c r="C375" s="1" t="n">
        <v>46180</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6808-2023</t>
        </is>
      </c>
      <c r="B376" s="1" t="n">
        <v>44964</v>
      </c>
      <c r="C376" s="1" t="n">
        <v>46180</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12227-2025</t>
        </is>
      </c>
      <c r="B377" s="1" t="n">
        <v>45729.56836805555</v>
      </c>
      <c r="C377" s="1" t="n">
        <v>46180</v>
      </c>
      <c r="D377" t="inlineStr">
        <is>
          <t>SÖDERMANLANDS LÄN</t>
        </is>
      </c>
      <c r="E377" t="inlineStr">
        <is>
          <t>KATRINEHOLM</t>
        </is>
      </c>
      <c r="G377" t="n">
        <v>7</v>
      </c>
      <c r="H377" t="n">
        <v>0</v>
      </c>
      <c r="I377" t="n">
        <v>0</v>
      </c>
      <c r="J377" t="n">
        <v>0</v>
      </c>
      <c r="K377" t="n">
        <v>0</v>
      </c>
      <c r="L377" t="n">
        <v>0</v>
      </c>
      <c r="M377" t="n">
        <v>0</v>
      </c>
      <c r="N377" t="n">
        <v>0</v>
      </c>
      <c r="O377" t="n">
        <v>0</v>
      </c>
      <c r="P377" t="n">
        <v>0</v>
      </c>
      <c r="Q377" t="n">
        <v>0</v>
      </c>
      <c r="R377" s="2" t="inlineStr"/>
    </row>
    <row r="378" ht="15" customHeight="1">
      <c r="A378" t="inlineStr">
        <is>
          <t>A 61394-2024</t>
        </is>
      </c>
      <c r="B378" s="1" t="n">
        <v>45646.42061342593</v>
      </c>
      <c r="C378" s="1" t="n">
        <v>46180</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50934-2025</t>
        </is>
      </c>
      <c r="B379" s="1" t="n">
        <v>45946.69195601852</v>
      </c>
      <c r="C379" s="1" t="n">
        <v>46180</v>
      </c>
      <c r="D379" t="inlineStr">
        <is>
          <t>SÖDERMANLANDS LÄN</t>
        </is>
      </c>
      <c r="E379" t="inlineStr">
        <is>
          <t>KATRINEHOLM</t>
        </is>
      </c>
      <c r="G379" t="n">
        <v>2</v>
      </c>
      <c r="H379" t="n">
        <v>0</v>
      </c>
      <c r="I379" t="n">
        <v>0</v>
      </c>
      <c r="J379" t="n">
        <v>0</v>
      </c>
      <c r="K379" t="n">
        <v>0</v>
      </c>
      <c r="L379" t="n">
        <v>0</v>
      </c>
      <c r="M379" t="n">
        <v>0</v>
      </c>
      <c r="N379" t="n">
        <v>0</v>
      </c>
      <c r="O379" t="n">
        <v>0</v>
      </c>
      <c r="P379" t="n">
        <v>0</v>
      </c>
      <c r="Q379" t="n">
        <v>0</v>
      </c>
      <c r="R379" s="2" t="inlineStr"/>
    </row>
    <row r="380" ht="15" customHeight="1">
      <c r="A380" t="inlineStr">
        <is>
          <t>A 50021-2023</t>
        </is>
      </c>
      <c r="B380" s="1" t="n">
        <v>45215</v>
      </c>
      <c r="C380" s="1" t="n">
        <v>46180</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37043-2025</t>
        </is>
      </c>
      <c r="B381" s="1" t="n">
        <v>45875.3396412037</v>
      </c>
      <c r="C381" s="1" t="n">
        <v>46180</v>
      </c>
      <c r="D381" t="inlineStr">
        <is>
          <t>SÖDERMANLANDS LÄN</t>
        </is>
      </c>
      <c r="E381" t="inlineStr">
        <is>
          <t>KATRINEHOLM</t>
        </is>
      </c>
      <c r="G381" t="n">
        <v>2.2</v>
      </c>
      <c r="H381" t="n">
        <v>0</v>
      </c>
      <c r="I381" t="n">
        <v>0</v>
      </c>
      <c r="J381" t="n">
        <v>0</v>
      </c>
      <c r="K381" t="n">
        <v>0</v>
      </c>
      <c r="L381" t="n">
        <v>0</v>
      </c>
      <c r="M381" t="n">
        <v>0</v>
      </c>
      <c r="N381" t="n">
        <v>0</v>
      </c>
      <c r="O381" t="n">
        <v>0</v>
      </c>
      <c r="P381" t="n">
        <v>0</v>
      </c>
      <c r="Q381" t="n">
        <v>0</v>
      </c>
      <c r="R381" s="2" t="inlineStr"/>
    </row>
    <row r="382" ht="15" customHeight="1">
      <c r="A382" t="inlineStr">
        <is>
          <t>A 51367-2025</t>
        </is>
      </c>
      <c r="B382" s="1" t="n">
        <v>45950.44700231482</v>
      </c>
      <c r="C382" s="1" t="n">
        <v>46180</v>
      </c>
      <c r="D382" t="inlineStr">
        <is>
          <t>SÖDERMANLANDS LÄN</t>
        </is>
      </c>
      <c r="E382" t="inlineStr">
        <is>
          <t>KATRINEHOLM</t>
        </is>
      </c>
      <c r="G382" t="n">
        <v>2.7</v>
      </c>
      <c r="H382" t="n">
        <v>0</v>
      </c>
      <c r="I382" t="n">
        <v>0</v>
      </c>
      <c r="J382" t="n">
        <v>0</v>
      </c>
      <c r="K382" t="n">
        <v>0</v>
      </c>
      <c r="L382" t="n">
        <v>0</v>
      </c>
      <c r="M382" t="n">
        <v>0</v>
      </c>
      <c r="N382" t="n">
        <v>0</v>
      </c>
      <c r="O382" t="n">
        <v>0</v>
      </c>
      <c r="P382" t="n">
        <v>0</v>
      </c>
      <c r="Q382" t="n">
        <v>0</v>
      </c>
      <c r="R382" s="2" t="inlineStr"/>
    </row>
    <row r="383" ht="15" customHeight="1">
      <c r="A383" t="inlineStr">
        <is>
          <t>A 18339-2023</t>
        </is>
      </c>
      <c r="B383" s="1" t="n">
        <v>45041</v>
      </c>
      <c r="C383" s="1" t="n">
        <v>46180</v>
      </c>
      <c r="D383" t="inlineStr">
        <is>
          <t>SÖDERMANLANDS LÄN</t>
        </is>
      </c>
      <c r="E383" t="inlineStr">
        <is>
          <t>KATRINEHOLM</t>
        </is>
      </c>
      <c r="G383" t="n">
        <v>1.7</v>
      </c>
      <c r="H383" t="n">
        <v>0</v>
      </c>
      <c r="I383" t="n">
        <v>0</v>
      </c>
      <c r="J383" t="n">
        <v>0</v>
      </c>
      <c r="K383" t="n">
        <v>0</v>
      </c>
      <c r="L383" t="n">
        <v>0</v>
      </c>
      <c r="M383" t="n">
        <v>0</v>
      </c>
      <c r="N383" t="n">
        <v>0</v>
      </c>
      <c r="O383" t="n">
        <v>0</v>
      </c>
      <c r="P383" t="n">
        <v>0</v>
      </c>
      <c r="Q383" t="n">
        <v>0</v>
      </c>
      <c r="R383" s="2" t="inlineStr"/>
    </row>
    <row r="384" ht="15" customHeight="1">
      <c r="A384" t="inlineStr">
        <is>
          <t>A 11543-2025</t>
        </is>
      </c>
      <c r="B384" s="1" t="n">
        <v>45727.34248842593</v>
      </c>
      <c r="C384" s="1" t="n">
        <v>46180</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37827-2025</t>
        </is>
      </c>
      <c r="B385" s="1" t="n">
        <v>45881.40907407407</v>
      </c>
      <c r="C385" s="1" t="n">
        <v>46180</v>
      </c>
      <c r="D385" t="inlineStr">
        <is>
          <t>SÖDERMANLANDS LÄN</t>
        </is>
      </c>
      <c r="E385" t="inlineStr">
        <is>
          <t>KATRINEHOLM</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47889-2023</t>
        </is>
      </c>
      <c r="B386" s="1" t="n">
        <v>45204</v>
      </c>
      <c r="C386" s="1" t="n">
        <v>46180</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51780-2025</t>
        </is>
      </c>
      <c r="B387" s="1" t="n">
        <v>45951.65725694445</v>
      </c>
      <c r="C387" s="1" t="n">
        <v>46180</v>
      </c>
      <c r="D387" t="inlineStr">
        <is>
          <t>SÖDERMANLANDS LÄN</t>
        </is>
      </c>
      <c r="E387" t="inlineStr">
        <is>
          <t>KATRINEHOLM</t>
        </is>
      </c>
      <c r="F387" t="inlineStr">
        <is>
          <t>Allmännings- och besparingsskogar</t>
        </is>
      </c>
      <c r="G387" t="n">
        <v>1.3</v>
      </c>
      <c r="H387" t="n">
        <v>0</v>
      </c>
      <c r="I387" t="n">
        <v>0</v>
      </c>
      <c r="J387" t="n">
        <v>0</v>
      </c>
      <c r="K387" t="n">
        <v>0</v>
      </c>
      <c r="L387" t="n">
        <v>0</v>
      </c>
      <c r="M387" t="n">
        <v>0</v>
      </c>
      <c r="N387" t="n">
        <v>0</v>
      </c>
      <c r="O387" t="n">
        <v>0</v>
      </c>
      <c r="P387" t="n">
        <v>0</v>
      </c>
      <c r="Q387" t="n">
        <v>0</v>
      </c>
      <c r="R387" s="2" t="inlineStr"/>
    </row>
    <row r="388" ht="15" customHeight="1">
      <c r="A388" t="inlineStr">
        <is>
          <t>A 34732-2022</t>
        </is>
      </c>
      <c r="B388" s="1" t="n">
        <v>44795</v>
      </c>
      <c r="C388" s="1" t="n">
        <v>46180</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51774-2025</t>
        </is>
      </c>
      <c r="B389" s="1" t="n">
        <v>45951.65359953704</v>
      </c>
      <c r="C389" s="1" t="n">
        <v>46180</v>
      </c>
      <c r="D389" t="inlineStr">
        <is>
          <t>SÖDERMANLANDS LÄN</t>
        </is>
      </c>
      <c r="E389" t="inlineStr">
        <is>
          <t>KATRINEHOLM</t>
        </is>
      </c>
      <c r="F389" t="inlineStr">
        <is>
          <t>Allmännings- och besparingsskogar</t>
        </is>
      </c>
      <c r="G389" t="n">
        <v>3.7</v>
      </c>
      <c r="H389" t="n">
        <v>0</v>
      </c>
      <c r="I389" t="n">
        <v>0</v>
      </c>
      <c r="J389" t="n">
        <v>0</v>
      </c>
      <c r="K389" t="n">
        <v>0</v>
      </c>
      <c r="L389" t="n">
        <v>0</v>
      </c>
      <c r="M389" t="n">
        <v>0</v>
      </c>
      <c r="N389" t="n">
        <v>0</v>
      </c>
      <c r="O389" t="n">
        <v>0</v>
      </c>
      <c r="P389" t="n">
        <v>0</v>
      </c>
      <c r="Q389" t="n">
        <v>0</v>
      </c>
      <c r="R389" s="2" t="inlineStr"/>
    </row>
    <row r="390" ht="15" customHeight="1">
      <c r="A390" t="inlineStr">
        <is>
          <t>A 51783-2025</t>
        </is>
      </c>
      <c r="B390" s="1" t="n">
        <v>45951.67546296296</v>
      </c>
      <c r="C390" s="1" t="n">
        <v>46180</v>
      </c>
      <c r="D390" t="inlineStr">
        <is>
          <t>SÖDERMANLANDS LÄN</t>
        </is>
      </c>
      <c r="E390" t="inlineStr">
        <is>
          <t>KATRINEHOLM</t>
        </is>
      </c>
      <c r="F390" t="inlineStr">
        <is>
          <t>Allmännings- och besparingsskogar</t>
        </is>
      </c>
      <c r="G390" t="n">
        <v>5.8</v>
      </c>
      <c r="H390" t="n">
        <v>0</v>
      </c>
      <c r="I390" t="n">
        <v>0</v>
      </c>
      <c r="J390" t="n">
        <v>0</v>
      </c>
      <c r="K390" t="n">
        <v>0</v>
      </c>
      <c r="L390" t="n">
        <v>0</v>
      </c>
      <c r="M390" t="n">
        <v>0</v>
      </c>
      <c r="N390" t="n">
        <v>0</v>
      </c>
      <c r="O390" t="n">
        <v>0</v>
      </c>
      <c r="P390" t="n">
        <v>0</v>
      </c>
      <c r="Q390" t="n">
        <v>0</v>
      </c>
      <c r="R390" s="2" t="inlineStr"/>
    </row>
    <row r="391" ht="15" customHeight="1">
      <c r="A391" t="inlineStr">
        <is>
          <t>A 52239-2025</t>
        </is>
      </c>
      <c r="B391" s="1" t="n">
        <v>45953.46193287037</v>
      </c>
      <c r="C391" s="1" t="n">
        <v>46180</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32166-2022</t>
        </is>
      </c>
      <c r="B392" s="1" t="n">
        <v>44781</v>
      </c>
      <c r="C392" s="1" t="n">
        <v>46180</v>
      </c>
      <c r="D392" t="inlineStr">
        <is>
          <t>SÖDERMANLANDS LÄN</t>
        </is>
      </c>
      <c r="E392" t="inlineStr">
        <is>
          <t>KATRINEHOLM</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32169-2022</t>
        </is>
      </c>
      <c r="B393" s="1" t="n">
        <v>44781</v>
      </c>
      <c r="C393" s="1" t="n">
        <v>46180</v>
      </c>
      <c r="D393" t="inlineStr">
        <is>
          <t>SÖDERMANLANDS LÄN</t>
        </is>
      </c>
      <c r="E393" t="inlineStr">
        <is>
          <t>KATRINEHOLM</t>
        </is>
      </c>
      <c r="F393" t="inlineStr">
        <is>
          <t>Kommuner</t>
        </is>
      </c>
      <c r="G393" t="n">
        <v>0.9</v>
      </c>
      <c r="H393" t="n">
        <v>0</v>
      </c>
      <c r="I393" t="n">
        <v>0</v>
      </c>
      <c r="J393" t="n">
        <v>0</v>
      </c>
      <c r="K393" t="n">
        <v>0</v>
      </c>
      <c r="L393" t="n">
        <v>0</v>
      </c>
      <c r="M393" t="n">
        <v>0</v>
      </c>
      <c r="N393" t="n">
        <v>0</v>
      </c>
      <c r="O393" t="n">
        <v>0</v>
      </c>
      <c r="P393" t="n">
        <v>0</v>
      </c>
      <c r="Q393" t="n">
        <v>0</v>
      </c>
      <c r="R393" s="2" t="inlineStr"/>
    </row>
    <row r="394" ht="15" customHeight="1">
      <c r="A394" t="inlineStr">
        <is>
          <t>A 52244-2025</t>
        </is>
      </c>
      <c r="B394" s="1" t="n">
        <v>45953</v>
      </c>
      <c r="C394" s="1" t="n">
        <v>46180</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35864-2023</t>
        </is>
      </c>
      <c r="B395" s="1" t="n">
        <v>45147</v>
      </c>
      <c r="C395" s="1" t="n">
        <v>46180</v>
      </c>
      <c r="D395" t="inlineStr">
        <is>
          <t>SÖDERMANLANDS LÄN</t>
        </is>
      </c>
      <c r="E395" t="inlineStr">
        <is>
          <t>KATRINEHOLM</t>
        </is>
      </c>
      <c r="F395" t="inlineStr">
        <is>
          <t>Övriga Aktiebolag</t>
        </is>
      </c>
      <c r="G395" t="n">
        <v>4.7</v>
      </c>
      <c r="H395" t="n">
        <v>0</v>
      </c>
      <c r="I395" t="n">
        <v>0</v>
      </c>
      <c r="J395" t="n">
        <v>0</v>
      </c>
      <c r="K395" t="n">
        <v>0</v>
      </c>
      <c r="L395" t="n">
        <v>0</v>
      </c>
      <c r="M395" t="n">
        <v>0</v>
      </c>
      <c r="N395" t="n">
        <v>0</v>
      </c>
      <c r="O395" t="n">
        <v>0</v>
      </c>
      <c r="P395" t="n">
        <v>0</v>
      </c>
      <c r="Q395" t="n">
        <v>0</v>
      </c>
      <c r="R395" s="2" t="inlineStr"/>
    </row>
    <row r="396" ht="15" customHeight="1">
      <c r="A396" t="inlineStr">
        <is>
          <t>A 10086-2026</t>
        </is>
      </c>
      <c r="B396" s="1" t="n">
        <v>46073.68959490741</v>
      </c>
      <c r="C396" s="1" t="n">
        <v>46180</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44637-2023</t>
        </is>
      </c>
      <c r="B397" s="1" t="n">
        <v>45189</v>
      </c>
      <c r="C397" s="1" t="n">
        <v>46180</v>
      </c>
      <c r="D397" t="inlineStr">
        <is>
          <t>SÖDERMANLANDS LÄN</t>
        </is>
      </c>
      <c r="E397" t="inlineStr">
        <is>
          <t>KATRINEHOLM</t>
        </is>
      </c>
      <c r="G397" t="n">
        <v>5.1</v>
      </c>
      <c r="H397" t="n">
        <v>0</v>
      </c>
      <c r="I397" t="n">
        <v>0</v>
      </c>
      <c r="J397" t="n">
        <v>0</v>
      </c>
      <c r="K397" t="n">
        <v>0</v>
      </c>
      <c r="L397" t="n">
        <v>0</v>
      </c>
      <c r="M397" t="n">
        <v>0</v>
      </c>
      <c r="N397" t="n">
        <v>0</v>
      </c>
      <c r="O397" t="n">
        <v>0</v>
      </c>
      <c r="P397" t="n">
        <v>0</v>
      </c>
      <c r="Q397" t="n">
        <v>0</v>
      </c>
      <c r="R397" s="2" t="inlineStr"/>
    </row>
    <row r="398" ht="15" customHeight="1">
      <c r="A398" t="inlineStr">
        <is>
          <t>A 11130-2026</t>
        </is>
      </c>
      <c r="B398" s="1" t="n">
        <v>46079.70384259259</v>
      </c>
      <c r="C398" s="1" t="n">
        <v>46180</v>
      </c>
      <c r="D398" t="inlineStr">
        <is>
          <t>SÖDERMANLANDS LÄN</t>
        </is>
      </c>
      <c r="E398" t="inlineStr">
        <is>
          <t>KATRINEHOLM</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52744-2025</t>
        </is>
      </c>
      <c r="B399" s="1" t="n">
        <v>45957.38387731482</v>
      </c>
      <c r="C399" s="1" t="n">
        <v>46180</v>
      </c>
      <c r="D399" t="inlineStr">
        <is>
          <t>SÖDERMANLANDS LÄN</t>
        </is>
      </c>
      <c r="E399" t="inlineStr">
        <is>
          <t>KATRINEHOLM</t>
        </is>
      </c>
      <c r="G399" t="n">
        <v>4</v>
      </c>
      <c r="H399" t="n">
        <v>0</v>
      </c>
      <c r="I399" t="n">
        <v>0</v>
      </c>
      <c r="J399" t="n">
        <v>0</v>
      </c>
      <c r="K399" t="n">
        <v>0</v>
      </c>
      <c r="L399" t="n">
        <v>0</v>
      </c>
      <c r="M399" t="n">
        <v>0</v>
      </c>
      <c r="N399" t="n">
        <v>0</v>
      </c>
      <c r="O399" t="n">
        <v>0</v>
      </c>
      <c r="P399" t="n">
        <v>0</v>
      </c>
      <c r="Q399" t="n">
        <v>0</v>
      </c>
      <c r="R399" s="2" t="inlineStr"/>
    </row>
    <row r="400" ht="15" customHeight="1">
      <c r="A400" t="inlineStr">
        <is>
          <t>A 10892-2026</t>
        </is>
      </c>
      <c r="B400" s="1" t="n">
        <v>46078.8040625</v>
      </c>
      <c r="C400" s="1" t="n">
        <v>46180</v>
      </c>
      <c r="D400" t="inlineStr">
        <is>
          <t>SÖDERMANLANDS LÄN</t>
        </is>
      </c>
      <c r="E400" t="inlineStr">
        <is>
          <t>KATRINEHOLM</t>
        </is>
      </c>
      <c r="F400" t="inlineStr">
        <is>
          <t>Allmännings- och besparingsskogar</t>
        </is>
      </c>
      <c r="G400" t="n">
        <v>3</v>
      </c>
      <c r="H400" t="n">
        <v>0</v>
      </c>
      <c r="I400" t="n">
        <v>0</v>
      </c>
      <c r="J400" t="n">
        <v>0</v>
      </c>
      <c r="K400" t="n">
        <v>0</v>
      </c>
      <c r="L400" t="n">
        <v>0</v>
      </c>
      <c r="M400" t="n">
        <v>0</v>
      </c>
      <c r="N400" t="n">
        <v>0</v>
      </c>
      <c r="O400" t="n">
        <v>0</v>
      </c>
      <c r="P400" t="n">
        <v>0</v>
      </c>
      <c r="Q400" t="n">
        <v>0</v>
      </c>
      <c r="R400" s="2" t="inlineStr"/>
    </row>
    <row r="401" ht="15" customHeight="1">
      <c r="A401" t="inlineStr">
        <is>
          <t>A 13848-2026</t>
        </is>
      </c>
      <c r="B401" s="1" t="n">
        <v>46098.38704861111</v>
      </c>
      <c r="C401" s="1" t="n">
        <v>46180</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53338-2025</t>
        </is>
      </c>
      <c r="B402" s="1" t="n">
        <v>45959.40447916667</v>
      </c>
      <c r="C402" s="1" t="n">
        <v>46180</v>
      </c>
      <c r="D402" t="inlineStr">
        <is>
          <t>SÖDERMANLANDS LÄN</t>
        </is>
      </c>
      <c r="E402" t="inlineStr">
        <is>
          <t>KATRINEHOLM</t>
        </is>
      </c>
      <c r="G402" t="n">
        <v>2.9</v>
      </c>
      <c r="H402" t="n">
        <v>0</v>
      </c>
      <c r="I402" t="n">
        <v>0</v>
      </c>
      <c r="J402" t="n">
        <v>0</v>
      </c>
      <c r="K402" t="n">
        <v>0</v>
      </c>
      <c r="L402" t="n">
        <v>0</v>
      </c>
      <c r="M402" t="n">
        <v>0</v>
      </c>
      <c r="N402" t="n">
        <v>0</v>
      </c>
      <c r="O402" t="n">
        <v>0</v>
      </c>
      <c r="P402" t="n">
        <v>0</v>
      </c>
      <c r="Q402" t="n">
        <v>0</v>
      </c>
      <c r="R402" s="2" t="inlineStr"/>
    </row>
    <row r="403" ht="15" customHeight="1">
      <c r="A403" t="inlineStr">
        <is>
          <t>A 39055-2022</t>
        </is>
      </c>
      <c r="B403" s="1" t="n">
        <v>44817</v>
      </c>
      <c r="C403" s="1" t="n">
        <v>46180</v>
      </c>
      <c r="D403" t="inlineStr">
        <is>
          <t>SÖDERMANLANDS LÄN</t>
        </is>
      </c>
      <c r="E403" t="inlineStr">
        <is>
          <t>KATRINEHOLM</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33469-2025</t>
        </is>
      </c>
      <c r="B404" s="1" t="n">
        <v>45841.48686342593</v>
      </c>
      <c r="C404" s="1" t="n">
        <v>46180</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33129-2025</t>
        </is>
      </c>
      <c r="B405" s="1" t="n">
        <v>45840.50141203704</v>
      </c>
      <c r="C405" s="1" t="n">
        <v>46180</v>
      </c>
      <c r="D405" t="inlineStr">
        <is>
          <t>SÖDERMANLANDS LÄN</t>
        </is>
      </c>
      <c r="E405" t="inlineStr">
        <is>
          <t>KATRINEHOLM</t>
        </is>
      </c>
      <c r="G405" t="n">
        <v>2.6</v>
      </c>
      <c r="H405" t="n">
        <v>0</v>
      </c>
      <c r="I405" t="n">
        <v>0</v>
      </c>
      <c r="J405" t="n">
        <v>0</v>
      </c>
      <c r="K405" t="n">
        <v>0</v>
      </c>
      <c r="L405" t="n">
        <v>0</v>
      </c>
      <c r="M405" t="n">
        <v>0</v>
      </c>
      <c r="N405" t="n">
        <v>0</v>
      </c>
      <c r="O405" t="n">
        <v>0</v>
      </c>
      <c r="P405" t="n">
        <v>0</v>
      </c>
      <c r="Q405" t="n">
        <v>0</v>
      </c>
      <c r="R405" s="2" t="inlineStr"/>
    </row>
    <row r="406" ht="15" customHeight="1">
      <c r="A406" t="inlineStr">
        <is>
          <t>A 46257-2021</t>
        </is>
      </c>
      <c r="B406" s="1" t="n">
        <v>44442</v>
      </c>
      <c r="C406" s="1" t="n">
        <v>46180</v>
      </c>
      <c r="D406" t="inlineStr">
        <is>
          <t>SÖDERMANLANDS LÄN</t>
        </is>
      </c>
      <c r="E406" t="inlineStr">
        <is>
          <t>KATRINEHOLM</t>
        </is>
      </c>
      <c r="G406" t="n">
        <v>2.3</v>
      </c>
      <c r="H406" t="n">
        <v>0</v>
      </c>
      <c r="I406" t="n">
        <v>0</v>
      </c>
      <c r="J406" t="n">
        <v>0</v>
      </c>
      <c r="K406" t="n">
        <v>0</v>
      </c>
      <c r="L406" t="n">
        <v>0</v>
      </c>
      <c r="M406" t="n">
        <v>0</v>
      </c>
      <c r="N406" t="n">
        <v>0</v>
      </c>
      <c r="O406" t="n">
        <v>0</v>
      </c>
      <c r="P406" t="n">
        <v>0</v>
      </c>
      <c r="Q406" t="n">
        <v>0</v>
      </c>
      <c r="R406" s="2" t="inlineStr"/>
    </row>
    <row r="407" ht="15" customHeight="1">
      <c r="A407" t="inlineStr">
        <is>
          <t>A 41548-2025</t>
        </is>
      </c>
      <c r="B407" s="1" t="n">
        <v>45901</v>
      </c>
      <c r="C407" s="1" t="n">
        <v>46180</v>
      </c>
      <c r="D407" t="inlineStr">
        <is>
          <t>SÖDERMANLANDS LÄN</t>
        </is>
      </c>
      <c r="E407" t="inlineStr">
        <is>
          <t>KATRINEHOLM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52769-2023</t>
        </is>
      </c>
      <c r="B408" s="1" t="n">
        <v>45226</v>
      </c>
      <c r="C408" s="1" t="n">
        <v>46180</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33096-2025</t>
        </is>
      </c>
      <c r="B409" s="1" t="n">
        <v>45840.47563657408</v>
      </c>
      <c r="C409" s="1" t="n">
        <v>46180</v>
      </c>
      <c r="D409" t="inlineStr">
        <is>
          <t>SÖDERMANLANDS LÄN</t>
        </is>
      </c>
      <c r="E409" t="inlineStr">
        <is>
          <t>KATRINEHOLM</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33077-2025</t>
        </is>
      </c>
      <c r="B410" s="1" t="n">
        <v>45840.45864583334</v>
      </c>
      <c r="C410" s="1" t="n">
        <v>46180</v>
      </c>
      <c r="D410" t="inlineStr">
        <is>
          <t>SÖDERMANLANDS LÄN</t>
        </is>
      </c>
      <c r="E410" t="inlineStr">
        <is>
          <t>KATRINEHOLM</t>
        </is>
      </c>
      <c r="G410" t="n">
        <v>7</v>
      </c>
      <c r="H410" t="n">
        <v>0</v>
      </c>
      <c r="I410" t="n">
        <v>0</v>
      </c>
      <c r="J410" t="n">
        <v>0</v>
      </c>
      <c r="K410" t="n">
        <v>0</v>
      </c>
      <c r="L410" t="n">
        <v>0</v>
      </c>
      <c r="M410" t="n">
        <v>0</v>
      </c>
      <c r="N410" t="n">
        <v>0</v>
      </c>
      <c r="O410" t="n">
        <v>0</v>
      </c>
      <c r="P410" t="n">
        <v>0</v>
      </c>
      <c r="Q410" t="n">
        <v>0</v>
      </c>
      <c r="R410" s="2" t="inlineStr"/>
    </row>
    <row r="411" ht="15" customHeight="1">
      <c r="A411" t="inlineStr">
        <is>
          <t>A 4758-2025</t>
        </is>
      </c>
      <c r="B411" s="1" t="n">
        <v>45688</v>
      </c>
      <c r="C411" s="1" t="n">
        <v>46180</v>
      </c>
      <c r="D411" t="inlineStr">
        <is>
          <t>SÖDERMANLANDS LÄN</t>
        </is>
      </c>
      <c r="E411" t="inlineStr">
        <is>
          <t>KATRINEHOLM</t>
        </is>
      </c>
      <c r="G411" t="n">
        <v>2.3</v>
      </c>
      <c r="H411" t="n">
        <v>0</v>
      </c>
      <c r="I411" t="n">
        <v>0</v>
      </c>
      <c r="J411" t="n">
        <v>0</v>
      </c>
      <c r="K411" t="n">
        <v>0</v>
      </c>
      <c r="L411" t="n">
        <v>0</v>
      </c>
      <c r="M411" t="n">
        <v>0</v>
      </c>
      <c r="N411" t="n">
        <v>0</v>
      </c>
      <c r="O411" t="n">
        <v>0</v>
      </c>
      <c r="P411" t="n">
        <v>0</v>
      </c>
      <c r="Q411" t="n">
        <v>0</v>
      </c>
      <c r="R411" s="2" t="inlineStr"/>
    </row>
    <row r="412" ht="15" customHeight="1">
      <c r="A412" t="inlineStr">
        <is>
          <t>A 10893-2026</t>
        </is>
      </c>
      <c r="B412" s="1" t="n">
        <v>46078.81072916667</v>
      </c>
      <c r="C412" s="1" t="n">
        <v>46180</v>
      </c>
      <c r="D412" t="inlineStr">
        <is>
          <t>SÖDERMANLANDS LÄN</t>
        </is>
      </c>
      <c r="E412" t="inlineStr">
        <is>
          <t>KATRINEHOLM</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14622-2026</t>
        </is>
      </c>
      <c r="B413" s="1" t="n">
        <v>46101.38826388889</v>
      </c>
      <c r="C413" s="1" t="n">
        <v>46180</v>
      </c>
      <c r="D413" t="inlineStr">
        <is>
          <t>SÖDERMANLANDS LÄN</t>
        </is>
      </c>
      <c r="E413" t="inlineStr">
        <is>
          <t>KATRINEHOLM</t>
        </is>
      </c>
      <c r="G413" t="n">
        <v>2.5</v>
      </c>
      <c r="H413" t="n">
        <v>0</v>
      </c>
      <c r="I413" t="n">
        <v>0</v>
      </c>
      <c r="J413" t="n">
        <v>0</v>
      </c>
      <c r="K413" t="n">
        <v>0</v>
      </c>
      <c r="L413" t="n">
        <v>0</v>
      </c>
      <c r="M413" t="n">
        <v>0</v>
      </c>
      <c r="N413" t="n">
        <v>0</v>
      </c>
      <c r="O413" t="n">
        <v>0</v>
      </c>
      <c r="P413" t="n">
        <v>0</v>
      </c>
      <c r="Q413" t="n">
        <v>0</v>
      </c>
      <c r="R413" s="2" t="inlineStr"/>
    </row>
    <row r="414" ht="15" customHeight="1">
      <c r="A414" t="inlineStr">
        <is>
          <t>A 27852-2023</t>
        </is>
      </c>
      <c r="B414" s="1" t="n">
        <v>45098</v>
      </c>
      <c r="C414" s="1" t="n">
        <v>46180</v>
      </c>
      <c r="D414" t="inlineStr">
        <is>
          <t>SÖDERMANLANDS LÄN</t>
        </is>
      </c>
      <c r="E414" t="inlineStr">
        <is>
          <t>KATRINEHOLM</t>
        </is>
      </c>
      <c r="G414" t="n">
        <v>7.4</v>
      </c>
      <c r="H414" t="n">
        <v>0</v>
      </c>
      <c r="I414" t="n">
        <v>0</v>
      </c>
      <c r="J414" t="n">
        <v>0</v>
      </c>
      <c r="K414" t="n">
        <v>0</v>
      </c>
      <c r="L414" t="n">
        <v>0</v>
      </c>
      <c r="M414" t="n">
        <v>0</v>
      </c>
      <c r="N414" t="n">
        <v>0</v>
      </c>
      <c r="O414" t="n">
        <v>0</v>
      </c>
      <c r="P414" t="n">
        <v>0</v>
      </c>
      <c r="Q414" t="n">
        <v>0</v>
      </c>
      <c r="R414" s="2" t="inlineStr"/>
    </row>
    <row r="415" ht="15" customHeight="1">
      <c r="A415" t="inlineStr">
        <is>
          <t>A 10891-2026</t>
        </is>
      </c>
      <c r="B415" s="1" t="n">
        <v>46078.78545138889</v>
      </c>
      <c r="C415" s="1" t="n">
        <v>46180</v>
      </c>
      <c r="D415" t="inlineStr">
        <is>
          <t>SÖDERMANLANDS LÄN</t>
        </is>
      </c>
      <c r="E415" t="inlineStr">
        <is>
          <t>KATRINEHOLM</t>
        </is>
      </c>
      <c r="F415" t="inlineStr">
        <is>
          <t>Allmännings- och besparingsskogar</t>
        </is>
      </c>
      <c r="G415" t="n">
        <v>1.6</v>
      </c>
      <c r="H415" t="n">
        <v>0</v>
      </c>
      <c r="I415" t="n">
        <v>0</v>
      </c>
      <c r="J415" t="n">
        <v>0</v>
      </c>
      <c r="K415" t="n">
        <v>0</v>
      </c>
      <c r="L415" t="n">
        <v>0</v>
      </c>
      <c r="M415" t="n">
        <v>0</v>
      </c>
      <c r="N415" t="n">
        <v>0</v>
      </c>
      <c r="O415" t="n">
        <v>0</v>
      </c>
      <c r="P415" t="n">
        <v>0</v>
      </c>
      <c r="Q415" t="n">
        <v>0</v>
      </c>
      <c r="R415" s="2" t="inlineStr"/>
    </row>
    <row r="416" ht="15" customHeight="1">
      <c r="A416" t="inlineStr">
        <is>
          <t>A 10721-2026</t>
        </is>
      </c>
      <c r="B416" s="1" t="n">
        <v>46078.46894675926</v>
      </c>
      <c r="C416" s="1" t="n">
        <v>46180</v>
      </c>
      <c r="D416" t="inlineStr">
        <is>
          <t>SÖDERMANLANDS LÄN</t>
        </is>
      </c>
      <c r="E416" t="inlineStr">
        <is>
          <t>KATRINEHOLM</t>
        </is>
      </c>
      <c r="F416" t="inlineStr">
        <is>
          <t>Allmännings- och besparingsskogar</t>
        </is>
      </c>
      <c r="G416" t="n">
        <v>1.8</v>
      </c>
      <c r="H416" t="n">
        <v>0</v>
      </c>
      <c r="I416" t="n">
        <v>0</v>
      </c>
      <c r="J416" t="n">
        <v>0</v>
      </c>
      <c r="K416" t="n">
        <v>0</v>
      </c>
      <c r="L416" t="n">
        <v>0</v>
      </c>
      <c r="M416" t="n">
        <v>0</v>
      </c>
      <c r="N416" t="n">
        <v>0</v>
      </c>
      <c r="O416" t="n">
        <v>0</v>
      </c>
      <c r="P416" t="n">
        <v>0</v>
      </c>
      <c r="Q416" t="n">
        <v>0</v>
      </c>
      <c r="R416" s="2" t="inlineStr"/>
    </row>
    <row r="417" ht="15" customHeight="1">
      <c r="A417" t="inlineStr">
        <is>
          <t>A 61911-2021</t>
        </is>
      </c>
      <c r="B417" s="1" t="n">
        <v>44502.35746527778</v>
      </c>
      <c r="C417" s="1" t="n">
        <v>46180</v>
      </c>
      <c r="D417" t="inlineStr">
        <is>
          <t>SÖDERMANLANDS LÄN</t>
        </is>
      </c>
      <c r="E417" t="inlineStr">
        <is>
          <t>KATRINEHOLM</t>
        </is>
      </c>
      <c r="G417" t="n">
        <v>3.8</v>
      </c>
      <c r="H417" t="n">
        <v>0</v>
      </c>
      <c r="I417" t="n">
        <v>0</v>
      </c>
      <c r="J417" t="n">
        <v>0</v>
      </c>
      <c r="K417" t="n">
        <v>0</v>
      </c>
      <c r="L417" t="n">
        <v>0</v>
      </c>
      <c r="M417" t="n">
        <v>0</v>
      </c>
      <c r="N417" t="n">
        <v>0</v>
      </c>
      <c r="O417" t="n">
        <v>0</v>
      </c>
      <c r="P417" t="n">
        <v>0</v>
      </c>
      <c r="Q417" t="n">
        <v>0</v>
      </c>
      <c r="R417" s="2" t="inlineStr"/>
    </row>
    <row r="418" ht="15" customHeight="1">
      <c r="A418" t="inlineStr">
        <is>
          <t>A 42945-2023</t>
        </is>
      </c>
      <c r="B418" s="1" t="n">
        <v>45182.5793287037</v>
      </c>
      <c r="C418" s="1" t="n">
        <v>46180</v>
      </c>
      <c r="D418" t="inlineStr">
        <is>
          <t>SÖDERMANLANDS LÄN</t>
        </is>
      </c>
      <c r="E418" t="inlineStr">
        <is>
          <t>KATRINEHOLM</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42962-2023</t>
        </is>
      </c>
      <c r="B419" s="1" t="n">
        <v>45182</v>
      </c>
      <c r="C419" s="1" t="n">
        <v>46180</v>
      </c>
      <c r="D419" t="inlineStr">
        <is>
          <t>SÖDERMANLANDS LÄN</t>
        </is>
      </c>
      <c r="E419" t="inlineStr">
        <is>
          <t>KATRINEHOLM</t>
        </is>
      </c>
      <c r="F419" t="inlineStr">
        <is>
          <t>Övriga Aktiebolag</t>
        </is>
      </c>
      <c r="G419" t="n">
        <v>10.6</v>
      </c>
      <c r="H419" t="n">
        <v>0</v>
      </c>
      <c r="I419" t="n">
        <v>0</v>
      </c>
      <c r="J419" t="n">
        <v>0</v>
      </c>
      <c r="K419" t="n">
        <v>0</v>
      </c>
      <c r="L419" t="n">
        <v>0</v>
      </c>
      <c r="M419" t="n">
        <v>0</v>
      </c>
      <c r="N419" t="n">
        <v>0</v>
      </c>
      <c r="O419" t="n">
        <v>0</v>
      </c>
      <c r="P419" t="n">
        <v>0</v>
      </c>
      <c r="Q419" t="n">
        <v>0</v>
      </c>
      <c r="R419" s="2" t="inlineStr"/>
    </row>
    <row r="420" ht="15" customHeight="1">
      <c r="A420" t="inlineStr">
        <is>
          <t>A 44915-2022</t>
        </is>
      </c>
      <c r="B420" s="1" t="n">
        <v>44840</v>
      </c>
      <c r="C420" s="1" t="n">
        <v>46180</v>
      </c>
      <c r="D420" t="inlineStr">
        <is>
          <t>SÖDERMANLANDS LÄN</t>
        </is>
      </c>
      <c r="E420" t="inlineStr">
        <is>
          <t>KATRINEHOLM</t>
        </is>
      </c>
      <c r="G420" t="n">
        <v>6.3</v>
      </c>
      <c r="H420" t="n">
        <v>0</v>
      </c>
      <c r="I420" t="n">
        <v>0</v>
      </c>
      <c r="J420" t="n">
        <v>0</v>
      </c>
      <c r="K420" t="n">
        <v>0</v>
      </c>
      <c r="L420" t="n">
        <v>0</v>
      </c>
      <c r="M420" t="n">
        <v>0</v>
      </c>
      <c r="N420" t="n">
        <v>0</v>
      </c>
      <c r="O420" t="n">
        <v>0</v>
      </c>
      <c r="P420" t="n">
        <v>0</v>
      </c>
      <c r="Q420" t="n">
        <v>0</v>
      </c>
      <c r="R420" s="2" t="inlineStr"/>
    </row>
    <row r="421" ht="15" customHeight="1">
      <c r="A421" t="inlineStr">
        <is>
          <t>A 11666-2026</t>
        </is>
      </c>
      <c r="B421" s="1" t="n">
        <v>46084.55381944445</v>
      </c>
      <c r="C421" s="1" t="n">
        <v>46180</v>
      </c>
      <c r="D421" t="inlineStr">
        <is>
          <t>SÖDERMANLANDS LÄN</t>
        </is>
      </c>
      <c r="E421" t="inlineStr">
        <is>
          <t>KATRINEHOLM</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11621-2026</t>
        </is>
      </c>
      <c r="B422" s="1" t="n">
        <v>46084.46734953704</v>
      </c>
      <c r="C422" s="1" t="n">
        <v>46180</v>
      </c>
      <c r="D422" t="inlineStr">
        <is>
          <t>SÖDERMANLANDS LÄN</t>
        </is>
      </c>
      <c r="E422" t="inlineStr">
        <is>
          <t>KATRINEHOLM</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55029-2025</t>
        </is>
      </c>
      <c r="B423" s="1" t="n">
        <v>45967.63784722222</v>
      </c>
      <c r="C423" s="1" t="n">
        <v>46180</v>
      </c>
      <c r="D423" t="inlineStr">
        <is>
          <t>SÖDERMANLANDS LÄN</t>
        </is>
      </c>
      <c r="E423" t="inlineStr">
        <is>
          <t>KATRINEHOLM</t>
        </is>
      </c>
      <c r="G423" t="n">
        <v>10.1</v>
      </c>
      <c r="H423" t="n">
        <v>0</v>
      </c>
      <c r="I423" t="n">
        <v>0</v>
      </c>
      <c r="J423" t="n">
        <v>0</v>
      </c>
      <c r="K423" t="n">
        <v>0</v>
      </c>
      <c r="L423" t="n">
        <v>0</v>
      </c>
      <c r="M423" t="n">
        <v>0</v>
      </c>
      <c r="N423" t="n">
        <v>0</v>
      </c>
      <c r="O423" t="n">
        <v>0</v>
      </c>
      <c r="P423" t="n">
        <v>0</v>
      </c>
      <c r="Q423" t="n">
        <v>0</v>
      </c>
      <c r="R423" s="2" t="inlineStr"/>
    </row>
    <row r="424" ht="15" customHeight="1">
      <c r="A424" t="inlineStr">
        <is>
          <t>A 11677-2026</t>
        </is>
      </c>
      <c r="B424" s="1" t="n">
        <v>46084.56711805556</v>
      </c>
      <c r="C424" s="1" t="n">
        <v>46180</v>
      </c>
      <c r="D424" t="inlineStr">
        <is>
          <t>SÖDERMANLANDS LÄN</t>
        </is>
      </c>
      <c r="E424" t="inlineStr">
        <is>
          <t>KATRINEHOLM</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54999-2025</t>
        </is>
      </c>
      <c r="B425" s="1" t="n">
        <v>45967.59880787037</v>
      </c>
      <c r="C425" s="1" t="n">
        <v>46180</v>
      </c>
      <c r="D425" t="inlineStr">
        <is>
          <t>SÖDERMANLANDS LÄN</t>
        </is>
      </c>
      <c r="E425" t="inlineStr">
        <is>
          <t>KATRINEHOLM</t>
        </is>
      </c>
      <c r="G425" t="n">
        <v>8.5</v>
      </c>
      <c r="H425" t="n">
        <v>0</v>
      </c>
      <c r="I425" t="n">
        <v>0</v>
      </c>
      <c r="J425" t="n">
        <v>0</v>
      </c>
      <c r="K425" t="n">
        <v>0</v>
      </c>
      <c r="L425" t="n">
        <v>0</v>
      </c>
      <c r="M425" t="n">
        <v>0</v>
      </c>
      <c r="N425" t="n">
        <v>0</v>
      </c>
      <c r="O425" t="n">
        <v>0</v>
      </c>
      <c r="P425" t="n">
        <v>0</v>
      </c>
      <c r="Q425" t="n">
        <v>0</v>
      </c>
      <c r="R425" s="2" t="inlineStr"/>
    </row>
    <row r="426" ht="15" customHeight="1">
      <c r="A426" t="inlineStr">
        <is>
          <t>A 48097-2023</t>
        </is>
      </c>
      <c r="B426" s="1" t="n">
        <v>45205.31987268518</v>
      </c>
      <c r="C426" s="1" t="n">
        <v>46180</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45793-2022</t>
        </is>
      </c>
      <c r="B427" s="1" t="n">
        <v>44844</v>
      </c>
      <c r="C427" s="1" t="n">
        <v>46180</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40393-2022</t>
        </is>
      </c>
      <c r="B428" s="1" t="n">
        <v>44823</v>
      </c>
      <c r="C428" s="1" t="n">
        <v>46180</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48685-2022</t>
        </is>
      </c>
      <c r="B429" s="1" t="n">
        <v>44859</v>
      </c>
      <c r="C429" s="1" t="n">
        <v>46180</v>
      </c>
      <c r="D429" t="inlineStr">
        <is>
          <t>SÖDERMANLANDS LÄN</t>
        </is>
      </c>
      <c r="E429" t="inlineStr">
        <is>
          <t>KATRINEHOLM</t>
        </is>
      </c>
      <c r="G429" t="n">
        <v>0.5</v>
      </c>
      <c r="H429" t="n">
        <v>0</v>
      </c>
      <c r="I429" t="n">
        <v>0</v>
      </c>
      <c r="J429" t="n">
        <v>0</v>
      </c>
      <c r="K429" t="n">
        <v>0</v>
      </c>
      <c r="L429" t="n">
        <v>0</v>
      </c>
      <c r="M429" t="n">
        <v>0</v>
      </c>
      <c r="N429" t="n">
        <v>0</v>
      </c>
      <c r="O429" t="n">
        <v>0</v>
      </c>
      <c r="P429" t="n">
        <v>0</v>
      </c>
      <c r="Q429" t="n">
        <v>0</v>
      </c>
      <c r="R429" s="2" t="inlineStr"/>
    </row>
    <row r="430" ht="15" customHeight="1">
      <c r="A430" t="inlineStr">
        <is>
          <t>A 36133-2021</t>
        </is>
      </c>
      <c r="B430" s="1" t="n">
        <v>44386</v>
      </c>
      <c r="C430" s="1" t="n">
        <v>46180</v>
      </c>
      <c r="D430" t="inlineStr">
        <is>
          <t>SÖDERMANLANDS LÄN</t>
        </is>
      </c>
      <c r="E430" t="inlineStr">
        <is>
          <t>KATRINEHOLM</t>
        </is>
      </c>
      <c r="F430" t="inlineStr">
        <is>
          <t>Övriga Aktiebolag</t>
        </is>
      </c>
      <c r="G430" t="n">
        <v>8.9</v>
      </c>
      <c r="H430" t="n">
        <v>0</v>
      </c>
      <c r="I430" t="n">
        <v>0</v>
      </c>
      <c r="J430" t="n">
        <v>0</v>
      </c>
      <c r="K430" t="n">
        <v>0</v>
      </c>
      <c r="L430" t="n">
        <v>0</v>
      </c>
      <c r="M430" t="n">
        <v>0</v>
      </c>
      <c r="N430" t="n">
        <v>0</v>
      </c>
      <c r="O430" t="n">
        <v>0</v>
      </c>
      <c r="P430" t="n">
        <v>0</v>
      </c>
      <c r="Q430" t="n">
        <v>0</v>
      </c>
      <c r="R430" s="2" t="inlineStr"/>
    </row>
    <row r="431" ht="15" customHeight="1">
      <c r="A431" t="inlineStr">
        <is>
          <t>A 49700-2022</t>
        </is>
      </c>
      <c r="B431" s="1" t="n">
        <v>44862</v>
      </c>
      <c r="C431" s="1" t="n">
        <v>46180</v>
      </c>
      <c r="D431" t="inlineStr">
        <is>
          <t>SÖDERMANLANDS LÄN</t>
        </is>
      </c>
      <c r="E431" t="inlineStr">
        <is>
          <t>KATRINEHOLM</t>
        </is>
      </c>
      <c r="G431" t="n">
        <v>19.5</v>
      </c>
      <c r="H431" t="n">
        <v>0</v>
      </c>
      <c r="I431" t="n">
        <v>0</v>
      </c>
      <c r="J431" t="n">
        <v>0</v>
      </c>
      <c r="K431" t="n">
        <v>0</v>
      </c>
      <c r="L431" t="n">
        <v>0</v>
      </c>
      <c r="M431" t="n">
        <v>0</v>
      </c>
      <c r="N431" t="n">
        <v>0</v>
      </c>
      <c r="O431" t="n">
        <v>0</v>
      </c>
      <c r="P431" t="n">
        <v>0</v>
      </c>
      <c r="Q431" t="n">
        <v>0</v>
      </c>
      <c r="R431" s="2" t="inlineStr"/>
    </row>
    <row r="432" ht="15" customHeight="1">
      <c r="A432" t="inlineStr">
        <is>
          <t>A 55829-2025</t>
        </is>
      </c>
      <c r="B432" s="1" t="n">
        <v>45972.79274305556</v>
      </c>
      <c r="C432" s="1" t="n">
        <v>46180</v>
      </c>
      <c r="D432" t="inlineStr">
        <is>
          <t>SÖDERMANLANDS LÄN</t>
        </is>
      </c>
      <c r="E432" t="inlineStr">
        <is>
          <t>KATRINEHOLM</t>
        </is>
      </c>
      <c r="G432" t="n">
        <v>3.2</v>
      </c>
      <c r="H432" t="n">
        <v>0</v>
      </c>
      <c r="I432" t="n">
        <v>0</v>
      </c>
      <c r="J432" t="n">
        <v>0</v>
      </c>
      <c r="K432" t="n">
        <v>0</v>
      </c>
      <c r="L432" t="n">
        <v>0</v>
      </c>
      <c r="M432" t="n">
        <v>0</v>
      </c>
      <c r="N432" t="n">
        <v>0</v>
      </c>
      <c r="O432" t="n">
        <v>0</v>
      </c>
      <c r="P432" t="n">
        <v>0</v>
      </c>
      <c r="Q432" t="n">
        <v>0</v>
      </c>
      <c r="R432" s="2" t="inlineStr"/>
    </row>
    <row r="433" ht="15" customHeight="1">
      <c r="A433" t="inlineStr">
        <is>
          <t>A 30276-2023</t>
        </is>
      </c>
      <c r="B433" s="1" t="n">
        <v>45110</v>
      </c>
      <c r="C433" s="1" t="n">
        <v>46180</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56330-2025</t>
        </is>
      </c>
      <c r="B434" s="1" t="n">
        <v>45974.64094907408</v>
      </c>
      <c r="C434" s="1" t="n">
        <v>46180</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57265-2022</t>
        </is>
      </c>
      <c r="B435" s="1" t="n">
        <v>44895</v>
      </c>
      <c r="C435" s="1" t="n">
        <v>46180</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50316-2023</t>
        </is>
      </c>
      <c r="B436" s="1" t="n">
        <v>45209</v>
      </c>
      <c r="C436" s="1" t="n">
        <v>46180</v>
      </c>
      <c r="D436" t="inlineStr">
        <is>
          <t>SÖDERMANLANDS LÄN</t>
        </is>
      </c>
      <c r="E436" t="inlineStr">
        <is>
          <t>KATRINEHOLM</t>
        </is>
      </c>
      <c r="G436" t="n">
        <v>1.9</v>
      </c>
      <c r="H436" t="n">
        <v>0</v>
      </c>
      <c r="I436" t="n">
        <v>0</v>
      </c>
      <c r="J436" t="n">
        <v>0</v>
      </c>
      <c r="K436" t="n">
        <v>0</v>
      </c>
      <c r="L436" t="n">
        <v>0</v>
      </c>
      <c r="M436" t="n">
        <v>0</v>
      </c>
      <c r="N436" t="n">
        <v>0</v>
      </c>
      <c r="O436" t="n">
        <v>0</v>
      </c>
      <c r="P436" t="n">
        <v>0</v>
      </c>
      <c r="Q436" t="n">
        <v>0</v>
      </c>
      <c r="R436" s="2" t="inlineStr"/>
    </row>
    <row r="437" ht="15" customHeight="1">
      <c r="A437" t="inlineStr">
        <is>
          <t>A 52857-2021</t>
        </is>
      </c>
      <c r="B437" s="1" t="n">
        <v>44466</v>
      </c>
      <c r="C437" s="1" t="n">
        <v>46180</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56597-2025</t>
        </is>
      </c>
      <c r="B438" s="1" t="n">
        <v>45975.57271990741</v>
      </c>
      <c r="C438" s="1" t="n">
        <v>46180</v>
      </c>
      <c r="D438" t="inlineStr">
        <is>
          <t>SÖDERMANLANDS LÄN</t>
        </is>
      </c>
      <c r="E438" t="inlineStr">
        <is>
          <t>KATRINEHOLM</t>
        </is>
      </c>
      <c r="G438" t="n">
        <v>1.7</v>
      </c>
      <c r="H438" t="n">
        <v>0</v>
      </c>
      <c r="I438" t="n">
        <v>0</v>
      </c>
      <c r="J438" t="n">
        <v>0</v>
      </c>
      <c r="K438" t="n">
        <v>0</v>
      </c>
      <c r="L438" t="n">
        <v>0</v>
      </c>
      <c r="M438" t="n">
        <v>0</v>
      </c>
      <c r="N438" t="n">
        <v>0</v>
      </c>
      <c r="O438" t="n">
        <v>0</v>
      </c>
      <c r="P438" t="n">
        <v>0</v>
      </c>
      <c r="Q438" t="n">
        <v>0</v>
      </c>
      <c r="R438" s="2" t="inlineStr"/>
    </row>
    <row r="439" ht="15" customHeight="1">
      <c r="A439" t="inlineStr">
        <is>
          <t>A 60160-2022</t>
        </is>
      </c>
      <c r="B439" s="1" t="n">
        <v>44909</v>
      </c>
      <c r="C439" s="1" t="n">
        <v>46180</v>
      </c>
      <c r="D439" t="inlineStr">
        <is>
          <t>SÖDERMANLANDS LÄN</t>
        </is>
      </c>
      <c r="E439" t="inlineStr">
        <is>
          <t>KATRINEHOLM</t>
        </is>
      </c>
      <c r="F439" t="inlineStr">
        <is>
          <t>Allmännings- och besparingsskogar</t>
        </is>
      </c>
      <c r="G439" t="n">
        <v>2</v>
      </c>
      <c r="H439" t="n">
        <v>0</v>
      </c>
      <c r="I439" t="n">
        <v>0</v>
      </c>
      <c r="J439" t="n">
        <v>0</v>
      </c>
      <c r="K439" t="n">
        <v>0</v>
      </c>
      <c r="L439" t="n">
        <v>0</v>
      </c>
      <c r="M439" t="n">
        <v>0</v>
      </c>
      <c r="N439" t="n">
        <v>0</v>
      </c>
      <c r="O439" t="n">
        <v>0</v>
      </c>
      <c r="P439" t="n">
        <v>0</v>
      </c>
      <c r="Q439" t="n">
        <v>0</v>
      </c>
      <c r="R439" s="2" t="inlineStr"/>
    </row>
    <row r="440" ht="15" customHeight="1">
      <c r="A440" t="inlineStr">
        <is>
          <t>A 19442-2023</t>
        </is>
      </c>
      <c r="B440" s="1" t="n">
        <v>45050</v>
      </c>
      <c r="C440" s="1" t="n">
        <v>46180</v>
      </c>
      <c r="D440" t="inlineStr">
        <is>
          <t>SÖDERMANLANDS LÄN</t>
        </is>
      </c>
      <c r="E440" t="inlineStr">
        <is>
          <t>KATRINEHOLM</t>
        </is>
      </c>
      <c r="F440" t="inlineStr">
        <is>
          <t>Holmen skog AB</t>
        </is>
      </c>
      <c r="G440" t="n">
        <v>0.7</v>
      </c>
      <c r="H440" t="n">
        <v>0</v>
      </c>
      <c r="I440" t="n">
        <v>0</v>
      </c>
      <c r="J440" t="n">
        <v>0</v>
      </c>
      <c r="K440" t="n">
        <v>0</v>
      </c>
      <c r="L440" t="n">
        <v>0</v>
      </c>
      <c r="M440" t="n">
        <v>0</v>
      </c>
      <c r="N440" t="n">
        <v>0</v>
      </c>
      <c r="O440" t="n">
        <v>0</v>
      </c>
      <c r="P440" t="n">
        <v>0</v>
      </c>
      <c r="Q440" t="n">
        <v>0</v>
      </c>
      <c r="R440" s="2" t="inlineStr"/>
    </row>
    <row r="441" ht="15" customHeight="1">
      <c r="A441" t="inlineStr">
        <is>
          <t>A 12831-2026</t>
        </is>
      </c>
      <c r="B441" s="1" t="n">
        <v>46092.42416666666</v>
      </c>
      <c r="C441" s="1" t="n">
        <v>46180</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50840-2022</t>
        </is>
      </c>
      <c r="B442" s="1" t="n">
        <v>44862</v>
      </c>
      <c r="C442" s="1" t="n">
        <v>46180</v>
      </c>
      <c r="D442" t="inlineStr">
        <is>
          <t>SÖDERMANLANDS LÄN</t>
        </is>
      </c>
      <c r="E442" t="inlineStr">
        <is>
          <t>KATRINEHOLM</t>
        </is>
      </c>
      <c r="G442" t="n">
        <v>4.2</v>
      </c>
      <c r="H442" t="n">
        <v>0</v>
      </c>
      <c r="I442" t="n">
        <v>0</v>
      </c>
      <c r="J442" t="n">
        <v>0</v>
      </c>
      <c r="K442" t="n">
        <v>0</v>
      </c>
      <c r="L442" t="n">
        <v>0</v>
      </c>
      <c r="M442" t="n">
        <v>0</v>
      </c>
      <c r="N442" t="n">
        <v>0</v>
      </c>
      <c r="O442" t="n">
        <v>0</v>
      </c>
      <c r="P442" t="n">
        <v>0</v>
      </c>
      <c r="Q442" t="n">
        <v>0</v>
      </c>
      <c r="R442" s="2" t="inlineStr"/>
    </row>
    <row r="443" ht="15" customHeight="1">
      <c r="A443" t="inlineStr">
        <is>
          <t>A 57323-2025</t>
        </is>
      </c>
      <c r="B443" s="1" t="n">
        <v>45980.32501157407</v>
      </c>
      <c r="C443" s="1" t="n">
        <v>46180</v>
      </c>
      <c r="D443" t="inlineStr">
        <is>
          <t>SÖDERMANLANDS LÄN</t>
        </is>
      </c>
      <c r="E443" t="inlineStr">
        <is>
          <t>KATRINEHOLM</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3060-2022</t>
        </is>
      </c>
      <c r="B444" s="1" t="n">
        <v>44582.40109953703</v>
      </c>
      <c r="C444" s="1" t="n">
        <v>46180</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6611-2023</t>
        </is>
      </c>
      <c r="B445" s="1" t="n">
        <v>44963</v>
      </c>
      <c r="C445" s="1" t="n">
        <v>46180</v>
      </c>
      <c r="D445" t="inlineStr">
        <is>
          <t>SÖDERMANLANDS LÄN</t>
        </is>
      </c>
      <c r="E445" t="inlineStr">
        <is>
          <t>KATRINEHOLM</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50804-2023</t>
        </is>
      </c>
      <c r="B446" s="1" t="n">
        <v>45211</v>
      </c>
      <c r="C446" s="1" t="n">
        <v>46180</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20533-2023</t>
        </is>
      </c>
      <c r="B447" s="1" t="n">
        <v>45057</v>
      </c>
      <c r="C447" s="1" t="n">
        <v>46180</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c r="T447">
        <f>HYPERLINK("https://klasma.github.io/Logging_0483/kartor/A 20533-2023 karta.png", "A 20533-2023")</f>
        <v/>
      </c>
      <c r="V447">
        <f>HYPERLINK("https://klasma.github.io/Logging_0483/klagomål/A 20533-2023 FSC-klagomål.docx", "A 20533-2023")</f>
        <v/>
      </c>
      <c r="W447">
        <f>HYPERLINK("https://klasma.github.io/Logging_0483/klagomålsmail/A 20533-2023 FSC-klagomål mail.docx", "A 20533-2023")</f>
        <v/>
      </c>
      <c r="X447">
        <f>HYPERLINK("https://klasma.github.io/Logging_0483/tillsyn/A 20533-2023 tillsynsbegäran.docx", "A 20533-2023")</f>
        <v/>
      </c>
      <c r="Y447">
        <f>HYPERLINK("https://klasma.github.io/Logging_0483/tillsynsmail/A 20533-2023 tillsynsbegäran mail.docx", "A 20533-2023")</f>
        <v/>
      </c>
      <c r="Z447">
        <f>HYPERLINK("https://klasma.github.io/Logging_0483/fåglar/A 20533-2023 prioriterade fågelarter.docx", "A 20533-2023")</f>
        <v/>
      </c>
    </row>
    <row r="448" ht="15" customHeight="1">
      <c r="A448" t="inlineStr">
        <is>
          <t>A 13655-2026</t>
        </is>
      </c>
      <c r="B448" s="1" t="n">
        <v>46097.45415509259</v>
      </c>
      <c r="C448" s="1" t="n">
        <v>46180</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13631-2026</t>
        </is>
      </c>
      <c r="B449" s="1" t="n">
        <v>46095</v>
      </c>
      <c r="C449" s="1" t="n">
        <v>46180</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43499-2021</t>
        </is>
      </c>
      <c r="B450" s="1" t="n">
        <v>44433</v>
      </c>
      <c r="C450" s="1" t="n">
        <v>46180</v>
      </c>
      <c r="D450" t="inlineStr">
        <is>
          <t>SÖDERMANLANDS LÄN</t>
        </is>
      </c>
      <c r="E450" t="inlineStr">
        <is>
          <t>KATRINEHOLM</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53996-2023</t>
        </is>
      </c>
      <c r="B451" s="1" t="n">
        <v>45231</v>
      </c>
      <c r="C451" s="1" t="n">
        <v>46180</v>
      </c>
      <c r="D451" t="inlineStr">
        <is>
          <t>SÖDERMANLANDS LÄN</t>
        </is>
      </c>
      <c r="E451" t="inlineStr">
        <is>
          <t>KATRINEHOLM</t>
        </is>
      </c>
      <c r="G451" t="n">
        <v>4.9</v>
      </c>
      <c r="H451" t="n">
        <v>0</v>
      </c>
      <c r="I451" t="n">
        <v>0</v>
      </c>
      <c r="J451" t="n">
        <v>0</v>
      </c>
      <c r="K451" t="n">
        <v>0</v>
      </c>
      <c r="L451" t="n">
        <v>0</v>
      </c>
      <c r="M451" t="n">
        <v>0</v>
      </c>
      <c r="N451" t="n">
        <v>0</v>
      </c>
      <c r="O451" t="n">
        <v>0</v>
      </c>
      <c r="P451" t="n">
        <v>0</v>
      </c>
      <c r="Q451" t="n">
        <v>0</v>
      </c>
      <c r="R451" s="2" t="inlineStr"/>
    </row>
    <row r="452" ht="15" customHeight="1">
      <c r="A452" t="inlineStr">
        <is>
          <t>A 33790-2024</t>
        </is>
      </c>
      <c r="B452" s="1" t="n">
        <v>45520.59179398148</v>
      </c>
      <c r="C452" s="1" t="n">
        <v>46180</v>
      </c>
      <c r="D452" t="inlineStr">
        <is>
          <t>SÖDERMANLANDS LÄN</t>
        </is>
      </c>
      <c r="E452" t="inlineStr">
        <is>
          <t>KATRINEHOLM</t>
        </is>
      </c>
      <c r="G452" t="n">
        <v>14</v>
      </c>
      <c r="H452" t="n">
        <v>0</v>
      </c>
      <c r="I452" t="n">
        <v>0</v>
      </c>
      <c r="J452" t="n">
        <v>0</v>
      </c>
      <c r="K452" t="n">
        <v>0</v>
      </c>
      <c r="L452" t="n">
        <v>0</v>
      </c>
      <c r="M452" t="n">
        <v>0</v>
      </c>
      <c r="N452" t="n">
        <v>0</v>
      </c>
      <c r="O452" t="n">
        <v>0</v>
      </c>
      <c r="P452" t="n">
        <v>0</v>
      </c>
      <c r="Q452" t="n">
        <v>0</v>
      </c>
      <c r="R452" s="2" t="inlineStr"/>
    </row>
    <row r="453" ht="15" customHeight="1">
      <c r="A453" t="inlineStr">
        <is>
          <t>A 13633-2026</t>
        </is>
      </c>
      <c r="B453" s="1" t="n">
        <v>46097.38148148148</v>
      </c>
      <c r="C453" s="1" t="n">
        <v>46180</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47456-2022</t>
        </is>
      </c>
      <c r="B454" s="1" t="n">
        <v>44852</v>
      </c>
      <c r="C454" s="1" t="n">
        <v>46180</v>
      </c>
      <c r="D454" t="inlineStr">
        <is>
          <t>SÖDERMANLANDS LÄN</t>
        </is>
      </c>
      <c r="E454" t="inlineStr">
        <is>
          <t>KATRINEHOLM</t>
        </is>
      </c>
      <c r="G454" t="n">
        <v>3.7</v>
      </c>
      <c r="H454" t="n">
        <v>0</v>
      </c>
      <c r="I454" t="n">
        <v>0</v>
      </c>
      <c r="J454" t="n">
        <v>0</v>
      </c>
      <c r="K454" t="n">
        <v>0</v>
      </c>
      <c r="L454" t="n">
        <v>0</v>
      </c>
      <c r="M454" t="n">
        <v>0</v>
      </c>
      <c r="N454" t="n">
        <v>0</v>
      </c>
      <c r="O454" t="n">
        <v>0</v>
      </c>
      <c r="P454" t="n">
        <v>0</v>
      </c>
      <c r="Q454" t="n">
        <v>0</v>
      </c>
      <c r="R454" s="2" t="inlineStr"/>
    </row>
    <row r="455" ht="15" customHeight="1">
      <c r="A455" t="inlineStr">
        <is>
          <t>A 23347-2023</t>
        </is>
      </c>
      <c r="B455" s="1" t="n">
        <v>45076</v>
      </c>
      <c r="C455" s="1" t="n">
        <v>46180</v>
      </c>
      <c r="D455" t="inlineStr">
        <is>
          <t>SÖDERMANLANDS LÄN</t>
        </is>
      </c>
      <c r="E455" t="inlineStr">
        <is>
          <t>KATRINEHOLM</t>
        </is>
      </c>
      <c r="G455" t="n">
        <v>4.3</v>
      </c>
      <c r="H455" t="n">
        <v>0</v>
      </c>
      <c r="I455" t="n">
        <v>0</v>
      </c>
      <c r="J455" t="n">
        <v>0</v>
      </c>
      <c r="K455" t="n">
        <v>0</v>
      </c>
      <c r="L455" t="n">
        <v>0</v>
      </c>
      <c r="M455" t="n">
        <v>0</v>
      </c>
      <c r="N455" t="n">
        <v>0</v>
      </c>
      <c r="O455" t="n">
        <v>0</v>
      </c>
      <c r="P455" t="n">
        <v>0</v>
      </c>
      <c r="Q455" t="n">
        <v>0</v>
      </c>
      <c r="R455" s="2" t="inlineStr"/>
    </row>
    <row r="456" ht="15" customHeight="1">
      <c r="A456" t="inlineStr">
        <is>
          <t>A 13630-2026</t>
        </is>
      </c>
      <c r="B456" s="1" t="n">
        <v>46097.37490740741</v>
      </c>
      <c r="C456" s="1" t="n">
        <v>46180</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13632-2026</t>
        </is>
      </c>
      <c r="B457" s="1" t="n">
        <v>46097.37996527777</v>
      </c>
      <c r="C457" s="1" t="n">
        <v>46180</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74354-2021</t>
        </is>
      </c>
      <c r="B458" s="1" t="n">
        <v>44559.57041666667</v>
      </c>
      <c r="C458" s="1" t="n">
        <v>46180</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44464.49756944444</v>
      </c>
      <c r="C459" s="1" t="n">
        <v>46180</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56628-2021</t>
        </is>
      </c>
      <c r="B460" s="1" t="n">
        <v>44480</v>
      </c>
      <c r="C460" s="1" t="n">
        <v>46180</v>
      </c>
      <c r="D460" t="inlineStr">
        <is>
          <t>SÖDERMANLANDS LÄN</t>
        </is>
      </c>
      <c r="E460" t="inlineStr">
        <is>
          <t>KATRINEHOLM</t>
        </is>
      </c>
      <c r="G460" t="n">
        <v>1.8</v>
      </c>
      <c r="H460" t="n">
        <v>0</v>
      </c>
      <c r="I460" t="n">
        <v>0</v>
      </c>
      <c r="J460" t="n">
        <v>0</v>
      </c>
      <c r="K460" t="n">
        <v>0</v>
      </c>
      <c r="L460" t="n">
        <v>0</v>
      </c>
      <c r="M460" t="n">
        <v>0</v>
      </c>
      <c r="N460" t="n">
        <v>0</v>
      </c>
      <c r="O460" t="n">
        <v>0</v>
      </c>
      <c r="P460" t="n">
        <v>0</v>
      </c>
      <c r="Q460" t="n">
        <v>0</v>
      </c>
      <c r="R460" s="2" t="inlineStr"/>
    </row>
    <row r="461" ht="15" customHeight="1">
      <c r="A461" t="inlineStr">
        <is>
          <t>A 45438-2021</t>
        </is>
      </c>
      <c r="B461" s="1" t="n">
        <v>44440</v>
      </c>
      <c r="C461" s="1" t="n">
        <v>46180</v>
      </c>
      <c r="D461" t="inlineStr">
        <is>
          <t>SÖDERMANLANDS LÄN</t>
        </is>
      </c>
      <c r="E461" t="inlineStr">
        <is>
          <t>KATRINEHOLM</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50061-2022</t>
        </is>
      </c>
      <c r="B462" s="1" t="n">
        <v>44865</v>
      </c>
      <c r="C462" s="1" t="n">
        <v>46180</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10446-2024</t>
        </is>
      </c>
      <c r="B463" s="1" t="n">
        <v>45366</v>
      </c>
      <c r="C463" s="1" t="n">
        <v>46180</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20221-2026</t>
        </is>
      </c>
      <c r="B464" s="1" t="n">
        <v>46139.43833333333</v>
      </c>
      <c r="C464" s="1" t="n">
        <v>46180</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46180</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23842-2023</t>
        </is>
      </c>
      <c r="B466" s="1" t="n">
        <v>45075</v>
      </c>
      <c r="C466" s="1" t="n">
        <v>46180</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34263-2023</t>
        </is>
      </c>
      <c r="B467" s="1" t="n">
        <v>45138.60248842592</v>
      </c>
      <c r="C467" s="1" t="n">
        <v>46180</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20464-2026</t>
        </is>
      </c>
      <c r="B468" s="1" t="n">
        <v>46140.44986111111</v>
      </c>
      <c r="C468" s="1" t="n">
        <v>46180</v>
      </c>
      <c r="D468" t="inlineStr">
        <is>
          <t>SÖDERMANLANDS LÄN</t>
        </is>
      </c>
      <c r="E468" t="inlineStr">
        <is>
          <t>KATRINEHOLM</t>
        </is>
      </c>
      <c r="G468" t="n">
        <v>9.1</v>
      </c>
      <c r="H468" t="n">
        <v>0</v>
      </c>
      <c r="I468" t="n">
        <v>0</v>
      </c>
      <c r="J468" t="n">
        <v>0</v>
      </c>
      <c r="K468" t="n">
        <v>0</v>
      </c>
      <c r="L468" t="n">
        <v>0</v>
      </c>
      <c r="M468" t="n">
        <v>0</v>
      </c>
      <c r="N468" t="n">
        <v>0</v>
      </c>
      <c r="O468" t="n">
        <v>0</v>
      </c>
      <c r="P468" t="n">
        <v>0</v>
      </c>
      <c r="Q468" t="n">
        <v>0</v>
      </c>
      <c r="R468" s="2" t="inlineStr"/>
    </row>
    <row r="469" ht="15" customHeight="1">
      <c r="A469" t="inlineStr">
        <is>
          <t>A 46899-2022</t>
        </is>
      </c>
      <c r="B469" s="1" t="n">
        <v>44848</v>
      </c>
      <c r="C469" s="1" t="n">
        <v>46180</v>
      </c>
      <c r="D469" t="inlineStr">
        <is>
          <t>SÖDERMANLANDS LÄN</t>
        </is>
      </c>
      <c r="E469" t="inlineStr">
        <is>
          <t>KATRINEHOLM</t>
        </is>
      </c>
      <c r="G469" t="n">
        <v>2</v>
      </c>
      <c r="H469" t="n">
        <v>0</v>
      </c>
      <c r="I469" t="n">
        <v>0</v>
      </c>
      <c r="J469" t="n">
        <v>0</v>
      </c>
      <c r="K469" t="n">
        <v>0</v>
      </c>
      <c r="L469" t="n">
        <v>0</v>
      </c>
      <c r="M469" t="n">
        <v>0</v>
      </c>
      <c r="N469" t="n">
        <v>0</v>
      </c>
      <c r="O469" t="n">
        <v>0</v>
      </c>
      <c r="P469" t="n">
        <v>0</v>
      </c>
      <c r="Q469" t="n">
        <v>0</v>
      </c>
      <c r="R469" s="2" t="inlineStr"/>
    </row>
    <row r="470" ht="15" customHeight="1">
      <c r="A470" t="inlineStr">
        <is>
          <t>A 13841-2026</t>
        </is>
      </c>
      <c r="B470" s="1" t="n">
        <v>46098.37181712963</v>
      </c>
      <c r="C470" s="1" t="n">
        <v>46180</v>
      </c>
      <c r="D470" t="inlineStr">
        <is>
          <t>SÖDERMANLANDS LÄN</t>
        </is>
      </c>
      <c r="E470" t="inlineStr">
        <is>
          <t>KATRINEHOLM</t>
        </is>
      </c>
      <c r="G470" t="n">
        <v>0.7</v>
      </c>
      <c r="H470" t="n">
        <v>0</v>
      </c>
      <c r="I470" t="n">
        <v>0</v>
      </c>
      <c r="J470" t="n">
        <v>0</v>
      </c>
      <c r="K470" t="n">
        <v>0</v>
      </c>
      <c r="L470" t="n">
        <v>0</v>
      </c>
      <c r="M470" t="n">
        <v>0</v>
      </c>
      <c r="N470" t="n">
        <v>0</v>
      </c>
      <c r="O470" t="n">
        <v>0</v>
      </c>
      <c r="P470" t="n">
        <v>0</v>
      </c>
      <c r="Q470" t="n">
        <v>0</v>
      </c>
      <c r="R470" s="2" t="inlineStr"/>
    </row>
    <row r="471" ht="15" customHeight="1">
      <c r="A471" t="inlineStr">
        <is>
          <t>A 55296-2022</t>
        </is>
      </c>
      <c r="B471" s="1" t="n">
        <v>44887</v>
      </c>
      <c r="C471" s="1" t="n">
        <v>46180</v>
      </c>
      <c r="D471" t="inlineStr">
        <is>
          <t>SÖDERMANLANDS LÄN</t>
        </is>
      </c>
      <c r="E471" t="inlineStr">
        <is>
          <t>KATRINEHOLM</t>
        </is>
      </c>
      <c r="G471" t="n">
        <v>1.4</v>
      </c>
      <c r="H471" t="n">
        <v>0</v>
      </c>
      <c r="I471" t="n">
        <v>0</v>
      </c>
      <c r="J471" t="n">
        <v>0</v>
      </c>
      <c r="K471" t="n">
        <v>0</v>
      </c>
      <c r="L471" t="n">
        <v>0</v>
      </c>
      <c r="M471" t="n">
        <v>0</v>
      </c>
      <c r="N471" t="n">
        <v>0</v>
      </c>
      <c r="O471" t="n">
        <v>0</v>
      </c>
      <c r="P471" t="n">
        <v>0</v>
      </c>
      <c r="Q471" t="n">
        <v>0</v>
      </c>
      <c r="R471" s="2" t="inlineStr"/>
    </row>
    <row r="472" ht="15" customHeight="1">
      <c r="A472" t="inlineStr">
        <is>
          <t>A 57524-2021</t>
        </is>
      </c>
      <c r="B472" s="1" t="n">
        <v>44483</v>
      </c>
      <c r="C472" s="1" t="n">
        <v>46180</v>
      </c>
      <c r="D472" t="inlineStr">
        <is>
          <t>SÖDERMANLANDS LÄN</t>
        </is>
      </c>
      <c r="E472" t="inlineStr">
        <is>
          <t>KATRINEHOLM</t>
        </is>
      </c>
      <c r="G472" t="n">
        <v>0.4</v>
      </c>
      <c r="H472" t="n">
        <v>0</v>
      </c>
      <c r="I472" t="n">
        <v>0</v>
      </c>
      <c r="J472" t="n">
        <v>0</v>
      </c>
      <c r="K472" t="n">
        <v>0</v>
      </c>
      <c r="L472" t="n">
        <v>0</v>
      </c>
      <c r="M472" t="n">
        <v>0</v>
      </c>
      <c r="N472" t="n">
        <v>0</v>
      </c>
      <c r="O472" t="n">
        <v>0</v>
      </c>
      <c r="P472" t="n">
        <v>0</v>
      </c>
      <c r="Q472" t="n">
        <v>0</v>
      </c>
      <c r="R472" s="2" t="inlineStr"/>
    </row>
    <row r="473" ht="15" customHeight="1">
      <c r="A473" t="inlineStr">
        <is>
          <t>A 931-2023</t>
        </is>
      </c>
      <c r="B473" s="1" t="n">
        <v>44932.74261574074</v>
      </c>
      <c r="C473" s="1" t="n">
        <v>46180</v>
      </c>
      <c r="D473" t="inlineStr">
        <is>
          <t>SÖDERMANLANDS LÄN</t>
        </is>
      </c>
      <c r="E473" t="inlineStr">
        <is>
          <t>KATRINEHOLM</t>
        </is>
      </c>
      <c r="G473" t="n">
        <v>4</v>
      </c>
      <c r="H473" t="n">
        <v>0</v>
      </c>
      <c r="I473" t="n">
        <v>0</v>
      </c>
      <c r="J473" t="n">
        <v>0</v>
      </c>
      <c r="K473" t="n">
        <v>0</v>
      </c>
      <c r="L473" t="n">
        <v>0</v>
      </c>
      <c r="M473" t="n">
        <v>0</v>
      </c>
      <c r="N473" t="n">
        <v>0</v>
      </c>
      <c r="O473" t="n">
        <v>0</v>
      </c>
      <c r="P473" t="n">
        <v>0</v>
      </c>
      <c r="Q473" t="n">
        <v>0</v>
      </c>
      <c r="R473" s="2" t="inlineStr"/>
    </row>
    <row r="474" ht="15" customHeight="1">
      <c r="A474" t="inlineStr">
        <is>
          <t>A 60678-2025</t>
        </is>
      </c>
      <c r="B474" s="1" t="n">
        <v>45996.56251157408</v>
      </c>
      <c r="C474" s="1" t="n">
        <v>46180</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55171-2023</t>
        </is>
      </c>
      <c r="B475" s="1" t="n">
        <v>45231</v>
      </c>
      <c r="C475" s="1" t="n">
        <v>46180</v>
      </c>
      <c r="D475" t="inlineStr">
        <is>
          <t>SÖDERMANLANDS LÄN</t>
        </is>
      </c>
      <c r="E475" t="inlineStr">
        <is>
          <t>KATRINEHOLM</t>
        </is>
      </c>
      <c r="G475" t="n">
        <v>4.2</v>
      </c>
      <c r="H475" t="n">
        <v>0</v>
      </c>
      <c r="I475" t="n">
        <v>0</v>
      </c>
      <c r="J475" t="n">
        <v>0</v>
      </c>
      <c r="K475" t="n">
        <v>0</v>
      </c>
      <c r="L475" t="n">
        <v>0</v>
      </c>
      <c r="M475" t="n">
        <v>0</v>
      </c>
      <c r="N475" t="n">
        <v>0</v>
      </c>
      <c r="O475" t="n">
        <v>0</v>
      </c>
      <c r="P475" t="n">
        <v>0</v>
      </c>
      <c r="Q475" t="n">
        <v>0</v>
      </c>
      <c r="R475" s="2" t="inlineStr"/>
    </row>
    <row r="476" ht="15" customHeight="1">
      <c r="A476" t="inlineStr">
        <is>
          <t>A 53393-2023</t>
        </is>
      </c>
      <c r="B476" s="1" t="n">
        <v>45229</v>
      </c>
      <c r="C476" s="1" t="n">
        <v>46180</v>
      </c>
      <c r="D476" t="inlineStr">
        <is>
          <t>SÖDERMANLANDS LÄN</t>
        </is>
      </c>
      <c r="E476" t="inlineStr">
        <is>
          <t>KATRINEHOLM</t>
        </is>
      </c>
      <c r="F476" t="inlineStr">
        <is>
          <t>Kyrkan</t>
        </is>
      </c>
      <c r="G476" t="n">
        <v>5.6</v>
      </c>
      <c r="H476" t="n">
        <v>0</v>
      </c>
      <c r="I476" t="n">
        <v>0</v>
      </c>
      <c r="J476" t="n">
        <v>0</v>
      </c>
      <c r="K476" t="n">
        <v>0</v>
      </c>
      <c r="L476" t="n">
        <v>0</v>
      </c>
      <c r="M476" t="n">
        <v>0</v>
      </c>
      <c r="N476" t="n">
        <v>0</v>
      </c>
      <c r="O476" t="n">
        <v>0</v>
      </c>
      <c r="P476" t="n">
        <v>0</v>
      </c>
      <c r="Q476" t="n">
        <v>0</v>
      </c>
      <c r="R476" s="2" t="inlineStr"/>
    </row>
    <row r="477" ht="15" customHeight="1">
      <c r="A477" t="inlineStr">
        <is>
          <t>A 61121-2025</t>
        </is>
      </c>
      <c r="B477" s="1" t="n">
        <v>46000.46746527778</v>
      </c>
      <c r="C477" s="1" t="n">
        <v>46180</v>
      </c>
      <c r="D477" t="inlineStr">
        <is>
          <t>SÖDERMANLANDS LÄN</t>
        </is>
      </c>
      <c r="E477" t="inlineStr">
        <is>
          <t>KATRINEHOLM</t>
        </is>
      </c>
      <c r="G477" t="n">
        <v>0.2</v>
      </c>
      <c r="H477" t="n">
        <v>0</v>
      </c>
      <c r="I477" t="n">
        <v>0</v>
      </c>
      <c r="J477" t="n">
        <v>0</v>
      </c>
      <c r="K477" t="n">
        <v>0</v>
      </c>
      <c r="L477" t="n">
        <v>0</v>
      </c>
      <c r="M477" t="n">
        <v>0</v>
      </c>
      <c r="N477" t="n">
        <v>0</v>
      </c>
      <c r="O477" t="n">
        <v>0</v>
      </c>
      <c r="P477" t="n">
        <v>0</v>
      </c>
      <c r="Q477" t="n">
        <v>0</v>
      </c>
      <c r="R477" s="2" t="inlineStr"/>
    </row>
    <row r="478" ht="15" customHeight="1">
      <c r="A478" t="inlineStr">
        <is>
          <t>A 61066-2025</t>
        </is>
      </c>
      <c r="B478" s="1" t="n">
        <v>46000.37695601852</v>
      </c>
      <c r="C478" s="1" t="n">
        <v>46180</v>
      </c>
      <c r="D478" t="inlineStr">
        <is>
          <t>SÖDERMANLANDS LÄN</t>
        </is>
      </c>
      <c r="E478" t="inlineStr">
        <is>
          <t>KATRINEHOLM</t>
        </is>
      </c>
      <c r="F478" t="inlineStr">
        <is>
          <t>Kyrkan</t>
        </is>
      </c>
      <c r="G478" t="n">
        <v>5</v>
      </c>
      <c r="H478" t="n">
        <v>0</v>
      </c>
      <c r="I478" t="n">
        <v>0</v>
      </c>
      <c r="J478" t="n">
        <v>0</v>
      </c>
      <c r="K478" t="n">
        <v>0</v>
      </c>
      <c r="L478" t="n">
        <v>0</v>
      </c>
      <c r="M478" t="n">
        <v>0</v>
      </c>
      <c r="N478" t="n">
        <v>0</v>
      </c>
      <c r="O478" t="n">
        <v>0</v>
      </c>
      <c r="P478" t="n">
        <v>0</v>
      </c>
      <c r="Q478" t="n">
        <v>0</v>
      </c>
      <c r="R478" s="2" t="inlineStr"/>
    </row>
    <row r="479" ht="15" customHeight="1">
      <c r="A479" t="inlineStr">
        <is>
          <t>A 23031-2024</t>
        </is>
      </c>
      <c r="B479" s="1" t="n">
        <v>45450.38120370371</v>
      </c>
      <c r="C479" s="1" t="n">
        <v>46180</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20987-2026</t>
        </is>
      </c>
      <c r="B480" s="1" t="n">
        <v>46142.59466435185</v>
      </c>
      <c r="C480" s="1" t="n">
        <v>46180</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14770-2026</t>
        </is>
      </c>
      <c r="B481" s="1" t="n">
        <v>46101.63951388889</v>
      </c>
      <c r="C481" s="1" t="n">
        <v>46180</v>
      </c>
      <c r="D481" t="inlineStr">
        <is>
          <t>SÖDERMANLANDS LÄN</t>
        </is>
      </c>
      <c r="E481" t="inlineStr">
        <is>
          <t>KATRINEHOLM</t>
        </is>
      </c>
      <c r="G481" t="n">
        <v>7.5</v>
      </c>
      <c r="H481" t="n">
        <v>0</v>
      </c>
      <c r="I481" t="n">
        <v>0</v>
      </c>
      <c r="J481" t="n">
        <v>0</v>
      </c>
      <c r="K481" t="n">
        <v>0</v>
      </c>
      <c r="L481" t="n">
        <v>0</v>
      </c>
      <c r="M481" t="n">
        <v>0</v>
      </c>
      <c r="N481" t="n">
        <v>0</v>
      </c>
      <c r="O481" t="n">
        <v>0</v>
      </c>
      <c r="P481" t="n">
        <v>0</v>
      </c>
      <c r="Q481" t="n">
        <v>0</v>
      </c>
      <c r="R481" s="2" t="inlineStr"/>
    </row>
    <row r="482" ht="15" customHeight="1">
      <c r="A482" t="inlineStr">
        <is>
          <t>A 20956-2026</t>
        </is>
      </c>
      <c r="B482" s="1" t="n">
        <v>46142.54052083333</v>
      </c>
      <c r="C482" s="1" t="n">
        <v>46180</v>
      </c>
      <c r="D482" t="inlineStr">
        <is>
          <t>SÖDERMANLANDS LÄN</t>
        </is>
      </c>
      <c r="E482" t="inlineStr">
        <is>
          <t>KATRINEHOLM</t>
        </is>
      </c>
      <c r="G482" t="n">
        <v>3.6</v>
      </c>
      <c r="H482" t="n">
        <v>0</v>
      </c>
      <c r="I482" t="n">
        <v>0</v>
      </c>
      <c r="J482" t="n">
        <v>0</v>
      </c>
      <c r="K482" t="n">
        <v>0</v>
      </c>
      <c r="L482" t="n">
        <v>0</v>
      </c>
      <c r="M482" t="n">
        <v>0</v>
      </c>
      <c r="N482" t="n">
        <v>0</v>
      </c>
      <c r="O482" t="n">
        <v>0</v>
      </c>
      <c r="P482" t="n">
        <v>0</v>
      </c>
      <c r="Q482" t="n">
        <v>0</v>
      </c>
      <c r="R482" s="2" t="inlineStr"/>
    </row>
    <row r="483" ht="15" customHeight="1">
      <c r="A483" t="inlineStr">
        <is>
          <t>A 22506-2023</t>
        </is>
      </c>
      <c r="B483" s="1" t="n">
        <v>45071.37393518518</v>
      </c>
      <c r="C483" s="1" t="n">
        <v>46180</v>
      </c>
      <c r="D483" t="inlineStr">
        <is>
          <t>SÖDERMANLANDS LÄN</t>
        </is>
      </c>
      <c r="E483" t="inlineStr">
        <is>
          <t>KATRINEHOLM</t>
        </is>
      </c>
      <c r="F483" t="inlineStr">
        <is>
          <t>Kyrkan</t>
        </is>
      </c>
      <c r="G483" t="n">
        <v>5.9</v>
      </c>
      <c r="H483" t="n">
        <v>0</v>
      </c>
      <c r="I483" t="n">
        <v>0</v>
      </c>
      <c r="J483" t="n">
        <v>0</v>
      </c>
      <c r="K483" t="n">
        <v>0</v>
      </c>
      <c r="L483" t="n">
        <v>0</v>
      </c>
      <c r="M483" t="n">
        <v>0</v>
      </c>
      <c r="N483" t="n">
        <v>0</v>
      </c>
      <c r="O483" t="n">
        <v>0</v>
      </c>
      <c r="P483" t="n">
        <v>0</v>
      </c>
      <c r="Q483" t="n">
        <v>0</v>
      </c>
      <c r="R483" s="2" t="inlineStr"/>
    </row>
    <row r="484" ht="15" customHeight="1">
      <c r="A484" t="inlineStr">
        <is>
          <t>A 12888-2025</t>
        </is>
      </c>
      <c r="B484" s="1" t="n">
        <v>45733</v>
      </c>
      <c r="C484" s="1" t="n">
        <v>46180</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61721-2025</t>
        </is>
      </c>
      <c r="B485" s="1" t="n">
        <v>46002.57778935185</v>
      </c>
      <c r="C485" s="1" t="n">
        <v>46180</v>
      </c>
      <c r="D485" t="inlineStr">
        <is>
          <t>SÖDERMANLANDS LÄN</t>
        </is>
      </c>
      <c r="E485" t="inlineStr">
        <is>
          <t>KATRINEHOLM</t>
        </is>
      </c>
      <c r="G485" t="n">
        <v>4.5</v>
      </c>
      <c r="H485" t="n">
        <v>0</v>
      </c>
      <c r="I485" t="n">
        <v>0</v>
      </c>
      <c r="J485" t="n">
        <v>0</v>
      </c>
      <c r="K485" t="n">
        <v>0</v>
      </c>
      <c r="L485" t="n">
        <v>0</v>
      </c>
      <c r="M485" t="n">
        <v>0</v>
      </c>
      <c r="N485" t="n">
        <v>0</v>
      </c>
      <c r="O485" t="n">
        <v>0</v>
      </c>
      <c r="P485" t="n">
        <v>0</v>
      </c>
      <c r="Q485" t="n">
        <v>0</v>
      </c>
      <c r="R485" s="2" t="inlineStr"/>
    </row>
    <row r="486" ht="15" customHeight="1">
      <c r="A486" t="inlineStr">
        <is>
          <t>A 22345-2023</t>
        </is>
      </c>
      <c r="B486" s="1" t="n">
        <v>45070</v>
      </c>
      <c r="C486" s="1" t="n">
        <v>46180</v>
      </c>
      <c r="D486" t="inlineStr">
        <is>
          <t>SÖDERMANLANDS LÄN</t>
        </is>
      </c>
      <c r="E486" t="inlineStr">
        <is>
          <t>KATRINEHOLM</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48877-2022</t>
        </is>
      </c>
      <c r="B487" s="1" t="n">
        <v>44859</v>
      </c>
      <c r="C487" s="1" t="n">
        <v>46180</v>
      </c>
      <c r="D487" t="inlineStr">
        <is>
          <t>SÖDERMANLANDS LÄN</t>
        </is>
      </c>
      <c r="E487" t="inlineStr">
        <is>
          <t>KATRINEHOLM</t>
        </is>
      </c>
      <c r="G487" t="n">
        <v>1</v>
      </c>
      <c r="H487" t="n">
        <v>0</v>
      </c>
      <c r="I487" t="n">
        <v>0</v>
      </c>
      <c r="J487" t="n">
        <v>0</v>
      </c>
      <c r="K487" t="n">
        <v>0</v>
      </c>
      <c r="L487" t="n">
        <v>0</v>
      </c>
      <c r="M487" t="n">
        <v>0</v>
      </c>
      <c r="N487" t="n">
        <v>0</v>
      </c>
      <c r="O487" t="n">
        <v>0</v>
      </c>
      <c r="P487" t="n">
        <v>0</v>
      </c>
      <c r="Q487" t="n">
        <v>0</v>
      </c>
      <c r="R487" s="2" t="inlineStr"/>
    </row>
    <row r="488" ht="15" customHeight="1">
      <c r="A488" t="inlineStr">
        <is>
          <t>A 19868-2022</t>
        </is>
      </c>
      <c r="B488" s="1" t="n">
        <v>44696</v>
      </c>
      <c r="C488" s="1" t="n">
        <v>46180</v>
      </c>
      <c r="D488" t="inlineStr">
        <is>
          <t>SÖDERMANLANDS LÄN</t>
        </is>
      </c>
      <c r="E488" t="inlineStr">
        <is>
          <t>KATRINEHOLM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63188-2021</t>
        </is>
      </c>
      <c r="B489" s="1" t="n">
        <v>44507.56865740741</v>
      </c>
      <c r="C489" s="1" t="n">
        <v>46180</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14750-2026</t>
        </is>
      </c>
      <c r="B490" s="1" t="n">
        <v>46101.6208912037</v>
      </c>
      <c r="C490" s="1" t="n">
        <v>46180</v>
      </c>
      <c r="D490" t="inlineStr">
        <is>
          <t>SÖDERMANLANDS LÄN</t>
        </is>
      </c>
      <c r="E490" t="inlineStr">
        <is>
          <t>KATRINEHOLM</t>
        </is>
      </c>
      <c r="G490" t="n">
        <v>1.2</v>
      </c>
      <c r="H490" t="n">
        <v>0</v>
      </c>
      <c r="I490" t="n">
        <v>0</v>
      </c>
      <c r="J490" t="n">
        <v>0</v>
      </c>
      <c r="K490" t="n">
        <v>0</v>
      </c>
      <c r="L490" t="n">
        <v>0</v>
      </c>
      <c r="M490" t="n">
        <v>0</v>
      </c>
      <c r="N490" t="n">
        <v>0</v>
      </c>
      <c r="O490" t="n">
        <v>0</v>
      </c>
      <c r="P490" t="n">
        <v>0</v>
      </c>
      <c r="Q490" t="n">
        <v>0</v>
      </c>
      <c r="R490" s="2" t="inlineStr"/>
    </row>
    <row r="491" ht="15" customHeight="1">
      <c r="A491" t="inlineStr">
        <is>
          <t>A 14751-2026</t>
        </is>
      </c>
      <c r="B491" s="1" t="n">
        <v>46101.6220949074</v>
      </c>
      <c r="C491" s="1" t="n">
        <v>46180</v>
      </c>
      <c r="D491" t="inlineStr">
        <is>
          <t>SÖDERMANLANDS LÄN</t>
        </is>
      </c>
      <c r="E491" t="inlineStr">
        <is>
          <t>KATRINEHOLM</t>
        </is>
      </c>
      <c r="G491" t="n">
        <v>2.1</v>
      </c>
      <c r="H491" t="n">
        <v>0</v>
      </c>
      <c r="I491" t="n">
        <v>0</v>
      </c>
      <c r="J491" t="n">
        <v>0</v>
      </c>
      <c r="K491" t="n">
        <v>0</v>
      </c>
      <c r="L491" t="n">
        <v>0</v>
      </c>
      <c r="M491" t="n">
        <v>0</v>
      </c>
      <c r="N491" t="n">
        <v>0</v>
      </c>
      <c r="O491" t="n">
        <v>0</v>
      </c>
      <c r="P491" t="n">
        <v>0</v>
      </c>
      <c r="Q491" t="n">
        <v>0</v>
      </c>
      <c r="R491" s="2" t="inlineStr"/>
    </row>
    <row r="492" ht="15" customHeight="1">
      <c r="A492" t="inlineStr">
        <is>
          <t>A 29843-2023</t>
        </is>
      </c>
      <c r="B492" s="1" t="n">
        <v>45107</v>
      </c>
      <c r="C492" s="1" t="n">
        <v>46180</v>
      </c>
      <c r="D492" t="inlineStr">
        <is>
          <t>SÖDERMANLANDS LÄN</t>
        </is>
      </c>
      <c r="E492" t="inlineStr">
        <is>
          <t>KATRINEHOLM</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5834-2025</t>
        </is>
      </c>
      <c r="B493" s="1" t="n">
        <v>45694</v>
      </c>
      <c r="C493" s="1" t="n">
        <v>46180</v>
      </c>
      <c r="D493" t="inlineStr">
        <is>
          <t>SÖDERMANLANDS LÄN</t>
        </is>
      </c>
      <c r="E493" t="inlineStr">
        <is>
          <t>KATRINEHOLM</t>
        </is>
      </c>
      <c r="G493" t="n">
        <v>3.3</v>
      </c>
      <c r="H493" t="n">
        <v>0</v>
      </c>
      <c r="I493" t="n">
        <v>0</v>
      </c>
      <c r="J493" t="n">
        <v>0</v>
      </c>
      <c r="K493" t="n">
        <v>0</v>
      </c>
      <c r="L493" t="n">
        <v>0</v>
      </c>
      <c r="M493" t="n">
        <v>0</v>
      </c>
      <c r="N493" t="n">
        <v>0</v>
      </c>
      <c r="O493" t="n">
        <v>0</v>
      </c>
      <c r="P493" t="n">
        <v>0</v>
      </c>
      <c r="Q493" t="n">
        <v>0</v>
      </c>
      <c r="R493" s="2" t="inlineStr"/>
    </row>
    <row r="494" ht="15" customHeight="1">
      <c r="A494" t="inlineStr">
        <is>
          <t>A 34981-2023</t>
        </is>
      </c>
      <c r="B494" s="1" t="n">
        <v>45142</v>
      </c>
      <c r="C494" s="1" t="n">
        <v>46180</v>
      </c>
      <c r="D494" t="inlineStr">
        <is>
          <t>SÖDERMANLANDS LÄN</t>
        </is>
      </c>
      <c r="E494" t="inlineStr">
        <is>
          <t>KATRINEHOLM</t>
        </is>
      </c>
      <c r="G494" t="n">
        <v>10</v>
      </c>
      <c r="H494" t="n">
        <v>0</v>
      </c>
      <c r="I494" t="n">
        <v>0</v>
      </c>
      <c r="J494" t="n">
        <v>0</v>
      </c>
      <c r="K494" t="n">
        <v>0</v>
      </c>
      <c r="L494" t="n">
        <v>0</v>
      </c>
      <c r="M494" t="n">
        <v>0</v>
      </c>
      <c r="N494" t="n">
        <v>0</v>
      </c>
      <c r="O494" t="n">
        <v>0</v>
      </c>
      <c r="P494" t="n">
        <v>0</v>
      </c>
      <c r="Q494" t="n">
        <v>0</v>
      </c>
      <c r="R494" s="2" t="inlineStr"/>
    </row>
    <row r="495" ht="15" customHeight="1">
      <c r="A495" t="inlineStr">
        <is>
          <t>A 73412-2021</t>
        </is>
      </c>
      <c r="B495" s="1" t="n">
        <v>44551</v>
      </c>
      <c r="C495" s="1" t="n">
        <v>46180</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53750-2022</t>
        </is>
      </c>
      <c r="B496" s="1" t="n">
        <v>44875</v>
      </c>
      <c r="C496" s="1" t="n">
        <v>46180</v>
      </c>
      <c r="D496" t="inlineStr">
        <is>
          <t>SÖDERMANLANDS LÄN</t>
        </is>
      </c>
      <c r="E496" t="inlineStr">
        <is>
          <t>KATRINEHOLM</t>
        </is>
      </c>
      <c r="F496" t="inlineStr">
        <is>
          <t>Övriga Aktiebolag</t>
        </is>
      </c>
      <c r="G496" t="n">
        <v>12.6</v>
      </c>
      <c r="H496" t="n">
        <v>0</v>
      </c>
      <c r="I496" t="n">
        <v>0</v>
      </c>
      <c r="J496" t="n">
        <v>0</v>
      </c>
      <c r="K496" t="n">
        <v>0</v>
      </c>
      <c r="L496" t="n">
        <v>0</v>
      </c>
      <c r="M496" t="n">
        <v>0</v>
      </c>
      <c r="N496" t="n">
        <v>0</v>
      </c>
      <c r="O496" t="n">
        <v>0</v>
      </c>
      <c r="P496" t="n">
        <v>0</v>
      </c>
      <c r="Q496" t="n">
        <v>0</v>
      </c>
      <c r="R496" s="2" t="inlineStr"/>
    </row>
    <row r="497" ht="15" customHeight="1">
      <c r="A497" t="inlineStr">
        <is>
          <t>A 14245-2024</t>
        </is>
      </c>
      <c r="B497" s="1" t="n">
        <v>45393</v>
      </c>
      <c r="C497" s="1" t="n">
        <v>46180</v>
      </c>
      <c r="D497" t="inlineStr">
        <is>
          <t>SÖDERMANLANDS LÄN</t>
        </is>
      </c>
      <c r="E497" t="inlineStr">
        <is>
          <t>KATRINEHOLM</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11104-2023</t>
        </is>
      </c>
      <c r="B498" s="1" t="n">
        <v>44992</v>
      </c>
      <c r="C498" s="1" t="n">
        <v>46180</v>
      </c>
      <c r="D498" t="inlineStr">
        <is>
          <t>SÖDERMANLANDS LÄN</t>
        </is>
      </c>
      <c r="E498" t="inlineStr">
        <is>
          <t>KATRINEHOLM</t>
        </is>
      </c>
      <c r="F498" t="inlineStr">
        <is>
          <t>Allmännings- och besparingsskogar</t>
        </is>
      </c>
      <c r="G498" t="n">
        <v>7.8</v>
      </c>
      <c r="H498" t="n">
        <v>0</v>
      </c>
      <c r="I498" t="n">
        <v>0</v>
      </c>
      <c r="J498" t="n">
        <v>0</v>
      </c>
      <c r="K498" t="n">
        <v>0</v>
      </c>
      <c r="L498" t="n">
        <v>0</v>
      </c>
      <c r="M498" t="n">
        <v>0</v>
      </c>
      <c r="N498" t="n">
        <v>0</v>
      </c>
      <c r="O498" t="n">
        <v>0</v>
      </c>
      <c r="P498" t="n">
        <v>0</v>
      </c>
      <c r="Q498" t="n">
        <v>0</v>
      </c>
      <c r="R498" s="2" t="inlineStr"/>
    </row>
    <row r="499" ht="15" customHeight="1">
      <c r="A499" t="inlineStr">
        <is>
          <t>A 63945-2025</t>
        </is>
      </c>
      <c r="B499" s="1" t="n">
        <v>46010</v>
      </c>
      <c r="C499" s="1" t="n">
        <v>46180</v>
      </c>
      <c r="D499" t="inlineStr">
        <is>
          <t>SÖDERMANLANDS LÄN</t>
        </is>
      </c>
      <c r="E499" t="inlineStr">
        <is>
          <t>KATRINEHOLM</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63947-2025</t>
        </is>
      </c>
      <c r="B500" s="1" t="n">
        <v>46010</v>
      </c>
      <c r="C500" s="1" t="n">
        <v>46180</v>
      </c>
      <c r="D500" t="inlineStr">
        <is>
          <t>SÖDERMANLANDS LÄN</t>
        </is>
      </c>
      <c r="E500" t="inlineStr">
        <is>
          <t>KATRINEHOLM</t>
        </is>
      </c>
      <c r="F500" t="inlineStr">
        <is>
          <t>Allmännings- och besparingsskogar</t>
        </is>
      </c>
      <c r="G500" t="n">
        <v>4.8</v>
      </c>
      <c r="H500" t="n">
        <v>0</v>
      </c>
      <c r="I500" t="n">
        <v>0</v>
      </c>
      <c r="J500" t="n">
        <v>0</v>
      </c>
      <c r="K500" t="n">
        <v>0</v>
      </c>
      <c r="L500" t="n">
        <v>0</v>
      </c>
      <c r="M500" t="n">
        <v>0</v>
      </c>
      <c r="N500" t="n">
        <v>0</v>
      </c>
      <c r="O500" t="n">
        <v>0</v>
      </c>
      <c r="P500" t="n">
        <v>0</v>
      </c>
      <c r="Q500" t="n">
        <v>0</v>
      </c>
      <c r="R500" s="2" t="inlineStr"/>
    </row>
    <row r="501" ht="15" customHeight="1">
      <c r="A501" t="inlineStr">
        <is>
          <t>A 63949-2025</t>
        </is>
      </c>
      <c r="B501" s="1" t="n">
        <v>46010</v>
      </c>
      <c r="C501" s="1" t="n">
        <v>46180</v>
      </c>
      <c r="D501" t="inlineStr">
        <is>
          <t>SÖDERMANLANDS LÄN</t>
        </is>
      </c>
      <c r="E501" t="inlineStr">
        <is>
          <t>KATRINEHOLM</t>
        </is>
      </c>
      <c r="F501" t="inlineStr">
        <is>
          <t>Allmännings- och besparingsskogar</t>
        </is>
      </c>
      <c r="G501" t="n">
        <v>5.1</v>
      </c>
      <c r="H501" t="n">
        <v>0</v>
      </c>
      <c r="I501" t="n">
        <v>0</v>
      </c>
      <c r="J501" t="n">
        <v>0</v>
      </c>
      <c r="K501" t="n">
        <v>0</v>
      </c>
      <c r="L501" t="n">
        <v>0</v>
      </c>
      <c r="M501" t="n">
        <v>0</v>
      </c>
      <c r="N501" t="n">
        <v>0</v>
      </c>
      <c r="O501" t="n">
        <v>0</v>
      </c>
      <c r="P501" t="n">
        <v>0</v>
      </c>
      <c r="Q501" t="n">
        <v>0</v>
      </c>
      <c r="R501" s="2" t="inlineStr"/>
    </row>
    <row r="502" ht="15" customHeight="1">
      <c r="A502" t="inlineStr">
        <is>
          <t>A 15191-2026</t>
        </is>
      </c>
      <c r="B502" s="1" t="n">
        <v>46105.46846064815</v>
      </c>
      <c r="C502" s="1" t="n">
        <v>46180</v>
      </c>
      <c r="D502" t="inlineStr">
        <is>
          <t>SÖDERMANLANDS LÄN</t>
        </is>
      </c>
      <c r="E502" t="inlineStr">
        <is>
          <t>KATRINEHOLM</t>
        </is>
      </c>
      <c r="G502" t="n">
        <v>3.6</v>
      </c>
      <c r="H502" t="n">
        <v>0</v>
      </c>
      <c r="I502" t="n">
        <v>0</v>
      </c>
      <c r="J502" t="n">
        <v>0</v>
      </c>
      <c r="K502" t="n">
        <v>0</v>
      </c>
      <c r="L502" t="n">
        <v>0</v>
      </c>
      <c r="M502" t="n">
        <v>0</v>
      </c>
      <c r="N502" t="n">
        <v>0</v>
      </c>
      <c r="O502" t="n">
        <v>0</v>
      </c>
      <c r="P502" t="n">
        <v>0</v>
      </c>
      <c r="Q502" t="n">
        <v>0</v>
      </c>
      <c r="R502" s="2" t="inlineStr"/>
    </row>
    <row r="503" ht="15" customHeight="1">
      <c r="A503" t="inlineStr">
        <is>
          <t>A 4387-2024</t>
        </is>
      </c>
      <c r="B503" s="1" t="n">
        <v>45327.35068287037</v>
      </c>
      <c r="C503" s="1" t="n">
        <v>46180</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4872-2024</t>
        </is>
      </c>
      <c r="B504" s="1" t="n">
        <v>45329</v>
      </c>
      <c r="C504" s="1" t="n">
        <v>46180</v>
      </c>
      <c r="D504" t="inlineStr">
        <is>
          <t>SÖDERMANLANDS LÄN</t>
        </is>
      </c>
      <c r="E504" t="inlineStr">
        <is>
          <t>KATRINEHOLM</t>
        </is>
      </c>
      <c r="G504" t="n">
        <v>0.5</v>
      </c>
      <c r="H504" t="n">
        <v>0</v>
      </c>
      <c r="I504" t="n">
        <v>0</v>
      </c>
      <c r="J504" t="n">
        <v>0</v>
      </c>
      <c r="K504" t="n">
        <v>0</v>
      </c>
      <c r="L504" t="n">
        <v>0</v>
      </c>
      <c r="M504" t="n">
        <v>0</v>
      </c>
      <c r="N504" t="n">
        <v>0</v>
      </c>
      <c r="O504" t="n">
        <v>0</v>
      </c>
      <c r="P504" t="n">
        <v>0</v>
      </c>
      <c r="Q504" t="n">
        <v>0</v>
      </c>
      <c r="R504" s="2" t="inlineStr"/>
    </row>
    <row r="505" ht="15" customHeight="1">
      <c r="A505" t="inlineStr">
        <is>
          <t>A 29702-2021</t>
        </is>
      </c>
      <c r="B505" s="1" t="n">
        <v>44362</v>
      </c>
      <c r="C505" s="1" t="n">
        <v>46180</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3986-2024</t>
        </is>
      </c>
      <c r="B506" s="1" t="n">
        <v>45322</v>
      </c>
      <c r="C506" s="1" t="n">
        <v>46180</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21087-2026</t>
        </is>
      </c>
      <c r="B507" s="1" t="n">
        <v>46146.44090277778</v>
      </c>
      <c r="C507" s="1" t="n">
        <v>46180</v>
      </c>
      <c r="D507" t="inlineStr">
        <is>
          <t>SÖDERMANLANDS LÄN</t>
        </is>
      </c>
      <c r="E507" t="inlineStr">
        <is>
          <t>KATRINEHOLM</t>
        </is>
      </c>
      <c r="G507" t="n">
        <v>1.4</v>
      </c>
      <c r="H507" t="n">
        <v>0</v>
      </c>
      <c r="I507" t="n">
        <v>0</v>
      </c>
      <c r="J507" t="n">
        <v>0</v>
      </c>
      <c r="K507" t="n">
        <v>0</v>
      </c>
      <c r="L507" t="n">
        <v>0</v>
      </c>
      <c r="M507" t="n">
        <v>0</v>
      </c>
      <c r="N507" t="n">
        <v>0</v>
      </c>
      <c r="O507" t="n">
        <v>0</v>
      </c>
      <c r="P507" t="n">
        <v>0</v>
      </c>
      <c r="Q507" t="n">
        <v>0</v>
      </c>
      <c r="R507" s="2" t="inlineStr"/>
    </row>
    <row r="508" ht="15" customHeight="1">
      <c r="A508" t="inlineStr">
        <is>
          <t>A 63948-2025</t>
        </is>
      </c>
      <c r="B508" s="1" t="n">
        <v>46010</v>
      </c>
      <c r="C508" s="1" t="n">
        <v>46180</v>
      </c>
      <c r="D508" t="inlineStr">
        <is>
          <t>SÖDERMANLANDS LÄN</t>
        </is>
      </c>
      <c r="E508" t="inlineStr">
        <is>
          <t>KATRINEHOLM</t>
        </is>
      </c>
      <c r="F508" t="inlineStr">
        <is>
          <t>Allmännings- och besparingsskogar</t>
        </is>
      </c>
      <c r="G508" t="n">
        <v>4.9</v>
      </c>
      <c r="H508" t="n">
        <v>0</v>
      </c>
      <c r="I508" t="n">
        <v>0</v>
      </c>
      <c r="J508" t="n">
        <v>0</v>
      </c>
      <c r="K508" t="n">
        <v>0</v>
      </c>
      <c r="L508" t="n">
        <v>0</v>
      </c>
      <c r="M508" t="n">
        <v>0</v>
      </c>
      <c r="N508" t="n">
        <v>0</v>
      </c>
      <c r="O508" t="n">
        <v>0</v>
      </c>
      <c r="P508" t="n">
        <v>0</v>
      </c>
      <c r="Q508" t="n">
        <v>0</v>
      </c>
      <c r="R508" s="2" t="inlineStr"/>
    </row>
    <row r="509" ht="15" customHeight="1">
      <c r="A509" t="inlineStr">
        <is>
          <t>A 10996-2022</t>
        </is>
      </c>
      <c r="B509" s="1" t="n">
        <v>44628</v>
      </c>
      <c r="C509" s="1" t="n">
        <v>46180</v>
      </c>
      <c r="D509" t="inlineStr">
        <is>
          <t>SÖDERMANLANDS LÄN</t>
        </is>
      </c>
      <c r="E509" t="inlineStr">
        <is>
          <t>KATRINEHOLM</t>
        </is>
      </c>
      <c r="G509" t="n">
        <v>0.3</v>
      </c>
      <c r="H509" t="n">
        <v>0</v>
      </c>
      <c r="I509" t="n">
        <v>0</v>
      </c>
      <c r="J509" t="n">
        <v>0</v>
      </c>
      <c r="K509" t="n">
        <v>0</v>
      </c>
      <c r="L509" t="n">
        <v>0</v>
      </c>
      <c r="M509" t="n">
        <v>0</v>
      </c>
      <c r="N509" t="n">
        <v>0</v>
      </c>
      <c r="O509" t="n">
        <v>0</v>
      </c>
      <c r="P509" t="n">
        <v>0</v>
      </c>
      <c r="Q509" t="n">
        <v>0</v>
      </c>
      <c r="R509" s="2" t="inlineStr"/>
    </row>
    <row r="510" ht="15" customHeight="1">
      <c r="A510" t="inlineStr">
        <is>
          <t>A 42451-2023</t>
        </is>
      </c>
      <c r="B510" s="1" t="n">
        <v>45180</v>
      </c>
      <c r="C510" s="1" t="n">
        <v>46180</v>
      </c>
      <c r="D510" t="inlineStr">
        <is>
          <t>SÖDERMANLANDS LÄN</t>
        </is>
      </c>
      <c r="E510" t="inlineStr">
        <is>
          <t>KATRINEHOLM</t>
        </is>
      </c>
      <c r="G510" t="n">
        <v>3.8</v>
      </c>
      <c r="H510" t="n">
        <v>0</v>
      </c>
      <c r="I510" t="n">
        <v>0</v>
      </c>
      <c r="J510" t="n">
        <v>0</v>
      </c>
      <c r="K510" t="n">
        <v>0</v>
      </c>
      <c r="L510" t="n">
        <v>0</v>
      </c>
      <c r="M510" t="n">
        <v>0</v>
      </c>
      <c r="N510" t="n">
        <v>0</v>
      </c>
      <c r="O510" t="n">
        <v>0</v>
      </c>
      <c r="P510" t="n">
        <v>0</v>
      </c>
      <c r="Q510" t="n">
        <v>0</v>
      </c>
      <c r="R510" s="2" t="inlineStr"/>
    </row>
    <row r="511" ht="15" customHeight="1">
      <c r="A511" t="inlineStr">
        <is>
          <t>A 13113-2023</t>
        </is>
      </c>
      <c r="B511" s="1" t="n">
        <v>45002</v>
      </c>
      <c r="C511" s="1" t="n">
        <v>46180</v>
      </c>
      <c r="D511" t="inlineStr">
        <is>
          <t>SÖDERMANLANDS LÄN</t>
        </is>
      </c>
      <c r="E511" t="inlineStr">
        <is>
          <t>KATRINEHOLM</t>
        </is>
      </c>
      <c r="F511" t="inlineStr">
        <is>
          <t>Allmännings- och besparingsskogar</t>
        </is>
      </c>
      <c r="G511" t="n">
        <v>3.6</v>
      </c>
      <c r="H511" t="n">
        <v>0</v>
      </c>
      <c r="I511" t="n">
        <v>0</v>
      </c>
      <c r="J511" t="n">
        <v>0</v>
      </c>
      <c r="K511" t="n">
        <v>0</v>
      </c>
      <c r="L511" t="n">
        <v>0</v>
      </c>
      <c r="M511" t="n">
        <v>0</v>
      </c>
      <c r="N511" t="n">
        <v>0</v>
      </c>
      <c r="O511" t="n">
        <v>0</v>
      </c>
      <c r="P511" t="n">
        <v>0</v>
      </c>
      <c r="Q511" t="n">
        <v>0</v>
      </c>
      <c r="R511" s="2" t="inlineStr"/>
    </row>
    <row r="512" ht="15" customHeight="1">
      <c r="A512" t="inlineStr">
        <is>
          <t>A 6606-2022</t>
        </is>
      </c>
      <c r="B512" s="1" t="n">
        <v>44601</v>
      </c>
      <c r="C512" s="1" t="n">
        <v>46180</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27646-2023</t>
        </is>
      </c>
      <c r="B513" s="1" t="n">
        <v>45097</v>
      </c>
      <c r="C513" s="1" t="n">
        <v>46180</v>
      </c>
      <c r="D513" t="inlineStr">
        <is>
          <t>SÖDERMANLANDS LÄN</t>
        </is>
      </c>
      <c r="E513" t="inlineStr">
        <is>
          <t>KATRINEHOLM</t>
        </is>
      </c>
      <c r="G513" t="n">
        <v>2.4</v>
      </c>
      <c r="H513" t="n">
        <v>0</v>
      </c>
      <c r="I513" t="n">
        <v>0</v>
      </c>
      <c r="J513" t="n">
        <v>0</v>
      </c>
      <c r="K513" t="n">
        <v>0</v>
      </c>
      <c r="L513" t="n">
        <v>0</v>
      </c>
      <c r="M513" t="n">
        <v>0</v>
      </c>
      <c r="N513" t="n">
        <v>0</v>
      </c>
      <c r="O513" t="n">
        <v>0</v>
      </c>
      <c r="P513" t="n">
        <v>0</v>
      </c>
      <c r="Q513" t="n">
        <v>0</v>
      </c>
      <c r="R513" s="2" t="inlineStr"/>
    </row>
    <row r="514" ht="15" customHeight="1">
      <c r="A514" t="inlineStr">
        <is>
          <t>A 15235-2023</t>
        </is>
      </c>
      <c r="B514" s="1" t="n">
        <v>45019</v>
      </c>
      <c r="C514" s="1" t="n">
        <v>46180</v>
      </c>
      <c r="D514" t="inlineStr">
        <is>
          <t>SÖDERMANLANDS LÄN</t>
        </is>
      </c>
      <c r="E514" t="inlineStr">
        <is>
          <t>KATRINEHOLM</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25433-2024</t>
        </is>
      </c>
      <c r="B515" s="1" t="n">
        <v>45463</v>
      </c>
      <c r="C515" s="1" t="n">
        <v>46180</v>
      </c>
      <c r="D515" t="inlineStr">
        <is>
          <t>SÖDERMANLANDS LÄN</t>
        </is>
      </c>
      <c r="E515" t="inlineStr">
        <is>
          <t>KATRINEHOLM</t>
        </is>
      </c>
      <c r="G515" t="n">
        <v>1.1</v>
      </c>
      <c r="H515" t="n">
        <v>0</v>
      </c>
      <c r="I515" t="n">
        <v>0</v>
      </c>
      <c r="J515" t="n">
        <v>0</v>
      </c>
      <c r="K515" t="n">
        <v>0</v>
      </c>
      <c r="L515" t="n">
        <v>0</v>
      </c>
      <c r="M515" t="n">
        <v>0</v>
      </c>
      <c r="N515" t="n">
        <v>0</v>
      </c>
      <c r="O515" t="n">
        <v>0</v>
      </c>
      <c r="P515" t="n">
        <v>0</v>
      </c>
      <c r="Q515" t="n">
        <v>0</v>
      </c>
      <c r="R515" s="2" t="inlineStr"/>
    </row>
    <row r="516" ht="15" customHeight="1">
      <c r="A516" t="inlineStr">
        <is>
          <t>A 15819-2026</t>
        </is>
      </c>
      <c r="B516" s="1" t="n">
        <v>46107.53678240741</v>
      </c>
      <c r="C516" s="1" t="n">
        <v>46180</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22304-2024</t>
        </is>
      </c>
      <c r="B517" s="1" t="n">
        <v>45446.56626157407</v>
      </c>
      <c r="C517" s="1" t="n">
        <v>46180</v>
      </c>
      <c r="D517" t="inlineStr">
        <is>
          <t>SÖDERMANLANDS LÄN</t>
        </is>
      </c>
      <c r="E517" t="inlineStr">
        <is>
          <t>KATRINEHOLM</t>
        </is>
      </c>
      <c r="F517" t="inlineStr">
        <is>
          <t>Kommuner</t>
        </is>
      </c>
      <c r="G517" t="n">
        <v>0.7</v>
      </c>
      <c r="H517" t="n">
        <v>0</v>
      </c>
      <c r="I517" t="n">
        <v>0</v>
      </c>
      <c r="J517" t="n">
        <v>0</v>
      </c>
      <c r="K517" t="n">
        <v>0</v>
      </c>
      <c r="L517" t="n">
        <v>0</v>
      </c>
      <c r="M517" t="n">
        <v>0</v>
      </c>
      <c r="N517" t="n">
        <v>0</v>
      </c>
      <c r="O517" t="n">
        <v>0</v>
      </c>
      <c r="P517" t="n">
        <v>0</v>
      </c>
      <c r="Q517" t="n">
        <v>0</v>
      </c>
      <c r="R517" s="2" t="inlineStr"/>
    </row>
    <row r="518" ht="15" customHeight="1">
      <c r="A518" t="inlineStr">
        <is>
          <t>A 14224-2024</t>
        </is>
      </c>
      <c r="B518" s="1" t="n">
        <v>45393</v>
      </c>
      <c r="C518" s="1" t="n">
        <v>46180</v>
      </c>
      <c r="D518" t="inlineStr">
        <is>
          <t>SÖDERMANLANDS LÄN</t>
        </is>
      </c>
      <c r="E518" t="inlineStr">
        <is>
          <t>KATRINEHOLM</t>
        </is>
      </c>
      <c r="F518" t="inlineStr">
        <is>
          <t>Sveaskog</t>
        </is>
      </c>
      <c r="G518" t="n">
        <v>7.6</v>
      </c>
      <c r="H518" t="n">
        <v>0</v>
      </c>
      <c r="I518" t="n">
        <v>0</v>
      </c>
      <c r="J518" t="n">
        <v>0</v>
      </c>
      <c r="K518" t="n">
        <v>0</v>
      </c>
      <c r="L518" t="n">
        <v>0</v>
      </c>
      <c r="M518" t="n">
        <v>0</v>
      </c>
      <c r="N518" t="n">
        <v>0</v>
      </c>
      <c r="O518" t="n">
        <v>0</v>
      </c>
      <c r="P518" t="n">
        <v>0</v>
      </c>
      <c r="Q518" t="n">
        <v>0</v>
      </c>
      <c r="R518" s="2" t="inlineStr"/>
    </row>
    <row r="519" ht="15" customHeight="1">
      <c r="A519" t="inlineStr">
        <is>
          <t>A 23341-2023</t>
        </is>
      </c>
      <c r="B519" s="1" t="n">
        <v>45076</v>
      </c>
      <c r="C519" s="1" t="n">
        <v>46180</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63895-2025</t>
        </is>
      </c>
      <c r="B520" s="1" t="n">
        <v>46020</v>
      </c>
      <c r="C520" s="1" t="n">
        <v>46180</v>
      </c>
      <c r="D520" t="inlineStr">
        <is>
          <t>SÖDERMANLANDS LÄN</t>
        </is>
      </c>
      <c r="E520" t="inlineStr">
        <is>
          <t>KATRINEHOLM</t>
        </is>
      </c>
      <c r="G520" t="n">
        <v>1.5</v>
      </c>
      <c r="H520" t="n">
        <v>0</v>
      </c>
      <c r="I520" t="n">
        <v>0</v>
      </c>
      <c r="J520" t="n">
        <v>0</v>
      </c>
      <c r="K520" t="n">
        <v>0</v>
      </c>
      <c r="L520" t="n">
        <v>0</v>
      </c>
      <c r="M520" t="n">
        <v>0</v>
      </c>
      <c r="N520" t="n">
        <v>0</v>
      </c>
      <c r="O520" t="n">
        <v>0</v>
      </c>
      <c r="P520" t="n">
        <v>0</v>
      </c>
      <c r="Q520" t="n">
        <v>0</v>
      </c>
      <c r="R520" s="2" t="inlineStr"/>
    </row>
    <row r="521" ht="15" customHeight="1">
      <c r="A521" t="inlineStr">
        <is>
          <t>A 36366-2023</t>
        </is>
      </c>
      <c r="B521" s="1" t="n">
        <v>45152</v>
      </c>
      <c r="C521" s="1" t="n">
        <v>46180</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54873-2025</t>
        </is>
      </c>
      <c r="B522" s="1" t="n">
        <v>45967</v>
      </c>
      <c r="C522" s="1" t="n">
        <v>46180</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15701-2026</t>
        </is>
      </c>
      <c r="B523" s="1" t="n">
        <v>46106</v>
      </c>
      <c r="C523" s="1" t="n">
        <v>46180</v>
      </c>
      <c r="D523" t="inlineStr">
        <is>
          <t>SÖDERMANLANDS LÄN</t>
        </is>
      </c>
      <c r="E523" t="inlineStr">
        <is>
          <t>KATRINEHOLM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36021-2023</t>
        </is>
      </c>
      <c r="B524" s="1" t="n">
        <v>45148</v>
      </c>
      <c r="C524" s="1" t="n">
        <v>46180</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16113-2026</t>
        </is>
      </c>
      <c r="B525" s="1" t="n">
        <v>46108</v>
      </c>
      <c r="C525" s="1" t="n">
        <v>46180</v>
      </c>
      <c r="D525" t="inlineStr">
        <is>
          <t>SÖDERMANLANDS LÄN</t>
        </is>
      </c>
      <c r="E525" t="inlineStr">
        <is>
          <t>KATRINEHOLM</t>
        </is>
      </c>
      <c r="G525" t="n">
        <v>4</v>
      </c>
      <c r="H525" t="n">
        <v>0</v>
      </c>
      <c r="I525" t="n">
        <v>0</v>
      </c>
      <c r="J525" t="n">
        <v>0</v>
      </c>
      <c r="K525" t="n">
        <v>0</v>
      </c>
      <c r="L525" t="n">
        <v>0</v>
      </c>
      <c r="M525" t="n">
        <v>0</v>
      </c>
      <c r="N525" t="n">
        <v>0</v>
      </c>
      <c r="O525" t="n">
        <v>0</v>
      </c>
      <c r="P525" t="n">
        <v>0</v>
      </c>
      <c r="Q525" t="n">
        <v>0</v>
      </c>
      <c r="R525" s="2" t="inlineStr"/>
    </row>
    <row r="526" ht="15" customHeight="1">
      <c r="A526" t="inlineStr">
        <is>
          <t>A 28597-2024</t>
        </is>
      </c>
      <c r="B526" s="1" t="n">
        <v>45478</v>
      </c>
      <c r="C526" s="1" t="n">
        <v>46180</v>
      </c>
      <c r="D526" t="inlineStr">
        <is>
          <t>SÖDERMANLANDS LÄN</t>
        </is>
      </c>
      <c r="E526" t="inlineStr">
        <is>
          <t>KATRINEHOLM</t>
        </is>
      </c>
      <c r="G526" t="n">
        <v>1.8</v>
      </c>
      <c r="H526" t="n">
        <v>0</v>
      </c>
      <c r="I526" t="n">
        <v>0</v>
      </c>
      <c r="J526" t="n">
        <v>0</v>
      </c>
      <c r="K526" t="n">
        <v>0</v>
      </c>
      <c r="L526" t="n">
        <v>0</v>
      </c>
      <c r="M526" t="n">
        <v>0</v>
      </c>
      <c r="N526" t="n">
        <v>0</v>
      </c>
      <c r="O526" t="n">
        <v>0</v>
      </c>
      <c r="P526" t="n">
        <v>0</v>
      </c>
      <c r="Q526" t="n">
        <v>0</v>
      </c>
      <c r="R526" s="2" t="inlineStr"/>
    </row>
    <row r="527" ht="15" customHeight="1">
      <c r="A527" t="inlineStr">
        <is>
          <t>A 29198-2023</t>
        </is>
      </c>
      <c r="B527" s="1" t="n">
        <v>45105</v>
      </c>
      <c r="C527" s="1" t="n">
        <v>46180</v>
      </c>
      <c r="D527" t="inlineStr">
        <is>
          <t>SÖDERMANLANDS LÄN</t>
        </is>
      </c>
      <c r="E527" t="inlineStr">
        <is>
          <t>KATRINEHOLM</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9992-2022</t>
        </is>
      </c>
      <c r="B528" s="1" t="n">
        <v>44621</v>
      </c>
      <c r="C528" s="1" t="n">
        <v>46180</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41267-2023</t>
        </is>
      </c>
      <c r="B529" s="1" t="n">
        <v>45174</v>
      </c>
      <c r="C529" s="1" t="n">
        <v>46180</v>
      </c>
      <c r="D529" t="inlineStr">
        <is>
          <t>SÖDERMANLANDS LÄN</t>
        </is>
      </c>
      <c r="E529" t="inlineStr">
        <is>
          <t>KATRINEHOLM</t>
        </is>
      </c>
      <c r="F529" t="inlineStr">
        <is>
          <t>Holmen skog AB</t>
        </is>
      </c>
      <c r="G529" t="n">
        <v>4.5</v>
      </c>
      <c r="H529" t="n">
        <v>0</v>
      </c>
      <c r="I529" t="n">
        <v>0</v>
      </c>
      <c r="J529" t="n">
        <v>0</v>
      </c>
      <c r="K529" t="n">
        <v>0</v>
      </c>
      <c r="L529" t="n">
        <v>0</v>
      </c>
      <c r="M529" t="n">
        <v>0</v>
      </c>
      <c r="N529" t="n">
        <v>0</v>
      </c>
      <c r="O529" t="n">
        <v>0</v>
      </c>
      <c r="P529" t="n">
        <v>0</v>
      </c>
      <c r="Q529" t="n">
        <v>0</v>
      </c>
      <c r="R529" s="2" t="inlineStr"/>
    </row>
    <row r="530" ht="15" customHeight="1">
      <c r="A530" t="inlineStr">
        <is>
          <t>A 21863-2026</t>
        </is>
      </c>
      <c r="B530" s="1" t="n">
        <v>46150.56342592592</v>
      </c>
      <c r="C530" s="1" t="n">
        <v>46180</v>
      </c>
      <c r="D530" t="inlineStr">
        <is>
          <t>SÖDERMANLANDS LÄN</t>
        </is>
      </c>
      <c r="E530" t="inlineStr">
        <is>
          <t>KATRINEHOLM</t>
        </is>
      </c>
      <c r="G530" t="n">
        <v>6.8</v>
      </c>
      <c r="H530" t="n">
        <v>0</v>
      </c>
      <c r="I530" t="n">
        <v>0</v>
      </c>
      <c r="J530" t="n">
        <v>0</v>
      </c>
      <c r="K530" t="n">
        <v>0</v>
      </c>
      <c r="L530" t="n">
        <v>0</v>
      </c>
      <c r="M530" t="n">
        <v>0</v>
      </c>
      <c r="N530" t="n">
        <v>0</v>
      </c>
      <c r="O530" t="n">
        <v>0</v>
      </c>
      <c r="P530" t="n">
        <v>0</v>
      </c>
      <c r="Q530" t="n">
        <v>0</v>
      </c>
      <c r="R530" s="2" t="inlineStr"/>
    </row>
    <row r="531" ht="15" customHeight="1">
      <c r="A531" t="inlineStr">
        <is>
          <t>A 4650-2024</t>
        </is>
      </c>
      <c r="B531" s="1" t="n">
        <v>45328</v>
      </c>
      <c r="C531" s="1" t="n">
        <v>46180</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4652-2024</t>
        </is>
      </c>
      <c r="B532" s="1" t="n">
        <v>45328</v>
      </c>
      <c r="C532" s="1" t="n">
        <v>46180</v>
      </c>
      <c r="D532" t="inlineStr">
        <is>
          <t>SÖDERMANLANDS LÄN</t>
        </is>
      </c>
      <c r="E532" t="inlineStr">
        <is>
          <t>KATRINEHOLM</t>
        </is>
      </c>
      <c r="F532" t="inlineStr">
        <is>
          <t>Övriga Aktiebolag</t>
        </is>
      </c>
      <c r="G532" t="n">
        <v>6.1</v>
      </c>
      <c r="H532" t="n">
        <v>0</v>
      </c>
      <c r="I532" t="n">
        <v>0</v>
      </c>
      <c r="J532" t="n">
        <v>0</v>
      </c>
      <c r="K532" t="n">
        <v>0</v>
      </c>
      <c r="L532" t="n">
        <v>0</v>
      </c>
      <c r="M532" t="n">
        <v>0</v>
      </c>
      <c r="N532" t="n">
        <v>0</v>
      </c>
      <c r="O532" t="n">
        <v>0</v>
      </c>
      <c r="P532" t="n">
        <v>0</v>
      </c>
      <c r="Q532" t="n">
        <v>0</v>
      </c>
      <c r="R532" s="2" t="inlineStr"/>
    </row>
    <row r="533" ht="15" customHeight="1">
      <c r="A533" t="inlineStr">
        <is>
          <t>A 29008-2024</t>
        </is>
      </c>
      <c r="B533" s="1" t="n">
        <v>45481</v>
      </c>
      <c r="C533" s="1" t="n">
        <v>46180</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9936-2023</t>
        </is>
      </c>
      <c r="B534" s="1" t="n">
        <v>44985.47086805556</v>
      </c>
      <c r="C534" s="1" t="n">
        <v>46180</v>
      </c>
      <c r="D534" t="inlineStr">
        <is>
          <t>SÖDERMANLANDS LÄN</t>
        </is>
      </c>
      <c r="E534" t="inlineStr">
        <is>
          <t>KATRINEHOLM</t>
        </is>
      </c>
      <c r="G534" t="n">
        <v>0.4</v>
      </c>
      <c r="H534" t="n">
        <v>0</v>
      </c>
      <c r="I534" t="n">
        <v>0</v>
      </c>
      <c r="J534" t="n">
        <v>0</v>
      </c>
      <c r="K534" t="n">
        <v>0</v>
      </c>
      <c r="L534" t="n">
        <v>0</v>
      </c>
      <c r="M534" t="n">
        <v>0</v>
      </c>
      <c r="N534" t="n">
        <v>0</v>
      </c>
      <c r="O534" t="n">
        <v>0</v>
      </c>
      <c r="P534" t="n">
        <v>0</v>
      </c>
      <c r="Q534" t="n">
        <v>0</v>
      </c>
      <c r="R534" s="2" t="inlineStr"/>
    </row>
    <row r="535" ht="15" customHeight="1">
      <c r="A535" t="inlineStr">
        <is>
          <t>A 4645-2024</t>
        </is>
      </c>
      <c r="B535" s="1" t="n">
        <v>45328</v>
      </c>
      <c r="C535" s="1" t="n">
        <v>46180</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16432-2026</t>
        </is>
      </c>
      <c r="B536" s="1" t="n">
        <v>46111.81027777777</v>
      </c>
      <c r="C536" s="1" t="n">
        <v>46180</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36001-2024</t>
        </is>
      </c>
      <c r="B537" s="1" t="n">
        <v>45533.54609953704</v>
      </c>
      <c r="C537" s="1" t="n">
        <v>46180</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36832-2023</t>
        </is>
      </c>
      <c r="B538" s="1" t="n">
        <v>45153</v>
      </c>
      <c r="C538" s="1" t="n">
        <v>46180</v>
      </c>
      <c r="D538" t="inlineStr">
        <is>
          <t>SÖDERMANLANDS LÄN</t>
        </is>
      </c>
      <c r="E538" t="inlineStr">
        <is>
          <t>KATRINEHOLM</t>
        </is>
      </c>
      <c r="F538" t="inlineStr">
        <is>
          <t>Övriga Aktiebolag</t>
        </is>
      </c>
      <c r="G538" t="n">
        <v>9</v>
      </c>
      <c r="H538" t="n">
        <v>0</v>
      </c>
      <c r="I538" t="n">
        <v>0</v>
      </c>
      <c r="J538" t="n">
        <v>0</v>
      </c>
      <c r="K538" t="n">
        <v>0</v>
      </c>
      <c r="L538" t="n">
        <v>0</v>
      </c>
      <c r="M538" t="n">
        <v>0</v>
      </c>
      <c r="N538" t="n">
        <v>0</v>
      </c>
      <c r="O538" t="n">
        <v>0</v>
      </c>
      <c r="P538" t="n">
        <v>0</v>
      </c>
      <c r="Q538" t="n">
        <v>0</v>
      </c>
      <c r="R538" s="2" t="inlineStr"/>
    </row>
    <row r="539" ht="15" customHeight="1">
      <c r="A539" t="inlineStr">
        <is>
          <t>A 6810-2023</t>
        </is>
      </c>
      <c r="B539" s="1" t="n">
        <v>44964</v>
      </c>
      <c r="C539" s="1" t="n">
        <v>46180</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32944-2023</t>
        </is>
      </c>
      <c r="B540" s="1" t="n">
        <v>45125</v>
      </c>
      <c r="C540" s="1" t="n">
        <v>46180</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29977-2023</t>
        </is>
      </c>
      <c r="B541" s="1" t="n">
        <v>45108</v>
      </c>
      <c r="C541" s="1" t="n">
        <v>46180</v>
      </c>
      <c r="D541" t="inlineStr">
        <is>
          <t>SÖDERMANLANDS LÄN</t>
        </is>
      </c>
      <c r="E541" t="inlineStr">
        <is>
          <t>KATRINEHOLM</t>
        </is>
      </c>
      <c r="G541" t="n">
        <v>2.4</v>
      </c>
      <c r="H541" t="n">
        <v>0</v>
      </c>
      <c r="I541" t="n">
        <v>0</v>
      </c>
      <c r="J541" t="n">
        <v>0</v>
      </c>
      <c r="K541" t="n">
        <v>0</v>
      </c>
      <c r="L541" t="n">
        <v>0</v>
      </c>
      <c r="M541" t="n">
        <v>0</v>
      </c>
      <c r="N541" t="n">
        <v>0</v>
      </c>
      <c r="O541" t="n">
        <v>0</v>
      </c>
      <c r="P541" t="n">
        <v>0</v>
      </c>
      <c r="Q541" t="n">
        <v>0</v>
      </c>
      <c r="R541" s="2" t="inlineStr"/>
    </row>
    <row r="542" ht="15" customHeight="1">
      <c r="A542" t="inlineStr">
        <is>
          <t>A 5788-2022</t>
        </is>
      </c>
      <c r="B542" s="1" t="n">
        <v>44596.54990740741</v>
      </c>
      <c r="C542" s="1" t="n">
        <v>46180</v>
      </c>
      <c r="D542" t="inlineStr">
        <is>
          <t>SÖDERMANLANDS LÄN</t>
        </is>
      </c>
      <c r="E542" t="inlineStr">
        <is>
          <t>KATRINEHOLM</t>
        </is>
      </c>
      <c r="G542" t="n">
        <v>4.1</v>
      </c>
      <c r="H542" t="n">
        <v>0</v>
      </c>
      <c r="I542" t="n">
        <v>0</v>
      </c>
      <c r="J542" t="n">
        <v>0</v>
      </c>
      <c r="K542" t="n">
        <v>0</v>
      </c>
      <c r="L542" t="n">
        <v>0</v>
      </c>
      <c r="M542" t="n">
        <v>0</v>
      </c>
      <c r="N542" t="n">
        <v>0</v>
      </c>
      <c r="O542" t="n">
        <v>0</v>
      </c>
      <c r="P542" t="n">
        <v>0</v>
      </c>
      <c r="Q542" t="n">
        <v>0</v>
      </c>
      <c r="R542" s="2" t="inlineStr"/>
    </row>
    <row r="543" ht="15" customHeight="1">
      <c r="A543" t="inlineStr">
        <is>
          <t>A 5795-2022</t>
        </is>
      </c>
      <c r="B543" s="1" t="n">
        <v>44596</v>
      </c>
      <c r="C543" s="1" t="n">
        <v>46180</v>
      </c>
      <c r="D543" t="inlineStr">
        <is>
          <t>SÖDERMANLANDS LÄN</t>
        </is>
      </c>
      <c r="E543" t="inlineStr">
        <is>
          <t>KATRINEHOLM</t>
        </is>
      </c>
      <c r="G543" t="n">
        <v>8.1</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46180</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73409-2021</t>
        </is>
      </c>
      <c r="B545" s="1" t="n">
        <v>44551</v>
      </c>
      <c r="C545" s="1" t="n">
        <v>46180</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73415-2021</t>
        </is>
      </c>
      <c r="B546" s="1" t="n">
        <v>44551</v>
      </c>
      <c r="C546" s="1" t="n">
        <v>46180</v>
      </c>
      <c r="D546" t="inlineStr">
        <is>
          <t>SÖDERMANLANDS LÄN</t>
        </is>
      </c>
      <c r="E546" t="inlineStr">
        <is>
          <t>KATRINEHOLM</t>
        </is>
      </c>
      <c r="G546" t="n">
        <v>3.2</v>
      </c>
      <c r="H546" t="n">
        <v>0</v>
      </c>
      <c r="I546" t="n">
        <v>0</v>
      </c>
      <c r="J546" t="n">
        <v>0</v>
      </c>
      <c r="K546" t="n">
        <v>0</v>
      </c>
      <c r="L546" t="n">
        <v>0</v>
      </c>
      <c r="M546" t="n">
        <v>0</v>
      </c>
      <c r="N546" t="n">
        <v>0</v>
      </c>
      <c r="O546" t="n">
        <v>0</v>
      </c>
      <c r="P546" t="n">
        <v>0</v>
      </c>
      <c r="Q546" t="n">
        <v>0</v>
      </c>
      <c r="R546" s="2" t="inlineStr"/>
    </row>
    <row r="547" ht="15" customHeight="1">
      <c r="A547" t="inlineStr">
        <is>
          <t>A 8087-2022</t>
        </is>
      </c>
      <c r="B547" s="1" t="n">
        <v>44609.53502314815</v>
      </c>
      <c r="C547" s="1" t="n">
        <v>46180</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50935-2023</t>
        </is>
      </c>
      <c r="B548" s="1" t="n">
        <v>45211</v>
      </c>
      <c r="C548" s="1" t="n">
        <v>46180</v>
      </c>
      <c r="D548" t="inlineStr">
        <is>
          <t>SÖDERMANLANDS LÄN</t>
        </is>
      </c>
      <c r="E548" t="inlineStr">
        <is>
          <t>KATRINEHOLM</t>
        </is>
      </c>
      <c r="G548" t="n">
        <v>0.7</v>
      </c>
      <c r="H548" t="n">
        <v>0</v>
      </c>
      <c r="I548" t="n">
        <v>0</v>
      </c>
      <c r="J548" t="n">
        <v>0</v>
      </c>
      <c r="K548" t="n">
        <v>0</v>
      </c>
      <c r="L548" t="n">
        <v>0</v>
      </c>
      <c r="M548" t="n">
        <v>0</v>
      </c>
      <c r="N548" t="n">
        <v>0</v>
      </c>
      <c r="O548" t="n">
        <v>0</v>
      </c>
      <c r="P548" t="n">
        <v>0</v>
      </c>
      <c r="Q548" t="n">
        <v>0</v>
      </c>
      <c r="R548" s="2" t="inlineStr"/>
    </row>
    <row r="549" ht="15" customHeight="1">
      <c r="A549" t="inlineStr">
        <is>
          <t>A 6298-2024</t>
        </is>
      </c>
      <c r="B549" s="1" t="n">
        <v>45338.34245370371</v>
      </c>
      <c r="C549" s="1" t="n">
        <v>46180</v>
      </c>
      <c r="D549" t="inlineStr">
        <is>
          <t>SÖDERMANLANDS LÄN</t>
        </is>
      </c>
      <c r="E549" t="inlineStr">
        <is>
          <t>KATRINEHOLM</t>
        </is>
      </c>
      <c r="G549" t="n">
        <v>1.4</v>
      </c>
      <c r="H549" t="n">
        <v>0</v>
      </c>
      <c r="I549" t="n">
        <v>0</v>
      </c>
      <c r="J549" t="n">
        <v>0</v>
      </c>
      <c r="K549" t="n">
        <v>0</v>
      </c>
      <c r="L549" t="n">
        <v>0</v>
      </c>
      <c r="M549" t="n">
        <v>0</v>
      </c>
      <c r="N549" t="n">
        <v>0</v>
      </c>
      <c r="O549" t="n">
        <v>0</v>
      </c>
      <c r="P549" t="n">
        <v>0</v>
      </c>
      <c r="Q549" t="n">
        <v>0</v>
      </c>
      <c r="R549" s="2" t="inlineStr"/>
    </row>
    <row r="550" ht="15" customHeight="1">
      <c r="A550" t="inlineStr">
        <is>
          <t>A 33001-2024</t>
        </is>
      </c>
      <c r="B550" s="1" t="n">
        <v>45517</v>
      </c>
      <c r="C550" s="1" t="n">
        <v>46180</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58175-2024</t>
        </is>
      </c>
      <c r="B551" s="1" t="n">
        <v>45632.46648148148</v>
      </c>
      <c r="C551" s="1" t="n">
        <v>46180</v>
      </c>
      <c r="D551" t="inlineStr">
        <is>
          <t>SÖDERMANLANDS LÄN</t>
        </is>
      </c>
      <c r="E551" t="inlineStr">
        <is>
          <t>KATRINEHOLM</t>
        </is>
      </c>
      <c r="G551" t="n">
        <v>1.3</v>
      </c>
      <c r="H551" t="n">
        <v>0</v>
      </c>
      <c r="I551" t="n">
        <v>0</v>
      </c>
      <c r="J551" t="n">
        <v>0</v>
      </c>
      <c r="K551" t="n">
        <v>0</v>
      </c>
      <c r="L551" t="n">
        <v>0</v>
      </c>
      <c r="M551" t="n">
        <v>0</v>
      </c>
      <c r="N551" t="n">
        <v>0</v>
      </c>
      <c r="O551" t="n">
        <v>0</v>
      </c>
      <c r="P551" t="n">
        <v>0</v>
      </c>
      <c r="Q551" t="n">
        <v>0</v>
      </c>
      <c r="R551" s="2" t="inlineStr"/>
    </row>
    <row r="552" ht="15" customHeight="1">
      <c r="A552" t="inlineStr">
        <is>
          <t>A 53715-2023</t>
        </is>
      </c>
      <c r="B552" s="1" t="n">
        <v>45230</v>
      </c>
      <c r="C552" s="1" t="n">
        <v>46180</v>
      </c>
      <c r="D552" t="inlineStr">
        <is>
          <t>SÖDERMANLANDS LÄN</t>
        </is>
      </c>
      <c r="E552" t="inlineStr">
        <is>
          <t>KATRINEHOLM</t>
        </is>
      </c>
      <c r="F552" t="inlineStr">
        <is>
          <t>Allmännings- och besparingsskogar</t>
        </is>
      </c>
      <c r="G552" t="n">
        <v>5.6</v>
      </c>
      <c r="H552" t="n">
        <v>0</v>
      </c>
      <c r="I552" t="n">
        <v>0</v>
      </c>
      <c r="J552" t="n">
        <v>0</v>
      </c>
      <c r="K552" t="n">
        <v>0</v>
      </c>
      <c r="L552" t="n">
        <v>0</v>
      </c>
      <c r="M552" t="n">
        <v>0</v>
      </c>
      <c r="N552" t="n">
        <v>0</v>
      </c>
      <c r="O552" t="n">
        <v>0</v>
      </c>
      <c r="P552" t="n">
        <v>0</v>
      </c>
      <c r="Q552" t="n">
        <v>0</v>
      </c>
      <c r="R552" s="2" t="inlineStr"/>
    </row>
    <row r="553" ht="15" customHeight="1">
      <c r="A553" t="inlineStr">
        <is>
          <t>A 23705-2023</t>
        </is>
      </c>
      <c r="B553" s="1" t="n">
        <v>45077</v>
      </c>
      <c r="C553" s="1" t="n">
        <v>46180</v>
      </c>
      <c r="D553" t="inlineStr">
        <is>
          <t>SÖDERMANLANDS LÄN</t>
        </is>
      </c>
      <c r="E553" t="inlineStr">
        <is>
          <t>KATRINEHOLM</t>
        </is>
      </c>
      <c r="F553" t="inlineStr">
        <is>
          <t>Kyrkan</t>
        </is>
      </c>
      <c r="G553" t="n">
        <v>11.9</v>
      </c>
      <c r="H553" t="n">
        <v>0</v>
      </c>
      <c r="I553" t="n">
        <v>0</v>
      </c>
      <c r="J553" t="n">
        <v>0</v>
      </c>
      <c r="K553" t="n">
        <v>0</v>
      </c>
      <c r="L553" t="n">
        <v>0</v>
      </c>
      <c r="M553" t="n">
        <v>0</v>
      </c>
      <c r="N553" t="n">
        <v>0</v>
      </c>
      <c r="O553" t="n">
        <v>0</v>
      </c>
      <c r="P553" t="n">
        <v>0</v>
      </c>
      <c r="Q553" t="n">
        <v>0</v>
      </c>
      <c r="R553" s="2" t="inlineStr"/>
    </row>
    <row r="554" ht="15" customHeight="1">
      <c r="A554" t="inlineStr">
        <is>
          <t>A 39120-2023</t>
        </is>
      </c>
      <c r="B554" s="1" t="n">
        <v>45165</v>
      </c>
      <c r="C554" s="1" t="n">
        <v>46180</v>
      </c>
      <c r="D554" t="inlineStr">
        <is>
          <t>SÖDERMANLANDS LÄN</t>
        </is>
      </c>
      <c r="E554" t="inlineStr">
        <is>
          <t>KATRINEHOLM</t>
        </is>
      </c>
      <c r="G554" t="n">
        <v>4.4</v>
      </c>
      <c r="H554" t="n">
        <v>0</v>
      </c>
      <c r="I554" t="n">
        <v>0</v>
      </c>
      <c r="J554" t="n">
        <v>0</v>
      </c>
      <c r="K554" t="n">
        <v>0</v>
      </c>
      <c r="L554" t="n">
        <v>0</v>
      </c>
      <c r="M554" t="n">
        <v>0</v>
      </c>
      <c r="N554" t="n">
        <v>0</v>
      </c>
      <c r="O554" t="n">
        <v>0</v>
      </c>
      <c r="P554" t="n">
        <v>0</v>
      </c>
      <c r="Q554" t="n">
        <v>0</v>
      </c>
      <c r="R554" s="2" t="inlineStr"/>
    </row>
    <row r="555" ht="15" customHeight="1">
      <c r="A555" t="inlineStr">
        <is>
          <t>A 51397-2023</t>
        </is>
      </c>
      <c r="B555" s="1" t="n">
        <v>45214</v>
      </c>
      <c r="C555" s="1" t="n">
        <v>46180</v>
      </c>
      <c r="D555" t="inlineStr">
        <is>
          <t>SÖDERMANLANDS LÄN</t>
        </is>
      </c>
      <c r="E555" t="inlineStr">
        <is>
          <t>KATRINEHOLM</t>
        </is>
      </c>
      <c r="G555" t="n">
        <v>4.9</v>
      </c>
      <c r="H555" t="n">
        <v>0</v>
      </c>
      <c r="I555" t="n">
        <v>0</v>
      </c>
      <c r="J555" t="n">
        <v>0</v>
      </c>
      <c r="K555" t="n">
        <v>0</v>
      </c>
      <c r="L555" t="n">
        <v>0</v>
      </c>
      <c r="M555" t="n">
        <v>0</v>
      </c>
      <c r="N555" t="n">
        <v>0</v>
      </c>
      <c r="O555" t="n">
        <v>0</v>
      </c>
      <c r="P555" t="n">
        <v>0</v>
      </c>
      <c r="Q555" t="n">
        <v>0</v>
      </c>
      <c r="R555" s="2" t="inlineStr"/>
    </row>
    <row r="556" ht="15" customHeight="1">
      <c r="A556" t="inlineStr">
        <is>
          <t>A 19452-2023</t>
        </is>
      </c>
      <c r="B556" s="1" t="n">
        <v>45050</v>
      </c>
      <c r="C556" s="1" t="n">
        <v>46180</v>
      </c>
      <c r="D556" t="inlineStr">
        <is>
          <t>SÖDERMANLANDS LÄN</t>
        </is>
      </c>
      <c r="E556" t="inlineStr">
        <is>
          <t>KATRINEHOLM</t>
        </is>
      </c>
      <c r="F556" t="inlineStr">
        <is>
          <t>Holmen skog AB</t>
        </is>
      </c>
      <c r="G556" t="n">
        <v>4.7</v>
      </c>
      <c r="H556" t="n">
        <v>0</v>
      </c>
      <c r="I556" t="n">
        <v>0</v>
      </c>
      <c r="J556" t="n">
        <v>0</v>
      </c>
      <c r="K556" t="n">
        <v>0</v>
      </c>
      <c r="L556" t="n">
        <v>0</v>
      </c>
      <c r="M556" t="n">
        <v>0</v>
      </c>
      <c r="N556" t="n">
        <v>0</v>
      </c>
      <c r="O556" t="n">
        <v>0</v>
      </c>
      <c r="P556" t="n">
        <v>0</v>
      </c>
      <c r="Q556" t="n">
        <v>0</v>
      </c>
      <c r="R556" s="2" t="inlineStr"/>
    </row>
    <row r="557" ht="15" customHeight="1">
      <c r="A557" t="inlineStr">
        <is>
          <t>A 52658-2023</t>
        </is>
      </c>
      <c r="B557" s="1" t="n">
        <v>45225</v>
      </c>
      <c r="C557" s="1" t="n">
        <v>46180</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5320-2025</t>
        </is>
      </c>
      <c r="B558" s="1" t="n">
        <v>45692</v>
      </c>
      <c r="C558" s="1" t="n">
        <v>46180</v>
      </c>
      <c r="D558" t="inlineStr">
        <is>
          <t>SÖDERMANLANDS LÄN</t>
        </is>
      </c>
      <c r="E558" t="inlineStr">
        <is>
          <t>KATRINEHOLM</t>
        </is>
      </c>
      <c r="F558" t="inlineStr">
        <is>
          <t>Kommuner</t>
        </is>
      </c>
      <c r="G558" t="n">
        <v>0.9</v>
      </c>
      <c r="H558" t="n">
        <v>0</v>
      </c>
      <c r="I558" t="n">
        <v>0</v>
      </c>
      <c r="J558" t="n">
        <v>0</v>
      </c>
      <c r="K558" t="n">
        <v>0</v>
      </c>
      <c r="L558" t="n">
        <v>0</v>
      </c>
      <c r="M558" t="n">
        <v>0</v>
      </c>
      <c r="N558" t="n">
        <v>0</v>
      </c>
      <c r="O558" t="n">
        <v>0</v>
      </c>
      <c r="P558" t="n">
        <v>0</v>
      </c>
      <c r="Q558" t="n">
        <v>0</v>
      </c>
      <c r="R558" s="2" t="inlineStr"/>
    </row>
    <row r="559" ht="15" customHeight="1">
      <c r="A559" t="inlineStr">
        <is>
          <t>A 2606-2025</t>
        </is>
      </c>
      <c r="B559" s="1" t="n">
        <v>45674</v>
      </c>
      <c r="C559" s="1" t="n">
        <v>46180</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39748-2022</t>
        </is>
      </c>
      <c r="B560" s="1" t="n">
        <v>44817</v>
      </c>
      <c r="C560" s="1" t="n">
        <v>46180</v>
      </c>
      <c r="D560" t="inlineStr">
        <is>
          <t>SÖDERMANLANDS LÄN</t>
        </is>
      </c>
      <c r="E560" t="inlineStr">
        <is>
          <t>KATRINEHOLM</t>
        </is>
      </c>
      <c r="G560" t="n">
        <v>10.2</v>
      </c>
      <c r="H560" t="n">
        <v>0</v>
      </c>
      <c r="I560" t="n">
        <v>0</v>
      </c>
      <c r="J560" t="n">
        <v>0</v>
      </c>
      <c r="K560" t="n">
        <v>0</v>
      </c>
      <c r="L560" t="n">
        <v>0</v>
      </c>
      <c r="M560" t="n">
        <v>0</v>
      </c>
      <c r="N560" t="n">
        <v>0</v>
      </c>
      <c r="O560" t="n">
        <v>0</v>
      </c>
      <c r="P560" t="n">
        <v>0</v>
      </c>
      <c r="Q560" t="n">
        <v>0</v>
      </c>
      <c r="R560" s="2" t="inlineStr"/>
    </row>
    <row r="561" ht="15" customHeight="1">
      <c r="A561" t="inlineStr">
        <is>
          <t>A 34731-2023</t>
        </is>
      </c>
      <c r="B561" s="1" t="n">
        <v>45141</v>
      </c>
      <c r="C561" s="1" t="n">
        <v>46180</v>
      </c>
      <c r="D561" t="inlineStr">
        <is>
          <t>SÖDERMANLANDS LÄN</t>
        </is>
      </c>
      <c r="E561" t="inlineStr">
        <is>
          <t>KATRINEHOLM</t>
        </is>
      </c>
      <c r="G561" t="n">
        <v>1.5</v>
      </c>
      <c r="H561" t="n">
        <v>0</v>
      </c>
      <c r="I561" t="n">
        <v>0</v>
      </c>
      <c r="J561" t="n">
        <v>0</v>
      </c>
      <c r="K561" t="n">
        <v>0</v>
      </c>
      <c r="L561" t="n">
        <v>0</v>
      </c>
      <c r="M561" t="n">
        <v>0</v>
      </c>
      <c r="N561" t="n">
        <v>0</v>
      </c>
      <c r="O561" t="n">
        <v>0</v>
      </c>
      <c r="P561" t="n">
        <v>0</v>
      </c>
      <c r="Q561" t="n">
        <v>0</v>
      </c>
      <c r="R561" s="2" t="inlineStr"/>
    </row>
    <row r="562" ht="15" customHeight="1">
      <c r="A562" t="inlineStr">
        <is>
          <t>A 34739-2023</t>
        </is>
      </c>
      <c r="B562" s="1" t="n">
        <v>45141</v>
      </c>
      <c r="C562" s="1" t="n">
        <v>46180</v>
      </c>
      <c r="D562" t="inlineStr">
        <is>
          <t>SÖDERMANLANDS LÄN</t>
        </is>
      </c>
      <c r="E562" t="inlineStr">
        <is>
          <t>KATRINEHOLM</t>
        </is>
      </c>
      <c r="G562" t="n">
        <v>1.4</v>
      </c>
      <c r="H562" t="n">
        <v>0</v>
      </c>
      <c r="I562" t="n">
        <v>0</v>
      </c>
      <c r="J562" t="n">
        <v>0</v>
      </c>
      <c r="K562" t="n">
        <v>0</v>
      </c>
      <c r="L562" t="n">
        <v>0</v>
      </c>
      <c r="M562" t="n">
        <v>0</v>
      </c>
      <c r="N562" t="n">
        <v>0</v>
      </c>
      <c r="O562" t="n">
        <v>0</v>
      </c>
      <c r="P562" t="n">
        <v>0</v>
      </c>
      <c r="Q562" t="n">
        <v>0</v>
      </c>
      <c r="R562" s="2" t="inlineStr"/>
    </row>
    <row r="563" ht="15" customHeight="1">
      <c r="A563" t="inlineStr">
        <is>
          <t>A 20480-2022</t>
        </is>
      </c>
      <c r="B563" s="1" t="n">
        <v>44699</v>
      </c>
      <c r="C563" s="1" t="n">
        <v>46180</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50017-2023</t>
        </is>
      </c>
      <c r="B564" s="1" t="n">
        <v>45215</v>
      </c>
      <c r="C564" s="1" t="n">
        <v>46180</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50018-2023</t>
        </is>
      </c>
      <c r="B565" s="1" t="n">
        <v>45215</v>
      </c>
      <c r="C565" s="1" t="n">
        <v>46180</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28508-2023</t>
        </is>
      </c>
      <c r="B566" s="1" t="n">
        <v>45103.46788194445</v>
      </c>
      <c r="C566" s="1" t="n">
        <v>46180</v>
      </c>
      <c r="D566" t="inlineStr">
        <is>
          <t>SÖDERMANLANDS LÄN</t>
        </is>
      </c>
      <c r="E566" t="inlineStr">
        <is>
          <t>KATRINEHOLM</t>
        </is>
      </c>
      <c r="F566" t="inlineStr">
        <is>
          <t>Kyrkan</t>
        </is>
      </c>
      <c r="G566" t="n">
        <v>20.5</v>
      </c>
      <c r="H566" t="n">
        <v>0</v>
      </c>
      <c r="I566" t="n">
        <v>0</v>
      </c>
      <c r="J566" t="n">
        <v>0</v>
      </c>
      <c r="K566" t="n">
        <v>0</v>
      </c>
      <c r="L566" t="n">
        <v>0</v>
      </c>
      <c r="M566" t="n">
        <v>0</v>
      </c>
      <c r="N566" t="n">
        <v>0</v>
      </c>
      <c r="O566" t="n">
        <v>0</v>
      </c>
      <c r="P566" t="n">
        <v>0</v>
      </c>
      <c r="Q566" t="n">
        <v>0</v>
      </c>
      <c r="R566" s="2" t="inlineStr"/>
    </row>
    <row r="567" ht="15" customHeight="1">
      <c r="A567" t="inlineStr">
        <is>
          <t>A 46075-2023</t>
        </is>
      </c>
      <c r="B567" s="1" t="n">
        <v>45196</v>
      </c>
      <c r="C567" s="1" t="n">
        <v>46180</v>
      </c>
      <c r="D567" t="inlineStr">
        <is>
          <t>SÖDERMANLANDS LÄN</t>
        </is>
      </c>
      <c r="E567" t="inlineStr">
        <is>
          <t>KATRINEHOLM</t>
        </is>
      </c>
      <c r="F567" t="inlineStr">
        <is>
          <t>Övriga Aktiebolag</t>
        </is>
      </c>
      <c r="G567" t="n">
        <v>9.5</v>
      </c>
      <c r="H567" t="n">
        <v>0</v>
      </c>
      <c r="I567" t="n">
        <v>0</v>
      </c>
      <c r="J567" t="n">
        <v>0</v>
      </c>
      <c r="K567" t="n">
        <v>0</v>
      </c>
      <c r="L567" t="n">
        <v>0</v>
      </c>
      <c r="M567" t="n">
        <v>0</v>
      </c>
      <c r="N567" t="n">
        <v>0</v>
      </c>
      <c r="O567" t="n">
        <v>0</v>
      </c>
      <c r="P567" t="n">
        <v>0</v>
      </c>
      <c r="Q567" t="n">
        <v>0</v>
      </c>
      <c r="R567" s="2" t="inlineStr"/>
    </row>
    <row r="568" ht="15" customHeight="1">
      <c r="A568" t="inlineStr">
        <is>
          <t>A 25823-2023</t>
        </is>
      </c>
      <c r="B568" s="1" t="n">
        <v>45090.55078703703</v>
      </c>
      <c r="C568" s="1" t="n">
        <v>46180</v>
      </c>
      <c r="D568" t="inlineStr">
        <is>
          <t>SÖDERMANLANDS LÄN</t>
        </is>
      </c>
      <c r="E568" t="inlineStr">
        <is>
          <t>KATRINEHOLM</t>
        </is>
      </c>
      <c r="F568" t="inlineStr">
        <is>
          <t>Kyrkan</t>
        </is>
      </c>
      <c r="G568" t="n">
        <v>10.2</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46180</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22295-2024</t>
        </is>
      </c>
      <c r="B570" s="1" t="n">
        <v>45446.56141203704</v>
      </c>
      <c r="C570" s="1" t="n">
        <v>46180</v>
      </c>
      <c r="D570" t="inlineStr">
        <is>
          <t>SÖDERMANLANDS LÄN</t>
        </is>
      </c>
      <c r="E570" t="inlineStr">
        <is>
          <t>KATRINEHOLM</t>
        </is>
      </c>
      <c r="F570" t="inlineStr">
        <is>
          <t>Kommuner</t>
        </is>
      </c>
      <c r="G570" t="n">
        <v>1.2</v>
      </c>
      <c r="H570" t="n">
        <v>0</v>
      </c>
      <c r="I570" t="n">
        <v>0</v>
      </c>
      <c r="J570" t="n">
        <v>0</v>
      </c>
      <c r="K570" t="n">
        <v>0</v>
      </c>
      <c r="L570" t="n">
        <v>0</v>
      </c>
      <c r="M570" t="n">
        <v>0</v>
      </c>
      <c r="N570" t="n">
        <v>0</v>
      </c>
      <c r="O570" t="n">
        <v>0</v>
      </c>
      <c r="P570" t="n">
        <v>0</v>
      </c>
      <c r="Q570" t="n">
        <v>0</v>
      </c>
      <c r="R570" s="2" t="inlineStr"/>
    </row>
    <row r="571" ht="15" customHeight="1">
      <c r="A571" t="inlineStr">
        <is>
          <t>A 46700-2023</t>
        </is>
      </c>
      <c r="B571" s="1" t="n">
        <v>45194</v>
      </c>
      <c r="C571" s="1" t="n">
        <v>46180</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55590-2023</t>
        </is>
      </c>
      <c r="B572" s="1" t="n">
        <v>45238</v>
      </c>
      <c r="C572" s="1" t="n">
        <v>46180</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15898-2022</t>
        </is>
      </c>
      <c r="B573" s="1" t="n">
        <v>44664.55688657407</v>
      </c>
      <c r="C573" s="1" t="n">
        <v>46180</v>
      </c>
      <c r="D573" t="inlineStr">
        <is>
          <t>SÖDERMANLANDS LÄN</t>
        </is>
      </c>
      <c r="E573" t="inlineStr">
        <is>
          <t>KATRINEHOLM</t>
        </is>
      </c>
      <c r="G573" t="n">
        <v>6.5</v>
      </c>
      <c r="H573" t="n">
        <v>0</v>
      </c>
      <c r="I573" t="n">
        <v>0</v>
      </c>
      <c r="J573" t="n">
        <v>0</v>
      </c>
      <c r="K573" t="n">
        <v>0</v>
      </c>
      <c r="L573" t="n">
        <v>0</v>
      </c>
      <c r="M573" t="n">
        <v>0</v>
      </c>
      <c r="N573" t="n">
        <v>0</v>
      </c>
      <c r="O573" t="n">
        <v>0</v>
      </c>
      <c r="P573" t="n">
        <v>0</v>
      </c>
      <c r="Q573" t="n">
        <v>0</v>
      </c>
      <c r="R573" s="2" t="inlineStr"/>
    </row>
    <row r="574" ht="15" customHeight="1">
      <c r="A574" t="inlineStr">
        <is>
          <t>A 15910-2022</t>
        </is>
      </c>
      <c r="B574" s="1" t="n">
        <v>44664</v>
      </c>
      <c r="C574" s="1" t="n">
        <v>46180</v>
      </c>
      <c r="D574" t="inlineStr">
        <is>
          <t>SÖDERMANLANDS LÄN</t>
        </is>
      </c>
      <c r="E574" t="inlineStr">
        <is>
          <t>KATRINEHOLM</t>
        </is>
      </c>
      <c r="G574" t="n">
        <v>5.6</v>
      </c>
      <c r="H574" t="n">
        <v>0</v>
      </c>
      <c r="I574" t="n">
        <v>0</v>
      </c>
      <c r="J574" t="n">
        <v>0</v>
      </c>
      <c r="K574" t="n">
        <v>0</v>
      </c>
      <c r="L574" t="n">
        <v>0</v>
      </c>
      <c r="M574" t="n">
        <v>0</v>
      </c>
      <c r="N574" t="n">
        <v>0</v>
      </c>
      <c r="O574" t="n">
        <v>0</v>
      </c>
      <c r="P574" t="n">
        <v>0</v>
      </c>
      <c r="Q574" t="n">
        <v>0</v>
      </c>
      <c r="R574" s="2" t="inlineStr"/>
    </row>
    <row r="575" ht="15" customHeight="1">
      <c r="A575" t="inlineStr">
        <is>
          <t>A 32818-2023</t>
        </is>
      </c>
      <c r="B575" s="1" t="n">
        <v>45124.55633101852</v>
      </c>
      <c r="C575" s="1" t="n">
        <v>46180</v>
      </c>
      <c r="D575" t="inlineStr">
        <is>
          <t>SÖDERMANLANDS LÄN</t>
        </is>
      </c>
      <c r="E575" t="inlineStr">
        <is>
          <t>KATRINEHOLM</t>
        </is>
      </c>
      <c r="G575" t="n">
        <v>3.4</v>
      </c>
      <c r="H575" t="n">
        <v>0</v>
      </c>
      <c r="I575" t="n">
        <v>0</v>
      </c>
      <c r="J575" t="n">
        <v>0</v>
      </c>
      <c r="K575" t="n">
        <v>0</v>
      </c>
      <c r="L575" t="n">
        <v>0</v>
      </c>
      <c r="M575" t="n">
        <v>0</v>
      </c>
      <c r="N575" t="n">
        <v>0</v>
      </c>
      <c r="O575" t="n">
        <v>0</v>
      </c>
      <c r="P575" t="n">
        <v>0</v>
      </c>
      <c r="Q575" t="n">
        <v>0</v>
      </c>
      <c r="R575" s="2" t="inlineStr"/>
    </row>
    <row r="576" ht="15" customHeight="1">
      <c r="A576" t="inlineStr">
        <is>
          <t>A 23077-2026</t>
        </is>
      </c>
      <c r="B576" s="1" t="n">
        <v>46161.52135416667</v>
      </c>
      <c r="C576" s="1" t="n">
        <v>46180</v>
      </c>
      <c r="D576" t="inlineStr">
        <is>
          <t>SÖDERMANLANDS LÄN</t>
        </is>
      </c>
      <c r="E576" t="inlineStr">
        <is>
          <t>KATRINEHOLM</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20214-2025</t>
        </is>
      </c>
      <c r="B577" s="1" t="n">
        <v>45772.63540509259</v>
      </c>
      <c r="C577" s="1" t="n">
        <v>46180</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22272-2022</t>
        </is>
      </c>
      <c r="B578" s="1" t="n">
        <v>44712</v>
      </c>
      <c r="C578" s="1" t="n">
        <v>46180</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27334-2023</t>
        </is>
      </c>
      <c r="B579" s="1" t="n">
        <v>45096</v>
      </c>
      <c r="C579" s="1" t="n">
        <v>46180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40186-2023</t>
        </is>
      </c>
      <c r="B580" s="1" t="n">
        <v>45169</v>
      </c>
      <c r="C580" s="1" t="n">
        <v>46180</v>
      </c>
      <c r="D580" t="inlineStr">
        <is>
          <t>SÖDERMANLANDS LÄN</t>
        </is>
      </c>
      <c r="E580" t="inlineStr">
        <is>
          <t>KATRINEHOLM</t>
        </is>
      </c>
      <c r="G580" t="n">
        <v>2.1</v>
      </c>
      <c r="H580" t="n">
        <v>0</v>
      </c>
      <c r="I580" t="n">
        <v>0</v>
      </c>
      <c r="J580" t="n">
        <v>0</v>
      </c>
      <c r="K580" t="n">
        <v>0</v>
      </c>
      <c r="L580" t="n">
        <v>0</v>
      </c>
      <c r="M580" t="n">
        <v>0</v>
      </c>
      <c r="N580" t="n">
        <v>0</v>
      </c>
      <c r="O580" t="n">
        <v>0</v>
      </c>
      <c r="P580" t="n">
        <v>0</v>
      </c>
      <c r="Q580" t="n">
        <v>0</v>
      </c>
      <c r="R580" s="2" t="inlineStr"/>
    </row>
    <row r="581" ht="15" customHeight="1">
      <c r="A581" t="inlineStr">
        <is>
          <t>A 36562-2023</t>
        </is>
      </c>
      <c r="B581" s="1" t="n">
        <v>45153</v>
      </c>
      <c r="C581" s="1" t="n">
        <v>46180</v>
      </c>
      <c r="D581" t="inlineStr">
        <is>
          <t>SÖDERMANLANDS LÄN</t>
        </is>
      </c>
      <c r="E581" t="inlineStr">
        <is>
          <t>KATRINEHOLM</t>
        </is>
      </c>
      <c r="G581" t="n">
        <v>5.8</v>
      </c>
      <c r="H581" t="n">
        <v>0</v>
      </c>
      <c r="I581" t="n">
        <v>0</v>
      </c>
      <c r="J581" t="n">
        <v>0</v>
      </c>
      <c r="K581" t="n">
        <v>0</v>
      </c>
      <c r="L581" t="n">
        <v>0</v>
      </c>
      <c r="M581" t="n">
        <v>0</v>
      </c>
      <c r="N581" t="n">
        <v>0</v>
      </c>
      <c r="O581" t="n">
        <v>0</v>
      </c>
      <c r="P581" t="n">
        <v>0</v>
      </c>
      <c r="Q581" t="n">
        <v>0</v>
      </c>
      <c r="R581" s="2" t="inlineStr"/>
    </row>
    <row r="582" ht="15" customHeight="1">
      <c r="A582" t="inlineStr">
        <is>
          <t>A 34539-2022</t>
        </is>
      </c>
      <c r="B582" s="1" t="n">
        <v>44793.50563657407</v>
      </c>
      <c r="C582" s="1" t="n">
        <v>46180</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41205-2021</t>
        </is>
      </c>
      <c r="B583" s="1" t="n">
        <v>44424.38577546296</v>
      </c>
      <c r="C583" s="1" t="n">
        <v>46180</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24748-2024</t>
        </is>
      </c>
      <c r="B584" s="1" t="n">
        <v>45460.66567129629</v>
      </c>
      <c r="C584" s="1" t="n">
        <v>46180</v>
      </c>
      <c r="D584" t="inlineStr">
        <is>
          <t>SÖDERMANLANDS LÄN</t>
        </is>
      </c>
      <c r="E584" t="inlineStr">
        <is>
          <t>KATRINEHOLM</t>
        </is>
      </c>
      <c r="G584" t="n">
        <v>3.3</v>
      </c>
      <c r="H584" t="n">
        <v>0</v>
      </c>
      <c r="I584" t="n">
        <v>0</v>
      </c>
      <c r="J584" t="n">
        <v>0</v>
      </c>
      <c r="K584" t="n">
        <v>0</v>
      </c>
      <c r="L584" t="n">
        <v>0</v>
      </c>
      <c r="M584" t="n">
        <v>0</v>
      </c>
      <c r="N584" t="n">
        <v>0</v>
      </c>
      <c r="O584" t="n">
        <v>0</v>
      </c>
      <c r="P584" t="n">
        <v>0</v>
      </c>
      <c r="Q584" t="n">
        <v>0</v>
      </c>
      <c r="R584" s="2" t="inlineStr"/>
    </row>
    <row r="585" ht="15" customHeight="1">
      <c r="A585" t="inlineStr">
        <is>
          <t>A 40402-2022</t>
        </is>
      </c>
      <c r="B585" s="1" t="n">
        <v>44823.44353009259</v>
      </c>
      <c r="C585" s="1" t="n">
        <v>46180</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17820-2025</t>
        </is>
      </c>
      <c r="B586" s="1" t="n">
        <v>45758</v>
      </c>
      <c r="C586" s="1" t="n">
        <v>46180</v>
      </c>
      <c r="D586" t="inlineStr">
        <is>
          <t>SÖDERMANLANDS LÄN</t>
        </is>
      </c>
      <c r="E586" t="inlineStr">
        <is>
          <t>KATRINEHOLM</t>
        </is>
      </c>
      <c r="G586" t="n">
        <v>5.9</v>
      </c>
      <c r="H586" t="n">
        <v>0</v>
      </c>
      <c r="I586" t="n">
        <v>0</v>
      </c>
      <c r="J586" t="n">
        <v>0</v>
      </c>
      <c r="K586" t="n">
        <v>0</v>
      </c>
      <c r="L586" t="n">
        <v>0</v>
      </c>
      <c r="M586" t="n">
        <v>0</v>
      </c>
      <c r="N586" t="n">
        <v>0</v>
      </c>
      <c r="O586" t="n">
        <v>0</v>
      </c>
      <c r="P586" t="n">
        <v>0</v>
      </c>
      <c r="Q586" t="n">
        <v>0</v>
      </c>
      <c r="R586" s="2" t="inlineStr"/>
    </row>
    <row r="587" ht="15" customHeight="1">
      <c r="A587" t="inlineStr">
        <is>
          <t>A 30387-2022</t>
        </is>
      </c>
      <c r="B587" s="1" t="n">
        <v>44760</v>
      </c>
      <c r="C587" s="1" t="n">
        <v>46180</v>
      </c>
      <c r="D587" t="inlineStr">
        <is>
          <t>SÖDERMANLANDS LÄN</t>
        </is>
      </c>
      <c r="E587" t="inlineStr">
        <is>
          <t>KATRINEHOLM</t>
        </is>
      </c>
      <c r="G587" t="n">
        <v>1.9</v>
      </c>
      <c r="H587" t="n">
        <v>0</v>
      </c>
      <c r="I587" t="n">
        <v>0</v>
      </c>
      <c r="J587" t="n">
        <v>0</v>
      </c>
      <c r="K587" t="n">
        <v>0</v>
      </c>
      <c r="L587" t="n">
        <v>0</v>
      </c>
      <c r="M587" t="n">
        <v>0</v>
      </c>
      <c r="N587" t="n">
        <v>0</v>
      </c>
      <c r="O587" t="n">
        <v>0</v>
      </c>
      <c r="P587" t="n">
        <v>0</v>
      </c>
      <c r="Q587" t="n">
        <v>0</v>
      </c>
      <c r="R587" s="2" t="inlineStr"/>
    </row>
    <row r="588" ht="15" customHeight="1">
      <c r="A588" t="inlineStr">
        <is>
          <t>A 39052-2023</t>
        </is>
      </c>
      <c r="B588" s="1" t="n">
        <v>45163</v>
      </c>
      <c r="C588" s="1" t="n">
        <v>46180</v>
      </c>
      <c r="D588" t="inlineStr">
        <is>
          <t>SÖDERMANLANDS LÄN</t>
        </is>
      </c>
      <c r="E588" t="inlineStr">
        <is>
          <t>KATRINEHOLM</t>
        </is>
      </c>
      <c r="G588" t="n">
        <v>3</v>
      </c>
      <c r="H588" t="n">
        <v>0</v>
      </c>
      <c r="I588" t="n">
        <v>0</v>
      </c>
      <c r="J588" t="n">
        <v>0</v>
      </c>
      <c r="K588" t="n">
        <v>0</v>
      </c>
      <c r="L588" t="n">
        <v>0</v>
      </c>
      <c r="M588" t="n">
        <v>0</v>
      </c>
      <c r="N588" t="n">
        <v>0</v>
      </c>
      <c r="O588" t="n">
        <v>0</v>
      </c>
      <c r="P588" t="n">
        <v>0</v>
      </c>
      <c r="Q588" t="n">
        <v>0</v>
      </c>
      <c r="R588" s="2" t="inlineStr"/>
    </row>
    <row r="589" ht="15" customHeight="1">
      <c r="A589" t="inlineStr">
        <is>
          <t>A 8922-2024</t>
        </is>
      </c>
      <c r="B589" s="1" t="n">
        <v>45357.38601851852</v>
      </c>
      <c r="C589" s="1" t="n">
        <v>46180</v>
      </c>
      <c r="D589" t="inlineStr">
        <is>
          <t>SÖDERMANLANDS LÄN</t>
        </is>
      </c>
      <c r="E589" t="inlineStr">
        <is>
          <t>KATRINEHOLM</t>
        </is>
      </c>
      <c r="G589" t="n">
        <v>2.2</v>
      </c>
      <c r="H589" t="n">
        <v>0</v>
      </c>
      <c r="I589" t="n">
        <v>0</v>
      </c>
      <c r="J589" t="n">
        <v>0</v>
      </c>
      <c r="K589" t="n">
        <v>0</v>
      </c>
      <c r="L589" t="n">
        <v>0</v>
      </c>
      <c r="M589" t="n">
        <v>0</v>
      </c>
      <c r="N589" t="n">
        <v>0</v>
      </c>
      <c r="O589" t="n">
        <v>0</v>
      </c>
      <c r="P589" t="n">
        <v>0</v>
      </c>
      <c r="Q589" t="n">
        <v>0</v>
      </c>
      <c r="R589" s="2" t="inlineStr"/>
    </row>
    <row r="590" ht="15" customHeight="1">
      <c r="A590" t="inlineStr">
        <is>
          <t>A 48160-2022</t>
        </is>
      </c>
      <c r="B590" s="1" t="n">
        <v>44853</v>
      </c>
      <c r="C590" s="1" t="n">
        <v>46180</v>
      </c>
      <c r="D590" t="inlineStr">
        <is>
          <t>SÖDERMANLANDS LÄN</t>
        </is>
      </c>
      <c r="E590" t="inlineStr">
        <is>
          <t>KATRINEHOLM</t>
        </is>
      </c>
      <c r="F590" t="inlineStr">
        <is>
          <t>Övriga statliga verk och myndigheter</t>
        </is>
      </c>
      <c r="G590" t="n">
        <v>2.2</v>
      </c>
      <c r="H590" t="n">
        <v>0</v>
      </c>
      <c r="I590" t="n">
        <v>0</v>
      </c>
      <c r="J590" t="n">
        <v>0</v>
      </c>
      <c r="K590" t="n">
        <v>0</v>
      </c>
      <c r="L590" t="n">
        <v>0</v>
      </c>
      <c r="M590" t="n">
        <v>0</v>
      </c>
      <c r="N590" t="n">
        <v>0</v>
      </c>
      <c r="O590" t="n">
        <v>0</v>
      </c>
      <c r="P590" t="n">
        <v>0</v>
      </c>
      <c r="Q590" t="n">
        <v>0</v>
      </c>
      <c r="R590" s="2" t="inlineStr"/>
    </row>
    <row r="591" ht="15" customHeight="1">
      <c r="A591" t="inlineStr">
        <is>
          <t>A 66393-2021</t>
        </is>
      </c>
      <c r="B591" s="1" t="n">
        <v>44518</v>
      </c>
      <c r="C591" s="1" t="n">
        <v>46180</v>
      </c>
      <c r="D591" t="inlineStr">
        <is>
          <t>SÖDERMANLANDS LÄN</t>
        </is>
      </c>
      <c r="E591" t="inlineStr">
        <is>
          <t>KATRINEHOLM</t>
        </is>
      </c>
      <c r="F591" t="inlineStr">
        <is>
          <t>Holmen skog AB</t>
        </is>
      </c>
      <c r="G591" t="n">
        <v>0.4</v>
      </c>
      <c r="H591" t="n">
        <v>0</v>
      </c>
      <c r="I591" t="n">
        <v>0</v>
      </c>
      <c r="J591" t="n">
        <v>0</v>
      </c>
      <c r="K591" t="n">
        <v>0</v>
      </c>
      <c r="L591" t="n">
        <v>0</v>
      </c>
      <c r="M591" t="n">
        <v>0</v>
      </c>
      <c r="N591" t="n">
        <v>0</v>
      </c>
      <c r="O591" t="n">
        <v>0</v>
      </c>
      <c r="P591" t="n">
        <v>0</v>
      </c>
      <c r="Q591" t="n">
        <v>0</v>
      </c>
      <c r="R591" s="2" t="inlineStr"/>
    </row>
    <row r="592" ht="15" customHeight="1">
      <c r="A592" t="inlineStr">
        <is>
          <t>A 47134-2022</t>
        </is>
      </c>
      <c r="B592" s="1" t="n">
        <v>44851</v>
      </c>
      <c r="C592" s="1" t="n">
        <v>46180</v>
      </c>
      <c r="D592" t="inlineStr">
        <is>
          <t>SÖDERMANLANDS LÄN</t>
        </is>
      </c>
      <c r="E592" t="inlineStr">
        <is>
          <t>KATRINEHOLM</t>
        </is>
      </c>
      <c r="F592" t="inlineStr">
        <is>
          <t>Övriga statliga verk och myndigheter</t>
        </is>
      </c>
      <c r="G592" t="n">
        <v>1.5</v>
      </c>
      <c r="H592" t="n">
        <v>0</v>
      </c>
      <c r="I592" t="n">
        <v>0</v>
      </c>
      <c r="J592" t="n">
        <v>0</v>
      </c>
      <c r="K592" t="n">
        <v>0</v>
      </c>
      <c r="L592" t="n">
        <v>0</v>
      </c>
      <c r="M592" t="n">
        <v>0</v>
      </c>
      <c r="N592" t="n">
        <v>0</v>
      </c>
      <c r="O592" t="n">
        <v>0</v>
      </c>
      <c r="P592" t="n">
        <v>0</v>
      </c>
      <c r="Q592" t="n">
        <v>0</v>
      </c>
      <c r="R592" s="2" t="inlineStr"/>
    </row>
    <row r="593" ht="15" customHeight="1">
      <c r="A593" t="inlineStr">
        <is>
          <t>A 1143-2024</t>
        </is>
      </c>
      <c r="B593" s="1" t="n">
        <v>45302</v>
      </c>
      <c r="C593" s="1" t="n">
        <v>46180</v>
      </c>
      <c r="D593" t="inlineStr">
        <is>
          <t>SÖDERMANLANDS LÄN</t>
        </is>
      </c>
      <c r="E593" t="inlineStr">
        <is>
          <t>KATRINEHOLM</t>
        </is>
      </c>
      <c r="G593" t="n">
        <v>1.7</v>
      </c>
      <c r="H593" t="n">
        <v>0</v>
      </c>
      <c r="I593" t="n">
        <v>0</v>
      </c>
      <c r="J593" t="n">
        <v>0</v>
      </c>
      <c r="K593" t="n">
        <v>0</v>
      </c>
      <c r="L593" t="n">
        <v>0</v>
      </c>
      <c r="M593" t="n">
        <v>0</v>
      </c>
      <c r="N593" t="n">
        <v>0</v>
      </c>
      <c r="O593" t="n">
        <v>0</v>
      </c>
      <c r="P593" t="n">
        <v>0</v>
      </c>
      <c r="Q593" t="n">
        <v>0</v>
      </c>
      <c r="R593" s="2" t="inlineStr"/>
    </row>
    <row r="594" ht="15" customHeight="1">
      <c r="A594" t="inlineStr">
        <is>
          <t>A 3982-2024</t>
        </is>
      </c>
      <c r="B594" s="1" t="n">
        <v>45322</v>
      </c>
      <c r="C594" s="1" t="n">
        <v>46180</v>
      </c>
      <c r="D594" t="inlineStr">
        <is>
          <t>SÖDERMANLANDS LÄN</t>
        </is>
      </c>
      <c r="E594" t="inlineStr">
        <is>
          <t>KATRINEHOLM</t>
        </is>
      </c>
      <c r="G594" t="n">
        <v>3.7</v>
      </c>
      <c r="H594" t="n">
        <v>0</v>
      </c>
      <c r="I594" t="n">
        <v>0</v>
      </c>
      <c r="J594" t="n">
        <v>0</v>
      </c>
      <c r="K594" t="n">
        <v>0</v>
      </c>
      <c r="L594" t="n">
        <v>0</v>
      </c>
      <c r="M594" t="n">
        <v>0</v>
      </c>
      <c r="N594" t="n">
        <v>0</v>
      </c>
      <c r="O594" t="n">
        <v>0</v>
      </c>
      <c r="P594" t="n">
        <v>0</v>
      </c>
      <c r="Q594" t="n">
        <v>0</v>
      </c>
      <c r="R594" s="2" t="inlineStr"/>
    </row>
    <row r="595" ht="15" customHeight="1">
      <c r="A595" t="inlineStr">
        <is>
          <t>A 57263-2022</t>
        </is>
      </c>
      <c r="B595" s="1" t="n">
        <v>44895</v>
      </c>
      <c r="C595" s="1" t="n">
        <v>46180</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28431-2024</t>
        </is>
      </c>
      <c r="B596" s="1" t="n">
        <v>45477.65216435185</v>
      </c>
      <c r="C596" s="1" t="n">
        <v>46180</v>
      </c>
      <c r="D596" t="inlineStr">
        <is>
          <t>SÖDERMANLANDS LÄN</t>
        </is>
      </c>
      <c r="E596" t="inlineStr">
        <is>
          <t>KATRINEHOLM</t>
        </is>
      </c>
      <c r="G596" t="n">
        <v>3.5</v>
      </c>
      <c r="H596" t="n">
        <v>0</v>
      </c>
      <c r="I596" t="n">
        <v>0</v>
      </c>
      <c r="J596" t="n">
        <v>0</v>
      </c>
      <c r="K596" t="n">
        <v>0</v>
      </c>
      <c r="L596" t="n">
        <v>0</v>
      </c>
      <c r="M596" t="n">
        <v>0</v>
      </c>
      <c r="N596" t="n">
        <v>0</v>
      </c>
      <c r="O596" t="n">
        <v>0</v>
      </c>
      <c r="P596" t="n">
        <v>0</v>
      </c>
      <c r="Q596" t="n">
        <v>0</v>
      </c>
      <c r="R596" s="2" t="inlineStr"/>
    </row>
    <row r="597" ht="15" customHeight="1">
      <c r="A597" t="inlineStr">
        <is>
          <t>A 62418-2023</t>
        </is>
      </c>
      <c r="B597" s="1" t="n">
        <v>45268</v>
      </c>
      <c r="C597" s="1" t="n">
        <v>46180</v>
      </c>
      <c r="D597" t="inlineStr">
        <is>
          <t>SÖDERMANLANDS LÄN</t>
        </is>
      </c>
      <c r="E597" t="inlineStr">
        <is>
          <t>KATRINEHOLM</t>
        </is>
      </c>
      <c r="G597" t="n">
        <v>3</v>
      </c>
      <c r="H597" t="n">
        <v>0</v>
      </c>
      <c r="I597" t="n">
        <v>0</v>
      </c>
      <c r="J597" t="n">
        <v>0</v>
      </c>
      <c r="K597" t="n">
        <v>0</v>
      </c>
      <c r="L597" t="n">
        <v>0</v>
      </c>
      <c r="M597" t="n">
        <v>0</v>
      </c>
      <c r="N597" t="n">
        <v>0</v>
      </c>
      <c r="O597" t="n">
        <v>0</v>
      </c>
      <c r="P597" t="n">
        <v>0</v>
      </c>
      <c r="Q597" t="n">
        <v>0</v>
      </c>
      <c r="R597" s="2" t="inlineStr"/>
    </row>
    <row r="598" ht="15" customHeight="1">
      <c r="A598" t="inlineStr">
        <is>
          <t>A 45142-2021</t>
        </is>
      </c>
      <c r="B598" s="1" t="n">
        <v>44439</v>
      </c>
      <c r="C598" s="1" t="n">
        <v>46180</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7191-2023</t>
        </is>
      </c>
      <c r="B599" s="1" t="n">
        <v>44965</v>
      </c>
      <c r="C599" s="1" t="n">
        <v>46180</v>
      </c>
      <c r="D599" t="inlineStr">
        <is>
          <t>SÖDERMANLANDS LÄN</t>
        </is>
      </c>
      <c r="E599" t="inlineStr">
        <is>
          <t>KATRINEHOLM</t>
        </is>
      </c>
      <c r="G599" t="n">
        <v>14.1</v>
      </c>
      <c r="H599" t="n">
        <v>0</v>
      </c>
      <c r="I599" t="n">
        <v>0</v>
      </c>
      <c r="J599" t="n">
        <v>0</v>
      </c>
      <c r="K599" t="n">
        <v>0</v>
      </c>
      <c r="L599" t="n">
        <v>0</v>
      </c>
      <c r="M599" t="n">
        <v>0</v>
      </c>
      <c r="N599" t="n">
        <v>0</v>
      </c>
      <c r="O599" t="n">
        <v>0</v>
      </c>
      <c r="P599" t="n">
        <v>0</v>
      </c>
      <c r="Q599" t="n">
        <v>0</v>
      </c>
      <c r="R599" s="2" t="inlineStr"/>
    </row>
    <row r="600" ht="15" customHeight="1">
      <c r="A600" t="inlineStr">
        <is>
          <t>A 66540-2021</t>
        </is>
      </c>
      <c r="B600" s="1" t="n">
        <v>44519</v>
      </c>
      <c r="C600" s="1" t="n">
        <v>46180</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8394-2024</t>
        </is>
      </c>
      <c r="B601" s="1" t="n">
        <v>45352</v>
      </c>
      <c r="C601" s="1" t="n">
        <v>46180</v>
      </c>
      <c r="D601" t="inlineStr">
        <is>
          <t>SÖDERMANLANDS LÄN</t>
        </is>
      </c>
      <c r="E601" t="inlineStr">
        <is>
          <t>KATRINEHOLM</t>
        </is>
      </c>
      <c r="G601" t="n">
        <v>4</v>
      </c>
      <c r="H601" t="n">
        <v>0</v>
      </c>
      <c r="I601" t="n">
        <v>0</v>
      </c>
      <c r="J601" t="n">
        <v>0</v>
      </c>
      <c r="K601" t="n">
        <v>0</v>
      </c>
      <c r="L601" t="n">
        <v>0</v>
      </c>
      <c r="M601" t="n">
        <v>0</v>
      </c>
      <c r="N601" t="n">
        <v>0</v>
      </c>
      <c r="O601" t="n">
        <v>0</v>
      </c>
      <c r="P601" t="n">
        <v>0</v>
      </c>
      <c r="Q601" t="n">
        <v>0</v>
      </c>
      <c r="R601" s="2" t="inlineStr"/>
    </row>
    <row r="602" ht="15" customHeight="1">
      <c r="A602" t="inlineStr">
        <is>
          <t>A 13658-2023</t>
        </is>
      </c>
      <c r="B602" s="1" t="n">
        <v>45006</v>
      </c>
      <c r="C602" s="1" t="n">
        <v>46180</v>
      </c>
      <c r="D602" t="inlineStr">
        <is>
          <t>SÖDERMANLANDS LÄN</t>
        </is>
      </c>
      <c r="E602" t="inlineStr">
        <is>
          <t>KATRINEHOLM</t>
        </is>
      </c>
      <c r="F602" t="inlineStr">
        <is>
          <t>Kyrkan</t>
        </is>
      </c>
      <c r="G602" t="n">
        <v>24.3</v>
      </c>
      <c r="H602" t="n">
        <v>0</v>
      </c>
      <c r="I602" t="n">
        <v>0</v>
      </c>
      <c r="J602" t="n">
        <v>0</v>
      </c>
      <c r="K602" t="n">
        <v>0</v>
      </c>
      <c r="L602" t="n">
        <v>0</v>
      </c>
      <c r="M602" t="n">
        <v>0</v>
      </c>
      <c r="N602" t="n">
        <v>0</v>
      </c>
      <c r="O602" t="n">
        <v>0</v>
      </c>
      <c r="P602" t="n">
        <v>0</v>
      </c>
      <c r="Q602" t="n">
        <v>0</v>
      </c>
      <c r="R602" s="2" t="inlineStr"/>
    </row>
    <row r="603" ht="15" customHeight="1">
      <c r="A603" t="inlineStr">
        <is>
          <t>A 61385-2023</t>
        </is>
      </c>
      <c r="B603" s="1" t="n">
        <v>45264.64241898148</v>
      </c>
      <c r="C603" s="1" t="n">
        <v>46180</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55825-2022</t>
        </is>
      </c>
      <c r="B604" s="1" t="n">
        <v>44886</v>
      </c>
      <c r="C604" s="1" t="n">
        <v>46180</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55856-2022</t>
        </is>
      </c>
      <c r="B605" s="1" t="n">
        <v>44888</v>
      </c>
      <c r="C605" s="1" t="n">
        <v>46180</v>
      </c>
      <c r="D605" t="inlineStr">
        <is>
          <t>SÖDERMANLANDS LÄN</t>
        </is>
      </c>
      <c r="E605" t="inlineStr">
        <is>
          <t>KATRINEHOLM</t>
        </is>
      </c>
      <c r="G605" t="n">
        <v>5.6</v>
      </c>
      <c r="H605" t="n">
        <v>0</v>
      </c>
      <c r="I605" t="n">
        <v>0</v>
      </c>
      <c r="J605" t="n">
        <v>0</v>
      </c>
      <c r="K605" t="n">
        <v>0</v>
      </c>
      <c r="L605" t="n">
        <v>0</v>
      </c>
      <c r="M605" t="n">
        <v>0</v>
      </c>
      <c r="N605" t="n">
        <v>0</v>
      </c>
      <c r="O605" t="n">
        <v>0</v>
      </c>
      <c r="P605" t="n">
        <v>0</v>
      </c>
      <c r="Q605" t="n">
        <v>0</v>
      </c>
      <c r="R605" s="2" t="inlineStr"/>
    </row>
    <row r="606" ht="15" customHeight="1">
      <c r="A606" t="inlineStr">
        <is>
          <t>A 43513-2023</t>
        </is>
      </c>
      <c r="B606" s="1" t="n">
        <v>45184</v>
      </c>
      <c r="C606" s="1" t="n">
        <v>46180</v>
      </c>
      <c r="D606" t="inlineStr">
        <is>
          <t>SÖDERMANLANDS LÄN</t>
        </is>
      </c>
      <c r="E606" t="inlineStr">
        <is>
          <t>KATRINEHOLM</t>
        </is>
      </c>
      <c r="G606" t="n">
        <v>3.8</v>
      </c>
      <c r="H606" t="n">
        <v>0</v>
      </c>
      <c r="I606" t="n">
        <v>0</v>
      </c>
      <c r="J606" t="n">
        <v>0</v>
      </c>
      <c r="K606" t="n">
        <v>0</v>
      </c>
      <c r="L606" t="n">
        <v>0</v>
      </c>
      <c r="M606" t="n">
        <v>0</v>
      </c>
      <c r="N606" t="n">
        <v>0</v>
      </c>
      <c r="O606" t="n">
        <v>0</v>
      </c>
      <c r="P606" t="n">
        <v>0</v>
      </c>
      <c r="Q606" t="n">
        <v>0</v>
      </c>
      <c r="R606" s="2" t="inlineStr"/>
    </row>
    <row r="607" ht="15" customHeight="1">
      <c r="A607" t="inlineStr">
        <is>
          <t>A 8951-2024</t>
        </is>
      </c>
      <c r="B607" s="1" t="n">
        <v>45357.44695601852</v>
      </c>
      <c r="C607" s="1" t="n">
        <v>46180</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8955-2024</t>
        </is>
      </c>
      <c r="B608" s="1" t="n">
        <v>45357.44873842593</v>
      </c>
      <c r="C608" s="1" t="n">
        <v>46180</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15945-2024</t>
        </is>
      </c>
      <c r="B609" s="1" t="n">
        <v>45405.48912037037</v>
      </c>
      <c r="C609" s="1" t="n">
        <v>46180</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4655-2024</t>
        </is>
      </c>
      <c r="B610" s="1" t="n">
        <v>45328</v>
      </c>
      <c r="C610" s="1" t="n">
        <v>46180</v>
      </c>
      <c r="D610" t="inlineStr">
        <is>
          <t>SÖDERMANLANDS LÄN</t>
        </is>
      </c>
      <c r="E610" t="inlineStr">
        <is>
          <t>KATRINEHOLM</t>
        </is>
      </c>
      <c r="G610" t="n">
        <v>17.7</v>
      </c>
      <c r="H610" t="n">
        <v>0</v>
      </c>
      <c r="I610" t="n">
        <v>0</v>
      </c>
      <c r="J610" t="n">
        <v>0</v>
      </c>
      <c r="K610" t="n">
        <v>0</v>
      </c>
      <c r="L610" t="n">
        <v>0</v>
      </c>
      <c r="M610" t="n">
        <v>0</v>
      </c>
      <c r="N610" t="n">
        <v>0</v>
      </c>
      <c r="O610" t="n">
        <v>0</v>
      </c>
      <c r="P610" t="n">
        <v>0</v>
      </c>
      <c r="Q610" t="n">
        <v>0</v>
      </c>
      <c r="R610" s="2" t="inlineStr"/>
    </row>
    <row r="611" ht="15" customHeight="1">
      <c r="A611" t="inlineStr">
        <is>
          <t>A 53387-2023</t>
        </is>
      </c>
      <c r="B611" s="1" t="n">
        <v>45229</v>
      </c>
      <c r="C611" s="1" t="n">
        <v>46180</v>
      </c>
      <c r="D611" t="inlineStr">
        <is>
          <t>SÖDERMANLANDS LÄN</t>
        </is>
      </c>
      <c r="E611" t="inlineStr">
        <is>
          <t>KATRINEHOLM</t>
        </is>
      </c>
      <c r="F611" t="inlineStr">
        <is>
          <t>Kyrkan</t>
        </is>
      </c>
      <c r="G611" t="n">
        <v>7.4</v>
      </c>
      <c r="H611" t="n">
        <v>0</v>
      </c>
      <c r="I611" t="n">
        <v>0</v>
      </c>
      <c r="J611" t="n">
        <v>0</v>
      </c>
      <c r="K611" t="n">
        <v>0</v>
      </c>
      <c r="L611" t="n">
        <v>0</v>
      </c>
      <c r="M611" t="n">
        <v>0</v>
      </c>
      <c r="N611" t="n">
        <v>0</v>
      </c>
      <c r="O611" t="n">
        <v>0</v>
      </c>
      <c r="P611" t="n">
        <v>0</v>
      </c>
      <c r="Q611" t="n">
        <v>0</v>
      </c>
      <c r="R611" s="2" t="inlineStr"/>
    </row>
    <row r="612" ht="15" customHeight="1">
      <c r="A612" t="inlineStr">
        <is>
          <t>A 42590-2022</t>
        </is>
      </c>
      <c r="B612" s="1" t="n">
        <v>44831</v>
      </c>
      <c r="C612" s="1" t="n">
        <v>46180</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38883-2024</t>
        </is>
      </c>
      <c r="B613" s="1" t="n">
        <v>45547</v>
      </c>
      <c r="C613" s="1" t="n">
        <v>46180</v>
      </c>
      <c r="D613" t="inlineStr">
        <is>
          <t>SÖDERMANLANDS LÄN</t>
        </is>
      </c>
      <c r="E613" t="inlineStr">
        <is>
          <t>KATRINEHOLM</t>
        </is>
      </c>
      <c r="G613" t="n">
        <v>3.1</v>
      </c>
      <c r="H613" t="n">
        <v>0</v>
      </c>
      <c r="I613" t="n">
        <v>0</v>
      </c>
      <c r="J613" t="n">
        <v>0</v>
      </c>
      <c r="K613" t="n">
        <v>0</v>
      </c>
      <c r="L613" t="n">
        <v>0</v>
      </c>
      <c r="M613" t="n">
        <v>0</v>
      </c>
      <c r="N613" t="n">
        <v>0</v>
      </c>
      <c r="O613" t="n">
        <v>0</v>
      </c>
      <c r="P613" t="n">
        <v>0</v>
      </c>
      <c r="Q613" t="n">
        <v>0</v>
      </c>
      <c r="R613" s="2" t="inlineStr"/>
    </row>
    <row r="614" ht="15" customHeight="1">
      <c r="A614" t="inlineStr">
        <is>
          <t>A 4667-2024</t>
        </is>
      </c>
      <c r="B614" s="1" t="n">
        <v>45328.47</v>
      </c>
      <c r="C614" s="1" t="n">
        <v>46180</v>
      </c>
      <c r="D614" t="inlineStr">
        <is>
          <t>SÖDERMANLANDS LÄN</t>
        </is>
      </c>
      <c r="E614" t="inlineStr">
        <is>
          <t>KATRINEHOLM</t>
        </is>
      </c>
      <c r="F614" t="inlineStr">
        <is>
          <t>Övriga Aktiebolag</t>
        </is>
      </c>
      <c r="G614" t="n">
        <v>10.2</v>
      </c>
      <c r="H614" t="n">
        <v>0</v>
      </c>
      <c r="I614" t="n">
        <v>0</v>
      </c>
      <c r="J614" t="n">
        <v>0</v>
      </c>
      <c r="K614" t="n">
        <v>0</v>
      </c>
      <c r="L614" t="n">
        <v>0</v>
      </c>
      <c r="M614" t="n">
        <v>0</v>
      </c>
      <c r="N614" t="n">
        <v>0</v>
      </c>
      <c r="O614" t="n">
        <v>0</v>
      </c>
      <c r="P614" t="n">
        <v>0</v>
      </c>
      <c r="Q614" t="n">
        <v>0</v>
      </c>
      <c r="R614" s="2" t="inlineStr"/>
    </row>
    <row r="615" ht="15" customHeight="1">
      <c r="A615" t="inlineStr">
        <is>
          <t>A 39704-2023</t>
        </is>
      </c>
      <c r="B615" s="1" t="n">
        <v>45167</v>
      </c>
      <c r="C615" s="1" t="n">
        <v>46180</v>
      </c>
      <c r="D615" t="inlineStr">
        <is>
          <t>SÖDERMANLANDS LÄN</t>
        </is>
      </c>
      <c r="E615" t="inlineStr">
        <is>
          <t>KATRINEHOLM</t>
        </is>
      </c>
      <c r="F615" t="inlineStr">
        <is>
          <t>Övriga Aktiebolag</t>
        </is>
      </c>
      <c r="G615" t="n">
        <v>3.4</v>
      </c>
      <c r="H615" t="n">
        <v>0</v>
      </c>
      <c r="I615" t="n">
        <v>0</v>
      </c>
      <c r="J615" t="n">
        <v>0</v>
      </c>
      <c r="K615" t="n">
        <v>0</v>
      </c>
      <c r="L615" t="n">
        <v>0</v>
      </c>
      <c r="M615" t="n">
        <v>0</v>
      </c>
      <c r="N615" t="n">
        <v>0</v>
      </c>
      <c r="O615" t="n">
        <v>0</v>
      </c>
      <c r="P615" t="n">
        <v>0</v>
      </c>
      <c r="Q615" t="n">
        <v>0</v>
      </c>
      <c r="R615" s="2" t="inlineStr"/>
    </row>
    <row r="616" ht="15" customHeight="1">
      <c r="A616" t="inlineStr">
        <is>
          <t>A 16087-2023</t>
        </is>
      </c>
      <c r="B616" s="1" t="n">
        <v>45026</v>
      </c>
      <c r="C616" s="1" t="n">
        <v>46180</v>
      </c>
      <c r="D616" t="inlineStr">
        <is>
          <t>SÖDERMANLANDS LÄN</t>
        </is>
      </c>
      <c r="E616" t="inlineStr">
        <is>
          <t>KATRINEHOLM</t>
        </is>
      </c>
      <c r="G616" t="n">
        <v>2</v>
      </c>
      <c r="H616" t="n">
        <v>0</v>
      </c>
      <c r="I616" t="n">
        <v>0</v>
      </c>
      <c r="J616" t="n">
        <v>0</v>
      </c>
      <c r="K616" t="n">
        <v>0</v>
      </c>
      <c r="L616" t="n">
        <v>0</v>
      </c>
      <c r="M616" t="n">
        <v>0</v>
      </c>
      <c r="N616" t="n">
        <v>0</v>
      </c>
      <c r="O616" t="n">
        <v>0</v>
      </c>
      <c r="P616" t="n">
        <v>0</v>
      </c>
      <c r="Q616" t="n">
        <v>0</v>
      </c>
      <c r="R616" s="2" t="inlineStr"/>
    </row>
    <row r="617" ht="15" customHeight="1">
      <c r="A617" t="inlineStr">
        <is>
          <t>A 28652-2024</t>
        </is>
      </c>
      <c r="B617" s="1" t="n">
        <v>45478</v>
      </c>
      <c r="C617" s="1" t="n">
        <v>46180</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42791-2023</t>
        </is>
      </c>
      <c r="B618" s="1" t="n">
        <v>45181.92876157408</v>
      </c>
      <c r="C618" s="1" t="n">
        <v>46180</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42792-2023</t>
        </is>
      </c>
      <c r="B619" s="1" t="n">
        <v>45181.95491898148</v>
      </c>
      <c r="C619" s="1" t="n">
        <v>46180</v>
      </c>
      <c r="D619" t="inlineStr">
        <is>
          <t>SÖDERMANLANDS LÄN</t>
        </is>
      </c>
      <c r="E619" t="inlineStr">
        <is>
          <t>KATRINEHOLM</t>
        </is>
      </c>
      <c r="G619" t="n">
        <v>1.3</v>
      </c>
      <c r="H619" t="n">
        <v>0</v>
      </c>
      <c r="I619" t="n">
        <v>0</v>
      </c>
      <c r="J619" t="n">
        <v>0</v>
      </c>
      <c r="K619" t="n">
        <v>0</v>
      </c>
      <c r="L619" t="n">
        <v>0</v>
      </c>
      <c r="M619" t="n">
        <v>0</v>
      </c>
      <c r="N619" t="n">
        <v>0</v>
      </c>
      <c r="O619" t="n">
        <v>0</v>
      </c>
      <c r="P619" t="n">
        <v>0</v>
      </c>
      <c r="Q619" t="n">
        <v>0</v>
      </c>
      <c r="R619" s="2" t="inlineStr"/>
    </row>
    <row r="620" ht="15" customHeight="1">
      <c r="A620" t="inlineStr">
        <is>
          <t>A 31740-2022</t>
        </is>
      </c>
      <c r="B620" s="1" t="n">
        <v>44776</v>
      </c>
      <c r="C620" s="1" t="n">
        <v>46180</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4679-2023</t>
        </is>
      </c>
      <c r="B621" s="1" t="n">
        <v>44957.44885416667</v>
      </c>
      <c r="C621" s="1" t="n">
        <v>46180</v>
      </c>
      <c r="D621" t="inlineStr">
        <is>
          <t>SÖDERMANLANDS LÄN</t>
        </is>
      </c>
      <c r="E621" t="inlineStr">
        <is>
          <t>KATRINEHOLM</t>
        </is>
      </c>
      <c r="G621" t="n">
        <v>5.3</v>
      </c>
      <c r="H621" t="n">
        <v>0</v>
      </c>
      <c r="I621" t="n">
        <v>0</v>
      </c>
      <c r="J621" t="n">
        <v>0</v>
      </c>
      <c r="K621" t="n">
        <v>0</v>
      </c>
      <c r="L621" t="n">
        <v>0</v>
      </c>
      <c r="M621" t="n">
        <v>0</v>
      </c>
      <c r="N621" t="n">
        <v>0</v>
      </c>
      <c r="O621" t="n">
        <v>0</v>
      </c>
      <c r="P621" t="n">
        <v>0</v>
      </c>
      <c r="Q621" t="n">
        <v>0</v>
      </c>
      <c r="R621" s="2" t="inlineStr"/>
    </row>
    <row r="622" ht="15" customHeight="1">
      <c r="A622" t="inlineStr">
        <is>
          <t>A 48528-2021</t>
        </is>
      </c>
      <c r="B622" s="1" t="n">
        <v>44449</v>
      </c>
      <c r="C622" s="1" t="n">
        <v>46180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48398-2022</t>
        </is>
      </c>
      <c r="B623" s="1" t="n">
        <v>44858.60809027778</v>
      </c>
      <c r="C623" s="1" t="n">
        <v>46180</v>
      </c>
      <c r="D623" t="inlineStr">
        <is>
          <t>SÖDERMANLANDS LÄN</t>
        </is>
      </c>
      <c r="E623" t="inlineStr">
        <is>
          <t>KATRINEHOLM</t>
        </is>
      </c>
      <c r="G623" t="n">
        <v>1.9</v>
      </c>
      <c r="H623" t="n">
        <v>0</v>
      </c>
      <c r="I623" t="n">
        <v>0</v>
      </c>
      <c r="J623" t="n">
        <v>0</v>
      </c>
      <c r="K623" t="n">
        <v>0</v>
      </c>
      <c r="L623" t="n">
        <v>0</v>
      </c>
      <c r="M623" t="n">
        <v>0</v>
      </c>
      <c r="N623" t="n">
        <v>0</v>
      </c>
      <c r="O623" t="n">
        <v>0</v>
      </c>
      <c r="P623" t="n">
        <v>0</v>
      </c>
      <c r="Q623" t="n">
        <v>0</v>
      </c>
      <c r="R623" s="2" t="inlineStr"/>
    </row>
    <row r="624" ht="15" customHeight="1">
      <c r="A624" t="inlineStr">
        <is>
          <t>A 6753-2022</t>
        </is>
      </c>
      <c r="B624" s="1" t="n">
        <v>44602</v>
      </c>
      <c r="C624" s="1" t="n">
        <v>46180</v>
      </c>
      <c r="D624" t="inlineStr">
        <is>
          <t>SÖDERMANLANDS LÄN</t>
        </is>
      </c>
      <c r="E624" t="inlineStr">
        <is>
          <t>KATRINEHOLM</t>
        </is>
      </c>
      <c r="G624" t="n">
        <v>4.3</v>
      </c>
      <c r="H624" t="n">
        <v>0</v>
      </c>
      <c r="I624" t="n">
        <v>0</v>
      </c>
      <c r="J624" t="n">
        <v>0</v>
      </c>
      <c r="K624" t="n">
        <v>0</v>
      </c>
      <c r="L624" t="n">
        <v>0</v>
      </c>
      <c r="M624" t="n">
        <v>0</v>
      </c>
      <c r="N624" t="n">
        <v>0</v>
      </c>
      <c r="O624" t="n">
        <v>0</v>
      </c>
      <c r="P624" t="n">
        <v>0</v>
      </c>
      <c r="Q624" t="n">
        <v>0</v>
      </c>
      <c r="R624" s="2" t="inlineStr"/>
    </row>
    <row r="625" ht="15" customHeight="1">
      <c r="A625" t="inlineStr">
        <is>
          <t>A 15184-2023</t>
        </is>
      </c>
      <c r="B625" s="1" t="n">
        <v>45016</v>
      </c>
      <c r="C625" s="1" t="n">
        <v>46180</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38826-2021</t>
        </is>
      </c>
      <c r="B626" s="1" t="n">
        <v>44411</v>
      </c>
      <c r="C626" s="1" t="n">
        <v>46180</v>
      </c>
      <c r="D626" t="inlineStr">
        <is>
          <t>SÖDERMANLANDS LÄN</t>
        </is>
      </c>
      <c r="E626" t="inlineStr">
        <is>
          <t>KATRINEHOLM</t>
        </is>
      </c>
      <c r="G626" t="n">
        <v>3.1</v>
      </c>
      <c r="H626" t="n">
        <v>0</v>
      </c>
      <c r="I626" t="n">
        <v>0</v>
      </c>
      <c r="J626" t="n">
        <v>0</v>
      </c>
      <c r="K626" t="n">
        <v>0</v>
      </c>
      <c r="L626" t="n">
        <v>0</v>
      </c>
      <c r="M626" t="n">
        <v>0</v>
      </c>
      <c r="N626" t="n">
        <v>0</v>
      </c>
      <c r="O626" t="n">
        <v>0</v>
      </c>
      <c r="P626" t="n">
        <v>0</v>
      </c>
      <c r="Q626" t="n">
        <v>0</v>
      </c>
      <c r="R626" s="2" t="inlineStr"/>
    </row>
    <row r="627" ht="15" customHeight="1">
      <c r="A627" t="inlineStr">
        <is>
          <t>A 29830-2023</t>
        </is>
      </c>
      <c r="B627" s="1" t="n">
        <v>45107</v>
      </c>
      <c r="C627" s="1" t="n">
        <v>46180</v>
      </c>
      <c r="D627" t="inlineStr">
        <is>
          <t>SÖDERMANLANDS LÄN</t>
        </is>
      </c>
      <c r="E627" t="inlineStr">
        <is>
          <t>KATRINEHOLM</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19098-2022</t>
        </is>
      </c>
      <c r="B628" s="1" t="n">
        <v>44691.52616898148</v>
      </c>
      <c r="C628" s="1" t="n">
        <v>46180</v>
      </c>
      <c r="D628" t="inlineStr">
        <is>
          <t>SÖDERMANLANDS LÄN</t>
        </is>
      </c>
      <c r="E628" t="inlineStr">
        <is>
          <t>KATRINEHOLM</t>
        </is>
      </c>
      <c r="G628" t="n">
        <v>5.5</v>
      </c>
      <c r="H628" t="n">
        <v>0</v>
      </c>
      <c r="I628" t="n">
        <v>0</v>
      </c>
      <c r="J628" t="n">
        <v>0</v>
      </c>
      <c r="K628" t="n">
        <v>0</v>
      </c>
      <c r="L628" t="n">
        <v>0</v>
      </c>
      <c r="M628" t="n">
        <v>0</v>
      </c>
      <c r="N628" t="n">
        <v>0</v>
      </c>
      <c r="O628" t="n">
        <v>0</v>
      </c>
      <c r="P628" t="n">
        <v>0</v>
      </c>
      <c r="Q628" t="n">
        <v>0</v>
      </c>
      <c r="R628" s="2" t="inlineStr"/>
    </row>
    <row r="629" ht="15" customHeight="1">
      <c r="A629" t="inlineStr">
        <is>
          <t>A 6628-2022</t>
        </is>
      </c>
      <c r="B629" s="1" t="n">
        <v>44601.78850694445</v>
      </c>
      <c r="C629" s="1" t="n">
        <v>46180</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23753-2026</t>
        </is>
      </c>
      <c r="B630" s="1" t="n">
        <v>46164.54834490741</v>
      </c>
      <c r="C630" s="1" t="n">
        <v>46180</v>
      </c>
      <c r="D630" t="inlineStr">
        <is>
          <t>SÖDERMANLANDS LÄN</t>
        </is>
      </c>
      <c r="E630" t="inlineStr">
        <is>
          <t>KATRINEHOLM</t>
        </is>
      </c>
      <c r="G630" t="n">
        <v>24.4</v>
      </c>
      <c r="H630" t="n">
        <v>0</v>
      </c>
      <c r="I630" t="n">
        <v>0</v>
      </c>
      <c r="J630" t="n">
        <v>0</v>
      </c>
      <c r="K630" t="n">
        <v>0</v>
      </c>
      <c r="L630" t="n">
        <v>0</v>
      </c>
      <c r="M630" t="n">
        <v>0</v>
      </c>
      <c r="N630" t="n">
        <v>0</v>
      </c>
      <c r="O630" t="n">
        <v>0</v>
      </c>
      <c r="P630" t="n">
        <v>0</v>
      </c>
      <c r="Q630" t="n">
        <v>0</v>
      </c>
      <c r="R630" s="2" t="inlineStr"/>
    </row>
    <row r="631" ht="15" customHeight="1">
      <c r="A631" t="inlineStr">
        <is>
          <t>A 72984-2021</t>
        </is>
      </c>
      <c r="B631" s="1" t="n">
        <v>44549.74741898148</v>
      </c>
      <c r="C631" s="1" t="n">
        <v>46180</v>
      </c>
      <c r="D631" t="inlineStr">
        <is>
          <t>SÖDERMANLANDS LÄN</t>
        </is>
      </c>
      <c r="E631" t="inlineStr">
        <is>
          <t>KATRINEHOLM</t>
        </is>
      </c>
      <c r="G631" t="n">
        <v>4.9</v>
      </c>
      <c r="H631" t="n">
        <v>0</v>
      </c>
      <c r="I631" t="n">
        <v>0</v>
      </c>
      <c r="J631" t="n">
        <v>0</v>
      </c>
      <c r="K631" t="n">
        <v>0</v>
      </c>
      <c r="L631" t="n">
        <v>0</v>
      </c>
      <c r="M631" t="n">
        <v>0</v>
      </c>
      <c r="N631" t="n">
        <v>0</v>
      </c>
      <c r="O631" t="n">
        <v>0</v>
      </c>
      <c r="P631" t="n">
        <v>0</v>
      </c>
      <c r="Q631" t="n">
        <v>0</v>
      </c>
      <c r="R631" s="2" t="inlineStr"/>
    </row>
    <row r="632" ht="15" customHeight="1">
      <c r="A632" t="inlineStr">
        <is>
          <t>A 22509-2026</t>
        </is>
      </c>
      <c r="B632" s="1" t="n">
        <v>46155</v>
      </c>
      <c r="C632" s="1" t="n">
        <v>46180</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49743-2025</t>
        </is>
      </c>
      <c r="B633" s="1" t="n">
        <v>45940</v>
      </c>
      <c r="C633" s="1" t="n">
        <v>46180</v>
      </c>
      <c r="D633" t="inlineStr">
        <is>
          <t>SÖDERMANLANDS LÄN</t>
        </is>
      </c>
      <c r="E633" t="inlineStr">
        <is>
          <t>KATRINEHOLM</t>
        </is>
      </c>
      <c r="G633" t="n">
        <v>1.1</v>
      </c>
      <c r="H633" t="n">
        <v>0</v>
      </c>
      <c r="I633" t="n">
        <v>0</v>
      </c>
      <c r="J633" t="n">
        <v>0</v>
      </c>
      <c r="K633" t="n">
        <v>0</v>
      </c>
      <c r="L633" t="n">
        <v>0</v>
      </c>
      <c r="M633" t="n">
        <v>0</v>
      </c>
      <c r="N633" t="n">
        <v>0</v>
      </c>
      <c r="O633" t="n">
        <v>0</v>
      </c>
      <c r="P633" t="n">
        <v>0</v>
      </c>
      <c r="Q633" t="n">
        <v>0</v>
      </c>
      <c r="R633" s="2" t="inlineStr"/>
    </row>
    <row r="634" ht="15" customHeight="1">
      <c r="A634" t="inlineStr">
        <is>
          <t>A 23806-2026</t>
        </is>
      </c>
      <c r="B634" s="1" t="n">
        <v>46164.63711805556</v>
      </c>
      <c r="C634" s="1" t="n">
        <v>46180</v>
      </c>
      <c r="D634" t="inlineStr">
        <is>
          <t>SÖDERMANLANDS LÄN</t>
        </is>
      </c>
      <c r="E634" t="inlineStr">
        <is>
          <t>KATRINEHOLM</t>
        </is>
      </c>
      <c r="G634" t="n">
        <v>0.5</v>
      </c>
      <c r="H634" t="n">
        <v>0</v>
      </c>
      <c r="I634" t="n">
        <v>0</v>
      </c>
      <c r="J634" t="n">
        <v>0</v>
      </c>
      <c r="K634" t="n">
        <v>0</v>
      </c>
      <c r="L634" t="n">
        <v>0</v>
      </c>
      <c r="M634" t="n">
        <v>0</v>
      </c>
      <c r="N634" t="n">
        <v>0</v>
      </c>
      <c r="O634" t="n">
        <v>0</v>
      </c>
      <c r="P634" t="n">
        <v>0</v>
      </c>
      <c r="Q634" t="n">
        <v>0</v>
      </c>
      <c r="R634" s="2" t="inlineStr"/>
    </row>
    <row r="635" ht="15" customHeight="1">
      <c r="A635" t="inlineStr">
        <is>
          <t>A 2325-2023</t>
        </is>
      </c>
      <c r="B635" s="1" t="n">
        <v>44942</v>
      </c>
      <c r="C635" s="1" t="n">
        <v>46180</v>
      </c>
      <c r="D635" t="inlineStr">
        <is>
          <t>SÖDERMANLANDS LÄN</t>
        </is>
      </c>
      <c r="E635" t="inlineStr">
        <is>
          <t>KATRINEHOLM</t>
        </is>
      </c>
      <c r="G635" t="n">
        <v>5.6</v>
      </c>
      <c r="H635" t="n">
        <v>0</v>
      </c>
      <c r="I635" t="n">
        <v>0</v>
      </c>
      <c r="J635" t="n">
        <v>0</v>
      </c>
      <c r="K635" t="n">
        <v>0</v>
      </c>
      <c r="L635" t="n">
        <v>0</v>
      </c>
      <c r="M635" t="n">
        <v>0</v>
      </c>
      <c r="N635" t="n">
        <v>0</v>
      </c>
      <c r="O635" t="n">
        <v>0</v>
      </c>
      <c r="P635" t="n">
        <v>0</v>
      </c>
      <c r="Q635" t="n">
        <v>0</v>
      </c>
      <c r="R635" s="2" t="inlineStr"/>
    </row>
    <row r="636" ht="15" customHeight="1">
      <c r="A636" t="inlineStr">
        <is>
          <t>A 46011-2021</t>
        </is>
      </c>
      <c r="B636" s="1" t="n">
        <v>44441.88092592593</v>
      </c>
      <c r="C636" s="1" t="n">
        <v>46180</v>
      </c>
      <c r="D636" t="inlineStr">
        <is>
          <t>SÖDERMANLANDS LÄN</t>
        </is>
      </c>
      <c r="E636" t="inlineStr">
        <is>
          <t>KATRINEHOLM</t>
        </is>
      </c>
      <c r="G636" t="n">
        <v>4.7</v>
      </c>
      <c r="H636" t="n">
        <v>0</v>
      </c>
      <c r="I636" t="n">
        <v>0</v>
      </c>
      <c r="J636" t="n">
        <v>0</v>
      </c>
      <c r="K636" t="n">
        <v>0</v>
      </c>
      <c r="L636" t="n">
        <v>0</v>
      </c>
      <c r="M636" t="n">
        <v>0</v>
      </c>
      <c r="N636" t="n">
        <v>0</v>
      </c>
      <c r="O636" t="n">
        <v>0</v>
      </c>
      <c r="P636" t="n">
        <v>0</v>
      </c>
      <c r="Q636" t="n">
        <v>0</v>
      </c>
      <c r="R636" s="2" t="inlineStr"/>
    </row>
    <row r="637" ht="15" customHeight="1">
      <c r="A637" t="inlineStr">
        <is>
          <t>A 18314-2026</t>
        </is>
      </c>
      <c r="B637" s="1" t="n">
        <v>46126.47289351852</v>
      </c>
      <c r="C637" s="1" t="n">
        <v>46180</v>
      </c>
      <c r="D637" t="inlineStr">
        <is>
          <t>SÖDERMANLANDS LÄN</t>
        </is>
      </c>
      <c r="E637" t="inlineStr">
        <is>
          <t>KATRINEHOLM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18300-2026</t>
        </is>
      </c>
      <c r="B638" s="1" t="n">
        <v>46126.45106481481</v>
      </c>
      <c r="C638" s="1" t="n">
        <v>46180</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18301-2026</t>
        </is>
      </c>
      <c r="B639" s="1" t="n">
        <v>46126.45259259259</v>
      </c>
      <c r="C639" s="1" t="n">
        <v>46180</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18302-2026</t>
        </is>
      </c>
      <c r="B640" s="1" t="n">
        <v>46126.45408564815</v>
      </c>
      <c r="C640" s="1" t="n">
        <v>46180</v>
      </c>
      <c r="D640" t="inlineStr">
        <is>
          <t>SÖDERMANLANDS LÄN</t>
        </is>
      </c>
      <c r="E640" t="inlineStr">
        <is>
          <t>KATRINEHOLM</t>
        </is>
      </c>
      <c r="G640" t="n">
        <v>3.5</v>
      </c>
      <c r="H640" t="n">
        <v>0</v>
      </c>
      <c r="I640" t="n">
        <v>0</v>
      </c>
      <c r="J640" t="n">
        <v>0</v>
      </c>
      <c r="K640" t="n">
        <v>0</v>
      </c>
      <c r="L640" t="n">
        <v>0</v>
      </c>
      <c r="M640" t="n">
        <v>0</v>
      </c>
      <c r="N640" t="n">
        <v>0</v>
      </c>
      <c r="O640" t="n">
        <v>0</v>
      </c>
      <c r="P640" t="n">
        <v>0</v>
      </c>
      <c r="Q640" t="n">
        <v>0</v>
      </c>
      <c r="R640" s="2" t="inlineStr"/>
    </row>
    <row r="641" ht="15" customHeight="1">
      <c r="A641" t="inlineStr">
        <is>
          <t>A 62140-2022</t>
        </is>
      </c>
      <c r="B641" s="1" t="n">
        <v>44922</v>
      </c>
      <c r="C641" s="1" t="n">
        <v>46180</v>
      </c>
      <c r="D641" t="inlineStr">
        <is>
          <t>SÖDERMANLANDS LÄN</t>
        </is>
      </c>
      <c r="E641" t="inlineStr">
        <is>
          <t>KATRINEHOLM</t>
        </is>
      </c>
      <c r="F641" t="inlineStr">
        <is>
          <t>Övriga Aktiebolag</t>
        </is>
      </c>
      <c r="G641" t="n">
        <v>2.4</v>
      </c>
      <c r="H641" t="n">
        <v>0</v>
      </c>
      <c r="I641" t="n">
        <v>0</v>
      </c>
      <c r="J641" t="n">
        <v>0</v>
      </c>
      <c r="K641" t="n">
        <v>0</v>
      </c>
      <c r="L641" t="n">
        <v>0</v>
      </c>
      <c r="M641" t="n">
        <v>0</v>
      </c>
      <c r="N641" t="n">
        <v>0</v>
      </c>
      <c r="O641" t="n">
        <v>0</v>
      </c>
      <c r="P641" t="n">
        <v>0</v>
      </c>
      <c r="Q641" t="n">
        <v>0</v>
      </c>
      <c r="R641" s="2" t="inlineStr"/>
    </row>
    <row r="642" ht="15" customHeight="1">
      <c r="A642" t="inlineStr">
        <is>
          <t>A 18383-2026</t>
        </is>
      </c>
      <c r="B642" s="1" t="n">
        <v>46126.64174768519</v>
      </c>
      <c r="C642" s="1" t="n">
        <v>46180</v>
      </c>
      <c r="D642" t="inlineStr">
        <is>
          <t>SÖDERMANLANDS LÄN</t>
        </is>
      </c>
      <c r="E642" t="inlineStr">
        <is>
          <t>KATRINEHOLM</t>
        </is>
      </c>
      <c r="G642" t="n">
        <v>2.4</v>
      </c>
      <c r="H642" t="n">
        <v>0</v>
      </c>
      <c r="I642" t="n">
        <v>0</v>
      </c>
      <c r="J642" t="n">
        <v>0</v>
      </c>
      <c r="K642" t="n">
        <v>0</v>
      </c>
      <c r="L642" t="n">
        <v>0</v>
      </c>
      <c r="M642" t="n">
        <v>0</v>
      </c>
      <c r="N642" t="n">
        <v>0</v>
      </c>
      <c r="O642" t="n">
        <v>0</v>
      </c>
      <c r="P642" t="n">
        <v>0</v>
      </c>
      <c r="Q642" t="n">
        <v>0</v>
      </c>
      <c r="R642" s="2" t="inlineStr"/>
    </row>
    <row r="643" ht="15" customHeight="1">
      <c r="A643" t="inlineStr">
        <is>
          <t>A 18306-2026</t>
        </is>
      </c>
      <c r="B643" s="1" t="n">
        <v>46126.46039351852</v>
      </c>
      <c r="C643" s="1" t="n">
        <v>46180</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33934-2022</t>
        </is>
      </c>
      <c r="B644" s="1" t="n">
        <v>44790</v>
      </c>
      <c r="C644" s="1" t="n">
        <v>46180</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13171-2024</t>
        </is>
      </c>
      <c r="B645" s="1" t="n">
        <v>45386</v>
      </c>
      <c r="C645" s="1" t="n">
        <v>46180</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59384-2022</t>
        </is>
      </c>
      <c r="B646" s="1" t="n">
        <v>44905</v>
      </c>
      <c r="C646" s="1" t="n">
        <v>46180</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13086-2023</t>
        </is>
      </c>
      <c r="B647" s="1" t="n">
        <v>45002.42188657408</v>
      </c>
      <c r="C647" s="1" t="n">
        <v>46180</v>
      </c>
      <c r="D647" t="inlineStr">
        <is>
          <t>SÖDERMANLANDS LÄN</t>
        </is>
      </c>
      <c r="E647" t="inlineStr">
        <is>
          <t>KATRINEHOLM</t>
        </is>
      </c>
      <c r="G647" t="n">
        <v>2.2</v>
      </c>
      <c r="H647" t="n">
        <v>0</v>
      </c>
      <c r="I647" t="n">
        <v>0</v>
      </c>
      <c r="J647" t="n">
        <v>0</v>
      </c>
      <c r="K647" t="n">
        <v>0</v>
      </c>
      <c r="L647" t="n">
        <v>0</v>
      </c>
      <c r="M647" t="n">
        <v>0</v>
      </c>
      <c r="N647" t="n">
        <v>0</v>
      </c>
      <c r="O647" t="n">
        <v>0</v>
      </c>
      <c r="P647" t="n">
        <v>0</v>
      </c>
      <c r="Q647" t="n">
        <v>0</v>
      </c>
      <c r="R647" s="2" t="inlineStr"/>
    </row>
    <row r="648" ht="15" customHeight="1">
      <c r="A648" t="inlineStr">
        <is>
          <t>A 19670-2022</t>
        </is>
      </c>
      <c r="B648" s="1" t="n">
        <v>44694</v>
      </c>
      <c r="C648" s="1" t="n">
        <v>46180</v>
      </c>
      <c r="D648" t="inlineStr">
        <is>
          <t>SÖDERMANLANDS LÄN</t>
        </is>
      </c>
      <c r="E648" t="inlineStr">
        <is>
          <t>KATRINEHOLM</t>
        </is>
      </c>
      <c r="G648" t="n">
        <v>13.6</v>
      </c>
      <c r="H648" t="n">
        <v>0</v>
      </c>
      <c r="I648" t="n">
        <v>0</v>
      </c>
      <c r="J648" t="n">
        <v>0</v>
      </c>
      <c r="K648" t="n">
        <v>0</v>
      </c>
      <c r="L648" t="n">
        <v>0</v>
      </c>
      <c r="M648" t="n">
        <v>0</v>
      </c>
      <c r="N648" t="n">
        <v>0</v>
      </c>
      <c r="O648" t="n">
        <v>0</v>
      </c>
      <c r="P648" t="n">
        <v>0</v>
      </c>
      <c r="Q648" t="n">
        <v>0</v>
      </c>
      <c r="R648" s="2" t="inlineStr"/>
    </row>
    <row r="649" ht="15" customHeight="1">
      <c r="A649" t="inlineStr">
        <is>
          <t>A 19107-2022</t>
        </is>
      </c>
      <c r="B649" s="1" t="n">
        <v>44691.54077546296</v>
      </c>
      <c r="C649" s="1" t="n">
        <v>46180</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18308-2026</t>
        </is>
      </c>
      <c r="B650" s="1" t="n">
        <v>46126.46175925926</v>
      </c>
      <c r="C650" s="1" t="n">
        <v>46180</v>
      </c>
      <c r="D650" t="inlineStr">
        <is>
          <t>SÖDERMANLANDS LÄN</t>
        </is>
      </c>
      <c r="E650" t="inlineStr">
        <is>
          <t>KATRINEHOLM</t>
        </is>
      </c>
      <c r="G650" t="n">
        <v>4.2</v>
      </c>
      <c r="H650" t="n">
        <v>0</v>
      </c>
      <c r="I650" t="n">
        <v>0</v>
      </c>
      <c r="J650" t="n">
        <v>0</v>
      </c>
      <c r="K650" t="n">
        <v>0</v>
      </c>
      <c r="L650" t="n">
        <v>0</v>
      </c>
      <c r="M650" t="n">
        <v>0</v>
      </c>
      <c r="N650" t="n">
        <v>0</v>
      </c>
      <c r="O650" t="n">
        <v>0</v>
      </c>
      <c r="P650" t="n">
        <v>0</v>
      </c>
      <c r="Q650" t="n">
        <v>0</v>
      </c>
      <c r="R650" s="2" t="inlineStr"/>
    </row>
    <row r="651" ht="15" customHeight="1">
      <c r="A651" t="inlineStr">
        <is>
          <t>A 18316-2026</t>
        </is>
      </c>
      <c r="B651" s="1" t="n">
        <v>46126.47670138889</v>
      </c>
      <c r="C651" s="1" t="n">
        <v>46180</v>
      </c>
      <c r="D651" t="inlineStr">
        <is>
          <t>SÖDERMANLANDS LÄN</t>
        </is>
      </c>
      <c r="E651" t="inlineStr">
        <is>
          <t>KATRINEHOLM</t>
        </is>
      </c>
      <c r="G651" t="n">
        <v>2.8</v>
      </c>
      <c r="H651" t="n">
        <v>0</v>
      </c>
      <c r="I651" t="n">
        <v>0</v>
      </c>
      <c r="J651" t="n">
        <v>0</v>
      </c>
      <c r="K651" t="n">
        <v>0</v>
      </c>
      <c r="L651" t="n">
        <v>0</v>
      </c>
      <c r="M651" t="n">
        <v>0</v>
      </c>
      <c r="N651" t="n">
        <v>0</v>
      </c>
      <c r="O651" t="n">
        <v>0</v>
      </c>
      <c r="P651" t="n">
        <v>0</v>
      </c>
      <c r="Q651" t="n">
        <v>0</v>
      </c>
      <c r="R651" s="2" t="inlineStr"/>
    </row>
    <row r="652" ht="15" customHeight="1">
      <c r="A652" t="inlineStr">
        <is>
          <t>A 18384-2026</t>
        </is>
      </c>
      <c r="B652" s="1" t="n">
        <v>46126.64513888889</v>
      </c>
      <c r="C652" s="1" t="n">
        <v>46180</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30333-2023</t>
        </is>
      </c>
      <c r="B653" s="1" t="n">
        <v>45111</v>
      </c>
      <c r="C653" s="1" t="n">
        <v>46180</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6175-2023</t>
        </is>
      </c>
      <c r="B654" s="1" t="n">
        <v>44964</v>
      </c>
      <c r="C654" s="1" t="n">
        <v>46180</v>
      </c>
      <c r="D654" t="inlineStr">
        <is>
          <t>SÖDERMANLANDS LÄN</t>
        </is>
      </c>
      <c r="E654" t="inlineStr">
        <is>
          <t>KATRINEHOLM</t>
        </is>
      </c>
      <c r="G654" t="n">
        <v>11.2</v>
      </c>
      <c r="H654" t="n">
        <v>0</v>
      </c>
      <c r="I654" t="n">
        <v>0</v>
      </c>
      <c r="J654" t="n">
        <v>0</v>
      </c>
      <c r="K654" t="n">
        <v>0</v>
      </c>
      <c r="L654" t="n">
        <v>0</v>
      </c>
      <c r="M654" t="n">
        <v>0</v>
      </c>
      <c r="N654" t="n">
        <v>0</v>
      </c>
      <c r="O654" t="n">
        <v>0</v>
      </c>
      <c r="P654" t="n">
        <v>0</v>
      </c>
      <c r="Q654" t="n">
        <v>0</v>
      </c>
      <c r="R654" s="2" t="inlineStr"/>
    </row>
    <row r="655" ht="15" customHeight="1">
      <c r="A655" t="inlineStr">
        <is>
          <t>A 11875-2023</t>
        </is>
      </c>
      <c r="B655" s="1" t="n">
        <v>44995</v>
      </c>
      <c r="C655" s="1" t="n">
        <v>46180</v>
      </c>
      <c r="D655" t="inlineStr">
        <is>
          <t>SÖDERMANLANDS LÄN</t>
        </is>
      </c>
      <c r="E655" t="inlineStr">
        <is>
          <t>KATRINEHOLM</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24362-2026</t>
        </is>
      </c>
      <c r="B656" s="1" t="n">
        <v>46169</v>
      </c>
      <c r="C656" s="1" t="n">
        <v>46180</v>
      </c>
      <c r="D656" t="inlineStr">
        <is>
          <t>SÖDERMANLANDS LÄN</t>
        </is>
      </c>
      <c r="E656" t="inlineStr">
        <is>
          <t>KATRINEHOLM</t>
        </is>
      </c>
      <c r="G656" t="n">
        <v>13.5</v>
      </c>
      <c r="H656" t="n">
        <v>0</v>
      </c>
      <c r="I656" t="n">
        <v>0</v>
      </c>
      <c r="J656" t="n">
        <v>0</v>
      </c>
      <c r="K656" t="n">
        <v>0</v>
      </c>
      <c r="L656" t="n">
        <v>0</v>
      </c>
      <c r="M656" t="n">
        <v>0</v>
      </c>
      <c r="N656" t="n">
        <v>0</v>
      </c>
      <c r="O656" t="n">
        <v>0</v>
      </c>
      <c r="P656" t="n">
        <v>0</v>
      </c>
      <c r="Q656" t="n">
        <v>0</v>
      </c>
      <c r="R656" s="2" t="inlineStr"/>
    </row>
    <row r="657" ht="15" customHeight="1">
      <c r="A657" t="inlineStr">
        <is>
          <t>A 6796-2022</t>
        </is>
      </c>
      <c r="B657" s="1" t="n">
        <v>44602</v>
      </c>
      <c r="C657" s="1" t="n">
        <v>46180</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13612-2023</t>
        </is>
      </c>
      <c r="B658" s="1" t="n">
        <v>45006</v>
      </c>
      <c r="C658" s="1" t="n">
        <v>46180</v>
      </c>
      <c r="D658" t="inlineStr">
        <is>
          <t>SÖDERMANLANDS LÄN</t>
        </is>
      </c>
      <c r="E658" t="inlineStr">
        <is>
          <t>KATRINEHOLM</t>
        </is>
      </c>
      <c r="G658" t="n">
        <v>2.3</v>
      </c>
      <c r="H658" t="n">
        <v>0</v>
      </c>
      <c r="I658" t="n">
        <v>0</v>
      </c>
      <c r="J658" t="n">
        <v>0</v>
      </c>
      <c r="K658" t="n">
        <v>0</v>
      </c>
      <c r="L658" t="n">
        <v>0</v>
      </c>
      <c r="M658" t="n">
        <v>0</v>
      </c>
      <c r="N658" t="n">
        <v>0</v>
      </c>
      <c r="O658" t="n">
        <v>0</v>
      </c>
      <c r="P658" t="n">
        <v>0</v>
      </c>
      <c r="Q658" t="n">
        <v>0</v>
      </c>
      <c r="R658" s="2" t="inlineStr"/>
    </row>
    <row r="659" ht="15" customHeight="1">
      <c r="A659" t="inlineStr">
        <is>
          <t>A 39068-2022</t>
        </is>
      </c>
      <c r="B659" s="1" t="n">
        <v>44816</v>
      </c>
      <c r="C659" s="1" t="n">
        <v>46180</v>
      </c>
      <c r="D659" t="inlineStr">
        <is>
          <t>SÖDERMANLANDS LÄN</t>
        </is>
      </c>
      <c r="E659" t="inlineStr">
        <is>
          <t>KATRINEHOLM</t>
        </is>
      </c>
      <c r="G659" t="n">
        <v>3.6</v>
      </c>
      <c r="H659" t="n">
        <v>0</v>
      </c>
      <c r="I659" t="n">
        <v>0</v>
      </c>
      <c r="J659" t="n">
        <v>0</v>
      </c>
      <c r="K659" t="n">
        <v>0</v>
      </c>
      <c r="L659" t="n">
        <v>0</v>
      </c>
      <c r="M659" t="n">
        <v>0</v>
      </c>
      <c r="N659" t="n">
        <v>0</v>
      </c>
      <c r="O659" t="n">
        <v>0</v>
      </c>
      <c r="P659" t="n">
        <v>0</v>
      </c>
      <c r="Q659" t="n">
        <v>0</v>
      </c>
      <c r="R659" s="2" t="inlineStr"/>
    </row>
    <row r="660" ht="15" customHeight="1">
      <c r="A660" t="inlineStr">
        <is>
          <t>A 8765-2023</t>
        </is>
      </c>
      <c r="B660" s="1" t="n">
        <v>44978.52131944444</v>
      </c>
      <c r="C660" s="1" t="n">
        <v>46180</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57154-2023</t>
        </is>
      </c>
      <c r="B661" s="1" t="n">
        <v>45245</v>
      </c>
      <c r="C661" s="1" t="n">
        <v>46180</v>
      </c>
      <c r="D661" t="inlineStr">
        <is>
          <t>SÖDERMANLANDS LÄN</t>
        </is>
      </c>
      <c r="E661" t="inlineStr">
        <is>
          <t>KATRINEHOLM</t>
        </is>
      </c>
      <c r="F661" t="inlineStr">
        <is>
          <t>Allmännings- och besparingsskogar</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21959-2022</t>
        </is>
      </c>
      <c r="B662" s="1" t="n">
        <v>44708</v>
      </c>
      <c r="C662" s="1" t="n">
        <v>46180</v>
      </c>
      <c r="D662" t="inlineStr">
        <is>
          <t>SÖDERMANLANDS LÄN</t>
        </is>
      </c>
      <c r="E662" t="inlineStr">
        <is>
          <t>KATRINEHOLM</t>
        </is>
      </c>
      <c r="G662" t="n">
        <v>1.5</v>
      </c>
      <c r="H662" t="n">
        <v>0</v>
      </c>
      <c r="I662" t="n">
        <v>0</v>
      </c>
      <c r="J662" t="n">
        <v>0</v>
      </c>
      <c r="K662" t="n">
        <v>0</v>
      </c>
      <c r="L662" t="n">
        <v>0</v>
      </c>
      <c r="M662" t="n">
        <v>0</v>
      </c>
      <c r="N662" t="n">
        <v>0</v>
      </c>
      <c r="O662" t="n">
        <v>0</v>
      </c>
      <c r="P662" t="n">
        <v>0</v>
      </c>
      <c r="Q662" t="n">
        <v>0</v>
      </c>
      <c r="R662" s="2" t="inlineStr"/>
    </row>
    <row r="663" ht="15" customHeight="1">
      <c r="A663" t="inlineStr">
        <is>
          <t>A 51530-2023</t>
        </is>
      </c>
      <c r="B663" s="1" t="n">
        <v>45222</v>
      </c>
      <c r="C663" s="1" t="n">
        <v>46180</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23916-2023</t>
        </is>
      </c>
      <c r="B664" s="1" t="n">
        <v>45075</v>
      </c>
      <c r="C664" s="1" t="n">
        <v>46180</v>
      </c>
      <c r="D664" t="inlineStr">
        <is>
          <t>SÖDERMANLANDS LÄN</t>
        </is>
      </c>
      <c r="E664" t="inlineStr">
        <is>
          <t>KATRINEHOLM</t>
        </is>
      </c>
      <c r="G664" t="n">
        <v>8</v>
      </c>
      <c r="H664" t="n">
        <v>0</v>
      </c>
      <c r="I664" t="n">
        <v>0</v>
      </c>
      <c r="J664" t="n">
        <v>0</v>
      </c>
      <c r="K664" t="n">
        <v>0</v>
      </c>
      <c r="L664" t="n">
        <v>0</v>
      </c>
      <c r="M664" t="n">
        <v>0</v>
      </c>
      <c r="N664" t="n">
        <v>0</v>
      </c>
      <c r="O664" t="n">
        <v>0</v>
      </c>
      <c r="P664" t="n">
        <v>0</v>
      </c>
      <c r="Q664" t="n">
        <v>0</v>
      </c>
      <c r="R664" s="2" t="inlineStr"/>
    </row>
    <row r="665" ht="15" customHeight="1">
      <c r="A665" t="inlineStr">
        <is>
          <t>A 38879-2024</t>
        </is>
      </c>
      <c r="B665" s="1" t="n">
        <v>45547</v>
      </c>
      <c r="C665" s="1" t="n">
        <v>46180</v>
      </c>
      <c r="D665" t="inlineStr">
        <is>
          <t>SÖDERMANLANDS LÄN</t>
        </is>
      </c>
      <c r="E665" t="inlineStr">
        <is>
          <t>KATRINEHOLM</t>
        </is>
      </c>
      <c r="G665" t="n">
        <v>2.6</v>
      </c>
      <c r="H665" t="n">
        <v>0</v>
      </c>
      <c r="I665" t="n">
        <v>0</v>
      </c>
      <c r="J665" t="n">
        <v>0</v>
      </c>
      <c r="K665" t="n">
        <v>0</v>
      </c>
      <c r="L665" t="n">
        <v>0</v>
      </c>
      <c r="M665" t="n">
        <v>0</v>
      </c>
      <c r="N665" t="n">
        <v>0</v>
      </c>
      <c r="O665" t="n">
        <v>0</v>
      </c>
      <c r="P665" t="n">
        <v>0</v>
      </c>
      <c r="Q665" t="n">
        <v>0</v>
      </c>
      <c r="R665" s="2" t="inlineStr"/>
    </row>
    <row r="666" ht="15" customHeight="1">
      <c r="A666" t="inlineStr">
        <is>
          <t>A 9437-2022</t>
        </is>
      </c>
      <c r="B666" s="1" t="n">
        <v>44616.69246527777</v>
      </c>
      <c r="C666" s="1" t="n">
        <v>46180</v>
      </c>
      <c r="D666" t="inlineStr">
        <is>
          <t>SÖDERMANLANDS LÄN</t>
        </is>
      </c>
      <c r="E666" t="inlineStr">
        <is>
          <t>KATRINEHOLM</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25362-2023</t>
        </is>
      </c>
      <c r="B667" s="1" t="n">
        <v>45088.83430555555</v>
      </c>
      <c r="C667" s="1" t="n">
        <v>46180</v>
      </c>
      <c r="D667" t="inlineStr">
        <is>
          <t>SÖDERMANLANDS LÄN</t>
        </is>
      </c>
      <c r="E667" t="inlineStr">
        <is>
          <t>KATRINEHOLM</t>
        </is>
      </c>
      <c r="G667" t="n">
        <v>1.5</v>
      </c>
      <c r="H667" t="n">
        <v>0</v>
      </c>
      <c r="I667" t="n">
        <v>0</v>
      </c>
      <c r="J667" t="n">
        <v>0</v>
      </c>
      <c r="K667" t="n">
        <v>0</v>
      </c>
      <c r="L667" t="n">
        <v>0</v>
      </c>
      <c r="M667" t="n">
        <v>0</v>
      </c>
      <c r="N667" t="n">
        <v>0</v>
      </c>
      <c r="O667" t="n">
        <v>0</v>
      </c>
      <c r="P667" t="n">
        <v>0</v>
      </c>
      <c r="Q667" t="n">
        <v>0</v>
      </c>
      <c r="R667" s="2" t="inlineStr"/>
    </row>
    <row r="668" ht="15" customHeight="1">
      <c r="A668" t="inlineStr">
        <is>
          <t>A 4662-2023</t>
        </is>
      </c>
      <c r="B668" s="1" t="n">
        <v>44957</v>
      </c>
      <c r="C668" s="1" t="n">
        <v>46180</v>
      </c>
      <c r="D668" t="inlineStr">
        <is>
          <t>SÖDERMANLANDS LÄN</t>
        </is>
      </c>
      <c r="E668" t="inlineStr">
        <is>
          <t>KATRINEHOLM</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19685-2022</t>
        </is>
      </c>
      <c r="B669" s="1" t="n">
        <v>44694</v>
      </c>
      <c r="C669" s="1" t="n">
        <v>46180</v>
      </c>
      <c r="D669" t="inlineStr">
        <is>
          <t>SÖDERMANLANDS LÄN</t>
        </is>
      </c>
      <c r="E669" t="inlineStr">
        <is>
          <t>KATRINEHOLM</t>
        </is>
      </c>
      <c r="G669" t="n">
        <v>1.7</v>
      </c>
      <c r="H669" t="n">
        <v>0</v>
      </c>
      <c r="I669" t="n">
        <v>0</v>
      </c>
      <c r="J669" t="n">
        <v>0</v>
      </c>
      <c r="K669" t="n">
        <v>0</v>
      </c>
      <c r="L669" t="n">
        <v>0</v>
      </c>
      <c r="M669" t="n">
        <v>0</v>
      </c>
      <c r="N669" t="n">
        <v>0</v>
      </c>
      <c r="O669" t="n">
        <v>0</v>
      </c>
      <c r="P669" t="n">
        <v>0</v>
      </c>
      <c r="Q669" t="n">
        <v>0</v>
      </c>
      <c r="R669" s="2" t="inlineStr"/>
    </row>
    <row r="670" ht="15" customHeight="1">
      <c r="A670" t="inlineStr">
        <is>
          <t>A 62419-2023</t>
        </is>
      </c>
      <c r="B670" s="1" t="n">
        <v>45268</v>
      </c>
      <c r="C670" s="1" t="n">
        <v>46180</v>
      </c>
      <c r="D670" t="inlineStr">
        <is>
          <t>SÖDERMANLANDS LÄN</t>
        </is>
      </c>
      <c r="E670" t="inlineStr">
        <is>
          <t>KATRINEHOLM</t>
        </is>
      </c>
      <c r="G670" t="n">
        <v>9</v>
      </c>
      <c r="H670" t="n">
        <v>0</v>
      </c>
      <c r="I670" t="n">
        <v>0</v>
      </c>
      <c r="J670" t="n">
        <v>0</v>
      </c>
      <c r="K670" t="n">
        <v>0</v>
      </c>
      <c r="L670" t="n">
        <v>0</v>
      </c>
      <c r="M670" t="n">
        <v>0</v>
      </c>
      <c r="N670" t="n">
        <v>0</v>
      </c>
      <c r="O670" t="n">
        <v>0</v>
      </c>
      <c r="P670" t="n">
        <v>0</v>
      </c>
      <c r="Q670" t="n">
        <v>0</v>
      </c>
      <c r="R670" s="2" t="inlineStr"/>
    </row>
    <row r="671" ht="15" customHeight="1">
      <c r="A671" t="inlineStr">
        <is>
          <t>A 39897-2023</t>
        </is>
      </c>
      <c r="B671" s="1" t="n">
        <v>45168</v>
      </c>
      <c r="C671" s="1" t="n">
        <v>46180</v>
      </c>
      <c r="D671" t="inlineStr">
        <is>
          <t>SÖDERMANLANDS LÄN</t>
        </is>
      </c>
      <c r="E671" t="inlineStr">
        <is>
          <t>KATRINEHOLM</t>
        </is>
      </c>
      <c r="G671" t="n">
        <v>15.6</v>
      </c>
      <c r="H671" t="n">
        <v>0</v>
      </c>
      <c r="I671" t="n">
        <v>0</v>
      </c>
      <c r="J671" t="n">
        <v>0</v>
      </c>
      <c r="K671" t="n">
        <v>0</v>
      </c>
      <c r="L671" t="n">
        <v>0</v>
      </c>
      <c r="M671" t="n">
        <v>0</v>
      </c>
      <c r="N671" t="n">
        <v>0</v>
      </c>
      <c r="O671" t="n">
        <v>0</v>
      </c>
      <c r="P671" t="n">
        <v>0</v>
      </c>
      <c r="Q671" t="n">
        <v>0</v>
      </c>
      <c r="R671" s="2" t="inlineStr"/>
    </row>
    <row r="672" ht="15" customHeight="1">
      <c r="A672" t="inlineStr">
        <is>
          <t>A 23207-2023</t>
        </is>
      </c>
      <c r="B672" s="1" t="n">
        <v>45071</v>
      </c>
      <c r="C672" s="1" t="n">
        <v>46180</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42025-2022</t>
        </is>
      </c>
      <c r="B673" s="1" t="n">
        <v>44830.47399305556</v>
      </c>
      <c r="C673" s="1" t="n">
        <v>46180</v>
      </c>
      <c r="D673" t="inlineStr">
        <is>
          <t>SÖDERMANLANDS LÄN</t>
        </is>
      </c>
      <c r="E673" t="inlineStr">
        <is>
          <t>KATRINEHOLM</t>
        </is>
      </c>
      <c r="G673" t="n">
        <v>1.5</v>
      </c>
      <c r="H673" t="n">
        <v>0</v>
      </c>
      <c r="I673" t="n">
        <v>0</v>
      </c>
      <c r="J673" t="n">
        <v>0</v>
      </c>
      <c r="K673" t="n">
        <v>0</v>
      </c>
      <c r="L673" t="n">
        <v>0</v>
      </c>
      <c r="M673" t="n">
        <v>0</v>
      </c>
      <c r="N673" t="n">
        <v>0</v>
      </c>
      <c r="O673" t="n">
        <v>0</v>
      </c>
      <c r="P673" t="n">
        <v>0</v>
      </c>
      <c r="Q673" t="n">
        <v>0</v>
      </c>
      <c r="R673" s="2" t="inlineStr"/>
    </row>
    <row r="674" ht="15" customHeight="1">
      <c r="A674" t="inlineStr">
        <is>
          <t>A 8791-2023</t>
        </is>
      </c>
      <c r="B674" s="1" t="n">
        <v>44978</v>
      </c>
      <c r="C674" s="1" t="n">
        <v>46180</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48253-2022</t>
        </is>
      </c>
      <c r="B675" s="1" t="n">
        <v>44858</v>
      </c>
      <c r="C675" s="1" t="n">
        <v>46180</v>
      </c>
      <c r="D675" t="inlineStr">
        <is>
          <t>SÖDERMANLANDS LÄN</t>
        </is>
      </c>
      <c r="E675" t="inlineStr">
        <is>
          <t>KATRINEHOLM</t>
        </is>
      </c>
      <c r="G675" t="n">
        <v>4.7</v>
      </c>
      <c r="H675" t="n">
        <v>0</v>
      </c>
      <c r="I675" t="n">
        <v>0</v>
      </c>
      <c r="J675" t="n">
        <v>0</v>
      </c>
      <c r="K675" t="n">
        <v>0</v>
      </c>
      <c r="L675" t="n">
        <v>0</v>
      </c>
      <c r="M675" t="n">
        <v>0</v>
      </c>
      <c r="N675" t="n">
        <v>0</v>
      </c>
      <c r="O675" t="n">
        <v>0</v>
      </c>
      <c r="P675" t="n">
        <v>0</v>
      </c>
      <c r="Q675" t="n">
        <v>0</v>
      </c>
      <c r="R675" s="2" t="inlineStr"/>
    </row>
    <row r="676" ht="15" customHeight="1">
      <c r="A676" t="inlineStr">
        <is>
          <t>A 53809-2021</t>
        </is>
      </c>
      <c r="B676" s="1" t="n">
        <v>44467</v>
      </c>
      <c r="C676" s="1" t="n">
        <v>46180</v>
      </c>
      <c r="D676" t="inlineStr">
        <is>
          <t>SÖDERMANLANDS LÄN</t>
        </is>
      </c>
      <c r="E676" t="inlineStr">
        <is>
          <t>KATRINEHOLM</t>
        </is>
      </c>
      <c r="G676" t="n">
        <v>7</v>
      </c>
      <c r="H676" t="n">
        <v>0</v>
      </c>
      <c r="I676" t="n">
        <v>0</v>
      </c>
      <c r="J676" t="n">
        <v>0</v>
      </c>
      <c r="K676" t="n">
        <v>0</v>
      </c>
      <c r="L676" t="n">
        <v>0</v>
      </c>
      <c r="M676" t="n">
        <v>0</v>
      </c>
      <c r="N676" t="n">
        <v>0</v>
      </c>
      <c r="O676" t="n">
        <v>0</v>
      </c>
      <c r="P676" t="n">
        <v>0</v>
      </c>
      <c r="Q676" t="n">
        <v>0</v>
      </c>
      <c r="R676" s="2" t="inlineStr"/>
    </row>
    <row r="677" ht="15" customHeight="1">
      <c r="A677" t="inlineStr">
        <is>
          <t>A 31719-2024</t>
        </is>
      </c>
      <c r="B677" s="1" t="n">
        <v>45509</v>
      </c>
      <c r="C677" s="1" t="n">
        <v>46180</v>
      </c>
      <c r="D677" t="inlineStr">
        <is>
          <t>SÖDERMANLANDS LÄN</t>
        </is>
      </c>
      <c r="E677" t="inlineStr">
        <is>
          <t>KATRINEHOLM</t>
        </is>
      </c>
      <c r="F677" t="inlineStr">
        <is>
          <t>Kyrkan</t>
        </is>
      </c>
      <c r="G677" t="n">
        <v>11.9</v>
      </c>
      <c r="H677" t="n">
        <v>0</v>
      </c>
      <c r="I677" t="n">
        <v>0</v>
      </c>
      <c r="J677" t="n">
        <v>0</v>
      </c>
      <c r="K677" t="n">
        <v>0</v>
      </c>
      <c r="L677" t="n">
        <v>0</v>
      </c>
      <c r="M677" t="n">
        <v>0</v>
      </c>
      <c r="N677" t="n">
        <v>0</v>
      </c>
      <c r="O677" t="n">
        <v>0</v>
      </c>
      <c r="P677" t="n">
        <v>0</v>
      </c>
      <c r="Q677" t="n">
        <v>0</v>
      </c>
      <c r="R677" s="2" t="inlineStr"/>
    </row>
    <row r="678" ht="15" customHeight="1">
      <c r="A678" t="inlineStr">
        <is>
          <t>A 13175-2024</t>
        </is>
      </c>
      <c r="B678" s="1" t="n">
        <v>45386</v>
      </c>
      <c r="C678" s="1" t="n">
        <v>46180</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40744-2022</t>
        </is>
      </c>
      <c r="B679" s="1" t="n">
        <v>44824.55655092592</v>
      </c>
      <c r="C679" s="1" t="n">
        <v>46180</v>
      </c>
      <c r="D679" t="inlineStr">
        <is>
          <t>SÖDERMANLANDS LÄN</t>
        </is>
      </c>
      <c r="E679" t="inlineStr">
        <is>
          <t>KATRINEHOLM</t>
        </is>
      </c>
      <c r="G679" t="n">
        <v>3.7</v>
      </c>
      <c r="H679" t="n">
        <v>0</v>
      </c>
      <c r="I679" t="n">
        <v>0</v>
      </c>
      <c r="J679" t="n">
        <v>0</v>
      </c>
      <c r="K679" t="n">
        <v>0</v>
      </c>
      <c r="L679" t="n">
        <v>0</v>
      </c>
      <c r="M679" t="n">
        <v>0</v>
      </c>
      <c r="N679" t="n">
        <v>0</v>
      </c>
      <c r="O679" t="n">
        <v>0</v>
      </c>
      <c r="P679" t="n">
        <v>0</v>
      </c>
      <c r="Q679" t="n">
        <v>0</v>
      </c>
      <c r="R679" s="2" t="inlineStr"/>
    </row>
    <row r="680" ht="15" customHeight="1">
      <c r="A680" t="inlineStr">
        <is>
          <t>A 8761-2023</t>
        </is>
      </c>
      <c r="B680" s="1" t="n">
        <v>44978.49685185185</v>
      </c>
      <c r="C680" s="1" t="n">
        <v>46180</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8778-2023</t>
        </is>
      </c>
      <c r="B681" s="1" t="n">
        <v>44978.5737037037</v>
      </c>
      <c r="C681" s="1" t="n">
        <v>46180</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8457-2023</t>
        </is>
      </c>
      <c r="B682" s="1" t="n">
        <v>44977</v>
      </c>
      <c r="C682" s="1" t="n">
        <v>46180</v>
      </c>
      <c r="D682" t="inlineStr">
        <is>
          <t>SÖDERMANLANDS LÄN</t>
        </is>
      </c>
      <c r="E682" t="inlineStr">
        <is>
          <t>KATRINEHOLM</t>
        </is>
      </c>
      <c r="F682" t="inlineStr">
        <is>
          <t>Allmännings- och besparingsskogar</t>
        </is>
      </c>
      <c r="G682" t="n">
        <v>16.1</v>
      </c>
      <c r="H682" t="n">
        <v>0</v>
      </c>
      <c r="I682" t="n">
        <v>0</v>
      </c>
      <c r="J682" t="n">
        <v>0</v>
      </c>
      <c r="K682" t="n">
        <v>0</v>
      </c>
      <c r="L682" t="n">
        <v>0</v>
      </c>
      <c r="M682" t="n">
        <v>0</v>
      </c>
      <c r="N682" t="n">
        <v>0</v>
      </c>
      <c r="O682" t="n">
        <v>0</v>
      </c>
      <c r="P682" t="n">
        <v>0</v>
      </c>
      <c r="Q682" t="n">
        <v>0</v>
      </c>
      <c r="R682" s="2" t="inlineStr"/>
    </row>
    <row r="683" ht="15" customHeight="1">
      <c r="A683" t="inlineStr">
        <is>
          <t>A 7056-2022</t>
        </is>
      </c>
      <c r="B683" s="1" t="n">
        <v>44603</v>
      </c>
      <c r="C683" s="1" t="n">
        <v>46180</v>
      </c>
      <c r="D683" t="inlineStr">
        <is>
          <t>SÖDERMANLANDS LÄN</t>
        </is>
      </c>
      <c r="E683" t="inlineStr">
        <is>
          <t>KATRINEHOLM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32786-2022</t>
        </is>
      </c>
      <c r="B684" s="1" t="n">
        <v>44784</v>
      </c>
      <c r="C684" s="1" t="n">
        <v>46180</v>
      </c>
      <c r="D684" t="inlineStr">
        <is>
          <t>SÖDERMANLANDS LÄN</t>
        </is>
      </c>
      <c r="E684" t="inlineStr">
        <is>
          <t>KATRINEHOLM</t>
        </is>
      </c>
      <c r="G684" t="n">
        <v>7</v>
      </c>
      <c r="H684" t="n">
        <v>0</v>
      </c>
      <c r="I684" t="n">
        <v>0</v>
      </c>
      <c r="J684" t="n">
        <v>0</v>
      </c>
      <c r="K684" t="n">
        <v>0</v>
      </c>
      <c r="L684" t="n">
        <v>0</v>
      </c>
      <c r="M684" t="n">
        <v>0</v>
      </c>
      <c r="N684" t="n">
        <v>0</v>
      </c>
      <c r="O684" t="n">
        <v>0</v>
      </c>
      <c r="P684" t="n">
        <v>0</v>
      </c>
      <c r="Q684" t="n">
        <v>0</v>
      </c>
      <c r="R684" s="2" t="inlineStr"/>
    </row>
    <row r="685" ht="15" customHeight="1">
      <c r="A685" t="inlineStr">
        <is>
          <t>A 7223-2022</t>
        </is>
      </c>
      <c r="B685" s="1" t="n">
        <v>44603</v>
      </c>
      <c r="C685" s="1" t="n">
        <v>46180</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7459-2022</t>
        </is>
      </c>
      <c r="B686" s="1" t="n">
        <v>44607.35009259259</v>
      </c>
      <c r="C686" s="1" t="n">
        <v>46180</v>
      </c>
      <c r="D686" t="inlineStr">
        <is>
          <t>SÖDERMANLANDS LÄN</t>
        </is>
      </c>
      <c r="E686" t="inlineStr">
        <is>
          <t>KATRINEHOLM</t>
        </is>
      </c>
      <c r="G686" t="n">
        <v>2</v>
      </c>
      <c r="H686" t="n">
        <v>0</v>
      </c>
      <c r="I686" t="n">
        <v>0</v>
      </c>
      <c r="J686" t="n">
        <v>0</v>
      </c>
      <c r="K686" t="n">
        <v>0</v>
      </c>
      <c r="L686" t="n">
        <v>0</v>
      </c>
      <c r="M686" t="n">
        <v>0</v>
      </c>
      <c r="N686" t="n">
        <v>0</v>
      </c>
      <c r="O686" t="n">
        <v>0</v>
      </c>
      <c r="P686" t="n">
        <v>0</v>
      </c>
      <c r="Q686" t="n">
        <v>0</v>
      </c>
      <c r="R686" s="2" t="inlineStr"/>
    </row>
    <row r="687" ht="15" customHeight="1">
      <c r="A687" t="inlineStr">
        <is>
          <t>A 20768-2022</t>
        </is>
      </c>
      <c r="B687" s="1" t="n">
        <v>44701.36431712963</v>
      </c>
      <c r="C687" s="1" t="n">
        <v>46180</v>
      </c>
      <c r="D687" t="inlineStr">
        <is>
          <t>SÖDERMANLANDS LÄN</t>
        </is>
      </c>
      <c r="E687" t="inlineStr">
        <is>
          <t>KATRINEHOLM</t>
        </is>
      </c>
      <c r="G687" t="n">
        <v>3.5</v>
      </c>
      <c r="H687" t="n">
        <v>0</v>
      </c>
      <c r="I687" t="n">
        <v>0</v>
      </c>
      <c r="J687" t="n">
        <v>0</v>
      </c>
      <c r="K687" t="n">
        <v>0</v>
      </c>
      <c r="L687" t="n">
        <v>0</v>
      </c>
      <c r="M687" t="n">
        <v>0</v>
      </c>
      <c r="N687" t="n">
        <v>0</v>
      </c>
      <c r="O687" t="n">
        <v>0</v>
      </c>
      <c r="P687" t="n">
        <v>0</v>
      </c>
      <c r="Q687" t="n">
        <v>0</v>
      </c>
      <c r="R687" s="2" t="inlineStr"/>
    </row>
    <row r="688" ht="15" customHeight="1">
      <c r="A688" t="inlineStr">
        <is>
          <t>A 15284-2023</t>
        </is>
      </c>
      <c r="B688" s="1" t="n">
        <v>45019</v>
      </c>
      <c r="C688" s="1" t="n">
        <v>46180</v>
      </c>
      <c r="D688" t="inlineStr">
        <is>
          <t>SÖDERMANLANDS LÄN</t>
        </is>
      </c>
      <c r="E688" t="inlineStr">
        <is>
          <t>KATRINEHOLM</t>
        </is>
      </c>
      <c r="F688" t="inlineStr">
        <is>
          <t>Allmännings- och besparingsskogar</t>
        </is>
      </c>
      <c r="G688" t="n">
        <v>17.4</v>
      </c>
      <c r="H688" t="n">
        <v>0</v>
      </c>
      <c r="I688" t="n">
        <v>0</v>
      </c>
      <c r="J688" t="n">
        <v>0</v>
      </c>
      <c r="K688" t="n">
        <v>0</v>
      </c>
      <c r="L688" t="n">
        <v>0</v>
      </c>
      <c r="M688" t="n">
        <v>0</v>
      </c>
      <c r="N688" t="n">
        <v>0</v>
      </c>
      <c r="O688" t="n">
        <v>0</v>
      </c>
      <c r="P688" t="n">
        <v>0</v>
      </c>
      <c r="Q688" t="n">
        <v>0</v>
      </c>
      <c r="R688" s="2" t="inlineStr"/>
    </row>
    <row r="689" ht="15" customHeight="1">
      <c r="A689" t="inlineStr">
        <is>
          <t>A 51613-2022</t>
        </is>
      </c>
      <c r="B689" s="1" t="n">
        <v>44871</v>
      </c>
      <c r="C689" s="1" t="n">
        <v>46180</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37834-2023</t>
        </is>
      </c>
      <c r="B690" s="1" t="n">
        <v>45160</v>
      </c>
      <c r="C690" s="1" t="n">
        <v>46180</v>
      </c>
      <c r="D690" t="inlineStr">
        <is>
          <t>SÖDERMANLANDS LÄN</t>
        </is>
      </c>
      <c r="E690" t="inlineStr">
        <is>
          <t>KATRINEHOLM</t>
        </is>
      </c>
      <c r="F690" t="inlineStr">
        <is>
          <t>Kyrkan</t>
        </is>
      </c>
      <c r="G690" t="n">
        <v>2.8</v>
      </c>
      <c r="H690" t="n">
        <v>0</v>
      </c>
      <c r="I690" t="n">
        <v>0</v>
      </c>
      <c r="J690" t="n">
        <v>0</v>
      </c>
      <c r="K690" t="n">
        <v>0</v>
      </c>
      <c r="L690" t="n">
        <v>0</v>
      </c>
      <c r="M690" t="n">
        <v>0</v>
      </c>
      <c r="N690" t="n">
        <v>0</v>
      </c>
      <c r="O690" t="n">
        <v>0</v>
      </c>
      <c r="P690" t="n">
        <v>0</v>
      </c>
      <c r="Q690" t="n">
        <v>0</v>
      </c>
      <c r="R690" s="2" t="inlineStr"/>
    </row>
    <row r="691" ht="15" customHeight="1">
      <c r="A691" t="inlineStr">
        <is>
          <t>A 8475-2023</t>
        </is>
      </c>
      <c r="B691" s="1" t="n">
        <v>44977</v>
      </c>
      <c r="C691" s="1" t="n">
        <v>46180</v>
      </c>
      <c r="D691" t="inlineStr">
        <is>
          <t>SÖDERMANLANDS LÄN</t>
        </is>
      </c>
      <c r="E691" t="inlineStr">
        <is>
          <t>KATRINEHOLM</t>
        </is>
      </c>
      <c r="F691" t="inlineStr">
        <is>
          <t>Allmännings- och besparingsskogar</t>
        </is>
      </c>
      <c r="G691" t="n">
        <v>8.1</v>
      </c>
      <c r="H691" t="n">
        <v>0</v>
      </c>
      <c r="I691" t="n">
        <v>0</v>
      </c>
      <c r="J691" t="n">
        <v>0</v>
      </c>
      <c r="K691" t="n">
        <v>0</v>
      </c>
      <c r="L691" t="n">
        <v>0</v>
      </c>
      <c r="M691" t="n">
        <v>0</v>
      </c>
      <c r="N691" t="n">
        <v>0</v>
      </c>
      <c r="O691" t="n">
        <v>0</v>
      </c>
      <c r="P691" t="n">
        <v>0</v>
      </c>
      <c r="Q691" t="n">
        <v>0</v>
      </c>
      <c r="R691" s="2" t="inlineStr"/>
    </row>
    <row r="692" ht="15" customHeight="1">
      <c r="A692" t="inlineStr">
        <is>
          <t>A 32890-2024</t>
        </is>
      </c>
      <c r="B692" s="1" t="n">
        <v>45516</v>
      </c>
      <c r="C692" s="1" t="n">
        <v>46180</v>
      </c>
      <c r="D692" t="inlineStr">
        <is>
          <t>SÖDERMANLANDS LÄN</t>
        </is>
      </c>
      <c r="E692" t="inlineStr">
        <is>
          <t>KATRINEHOLM</t>
        </is>
      </c>
      <c r="G692" t="n">
        <v>2.6</v>
      </c>
      <c r="H692" t="n">
        <v>0</v>
      </c>
      <c r="I692" t="n">
        <v>0</v>
      </c>
      <c r="J692" t="n">
        <v>0</v>
      </c>
      <c r="K692" t="n">
        <v>0</v>
      </c>
      <c r="L692" t="n">
        <v>0</v>
      </c>
      <c r="M692" t="n">
        <v>0</v>
      </c>
      <c r="N692" t="n">
        <v>0</v>
      </c>
      <c r="O692" t="n">
        <v>0</v>
      </c>
      <c r="P692" t="n">
        <v>0</v>
      </c>
      <c r="Q692" t="n">
        <v>0</v>
      </c>
      <c r="R692" s="2" t="inlineStr"/>
    </row>
    <row r="693" ht="15" customHeight="1">
      <c r="A693" t="inlineStr">
        <is>
          <t>A 2320-2023</t>
        </is>
      </c>
      <c r="B693" s="1" t="n">
        <v>44942.58850694444</v>
      </c>
      <c r="C693" s="1" t="n">
        <v>46180</v>
      </c>
      <c r="D693" t="inlineStr">
        <is>
          <t>SÖDERMANLANDS LÄN</t>
        </is>
      </c>
      <c r="E693" t="inlineStr">
        <is>
          <t>KATRINEHOLM</t>
        </is>
      </c>
      <c r="G693" t="n">
        <v>1.9</v>
      </c>
      <c r="H693" t="n">
        <v>0</v>
      </c>
      <c r="I693" t="n">
        <v>0</v>
      </c>
      <c r="J693" t="n">
        <v>0</v>
      </c>
      <c r="K693" t="n">
        <v>0</v>
      </c>
      <c r="L693" t="n">
        <v>0</v>
      </c>
      <c r="M693" t="n">
        <v>0</v>
      </c>
      <c r="N693" t="n">
        <v>0</v>
      </c>
      <c r="O693" t="n">
        <v>0</v>
      </c>
      <c r="P693" t="n">
        <v>0</v>
      </c>
      <c r="Q693" t="n">
        <v>0</v>
      </c>
      <c r="R693" s="2" t="inlineStr"/>
    </row>
    <row r="694" ht="15" customHeight="1">
      <c r="A694" t="inlineStr">
        <is>
          <t>A 59898-2022</t>
        </is>
      </c>
      <c r="B694" s="1" t="n">
        <v>44908</v>
      </c>
      <c r="C694" s="1" t="n">
        <v>46180</v>
      </c>
      <c r="D694" t="inlineStr">
        <is>
          <t>SÖDERMANLANDS LÄN</t>
        </is>
      </c>
      <c r="E694" t="inlineStr">
        <is>
          <t>KATRINEHOLM</t>
        </is>
      </c>
      <c r="G694" t="n">
        <v>4.8</v>
      </c>
      <c r="H694" t="n">
        <v>0</v>
      </c>
      <c r="I694" t="n">
        <v>0</v>
      </c>
      <c r="J694" t="n">
        <v>0</v>
      </c>
      <c r="K694" t="n">
        <v>0</v>
      </c>
      <c r="L694" t="n">
        <v>0</v>
      </c>
      <c r="M694" t="n">
        <v>0</v>
      </c>
      <c r="N694" t="n">
        <v>0</v>
      </c>
      <c r="O694" t="n">
        <v>0</v>
      </c>
      <c r="P694" t="n">
        <v>0</v>
      </c>
      <c r="Q694" t="n">
        <v>0</v>
      </c>
      <c r="R694" s="2" t="inlineStr"/>
    </row>
    <row r="695" ht="15" customHeight="1">
      <c r="A695" t="inlineStr">
        <is>
          <t>A 20326-2023</t>
        </is>
      </c>
      <c r="B695" s="1" t="n">
        <v>45056.46821759259</v>
      </c>
      <c r="C695" s="1" t="n">
        <v>46180</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15392-2023</t>
        </is>
      </c>
      <c r="B696" s="1" t="n">
        <v>45016</v>
      </c>
      <c r="C696" s="1" t="n">
        <v>46180</v>
      </c>
      <c r="D696" t="inlineStr">
        <is>
          <t>SÖDERMANLANDS LÄN</t>
        </is>
      </c>
      <c r="E696" t="inlineStr">
        <is>
          <t>KATRINEHOLM</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45246-2023</t>
        </is>
      </c>
      <c r="B697" s="1" t="n">
        <v>45191</v>
      </c>
      <c r="C697" s="1" t="n">
        <v>46180</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2735-2025</t>
        </is>
      </c>
      <c r="B698" s="1" t="n">
        <v>45677</v>
      </c>
      <c r="C698" s="1" t="n">
        <v>46180</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49914-2023</t>
        </is>
      </c>
      <c r="B699" s="1" t="n">
        <v>45214</v>
      </c>
      <c r="C699" s="1" t="n">
        <v>46180</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17335-2023</t>
        </is>
      </c>
      <c r="B700" s="1" t="n">
        <v>45033</v>
      </c>
      <c r="C700" s="1" t="n">
        <v>46180</v>
      </c>
      <c r="D700" t="inlineStr">
        <is>
          <t>SÖDERMANLANDS LÄN</t>
        </is>
      </c>
      <c r="E700" t="inlineStr">
        <is>
          <t>KATRINEHOLM</t>
        </is>
      </c>
      <c r="G700" t="n">
        <v>3.3</v>
      </c>
      <c r="H700" t="n">
        <v>0</v>
      </c>
      <c r="I700" t="n">
        <v>0</v>
      </c>
      <c r="J700" t="n">
        <v>0</v>
      </c>
      <c r="K700" t="n">
        <v>0</v>
      </c>
      <c r="L700" t="n">
        <v>0</v>
      </c>
      <c r="M700" t="n">
        <v>0</v>
      </c>
      <c r="N700" t="n">
        <v>0</v>
      </c>
      <c r="O700" t="n">
        <v>0</v>
      </c>
      <c r="P700" t="n">
        <v>0</v>
      </c>
      <c r="Q700" t="n">
        <v>0</v>
      </c>
      <c r="R700" s="2" t="inlineStr"/>
    </row>
    <row r="701" ht="15" customHeight="1">
      <c r="A701" t="inlineStr">
        <is>
          <t>A 16605-2025</t>
        </is>
      </c>
      <c r="B701" s="1" t="n">
        <v>45753.61614583333</v>
      </c>
      <c r="C701" s="1" t="n">
        <v>46180</v>
      </c>
      <c r="D701" t="inlineStr">
        <is>
          <t>SÖDERMANLANDS LÄN</t>
        </is>
      </c>
      <c r="E701" t="inlineStr">
        <is>
          <t>KATRINEHOLM</t>
        </is>
      </c>
      <c r="G701" t="n">
        <v>5.2</v>
      </c>
      <c r="H701" t="n">
        <v>0</v>
      </c>
      <c r="I701" t="n">
        <v>0</v>
      </c>
      <c r="J701" t="n">
        <v>0</v>
      </c>
      <c r="K701" t="n">
        <v>0</v>
      </c>
      <c r="L701" t="n">
        <v>0</v>
      </c>
      <c r="M701" t="n">
        <v>0</v>
      </c>
      <c r="N701" t="n">
        <v>0</v>
      </c>
      <c r="O701" t="n">
        <v>0</v>
      </c>
      <c r="P701" t="n">
        <v>0</v>
      </c>
      <c r="Q701" t="n">
        <v>0</v>
      </c>
      <c r="R701" s="2" t="inlineStr"/>
    </row>
    <row r="702" ht="15" customHeight="1">
      <c r="A702" t="inlineStr">
        <is>
          <t>A 33141-2023</t>
        </is>
      </c>
      <c r="B702" s="1" t="n">
        <v>45126.65491898148</v>
      </c>
      <c r="C702" s="1" t="n">
        <v>46180</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9899-2023</t>
        </is>
      </c>
      <c r="B703" s="1" t="n">
        <v>44985</v>
      </c>
      <c r="C703" s="1" t="n">
        <v>46180</v>
      </c>
      <c r="D703" t="inlineStr">
        <is>
          <t>SÖDERMANLANDS LÄN</t>
        </is>
      </c>
      <c r="E703" t="inlineStr">
        <is>
          <t>KATRINEHOLM</t>
        </is>
      </c>
      <c r="F703" t="inlineStr">
        <is>
          <t>Allmännings- och besparingsskogar</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8288-2023</t>
        </is>
      </c>
      <c r="B704" s="1" t="n">
        <v>44974</v>
      </c>
      <c r="C704" s="1" t="n">
        <v>46180</v>
      </c>
      <c r="D704" t="inlineStr">
        <is>
          <t>SÖDERMANLANDS LÄN</t>
        </is>
      </c>
      <c r="E704" t="inlineStr">
        <is>
          <t>KATRINEHOLM</t>
        </is>
      </c>
      <c r="F704" t="inlineStr">
        <is>
          <t>Allmännings- och besparingsskogar</t>
        </is>
      </c>
      <c r="G704" t="n">
        <v>5.6</v>
      </c>
      <c r="H704" t="n">
        <v>0</v>
      </c>
      <c r="I704" t="n">
        <v>0</v>
      </c>
      <c r="J704" t="n">
        <v>0</v>
      </c>
      <c r="K704" t="n">
        <v>0</v>
      </c>
      <c r="L704" t="n">
        <v>0</v>
      </c>
      <c r="M704" t="n">
        <v>0</v>
      </c>
      <c r="N704" t="n">
        <v>0</v>
      </c>
      <c r="O704" t="n">
        <v>0</v>
      </c>
      <c r="P704" t="n">
        <v>0</v>
      </c>
      <c r="Q704" t="n">
        <v>0</v>
      </c>
      <c r="R704" s="2" t="inlineStr"/>
    </row>
    <row r="705" ht="15" customHeight="1">
      <c r="A705" t="inlineStr">
        <is>
          <t>A 3317-2023</t>
        </is>
      </c>
      <c r="B705" s="1" t="n">
        <v>44945</v>
      </c>
      <c r="C705" s="1" t="n">
        <v>46180</v>
      </c>
      <c r="D705" t="inlineStr">
        <is>
          <t>SÖDERMANLANDS LÄN</t>
        </is>
      </c>
      <c r="E705" t="inlineStr">
        <is>
          <t>KATRINEHOLM</t>
        </is>
      </c>
      <c r="G705" t="n">
        <v>3.2</v>
      </c>
      <c r="H705" t="n">
        <v>0</v>
      </c>
      <c r="I705" t="n">
        <v>0</v>
      </c>
      <c r="J705" t="n">
        <v>0</v>
      </c>
      <c r="K705" t="n">
        <v>0</v>
      </c>
      <c r="L705" t="n">
        <v>0</v>
      </c>
      <c r="M705" t="n">
        <v>0</v>
      </c>
      <c r="N705" t="n">
        <v>0</v>
      </c>
      <c r="O705" t="n">
        <v>0</v>
      </c>
      <c r="P705" t="n">
        <v>0</v>
      </c>
      <c r="Q705" t="n">
        <v>0</v>
      </c>
      <c r="R705" s="2" t="inlineStr"/>
    </row>
    <row r="706" ht="15" customHeight="1">
      <c r="A706" t="inlineStr">
        <is>
          <t>A 37185-2023</t>
        </is>
      </c>
      <c r="B706" s="1" t="n">
        <v>45154</v>
      </c>
      <c r="C706" s="1" t="n">
        <v>46180</v>
      </c>
      <c r="D706" t="inlineStr">
        <is>
          <t>SÖDERMANLANDS LÄN</t>
        </is>
      </c>
      <c r="E706" t="inlineStr">
        <is>
          <t>KATRINEHOLM</t>
        </is>
      </c>
      <c r="G706" t="n">
        <v>3</v>
      </c>
      <c r="H706" t="n">
        <v>0</v>
      </c>
      <c r="I706" t="n">
        <v>0</v>
      </c>
      <c r="J706" t="n">
        <v>0</v>
      </c>
      <c r="K706" t="n">
        <v>0</v>
      </c>
      <c r="L706" t="n">
        <v>0</v>
      </c>
      <c r="M706" t="n">
        <v>0</v>
      </c>
      <c r="N706" t="n">
        <v>0</v>
      </c>
      <c r="O706" t="n">
        <v>0</v>
      </c>
      <c r="P706" t="n">
        <v>0</v>
      </c>
      <c r="Q706" t="n">
        <v>0</v>
      </c>
      <c r="R706" s="2" t="inlineStr"/>
    </row>
    <row r="707" ht="15" customHeight="1">
      <c r="A707" t="inlineStr">
        <is>
          <t>A 51848-2022</t>
        </is>
      </c>
      <c r="B707" s="1" t="n">
        <v>44872.57752314815</v>
      </c>
      <c r="C707" s="1" t="n">
        <v>46180</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49218-2023</t>
        </is>
      </c>
      <c r="B708" s="1" t="n">
        <v>45205</v>
      </c>
      <c r="C708" s="1" t="n">
        <v>46180</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55169-2022</t>
        </is>
      </c>
      <c r="B709" s="1" t="n">
        <v>44886</v>
      </c>
      <c r="C709" s="1" t="n">
        <v>46180</v>
      </c>
      <c r="D709" t="inlineStr">
        <is>
          <t>SÖDERMANLANDS LÄN</t>
        </is>
      </c>
      <c r="E709" t="inlineStr">
        <is>
          <t>KATRINEHOLM</t>
        </is>
      </c>
      <c r="G709" t="n">
        <v>1.3</v>
      </c>
      <c r="H709" t="n">
        <v>0</v>
      </c>
      <c r="I709" t="n">
        <v>0</v>
      </c>
      <c r="J709" t="n">
        <v>0</v>
      </c>
      <c r="K709" t="n">
        <v>0</v>
      </c>
      <c r="L709" t="n">
        <v>0</v>
      </c>
      <c r="M709" t="n">
        <v>0</v>
      </c>
      <c r="N709" t="n">
        <v>0</v>
      </c>
      <c r="O709" t="n">
        <v>0</v>
      </c>
      <c r="P709" t="n">
        <v>0</v>
      </c>
      <c r="Q709" t="n">
        <v>0</v>
      </c>
      <c r="R709" s="2" t="inlineStr"/>
    </row>
    <row r="710" ht="15" customHeight="1">
      <c r="A710" t="inlineStr">
        <is>
          <t>A 61398-2024</t>
        </is>
      </c>
      <c r="B710" s="1" t="n">
        <v>45646.42608796297</v>
      </c>
      <c r="C710" s="1" t="n">
        <v>46180</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19187-2026</t>
        </is>
      </c>
      <c r="B711" s="1" t="n">
        <v>46132.59921296296</v>
      </c>
      <c r="C711" s="1" t="n">
        <v>46180</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24287-2024</t>
        </is>
      </c>
      <c r="B712" s="1" t="n">
        <v>45457</v>
      </c>
      <c r="C712" s="1" t="n">
        <v>46180</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8518-2023</t>
        </is>
      </c>
      <c r="B713" s="1" t="n">
        <v>44977</v>
      </c>
      <c r="C713" s="1" t="n">
        <v>46180</v>
      </c>
      <c r="D713" t="inlineStr">
        <is>
          <t>SÖDERMANLANDS LÄN</t>
        </is>
      </c>
      <c r="E713" t="inlineStr">
        <is>
          <t>KATRINEHOLM</t>
        </is>
      </c>
      <c r="F713" t="inlineStr">
        <is>
          <t>Allmännings- och besparingsskogar</t>
        </is>
      </c>
      <c r="G713" t="n">
        <v>35.3</v>
      </c>
      <c r="H713" t="n">
        <v>0</v>
      </c>
      <c r="I713" t="n">
        <v>0</v>
      </c>
      <c r="J713" t="n">
        <v>0</v>
      </c>
      <c r="K713" t="n">
        <v>0</v>
      </c>
      <c r="L713" t="n">
        <v>0</v>
      </c>
      <c r="M713" t="n">
        <v>0</v>
      </c>
      <c r="N713" t="n">
        <v>0</v>
      </c>
      <c r="O713" t="n">
        <v>0</v>
      </c>
      <c r="P713" t="n">
        <v>0</v>
      </c>
      <c r="Q713" t="n">
        <v>0</v>
      </c>
      <c r="R713" s="2" t="inlineStr"/>
    </row>
    <row r="714" ht="15" customHeight="1">
      <c r="A714" t="inlineStr">
        <is>
          <t>A 48030-2022</t>
        </is>
      </c>
      <c r="B714" s="1" t="n">
        <v>44855</v>
      </c>
      <c r="C714" s="1" t="n">
        <v>46180</v>
      </c>
      <c r="D714" t="inlineStr">
        <is>
          <t>SÖDERMANLANDS LÄN</t>
        </is>
      </c>
      <c r="E714" t="inlineStr">
        <is>
          <t>KATRINEHOLM</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948-2023</t>
        </is>
      </c>
      <c r="B715" s="1" t="n">
        <v>44934</v>
      </c>
      <c r="C715" s="1" t="n">
        <v>46180</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19098-2026</t>
        </is>
      </c>
      <c r="B716" s="1" t="n">
        <v>46132.42950231482</v>
      </c>
      <c r="C716" s="1" t="n">
        <v>46180</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37542-2022</t>
        </is>
      </c>
      <c r="B717" s="1" t="n">
        <v>44809</v>
      </c>
      <c r="C717" s="1" t="n">
        <v>46180</v>
      </c>
      <c r="D717" t="inlineStr">
        <is>
          <t>SÖDERMANLANDS LÄN</t>
        </is>
      </c>
      <c r="E717" t="inlineStr">
        <is>
          <t>KATRINEHOLM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41229-2022</t>
        </is>
      </c>
      <c r="B718" s="1" t="n">
        <v>44825</v>
      </c>
      <c r="C718" s="1" t="n">
        <v>46180</v>
      </c>
      <c r="D718" t="inlineStr">
        <is>
          <t>SÖDERMANLANDS LÄN</t>
        </is>
      </c>
      <c r="E718" t="inlineStr">
        <is>
          <t>KATRINEHOLM</t>
        </is>
      </c>
      <c r="G718" t="n">
        <v>3.8</v>
      </c>
      <c r="H718" t="n">
        <v>0</v>
      </c>
      <c r="I718" t="n">
        <v>0</v>
      </c>
      <c r="J718" t="n">
        <v>0</v>
      </c>
      <c r="K718" t="n">
        <v>0</v>
      </c>
      <c r="L718" t="n">
        <v>0</v>
      </c>
      <c r="M718" t="n">
        <v>0</v>
      </c>
      <c r="N718" t="n">
        <v>0</v>
      </c>
      <c r="O718" t="n">
        <v>0</v>
      </c>
      <c r="P718" t="n">
        <v>0</v>
      </c>
      <c r="Q718" t="n">
        <v>0</v>
      </c>
      <c r="R718" s="2" t="inlineStr"/>
    </row>
    <row r="719" ht="15" customHeight="1">
      <c r="A719" t="inlineStr">
        <is>
          <t>A 64652-2023</t>
        </is>
      </c>
      <c r="B719" s="1" t="n">
        <v>45281</v>
      </c>
      <c r="C719" s="1" t="n">
        <v>46180</v>
      </c>
      <c r="D719" t="inlineStr">
        <is>
          <t>SÖDERMANLANDS LÄN</t>
        </is>
      </c>
      <c r="E719" t="inlineStr">
        <is>
          <t>KATRINEHOLM</t>
        </is>
      </c>
      <c r="F719" t="inlineStr">
        <is>
          <t>Övriga Aktiebolag</t>
        </is>
      </c>
      <c r="G719" t="n">
        <v>2.2</v>
      </c>
      <c r="H719" t="n">
        <v>0</v>
      </c>
      <c r="I719" t="n">
        <v>0</v>
      </c>
      <c r="J719" t="n">
        <v>0</v>
      </c>
      <c r="K719" t="n">
        <v>0</v>
      </c>
      <c r="L719" t="n">
        <v>0</v>
      </c>
      <c r="M719" t="n">
        <v>0</v>
      </c>
      <c r="N719" t="n">
        <v>0</v>
      </c>
      <c r="O719" t="n">
        <v>0</v>
      </c>
      <c r="P719" t="n">
        <v>0</v>
      </c>
      <c r="Q719" t="n">
        <v>0</v>
      </c>
      <c r="R719" s="2" t="inlineStr"/>
    </row>
    <row r="720" ht="15" customHeight="1">
      <c r="A720" t="inlineStr">
        <is>
          <t>A 18966-2026</t>
        </is>
      </c>
      <c r="B720" s="1" t="n">
        <v>46129.60259259259</v>
      </c>
      <c r="C720" s="1" t="n">
        <v>46180</v>
      </c>
      <c r="D720" t="inlineStr">
        <is>
          <t>SÖDERMANLANDS LÄN</t>
        </is>
      </c>
      <c r="E720" t="inlineStr">
        <is>
          <t>KATRINEHOLM</t>
        </is>
      </c>
      <c r="G720" t="n">
        <v>1.1</v>
      </c>
      <c r="H720" t="n">
        <v>0</v>
      </c>
      <c r="I720" t="n">
        <v>0</v>
      </c>
      <c r="J720" t="n">
        <v>0</v>
      </c>
      <c r="K720" t="n">
        <v>0</v>
      </c>
      <c r="L720" t="n">
        <v>0</v>
      </c>
      <c r="M720" t="n">
        <v>0</v>
      </c>
      <c r="N720" t="n">
        <v>0</v>
      </c>
      <c r="O720" t="n">
        <v>0</v>
      </c>
      <c r="P720" t="n">
        <v>0</v>
      </c>
      <c r="Q720" t="n">
        <v>0</v>
      </c>
      <c r="R720" s="2" t="inlineStr"/>
    </row>
    <row r="721" ht="15" customHeight="1">
      <c r="A721" t="inlineStr">
        <is>
          <t>A 51404-2023</t>
        </is>
      </c>
      <c r="B721" s="1" t="n">
        <v>45214</v>
      </c>
      <c r="C721" s="1" t="n">
        <v>46180</v>
      </c>
      <c r="D721" t="inlineStr">
        <is>
          <t>SÖDERMANLANDS LÄN</t>
        </is>
      </c>
      <c r="E721" t="inlineStr">
        <is>
          <t>KATRINEHOLM</t>
        </is>
      </c>
      <c r="G721" t="n">
        <v>9</v>
      </c>
      <c r="H721" t="n">
        <v>0</v>
      </c>
      <c r="I721" t="n">
        <v>0</v>
      </c>
      <c r="J721" t="n">
        <v>0</v>
      </c>
      <c r="K721" t="n">
        <v>0</v>
      </c>
      <c r="L721" t="n">
        <v>0</v>
      </c>
      <c r="M721" t="n">
        <v>0</v>
      </c>
      <c r="N721" t="n">
        <v>0</v>
      </c>
      <c r="O721" t="n">
        <v>0</v>
      </c>
      <c r="P721" t="n">
        <v>0</v>
      </c>
      <c r="Q721" t="n">
        <v>0</v>
      </c>
      <c r="R721" s="2" t="inlineStr"/>
    </row>
    <row r="722" ht="15" customHeight="1">
      <c r="A722" t="inlineStr">
        <is>
          <t>A 41946-2022</t>
        </is>
      </c>
      <c r="B722" s="1" t="n">
        <v>44830.38502314815</v>
      </c>
      <c r="C722" s="1" t="n">
        <v>46180</v>
      </c>
      <c r="D722" t="inlineStr">
        <is>
          <t>SÖDERMANLANDS LÄN</t>
        </is>
      </c>
      <c r="E722" t="inlineStr">
        <is>
          <t>KATRINEHOLM</t>
        </is>
      </c>
      <c r="G722" t="n">
        <v>1</v>
      </c>
      <c r="H722" t="n">
        <v>0</v>
      </c>
      <c r="I722" t="n">
        <v>0</v>
      </c>
      <c r="J722" t="n">
        <v>0</v>
      </c>
      <c r="K722" t="n">
        <v>0</v>
      </c>
      <c r="L722" t="n">
        <v>0</v>
      </c>
      <c r="M722" t="n">
        <v>0</v>
      </c>
      <c r="N722" t="n">
        <v>0</v>
      </c>
      <c r="O722" t="n">
        <v>0</v>
      </c>
      <c r="P722" t="n">
        <v>0</v>
      </c>
      <c r="Q722" t="n">
        <v>0</v>
      </c>
      <c r="R722" s="2" t="inlineStr"/>
    </row>
    <row r="723" ht="15" customHeight="1">
      <c r="A723" t="inlineStr">
        <is>
          <t>A 3115-2024</t>
        </is>
      </c>
      <c r="B723" s="1" t="n">
        <v>45316.49630787037</v>
      </c>
      <c r="C723" s="1" t="n">
        <v>46180</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61431-2024</t>
        </is>
      </c>
      <c r="B724" s="1" t="n">
        <v>45646.45950231481</v>
      </c>
      <c r="C724" s="1" t="n">
        <v>46180</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44659-2023</t>
        </is>
      </c>
      <c r="B725" s="1" t="n">
        <v>45189</v>
      </c>
      <c r="C725" s="1" t="n">
        <v>46180</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51446-2023</t>
        </is>
      </c>
      <c r="B726" s="1" t="n">
        <v>45220.48068287037</v>
      </c>
      <c r="C726" s="1" t="n">
        <v>46180</v>
      </c>
      <c r="D726" t="inlineStr">
        <is>
          <t>SÖDERMANLANDS LÄN</t>
        </is>
      </c>
      <c r="E726" t="inlineStr">
        <is>
          <t>KATRINEHOLM</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44071-2025</t>
        </is>
      </c>
      <c r="B727" s="1" t="n">
        <v>45915</v>
      </c>
      <c r="C727" s="1" t="n">
        <v>46180</v>
      </c>
      <c r="D727" t="inlineStr">
        <is>
          <t>SÖDERMANLANDS LÄN</t>
        </is>
      </c>
      <c r="E727" t="inlineStr">
        <is>
          <t>KATRINEHOLM</t>
        </is>
      </c>
      <c r="G727" t="n">
        <v>3.1</v>
      </c>
      <c r="H727" t="n">
        <v>0</v>
      </c>
      <c r="I727" t="n">
        <v>0</v>
      </c>
      <c r="J727" t="n">
        <v>0</v>
      </c>
      <c r="K727" t="n">
        <v>0</v>
      </c>
      <c r="L727" t="n">
        <v>0</v>
      </c>
      <c r="M727" t="n">
        <v>0</v>
      </c>
      <c r="N727" t="n">
        <v>0</v>
      </c>
      <c r="O727" t="n">
        <v>0</v>
      </c>
      <c r="P727" t="n">
        <v>0</v>
      </c>
      <c r="Q727" t="n">
        <v>0</v>
      </c>
      <c r="R727" s="2" t="inlineStr"/>
    </row>
    <row r="728" ht="15" customHeight="1">
      <c r="A728" t="inlineStr">
        <is>
          <t>A 27955-2023</t>
        </is>
      </c>
      <c r="B728" s="1" t="n">
        <v>45098</v>
      </c>
      <c r="C728" s="1" t="n">
        <v>46180</v>
      </c>
      <c r="D728" t="inlineStr">
        <is>
          <t>SÖDERMANLANDS LÄN</t>
        </is>
      </c>
      <c r="E728" t="inlineStr">
        <is>
          <t>KATRINEHOLM</t>
        </is>
      </c>
      <c r="G728" t="n">
        <v>5.9</v>
      </c>
      <c r="H728" t="n">
        <v>0</v>
      </c>
      <c r="I728" t="n">
        <v>0</v>
      </c>
      <c r="J728" t="n">
        <v>0</v>
      </c>
      <c r="K728" t="n">
        <v>0</v>
      </c>
      <c r="L728" t="n">
        <v>0</v>
      </c>
      <c r="M728" t="n">
        <v>0</v>
      </c>
      <c r="N728" t="n">
        <v>0</v>
      </c>
      <c r="O728" t="n">
        <v>0</v>
      </c>
      <c r="P728" t="n">
        <v>0</v>
      </c>
      <c r="Q728" t="n">
        <v>0</v>
      </c>
      <c r="R728" s="2" t="inlineStr"/>
    </row>
    <row r="729" ht="15" customHeight="1">
      <c r="A729" t="inlineStr">
        <is>
          <t>A 20185-2026</t>
        </is>
      </c>
      <c r="B729" s="1" t="n">
        <v>46136</v>
      </c>
      <c r="C729" s="1" t="n">
        <v>46180</v>
      </c>
      <c r="D729" t="inlineStr">
        <is>
          <t>SÖDERMANLANDS LÄN</t>
        </is>
      </c>
      <c r="E729" t="inlineStr">
        <is>
          <t>KATRINEHOLM</t>
        </is>
      </c>
      <c r="G729" t="n">
        <v>2.7</v>
      </c>
      <c r="H729" t="n">
        <v>0</v>
      </c>
      <c r="I729" t="n">
        <v>0</v>
      </c>
      <c r="J729" t="n">
        <v>0</v>
      </c>
      <c r="K729" t="n">
        <v>0</v>
      </c>
      <c r="L729" t="n">
        <v>0</v>
      </c>
      <c r="M729" t="n">
        <v>0</v>
      </c>
      <c r="N729" t="n">
        <v>0</v>
      </c>
      <c r="O729" t="n">
        <v>0</v>
      </c>
      <c r="P729" t="n">
        <v>0</v>
      </c>
      <c r="Q729" t="n">
        <v>0</v>
      </c>
      <c r="R729" s="2" t="inlineStr"/>
    </row>
    <row r="730" ht="15" customHeight="1">
      <c r="A730" t="inlineStr">
        <is>
          <t>A 4669-2023</t>
        </is>
      </c>
      <c r="B730" s="1" t="n">
        <v>44957</v>
      </c>
      <c r="C730" s="1" t="n">
        <v>46180</v>
      </c>
      <c r="D730" t="inlineStr">
        <is>
          <t>SÖDERMANLANDS LÄN</t>
        </is>
      </c>
      <c r="E730" t="inlineStr">
        <is>
          <t>KATRINEHOLM</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4724-2023</t>
        </is>
      </c>
      <c r="B731" s="1" t="n">
        <v>44957</v>
      </c>
      <c r="C731" s="1" t="n">
        <v>46180</v>
      </c>
      <c r="D731" t="inlineStr">
        <is>
          <t>SÖDERMANLANDS LÄN</t>
        </is>
      </c>
      <c r="E731" t="inlineStr">
        <is>
          <t>KATRINEHOLM</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35145-2025</t>
        </is>
      </c>
      <c r="B732" s="1" t="n">
        <v>45852</v>
      </c>
      <c r="C732" s="1" t="n">
        <v>46180</v>
      </c>
      <c r="D732" t="inlineStr">
        <is>
          <t>SÖDERMANLANDS LÄN</t>
        </is>
      </c>
      <c r="E732" t="inlineStr">
        <is>
          <t>KATRINEHOLM</t>
        </is>
      </c>
      <c r="G732" t="n">
        <v>3.1</v>
      </c>
      <c r="H732" t="n">
        <v>0</v>
      </c>
      <c r="I732" t="n">
        <v>0</v>
      </c>
      <c r="J732" t="n">
        <v>0</v>
      </c>
      <c r="K732" t="n">
        <v>0</v>
      </c>
      <c r="L732" t="n">
        <v>0</v>
      </c>
      <c r="M732" t="n">
        <v>0</v>
      </c>
      <c r="N732" t="n">
        <v>0</v>
      </c>
      <c r="O732" t="n">
        <v>0</v>
      </c>
      <c r="P732" t="n">
        <v>0</v>
      </c>
      <c r="Q732" t="n">
        <v>0</v>
      </c>
      <c r="R732" s="2" t="inlineStr"/>
    </row>
    <row r="733" ht="15" customHeight="1">
      <c r="A733" t="inlineStr">
        <is>
          <t>A 7197-2023</t>
        </is>
      </c>
      <c r="B733" s="1" t="n">
        <v>44965</v>
      </c>
      <c r="C733" s="1" t="n">
        <v>46180</v>
      </c>
      <c r="D733" t="inlineStr">
        <is>
          <t>SÖDERMANLANDS LÄN</t>
        </is>
      </c>
      <c r="E733" t="inlineStr">
        <is>
          <t>KATRINEHOLM</t>
        </is>
      </c>
      <c r="G733" t="n">
        <v>5.3</v>
      </c>
      <c r="H733" t="n">
        <v>0</v>
      </c>
      <c r="I733" t="n">
        <v>0</v>
      </c>
      <c r="J733" t="n">
        <v>0</v>
      </c>
      <c r="K733" t="n">
        <v>0</v>
      </c>
      <c r="L733" t="n">
        <v>0</v>
      </c>
      <c r="M733" t="n">
        <v>0</v>
      </c>
      <c r="N733" t="n">
        <v>0</v>
      </c>
      <c r="O733" t="n">
        <v>0</v>
      </c>
      <c r="P733" t="n">
        <v>0</v>
      </c>
      <c r="Q733" t="n">
        <v>0</v>
      </c>
      <c r="R733" s="2" t="inlineStr"/>
    </row>
    <row r="734" ht="15" customHeight="1">
      <c r="A734" t="inlineStr">
        <is>
          <t>A 5327-2025</t>
        </is>
      </c>
      <c r="B734" s="1" t="n">
        <v>45692</v>
      </c>
      <c r="C734" s="1" t="n">
        <v>46180</v>
      </c>
      <c r="D734" t="inlineStr">
        <is>
          <t>SÖDERMANLANDS LÄN</t>
        </is>
      </c>
      <c r="E734" t="inlineStr">
        <is>
          <t>KATRINEHOLM</t>
        </is>
      </c>
      <c r="F734" t="inlineStr">
        <is>
          <t>Kommuner</t>
        </is>
      </c>
      <c r="G734" t="n">
        <v>0.5</v>
      </c>
      <c r="H734" t="n">
        <v>0</v>
      </c>
      <c r="I734" t="n">
        <v>0</v>
      </c>
      <c r="J734" t="n">
        <v>0</v>
      </c>
      <c r="K734" t="n">
        <v>0</v>
      </c>
      <c r="L734" t="n">
        <v>0</v>
      </c>
      <c r="M734" t="n">
        <v>0</v>
      </c>
      <c r="N734" t="n">
        <v>0</v>
      </c>
      <c r="O734" t="n">
        <v>0</v>
      </c>
      <c r="P734" t="n">
        <v>0</v>
      </c>
      <c r="Q734" t="n">
        <v>0</v>
      </c>
      <c r="R734" s="2" t="inlineStr"/>
    </row>
    <row r="735" ht="15" customHeight="1">
      <c r="A735" t="inlineStr">
        <is>
          <t>A 12929-2023</t>
        </is>
      </c>
      <c r="B735" s="1" t="n">
        <v>45001</v>
      </c>
      <c r="C735" s="1" t="n">
        <v>46180</v>
      </c>
      <c r="D735" t="inlineStr">
        <is>
          <t>SÖDERMANLANDS LÄN</t>
        </is>
      </c>
      <c r="E735" t="inlineStr">
        <is>
          <t>KATRINEHOLM</t>
        </is>
      </c>
      <c r="G735" t="n">
        <v>3.1</v>
      </c>
      <c r="H735" t="n">
        <v>0</v>
      </c>
      <c r="I735" t="n">
        <v>0</v>
      </c>
      <c r="J735" t="n">
        <v>0</v>
      </c>
      <c r="K735" t="n">
        <v>0</v>
      </c>
      <c r="L735" t="n">
        <v>0</v>
      </c>
      <c r="M735" t="n">
        <v>0</v>
      </c>
      <c r="N735" t="n">
        <v>0</v>
      </c>
      <c r="O735" t="n">
        <v>0</v>
      </c>
      <c r="P735" t="n">
        <v>0</v>
      </c>
      <c r="Q735" t="n">
        <v>0</v>
      </c>
      <c r="R735" s="2" t="inlineStr"/>
    </row>
    <row r="736" ht="15" customHeight="1">
      <c r="A736" t="inlineStr">
        <is>
          <t>A 12932-2023</t>
        </is>
      </c>
      <c r="B736" s="1" t="n">
        <v>45001</v>
      </c>
      <c r="C736" s="1" t="n">
        <v>46180</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50626-2024</t>
        </is>
      </c>
      <c r="B737" s="1" t="n">
        <v>45601</v>
      </c>
      <c r="C737" s="1" t="n">
        <v>46180</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7398-2024</t>
        </is>
      </c>
      <c r="B738" s="1" t="n">
        <v>45345</v>
      </c>
      <c r="C738" s="1" t="n">
        <v>46180</v>
      </c>
      <c r="D738" t="inlineStr">
        <is>
          <t>SÖDERMANLANDS LÄN</t>
        </is>
      </c>
      <c r="E738" t="inlineStr">
        <is>
          <t>KATRINEHOLM</t>
        </is>
      </c>
      <c r="G738" t="n">
        <v>4.4</v>
      </c>
      <c r="H738" t="n">
        <v>0</v>
      </c>
      <c r="I738" t="n">
        <v>0</v>
      </c>
      <c r="J738" t="n">
        <v>0</v>
      </c>
      <c r="K738" t="n">
        <v>0</v>
      </c>
      <c r="L738" t="n">
        <v>0</v>
      </c>
      <c r="M738" t="n">
        <v>0</v>
      </c>
      <c r="N738" t="n">
        <v>0</v>
      </c>
      <c r="O738" t="n">
        <v>0</v>
      </c>
      <c r="P738" t="n">
        <v>0</v>
      </c>
      <c r="Q738" t="n">
        <v>0</v>
      </c>
      <c r="R738" s="2" t="inlineStr"/>
    </row>
    <row r="739" ht="15" customHeight="1">
      <c r="A739" t="inlineStr">
        <is>
          <t>A 14629-2023</t>
        </is>
      </c>
      <c r="B739" s="1" t="n">
        <v>45013</v>
      </c>
      <c r="C739" s="1" t="n">
        <v>46180</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49116-2024</t>
        </is>
      </c>
      <c r="B740" s="1" t="n">
        <v>45594.6605787037</v>
      </c>
      <c r="C740" s="1" t="n">
        <v>46180</v>
      </c>
      <c r="D740" t="inlineStr">
        <is>
          <t>SÖDERMANLANDS LÄN</t>
        </is>
      </c>
      <c r="E740" t="inlineStr">
        <is>
          <t>KATRINEHOLM</t>
        </is>
      </c>
      <c r="G740" t="n">
        <v>0.9</v>
      </c>
      <c r="H740" t="n">
        <v>0</v>
      </c>
      <c r="I740" t="n">
        <v>0</v>
      </c>
      <c r="J740" t="n">
        <v>0</v>
      </c>
      <c r="K740" t="n">
        <v>0</v>
      </c>
      <c r="L740" t="n">
        <v>0</v>
      </c>
      <c r="M740" t="n">
        <v>0</v>
      </c>
      <c r="N740" t="n">
        <v>0</v>
      </c>
      <c r="O740" t="n">
        <v>0</v>
      </c>
      <c r="P740" t="n">
        <v>0</v>
      </c>
      <c r="Q740" t="n">
        <v>0</v>
      </c>
      <c r="R740" s="2" t="inlineStr"/>
    </row>
    <row r="741" ht="15" customHeight="1">
      <c r="A741" t="inlineStr">
        <is>
          <t>A 2683-2025</t>
        </is>
      </c>
      <c r="B741" s="1" t="n">
        <v>45677</v>
      </c>
      <c r="C741" s="1" t="n">
        <v>46180</v>
      </c>
      <c r="D741" t="inlineStr">
        <is>
          <t>SÖDERMANLANDS LÄN</t>
        </is>
      </c>
      <c r="E741" t="inlineStr">
        <is>
          <t>KATRINEHOLM</t>
        </is>
      </c>
      <c r="G741" t="n">
        <v>0.8</v>
      </c>
      <c r="H741" t="n">
        <v>0</v>
      </c>
      <c r="I741" t="n">
        <v>0</v>
      </c>
      <c r="J741" t="n">
        <v>0</v>
      </c>
      <c r="K741" t="n">
        <v>0</v>
      </c>
      <c r="L741" t="n">
        <v>0</v>
      </c>
      <c r="M741" t="n">
        <v>0</v>
      </c>
      <c r="N741" t="n">
        <v>0</v>
      </c>
      <c r="O741" t="n">
        <v>0</v>
      </c>
      <c r="P741" t="n">
        <v>0</v>
      </c>
      <c r="Q741" t="n">
        <v>0</v>
      </c>
      <c r="R741" s="2" t="inlineStr"/>
    </row>
    <row r="742" ht="15" customHeight="1">
      <c r="A742" t="inlineStr">
        <is>
          <t>A 61410-2024</t>
        </is>
      </c>
      <c r="B742" s="1" t="n">
        <v>45646.43950231482</v>
      </c>
      <c r="C742" s="1" t="n">
        <v>46180</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3315-2023</t>
        </is>
      </c>
      <c r="B743" s="1" t="n">
        <v>44945</v>
      </c>
      <c r="C743" s="1" t="n">
        <v>46180</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7867-2024</t>
        </is>
      </c>
      <c r="B744" s="1" t="n">
        <v>45350.32991898148</v>
      </c>
      <c r="C744" s="1" t="n">
        <v>46180</v>
      </c>
      <c r="D744" t="inlineStr">
        <is>
          <t>SÖDERMANLANDS LÄN</t>
        </is>
      </c>
      <c r="E744" t="inlineStr">
        <is>
          <t>KATRINEHOLM</t>
        </is>
      </c>
      <c r="F744" t="inlineStr">
        <is>
          <t>Kyrkan</t>
        </is>
      </c>
      <c r="G744" t="n">
        <v>3.3</v>
      </c>
      <c r="H744" t="n">
        <v>0</v>
      </c>
      <c r="I744" t="n">
        <v>0</v>
      </c>
      <c r="J744" t="n">
        <v>0</v>
      </c>
      <c r="K744" t="n">
        <v>0</v>
      </c>
      <c r="L744" t="n">
        <v>0</v>
      </c>
      <c r="M744" t="n">
        <v>0</v>
      </c>
      <c r="N744" t="n">
        <v>0</v>
      </c>
      <c r="O744" t="n">
        <v>0</v>
      </c>
      <c r="P744" t="n">
        <v>0</v>
      </c>
      <c r="Q744" t="n">
        <v>0</v>
      </c>
      <c r="R744" s="2" t="inlineStr"/>
    </row>
    <row r="745" ht="15" customHeight="1">
      <c r="A745" t="inlineStr">
        <is>
          <t>A 38869-2024</t>
        </is>
      </c>
      <c r="B745" s="1" t="n">
        <v>45547</v>
      </c>
      <c r="C745" s="1" t="n">
        <v>46180</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39010-2021</t>
        </is>
      </c>
      <c r="B746" s="1" t="n">
        <v>44412</v>
      </c>
      <c r="C746" s="1" t="n">
        <v>46180</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1091-2025</t>
        </is>
      </c>
      <c r="B747" s="1" t="n">
        <v>45666</v>
      </c>
      <c r="C747" s="1" t="n">
        <v>46180</v>
      </c>
      <c r="D747" t="inlineStr">
        <is>
          <t>SÖDERMANLANDS LÄN</t>
        </is>
      </c>
      <c r="E747" t="inlineStr">
        <is>
          <t>KATRINEHOLM</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6311-2025</t>
        </is>
      </c>
      <c r="B748" s="1" t="n">
        <v>45698</v>
      </c>
      <c r="C748" s="1" t="n">
        <v>46180</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32943-2024</t>
        </is>
      </c>
      <c r="B749" s="1" t="n">
        <v>45517</v>
      </c>
      <c r="C749" s="1" t="n">
        <v>46180</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22119-2025</t>
        </is>
      </c>
      <c r="B750" s="1" t="n">
        <v>45785</v>
      </c>
      <c r="C750" s="1" t="n">
        <v>46180</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39668-2025</t>
        </is>
      </c>
      <c r="B751" s="1" t="n">
        <v>45890</v>
      </c>
      <c r="C751" s="1" t="n">
        <v>46180</v>
      </c>
      <c r="D751" t="inlineStr">
        <is>
          <t>SÖDERMANLANDS LÄN</t>
        </is>
      </c>
      <c r="E751" t="inlineStr">
        <is>
          <t>KATRINEHOLM</t>
        </is>
      </c>
      <c r="G751" t="n">
        <v>2.9</v>
      </c>
      <c r="H751" t="n">
        <v>0</v>
      </c>
      <c r="I751" t="n">
        <v>0</v>
      </c>
      <c r="J751" t="n">
        <v>0</v>
      </c>
      <c r="K751" t="n">
        <v>0</v>
      </c>
      <c r="L751" t="n">
        <v>0</v>
      </c>
      <c r="M751" t="n">
        <v>0</v>
      </c>
      <c r="N751" t="n">
        <v>0</v>
      </c>
      <c r="O751" t="n">
        <v>0</v>
      </c>
      <c r="P751" t="n">
        <v>0</v>
      </c>
      <c r="Q751" t="n">
        <v>0</v>
      </c>
      <c r="R751" s="2" t="inlineStr"/>
    </row>
    <row r="752" ht="15" customHeight="1">
      <c r="A752" t="inlineStr">
        <is>
          <t>A 24983-2024</t>
        </is>
      </c>
      <c r="B752" s="1" t="n">
        <v>45461</v>
      </c>
      <c r="C752" s="1" t="n">
        <v>46180</v>
      </c>
      <c r="D752" t="inlineStr">
        <is>
          <t>SÖDERMANLANDS LÄN</t>
        </is>
      </c>
      <c r="E752" t="inlineStr">
        <is>
          <t>KATRINEHOLM</t>
        </is>
      </c>
      <c r="G752" t="n">
        <v>2.6</v>
      </c>
      <c r="H752" t="n">
        <v>0</v>
      </c>
      <c r="I752" t="n">
        <v>0</v>
      </c>
      <c r="J752" t="n">
        <v>0</v>
      </c>
      <c r="K752" t="n">
        <v>0</v>
      </c>
      <c r="L752" t="n">
        <v>0</v>
      </c>
      <c r="M752" t="n">
        <v>0</v>
      </c>
      <c r="N752" t="n">
        <v>0</v>
      </c>
      <c r="O752" t="n">
        <v>0</v>
      </c>
      <c r="P752" t="n">
        <v>0</v>
      </c>
      <c r="Q752" t="n">
        <v>0</v>
      </c>
      <c r="R752" s="2" t="inlineStr"/>
    </row>
    <row r="753" ht="15" customHeight="1">
      <c r="A753" t="inlineStr">
        <is>
          <t>A 31392-2025</t>
        </is>
      </c>
      <c r="B753" s="1" t="n">
        <v>45833</v>
      </c>
      <c r="C753" s="1" t="n">
        <v>46180</v>
      </c>
      <c r="D753" t="inlineStr">
        <is>
          <t>SÖDERMANLANDS LÄN</t>
        </is>
      </c>
      <c r="E753" t="inlineStr">
        <is>
          <t>KATRINEHOLM</t>
        </is>
      </c>
      <c r="G753" t="n">
        <v>5</v>
      </c>
      <c r="H753" t="n">
        <v>0</v>
      </c>
      <c r="I753" t="n">
        <v>0</v>
      </c>
      <c r="J753" t="n">
        <v>0</v>
      </c>
      <c r="K753" t="n">
        <v>0</v>
      </c>
      <c r="L753" t="n">
        <v>0</v>
      </c>
      <c r="M753" t="n">
        <v>0</v>
      </c>
      <c r="N753" t="n">
        <v>0</v>
      </c>
      <c r="O753" t="n">
        <v>0</v>
      </c>
      <c r="P753" t="n">
        <v>0</v>
      </c>
      <c r="Q753" t="n">
        <v>0</v>
      </c>
      <c r="R753" s="2" t="inlineStr"/>
    </row>
    <row r="754" ht="15" customHeight="1">
      <c r="A754" t="inlineStr">
        <is>
          <t>A 41793-2025</t>
        </is>
      </c>
      <c r="B754" s="1" t="n">
        <v>45902</v>
      </c>
      <c r="C754" s="1" t="n">
        <v>46180</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19813-2026</t>
        </is>
      </c>
      <c r="B755" s="1" t="n">
        <v>46135.56923611111</v>
      </c>
      <c r="C755" s="1" t="n">
        <v>46180</v>
      </c>
      <c r="D755" t="inlineStr">
        <is>
          <t>SÖDERMANLANDS LÄN</t>
        </is>
      </c>
      <c r="E755" t="inlineStr">
        <is>
          <t>KATRINEHOLM</t>
        </is>
      </c>
      <c r="G755" t="n">
        <v>4.7</v>
      </c>
      <c r="H755" t="n">
        <v>0</v>
      </c>
      <c r="I755" t="n">
        <v>0</v>
      </c>
      <c r="J755" t="n">
        <v>0</v>
      </c>
      <c r="K755" t="n">
        <v>0</v>
      </c>
      <c r="L755" t="n">
        <v>0</v>
      </c>
      <c r="M755" t="n">
        <v>0</v>
      </c>
      <c r="N755" t="n">
        <v>0</v>
      </c>
      <c r="O755" t="n">
        <v>0</v>
      </c>
      <c r="P755" t="n">
        <v>0</v>
      </c>
      <c r="Q755" t="n">
        <v>0</v>
      </c>
      <c r="R755" s="2" t="inlineStr"/>
    </row>
    <row r="756" ht="15" customHeight="1">
      <c r="A756" t="inlineStr">
        <is>
          <t>A 18309-2026</t>
        </is>
      </c>
      <c r="B756" s="1" t="n">
        <v>46126.46756944444</v>
      </c>
      <c r="C756" s="1" t="n">
        <v>46180</v>
      </c>
      <c r="D756" t="inlineStr">
        <is>
          <t>SÖDERMANLANDS LÄN</t>
        </is>
      </c>
      <c r="E756" t="inlineStr">
        <is>
          <t>KATRINEHOLM</t>
        </is>
      </c>
      <c r="G756" t="n">
        <v>1.9</v>
      </c>
      <c r="H756" t="n">
        <v>0</v>
      </c>
      <c r="I756" t="n">
        <v>0</v>
      </c>
      <c r="J756" t="n">
        <v>0</v>
      </c>
      <c r="K756" t="n">
        <v>0</v>
      </c>
      <c r="L756" t="n">
        <v>0</v>
      </c>
      <c r="M756" t="n">
        <v>0</v>
      </c>
      <c r="N756" t="n">
        <v>0</v>
      </c>
      <c r="O756" t="n">
        <v>0</v>
      </c>
      <c r="P756" t="n">
        <v>0</v>
      </c>
      <c r="Q756" t="n">
        <v>0</v>
      </c>
      <c r="R756" s="2" t="inlineStr"/>
    </row>
    <row r="757" ht="15" customHeight="1">
      <c r="A757" t="inlineStr">
        <is>
          <t>A 20202-2026</t>
        </is>
      </c>
      <c r="B757" s="1" t="n">
        <v>46136</v>
      </c>
      <c r="C757" s="1" t="n">
        <v>46180</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22336-2025</t>
        </is>
      </c>
      <c r="B758" s="1" t="n">
        <v>45786.44217592593</v>
      </c>
      <c r="C758" s="1" t="n">
        <v>46180</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20200-2026</t>
        </is>
      </c>
      <c r="B759" s="1" t="n">
        <v>46136</v>
      </c>
      <c r="C759" s="1" t="n">
        <v>46180</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22113-2025</t>
        </is>
      </c>
      <c r="B760" s="1" t="n">
        <v>45785</v>
      </c>
      <c r="C760" s="1" t="n">
        <v>46180</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28304-2024</t>
        </is>
      </c>
      <c r="B761" s="1" t="n">
        <v>45477</v>
      </c>
      <c r="C761" s="1" t="n">
        <v>46180</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33815-2025</t>
        </is>
      </c>
      <c r="B762" s="1" t="n">
        <v>45842</v>
      </c>
      <c r="C762" s="1" t="n">
        <v>46180</v>
      </c>
      <c r="D762" t="inlineStr">
        <is>
          <t>SÖDERMANLANDS LÄN</t>
        </is>
      </c>
      <c r="E762" t="inlineStr">
        <is>
          <t>KATRINEHOLM</t>
        </is>
      </c>
      <c r="G762" t="n">
        <v>3.4</v>
      </c>
      <c r="H762" t="n">
        <v>0</v>
      </c>
      <c r="I762" t="n">
        <v>0</v>
      </c>
      <c r="J762" t="n">
        <v>0</v>
      </c>
      <c r="K762" t="n">
        <v>0</v>
      </c>
      <c r="L762" t="n">
        <v>0</v>
      </c>
      <c r="M762" t="n">
        <v>0</v>
      </c>
      <c r="N762" t="n">
        <v>0</v>
      </c>
      <c r="O762" t="n">
        <v>0</v>
      </c>
      <c r="P762" t="n">
        <v>0</v>
      </c>
      <c r="Q762" t="n">
        <v>0</v>
      </c>
      <c r="R762" s="2" t="inlineStr"/>
    </row>
    <row r="763" ht="15" customHeight="1">
      <c r="A763" t="inlineStr">
        <is>
          <t>A 30386-2025</t>
        </is>
      </c>
      <c r="B763" s="1" t="n">
        <v>45827</v>
      </c>
      <c r="C763" s="1" t="n">
        <v>46180</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30402-2025</t>
        </is>
      </c>
      <c r="B764" s="1" t="n">
        <v>45827</v>
      </c>
      <c r="C764" s="1" t="n">
        <v>46180</v>
      </c>
      <c r="D764" t="inlineStr">
        <is>
          <t>SÖDERMANLANDS LÄN</t>
        </is>
      </c>
      <c r="E764" t="inlineStr">
        <is>
          <t>KATRINEHOLM</t>
        </is>
      </c>
      <c r="G764" t="n">
        <v>7.1</v>
      </c>
      <c r="H764" t="n">
        <v>0</v>
      </c>
      <c r="I764" t="n">
        <v>0</v>
      </c>
      <c r="J764" t="n">
        <v>0</v>
      </c>
      <c r="K764" t="n">
        <v>0</v>
      </c>
      <c r="L764" t="n">
        <v>0</v>
      </c>
      <c r="M764" t="n">
        <v>0</v>
      </c>
      <c r="N764" t="n">
        <v>0</v>
      </c>
      <c r="O764" t="n">
        <v>0</v>
      </c>
      <c r="P764" t="n">
        <v>0</v>
      </c>
      <c r="Q764" t="n">
        <v>0</v>
      </c>
      <c r="R764" s="2" t="inlineStr"/>
    </row>
    <row r="765" ht="15" customHeight="1">
      <c r="A765" t="inlineStr">
        <is>
          <t>A 30350-2025</t>
        </is>
      </c>
      <c r="B765" s="1" t="n">
        <v>45827.53319444445</v>
      </c>
      <c r="C765" s="1" t="n">
        <v>46180</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46524-2025</t>
        </is>
      </c>
      <c r="B766" s="1" t="n">
        <v>45926</v>
      </c>
      <c r="C766" s="1" t="n">
        <v>46180</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54395-2025</t>
        </is>
      </c>
      <c r="B767" s="1" t="n">
        <v>45964</v>
      </c>
      <c r="C767" s="1" t="n">
        <v>46180</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30287-2025</t>
        </is>
      </c>
      <c r="B768" s="1" t="n">
        <v>45827</v>
      </c>
      <c r="C768" s="1" t="n">
        <v>46180</v>
      </c>
      <c r="D768" t="inlineStr">
        <is>
          <t>SÖDERMANLANDS LÄN</t>
        </is>
      </c>
      <c r="E768" t="inlineStr">
        <is>
          <t>KATRINEHOLM</t>
        </is>
      </c>
      <c r="G768" t="n">
        <v>10.2</v>
      </c>
      <c r="H768" t="n">
        <v>0</v>
      </c>
      <c r="I768" t="n">
        <v>0</v>
      </c>
      <c r="J768" t="n">
        <v>0</v>
      </c>
      <c r="K768" t="n">
        <v>0</v>
      </c>
      <c r="L768" t="n">
        <v>0</v>
      </c>
      <c r="M768" t="n">
        <v>0</v>
      </c>
      <c r="N768" t="n">
        <v>0</v>
      </c>
      <c r="O768" t="n">
        <v>0</v>
      </c>
      <c r="P768" t="n">
        <v>0</v>
      </c>
      <c r="Q768" t="n">
        <v>0</v>
      </c>
      <c r="R768" s="2" t="inlineStr"/>
    </row>
    <row r="769" ht="15" customHeight="1">
      <c r="A769" t="inlineStr">
        <is>
          <t>A 28317-2024</t>
        </is>
      </c>
      <c r="B769" s="1" t="n">
        <v>45477</v>
      </c>
      <c r="C769" s="1" t="n">
        <v>46180</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28931-2024</t>
        </is>
      </c>
      <c r="B770" s="1" t="n">
        <v>45479</v>
      </c>
      <c r="C770" s="1" t="n">
        <v>46180</v>
      </c>
      <c r="D770" t="inlineStr">
        <is>
          <t>SÖDERMANLANDS LÄN</t>
        </is>
      </c>
      <c r="E770" t="inlineStr">
        <is>
          <t>KATRINEHOLM</t>
        </is>
      </c>
      <c r="G770" t="n">
        <v>7.4</v>
      </c>
      <c r="H770" t="n">
        <v>0</v>
      </c>
      <c r="I770" t="n">
        <v>0</v>
      </c>
      <c r="J770" t="n">
        <v>0</v>
      </c>
      <c r="K770" t="n">
        <v>0</v>
      </c>
      <c r="L770" t="n">
        <v>0</v>
      </c>
      <c r="M770" t="n">
        <v>0</v>
      </c>
      <c r="N770" t="n">
        <v>0</v>
      </c>
      <c r="O770" t="n">
        <v>0</v>
      </c>
      <c r="P770" t="n">
        <v>0</v>
      </c>
      <c r="Q770" t="n">
        <v>0</v>
      </c>
      <c r="R770" s="2" t="inlineStr"/>
    </row>
    <row r="771">
      <c r="A771" t="inlineStr">
        <is>
          <t>A 41498-2025</t>
        </is>
      </c>
      <c r="B771" s="1" t="n">
        <v>45901.49755787037</v>
      </c>
      <c r="C771" s="1" t="n">
        <v>46180</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2026-06-07T10:31:15Z</dcterms:created>
  <dcterms:modified xmlns:dcterms="http://purl.org/dc/terms/" xmlns:xsi="http://www.w3.org/2001/XMLSchema-instance" xsi:type="dcterms:W3CDTF">2026-06-07T10:31:16Z</dcterms:modified>
</cp:coreProperties>
</file>