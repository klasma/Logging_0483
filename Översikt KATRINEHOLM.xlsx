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46035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46035</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46035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46035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46035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46035</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46035</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58684-2025</t>
        </is>
      </c>
      <c r="B19" s="1" t="n">
        <v>45986.56953703704</v>
      </c>
      <c r="C19" s="1" t="n">
        <v>46035</v>
      </c>
      <c r="D19" t="inlineStr">
        <is>
          <t>SÖDERMANLANDS LÄN</t>
        </is>
      </c>
      <c r="E19" t="inlineStr">
        <is>
          <t>KATRINEHOLM</t>
        </is>
      </c>
      <c r="G19" t="n">
        <v>3.1</v>
      </c>
      <c r="H19" t="n">
        <v>2</v>
      </c>
      <c r="I19" t="n">
        <v>1</v>
      </c>
      <c r="J19" t="n">
        <v>0</v>
      </c>
      <c r="K19" t="n">
        <v>0</v>
      </c>
      <c r="L19" t="n">
        <v>0</v>
      </c>
      <c r="M19" t="n">
        <v>0</v>
      </c>
      <c r="N19" t="n">
        <v>0</v>
      </c>
      <c r="O19" t="n">
        <v>0</v>
      </c>
      <c r="P19" t="n">
        <v>0</v>
      </c>
      <c r="Q19" t="n">
        <v>3</v>
      </c>
      <c r="R19" s="2" t="inlineStr">
        <is>
          <t>Grönpyrola
Mattlummer
Revlummer</t>
        </is>
      </c>
      <c r="S19">
        <f>HYPERLINK("https://klasma.github.io/Logging_0483/artfynd/A 58684-2025 artfynd.xlsx", "A 58684-2025")</f>
        <v/>
      </c>
      <c r="T19">
        <f>HYPERLINK("https://klasma.github.io/Logging_0483/kartor/A 58684-2025 karta.png", "A 58684-2025")</f>
        <v/>
      </c>
      <c r="V19">
        <f>HYPERLINK("https://klasma.github.io/Logging_0483/klagomål/A 58684-2025 FSC-klagomål.docx", "A 58684-2025")</f>
        <v/>
      </c>
      <c r="W19">
        <f>HYPERLINK("https://klasma.github.io/Logging_0483/klagomålsmail/A 58684-2025 FSC-klagomål mail.docx", "A 58684-2025")</f>
        <v/>
      </c>
      <c r="X19">
        <f>HYPERLINK("https://klasma.github.io/Logging_0483/tillsyn/A 58684-2025 tillsynsbegäran.docx", "A 58684-2025")</f>
        <v/>
      </c>
      <c r="Y19">
        <f>HYPERLINK("https://klasma.github.io/Logging_0483/tillsynsmail/A 58684-2025 tillsynsbegäran mail.docx", "A 58684-2025")</f>
        <v/>
      </c>
    </row>
    <row r="20" ht="15" customHeight="1">
      <c r="A20" t="inlineStr">
        <is>
          <t>A 61384-2021</t>
        </is>
      </c>
      <c r="B20" s="1" t="n">
        <v>44500</v>
      </c>
      <c r="C20" s="1" t="n">
        <v>46035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46035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46035</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46035</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46035</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46035</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46035</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46035</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46035</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46035</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46035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46035</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46035</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11890-2023</t>
        </is>
      </c>
      <c r="B35" s="1" t="n">
        <v>44995</v>
      </c>
      <c r="C35" s="1" t="n">
        <v>46035</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48199-2025</t>
        </is>
      </c>
      <c r="B36" s="1" t="n">
        <v>45933.47856481482</v>
      </c>
      <c r="C36" s="1" t="n">
        <v>46035</v>
      </c>
      <c r="D36" t="inlineStr">
        <is>
          <t>SÖDERMANLANDS LÄN</t>
        </is>
      </c>
      <c r="E36" t="inlineStr">
        <is>
          <t>KATRINEHOLM</t>
        </is>
      </c>
      <c r="G36" t="n">
        <v>4.4</v>
      </c>
      <c r="H36" t="n">
        <v>1</v>
      </c>
      <c r="I36" t="n">
        <v>0</v>
      </c>
      <c r="J36" t="n">
        <v>0</v>
      </c>
      <c r="K36" t="n">
        <v>0</v>
      </c>
      <c r="L36" t="n">
        <v>0</v>
      </c>
      <c r="M36" t="n">
        <v>0</v>
      </c>
      <c r="N36" t="n">
        <v>0</v>
      </c>
      <c r="O36" t="n">
        <v>0</v>
      </c>
      <c r="P36" t="n">
        <v>0</v>
      </c>
      <c r="Q36" t="n">
        <v>1</v>
      </c>
      <c r="R36" s="2" t="inlineStr">
        <is>
          <t>Gröngöling</t>
        </is>
      </c>
      <c r="S36">
        <f>HYPERLINK("https://klasma.github.io/Logging_0483/artfynd/A 48199-2025 artfynd.xlsx", "A 48199-2025")</f>
        <v/>
      </c>
      <c r="T36">
        <f>HYPERLINK("https://klasma.github.io/Logging_0483/kartor/A 48199-2025 karta.png", "A 48199-2025")</f>
        <v/>
      </c>
      <c r="V36">
        <f>HYPERLINK("https://klasma.github.io/Logging_0483/klagomål/A 48199-2025 FSC-klagomål.docx", "A 48199-2025")</f>
        <v/>
      </c>
      <c r="W36">
        <f>HYPERLINK("https://klasma.github.io/Logging_0483/klagomålsmail/A 48199-2025 FSC-klagomål mail.docx", "A 48199-2025")</f>
        <v/>
      </c>
      <c r="X36">
        <f>HYPERLINK("https://klasma.github.io/Logging_0483/tillsyn/A 48199-2025 tillsynsbegäran.docx", "A 48199-2025")</f>
        <v/>
      </c>
      <c r="Y36">
        <f>HYPERLINK("https://klasma.github.io/Logging_0483/tillsynsmail/A 48199-2025 tillsynsbegäran mail.docx", "A 48199-2025")</f>
        <v/>
      </c>
      <c r="Z36">
        <f>HYPERLINK("https://klasma.github.io/Logging_0483/fåglar/A 48199-2025 prioriterade fågelarter.docx", "A 48199-2025")</f>
        <v/>
      </c>
    </row>
    <row r="37" ht="15" customHeight="1">
      <c r="A37" t="inlineStr">
        <is>
          <t>A 22474-2025</t>
        </is>
      </c>
      <c r="B37" s="1" t="n">
        <v>45786.62152777778</v>
      </c>
      <c r="C37" s="1" t="n">
        <v>46035</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56074-2022</t>
        </is>
      </c>
      <c r="B38" s="1" t="n">
        <v>44889</v>
      </c>
      <c r="C38" s="1" t="n">
        <v>46035</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42055-2025</t>
        </is>
      </c>
      <c r="B39" s="1" t="n">
        <v>45903</v>
      </c>
      <c r="C39" s="1" t="n">
        <v>46035</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41980-2025</t>
        </is>
      </c>
      <c r="B40" s="1" t="n">
        <v>45903</v>
      </c>
      <c r="C40" s="1" t="n">
        <v>46035</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27926-2025</t>
        </is>
      </c>
      <c r="B41" s="1" t="n">
        <v>45814</v>
      </c>
      <c r="C41" s="1" t="n">
        <v>46035</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16458-2022</t>
        </is>
      </c>
      <c r="B42" s="1" t="n">
        <v>44671</v>
      </c>
      <c r="C42" s="1" t="n">
        <v>46035</v>
      </c>
      <c r="D42" t="inlineStr">
        <is>
          <t>SÖDERMANLANDS LÄN</t>
        </is>
      </c>
      <c r="E42" t="inlineStr">
        <is>
          <t>KATRINEHOLM</t>
        </is>
      </c>
      <c r="G42" t="n">
        <v>16.4</v>
      </c>
      <c r="H42" t="n">
        <v>1</v>
      </c>
      <c r="I42" t="n">
        <v>0</v>
      </c>
      <c r="J42" t="n">
        <v>1</v>
      </c>
      <c r="K42" t="n">
        <v>0</v>
      </c>
      <c r="L42" t="n">
        <v>0</v>
      </c>
      <c r="M42" t="n">
        <v>0</v>
      </c>
      <c r="N42" t="n">
        <v>0</v>
      </c>
      <c r="O42" t="n">
        <v>1</v>
      </c>
      <c r="P42" t="n">
        <v>0</v>
      </c>
      <c r="Q42" t="n">
        <v>1</v>
      </c>
      <c r="R42" s="2" t="inlineStr">
        <is>
          <t>Duvhök</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23568-2023</t>
        </is>
      </c>
      <c r="B43" s="1" t="n">
        <v>45077</v>
      </c>
      <c r="C43" s="1" t="n">
        <v>46035</v>
      </c>
      <c r="D43" t="inlineStr">
        <is>
          <t>SÖDERMANLANDS LÄN</t>
        </is>
      </c>
      <c r="E43" t="inlineStr">
        <is>
          <t>KATRINEHOLM</t>
        </is>
      </c>
      <c r="F43" t="inlineStr">
        <is>
          <t>Kommuner</t>
        </is>
      </c>
      <c r="G43" t="n">
        <v>1.4</v>
      </c>
      <c r="H43" t="n">
        <v>0</v>
      </c>
      <c r="I43" t="n">
        <v>0</v>
      </c>
      <c r="J43" t="n">
        <v>1</v>
      </c>
      <c r="K43" t="n">
        <v>0</v>
      </c>
      <c r="L43" t="n">
        <v>0</v>
      </c>
      <c r="M43" t="n">
        <v>0</v>
      </c>
      <c r="N43" t="n">
        <v>0</v>
      </c>
      <c r="O43" t="n">
        <v>1</v>
      </c>
      <c r="P43" t="n">
        <v>0</v>
      </c>
      <c r="Q43" t="n">
        <v>1</v>
      </c>
      <c r="R43" s="2" t="inlineStr">
        <is>
          <t>Fyrflikig jordstjärna</t>
        </is>
      </c>
      <c r="S43">
        <f>HYPERLINK("https://klasma.github.io/Logging_0483/artfynd/A 23568-2023 artfynd.xlsx", "A 23568-2023")</f>
        <v/>
      </c>
      <c r="T43">
        <f>HYPERLINK("https://klasma.github.io/Logging_0483/kartor/A 23568-2023 karta.png", "A 23568-2023")</f>
        <v/>
      </c>
      <c r="V43">
        <f>HYPERLINK("https://klasma.github.io/Logging_0483/klagomål/A 23568-2023 FSC-klagomål.docx", "A 23568-2023")</f>
        <v/>
      </c>
      <c r="W43">
        <f>HYPERLINK("https://klasma.github.io/Logging_0483/klagomålsmail/A 23568-2023 FSC-klagomål mail.docx", "A 23568-2023")</f>
        <v/>
      </c>
      <c r="X43">
        <f>HYPERLINK("https://klasma.github.io/Logging_0483/tillsyn/A 23568-2023 tillsynsbegäran.docx", "A 23568-2023")</f>
        <v/>
      </c>
      <c r="Y43">
        <f>HYPERLINK("https://klasma.github.io/Logging_0483/tillsynsmail/A 23568-2023 tillsynsbegäran mail.docx", "A 23568-2023")</f>
        <v/>
      </c>
    </row>
    <row r="44" ht="15" customHeight="1">
      <c r="A44" t="inlineStr">
        <is>
          <t>A 57519-2021</t>
        </is>
      </c>
      <c r="B44" s="1" t="n">
        <v>44483</v>
      </c>
      <c r="C44" s="1" t="n">
        <v>46035</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44486-2023</t>
        </is>
      </c>
      <c r="B45" s="1" t="n">
        <v>45183</v>
      </c>
      <c r="C45" s="1" t="n">
        <v>46035</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35163-2025</t>
        </is>
      </c>
      <c r="B46" s="1" t="n">
        <v>45852.71136574074</v>
      </c>
      <c r="C46" s="1" t="n">
        <v>46035</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44632-2023</t>
        </is>
      </c>
      <c r="B47" s="1" t="n">
        <v>45184</v>
      </c>
      <c r="C47" s="1" t="n">
        <v>46035</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33801-2023</t>
        </is>
      </c>
      <c r="B48" s="1" t="n">
        <v>45133</v>
      </c>
      <c r="C48" s="1" t="n">
        <v>46035</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46035</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55700-2025</t>
        </is>
      </c>
      <c r="B50" s="1" t="n">
        <v>45972.45605324074</v>
      </c>
      <c r="C50" s="1" t="n">
        <v>46035</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45530-2023</t>
        </is>
      </c>
      <c r="B51" s="1" t="n">
        <v>45188</v>
      </c>
      <c r="C51" s="1" t="n">
        <v>46035</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63946-2025</t>
        </is>
      </c>
      <c r="B52" s="1" t="n">
        <v>46010</v>
      </c>
      <c r="C52" s="1" t="n">
        <v>46035</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46035</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7305-2024</t>
        </is>
      </c>
      <c r="B54" s="1" t="n">
        <v>45344</v>
      </c>
      <c r="C54" s="1" t="n">
        <v>46035</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46035</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46035</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46035</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46035</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46035</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46035</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46035</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46035</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36856-2021</t>
        </is>
      </c>
      <c r="B63" s="1" t="n">
        <v>44393</v>
      </c>
      <c r="C63" s="1" t="n">
        <v>46035</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46035</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46035</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46035</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46035</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46035</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46035</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46035</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46035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46035</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46035</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46035</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46035</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46035</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4533-2021</t>
        </is>
      </c>
      <c r="B77" s="1" t="n">
        <v>44223</v>
      </c>
      <c r="C77" s="1" t="n">
        <v>46035</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46035</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46035</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46035</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46035</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46035</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46035</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46035</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46035</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46035</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46035</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46035</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46035</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46035</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46035</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46035</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46035</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46035</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46035</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46035</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46035</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46035</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46035</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46035</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46035</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46035</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46035</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46035</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46035</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46035</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46035</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46035</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46035</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46035</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46035</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46035</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46035</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46035</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46035</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46035</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46035</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46035</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46035</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46035</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46035</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46035</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46035</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46035</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46035</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46035</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64261-2021</t>
        </is>
      </c>
      <c r="B127" s="1" t="n">
        <v>44510</v>
      </c>
      <c r="C127" s="1" t="n">
        <v>46035</v>
      </c>
      <c r="D127" t="inlineStr">
        <is>
          <t>SÖDERMANLANDS LÄN</t>
        </is>
      </c>
      <c r="E127" t="inlineStr">
        <is>
          <t>KATRINEHOLM</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46035</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46035</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46035</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46035</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46035</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46035</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46035</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46035</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46035</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46035</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46035</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46035</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46035</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46035</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46035</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46035</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46035</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46035</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46035</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46035</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46035</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46035</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46035</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46035</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46035</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46035</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46035</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46035</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46035</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46035</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46035</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46035</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46035</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46035</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46035</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46035</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46035</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43967-2022</t>
        </is>
      </c>
      <c r="B165" s="1" t="n">
        <v>44837</v>
      </c>
      <c r="C165" s="1" t="n">
        <v>46035</v>
      </c>
      <c r="D165" t="inlineStr">
        <is>
          <t>SÖDERMANLANDS LÄN</t>
        </is>
      </c>
      <c r="E165" t="inlineStr">
        <is>
          <t>KATRINEHOLM</t>
        </is>
      </c>
      <c r="G165" t="n">
        <v>6.2</v>
      </c>
      <c r="H165" t="n">
        <v>0</v>
      </c>
      <c r="I165" t="n">
        <v>0</v>
      </c>
      <c r="J165" t="n">
        <v>0</v>
      </c>
      <c r="K165" t="n">
        <v>0</v>
      </c>
      <c r="L165" t="n">
        <v>0</v>
      </c>
      <c r="M165" t="n">
        <v>0</v>
      </c>
      <c r="N165" t="n">
        <v>0</v>
      </c>
      <c r="O165" t="n">
        <v>0</v>
      </c>
      <c r="P165" t="n">
        <v>0</v>
      </c>
      <c r="Q165" t="n">
        <v>0</v>
      </c>
      <c r="R165" s="2" t="inlineStr"/>
    </row>
    <row r="166" ht="15" customHeight="1">
      <c r="A166" t="inlineStr">
        <is>
          <t>A 44012-2022</t>
        </is>
      </c>
      <c r="B166" s="1" t="n">
        <v>44838</v>
      </c>
      <c r="C166" s="1" t="n">
        <v>46035</v>
      </c>
      <c r="D166" t="inlineStr">
        <is>
          <t>SÖDERMANLANDS LÄN</t>
        </is>
      </c>
      <c r="E166" t="inlineStr">
        <is>
          <t>KATRINEHOLM</t>
        </is>
      </c>
      <c r="G166" t="n">
        <v>0.4</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46035</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46035</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46035</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46035</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46035</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46035</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46035</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46035</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46035</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46035</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46035</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46035</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46035</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46035</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46035</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54698-2021</t>
        </is>
      </c>
      <c r="B182" s="1" t="n">
        <v>44473</v>
      </c>
      <c r="C182" s="1" t="n">
        <v>46035</v>
      </c>
      <c r="D182" t="inlineStr">
        <is>
          <t>SÖDERMANLANDS LÄN</t>
        </is>
      </c>
      <c r="E182" t="inlineStr">
        <is>
          <t>KATRINEHOLM</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46035</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46035</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46035</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51885-2022</t>
        </is>
      </c>
      <c r="B186" s="1" t="n">
        <v>44872.60384259259</v>
      </c>
      <c r="C186" s="1" t="n">
        <v>46035</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42735-2022</t>
        </is>
      </c>
      <c r="B187" s="1" t="n">
        <v>44832</v>
      </c>
      <c r="C187" s="1" t="n">
        <v>46035</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46035</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46035</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46035</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46035</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46035</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46035</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46035</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46035</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46035</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46035</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34040-2022</t>
        </is>
      </c>
      <c r="B198" s="1" t="n">
        <v>44790</v>
      </c>
      <c r="C198" s="1" t="n">
        <v>46035</v>
      </c>
      <c r="D198" t="inlineStr">
        <is>
          <t>SÖDERMANLANDS LÄN</t>
        </is>
      </c>
      <c r="E198" t="inlineStr">
        <is>
          <t>KATRINEHOLM</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58473-2021</t>
        </is>
      </c>
      <c r="B199" s="1" t="n">
        <v>44488</v>
      </c>
      <c r="C199" s="1" t="n">
        <v>46035</v>
      </c>
      <c r="D199" t="inlineStr">
        <is>
          <t>SÖDERMANLANDS LÄN</t>
        </is>
      </c>
      <c r="E199" t="inlineStr">
        <is>
          <t>KATRINEHOLM</t>
        </is>
      </c>
      <c r="G199" t="n">
        <v>0.5</v>
      </c>
      <c r="H199" t="n">
        <v>0</v>
      </c>
      <c r="I199" t="n">
        <v>0</v>
      </c>
      <c r="J199" t="n">
        <v>0</v>
      </c>
      <c r="K199" t="n">
        <v>0</v>
      </c>
      <c r="L199" t="n">
        <v>0</v>
      </c>
      <c r="M199" t="n">
        <v>0</v>
      </c>
      <c r="N199" t="n">
        <v>0</v>
      </c>
      <c r="O199" t="n">
        <v>0</v>
      </c>
      <c r="P199" t="n">
        <v>0</v>
      </c>
      <c r="Q199" t="n">
        <v>0</v>
      </c>
      <c r="R199" s="2" t="inlineStr"/>
    </row>
    <row r="200" ht="15" customHeight="1">
      <c r="A200" t="inlineStr">
        <is>
          <t>A 7705-2021</t>
        </is>
      </c>
      <c r="B200" s="1" t="n">
        <v>44242</v>
      </c>
      <c r="C200" s="1" t="n">
        <v>46035</v>
      </c>
      <c r="D200" t="inlineStr">
        <is>
          <t>SÖDERMANLANDS LÄN</t>
        </is>
      </c>
      <c r="E200" t="inlineStr">
        <is>
          <t>KATRINEHOLM</t>
        </is>
      </c>
      <c r="F200" t="inlineStr">
        <is>
          <t>Allmännings- och besparingsskogar</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35188-2022</t>
        </is>
      </c>
      <c r="B201" s="1" t="n">
        <v>44797</v>
      </c>
      <c r="C201" s="1" t="n">
        <v>46035</v>
      </c>
      <c r="D201" t="inlineStr">
        <is>
          <t>SÖDERMANLANDS LÄN</t>
        </is>
      </c>
      <c r="E201" t="inlineStr">
        <is>
          <t>KATRINEHOLM</t>
        </is>
      </c>
      <c r="G201" t="n">
        <v>3</v>
      </c>
      <c r="H201" t="n">
        <v>0</v>
      </c>
      <c r="I201" t="n">
        <v>0</v>
      </c>
      <c r="J201" t="n">
        <v>0</v>
      </c>
      <c r="K201" t="n">
        <v>0</v>
      </c>
      <c r="L201" t="n">
        <v>0</v>
      </c>
      <c r="M201" t="n">
        <v>0</v>
      </c>
      <c r="N201" t="n">
        <v>0</v>
      </c>
      <c r="O201" t="n">
        <v>0</v>
      </c>
      <c r="P201" t="n">
        <v>0</v>
      </c>
      <c r="Q201" t="n">
        <v>0</v>
      </c>
      <c r="R201" s="2" t="inlineStr"/>
    </row>
    <row r="202" ht="15" customHeight="1">
      <c r="A202" t="inlineStr">
        <is>
          <t>A 46569-2022</t>
        </is>
      </c>
      <c r="B202" s="1" t="n">
        <v>44847</v>
      </c>
      <c r="C202" s="1" t="n">
        <v>46035</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46035</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46035</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46035</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46035</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20949-2021</t>
        </is>
      </c>
      <c r="B207" s="1" t="n">
        <v>44319</v>
      </c>
      <c r="C207" s="1" t="n">
        <v>46035</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36210-2022</t>
        </is>
      </c>
      <c r="B208" s="1" t="n">
        <v>44803.47950231482</v>
      </c>
      <c r="C208" s="1" t="n">
        <v>46035</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2683-2025</t>
        </is>
      </c>
      <c r="B209" s="1" t="n">
        <v>45677</v>
      </c>
      <c r="C209" s="1" t="n">
        <v>46035</v>
      </c>
      <c r="D209" t="inlineStr">
        <is>
          <t>SÖDERMANLANDS LÄN</t>
        </is>
      </c>
      <c r="E209" t="inlineStr">
        <is>
          <t>KATRINEHOLM</t>
        </is>
      </c>
      <c r="G209" t="n">
        <v>0.8</v>
      </c>
      <c r="H209" t="n">
        <v>0</v>
      </c>
      <c r="I209" t="n">
        <v>0</v>
      </c>
      <c r="J209" t="n">
        <v>0</v>
      </c>
      <c r="K209" t="n">
        <v>0</v>
      </c>
      <c r="L209" t="n">
        <v>0</v>
      </c>
      <c r="M209" t="n">
        <v>0</v>
      </c>
      <c r="N209" t="n">
        <v>0</v>
      </c>
      <c r="O209" t="n">
        <v>0</v>
      </c>
      <c r="P209" t="n">
        <v>0</v>
      </c>
      <c r="Q209" t="n">
        <v>0</v>
      </c>
      <c r="R209" s="2" t="inlineStr"/>
    </row>
    <row r="210" ht="15" customHeight="1">
      <c r="A210" t="inlineStr">
        <is>
          <t>A 3090-2025</t>
        </is>
      </c>
      <c r="B210" s="1" t="n">
        <v>45678</v>
      </c>
      <c r="C210" s="1" t="n">
        <v>46035</v>
      </c>
      <c r="D210" t="inlineStr">
        <is>
          <t>SÖDERMANLANDS LÄN</t>
        </is>
      </c>
      <c r="E210" t="inlineStr">
        <is>
          <t>KATRINEHOLM</t>
        </is>
      </c>
      <c r="F210" t="inlineStr">
        <is>
          <t>Kyrkan</t>
        </is>
      </c>
      <c r="G210" t="n">
        <v>6.9</v>
      </c>
      <c r="H210" t="n">
        <v>0</v>
      </c>
      <c r="I210" t="n">
        <v>0</v>
      </c>
      <c r="J210" t="n">
        <v>0</v>
      </c>
      <c r="K210" t="n">
        <v>0</v>
      </c>
      <c r="L210" t="n">
        <v>0</v>
      </c>
      <c r="M210" t="n">
        <v>0</v>
      </c>
      <c r="N210" t="n">
        <v>0</v>
      </c>
      <c r="O210" t="n">
        <v>0</v>
      </c>
      <c r="P210" t="n">
        <v>0</v>
      </c>
      <c r="Q210" t="n">
        <v>0</v>
      </c>
      <c r="R210" s="2" t="inlineStr"/>
    </row>
    <row r="211" ht="15" customHeight="1">
      <c r="A211" t="inlineStr">
        <is>
          <t>A 48682-2022</t>
        </is>
      </c>
      <c r="B211" s="1" t="n">
        <v>44859</v>
      </c>
      <c r="C211" s="1" t="n">
        <v>46035</v>
      </c>
      <c r="D211" t="inlineStr">
        <is>
          <t>SÖDERMANLANDS LÄN</t>
        </is>
      </c>
      <c r="E211" t="inlineStr">
        <is>
          <t>KATRINEHOLM</t>
        </is>
      </c>
      <c r="G211" t="n">
        <v>2</v>
      </c>
      <c r="H211" t="n">
        <v>0</v>
      </c>
      <c r="I211" t="n">
        <v>0</v>
      </c>
      <c r="J211" t="n">
        <v>0</v>
      </c>
      <c r="K211" t="n">
        <v>0</v>
      </c>
      <c r="L211" t="n">
        <v>0</v>
      </c>
      <c r="M211" t="n">
        <v>0</v>
      </c>
      <c r="N211" t="n">
        <v>0</v>
      </c>
      <c r="O211" t="n">
        <v>0</v>
      </c>
      <c r="P211" t="n">
        <v>0</v>
      </c>
      <c r="Q211" t="n">
        <v>0</v>
      </c>
      <c r="R211" s="2" t="inlineStr"/>
    </row>
    <row r="212" ht="15" customHeight="1">
      <c r="A212" t="inlineStr">
        <is>
          <t>A 61410-2024</t>
        </is>
      </c>
      <c r="B212" s="1" t="n">
        <v>45646.43950231482</v>
      </c>
      <c r="C212" s="1" t="n">
        <v>46035</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35228-2025</t>
        </is>
      </c>
      <c r="B213" s="1" t="n">
        <v>45853</v>
      </c>
      <c r="C213" s="1" t="n">
        <v>46035</v>
      </c>
      <c r="D213" t="inlineStr">
        <is>
          <t>SÖDERMANLANDS LÄN</t>
        </is>
      </c>
      <c r="E213" t="inlineStr">
        <is>
          <t>KATRINEHOLM</t>
        </is>
      </c>
      <c r="G213" t="n">
        <v>1.1</v>
      </c>
      <c r="H213" t="n">
        <v>0</v>
      </c>
      <c r="I213" t="n">
        <v>0</v>
      </c>
      <c r="J213" t="n">
        <v>0</v>
      </c>
      <c r="K213" t="n">
        <v>0</v>
      </c>
      <c r="L213" t="n">
        <v>0</v>
      </c>
      <c r="M213" t="n">
        <v>0</v>
      </c>
      <c r="N213" t="n">
        <v>0</v>
      </c>
      <c r="O213" t="n">
        <v>0</v>
      </c>
      <c r="P213" t="n">
        <v>0</v>
      </c>
      <c r="Q213" t="n">
        <v>0</v>
      </c>
      <c r="R213" s="2" t="inlineStr"/>
    </row>
    <row r="214" ht="15" customHeight="1">
      <c r="A214" t="inlineStr">
        <is>
          <t>A 3315-2023</t>
        </is>
      </c>
      <c r="B214" s="1" t="n">
        <v>44945</v>
      </c>
      <c r="C214" s="1" t="n">
        <v>46035</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7867-2024</t>
        </is>
      </c>
      <c r="B215" s="1" t="n">
        <v>45350.32991898148</v>
      </c>
      <c r="C215" s="1" t="n">
        <v>46035</v>
      </c>
      <c r="D215" t="inlineStr">
        <is>
          <t>SÖDERMANLANDS LÄN</t>
        </is>
      </c>
      <c r="E215" t="inlineStr">
        <is>
          <t>KATRINEHOLM</t>
        </is>
      </c>
      <c r="F215" t="inlineStr">
        <is>
          <t>Kyrkan</t>
        </is>
      </c>
      <c r="G215" t="n">
        <v>3.3</v>
      </c>
      <c r="H215" t="n">
        <v>0</v>
      </c>
      <c r="I215" t="n">
        <v>0</v>
      </c>
      <c r="J215" t="n">
        <v>0</v>
      </c>
      <c r="K215" t="n">
        <v>0</v>
      </c>
      <c r="L215" t="n">
        <v>0</v>
      </c>
      <c r="M215" t="n">
        <v>0</v>
      </c>
      <c r="N215" t="n">
        <v>0</v>
      </c>
      <c r="O215" t="n">
        <v>0</v>
      </c>
      <c r="P215" t="n">
        <v>0</v>
      </c>
      <c r="Q215" t="n">
        <v>0</v>
      </c>
      <c r="R215" s="2" t="inlineStr"/>
    </row>
    <row r="216" ht="15" customHeight="1">
      <c r="A216" t="inlineStr">
        <is>
          <t>A 38869-2024</t>
        </is>
      </c>
      <c r="B216" s="1" t="n">
        <v>45547</v>
      </c>
      <c r="C216" s="1" t="n">
        <v>46035</v>
      </c>
      <c r="D216" t="inlineStr">
        <is>
          <t>SÖDERMANLANDS LÄN</t>
        </is>
      </c>
      <c r="E216" t="inlineStr">
        <is>
          <t>KATRINEHOLM</t>
        </is>
      </c>
      <c r="G216" t="n">
        <v>2.2</v>
      </c>
      <c r="H216" t="n">
        <v>0</v>
      </c>
      <c r="I216" t="n">
        <v>0</v>
      </c>
      <c r="J216" t="n">
        <v>0</v>
      </c>
      <c r="K216" t="n">
        <v>0</v>
      </c>
      <c r="L216" t="n">
        <v>0</v>
      </c>
      <c r="M216" t="n">
        <v>0</v>
      </c>
      <c r="N216" t="n">
        <v>0</v>
      </c>
      <c r="O216" t="n">
        <v>0</v>
      </c>
      <c r="P216" t="n">
        <v>0</v>
      </c>
      <c r="Q216" t="n">
        <v>0</v>
      </c>
      <c r="R216" s="2" t="inlineStr"/>
    </row>
    <row r="217" ht="15" customHeight="1">
      <c r="A217" t="inlineStr">
        <is>
          <t>A 39010-2021</t>
        </is>
      </c>
      <c r="B217" s="1" t="n">
        <v>44412</v>
      </c>
      <c r="C217" s="1" t="n">
        <v>46035</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1091-2025</t>
        </is>
      </c>
      <c r="B218" s="1" t="n">
        <v>45666</v>
      </c>
      <c r="C218" s="1" t="n">
        <v>46035</v>
      </c>
      <c r="D218" t="inlineStr">
        <is>
          <t>SÖDERMANLANDS LÄN</t>
        </is>
      </c>
      <c r="E218" t="inlineStr">
        <is>
          <t>KATRINEHOLM</t>
        </is>
      </c>
      <c r="F218" t="inlineStr">
        <is>
          <t>Övriga Aktiebolag</t>
        </is>
      </c>
      <c r="G218" t="n">
        <v>0.8</v>
      </c>
      <c r="H218" t="n">
        <v>0</v>
      </c>
      <c r="I218" t="n">
        <v>0</v>
      </c>
      <c r="J218" t="n">
        <v>0</v>
      </c>
      <c r="K218" t="n">
        <v>0</v>
      </c>
      <c r="L218" t="n">
        <v>0</v>
      </c>
      <c r="M218" t="n">
        <v>0</v>
      </c>
      <c r="N218" t="n">
        <v>0</v>
      </c>
      <c r="O218" t="n">
        <v>0</v>
      </c>
      <c r="P218" t="n">
        <v>0</v>
      </c>
      <c r="Q218" t="n">
        <v>0</v>
      </c>
      <c r="R218" s="2" t="inlineStr"/>
    </row>
    <row r="219" ht="15" customHeight="1">
      <c r="A219" t="inlineStr">
        <is>
          <t>A 17246-2024</t>
        </is>
      </c>
      <c r="B219" s="1" t="n">
        <v>45414</v>
      </c>
      <c r="C219" s="1" t="n">
        <v>46035</v>
      </c>
      <c r="D219" t="inlineStr">
        <is>
          <t>SÖDERMANLANDS LÄN</t>
        </is>
      </c>
      <c r="E219" t="inlineStr">
        <is>
          <t>KATRINEHOLM</t>
        </is>
      </c>
      <c r="F219" t="inlineStr">
        <is>
          <t>Allmännings- och besparingsskogar</t>
        </is>
      </c>
      <c r="G219" t="n">
        <v>13.7</v>
      </c>
      <c r="H219" t="n">
        <v>0</v>
      </c>
      <c r="I219" t="n">
        <v>0</v>
      </c>
      <c r="J219" t="n">
        <v>0</v>
      </c>
      <c r="K219" t="n">
        <v>0</v>
      </c>
      <c r="L219" t="n">
        <v>0</v>
      </c>
      <c r="M219" t="n">
        <v>0</v>
      </c>
      <c r="N219" t="n">
        <v>0</v>
      </c>
      <c r="O219" t="n">
        <v>0</v>
      </c>
      <c r="P219" t="n">
        <v>0</v>
      </c>
      <c r="Q219" t="n">
        <v>0</v>
      </c>
      <c r="R219" s="2" t="inlineStr"/>
    </row>
    <row r="220" ht="15" customHeight="1">
      <c r="A220" t="inlineStr">
        <is>
          <t>A 20460-2025</t>
        </is>
      </c>
      <c r="B220" s="1" t="n">
        <v>45775.52854166667</v>
      </c>
      <c r="C220" s="1" t="n">
        <v>46035</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9693-2024</t>
        </is>
      </c>
      <c r="B221" s="1" t="n">
        <v>45362</v>
      </c>
      <c r="C221" s="1" t="n">
        <v>46035</v>
      </c>
      <c r="D221" t="inlineStr">
        <is>
          <t>SÖDERMANLANDS LÄN</t>
        </is>
      </c>
      <c r="E221" t="inlineStr">
        <is>
          <t>KATRINEHOLM</t>
        </is>
      </c>
      <c r="G221" t="n">
        <v>5.9</v>
      </c>
      <c r="H221" t="n">
        <v>0</v>
      </c>
      <c r="I221" t="n">
        <v>0</v>
      </c>
      <c r="J221" t="n">
        <v>0</v>
      </c>
      <c r="K221" t="n">
        <v>0</v>
      </c>
      <c r="L221" t="n">
        <v>0</v>
      </c>
      <c r="M221" t="n">
        <v>0</v>
      </c>
      <c r="N221" t="n">
        <v>0</v>
      </c>
      <c r="O221" t="n">
        <v>0</v>
      </c>
      <c r="P221" t="n">
        <v>0</v>
      </c>
      <c r="Q221" t="n">
        <v>0</v>
      </c>
      <c r="R221" s="2" t="inlineStr"/>
    </row>
    <row r="222" ht="15" customHeight="1">
      <c r="A222" t="inlineStr">
        <is>
          <t>A 43964-2022</t>
        </is>
      </c>
      <c r="B222" s="1" t="n">
        <v>44837</v>
      </c>
      <c r="C222" s="1" t="n">
        <v>46035</v>
      </c>
      <c r="D222" t="inlineStr">
        <is>
          <t>SÖDERMANLANDS LÄN</t>
        </is>
      </c>
      <c r="E222" t="inlineStr">
        <is>
          <t>KATRINEHOLM</t>
        </is>
      </c>
      <c r="G222" t="n">
        <v>3.6</v>
      </c>
      <c r="H222" t="n">
        <v>0</v>
      </c>
      <c r="I222" t="n">
        <v>0</v>
      </c>
      <c r="J222" t="n">
        <v>0</v>
      </c>
      <c r="K222" t="n">
        <v>0</v>
      </c>
      <c r="L222" t="n">
        <v>0</v>
      </c>
      <c r="M222" t="n">
        <v>0</v>
      </c>
      <c r="N222" t="n">
        <v>0</v>
      </c>
      <c r="O222" t="n">
        <v>0</v>
      </c>
      <c r="P222" t="n">
        <v>0</v>
      </c>
      <c r="Q222" t="n">
        <v>0</v>
      </c>
      <c r="R222" s="2" t="inlineStr"/>
    </row>
    <row r="223" ht="15" customHeight="1">
      <c r="A223" t="inlineStr">
        <is>
          <t>A 42015-2022</t>
        </is>
      </c>
      <c r="B223" s="1" t="n">
        <v>44830.4649074074</v>
      </c>
      <c r="C223" s="1" t="n">
        <v>46035</v>
      </c>
      <c r="D223" t="inlineStr">
        <is>
          <t>SÖDERMANLANDS LÄN</t>
        </is>
      </c>
      <c r="E223" t="inlineStr">
        <is>
          <t>KATRINEHOLM</t>
        </is>
      </c>
      <c r="G223" t="n">
        <v>3.8</v>
      </c>
      <c r="H223" t="n">
        <v>0</v>
      </c>
      <c r="I223" t="n">
        <v>0</v>
      </c>
      <c r="J223" t="n">
        <v>0</v>
      </c>
      <c r="K223" t="n">
        <v>0</v>
      </c>
      <c r="L223" t="n">
        <v>0</v>
      </c>
      <c r="M223" t="n">
        <v>0</v>
      </c>
      <c r="N223" t="n">
        <v>0</v>
      </c>
      <c r="O223" t="n">
        <v>0</v>
      </c>
      <c r="P223" t="n">
        <v>0</v>
      </c>
      <c r="Q223" t="n">
        <v>0</v>
      </c>
      <c r="R223" s="2" t="inlineStr"/>
    </row>
    <row r="224" ht="15" customHeight="1">
      <c r="A224" t="inlineStr">
        <is>
          <t>A 42020-2022</t>
        </is>
      </c>
      <c r="B224" s="1" t="n">
        <v>44830.46849537037</v>
      </c>
      <c r="C224" s="1" t="n">
        <v>46035</v>
      </c>
      <c r="D224" t="inlineStr">
        <is>
          <t>SÖDERMANLANDS LÄN</t>
        </is>
      </c>
      <c r="E224" t="inlineStr">
        <is>
          <t>KATRINEHOLM</t>
        </is>
      </c>
      <c r="G224" t="n">
        <v>0.8</v>
      </c>
      <c r="H224" t="n">
        <v>0</v>
      </c>
      <c r="I224" t="n">
        <v>0</v>
      </c>
      <c r="J224" t="n">
        <v>0</v>
      </c>
      <c r="K224" t="n">
        <v>0</v>
      </c>
      <c r="L224" t="n">
        <v>0</v>
      </c>
      <c r="M224" t="n">
        <v>0</v>
      </c>
      <c r="N224" t="n">
        <v>0</v>
      </c>
      <c r="O224" t="n">
        <v>0</v>
      </c>
      <c r="P224" t="n">
        <v>0</v>
      </c>
      <c r="Q224" t="n">
        <v>0</v>
      </c>
      <c r="R224" s="2" t="inlineStr"/>
    </row>
    <row r="225" ht="15" customHeight="1">
      <c r="A225" t="inlineStr">
        <is>
          <t>A 55846-2022</t>
        </is>
      </c>
      <c r="B225" s="1" t="n">
        <v>44888</v>
      </c>
      <c r="C225" s="1" t="n">
        <v>46035</v>
      </c>
      <c r="D225" t="inlineStr">
        <is>
          <t>SÖDERMANLANDS LÄN</t>
        </is>
      </c>
      <c r="E225" t="inlineStr">
        <is>
          <t>KATRINEHOLM</t>
        </is>
      </c>
      <c r="G225" t="n">
        <v>6.5</v>
      </c>
      <c r="H225" t="n">
        <v>0</v>
      </c>
      <c r="I225" t="n">
        <v>0</v>
      </c>
      <c r="J225" t="n">
        <v>0</v>
      </c>
      <c r="K225" t="n">
        <v>0</v>
      </c>
      <c r="L225" t="n">
        <v>0</v>
      </c>
      <c r="M225" t="n">
        <v>0</v>
      </c>
      <c r="N225" t="n">
        <v>0</v>
      </c>
      <c r="O225" t="n">
        <v>0</v>
      </c>
      <c r="P225" t="n">
        <v>0</v>
      </c>
      <c r="Q225" t="n">
        <v>0</v>
      </c>
      <c r="R225" s="2" t="inlineStr"/>
    </row>
    <row r="226" ht="15" customHeight="1">
      <c r="A226" t="inlineStr">
        <is>
          <t>A 53722-2023</t>
        </is>
      </c>
      <c r="B226" s="1" t="n">
        <v>45230</v>
      </c>
      <c r="C226" s="1" t="n">
        <v>46035</v>
      </c>
      <c r="D226" t="inlineStr">
        <is>
          <t>SÖDERMANLANDS LÄN</t>
        </is>
      </c>
      <c r="E226" t="inlineStr">
        <is>
          <t>KATRINEHOLM</t>
        </is>
      </c>
      <c r="F226" t="inlineStr">
        <is>
          <t>Allmännings- och besparingsskogar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55863-2022</t>
        </is>
      </c>
      <c r="B227" s="1" t="n">
        <v>44888</v>
      </c>
      <c r="C227" s="1" t="n">
        <v>46035</v>
      </c>
      <c r="D227" t="inlineStr">
        <is>
          <t>SÖDERMANLANDS LÄN</t>
        </is>
      </c>
      <c r="E227" t="inlineStr">
        <is>
          <t>KATRINEHOLM</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55865-2022</t>
        </is>
      </c>
      <c r="B228" s="1" t="n">
        <v>44888</v>
      </c>
      <c r="C228" s="1" t="n">
        <v>46035</v>
      </c>
      <c r="D228" t="inlineStr">
        <is>
          <t>SÖDERMANLANDS LÄN</t>
        </is>
      </c>
      <c r="E228" t="inlineStr">
        <is>
          <t>KATRINEHOLM</t>
        </is>
      </c>
      <c r="G228" t="n">
        <v>9.1</v>
      </c>
      <c r="H228" t="n">
        <v>0</v>
      </c>
      <c r="I228" t="n">
        <v>0</v>
      </c>
      <c r="J228" t="n">
        <v>0</v>
      </c>
      <c r="K228" t="n">
        <v>0</v>
      </c>
      <c r="L228" t="n">
        <v>0</v>
      </c>
      <c r="M228" t="n">
        <v>0</v>
      </c>
      <c r="N228" t="n">
        <v>0</v>
      </c>
      <c r="O228" t="n">
        <v>0</v>
      </c>
      <c r="P228" t="n">
        <v>0</v>
      </c>
      <c r="Q228" t="n">
        <v>0</v>
      </c>
      <c r="R228" s="2" t="inlineStr"/>
    </row>
    <row r="229" ht="15" customHeight="1">
      <c r="A229" t="inlineStr">
        <is>
          <t>A 48520-2023</t>
        </is>
      </c>
      <c r="B229" s="1" t="n">
        <v>45208</v>
      </c>
      <c r="C229" s="1" t="n">
        <v>46035</v>
      </c>
      <c r="D229" t="inlineStr">
        <is>
          <t>SÖDERMANLANDS LÄN</t>
        </is>
      </c>
      <c r="E229" t="inlineStr">
        <is>
          <t>KATRINEHOLM</t>
        </is>
      </c>
      <c r="G229" t="n">
        <v>1</v>
      </c>
      <c r="H229" t="n">
        <v>0</v>
      </c>
      <c r="I229" t="n">
        <v>0</v>
      </c>
      <c r="J229" t="n">
        <v>0</v>
      </c>
      <c r="K229" t="n">
        <v>0</v>
      </c>
      <c r="L229" t="n">
        <v>0</v>
      </c>
      <c r="M229" t="n">
        <v>0</v>
      </c>
      <c r="N229" t="n">
        <v>0</v>
      </c>
      <c r="O229" t="n">
        <v>0</v>
      </c>
      <c r="P229" t="n">
        <v>0</v>
      </c>
      <c r="Q229" t="n">
        <v>0</v>
      </c>
      <c r="R229" s="2" t="inlineStr"/>
    </row>
    <row r="230" ht="15" customHeight="1">
      <c r="A230" t="inlineStr">
        <is>
          <t>A 56661-2021</t>
        </is>
      </c>
      <c r="B230" s="1" t="n">
        <v>44481.24327546296</v>
      </c>
      <c r="C230" s="1" t="n">
        <v>46035</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28394-2023</t>
        </is>
      </c>
      <c r="B231" s="1" t="n">
        <v>45100</v>
      </c>
      <c r="C231" s="1" t="n">
        <v>46035</v>
      </c>
      <c r="D231" t="inlineStr">
        <is>
          <t>SÖDERMANLANDS LÄN</t>
        </is>
      </c>
      <c r="E231" t="inlineStr">
        <is>
          <t>KATRINEHOLM</t>
        </is>
      </c>
      <c r="G231" t="n">
        <v>4.2</v>
      </c>
      <c r="H231" t="n">
        <v>0</v>
      </c>
      <c r="I231" t="n">
        <v>0</v>
      </c>
      <c r="J231" t="n">
        <v>0</v>
      </c>
      <c r="K231" t="n">
        <v>0</v>
      </c>
      <c r="L231" t="n">
        <v>0</v>
      </c>
      <c r="M231" t="n">
        <v>0</v>
      </c>
      <c r="N231" t="n">
        <v>0</v>
      </c>
      <c r="O231" t="n">
        <v>0</v>
      </c>
      <c r="P231" t="n">
        <v>0</v>
      </c>
      <c r="Q231" t="n">
        <v>0</v>
      </c>
      <c r="R231" s="2" t="inlineStr"/>
    </row>
    <row r="232" ht="15" customHeight="1">
      <c r="A232" t="inlineStr">
        <is>
          <t>A 4122-2023</t>
        </is>
      </c>
      <c r="B232" s="1" t="n">
        <v>44952</v>
      </c>
      <c r="C232" s="1" t="n">
        <v>46035</v>
      </c>
      <c r="D232" t="inlineStr">
        <is>
          <t>SÖDERMANLANDS LÄN</t>
        </is>
      </c>
      <c r="E232" t="inlineStr">
        <is>
          <t>KATRINEHOLM</t>
        </is>
      </c>
      <c r="G232" t="n">
        <v>9</v>
      </c>
      <c r="H232" t="n">
        <v>0</v>
      </c>
      <c r="I232" t="n">
        <v>0</v>
      </c>
      <c r="J232" t="n">
        <v>0</v>
      </c>
      <c r="K232" t="n">
        <v>0</v>
      </c>
      <c r="L232" t="n">
        <v>0</v>
      </c>
      <c r="M232" t="n">
        <v>0</v>
      </c>
      <c r="N232" t="n">
        <v>0</v>
      </c>
      <c r="O232" t="n">
        <v>0</v>
      </c>
      <c r="P232" t="n">
        <v>0</v>
      </c>
      <c r="Q232" t="n">
        <v>0</v>
      </c>
      <c r="R232" s="2" t="inlineStr"/>
    </row>
    <row r="233" ht="15" customHeight="1">
      <c r="A233" t="inlineStr">
        <is>
          <t>A 6311-2025</t>
        </is>
      </c>
      <c r="B233" s="1" t="n">
        <v>45698</v>
      </c>
      <c r="C233" s="1" t="n">
        <v>46035</v>
      </c>
      <c r="D233" t="inlineStr">
        <is>
          <t>SÖDERMANLANDS LÄN</t>
        </is>
      </c>
      <c r="E233" t="inlineStr">
        <is>
          <t>KATRINEHOLM</t>
        </is>
      </c>
      <c r="G233" t="n">
        <v>0.3</v>
      </c>
      <c r="H233" t="n">
        <v>0</v>
      </c>
      <c r="I233" t="n">
        <v>0</v>
      </c>
      <c r="J233" t="n">
        <v>0</v>
      </c>
      <c r="K233" t="n">
        <v>0</v>
      </c>
      <c r="L233" t="n">
        <v>0</v>
      </c>
      <c r="M233" t="n">
        <v>0</v>
      </c>
      <c r="N233" t="n">
        <v>0</v>
      </c>
      <c r="O233" t="n">
        <v>0</v>
      </c>
      <c r="P233" t="n">
        <v>0</v>
      </c>
      <c r="Q233" t="n">
        <v>0</v>
      </c>
      <c r="R233" s="2" t="inlineStr"/>
    </row>
    <row r="234" ht="15" customHeight="1">
      <c r="A234" t="inlineStr">
        <is>
          <t>A 28427-2024</t>
        </is>
      </c>
      <c r="B234" s="1" t="n">
        <v>45477.64910879629</v>
      </c>
      <c r="C234" s="1" t="n">
        <v>46035</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38708-2025</t>
        </is>
      </c>
      <c r="B235" s="1" t="n">
        <v>45885</v>
      </c>
      <c r="C235" s="1" t="n">
        <v>46035</v>
      </c>
      <c r="D235" t="inlineStr">
        <is>
          <t>SÖDERMANLANDS LÄN</t>
        </is>
      </c>
      <c r="E235" t="inlineStr">
        <is>
          <t>KATRINEHOLM</t>
        </is>
      </c>
      <c r="G235" t="n">
        <v>1.9</v>
      </c>
      <c r="H235" t="n">
        <v>0</v>
      </c>
      <c r="I235" t="n">
        <v>0</v>
      </c>
      <c r="J235" t="n">
        <v>0</v>
      </c>
      <c r="K235" t="n">
        <v>0</v>
      </c>
      <c r="L235" t="n">
        <v>0</v>
      </c>
      <c r="M235" t="n">
        <v>0</v>
      </c>
      <c r="N235" t="n">
        <v>0</v>
      </c>
      <c r="O235" t="n">
        <v>0</v>
      </c>
      <c r="P235" t="n">
        <v>0</v>
      </c>
      <c r="Q235" t="n">
        <v>0</v>
      </c>
      <c r="R235" s="2" t="inlineStr"/>
    </row>
    <row r="236" ht="15" customHeight="1">
      <c r="A236" t="inlineStr">
        <is>
          <t>A 55795-2023</t>
        </is>
      </c>
      <c r="B236" s="1" t="n">
        <v>45239.54861111111</v>
      </c>
      <c r="C236" s="1" t="n">
        <v>46035</v>
      </c>
      <c r="D236" t="inlineStr">
        <is>
          <t>SÖDERMANLANDS LÄN</t>
        </is>
      </c>
      <c r="E236" t="inlineStr">
        <is>
          <t>KATRINEHOLM</t>
        </is>
      </c>
      <c r="G236" t="n">
        <v>7</v>
      </c>
      <c r="H236" t="n">
        <v>0</v>
      </c>
      <c r="I236" t="n">
        <v>0</v>
      </c>
      <c r="J236" t="n">
        <v>0</v>
      </c>
      <c r="K236" t="n">
        <v>0</v>
      </c>
      <c r="L236" t="n">
        <v>0</v>
      </c>
      <c r="M236" t="n">
        <v>0</v>
      </c>
      <c r="N236" t="n">
        <v>0</v>
      </c>
      <c r="O236" t="n">
        <v>0</v>
      </c>
      <c r="P236" t="n">
        <v>0</v>
      </c>
      <c r="Q236" t="n">
        <v>0</v>
      </c>
      <c r="R236" s="2" t="inlineStr"/>
    </row>
    <row r="237" ht="15" customHeight="1">
      <c r="A237" t="inlineStr">
        <is>
          <t>A 24284-2024</t>
        </is>
      </c>
      <c r="B237" s="1" t="n">
        <v>45457</v>
      </c>
      <c r="C237" s="1" t="n">
        <v>46035</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29502-2023</t>
        </is>
      </c>
      <c r="B238" s="1" t="n">
        <v>45106</v>
      </c>
      <c r="C238" s="1" t="n">
        <v>46035</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42111-2022</t>
        </is>
      </c>
      <c r="B239" s="1" t="n">
        <v>44830</v>
      </c>
      <c r="C239" s="1" t="n">
        <v>46035</v>
      </c>
      <c r="D239" t="inlineStr">
        <is>
          <t>SÖDERMANLANDS LÄN</t>
        </is>
      </c>
      <c r="E239" t="inlineStr">
        <is>
          <t>KATRINEHOLM</t>
        </is>
      </c>
      <c r="G239" t="n">
        <v>2.5</v>
      </c>
      <c r="H239" t="n">
        <v>0</v>
      </c>
      <c r="I239" t="n">
        <v>0</v>
      </c>
      <c r="J239" t="n">
        <v>0</v>
      </c>
      <c r="K239" t="n">
        <v>0</v>
      </c>
      <c r="L239" t="n">
        <v>0</v>
      </c>
      <c r="M239" t="n">
        <v>0</v>
      </c>
      <c r="N239" t="n">
        <v>0</v>
      </c>
      <c r="O239" t="n">
        <v>0</v>
      </c>
      <c r="P239" t="n">
        <v>0</v>
      </c>
      <c r="Q239" t="n">
        <v>0</v>
      </c>
      <c r="R239" s="2" t="inlineStr"/>
    </row>
    <row r="240" ht="15" customHeight="1">
      <c r="A240" t="inlineStr">
        <is>
          <t>A 23838-2021</t>
        </is>
      </c>
      <c r="B240" s="1" t="n">
        <v>44335</v>
      </c>
      <c r="C240" s="1" t="n">
        <v>46035</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36767-2022</t>
        </is>
      </c>
      <c r="B241" s="1" t="n">
        <v>44805</v>
      </c>
      <c r="C241" s="1" t="n">
        <v>46035</v>
      </c>
      <c r="D241" t="inlineStr">
        <is>
          <t>SÖDERMANLANDS LÄN</t>
        </is>
      </c>
      <c r="E241" t="inlineStr">
        <is>
          <t>KATRINEHOLM</t>
        </is>
      </c>
      <c r="G241" t="n">
        <v>1.1</v>
      </c>
      <c r="H241" t="n">
        <v>0</v>
      </c>
      <c r="I241" t="n">
        <v>0</v>
      </c>
      <c r="J241" t="n">
        <v>0</v>
      </c>
      <c r="K241" t="n">
        <v>0</v>
      </c>
      <c r="L241" t="n">
        <v>0</v>
      </c>
      <c r="M241" t="n">
        <v>0</v>
      </c>
      <c r="N241" t="n">
        <v>0</v>
      </c>
      <c r="O241" t="n">
        <v>0</v>
      </c>
      <c r="P241" t="n">
        <v>0</v>
      </c>
      <c r="Q241" t="n">
        <v>0</v>
      </c>
      <c r="R241" s="2" t="inlineStr"/>
    </row>
    <row r="242" ht="15" customHeight="1">
      <c r="A242" t="inlineStr">
        <is>
          <t>A 39645-2025</t>
        </is>
      </c>
      <c r="B242" s="1" t="n">
        <v>45890</v>
      </c>
      <c r="C242" s="1" t="n">
        <v>46035</v>
      </c>
      <c r="D242" t="inlineStr">
        <is>
          <t>SÖDERMANLANDS LÄN</t>
        </is>
      </c>
      <c r="E242" t="inlineStr">
        <is>
          <t>KATRINEHOLM</t>
        </is>
      </c>
      <c r="G242" t="n">
        <v>0.2</v>
      </c>
      <c r="H242" t="n">
        <v>0</v>
      </c>
      <c r="I242" t="n">
        <v>0</v>
      </c>
      <c r="J242" t="n">
        <v>0</v>
      </c>
      <c r="K242" t="n">
        <v>0</v>
      </c>
      <c r="L242" t="n">
        <v>0</v>
      </c>
      <c r="M242" t="n">
        <v>0</v>
      </c>
      <c r="N242" t="n">
        <v>0</v>
      </c>
      <c r="O242" t="n">
        <v>0</v>
      </c>
      <c r="P242" t="n">
        <v>0</v>
      </c>
      <c r="Q242" t="n">
        <v>0</v>
      </c>
      <c r="R242" s="2" t="inlineStr"/>
    </row>
    <row r="243" ht="15" customHeight="1">
      <c r="A243" t="inlineStr">
        <is>
          <t>A 33712-2022</t>
        </is>
      </c>
      <c r="B243" s="1" t="n">
        <v>44789</v>
      </c>
      <c r="C243" s="1" t="n">
        <v>46035</v>
      </c>
      <c r="D243" t="inlineStr">
        <is>
          <t>SÖDERMANLANDS LÄN</t>
        </is>
      </c>
      <c r="E243" t="inlineStr">
        <is>
          <t>KATRINEHOLM</t>
        </is>
      </c>
      <c r="G243" t="n">
        <v>4.3</v>
      </c>
      <c r="H243" t="n">
        <v>0</v>
      </c>
      <c r="I243" t="n">
        <v>0</v>
      </c>
      <c r="J243" t="n">
        <v>0</v>
      </c>
      <c r="K243" t="n">
        <v>0</v>
      </c>
      <c r="L243" t="n">
        <v>0</v>
      </c>
      <c r="M243" t="n">
        <v>0</v>
      </c>
      <c r="N243" t="n">
        <v>0</v>
      </c>
      <c r="O243" t="n">
        <v>0</v>
      </c>
      <c r="P243" t="n">
        <v>0</v>
      </c>
      <c r="Q243" t="n">
        <v>0</v>
      </c>
      <c r="R243" s="2" t="inlineStr"/>
    </row>
    <row r="244" ht="15" customHeight="1">
      <c r="A244" t="inlineStr">
        <is>
          <t>A 55034-2021</t>
        </is>
      </c>
      <c r="B244" s="1" t="n">
        <v>44474</v>
      </c>
      <c r="C244" s="1" t="n">
        <v>46035</v>
      </c>
      <c r="D244" t="inlineStr">
        <is>
          <t>SÖDERMANLANDS LÄN</t>
        </is>
      </c>
      <c r="E244" t="inlineStr">
        <is>
          <t>KATRINEHOLM</t>
        </is>
      </c>
      <c r="G244" t="n">
        <v>5</v>
      </c>
      <c r="H244" t="n">
        <v>0</v>
      </c>
      <c r="I244" t="n">
        <v>0</v>
      </c>
      <c r="J244" t="n">
        <v>0</v>
      </c>
      <c r="K244" t="n">
        <v>0</v>
      </c>
      <c r="L244" t="n">
        <v>0</v>
      </c>
      <c r="M244" t="n">
        <v>0</v>
      </c>
      <c r="N244" t="n">
        <v>0</v>
      </c>
      <c r="O244" t="n">
        <v>0</v>
      </c>
      <c r="P244" t="n">
        <v>0</v>
      </c>
      <c r="Q244" t="n">
        <v>0</v>
      </c>
      <c r="R244" s="2" t="inlineStr"/>
    </row>
    <row r="245" ht="15" customHeight="1">
      <c r="A245" t="inlineStr">
        <is>
          <t>A 33717-2022</t>
        </is>
      </c>
      <c r="B245" s="1" t="n">
        <v>44789</v>
      </c>
      <c r="C245" s="1" t="n">
        <v>46035</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32943-2024</t>
        </is>
      </c>
      <c r="B246" s="1" t="n">
        <v>45517</v>
      </c>
      <c r="C246" s="1" t="n">
        <v>46035</v>
      </c>
      <c r="D246" t="inlineStr">
        <is>
          <t>SÖDERMANLANDS LÄN</t>
        </is>
      </c>
      <c r="E246" t="inlineStr">
        <is>
          <t>KATRINEHOLM</t>
        </is>
      </c>
      <c r="G246" t="n">
        <v>1.8</v>
      </c>
      <c r="H246" t="n">
        <v>0</v>
      </c>
      <c r="I246" t="n">
        <v>0</v>
      </c>
      <c r="J246" t="n">
        <v>0</v>
      </c>
      <c r="K246" t="n">
        <v>0</v>
      </c>
      <c r="L246" t="n">
        <v>0</v>
      </c>
      <c r="M246" t="n">
        <v>0</v>
      </c>
      <c r="N246" t="n">
        <v>0</v>
      </c>
      <c r="O246" t="n">
        <v>0</v>
      </c>
      <c r="P246" t="n">
        <v>0</v>
      </c>
      <c r="Q246" t="n">
        <v>0</v>
      </c>
      <c r="R246" s="2" t="inlineStr"/>
    </row>
    <row r="247" ht="15" customHeight="1">
      <c r="A247" t="inlineStr">
        <is>
          <t>A 39663-2025</t>
        </is>
      </c>
      <c r="B247" s="1" t="n">
        <v>45890</v>
      </c>
      <c r="C247" s="1" t="n">
        <v>46035</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39668-2025</t>
        </is>
      </c>
      <c r="B248" s="1" t="n">
        <v>45890</v>
      </c>
      <c r="C248" s="1" t="n">
        <v>46035</v>
      </c>
      <c r="D248" t="inlineStr">
        <is>
          <t>SÖDERMANLANDS LÄN</t>
        </is>
      </c>
      <c r="E248" t="inlineStr">
        <is>
          <t>KATRINEHOLM</t>
        </is>
      </c>
      <c r="G248" t="n">
        <v>2.9</v>
      </c>
      <c r="H248" t="n">
        <v>0</v>
      </c>
      <c r="I248" t="n">
        <v>0</v>
      </c>
      <c r="J248" t="n">
        <v>0</v>
      </c>
      <c r="K248" t="n">
        <v>0</v>
      </c>
      <c r="L248" t="n">
        <v>0</v>
      </c>
      <c r="M248" t="n">
        <v>0</v>
      </c>
      <c r="N248" t="n">
        <v>0</v>
      </c>
      <c r="O248" t="n">
        <v>0</v>
      </c>
      <c r="P248" t="n">
        <v>0</v>
      </c>
      <c r="Q248" t="n">
        <v>0</v>
      </c>
      <c r="R248" s="2" t="inlineStr"/>
    </row>
    <row r="249" ht="15" customHeight="1">
      <c r="A249" t="inlineStr">
        <is>
          <t>A 33752-2023</t>
        </is>
      </c>
      <c r="B249" s="1" t="n">
        <v>45120</v>
      </c>
      <c r="C249" s="1" t="n">
        <v>46035</v>
      </c>
      <c r="D249" t="inlineStr">
        <is>
          <t>SÖDERMANLANDS LÄN</t>
        </is>
      </c>
      <c r="E249" t="inlineStr">
        <is>
          <t>KATRINEHOLM</t>
        </is>
      </c>
      <c r="G249" t="n">
        <v>1</v>
      </c>
      <c r="H249" t="n">
        <v>0</v>
      </c>
      <c r="I249" t="n">
        <v>0</v>
      </c>
      <c r="J249" t="n">
        <v>0</v>
      </c>
      <c r="K249" t="n">
        <v>0</v>
      </c>
      <c r="L249" t="n">
        <v>0</v>
      </c>
      <c r="M249" t="n">
        <v>0</v>
      </c>
      <c r="N249" t="n">
        <v>0</v>
      </c>
      <c r="O249" t="n">
        <v>0</v>
      </c>
      <c r="P249" t="n">
        <v>0</v>
      </c>
      <c r="Q249" t="n">
        <v>0</v>
      </c>
      <c r="R249" s="2" t="inlineStr"/>
    </row>
    <row r="250" ht="15" customHeight="1">
      <c r="A250" t="inlineStr">
        <is>
          <t>A 45376-2022</t>
        </is>
      </c>
      <c r="B250" s="1" t="n">
        <v>44844</v>
      </c>
      <c r="C250" s="1" t="n">
        <v>46035</v>
      </c>
      <c r="D250" t="inlineStr">
        <is>
          <t>SÖDERMANLANDS LÄN</t>
        </is>
      </c>
      <c r="E250" t="inlineStr">
        <is>
          <t>KATRINEHOLM</t>
        </is>
      </c>
      <c r="G250" t="n">
        <v>4.7</v>
      </c>
      <c r="H250" t="n">
        <v>0</v>
      </c>
      <c r="I250" t="n">
        <v>0</v>
      </c>
      <c r="J250" t="n">
        <v>0</v>
      </c>
      <c r="K250" t="n">
        <v>0</v>
      </c>
      <c r="L250" t="n">
        <v>0</v>
      </c>
      <c r="M250" t="n">
        <v>0</v>
      </c>
      <c r="N250" t="n">
        <v>0</v>
      </c>
      <c r="O250" t="n">
        <v>0</v>
      </c>
      <c r="P250" t="n">
        <v>0</v>
      </c>
      <c r="Q250" t="n">
        <v>0</v>
      </c>
      <c r="R250" s="2" t="inlineStr"/>
    </row>
    <row r="251" ht="15" customHeight="1">
      <c r="A251" t="inlineStr">
        <is>
          <t>A 55122-2022</t>
        </is>
      </c>
      <c r="B251" s="1" t="n">
        <v>44886.65092592593</v>
      </c>
      <c r="C251" s="1" t="n">
        <v>46035</v>
      </c>
      <c r="D251" t="inlineStr">
        <is>
          <t>SÖDERMANLANDS LÄN</t>
        </is>
      </c>
      <c r="E251" t="inlineStr">
        <is>
          <t>KATRINEHOLM</t>
        </is>
      </c>
      <c r="G251" t="n">
        <v>6.5</v>
      </c>
      <c r="H251" t="n">
        <v>0</v>
      </c>
      <c r="I251" t="n">
        <v>0</v>
      </c>
      <c r="J251" t="n">
        <v>0</v>
      </c>
      <c r="K251" t="n">
        <v>0</v>
      </c>
      <c r="L251" t="n">
        <v>0</v>
      </c>
      <c r="M251" t="n">
        <v>0</v>
      </c>
      <c r="N251" t="n">
        <v>0</v>
      </c>
      <c r="O251" t="n">
        <v>0</v>
      </c>
      <c r="P251" t="n">
        <v>0</v>
      </c>
      <c r="Q251" t="n">
        <v>0</v>
      </c>
      <c r="R251" s="2" t="inlineStr"/>
    </row>
    <row r="252" ht="15" customHeight="1">
      <c r="A252" t="inlineStr">
        <is>
          <t>A 17746-2024</t>
        </is>
      </c>
      <c r="B252" s="1" t="n">
        <v>45415</v>
      </c>
      <c r="C252" s="1" t="n">
        <v>46035</v>
      </c>
      <c r="D252" t="inlineStr">
        <is>
          <t>SÖDERMANLANDS LÄN</t>
        </is>
      </c>
      <c r="E252" t="inlineStr">
        <is>
          <t>KATRINEHOLM</t>
        </is>
      </c>
      <c r="G252" t="n">
        <v>7.8</v>
      </c>
      <c r="H252" t="n">
        <v>0</v>
      </c>
      <c r="I252" t="n">
        <v>0</v>
      </c>
      <c r="J252" t="n">
        <v>0</v>
      </c>
      <c r="K252" t="n">
        <v>0</v>
      </c>
      <c r="L252" t="n">
        <v>0</v>
      </c>
      <c r="M252" t="n">
        <v>0</v>
      </c>
      <c r="N252" t="n">
        <v>0</v>
      </c>
      <c r="O252" t="n">
        <v>0</v>
      </c>
      <c r="P252" t="n">
        <v>0</v>
      </c>
      <c r="Q252" t="n">
        <v>0</v>
      </c>
      <c r="R252" s="2" t="inlineStr"/>
    </row>
    <row r="253" ht="15" customHeight="1">
      <c r="A253" t="inlineStr">
        <is>
          <t>A 22119-2025</t>
        </is>
      </c>
      <c r="B253" s="1" t="n">
        <v>45785</v>
      </c>
      <c r="C253" s="1" t="n">
        <v>46035</v>
      </c>
      <c r="D253" t="inlineStr">
        <is>
          <t>SÖDERMANLANDS LÄN</t>
        </is>
      </c>
      <c r="E253" t="inlineStr">
        <is>
          <t>KATRINEHOLM</t>
        </is>
      </c>
      <c r="G253" t="n">
        <v>0.8</v>
      </c>
      <c r="H253" t="n">
        <v>0</v>
      </c>
      <c r="I253" t="n">
        <v>0</v>
      </c>
      <c r="J253" t="n">
        <v>0</v>
      </c>
      <c r="K253" t="n">
        <v>0</v>
      </c>
      <c r="L253" t="n">
        <v>0</v>
      </c>
      <c r="M253" t="n">
        <v>0</v>
      </c>
      <c r="N253" t="n">
        <v>0</v>
      </c>
      <c r="O253" t="n">
        <v>0</v>
      </c>
      <c r="P253" t="n">
        <v>0</v>
      </c>
      <c r="Q253" t="n">
        <v>0</v>
      </c>
      <c r="R253" s="2" t="inlineStr"/>
    </row>
    <row r="254" ht="15" customHeight="1">
      <c r="A254" t="inlineStr">
        <is>
          <t>A 24179-2024</t>
        </is>
      </c>
      <c r="B254" s="1" t="n">
        <v>45456.83059027778</v>
      </c>
      <c r="C254" s="1" t="n">
        <v>46035</v>
      </c>
      <c r="D254" t="inlineStr">
        <is>
          <t>SÖDERMANLANDS LÄN</t>
        </is>
      </c>
      <c r="E254" t="inlineStr">
        <is>
          <t>KATRINEHOLM</t>
        </is>
      </c>
      <c r="G254" t="n">
        <v>1.3</v>
      </c>
      <c r="H254" t="n">
        <v>0</v>
      </c>
      <c r="I254" t="n">
        <v>0</v>
      </c>
      <c r="J254" t="n">
        <v>0</v>
      </c>
      <c r="K254" t="n">
        <v>0</v>
      </c>
      <c r="L254" t="n">
        <v>0</v>
      </c>
      <c r="M254" t="n">
        <v>0</v>
      </c>
      <c r="N254" t="n">
        <v>0</v>
      </c>
      <c r="O254" t="n">
        <v>0</v>
      </c>
      <c r="P254" t="n">
        <v>0</v>
      </c>
      <c r="Q254" t="n">
        <v>0</v>
      </c>
      <c r="R254" s="2" t="inlineStr"/>
    </row>
    <row r="255" ht="15" customHeight="1">
      <c r="A255" t="inlineStr">
        <is>
          <t>A 51264-2021</t>
        </is>
      </c>
      <c r="B255" s="1" t="n">
        <v>44461</v>
      </c>
      <c r="C255" s="1" t="n">
        <v>46035</v>
      </c>
      <c r="D255" t="inlineStr">
        <is>
          <t>SÖDERMANLANDS LÄN</t>
        </is>
      </c>
      <c r="E255" t="inlineStr">
        <is>
          <t>KATRINEHOLM</t>
        </is>
      </c>
      <c r="G255" t="n">
        <v>3.1</v>
      </c>
      <c r="H255" t="n">
        <v>0</v>
      </c>
      <c r="I255" t="n">
        <v>0</v>
      </c>
      <c r="J255" t="n">
        <v>0</v>
      </c>
      <c r="K255" t="n">
        <v>0</v>
      </c>
      <c r="L255" t="n">
        <v>0</v>
      </c>
      <c r="M255" t="n">
        <v>0</v>
      </c>
      <c r="N255" t="n">
        <v>0</v>
      </c>
      <c r="O255" t="n">
        <v>0</v>
      </c>
      <c r="P255" t="n">
        <v>0</v>
      </c>
      <c r="Q255" t="n">
        <v>0</v>
      </c>
      <c r="R255" s="2" t="inlineStr"/>
    </row>
    <row r="256" ht="15" customHeight="1">
      <c r="A256" t="inlineStr">
        <is>
          <t>A 39737-2025</t>
        </is>
      </c>
      <c r="B256" s="1" t="n">
        <v>45891</v>
      </c>
      <c r="C256" s="1" t="n">
        <v>46035</v>
      </c>
      <c r="D256" t="inlineStr">
        <is>
          <t>SÖDERMANLANDS LÄN</t>
        </is>
      </c>
      <c r="E256" t="inlineStr">
        <is>
          <t>KATRINEHOLM</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39847-2025</t>
        </is>
      </c>
      <c r="B257" s="1" t="n">
        <v>45891.58381944444</v>
      </c>
      <c r="C257" s="1" t="n">
        <v>46035</v>
      </c>
      <c r="D257" t="inlineStr">
        <is>
          <t>SÖDERMANLANDS LÄN</t>
        </is>
      </c>
      <c r="E257" t="inlineStr">
        <is>
          <t>KATRINEHOLM</t>
        </is>
      </c>
      <c r="F257" t="inlineStr">
        <is>
          <t>Holmen skog AB</t>
        </is>
      </c>
      <c r="G257" t="n">
        <v>2.5</v>
      </c>
      <c r="H257" t="n">
        <v>0</v>
      </c>
      <c r="I257" t="n">
        <v>0</v>
      </c>
      <c r="J257" t="n">
        <v>0</v>
      </c>
      <c r="K257" t="n">
        <v>0</v>
      </c>
      <c r="L257" t="n">
        <v>0</v>
      </c>
      <c r="M257" t="n">
        <v>0</v>
      </c>
      <c r="N257" t="n">
        <v>0</v>
      </c>
      <c r="O257" t="n">
        <v>0</v>
      </c>
      <c r="P257" t="n">
        <v>0</v>
      </c>
      <c r="Q257" t="n">
        <v>0</v>
      </c>
      <c r="R257" s="2" t="inlineStr"/>
    </row>
    <row r="258" ht="15" customHeight="1">
      <c r="A258" t="inlineStr">
        <is>
          <t>A 51128-2021</t>
        </is>
      </c>
      <c r="B258" s="1" t="n">
        <v>44460</v>
      </c>
      <c r="C258" s="1" t="n">
        <v>46035</v>
      </c>
      <c r="D258" t="inlineStr">
        <is>
          <t>SÖDERMANLANDS LÄN</t>
        </is>
      </c>
      <c r="E258" t="inlineStr">
        <is>
          <t>KATRINEHOLM</t>
        </is>
      </c>
      <c r="G258" t="n">
        <v>7.8</v>
      </c>
      <c r="H258" t="n">
        <v>0</v>
      </c>
      <c r="I258" t="n">
        <v>0</v>
      </c>
      <c r="J258" t="n">
        <v>0</v>
      </c>
      <c r="K258" t="n">
        <v>0</v>
      </c>
      <c r="L258" t="n">
        <v>0</v>
      </c>
      <c r="M258" t="n">
        <v>0</v>
      </c>
      <c r="N258" t="n">
        <v>0</v>
      </c>
      <c r="O258" t="n">
        <v>0</v>
      </c>
      <c r="P258" t="n">
        <v>0</v>
      </c>
      <c r="Q258" t="n">
        <v>0</v>
      </c>
      <c r="R258" s="2" t="inlineStr"/>
    </row>
    <row r="259" ht="15" customHeight="1">
      <c r="A259" t="inlineStr">
        <is>
          <t>A 22113-2025</t>
        </is>
      </c>
      <c r="B259" s="1" t="n">
        <v>45785</v>
      </c>
      <c r="C259" s="1" t="n">
        <v>46035</v>
      </c>
      <c r="D259" t="inlineStr">
        <is>
          <t>SÖDERMANLANDS LÄN</t>
        </is>
      </c>
      <c r="E259" t="inlineStr">
        <is>
          <t>KATRINEHOLM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3980-2024</t>
        </is>
      </c>
      <c r="B260" s="1" t="n">
        <v>45322</v>
      </c>
      <c r="C260" s="1" t="n">
        <v>46035</v>
      </c>
      <c r="D260" t="inlineStr">
        <is>
          <t>SÖDERMANLANDS LÄN</t>
        </is>
      </c>
      <c r="E260" t="inlineStr">
        <is>
          <t>KATRINEHOLM</t>
        </is>
      </c>
      <c r="G260" t="n">
        <v>0.4</v>
      </c>
      <c r="H260" t="n">
        <v>0</v>
      </c>
      <c r="I260" t="n">
        <v>0</v>
      </c>
      <c r="J260" t="n">
        <v>0</v>
      </c>
      <c r="K260" t="n">
        <v>0</v>
      </c>
      <c r="L260" t="n">
        <v>0</v>
      </c>
      <c r="M260" t="n">
        <v>0</v>
      </c>
      <c r="N260" t="n">
        <v>0</v>
      </c>
      <c r="O260" t="n">
        <v>0</v>
      </c>
      <c r="P260" t="n">
        <v>0</v>
      </c>
      <c r="Q260" t="n">
        <v>0</v>
      </c>
      <c r="R260" s="2" t="inlineStr"/>
    </row>
    <row r="261" ht="15" customHeight="1">
      <c r="A261" t="inlineStr">
        <is>
          <t>A 64713-2023</t>
        </is>
      </c>
      <c r="B261" s="1" t="n">
        <v>45281</v>
      </c>
      <c r="C261" s="1" t="n">
        <v>46035</v>
      </c>
      <c r="D261" t="inlineStr">
        <is>
          <t>SÖDERMANLANDS LÄN</t>
        </is>
      </c>
      <c r="E261" t="inlineStr">
        <is>
          <t>KATRINEHOLM</t>
        </is>
      </c>
      <c r="G261" t="n">
        <v>4.9</v>
      </c>
      <c r="H261" t="n">
        <v>0</v>
      </c>
      <c r="I261" t="n">
        <v>0</v>
      </c>
      <c r="J261" t="n">
        <v>0</v>
      </c>
      <c r="K261" t="n">
        <v>0</v>
      </c>
      <c r="L261" t="n">
        <v>0</v>
      </c>
      <c r="M261" t="n">
        <v>0</v>
      </c>
      <c r="N261" t="n">
        <v>0</v>
      </c>
      <c r="O261" t="n">
        <v>0</v>
      </c>
      <c r="P261" t="n">
        <v>0</v>
      </c>
      <c r="Q261" t="n">
        <v>0</v>
      </c>
      <c r="R261" s="2" t="inlineStr"/>
    </row>
    <row r="262" ht="15" customHeight="1">
      <c r="A262" t="inlineStr">
        <is>
          <t>A 60677-2021</t>
        </is>
      </c>
      <c r="B262" s="1" t="n">
        <v>44495</v>
      </c>
      <c r="C262" s="1" t="n">
        <v>46035</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43088-2022</t>
        </is>
      </c>
      <c r="B263" s="1" t="n">
        <v>44833</v>
      </c>
      <c r="C263" s="1" t="n">
        <v>46035</v>
      </c>
      <c r="D263" t="inlineStr">
        <is>
          <t>SÖDERMANLANDS LÄN</t>
        </is>
      </c>
      <c r="E263" t="inlineStr">
        <is>
          <t>KATRINEHOLM</t>
        </is>
      </c>
      <c r="G263" t="n">
        <v>6.6</v>
      </c>
      <c r="H263" t="n">
        <v>0</v>
      </c>
      <c r="I263" t="n">
        <v>0</v>
      </c>
      <c r="J263" t="n">
        <v>0</v>
      </c>
      <c r="K263" t="n">
        <v>0</v>
      </c>
      <c r="L263" t="n">
        <v>0</v>
      </c>
      <c r="M263" t="n">
        <v>0</v>
      </c>
      <c r="N263" t="n">
        <v>0</v>
      </c>
      <c r="O263" t="n">
        <v>0</v>
      </c>
      <c r="P263" t="n">
        <v>0</v>
      </c>
      <c r="Q263" t="n">
        <v>0</v>
      </c>
      <c r="R263" s="2" t="inlineStr"/>
    </row>
    <row r="264" ht="15" customHeight="1">
      <c r="A264" t="inlineStr">
        <is>
          <t>A 64605-2023</t>
        </is>
      </c>
      <c r="B264" s="1" t="n">
        <v>45281</v>
      </c>
      <c r="C264" s="1" t="n">
        <v>46035</v>
      </c>
      <c r="D264" t="inlineStr">
        <is>
          <t>SÖDERMANLANDS LÄN</t>
        </is>
      </c>
      <c r="E264" t="inlineStr">
        <is>
          <t>KATRINEHOLM</t>
        </is>
      </c>
      <c r="G264" t="n">
        <v>0.5</v>
      </c>
      <c r="H264" t="n">
        <v>0</v>
      </c>
      <c r="I264" t="n">
        <v>0</v>
      </c>
      <c r="J264" t="n">
        <v>0</v>
      </c>
      <c r="K264" t="n">
        <v>0</v>
      </c>
      <c r="L264" t="n">
        <v>0</v>
      </c>
      <c r="M264" t="n">
        <v>0</v>
      </c>
      <c r="N264" t="n">
        <v>0</v>
      </c>
      <c r="O264" t="n">
        <v>0</v>
      </c>
      <c r="P264" t="n">
        <v>0</v>
      </c>
      <c r="Q264" t="n">
        <v>0</v>
      </c>
      <c r="R264" s="2" t="inlineStr"/>
    </row>
    <row r="265" ht="15" customHeight="1">
      <c r="A265" t="inlineStr">
        <is>
          <t>A 24983-2024</t>
        </is>
      </c>
      <c r="B265" s="1" t="n">
        <v>45461</v>
      </c>
      <c r="C265" s="1" t="n">
        <v>46035</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22476-2025</t>
        </is>
      </c>
      <c r="B266" s="1" t="n">
        <v>45786</v>
      </c>
      <c r="C266" s="1" t="n">
        <v>46035</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22336-2025</t>
        </is>
      </c>
      <c r="B267" s="1" t="n">
        <v>45786.44217592593</v>
      </c>
      <c r="C267" s="1" t="n">
        <v>46035</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23050-2025</t>
        </is>
      </c>
      <c r="B268" s="1" t="n">
        <v>45790.69971064815</v>
      </c>
      <c r="C268" s="1" t="n">
        <v>46035</v>
      </c>
      <c r="D268" t="inlineStr">
        <is>
          <t>SÖDERMANLANDS LÄN</t>
        </is>
      </c>
      <c r="E268" t="inlineStr">
        <is>
          <t>KATRINEHOLM</t>
        </is>
      </c>
      <c r="G268" t="n">
        <v>3.7</v>
      </c>
      <c r="H268" t="n">
        <v>0</v>
      </c>
      <c r="I268" t="n">
        <v>0</v>
      </c>
      <c r="J268" t="n">
        <v>0</v>
      </c>
      <c r="K268" t="n">
        <v>0</v>
      </c>
      <c r="L268" t="n">
        <v>0</v>
      </c>
      <c r="M268" t="n">
        <v>0</v>
      </c>
      <c r="N268" t="n">
        <v>0</v>
      </c>
      <c r="O268" t="n">
        <v>0</v>
      </c>
      <c r="P268" t="n">
        <v>0</v>
      </c>
      <c r="Q268" t="n">
        <v>0</v>
      </c>
      <c r="R268" s="2" t="inlineStr"/>
    </row>
    <row r="269" ht="15" customHeight="1">
      <c r="A269" t="inlineStr">
        <is>
          <t>A 41074-2025</t>
        </is>
      </c>
      <c r="B269" s="1" t="n">
        <v>45898</v>
      </c>
      <c r="C269" s="1" t="n">
        <v>46035</v>
      </c>
      <c r="D269" t="inlineStr">
        <is>
          <t>SÖDERMANLANDS LÄN</t>
        </is>
      </c>
      <c r="E269" t="inlineStr">
        <is>
          <t>KATRINEHOLM</t>
        </is>
      </c>
      <c r="F269" t="inlineStr">
        <is>
          <t>Allmännings- och besparingsskogar</t>
        </is>
      </c>
      <c r="G269" t="n">
        <v>4.8</v>
      </c>
      <c r="H269" t="n">
        <v>0</v>
      </c>
      <c r="I269" t="n">
        <v>0</v>
      </c>
      <c r="J269" t="n">
        <v>0</v>
      </c>
      <c r="K269" t="n">
        <v>0</v>
      </c>
      <c r="L269" t="n">
        <v>0</v>
      </c>
      <c r="M269" t="n">
        <v>0</v>
      </c>
      <c r="N269" t="n">
        <v>0</v>
      </c>
      <c r="O269" t="n">
        <v>0</v>
      </c>
      <c r="P269" t="n">
        <v>0</v>
      </c>
      <c r="Q269" t="n">
        <v>0</v>
      </c>
      <c r="R269" s="2" t="inlineStr"/>
    </row>
    <row r="270" ht="15" customHeight="1">
      <c r="A270" t="inlineStr">
        <is>
          <t>A 28582-2024</t>
        </is>
      </c>
      <c r="B270" s="1" t="n">
        <v>45478.40751157407</v>
      </c>
      <c r="C270" s="1" t="n">
        <v>46035</v>
      </c>
      <c r="D270" t="inlineStr">
        <is>
          <t>SÖDERMANLANDS LÄN</t>
        </is>
      </c>
      <c r="E270" t="inlineStr">
        <is>
          <t>KATRINEHOLM</t>
        </is>
      </c>
      <c r="F270" t="inlineStr">
        <is>
          <t>Övriga Aktiebolag</t>
        </is>
      </c>
      <c r="G270" t="n">
        <v>4</v>
      </c>
      <c r="H270" t="n">
        <v>0</v>
      </c>
      <c r="I270" t="n">
        <v>0</v>
      </c>
      <c r="J270" t="n">
        <v>0</v>
      </c>
      <c r="K270" t="n">
        <v>0</v>
      </c>
      <c r="L270" t="n">
        <v>0</v>
      </c>
      <c r="M270" t="n">
        <v>0</v>
      </c>
      <c r="N270" t="n">
        <v>0</v>
      </c>
      <c r="O270" t="n">
        <v>0</v>
      </c>
      <c r="P270" t="n">
        <v>0</v>
      </c>
      <c r="Q270" t="n">
        <v>0</v>
      </c>
      <c r="R270" s="2" t="inlineStr"/>
    </row>
    <row r="271" ht="15" customHeight="1">
      <c r="A271" t="inlineStr">
        <is>
          <t>A 26081-2024</t>
        </is>
      </c>
      <c r="B271" s="1" t="n">
        <v>45462</v>
      </c>
      <c r="C271" s="1" t="n">
        <v>46035</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30242-2023</t>
        </is>
      </c>
      <c r="B272" s="1" t="n">
        <v>45099</v>
      </c>
      <c r="C272" s="1" t="n">
        <v>46035</v>
      </c>
      <c r="D272" t="inlineStr">
        <is>
          <t>SÖDERMANLANDS LÄN</t>
        </is>
      </c>
      <c r="E272" t="inlineStr">
        <is>
          <t>KATRINEHOLM</t>
        </is>
      </c>
      <c r="G272" t="n">
        <v>3</v>
      </c>
      <c r="H272" t="n">
        <v>0</v>
      </c>
      <c r="I272" t="n">
        <v>0</v>
      </c>
      <c r="J272" t="n">
        <v>0</v>
      </c>
      <c r="K272" t="n">
        <v>0</v>
      </c>
      <c r="L272" t="n">
        <v>0</v>
      </c>
      <c r="M272" t="n">
        <v>0</v>
      </c>
      <c r="N272" t="n">
        <v>0</v>
      </c>
      <c r="O272" t="n">
        <v>0</v>
      </c>
      <c r="P272" t="n">
        <v>0</v>
      </c>
      <c r="Q272" t="n">
        <v>0</v>
      </c>
      <c r="R272" s="2" t="inlineStr"/>
    </row>
    <row r="273" ht="15" customHeight="1">
      <c r="A273" t="inlineStr">
        <is>
          <t>A 41498-2025</t>
        </is>
      </c>
      <c r="B273" s="1" t="n">
        <v>45901.49755787037</v>
      </c>
      <c r="C273" s="1" t="n">
        <v>46035</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69117-2021</t>
        </is>
      </c>
      <c r="B274" s="1" t="n">
        <v>44530.82445601852</v>
      </c>
      <c r="C274" s="1" t="n">
        <v>46035</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49341-2024</t>
        </is>
      </c>
      <c r="B275" s="1" t="n">
        <v>45595</v>
      </c>
      <c r="C275" s="1" t="n">
        <v>46035</v>
      </c>
      <c r="D275" t="inlineStr">
        <is>
          <t>SÖDERMANLANDS LÄN</t>
        </is>
      </c>
      <c r="E275" t="inlineStr">
        <is>
          <t>KATRINEHOLM</t>
        </is>
      </c>
      <c r="G275" t="n">
        <v>10</v>
      </c>
      <c r="H275" t="n">
        <v>0</v>
      </c>
      <c r="I275" t="n">
        <v>0</v>
      </c>
      <c r="J275" t="n">
        <v>0</v>
      </c>
      <c r="K275" t="n">
        <v>0</v>
      </c>
      <c r="L275" t="n">
        <v>0</v>
      </c>
      <c r="M275" t="n">
        <v>0</v>
      </c>
      <c r="N275" t="n">
        <v>0</v>
      </c>
      <c r="O275" t="n">
        <v>0</v>
      </c>
      <c r="P275" t="n">
        <v>0</v>
      </c>
      <c r="Q275" t="n">
        <v>0</v>
      </c>
      <c r="R275" s="2" t="inlineStr"/>
    </row>
    <row r="276" ht="15" customHeight="1">
      <c r="A276" t="inlineStr">
        <is>
          <t>A 38308-2021</t>
        </is>
      </c>
      <c r="B276" s="1" t="n">
        <v>44406</v>
      </c>
      <c r="C276" s="1" t="n">
        <v>46035</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55172-2022</t>
        </is>
      </c>
      <c r="B277" s="1" t="n">
        <v>44886</v>
      </c>
      <c r="C277" s="1" t="n">
        <v>46035</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41633-2025</t>
        </is>
      </c>
      <c r="B278" s="1" t="n">
        <v>45901</v>
      </c>
      <c r="C278" s="1" t="n">
        <v>46035</v>
      </c>
      <c r="D278" t="inlineStr">
        <is>
          <t>SÖDERMANLANDS LÄN</t>
        </is>
      </c>
      <c r="E278" t="inlineStr">
        <is>
          <t>KATRINEHOLM</t>
        </is>
      </c>
      <c r="G278" t="n">
        <v>2.1</v>
      </c>
      <c r="H278" t="n">
        <v>0</v>
      </c>
      <c r="I278" t="n">
        <v>0</v>
      </c>
      <c r="J278" t="n">
        <v>0</v>
      </c>
      <c r="K278" t="n">
        <v>0</v>
      </c>
      <c r="L278" t="n">
        <v>0</v>
      </c>
      <c r="M278" t="n">
        <v>0</v>
      </c>
      <c r="N278" t="n">
        <v>0</v>
      </c>
      <c r="O278" t="n">
        <v>0</v>
      </c>
      <c r="P278" t="n">
        <v>0</v>
      </c>
      <c r="Q278" t="n">
        <v>0</v>
      </c>
      <c r="R278" s="2" t="inlineStr"/>
    </row>
    <row r="279" ht="15" customHeight="1">
      <c r="A279" t="inlineStr">
        <is>
          <t>A 41632-2025</t>
        </is>
      </c>
      <c r="B279" s="1" t="n">
        <v>45901</v>
      </c>
      <c r="C279" s="1" t="n">
        <v>46035</v>
      </c>
      <c r="D279" t="inlineStr">
        <is>
          <t>SÖDERMANLANDS LÄN</t>
        </is>
      </c>
      <c r="E279" t="inlineStr">
        <is>
          <t>KATRINEHOLM</t>
        </is>
      </c>
      <c r="G279" t="n">
        <v>0.8</v>
      </c>
      <c r="H279" t="n">
        <v>0</v>
      </c>
      <c r="I279" t="n">
        <v>0</v>
      </c>
      <c r="J279" t="n">
        <v>0</v>
      </c>
      <c r="K279" t="n">
        <v>0</v>
      </c>
      <c r="L279" t="n">
        <v>0</v>
      </c>
      <c r="M279" t="n">
        <v>0</v>
      </c>
      <c r="N279" t="n">
        <v>0</v>
      </c>
      <c r="O279" t="n">
        <v>0</v>
      </c>
      <c r="P279" t="n">
        <v>0</v>
      </c>
      <c r="Q279" t="n">
        <v>0</v>
      </c>
      <c r="R279" s="2" t="inlineStr"/>
    </row>
    <row r="280" ht="15" customHeight="1">
      <c r="A280" t="inlineStr">
        <is>
          <t>A 41648-2025</t>
        </is>
      </c>
      <c r="B280" s="1" t="n">
        <v>45902.32601851852</v>
      </c>
      <c r="C280" s="1" t="n">
        <v>46035</v>
      </c>
      <c r="D280" t="inlineStr">
        <is>
          <t>SÖDERMANLANDS LÄN</t>
        </is>
      </c>
      <c r="E280" t="inlineStr">
        <is>
          <t>KATRINEHOLM</t>
        </is>
      </c>
      <c r="F280" t="inlineStr">
        <is>
          <t>Övriga Aktiebolag</t>
        </is>
      </c>
      <c r="G280" t="n">
        <v>0.7</v>
      </c>
      <c r="H280" t="n">
        <v>0</v>
      </c>
      <c r="I280" t="n">
        <v>0</v>
      </c>
      <c r="J280" t="n">
        <v>0</v>
      </c>
      <c r="K280" t="n">
        <v>0</v>
      </c>
      <c r="L280" t="n">
        <v>0</v>
      </c>
      <c r="M280" t="n">
        <v>0</v>
      </c>
      <c r="N280" t="n">
        <v>0</v>
      </c>
      <c r="O280" t="n">
        <v>0</v>
      </c>
      <c r="P280" t="n">
        <v>0</v>
      </c>
      <c r="Q280" t="n">
        <v>0</v>
      </c>
      <c r="R280" s="2" t="inlineStr"/>
    </row>
    <row r="281" ht="15" customHeight="1">
      <c r="A281" t="inlineStr">
        <is>
          <t>A 67337-2021</t>
        </is>
      </c>
      <c r="B281" s="1" t="n">
        <v>44523</v>
      </c>
      <c r="C281" s="1" t="n">
        <v>46035</v>
      </c>
      <c r="D281" t="inlineStr">
        <is>
          <t>SÖDERMANLANDS LÄN</t>
        </is>
      </c>
      <c r="E281" t="inlineStr">
        <is>
          <t>KATRINEHOLM</t>
        </is>
      </c>
      <c r="G281" t="n">
        <v>5.2</v>
      </c>
      <c r="H281" t="n">
        <v>0</v>
      </c>
      <c r="I281" t="n">
        <v>0</v>
      </c>
      <c r="J281" t="n">
        <v>0</v>
      </c>
      <c r="K281" t="n">
        <v>0</v>
      </c>
      <c r="L281" t="n">
        <v>0</v>
      </c>
      <c r="M281" t="n">
        <v>0</v>
      </c>
      <c r="N281" t="n">
        <v>0</v>
      </c>
      <c r="O281" t="n">
        <v>0</v>
      </c>
      <c r="P281" t="n">
        <v>0</v>
      </c>
      <c r="Q281" t="n">
        <v>0</v>
      </c>
      <c r="R281" s="2" t="inlineStr"/>
    </row>
    <row r="282" ht="15" customHeight="1">
      <c r="A282" t="inlineStr">
        <is>
          <t>A 29394-2024</t>
        </is>
      </c>
      <c r="B282" s="1" t="n">
        <v>45483</v>
      </c>
      <c r="C282" s="1" t="n">
        <v>46035</v>
      </c>
      <c r="D282" t="inlineStr">
        <is>
          <t>SÖDERMANLANDS LÄN</t>
        </is>
      </c>
      <c r="E282" t="inlineStr">
        <is>
          <t>KATRINEHOLM</t>
        </is>
      </c>
      <c r="G282" t="n">
        <v>0.9</v>
      </c>
      <c r="H282" t="n">
        <v>0</v>
      </c>
      <c r="I282" t="n">
        <v>0</v>
      </c>
      <c r="J282" t="n">
        <v>0</v>
      </c>
      <c r="K282" t="n">
        <v>0</v>
      </c>
      <c r="L282" t="n">
        <v>0</v>
      </c>
      <c r="M282" t="n">
        <v>0</v>
      </c>
      <c r="N282" t="n">
        <v>0</v>
      </c>
      <c r="O282" t="n">
        <v>0</v>
      </c>
      <c r="P282" t="n">
        <v>0</v>
      </c>
      <c r="Q282" t="n">
        <v>0</v>
      </c>
      <c r="R282" s="2" t="inlineStr"/>
    </row>
    <row r="283" ht="15" customHeight="1">
      <c r="A283" t="inlineStr">
        <is>
          <t>A 41793-2025</t>
        </is>
      </c>
      <c r="B283" s="1" t="n">
        <v>45902</v>
      </c>
      <c r="C283" s="1" t="n">
        <v>46035</v>
      </c>
      <c r="D283" t="inlineStr">
        <is>
          <t>SÖDERMANLANDS LÄN</t>
        </is>
      </c>
      <c r="E283" t="inlineStr">
        <is>
          <t>KATRINEHOLM</t>
        </is>
      </c>
      <c r="G283" t="n">
        <v>1.1</v>
      </c>
      <c r="H283" t="n">
        <v>0</v>
      </c>
      <c r="I283" t="n">
        <v>0</v>
      </c>
      <c r="J283" t="n">
        <v>0</v>
      </c>
      <c r="K283" t="n">
        <v>0</v>
      </c>
      <c r="L283" t="n">
        <v>0</v>
      </c>
      <c r="M283" t="n">
        <v>0</v>
      </c>
      <c r="N283" t="n">
        <v>0</v>
      </c>
      <c r="O283" t="n">
        <v>0</v>
      </c>
      <c r="P283" t="n">
        <v>0</v>
      </c>
      <c r="Q283" t="n">
        <v>0</v>
      </c>
      <c r="R283" s="2" t="inlineStr"/>
    </row>
    <row r="284" ht="15" customHeight="1">
      <c r="A284" t="inlineStr">
        <is>
          <t>A 50032-2022</t>
        </is>
      </c>
      <c r="B284" s="1" t="n">
        <v>44860</v>
      </c>
      <c r="C284" s="1" t="n">
        <v>46035</v>
      </c>
      <c r="D284" t="inlineStr">
        <is>
          <t>SÖDERMANLANDS LÄN</t>
        </is>
      </c>
      <c r="E284" t="inlineStr">
        <is>
          <t>KATRINEHOLM</t>
        </is>
      </c>
      <c r="G284" t="n">
        <v>7.5</v>
      </c>
      <c r="H284" t="n">
        <v>0</v>
      </c>
      <c r="I284" t="n">
        <v>0</v>
      </c>
      <c r="J284" t="n">
        <v>0</v>
      </c>
      <c r="K284" t="n">
        <v>0</v>
      </c>
      <c r="L284" t="n">
        <v>0</v>
      </c>
      <c r="M284" t="n">
        <v>0</v>
      </c>
      <c r="N284" t="n">
        <v>0</v>
      </c>
      <c r="O284" t="n">
        <v>0</v>
      </c>
      <c r="P284" t="n">
        <v>0</v>
      </c>
      <c r="Q284" t="n">
        <v>0</v>
      </c>
      <c r="R284" s="2" t="inlineStr"/>
    </row>
    <row r="285" ht="15" customHeight="1">
      <c r="A285" t="inlineStr">
        <is>
          <t>A 26713-2024</t>
        </is>
      </c>
      <c r="B285" s="1" t="n">
        <v>45470</v>
      </c>
      <c r="C285" s="1" t="n">
        <v>46035</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43837-2022</t>
        </is>
      </c>
      <c r="B286" s="1" t="n">
        <v>44838</v>
      </c>
      <c r="C286" s="1" t="n">
        <v>46035</v>
      </c>
      <c r="D286" t="inlineStr">
        <is>
          <t>SÖDERMANLANDS LÄN</t>
        </is>
      </c>
      <c r="E286" t="inlineStr">
        <is>
          <t>KATRINEHOLM</t>
        </is>
      </c>
      <c r="G286" t="n">
        <v>1.6</v>
      </c>
      <c r="H286" t="n">
        <v>0</v>
      </c>
      <c r="I286" t="n">
        <v>0</v>
      </c>
      <c r="J286" t="n">
        <v>0</v>
      </c>
      <c r="K286" t="n">
        <v>0</v>
      </c>
      <c r="L286" t="n">
        <v>0</v>
      </c>
      <c r="M286" t="n">
        <v>0</v>
      </c>
      <c r="N286" t="n">
        <v>0</v>
      </c>
      <c r="O286" t="n">
        <v>0</v>
      </c>
      <c r="P286" t="n">
        <v>0</v>
      </c>
      <c r="Q286" t="n">
        <v>0</v>
      </c>
      <c r="R286" s="2" t="inlineStr"/>
    </row>
    <row r="287" ht="15" customHeight="1">
      <c r="A287" t="inlineStr">
        <is>
          <t>A 57510-2021</t>
        </is>
      </c>
      <c r="B287" s="1" t="n">
        <v>44483</v>
      </c>
      <c r="C287" s="1" t="n">
        <v>46035</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55732-2023</t>
        </is>
      </c>
      <c r="B288" s="1" t="n">
        <v>45239</v>
      </c>
      <c r="C288" s="1" t="n">
        <v>46035</v>
      </c>
      <c r="D288" t="inlineStr">
        <is>
          <t>SÖDERMANLANDS LÄN</t>
        </is>
      </c>
      <c r="E288" t="inlineStr">
        <is>
          <t>KATRINEHOLM</t>
        </is>
      </c>
      <c r="G288" t="n">
        <v>0.9</v>
      </c>
      <c r="H288" t="n">
        <v>0</v>
      </c>
      <c r="I288" t="n">
        <v>0</v>
      </c>
      <c r="J288" t="n">
        <v>0</v>
      </c>
      <c r="K288" t="n">
        <v>0</v>
      </c>
      <c r="L288" t="n">
        <v>0</v>
      </c>
      <c r="M288" t="n">
        <v>0</v>
      </c>
      <c r="N288" t="n">
        <v>0</v>
      </c>
      <c r="O288" t="n">
        <v>0</v>
      </c>
      <c r="P288" t="n">
        <v>0</v>
      </c>
      <c r="Q288" t="n">
        <v>0</v>
      </c>
      <c r="R288" s="2" t="inlineStr"/>
    </row>
    <row r="289" ht="15" customHeight="1">
      <c r="A289" t="inlineStr">
        <is>
          <t>A 24902-2024</t>
        </is>
      </c>
      <c r="B289" s="1" t="n">
        <v>45461</v>
      </c>
      <c r="C289" s="1" t="n">
        <v>46035</v>
      </c>
      <c r="D289" t="inlineStr">
        <is>
          <t>SÖDERMANLANDS LÄN</t>
        </is>
      </c>
      <c r="E289" t="inlineStr">
        <is>
          <t>KATRINEHOLM</t>
        </is>
      </c>
      <c r="G289" t="n">
        <v>3.5</v>
      </c>
      <c r="H289" t="n">
        <v>0</v>
      </c>
      <c r="I289" t="n">
        <v>0</v>
      </c>
      <c r="J289" t="n">
        <v>0</v>
      </c>
      <c r="K289" t="n">
        <v>0</v>
      </c>
      <c r="L289" t="n">
        <v>0</v>
      </c>
      <c r="M289" t="n">
        <v>0</v>
      </c>
      <c r="N289" t="n">
        <v>0</v>
      </c>
      <c r="O289" t="n">
        <v>0</v>
      </c>
      <c r="P289" t="n">
        <v>0</v>
      </c>
      <c r="Q289" t="n">
        <v>0</v>
      </c>
      <c r="R289" s="2" t="inlineStr"/>
    </row>
    <row r="290" ht="15" customHeight="1">
      <c r="A290" t="inlineStr">
        <is>
          <t>A 40159-2023</t>
        </is>
      </c>
      <c r="B290" s="1" t="n">
        <v>45169</v>
      </c>
      <c r="C290" s="1" t="n">
        <v>46035</v>
      </c>
      <c r="D290" t="inlineStr">
        <is>
          <t>SÖDERMANLANDS LÄN</t>
        </is>
      </c>
      <c r="E290" t="inlineStr">
        <is>
          <t>KATRINEHOLM</t>
        </is>
      </c>
      <c r="F290" t="inlineStr">
        <is>
          <t>Övriga Aktiebolag</t>
        </is>
      </c>
      <c r="G290" t="n">
        <v>1.1</v>
      </c>
      <c r="H290" t="n">
        <v>0</v>
      </c>
      <c r="I290" t="n">
        <v>0</v>
      </c>
      <c r="J290" t="n">
        <v>0</v>
      </c>
      <c r="K290" t="n">
        <v>0</v>
      </c>
      <c r="L290" t="n">
        <v>0</v>
      </c>
      <c r="M290" t="n">
        <v>0</v>
      </c>
      <c r="N290" t="n">
        <v>0</v>
      </c>
      <c r="O290" t="n">
        <v>0</v>
      </c>
      <c r="P290" t="n">
        <v>0</v>
      </c>
      <c r="Q290" t="n">
        <v>0</v>
      </c>
      <c r="R290" s="2" t="inlineStr"/>
    </row>
    <row r="291" ht="15" customHeight="1">
      <c r="A291" t="inlineStr">
        <is>
          <t>A 28675-2024</t>
        </is>
      </c>
      <c r="B291" s="1" t="n">
        <v>45478</v>
      </c>
      <c r="C291" s="1" t="n">
        <v>46035</v>
      </c>
      <c r="D291" t="inlineStr">
        <is>
          <t>SÖDERMANLANDS LÄN</t>
        </is>
      </c>
      <c r="E291" t="inlineStr">
        <is>
          <t>KATRINEHOLM</t>
        </is>
      </c>
      <c r="F291" t="inlineStr">
        <is>
          <t>Övriga Aktiebolag</t>
        </is>
      </c>
      <c r="G291" t="n">
        <v>3.5</v>
      </c>
      <c r="H291" t="n">
        <v>0</v>
      </c>
      <c r="I291" t="n">
        <v>0</v>
      </c>
      <c r="J291" t="n">
        <v>0</v>
      </c>
      <c r="K291" t="n">
        <v>0</v>
      </c>
      <c r="L291" t="n">
        <v>0</v>
      </c>
      <c r="M291" t="n">
        <v>0</v>
      </c>
      <c r="N291" t="n">
        <v>0</v>
      </c>
      <c r="O291" t="n">
        <v>0</v>
      </c>
      <c r="P291" t="n">
        <v>0</v>
      </c>
      <c r="Q291" t="n">
        <v>0</v>
      </c>
      <c r="R291" s="2" t="inlineStr"/>
    </row>
    <row r="292" ht="15" customHeight="1">
      <c r="A292" t="inlineStr">
        <is>
          <t>A 27875-2024</t>
        </is>
      </c>
      <c r="B292" s="1" t="n">
        <v>45475</v>
      </c>
      <c r="C292" s="1" t="n">
        <v>46035</v>
      </c>
      <c r="D292" t="inlineStr">
        <is>
          <t>SÖDERMANLANDS LÄN</t>
        </is>
      </c>
      <c r="E292" t="inlineStr">
        <is>
          <t>KATRINEHOLM</t>
        </is>
      </c>
      <c r="G292" t="n">
        <v>1.8</v>
      </c>
      <c r="H292" t="n">
        <v>0</v>
      </c>
      <c r="I292" t="n">
        <v>0</v>
      </c>
      <c r="J292" t="n">
        <v>0</v>
      </c>
      <c r="K292" t="n">
        <v>0</v>
      </c>
      <c r="L292" t="n">
        <v>0</v>
      </c>
      <c r="M292" t="n">
        <v>0</v>
      </c>
      <c r="N292" t="n">
        <v>0</v>
      </c>
      <c r="O292" t="n">
        <v>0</v>
      </c>
      <c r="P292" t="n">
        <v>0</v>
      </c>
      <c r="Q292" t="n">
        <v>0</v>
      </c>
      <c r="R292" s="2" t="inlineStr"/>
    </row>
    <row r="293" ht="15" customHeight="1">
      <c r="A293" t="inlineStr">
        <is>
          <t>A 27376-2024</t>
        </is>
      </c>
      <c r="B293" s="1" t="n">
        <v>45473.88313657408</v>
      </c>
      <c r="C293" s="1" t="n">
        <v>46035</v>
      </c>
      <c r="D293" t="inlineStr">
        <is>
          <t>SÖDERMANLANDS LÄN</t>
        </is>
      </c>
      <c r="E293" t="inlineStr">
        <is>
          <t>KATRINEHOLM</t>
        </is>
      </c>
      <c r="F293" t="inlineStr">
        <is>
          <t>Kommuner</t>
        </is>
      </c>
      <c r="G293" t="n">
        <v>2.8</v>
      </c>
      <c r="H293" t="n">
        <v>0</v>
      </c>
      <c r="I293" t="n">
        <v>0</v>
      </c>
      <c r="J293" t="n">
        <v>0</v>
      </c>
      <c r="K293" t="n">
        <v>0</v>
      </c>
      <c r="L293" t="n">
        <v>0</v>
      </c>
      <c r="M293" t="n">
        <v>0</v>
      </c>
      <c r="N293" t="n">
        <v>0</v>
      </c>
      <c r="O293" t="n">
        <v>0</v>
      </c>
      <c r="P293" t="n">
        <v>0</v>
      </c>
      <c r="Q293" t="n">
        <v>0</v>
      </c>
      <c r="R293" s="2" t="inlineStr"/>
    </row>
    <row r="294" ht="15" customHeight="1">
      <c r="A294" t="inlineStr">
        <is>
          <t>A 28995-2024</t>
        </is>
      </c>
      <c r="B294" s="1" t="n">
        <v>45481.49899305555</v>
      </c>
      <c r="C294" s="1" t="n">
        <v>46035</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44989-2022</t>
        </is>
      </c>
      <c r="B295" s="1" t="n">
        <v>44840</v>
      </c>
      <c r="C295" s="1" t="n">
        <v>46035</v>
      </c>
      <c r="D295" t="inlineStr">
        <is>
          <t>SÖDERMANLANDS LÄN</t>
        </is>
      </c>
      <c r="E295" t="inlineStr">
        <is>
          <t>KATRINEHOLM</t>
        </is>
      </c>
      <c r="G295" t="n">
        <v>6</v>
      </c>
      <c r="H295" t="n">
        <v>0</v>
      </c>
      <c r="I295" t="n">
        <v>0</v>
      </c>
      <c r="J295" t="n">
        <v>0</v>
      </c>
      <c r="K295" t="n">
        <v>0</v>
      </c>
      <c r="L295" t="n">
        <v>0</v>
      </c>
      <c r="M295" t="n">
        <v>0</v>
      </c>
      <c r="N295" t="n">
        <v>0</v>
      </c>
      <c r="O295" t="n">
        <v>0</v>
      </c>
      <c r="P295" t="n">
        <v>0</v>
      </c>
      <c r="Q295" t="n">
        <v>0</v>
      </c>
      <c r="R295" s="2" t="inlineStr"/>
    </row>
    <row r="296" ht="15" customHeight="1">
      <c r="A296" t="inlineStr">
        <is>
          <t>A 48259-2022</t>
        </is>
      </c>
      <c r="B296" s="1" t="n">
        <v>44858</v>
      </c>
      <c r="C296" s="1" t="n">
        <v>46035</v>
      </c>
      <c r="D296" t="inlineStr">
        <is>
          <t>SÖDERMANLANDS LÄN</t>
        </is>
      </c>
      <c r="E296" t="inlineStr">
        <is>
          <t>KATRINEHOLM</t>
        </is>
      </c>
      <c r="G296" t="n">
        <v>3.5</v>
      </c>
      <c r="H296" t="n">
        <v>0</v>
      </c>
      <c r="I296" t="n">
        <v>0</v>
      </c>
      <c r="J296" t="n">
        <v>0</v>
      </c>
      <c r="K296" t="n">
        <v>0</v>
      </c>
      <c r="L296" t="n">
        <v>0</v>
      </c>
      <c r="M296" t="n">
        <v>0</v>
      </c>
      <c r="N296" t="n">
        <v>0</v>
      </c>
      <c r="O296" t="n">
        <v>0</v>
      </c>
      <c r="P296" t="n">
        <v>0</v>
      </c>
      <c r="Q296" t="n">
        <v>0</v>
      </c>
      <c r="R296" s="2" t="inlineStr"/>
    </row>
    <row r="297" ht="15" customHeight="1">
      <c r="A297" t="inlineStr">
        <is>
          <t>A 28992-2024</t>
        </is>
      </c>
      <c r="B297" s="1" t="n">
        <v>45481.49289351852</v>
      </c>
      <c r="C297" s="1" t="n">
        <v>46035</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7322-2023</t>
        </is>
      </c>
      <c r="B298" s="1" t="n">
        <v>44970</v>
      </c>
      <c r="C298" s="1" t="n">
        <v>46035</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2093-2025</t>
        </is>
      </c>
      <c r="B299" s="1" t="n">
        <v>45672</v>
      </c>
      <c r="C299" s="1" t="n">
        <v>46035</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42686-2025</t>
        </is>
      </c>
      <c r="B300" s="1" t="n">
        <v>45908.35550925926</v>
      </c>
      <c r="C300" s="1" t="n">
        <v>46035</v>
      </c>
      <c r="D300" t="inlineStr">
        <is>
          <t>SÖDERMANLANDS LÄN</t>
        </is>
      </c>
      <c r="E300" t="inlineStr">
        <is>
          <t>KATRINEHOLM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42799-2025</t>
        </is>
      </c>
      <c r="B301" s="1" t="n">
        <v>45907</v>
      </c>
      <c r="C301" s="1" t="n">
        <v>46035</v>
      </c>
      <c r="D301" t="inlineStr">
        <is>
          <t>SÖDERMANLANDS LÄN</t>
        </is>
      </c>
      <c r="E301" t="inlineStr">
        <is>
          <t>KATRINEHOLM</t>
        </is>
      </c>
      <c r="G301" t="n">
        <v>3.9</v>
      </c>
      <c r="H301" t="n">
        <v>0</v>
      </c>
      <c r="I301" t="n">
        <v>0</v>
      </c>
      <c r="J301" t="n">
        <v>0</v>
      </c>
      <c r="K301" t="n">
        <v>0</v>
      </c>
      <c r="L301" t="n">
        <v>0</v>
      </c>
      <c r="M301" t="n">
        <v>0</v>
      </c>
      <c r="N301" t="n">
        <v>0</v>
      </c>
      <c r="O301" t="n">
        <v>0</v>
      </c>
      <c r="P301" t="n">
        <v>0</v>
      </c>
      <c r="Q301" t="n">
        <v>0</v>
      </c>
      <c r="R301" s="2" t="inlineStr"/>
    </row>
    <row r="302" ht="15" customHeight="1">
      <c r="A302" t="inlineStr">
        <is>
          <t>A 2603-2025</t>
        </is>
      </c>
      <c r="B302" s="1" t="n">
        <v>45674</v>
      </c>
      <c r="C302" s="1" t="n">
        <v>46035</v>
      </c>
      <c r="D302" t="inlineStr">
        <is>
          <t>SÖDERMANLANDS LÄN</t>
        </is>
      </c>
      <c r="E302" t="inlineStr">
        <is>
          <t>KATRINEHOLM</t>
        </is>
      </c>
      <c r="G302" t="n">
        <v>1.6</v>
      </c>
      <c r="H302" t="n">
        <v>0</v>
      </c>
      <c r="I302" t="n">
        <v>0</v>
      </c>
      <c r="J302" t="n">
        <v>0</v>
      </c>
      <c r="K302" t="n">
        <v>0</v>
      </c>
      <c r="L302" t="n">
        <v>0</v>
      </c>
      <c r="M302" t="n">
        <v>0</v>
      </c>
      <c r="N302" t="n">
        <v>0</v>
      </c>
      <c r="O302" t="n">
        <v>0</v>
      </c>
      <c r="P302" t="n">
        <v>0</v>
      </c>
      <c r="Q302" t="n">
        <v>0</v>
      </c>
      <c r="R302" s="2" t="inlineStr"/>
    </row>
    <row r="303" ht="15" customHeight="1">
      <c r="A303" t="inlineStr">
        <is>
          <t>A 27886-2024</t>
        </is>
      </c>
      <c r="B303" s="1" t="n">
        <v>45475</v>
      </c>
      <c r="C303" s="1" t="n">
        <v>46035</v>
      </c>
      <c r="D303" t="inlineStr">
        <is>
          <t>SÖDERMANLANDS LÄN</t>
        </is>
      </c>
      <c r="E303" t="inlineStr">
        <is>
          <t>KATRINEHOLM</t>
        </is>
      </c>
      <c r="G303" t="n">
        <v>10.3</v>
      </c>
      <c r="H303" t="n">
        <v>0</v>
      </c>
      <c r="I303" t="n">
        <v>0</v>
      </c>
      <c r="J303" t="n">
        <v>0</v>
      </c>
      <c r="K303" t="n">
        <v>0</v>
      </c>
      <c r="L303" t="n">
        <v>0</v>
      </c>
      <c r="M303" t="n">
        <v>0</v>
      </c>
      <c r="N303" t="n">
        <v>0</v>
      </c>
      <c r="O303" t="n">
        <v>0</v>
      </c>
      <c r="P303" t="n">
        <v>0</v>
      </c>
      <c r="Q303" t="n">
        <v>0</v>
      </c>
      <c r="R303" s="2" t="inlineStr"/>
    </row>
    <row r="304" ht="15" customHeight="1">
      <c r="A304" t="inlineStr">
        <is>
          <t>A 42474-2025</t>
        </is>
      </c>
      <c r="B304" s="1" t="n">
        <v>45905.46659722222</v>
      </c>
      <c r="C304" s="1" t="n">
        <v>46035</v>
      </c>
      <c r="D304" t="inlineStr">
        <is>
          <t>SÖDERMANLANDS LÄN</t>
        </is>
      </c>
      <c r="E304" t="inlineStr">
        <is>
          <t>KATRINEHOLM</t>
        </is>
      </c>
      <c r="G304" t="n">
        <v>4</v>
      </c>
      <c r="H304" t="n">
        <v>0</v>
      </c>
      <c r="I304" t="n">
        <v>0</v>
      </c>
      <c r="J304" t="n">
        <v>0</v>
      </c>
      <c r="K304" t="n">
        <v>0</v>
      </c>
      <c r="L304" t="n">
        <v>0</v>
      </c>
      <c r="M304" t="n">
        <v>0</v>
      </c>
      <c r="N304" t="n">
        <v>0</v>
      </c>
      <c r="O304" t="n">
        <v>0</v>
      </c>
      <c r="P304" t="n">
        <v>0</v>
      </c>
      <c r="Q304" t="n">
        <v>0</v>
      </c>
      <c r="R304" s="2" t="inlineStr"/>
    </row>
    <row r="305" ht="15" customHeight="1">
      <c r="A305" t="inlineStr">
        <is>
          <t>A 24566-2025</t>
        </is>
      </c>
      <c r="B305" s="1" t="n">
        <v>45798.46452546296</v>
      </c>
      <c r="C305" s="1" t="n">
        <v>46035</v>
      </c>
      <c r="D305" t="inlineStr">
        <is>
          <t>SÖDERMANLANDS LÄN</t>
        </is>
      </c>
      <c r="E305" t="inlineStr">
        <is>
          <t>KATRINEHOLM</t>
        </is>
      </c>
      <c r="G305" t="n">
        <v>6.3</v>
      </c>
      <c r="H305" t="n">
        <v>0</v>
      </c>
      <c r="I305" t="n">
        <v>0</v>
      </c>
      <c r="J305" t="n">
        <v>0</v>
      </c>
      <c r="K305" t="n">
        <v>0</v>
      </c>
      <c r="L305" t="n">
        <v>0</v>
      </c>
      <c r="M305" t="n">
        <v>0</v>
      </c>
      <c r="N305" t="n">
        <v>0</v>
      </c>
      <c r="O305" t="n">
        <v>0</v>
      </c>
      <c r="P305" t="n">
        <v>0</v>
      </c>
      <c r="Q305" t="n">
        <v>0</v>
      </c>
      <c r="R305" s="2" t="inlineStr"/>
    </row>
    <row r="306" ht="15" customHeight="1">
      <c r="A306" t="inlineStr">
        <is>
          <t>A 25363-2023</t>
        </is>
      </c>
      <c r="B306" s="1" t="n">
        <v>45088.83840277778</v>
      </c>
      <c r="C306" s="1" t="n">
        <v>46035</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6722-2022</t>
        </is>
      </c>
      <c r="B307" s="1" t="n">
        <v>44602</v>
      </c>
      <c r="C307" s="1" t="n">
        <v>46035</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24605-2025</t>
        </is>
      </c>
      <c r="B308" s="1" t="n">
        <v>45798.57403935185</v>
      </c>
      <c r="C308" s="1" t="n">
        <v>46035</v>
      </c>
      <c r="D308" t="inlineStr">
        <is>
          <t>SÖDERMANLANDS LÄN</t>
        </is>
      </c>
      <c r="E308" t="inlineStr">
        <is>
          <t>KATRINEHOLM</t>
        </is>
      </c>
      <c r="G308" t="n">
        <v>7</v>
      </c>
      <c r="H308" t="n">
        <v>0</v>
      </c>
      <c r="I308" t="n">
        <v>0</v>
      </c>
      <c r="J308" t="n">
        <v>0</v>
      </c>
      <c r="K308" t="n">
        <v>0</v>
      </c>
      <c r="L308" t="n">
        <v>0</v>
      </c>
      <c r="M308" t="n">
        <v>0</v>
      </c>
      <c r="N308" t="n">
        <v>0</v>
      </c>
      <c r="O308" t="n">
        <v>0</v>
      </c>
      <c r="P308" t="n">
        <v>0</v>
      </c>
      <c r="Q308" t="n">
        <v>0</v>
      </c>
      <c r="R308" s="2" t="inlineStr"/>
    </row>
    <row r="309" ht="15" customHeight="1">
      <c r="A309" t="inlineStr">
        <is>
          <t>A 6763-2022</t>
        </is>
      </c>
      <c r="B309" s="1" t="n">
        <v>44602</v>
      </c>
      <c r="C309" s="1" t="n">
        <v>46035</v>
      </c>
      <c r="D309" t="inlineStr">
        <is>
          <t>SÖDERMANLANDS LÄN</t>
        </is>
      </c>
      <c r="E309" t="inlineStr">
        <is>
          <t>KATRINEHOLM</t>
        </is>
      </c>
      <c r="G309" t="n">
        <v>6.7</v>
      </c>
      <c r="H309" t="n">
        <v>0</v>
      </c>
      <c r="I309" t="n">
        <v>0</v>
      </c>
      <c r="J309" t="n">
        <v>0</v>
      </c>
      <c r="K309" t="n">
        <v>0</v>
      </c>
      <c r="L309" t="n">
        <v>0</v>
      </c>
      <c r="M309" t="n">
        <v>0</v>
      </c>
      <c r="N309" t="n">
        <v>0</v>
      </c>
      <c r="O309" t="n">
        <v>0</v>
      </c>
      <c r="P309" t="n">
        <v>0</v>
      </c>
      <c r="Q309" t="n">
        <v>0</v>
      </c>
      <c r="R309" s="2" t="inlineStr"/>
    </row>
    <row r="310" ht="15" customHeight="1">
      <c r="A310" t="inlineStr">
        <is>
          <t>A 5790-2022</t>
        </is>
      </c>
      <c r="B310" s="1" t="n">
        <v>44596.55368055555</v>
      </c>
      <c r="C310" s="1" t="n">
        <v>46035</v>
      </c>
      <c r="D310" t="inlineStr">
        <is>
          <t>SÖDERMANLANDS LÄN</t>
        </is>
      </c>
      <c r="E310" t="inlineStr">
        <is>
          <t>KATRINEHOLM</t>
        </is>
      </c>
      <c r="G310" t="n">
        <v>0.6</v>
      </c>
      <c r="H310" t="n">
        <v>0</v>
      </c>
      <c r="I310" t="n">
        <v>0</v>
      </c>
      <c r="J310" t="n">
        <v>0</v>
      </c>
      <c r="K310" t="n">
        <v>0</v>
      </c>
      <c r="L310" t="n">
        <v>0</v>
      </c>
      <c r="M310" t="n">
        <v>0</v>
      </c>
      <c r="N310" t="n">
        <v>0</v>
      </c>
      <c r="O310" t="n">
        <v>0</v>
      </c>
      <c r="P310" t="n">
        <v>0</v>
      </c>
      <c r="Q310" t="n">
        <v>0</v>
      </c>
      <c r="R310" s="2" t="inlineStr"/>
    </row>
    <row r="311" ht="15" customHeight="1">
      <c r="A311" t="inlineStr">
        <is>
          <t>A 14313-2024</t>
        </is>
      </c>
      <c r="B311" s="1" t="n">
        <v>45393</v>
      </c>
      <c r="C311" s="1" t="n">
        <v>46035</v>
      </c>
      <c r="D311" t="inlineStr">
        <is>
          <t>SÖDERMANLANDS LÄN</t>
        </is>
      </c>
      <c r="E311" t="inlineStr">
        <is>
          <t>KATRINEHOLM</t>
        </is>
      </c>
      <c r="G311" t="n">
        <v>3.1</v>
      </c>
      <c r="H311" t="n">
        <v>0</v>
      </c>
      <c r="I311" t="n">
        <v>0</v>
      </c>
      <c r="J311" t="n">
        <v>0</v>
      </c>
      <c r="K311" t="n">
        <v>0</v>
      </c>
      <c r="L311" t="n">
        <v>0</v>
      </c>
      <c r="M311" t="n">
        <v>0</v>
      </c>
      <c r="N311" t="n">
        <v>0</v>
      </c>
      <c r="O311" t="n">
        <v>0</v>
      </c>
      <c r="P311" t="n">
        <v>0</v>
      </c>
      <c r="Q311" t="n">
        <v>0</v>
      </c>
      <c r="R311" s="2" t="inlineStr"/>
    </row>
    <row r="312" ht="15" customHeight="1">
      <c r="A312" t="inlineStr">
        <is>
          <t>A 29397-2024</t>
        </is>
      </c>
      <c r="B312" s="1" t="n">
        <v>45483</v>
      </c>
      <c r="C312" s="1" t="n">
        <v>46035</v>
      </c>
      <c r="D312" t="inlineStr">
        <is>
          <t>SÖDERMANLANDS LÄN</t>
        </is>
      </c>
      <c r="E312" t="inlineStr">
        <is>
          <t>KATRINEHOLM</t>
        </is>
      </c>
      <c r="G312" t="n">
        <v>3.4</v>
      </c>
      <c r="H312" t="n">
        <v>0</v>
      </c>
      <c r="I312" t="n">
        <v>0</v>
      </c>
      <c r="J312" t="n">
        <v>0</v>
      </c>
      <c r="K312" t="n">
        <v>0</v>
      </c>
      <c r="L312" t="n">
        <v>0</v>
      </c>
      <c r="M312" t="n">
        <v>0</v>
      </c>
      <c r="N312" t="n">
        <v>0</v>
      </c>
      <c r="O312" t="n">
        <v>0</v>
      </c>
      <c r="P312" t="n">
        <v>0</v>
      </c>
      <c r="Q312" t="n">
        <v>0</v>
      </c>
      <c r="R312" s="2" t="inlineStr"/>
    </row>
    <row r="313" ht="15" customHeight="1">
      <c r="A313" t="inlineStr">
        <is>
          <t>A 56086-2023</t>
        </is>
      </c>
      <c r="B313" s="1" t="n">
        <v>45240</v>
      </c>
      <c r="C313" s="1" t="n">
        <v>46035</v>
      </c>
      <c r="D313" t="inlineStr">
        <is>
          <t>SÖDERMANLANDS LÄN</t>
        </is>
      </c>
      <c r="E313" t="inlineStr">
        <is>
          <t>KATRINEHOLM</t>
        </is>
      </c>
      <c r="F313" t="inlineStr">
        <is>
          <t>Kyrkan</t>
        </is>
      </c>
      <c r="G313" t="n">
        <v>17</v>
      </c>
      <c r="H313" t="n">
        <v>0</v>
      </c>
      <c r="I313" t="n">
        <v>0</v>
      </c>
      <c r="J313" t="n">
        <v>0</v>
      </c>
      <c r="K313" t="n">
        <v>0</v>
      </c>
      <c r="L313" t="n">
        <v>0</v>
      </c>
      <c r="M313" t="n">
        <v>0</v>
      </c>
      <c r="N313" t="n">
        <v>0</v>
      </c>
      <c r="O313" t="n">
        <v>0</v>
      </c>
      <c r="P313" t="n">
        <v>0</v>
      </c>
      <c r="Q313" t="n">
        <v>0</v>
      </c>
      <c r="R313" s="2" t="inlineStr"/>
    </row>
    <row r="314" ht="15" customHeight="1">
      <c r="A314" t="inlineStr">
        <is>
          <t>A 33278-2024</t>
        </is>
      </c>
      <c r="B314" s="1" t="n">
        <v>45518</v>
      </c>
      <c r="C314" s="1" t="n">
        <v>46035</v>
      </c>
      <c r="D314" t="inlineStr">
        <is>
          <t>SÖDERMANLANDS LÄN</t>
        </is>
      </c>
      <c r="E314" t="inlineStr">
        <is>
          <t>KATRINEHOLM</t>
        </is>
      </c>
      <c r="G314" t="n">
        <v>2.1</v>
      </c>
      <c r="H314" t="n">
        <v>0</v>
      </c>
      <c r="I314" t="n">
        <v>0</v>
      </c>
      <c r="J314" t="n">
        <v>0</v>
      </c>
      <c r="K314" t="n">
        <v>0</v>
      </c>
      <c r="L314" t="n">
        <v>0</v>
      </c>
      <c r="M314" t="n">
        <v>0</v>
      </c>
      <c r="N314" t="n">
        <v>0</v>
      </c>
      <c r="O314" t="n">
        <v>0</v>
      </c>
      <c r="P314" t="n">
        <v>0</v>
      </c>
      <c r="Q314" t="n">
        <v>0</v>
      </c>
      <c r="R314" s="2" t="inlineStr"/>
    </row>
    <row r="315" ht="15" customHeight="1">
      <c r="A315" t="inlineStr">
        <is>
          <t>A 9714-2024</t>
        </is>
      </c>
      <c r="B315" s="1" t="n">
        <v>45362</v>
      </c>
      <c r="C315" s="1" t="n">
        <v>46035</v>
      </c>
      <c r="D315" t="inlineStr">
        <is>
          <t>SÖDERMANLANDS LÄN</t>
        </is>
      </c>
      <c r="E315" t="inlineStr">
        <is>
          <t>KATRINEHOLM</t>
        </is>
      </c>
      <c r="G315" t="n">
        <v>4</v>
      </c>
      <c r="H315" t="n">
        <v>0</v>
      </c>
      <c r="I315" t="n">
        <v>0</v>
      </c>
      <c r="J315" t="n">
        <v>0</v>
      </c>
      <c r="K315" t="n">
        <v>0</v>
      </c>
      <c r="L315" t="n">
        <v>0</v>
      </c>
      <c r="M315" t="n">
        <v>0</v>
      </c>
      <c r="N315" t="n">
        <v>0</v>
      </c>
      <c r="O315" t="n">
        <v>0</v>
      </c>
      <c r="P315" t="n">
        <v>0</v>
      </c>
      <c r="Q315" t="n">
        <v>0</v>
      </c>
      <c r="R315" s="2" t="inlineStr"/>
    </row>
    <row r="316" ht="15" customHeight="1">
      <c r="A316" t="inlineStr">
        <is>
          <t>A 61423-2024</t>
        </is>
      </c>
      <c r="B316" s="1" t="n">
        <v>45646.45209490741</v>
      </c>
      <c r="C316" s="1" t="n">
        <v>46035</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41727-2024</t>
        </is>
      </c>
      <c r="B317" s="1" t="n">
        <v>45560</v>
      </c>
      <c r="C317" s="1" t="n">
        <v>46035</v>
      </c>
      <c r="D317" t="inlineStr">
        <is>
          <t>SÖDERMANLANDS LÄN</t>
        </is>
      </c>
      <c r="E317" t="inlineStr">
        <is>
          <t>KATRINEHOLM</t>
        </is>
      </c>
      <c r="G317" t="n">
        <v>3.9</v>
      </c>
      <c r="H317" t="n">
        <v>0</v>
      </c>
      <c r="I317" t="n">
        <v>0</v>
      </c>
      <c r="J317" t="n">
        <v>0</v>
      </c>
      <c r="K317" t="n">
        <v>0</v>
      </c>
      <c r="L317" t="n">
        <v>0</v>
      </c>
      <c r="M317" t="n">
        <v>0</v>
      </c>
      <c r="N317" t="n">
        <v>0</v>
      </c>
      <c r="O317" t="n">
        <v>0</v>
      </c>
      <c r="P317" t="n">
        <v>0</v>
      </c>
      <c r="Q317" t="n">
        <v>0</v>
      </c>
      <c r="R317" s="2" t="inlineStr"/>
    </row>
    <row r="318" ht="15" customHeight="1">
      <c r="A318" t="inlineStr">
        <is>
          <t>A 24619-2024</t>
        </is>
      </c>
      <c r="B318" s="1" t="n">
        <v>45460</v>
      </c>
      <c r="C318" s="1" t="n">
        <v>46035</v>
      </c>
      <c r="D318" t="inlineStr">
        <is>
          <t>SÖDERMANLANDS LÄN</t>
        </is>
      </c>
      <c r="E318" t="inlineStr">
        <is>
          <t>KATRINEHOLM</t>
        </is>
      </c>
      <c r="G318" t="n">
        <v>4.7</v>
      </c>
      <c r="H318" t="n">
        <v>0</v>
      </c>
      <c r="I318" t="n">
        <v>0</v>
      </c>
      <c r="J318" t="n">
        <v>0</v>
      </c>
      <c r="K318" t="n">
        <v>0</v>
      </c>
      <c r="L318" t="n">
        <v>0</v>
      </c>
      <c r="M318" t="n">
        <v>0</v>
      </c>
      <c r="N318" t="n">
        <v>0</v>
      </c>
      <c r="O318" t="n">
        <v>0</v>
      </c>
      <c r="P318" t="n">
        <v>0</v>
      </c>
      <c r="Q318" t="n">
        <v>0</v>
      </c>
      <c r="R318" s="2" t="inlineStr"/>
    </row>
    <row r="319" ht="15" customHeight="1">
      <c r="A319" t="inlineStr">
        <is>
          <t>A 9699-2024</t>
        </is>
      </c>
      <c r="B319" s="1" t="n">
        <v>45362</v>
      </c>
      <c r="C319" s="1" t="n">
        <v>46035</v>
      </c>
      <c r="D319" t="inlineStr">
        <is>
          <t>SÖDERMANLANDS LÄN</t>
        </is>
      </c>
      <c r="E319" t="inlineStr">
        <is>
          <t>KATRINEHOLM</t>
        </is>
      </c>
      <c r="G319" t="n">
        <v>7.7</v>
      </c>
      <c r="H319" t="n">
        <v>0</v>
      </c>
      <c r="I319" t="n">
        <v>0</v>
      </c>
      <c r="J319" t="n">
        <v>0</v>
      </c>
      <c r="K319" t="n">
        <v>0</v>
      </c>
      <c r="L319" t="n">
        <v>0</v>
      </c>
      <c r="M319" t="n">
        <v>0</v>
      </c>
      <c r="N319" t="n">
        <v>0</v>
      </c>
      <c r="O319" t="n">
        <v>0</v>
      </c>
      <c r="P319" t="n">
        <v>0</v>
      </c>
      <c r="Q319" t="n">
        <v>0</v>
      </c>
      <c r="R319" s="2" t="inlineStr"/>
    </row>
    <row r="320" ht="15" customHeight="1">
      <c r="A320" t="inlineStr">
        <is>
          <t>A 59474-2021</t>
        </is>
      </c>
      <c r="B320" s="1" t="n">
        <v>44491</v>
      </c>
      <c r="C320" s="1" t="n">
        <v>46035</v>
      </c>
      <c r="D320" t="inlineStr">
        <is>
          <t>SÖDERMANLANDS LÄN</t>
        </is>
      </c>
      <c r="E320" t="inlineStr">
        <is>
          <t>KATRINEHOLM</t>
        </is>
      </c>
      <c r="G320" t="n">
        <v>2.7</v>
      </c>
      <c r="H320" t="n">
        <v>0</v>
      </c>
      <c r="I320" t="n">
        <v>0</v>
      </c>
      <c r="J320" t="n">
        <v>0</v>
      </c>
      <c r="K320" t="n">
        <v>0</v>
      </c>
      <c r="L320" t="n">
        <v>0</v>
      </c>
      <c r="M320" t="n">
        <v>0</v>
      </c>
      <c r="N320" t="n">
        <v>0</v>
      </c>
      <c r="O320" t="n">
        <v>0</v>
      </c>
      <c r="P320" t="n">
        <v>0</v>
      </c>
      <c r="Q320" t="n">
        <v>0</v>
      </c>
      <c r="R320" s="2" t="inlineStr"/>
    </row>
    <row r="321" ht="15" customHeight="1">
      <c r="A321" t="inlineStr">
        <is>
          <t>A 14239-2024</t>
        </is>
      </c>
      <c r="B321" s="1" t="n">
        <v>45393</v>
      </c>
      <c r="C321" s="1" t="n">
        <v>46035</v>
      </c>
      <c r="D321" t="inlineStr">
        <is>
          <t>SÖDERMANLANDS LÄN</t>
        </is>
      </c>
      <c r="E321" t="inlineStr">
        <is>
          <t>KATRINEHOLM</t>
        </is>
      </c>
      <c r="G321" t="n">
        <v>2.7</v>
      </c>
      <c r="H321" t="n">
        <v>0</v>
      </c>
      <c r="I321" t="n">
        <v>0</v>
      </c>
      <c r="J321" t="n">
        <v>0</v>
      </c>
      <c r="K321" t="n">
        <v>0</v>
      </c>
      <c r="L321" t="n">
        <v>0</v>
      </c>
      <c r="M321" t="n">
        <v>0</v>
      </c>
      <c r="N321" t="n">
        <v>0</v>
      </c>
      <c r="O321" t="n">
        <v>0</v>
      </c>
      <c r="P321" t="n">
        <v>0</v>
      </c>
      <c r="Q321" t="n">
        <v>0</v>
      </c>
      <c r="R321" s="2" t="inlineStr"/>
    </row>
    <row r="322" ht="15" customHeight="1">
      <c r="A322" t="inlineStr">
        <is>
          <t>A 14248-2024</t>
        </is>
      </c>
      <c r="B322" s="1" t="n">
        <v>45393</v>
      </c>
      <c r="C322" s="1" t="n">
        <v>46035</v>
      </c>
      <c r="D322" t="inlineStr">
        <is>
          <t>SÖDERMANLANDS LÄN</t>
        </is>
      </c>
      <c r="E322" t="inlineStr">
        <is>
          <t>KATRINEHOLM</t>
        </is>
      </c>
      <c r="G322" t="n">
        <v>1.4</v>
      </c>
      <c r="H322" t="n">
        <v>0</v>
      </c>
      <c r="I322" t="n">
        <v>0</v>
      </c>
      <c r="J322" t="n">
        <v>0</v>
      </c>
      <c r="K322" t="n">
        <v>0</v>
      </c>
      <c r="L322" t="n">
        <v>0</v>
      </c>
      <c r="M322" t="n">
        <v>0</v>
      </c>
      <c r="N322" t="n">
        <v>0</v>
      </c>
      <c r="O322" t="n">
        <v>0</v>
      </c>
      <c r="P322" t="n">
        <v>0</v>
      </c>
      <c r="Q322" t="n">
        <v>0</v>
      </c>
      <c r="R322" s="2" t="inlineStr"/>
    </row>
    <row r="323" ht="15" customHeight="1">
      <c r="A323" t="inlineStr">
        <is>
          <t>A 11635-2023</t>
        </is>
      </c>
      <c r="B323" s="1" t="n">
        <v>44994</v>
      </c>
      <c r="C323" s="1" t="n">
        <v>46035</v>
      </c>
      <c r="D323" t="inlineStr">
        <is>
          <t>SÖDERMANLANDS LÄN</t>
        </is>
      </c>
      <c r="E323" t="inlineStr">
        <is>
          <t>KATRINEHOLM</t>
        </is>
      </c>
      <c r="G323" t="n">
        <v>4.3</v>
      </c>
      <c r="H323" t="n">
        <v>0</v>
      </c>
      <c r="I323" t="n">
        <v>0</v>
      </c>
      <c r="J323" t="n">
        <v>0</v>
      </c>
      <c r="K323" t="n">
        <v>0</v>
      </c>
      <c r="L323" t="n">
        <v>0</v>
      </c>
      <c r="M323" t="n">
        <v>0</v>
      </c>
      <c r="N323" t="n">
        <v>0</v>
      </c>
      <c r="O323" t="n">
        <v>0</v>
      </c>
      <c r="P323" t="n">
        <v>0</v>
      </c>
      <c r="Q323" t="n">
        <v>0</v>
      </c>
      <c r="R323" s="2" t="inlineStr"/>
    </row>
    <row r="324" ht="15" customHeight="1">
      <c r="A324" t="inlineStr">
        <is>
          <t>A 44071-2025</t>
        </is>
      </c>
      <c r="B324" s="1" t="n">
        <v>45915</v>
      </c>
      <c r="C324" s="1" t="n">
        <v>46035</v>
      </c>
      <c r="D324" t="inlineStr">
        <is>
          <t>SÖDERMANLANDS LÄN</t>
        </is>
      </c>
      <c r="E324" t="inlineStr">
        <is>
          <t>KATRINEHOLM</t>
        </is>
      </c>
      <c r="G324" t="n">
        <v>3.1</v>
      </c>
      <c r="H324" t="n">
        <v>0</v>
      </c>
      <c r="I324" t="n">
        <v>0</v>
      </c>
      <c r="J324" t="n">
        <v>0</v>
      </c>
      <c r="K324" t="n">
        <v>0</v>
      </c>
      <c r="L324" t="n">
        <v>0</v>
      </c>
      <c r="M324" t="n">
        <v>0</v>
      </c>
      <c r="N324" t="n">
        <v>0</v>
      </c>
      <c r="O324" t="n">
        <v>0</v>
      </c>
      <c r="P324" t="n">
        <v>0</v>
      </c>
      <c r="Q324" t="n">
        <v>0</v>
      </c>
      <c r="R324" s="2" t="inlineStr"/>
    </row>
    <row r="325" ht="15" customHeight="1">
      <c r="A325" t="inlineStr">
        <is>
          <t>A 24717-2025</t>
        </is>
      </c>
      <c r="B325" s="1" t="n">
        <v>45799.27168981481</v>
      </c>
      <c r="C325" s="1" t="n">
        <v>46035</v>
      </c>
      <c r="D325" t="inlineStr">
        <is>
          <t>SÖDERMANLANDS LÄN</t>
        </is>
      </c>
      <c r="E325" t="inlineStr">
        <is>
          <t>KATRINEHOLM</t>
        </is>
      </c>
      <c r="G325" t="n">
        <v>24.5</v>
      </c>
      <c r="H325" t="n">
        <v>0</v>
      </c>
      <c r="I325" t="n">
        <v>0</v>
      </c>
      <c r="J325" t="n">
        <v>0</v>
      </c>
      <c r="K325" t="n">
        <v>0</v>
      </c>
      <c r="L325" t="n">
        <v>0</v>
      </c>
      <c r="M325" t="n">
        <v>0</v>
      </c>
      <c r="N325" t="n">
        <v>0</v>
      </c>
      <c r="O325" t="n">
        <v>0</v>
      </c>
      <c r="P325" t="n">
        <v>0</v>
      </c>
      <c r="Q325" t="n">
        <v>0</v>
      </c>
      <c r="R325" s="2" t="inlineStr"/>
    </row>
    <row r="326" ht="15" customHeight="1">
      <c r="A326" t="inlineStr">
        <is>
          <t>A 53999-2023</t>
        </is>
      </c>
      <c r="B326" s="1" t="n">
        <v>45231</v>
      </c>
      <c r="C326" s="1" t="n">
        <v>46035</v>
      </c>
      <c r="D326" t="inlineStr">
        <is>
          <t>SÖDERMANLANDS LÄN</t>
        </is>
      </c>
      <c r="E326" t="inlineStr">
        <is>
          <t>KATRINEHOLM</t>
        </is>
      </c>
      <c r="G326" t="n">
        <v>5.4</v>
      </c>
      <c r="H326" t="n">
        <v>0</v>
      </c>
      <c r="I326" t="n">
        <v>0</v>
      </c>
      <c r="J326" t="n">
        <v>0</v>
      </c>
      <c r="K326" t="n">
        <v>0</v>
      </c>
      <c r="L326" t="n">
        <v>0</v>
      </c>
      <c r="M326" t="n">
        <v>0</v>
      </c>
      <c r="N326" t="n">
        <v>0</v>
      </c>
      <c r="O326" t="n">
        <v>0</v>
      </c>
      <c r="P326" t="n">
        <v>0</v>
      </c>
      <c r="Q326" t="n">
        <v>0</v>
      </c>
      <c r="R326" s="2" t="inlineStr"/>
    </row>
    <row r="327" ht="15" customHeight="1">
      <c r="A327" t="inlineStr">
        <is>
          <t>A 24719-2025</t>
        </is>
      </c>
      <c r="B327" s="1" t="n">
        <v>45799</v>
      </c>
      <c r="C327" s="1" t="n">
        <v>46035</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10932-2023</t>
        </is>
      </c>
      <c r="B328" s="1" t="n">
        <v>44985</v>
      </c>
      <c r="C328" s="1" t="n">
        <v>46035</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43975-2025</t>
        </is>
      </c>
      <c r="B329" s="1" t="n">
        <v>45915.41148148148</v>
      </c>
      <c r="C329" s="1" t="n">
        <v>46035</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6087-2022</t>
        </is>
      </c>
      <c r="B330" s="1" t="n">
        <v>44599.61034722222</v>
      </c>
      <c r="C330" s="1" t="n">
        <v>46035</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8957-2024</t>
        </is>
      </c>
      <c r="B331" s="1" t="n">
        <v>45357.45089120371</v>
      </c>
      <c r="C331" s="1" t="n">
        <v>46035</v>
      </c>
      <c r="D331" t="inlineStr">
        <is>
          <t>SÖDERMANLANDS LÄN</t>
        </is>
      </c>
      <c r="E331" t="inlineStr">
        <is>
          <t>KATRINEHOLM</t>
        </is>
      </c>
      <c r="G331" t="n">
        <v>3.6</v>
      </c>
      <c r="H331" t="n">
        <v>0</v>
      </c>
      <c r="I331" t="n">
        <v>0</v>
      </c>
      <c r="J331" t="n">
        <v>0</v>
      </c>
      <c r="K331" t="n">
        <v>0</v>
      </c>
      <c r="L331" t="n">
        <v>0</v>
      </c>
      <c r="M331" t="n">
        <v>0</v>
      </c>
      <c r="N331" t="n">
        <v>0</v>
      </c>
      <c r="O331" t="n">
        <v>0</v>
      </c>
      <c r="P331" t="n">
        <v>0</v>
      </c>
      <c r="Q331" t="n">
        <v>0</v>
      </c>
      <c r="R331" s="2" t="inlineStr"/>
    </row>
    <row r="332" ht="15" customHeight="1">
      <c r="A332" t="inlineStr">
        <is>
          <t>A 25786-2025</t>
        </is>
      </c>
      <c r="B332" s="1" t="n">
        <v>45804.37456018518</v>
      </c>
      <c r="C332" s="1" t="n">
        <v>46035</v>
      </c>
      <c r="D332" t="inlineStr">
        <is>
          <t>SÖDERMANLANDS LÄN</t>
        </is>
      </c>
      <c r="E332" t="inlineStr">
        <is>
          <t>KATRINEHOLM</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42896-2024</t>
        </is>
      </c>
      <c r="B333" s="1" t="n">
        <v>45566.82973379629</v>
      </c>
      <c r="C333" s="1" t="n">
        <v>46035</v>
      </c>
      <c r="D333" t="inlineStr">
        <is>
          <t>SÖDERMANLANDS LÄN</t>
        </is>
      </c>
      <c r="E333" t="inlineStr">
        <is>
          <t>KATRINEHOLM</t>
        </is>
      </c>
      <c r="G333" t="n">
        <v>4.3</v>
      </c>
      <c r="H333" t="n">
        <v>0</v>
      </c>
      <c r="I333" t="n">
        <v>0</v>
      </c>
      <c r="J333" t="n">
        <v>0</v>
      </c>
      <c r="K333" t="n">
        <v>0</v>
      </c>
      <c r="L333" t="n">
        <v>0</v>
      </c>
      <c r="M333" t="n">
        <v>0</v>
      </c>
      <c r="N333" t="n">
        <v>0</v>
      </c>
      <c r="O333" t="n">
        <v>0</v>
      </c>
      <c r="P333" t="n">
        <v>0</v>
      </c>
      <c r="Q333" t="n">
        <v>0</v>
      </c>
      <c r="R333" s="2" t="inlineStr"/>
    </row>
    <row r="334" ht="15" customHeight="1">
      <c r="A334" t="inlineStr">
        <is>
          <t>A 26154-2025</t>
        </is>
      </c>
      <c r="B334" s="1" t="n">
        <v>45805.43341435185</v>
      </c>
      <c r="C334" s="1" t="n">
        <v>46035</v>
      </c>
      <c r="D334" t="inlineStr">
        <is>
          <t>SÖDERMANLANDS LÄN</t>
        </is>
      </c>
      <c r="E334" t="inlineStr">
        <is>
          <t>KATRINEHOLM</t>
        </is>
      </c>
      <c r="G334" t="n">
        <v>4.5</v>
      </c>
      <c r="H334" t="n">
        <v>0</v>
      </c>
      <c r="I334" t="n">
        <v>0</v>
      </c>
      <c r="J334" t="n">
        <v>0</v>
      </c>
      <c r="K334" t="n">
        <v>0</v>
      </c>
      <c r="L334" t="n">
        <v>0</v>
      </c>
      <c r="M334" t="n">
        <v>0</v>
      </c>
      <c r="N334" t="n">
        <v>0</v>
      </c>
      <c r="O334" t="n">
        <v>0</v>
      </c>
      <c r="P334" t="n">
        <v>0</v>
      </c>
      <c r="Q334" t="n">
        <v>0</v>
      </c>
      <c r="R334" s="2" t="inlineStr"/>
    </row>
    <row r="335" ht="15" customHeight="1">
      <c r="A335" t="inlineStr">
        <is>
          <t>A 7747-2024</t>
        </is>
      </c>
      <c r="B335" s="1" t="n">
        <v>45348</v>
      </c>
      <c r="C335" s="1" t="n">
        <v>46035</v>
      </c>
      <c r="D335" t="inlineStr">
        <is>
          <t>SÖDERMANLANDS LÄN</t>
        </is>
      </c>
      <c r="E335" t="inlineStr">
        <is>
          <t>KATRINEHOLM</t>
        </is>
      </c>
      <c r="G335" t="n">
        <v>1.1</v>
      </c>
      <c r="H335" t="n">
        <v>0</v>
      </c>
      <c r="I335" t="n">
        <v>0</v>
      </c>
      <c r="J335" t="n">
        <v>0</v>
      </c>
      <c r="K335" t="n">
        <v>0</v>
      </c>
      <c r="L335" t="n">
        <v>0</v>
      </c>
      <c r="M335" t="n">
        <v>0</v>
      </c>
      <c r="N335" t="n">
        <v>0</v>
      </c>
      <c r="O335" t="n">
        <v>0</v>
      </c>
      <c r="P335" t="n">
        <v>0</v>
      </c>
      <c r="Q335" t="n">
        <v>0</v>
      </c>
      <c r="R335" s="2" t="inlineStr"/>
    </row>
    <row r="336" ht="15" customHeight="1">
      <c r="A336" t="inlineStr">
        <is>
          <t>A 7753-2024</t>
        </is>
      </c>
      <c r="B336" s="1" t="n">
        <v>45348</v>
      </c>
      <c r="C336" s="1" t="n">
        <v>46035</v>
      </c>
      <c r="D336" t="inlineStr">
        <is>
          <t>SÖDERMANLANDS LÄN</t>
        </is>
      </c>
      <c r="E336" t="inlineStr">
        <is>
          <t>KATRINEHOLM</t>
        </is>
      </c>
      <c r="G336" t="n">
        <v>13.4</v>
      </c>
      <c r="H336" t="n">
        <v>0</v>
      </c>
      <c r="I336" t="n">
        <v>0</v>
      </c>
      <c r="J336" t="n">
        <v>0</v>
      </c>
      <c r="K336" t="n">
        <v>0</v>
      </c>
      <c r="L336" t="n">
        <v>0</v>
      </c>
      <c r="M336" t="n">
        <v>0</v>
      </c>
      <c r="N336" t="n">
        <v>0</v>
      </c>
      <c r="O336" t="n">
        <v>0</v>
      </c>
      <c r="P336" t="n">
        <v>0</v>
      </c>
      <c r="Q336" t="n">
        <v>0</v>
      </c>
      <c r="R336" s="2" t="inlineStr"/>
    </row>
    <row r="337" ht="15" customHeight="1">
      <c r="A337" t="inlineStr">
        <is>
          <t>A 26156-2025</t>
        </is>
      </c>
      <c r="B337" s="1" t="n">
        <v>45805.43864583333</v>
      </c>
      <c r="C337" s="1" t="n">
        <v>46035</v>
      </c>
      <c r="D337" t="inlineStr">
        <is>
          <t>SÖDERMANLANDS LÄN</t>
        </is>
      </c>
      <c r="E337" t="inlineStr">
        <is>
          <t>KATRINEHOLM</t>
        </is>
      </c>
      <c r="G337" t="n">
        <v>4.1</v>
      </c>
      <c r="H337" t="n">
        <v>0</v>
      </c>
      <c r="I337" t="n">
        <v>0</v>
      </c>
      <c r="J337" t="n">
        <v>0</v>
      </c>
      <c r="K337" t="n">
        <v>0</v>
      </c>
      <c r="L337" t="n">
        <v>0</v>
      </c>
      <c r="M337" t="n">
        <v>0</v>
      </c>
      <c r="N337" t="n">
        <v>0</v>
      </c>
      <c r="O337" t="n">
        <v>0</v>
      </c>
      <c r="P337" t="n">
        <v>0</v>
      </c>
      <c r="Q337" t="n">
        <v>0</v>
      </c>
      <c r="R337" s="2" t="inlineStr"/>
    </row>
    <row r="338" ht="15" customHeight="1">
      <c r="A338" t="inlineStr">
        <is>
          <t>A 5935-2023</t>
        </is>
      </c>
      <c r="B338" s="1" t="n">
        <v>44963</v>
      </c>
      <c r="C338" s="1" t="n">
        <v>46035</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10732-2022</t>
        </is>
      </c>
      <c r="B339" s="1" t="n">
        <v>44627.34033564815</v>
      </c>
      <c r="C339" s="1" t="n">
        <v>46035</v>
      </c>
      <c r="D339" t="inlineStr">
        <is>
          <t>SÖDERMANLANDS LÄN</t>
        </is>
      </c>
      <c r="E339" t="inlineStr">
        <is>
          <t>KATRINEHOLM</t>
        </is>
      </c>
      <c r="G339" t="n">
        <v>2.4</v>
      </c>
      <c r="H339" t="n">
        <v>0</v>
      </c>
      <c r="I339" t="n">
        <v>0</v>
      </c>
      <c r="J339" t="n">
        <v>0</v>
      </c>
      <c r="K339" t="n">
        <v>0</v>
      </c>
      <c r="L339" t="n">
        <v>0</v>
      </c>
      <c r="M339" t="n">
        <v>0</v>
      </c>
      <c r="N339" t="n">
        <v>0</v>
      </c>
      <c r="O339" t="n">
        <v>0</v>
      </c>
      <c r="P339" t="n">
        <v>0</v>
      </c>
      <c r="Q339" t="n">
        <v>0</v>
      </c>
      <c r="R339" s="2" t="inlineStr"/>
    </row>
    <row r="340" ht="15" customHeight="1">
      <c r="A340" t="inlineStr">
        <is>
          <t>A 49743-2025</t>
        </is>
      </c>
      <c r="B340" s="1" t="n">
        <v>45940</v>
      </c>
      <c r="C340" s="1" t="n">
        <v>46035</v>
      </c>
      <c r="D340" t="inlineStr">
        <is>
          <t>SÖDERMANLANDS LÄN</t>
        </is>
      </c>
      <c r="E340" t="inlineStr">
        <is>
          <t>KATRINEHOLM</t>
        </is>
      </c>
      <c r="G340" t="n">
        <v>1.1</v>
      </c>
      <c r="H340" t="n">
        <v>0</v>
      </c>
      <c r="I340" t="n">
        <v>0</v>
      </c>
      <c r="J340" t="n">
        <v>0</v>
      </c>
      <c r="K340" t="n">
        <v>0</v>
      </c>
      <c r="L340" t="n">
        <v>0</v>
      </c>
      <c r="M340" t="n">
        <v>0</v>
      </c>
      <c r="N340" t="n">
        <v>0</v>
      </c>
      <c r="O340" t="n">
        <v>0</v>
      </c>
      <c r="P340" t="n">
        <v>0</v>
      </c>
      <c r="Q340" t="n">
        <v>0</v>
      </c>
      <c r="R340" s="2" t="inlineStr"/>
    </row>
    <row r="341" ht="15" customHeight="1">
      <c r="A341" t="inlineStr">
        <is>
          <t>A 3939-2022</t>
        </is>
      </c>
      <c r="B341" s="1" t="n">
        <v>44587</v>
      </c>
      <c r="C341" s="1" t="n">
        <v>46035</v>
      </c>
      <c r="D341" t="inlineStr">
        <is>
          <t>SÖDERMANLANDS LÄN</t>
        </is>
      </c>
      <c r="E341" t="inlineStr">
        <is>
          <t>KATRINEHOLM</t>
        </is>
      </c>
      <c r="G341" t="n">
        <v>0.8</v>
      </c>
      <c r="H341" t="n">
        <v>0</v>
      </c>
      <c r="I341" t="n">
        <v>0</v>
      </c>
      <c r="J341" t="n">
        <v>0</v>
      </c>
      <c r="K341" t="n">
        <v>0</v>
      </c>
      <c r="L341" t="n">
        <v>0</v>
      </c>
      <c r="M341" t="n">
        <v>0</v>
      </c>
      <c r="N341" t="n">
        <v>0</v>
      </c>
      <c r="O341" t="n">
        <v>0</v>
      </c>
      <c r="P341" t="n">
        <v>0</v>
      </c>
      <c r="Q341" t="n">
        <v>0</v>
      </c>
      <c r="R341" s="2" t="inlineStr"/>
    </row>
    <row r="342" ht="15" customHeight="1">
      <c r="A342" t="inlineStr">
        <is>
          <t>A 56074-2022</t>
        </is>
      </c>
      <c r="B342" s="1" t="n">
        <v>44889</v>
      </c>
      <c r="C342" s="1" t="n">
        <v>46035</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c r="T342">
        <f>HYPERLINK("https://klasma.github.io/Logging_0483/kartor/A 56074-2022 karta.png", "A 56074-2022")</f>
        <v/>
      </c>
      <c r="V342">
        <f>HYPERLINK("https://klasma.github.io/Logging_0483/klagomål/A 56074-2022 FSC-klagomål.docx", "A 56074-2022")</f>
        <v/>
      </c>
      <c r="W342">
        <f>HYPERLINK("https://klasma.github.io/Logging_0483/klagomålsmail/A 56074-2022 FSC-klagomål mail.docx", "A 56074-2022")</f>
        <v/>
      </c>
      <c r="X342">
        <f>HYPERLINK("https://klasma.github.io/Logging_0483/tillsyn/A 56074-2022 tillsynsbegäran.docx", "A 56074-2022")</f>
        <v/>
      </c>
      <c r="Y342">
        <f>HYPERLINK("https://klasma.github.io/Logging_0483/tillsynsmail/A 56074-2022 tillsynsbegäran mail.docx", "A 56074-2022")</f>
        <v/>
      </c>
    </row>
    <row r="343" ht="15" customHeight="1">
      <c r="A343" t="inlineStr">
        <is>
          <t>A 46288-2025</t>
        </is>
      </c>
      <c r="B343" s="1" t="n">
        <v>45925.38545138889</v>
      </c>
      <c r="C343" s="1" t="n">
        <v>46035</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54873-2025</t>
        </is>
      </c>
      <c r="B344" s="1" t="n">
        <v>45967.30731481482</v>
      </c>
      <c r="C344" s="1" t="n">
        <v>46035</v>
      </c>
      <c r="D344" t="inlineStr">
        <is>
          <t>SÖDERMANLANDS LÄN</t>
        </is>
      </c>
      <c r="E344" t="inlineStr">
        <is>
          <t>KATRINEHOLM</t>
        </is>
      </c>
      <c r="G344" t="n">
        <v>2.7</v>
      </c>
      <c r="H344" t="n">
        <v>0</v>
      </c>
      <c r="I344" t="n">
        <v>0</v>
      </c>
      <c r="J344" t="n">
        <v>0</v>
      </c>
      <c r="K344" t="n">
        <v>0</v>
      </c>
      <c r="L344" t="n">
        <v>0</v>
      </c>
      <c r="M344" t="n">
        <v>0</v>
      </c>
      <c r="N344" t="n">
        <v>0</v>
      </c>
      <c r="O344" t="n">
        <v>0</v>
      </c>
      <c r="P344" t="n">
        <v>0</v>
      </c>
      <c r="Q344" t="n">
        <v>0</v>
      </c>
      <c r="R344" s="2" t="inlineStr"/>
    </row>
    <row r="345" ht="15" customHeight="1">
      <c r="A345" t="inlineStr">
        <is>
          <t>A 61915-2021</t>
        </is>
      </c>
      <c r="B345" s="1" t="n">
        <v>44502.36780092592</v>
      </c>
      <c r="C345" s="1" t="n">
        <v>46035</v>
      </c>
      <c r="D345" t="inlineStr">
        <is>
          <t>SÖDERMANLANDS LÄN</t>
        </is>
      </c>
      <c r="E345" t="inlineStr">
        <is>
          <t>KATRINEHOLM</t>
        </is>
      </c>
      <c r="G345" t="n">
        <v>2.6</v>
      </c>
      <c r="H345" t="n">
        <v>0</v>
      </c>
      <c r="I345" t="n">
        <v>0</v>
      </c>
      <c r="J345" t="n">
        <v>0</v>
      </c>
      <c r="K345" t="n">
        <v>0</v>
      </c>
      <c r="L345" t="n">
        <v>0</v>
      </c>
      <c r="M345" t="n">
        <v>0</v>
      </c>
      <c r="N345" t="n">
        <v>0</v>
      </c>
      <c r="O345" t="n">
        <v>0</v>
      </c>
      <c r="P345" t="n">
        <v>0</v>
      </c>
      <c r="Q345" t="n">
        <v>0</v>
      </c>
      <c r="R345" s="2" t="inlineStr"/>
    </row>
    <row r="346" ht="15" customHeight="1">
      <c r="A346" t="inlineStr">
        <is>
          <t>A 46524-2025</t>
        </is>
      </c>
      <c r="B346" s="1" t="n">
        <v>45926</v>
      </c>
      <c r="C346" s="1" t="n">
        <v>46035</v>
      </c>
      <c r="D346" t="inlineStr">
        <is>
          <t>SÖDERMANLANDS LÄN</t>
        </is>
      </c>
      <c r="E346" t="inlineStr">
        <is>
          <t>KATRINEHOLM</t>
        </is>
      </c>
      <c r="G346" t="n">
        <v>5.7</v>
      </c>
      <c r="H346" t="n">
        <v>0</v>
      </c>
      <c r="I346" t="n">
        <v>0</v>
      </c>
      <c r="J346" t="n">
        <v>0</v>
      </c>
      <c r="K346" t="n">
        <v>0</v>
      </c>
      <c r="L346" t="n">
        <v>0</v>
      </c>
      <c r="M346" t="n">
        <v>0</v>
      </c>
      <c r="N346" t="n">
        <v>0</v>
      </c>
      <c r="O346" t="n">
        <v>0</v>
      </c>
      <c r="P346" t="n">
        <v>0</v>
      </c>
      <c r="Q346" t="n">
        <v>0</v>
      </c>
      <c r="R346" s="2" t="inlineStr"/>
    </row>
    <row r="347" ht="15" customHeight="1">
      <c r="A347" t="inlineStr">
        <is>
          <t>A 8917-2024</t>
        </is>
      </c>
      <c r="B347" s="1" t="n">
        <v>45357.37618055556</v>
      </c>
      <c r="C347" s="1" t="n">
        <v>46035</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4656-2023</t>
        </is>
      </c>
      <c r="B348" s="1" t="n">
        <v>44957</v>
      </c>
      <c r="C348" s="1" t="n">
        <v>46035</v>
      </c>
      <c r="D348" t="inlineStr">
        <is>
          <t>SÖDERMANLANDS LÄN</t>
        </is>
      </c>
      <c r="E348" t="inlineStr">
        <is>
          <t>KATRINEHOLM</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59093-2024</t>
        </is>
      </c>
      <c r="B349" s="1" t="n">
        <v>45636</v>
      </c>
      <c r="C349" s="1" t="n">
        <v>46035</v>
      </c>
      <c r="D349" t="inlineStr">
        <is>
          <t>SÖDERMANLANDS LÄN</t>
        </is>
      </c>
      <c r="E349" t="inlineStr">
        <is>
          <t>KATRINEHOLM</t>
        </is>
      </c>
      <c r="G349" t="n">
        <v>2.8</v>
      </c>
      <c r="H349" t="n">
        <v>0</v>
      </c>
      <c r="I349" t="n">
        <v>0</v>
      </c>
      <c r="J349" t="n">
        <v>0</v>
      </c>
      <c r="K349" t="n">
        <v>0</v>
      </c>
      <c r="L349" t="n">
        <v>0</v>
      </c>
      <c r="M349" t="n">
        <v>0</v>
      </c>
      <c r="N349" t="n">
        <v>0</v>
      </c>
      <c r="O349" t="n">
        <v>0</v>
      </c>
      <c r="P349" t="n">
        <v>0</v>
      </c>
      <c r="Q349" t="n">
        <v>0</v>
      </c>
      <c r="R349" s="2" t="inlineStr"/>
    </row>
    <row r="350" ht="15" customHeight="1">
      <c r="A350" t="inlineStr">
        <is>
          <t>A 27534-2025</t>
        </is>
      </c>
      <c r="B350" s="1" t="n">
        <v>45813</v>
      </c>
      <c r="C350" s="1" t="n">
        <v>46035</v>
      </c>
      <c r="D350" t="inlineStr">
        <is>
          <t>SÖDERMANLANDS LÄN</t>
        </is>
      </c>
      <c r="E350" t="inlineStr">
        <is>
          <t>KATRINEHOLM</t>
        </is>
      </c>
      <c r="G350" t="n">
        <v>0.7</v>
      </c>
      <c r="H350" t="n">
        <v>0</v>
      </c>
      <c r="I350" t="n">
        <v>0</v>
      </c>
      <c r="J350" t="n">
        <v>0</v>
      </c>
      <c r="K350" t="n">
        <v>0</v>
      </c>
      <c r="L350" t="n">
        <v>0</v>
      </c>
      <c r="M350" t="n">
        <v>0</v>
      </c>
      <c r="N350" t="n">
        <v>0</v>
      </c>
      <c r="O350" t="n">
        <v>0</v>
      </c>
      <c r="P350" t="n">
        <v>0</v>
      </c>
      <c r="Q350" t="n">
        <v>0</v>
      </c>
      <c r="R350" s="2" t="inlineStr"/>
    </row>
    <row r="351" ht="15" customHeight="1">
      <c r="A351" t="inlineStr">
        <is>
          <t>A 27552-2025</t>
        </is>
      </c>
      <c r="B351" s="1" t="n">
        <v>45813</v>
      </c>
      <c r="C351" s="1" t="n">
        <v>46035</v>
      </c>
      <c r="D351" t="inlineStr">
        <is>
          <t>SÖDERMANLANDS LÄN</t>
        </is>
      </c>
      <c r="E351" t="inlineStr">
        <is>
          <t>KATRINEHOLM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27636-2025</t>
        </is>
      </c>
      <c r="B352" s="1" t="n">
        <v>45813.57603009259</v>
      </c>
      <c r="C352" s="1" t="n">
        <v>46035</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24600-2025</t>
        </is>
      </c>
      <c r="B353" s="1" t="n">
        <v>45798.56348379629</v>
      </c>
      <c r="C353" s="1" t="n">
        <v>46035</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38872-2024</t>
        </is>
      </c>
      <c r="B354" s="1" t="n">
        <v>45547</v>
      </c>
      <c r="C354" s="1" t="n">
        <v>46035</v>
      </c>
      <c r="D354" t="inlineStr">
        <is>
          <t>SÖDERMANLANDS LÄN</t>
        </is>
      </c>
      <c r="E354" t="inlineStr">
        <is>
          <t>KATRINEHOLM</t>
        </is>
      </c>
      <c r="G354" t="n">
        <v>5.7</v>
      </c>
      <c r="H354" t="n">
        <v>0</v>
      </c>
      <c r="I354" t="n">
        <v>0</v>
      </c>
      <c r="J354" t="n">
        <v>0</v>
      </c>
      <c r="K354" t="n">
        <v>0</v>
      </c>
      <c r="L354" t="n">
        <v>0</v>
      </c>
      <c r="M354" t="n">
        <v>0</v>
      </c>
      <c r="N354" t="n">
        <v>0</v>
      </c>
      <c r="O354" t="n">
        <v>0</v>
      </c>
      <c r="P354" t="n">
        <v>0</v>
      </c>
      <c r="Q354" t="n">
        <v>0</v>
      </c>
      <c r="R354" s="2" t="inlineStr"/>
    </row>
    <row r="355" ht="15" customHeight="1">
      <c r="A355" t="inlineStr">
        <is>
          <t>A 35608-2024</t>
        </is>
      </c>
      <c r="B355" s="1" t="n">
        <v>45531</v>
      </c>
      <c r="C355" s="1" t="n">
        <v>46035</v>
      </c>
      <c r="D355" t="inlineStr">
        <is>
          <t>SÖDERMANLANDS LÄN</t>
        </is>
      </c>
      <c r="E355" t="inlineStr">
        <is>
          <t>KATRINEHOLM</t>
        </is>
      </c>
      <c r="G355" t="n">
        <v>2</v>
      </c>
      <c r="H355" t="n">
        <v>0</v>
      </c>
      <c r="I355" t="n">
        <v>0</v>
      </c>
      <c r="J355" t="n">
        <v>0</v>
      </c>
      <c r="K355" t="n">
        <v>0</v>
      </c>
      <c r="L355" t="n">
        <v>0</v>
      </c>
      <c r="M355" t="n">
        <v>0</v>
      </c>
      <c r="N355" t="n">
        <v>0</v>
      </c>
      <c r="O355" t="n">
        <v>0</v>
      </c>
      <c r="P355" t="n">
        <v>0</v>
      </c>
      <c r="Q355" t="n">
        <v>0</v>
      </c>
      <c r="R355" s="2" t="inlineStr"/>
    </row>
    <row r="356" ht="15" customHeight="1">
      <c r="A356" t="inlineStr">
        <is>
          <t>A 9932-2023</t>
        </is>
      </c>
      <c r="B356" s="1" t="n">
        <v>44985.46709490741</v>
      </c>
      <c r="C356" s="1" t="n">
        <v>46035</v>
      </c>
      <c r="D356" t="inlineStr">
        <is>
          <t>SÖDERMANLANDS LÄN</t>
        </is>
      </c>
      <c r="E356" t="inlineStr">
        <is>
          <t>KATRINEHOLM</t>
        </is>
      </c>
      <c r="G356" t="n">
        <v>0.3</v>
      </c>
      <c r="H356" t="n">
        <v>0</v>
      </c>
      <c r="I356" t="n">
        <v>0</v>
      </c>
      <c r="J356" t="n">
        <v>0</v>
      </c>
      <c r="K356" t="n">
        <v>0</v>
      </c>
      <c r="L356" t="n">
        <v>0</v>
      </c>
      <c r="M356" t="n">
        <v>0</v>
      </c>
      <c r="N356" t="n">
        <v>0</v>
      </c>
      <c r="O356" t="n">
        <v>0</v>
      </c>
      <c r="P356" t="n">
        <v>0</v>
      </c>
      <c r="Q356" t="n">
        <v>0</v>
      </c>
      <c r="R356" s="2" t="inlineStr"/>
    </row>
    <row r="357" ht="15" customHeight="1">
      <c r="A357" t="inlineStr">
        <is>
          <t>A 12633-2022</t>
        </is>
      </c>
      <c r="B357" s="1" t="n">
        <v>44638</v>
      </c>
      <c r="C357" s="1" t="n">
        <v>46035</v>
      </c>
      <c r="D357" t="inlineStr">
        <is>
          <t>SÖDERMANLANDS LÄN</t>
        </is>
      </c>
      <c r="E357" t="inlineStr">
        <is>
          <t>KATRINEHOLM</t>
        </is>
      </c>
      <c r="G357" t="n">
        <v>6.4</v>
      </c>
      <c r="H357" t="n">
        <v>0</v>
      </c>
      <c r="I357" t="n">
        <v>0</v>
      </c>
      <c r="J357" t="n">
        <v>0</v>
      </c>
      <c r="K357" t="n">
        <v>0</v>
      </c>
      <c r="L357" t="n">
        <v>0</v>
      </c>
      <c r="M357" t="n">
        <v>0</v>
      </c>
      <c r="N357" t="n">
        <v>0</v>
      </c>
      <c r="O357" t="n">
        <v>0</v>
      </c>
      <c r="P357" t="n">
        <v>0</v>
      </c>
      <c r="Q357" t="n">
        <v>0</v>
      </c>
      <c r="R357" s="2" t="inlineStr"/>
    </row>
    <row r="358" ht="15" customHeight="1">
      <c r="A358" t="inlineStr">
        <is>
          <t>A 9192-2023</t>
        </is>
      </c>
      <c r="B358" s="1" t="n">
        <v>44980</v>
      </c>
      <c r="C358" s="1" t="n">
        <v>46035</v>
      </c>
      <c r="D358" t="inlineStr">
        <is>
          <t>SÖDERMANLANDS LÄN</t>
        </is>
      </c>
      <c r="E358" t="inlineStr">
        <is>
          <t>KATRINEHOLM</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15399-2022</t>
        </is>
      </c>
      <c r="B359" s="1" t="n">
        <v>44659</v>
      </c>
      <c r="C359" s="1" t="n">
        <v>46035</v>
      </c>
      <c r="D359" t="inlineStr">
        <is>
          <t>SÖDERMANLANDS LÄN</t>
        </is>
      </c>
      <c r="E359" t="inlineStr">
        <is>
          <t>KATRINEHOLM</t>
        </is>
      </c>
      <c r="G359" t="n">
        <v>5.6</v>
      </c>
      <c r="H359" t="n">
        <v>0</v>
      </c>
      <c r="I359" t="n">
        <v>0</v>
      </c>
      <c r="J359" t="n">
        <v>0</v>
      </c>
      <c r="K359" t="n">
        <v>0</v>
      </c>
      <c r="L359" t="n">
        <v>0</v>
      </c>
      <c r="M359" t="n">
        <v>0</v>
      </c>
      <c r="N359" t="n">
        <v>0</v>
      </c>
      <c r="O359" t="n">
        <v>0</v>
      </c>
      <c r="P359" t="n">
        <v>0</v>
      </c>
      <c r="Q359" t="n">
        <v>0</v>
      </c>
      <c r="R359" s="2" t="inlineStr"/>
    </row>
    <row r="360" ht="15" customHeight="1">
      <c r="A360" t="inlineStr">
        <is>
          <t>A 11872-2023</t>
        </is>
      </c>
      <c r="B360" s="1" t="n">
        <v>44995</v>
      </c>
      <c r="C360" s="1" t="n">
        <v>46035</v>
      </c>
      <c r="D360" t="inlineStr">
        <is>
          <t>SÖDERMANLANDS LÄN</t>
        </is>
      </c>
      <c r="E360" t="inlineStr">
        <is>
          <t>KATRINEHOLM</t>
        </is>
      </c>
      <c r="F360" t="inlineStr">
        <is>
          <t>Kommuner</t>
        </is>
      </c>
      <c r="G360" t="n">
        <v>0.9</v>
      </c>
      <c r="H360" t="n">
        <v>0</v>
      </c>
      <c r="I360" t="n">
        <v>0</v>
      </c>
      <c r="J360" t="n">
        <v>0</v>
      </c>
      <c r="K360" t="n">
        <v>0</v>
      </c>
      <c r="L360" t="n">
        <v>0</v>
      </c>
      <c r="M360" t="n">
        <v>0</v>
      </c>
      <c r="N360" t="n">
        <v>0</v>
      </c>
      <c r="O360" t="n">
        <v>0</v>
      </c>
      <c r="P360" t="n">
        <v>0</v>
      </c>
      <c r="Q360" t="n">
        <v>0</v>
      </c>
      <c r="R360" s="2" t="inlineStr"/>
    </row>
    <row r="361" ht="15" customHeight="1">
      <c r="A361" t="inlineStr">
        <is>
          <t>A 49092-2024</t>
        </is>
      </c>
      <c r="B361" s="1" t="n">
        <v>45594.63619212963</v>
      </c>
      <c r="C361" s="1" t="n">
        <v>46035</v>
      </c>
      <c r="D361" t="inlineStr">
        <is>
          <t>SÖDERMANLANDS LÄN</t>
        </is>
      </c>
      <c r="E361" t="inlineStr">
        <is>
          <t>KATRINEHOLM</t>
        </is>
      </c>
      <c r="F361" t="inlineStr">
        <is>
          <t>Övriga Aktiebolag</t>
        </is>
      </c>
      <c r="G361" t="n">
        <v>0.4</v>
      </c>
      <c r="H361" t="n">
        <v>0</v>
      </c>
      <c r="I361" t="n">
        <v>0</v>
      </c>
      <c r="J361" t="n">
        <v>0</v>
      </c>
      <c r="K361" t="n">
        <v>0</v>
      </c>
      <c r="L361" t="n">
        <v>0</v>
      </c>
      <c r="M361" t="n">
        <v>0</v>
      </c>
      <c r="N361" t="n">
        <v>0</v>
      </c>
      <c r="O361" t="n">
        <v>0</v>
      </c>
      <c r="P361" t="n">
        <v>0</v>
      </c>
      <c r="Q361" t="n">
        <v>0</v>
      </c>
      <c r="R361" s="2" t="inlineStr"/>
    </row>
    <row r="362" ht="15" customHeight="1">
      <c r="A362" t="inlineStr">
        <is>
          <t>A 49095-2024</t>
        </is>
      </c>
      <c r="B362" s="1" t="n">
        <v>45594.63828703704</v>
      </c>
      <c r="C362" s="1" t="n">
        <v>46035</v>
      </c>
      <c r="D362" t="inlineStr">
        <is>
          <t>SÖDERMANLANDS LÄN</t>
        </is>
      </c>
      <c r="E362" t="inlineStr">
        <is>
          <t>KATRINEHOLM</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46035</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29189-2025</t>
        </is>
      </c>
      <c r="B364" s="1" t="n">
        <v>45822</v>
      </c>
      <c r="C364" s="1" t="n">
        <v>46035</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36-2023</t>
        </is>
      </c>
      <c r="B365" s="1" t="n">
        <v>44928.36578703704</v>
      </c>
      <c r="C365" s="1" t="n">
        <v>46035</v>
      </c>
      <c r="D365" t="inlineStr">
        <is>
          <t>SÖDERMANLANDS LÄN</t>
        </is>
      </c>
      <c r="E365" t="inlineStr">
        <is>
          <t>KATRINEHOLM</t>
        </is>
      </c>
      <c r="G365" t="n">
        <v>3.7</v>
      </c>
      <c r="H365" t="n">
        <v>0</v>
      </c>
      <c r="I365" t="n">
        <v>0</v>
      </c>
      <c r="J365" t="n">
        <v>0</v>
      </c>
      <c r="K365" t="n">
        <v>0</v>
      </c>
      <c r="L365" t="n">
        <v>0</v>
      </c>
      <c r="M365" t="n">
        <v>0</v>
      </c>
      <c r="N365" t="n">
        <v>0</v>
      </c>
      <c r="O365" t="n">
        <v>0</v>
      </c>
      <c r="P365" t="n">
        <v>0</v>
      </c>
      <c r="Q365" t="n">
        <v>0</v>
      </c>
      <c r="R365" s="2" t="inlineStr"/>
    </row>
    <row r="366" ht="15" customHeight="1">
      <c r="A366" t="inlineStr">
        <is>
          <t>A 10341-2022</t>
        </is>
      </c>
      <c r="B366" s="1" t="n">
        <v>44623</v>
      </c>
      <c r="C366" s="1" t="n">
        <v>46035</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30050-2025</t>
        </is>
      </c>
      <c r="B367" s="1" t="n">
        <v>45826.59151620371</v>
      </c>
      <c r="C367" s="1" t="n">
        <v>46035</v>
      </c>
      <c r="D367" t="inlineStr">
        <is>
          <t>SÖDERMANLANDS LÄN</t>
        </is>
      </c>
      <c r="E367" t="inlineStr">
        <is>
          <t>KATRINEHOLM</t>
        </is>
      </c>
      <c r="G367" t="n">
        <v>7.9</v>
      </c>
      <c r="H367" t="n">
        <v>0</v>
      </c>
      <c r="I367" t="n">
        <v>0</v>
      </c>
      <c r="J367" t="n">
        <v>0</v>
      </c>
      <c r="K367" t="n">
        <v>0</v>
      </c>
      <c r="L367" t="n">
        <v>0</v>
      </c>
      <c r="M367" t="n">
        <v>0</v>
      </c>
      <c r="N367" t="n">
        <v>0</v>
      </c>
      <c r="O367" t="n">
        <v>0</v>
      </c>
      <c r="P367" t="n">
        <v>0</v>
      </c>
      <c r="Q367" t="n">
        <v>0</v>
      </c>
      <c r="R367" s="2" t="inlineStr"/>
    </row>
    <row r="368" ht="15" customHeight="1">
      <c r="A368" t="inlineStr">
        <is>
          <t>A 12835-2024</t>
        </is>
      </c>
      <c r="B368" s="1" t="n">
        <v>45384</v>
      </c>
      <c r="C368" s="1" t="n">
        <v>46035</v>
      </c>
      <c r="D368" t="inlineStr">
        <is>
          <t>SÖDERMANLANDS LÄN</t>
        </is>
      </c>
      <c r="E368" t="inlineStr">
        <is>
          <t>KATRINEHOLM</t>
        </is>
      </c>
      <c r="F368" t="inlineStr">
        <is>
          <t>Allmännings- och besparingsskogar</t>
        </is>
      </c>
      <c r="G368" t="n">
        <v>0.5</v>
      </c>
      <c r="H368" t="n">
        <v>0</v>
      </c>
      <c r="I368" t="n">
        <v>0</v>
      </c>
      <c r="J368" t="n">
        <v>0</v>
      </c>
      <c r="K368" t="n">
        <v>0</v>
      </c>
      <c r="L368" t="n">
        <v>0</v>
      </c>
      <c r="M368" t="n">
        <v>0</v>
      </c>
      <c r="N368" t="n">
        <v>0</v>
      </c>
      <c r="O368" t="n">
        <v>0</v>
      </c>
      <c r="P368" t="n">
        <v>0</v>
      </c>
      <c r="Q368" t="n">
        <v>0</v>
      </c>
      <c r="R368" s="2" t="inlineStr"/>
    </row>
    <row r="369" ht="15" customHeight="1">
      <c r="A369" t="inlineStr">
        <is>
          <t>A 30070-2025</t>
        </is>
      </c>
      <c r="B369" s="1" t="n">
        <v>45826.63324074074</v>
      </c>
      <c r="C369" s="1" t="n">
        <v>46035</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25716-2022</t>
        </is>
      </c>
      <c r="B370" s="1" t="n">
        <v>44733.39600694444</v>
      </c>
      <c r="C370" s="1" t="n">
        <v>46035</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6807-2023</t>
        </is>
      </c>
      <c r="B371" s="1" t="n">
        <v>44964</v>
      </c>
      <c r="C371" s="1" t="n">
        <v>46035</v>
      </c>
      <c r="D371" t="inlineStr">
        <is>
          <t>SÖDERMANLANDS LÄN</t>
        </is>
      </c>
      <c r="E371" t="inlineStr">
        <is>
          <t>KATRINEHOLM</t>
        </is>
      </c>
      <c r="G371" t="n">
        <v>1.2</v>
      </c>
      <c r="H371" t="n">
        <v>0</v>
      </c>
      <c r="I371" t="n">
        <v>0</v>
      </c>
      <c r="J371" t="n">
        <v>0</v>
      </c>
      <c r="K371" t="n">
        <v>0</v>
      </c>
      <c r="L371" t="n">
        <v>0</v>
      </c>
      <c r="M371" t="n">
        <v>0</v>
      </c>
      <c r="N371" t="n">
        <v>0</v>
      </c>
      <c r="O371" t="n">
        <v>0</v>
      </c>
      <c r="P371" t="n">
        <v>0</v>
      </c>
      <c r="Q371" t="n">
        <v>0</v>
      </c>
      <c r="R371" s="2" t="inlineStr"/>
    </row>
    <row r="372" ht="15" customHeight="1">
      <c r="A372" t="inlineStr">
        <is>
          <t>A 9668-2023</t>
        </is>
      </c>
      <c r="B372" s="1" t="n">
        <v>44984.41238425926</v>
      </c>
      <c r="C372" s="1" t="n">
        <v>46035</v>
      </c>
      <c r="D372" t="inlineStr">
        <is>
          <t>SÖDERMANLANDS LÄN</t>
        </is>
      </c>
      <c r="E372" t="inlineStr">
        <is>
          <t>KATRINEHOLM</t>
        </is>
      </c>
      <c r="G372" t="n">
        <v>4.8</v>
      </c>
      <c r="H372" t="n">
        <v>0</v>
      </c>
      <c r="I372" t="n">
        <v>0</v>
      </c>
      <c r="J372" t="n">
        <v>0</v>
      </c>
      <c r="K372" t="n">
        <v>0</v>
      </c>
      <c r="L372" t="n">
        <v>0</v>
      </c>
      <c r="M372" t="n">
        <v>0</v>
      </c>
      <c r="N372" t="n">
        <v>0</v>
      </c>
      <c r="O372" t="n">
        <v>0</v>
      </c>
      <c r="P372" t="n">
        <v>0</v>
      </c>
      <c r="Q372" t="n">
        <v>0</v>
      </c>
      <c r="R372" s="2" t="inlineStr"/>
    </row>
    <row r="373" ht="15" customHeight="1">
      <c r="A373" t="inlineStr">
        <is>
          <t>A 9044-2022</t>
        </is>
      </c>
      <c r="B373" s="1" t="n">
        <v>44602</v>
      </c>
      <c r="C373" s="1" t="n">
        <v>46035</v>
      </c>
      <c r="D373" t="inlineStr">
        <is>
          <t>SÖDERMANLANDS LÄN</t>
        </is>
      </c>
      <c r="E373" t="inlineStr">
        <is>
          <t>KATRINEHOLM</t>
        </is>
      </c>
      <c r="G373" t="n">
        <v>5.8</v>
      </c>
      <c r="H373" t="n">
        <v>0</v>
      </c>
      <c r="I373" t="n">
        <v>0</v>
      </c>
      <c r="J373" t="n">
        <v>0</v>
      </c>
      <c r="K373" t="n">
        <v>0</v>
      </c>
      <c r="L373" t="n">
        <v>0</v>
      </c>
      <c r="M373" t="n">
        <v>0</v>
      </c>
      <c r="N373" t="n">
        <v>0</v>
      </c>
      <c r="O373" t="n">
        <v>0</v>
      </c>
      <c r="P373" t="n">
        <v>0</v>
      </c>
      <c r="Q373" t="n">
        <v>0</v>
      </c>
      <c r="R373" s="2" t="inlineStr"/>
    </row>
    <row r="374" ht="15" customHeight="1">
      <c r="A374" t="inlineStr">
        <is>
          <t>A 30287-2025</t>
        </is>
      </c>
      <c r="B374" s="1" t="n">
        <v>45827</v>
      </c>
      <c r="C374" s="1" t="n">
        <v>46035</v>
      </c>
      <c r="D374" t="inlineStr">
        <is>
          <t>SÖDERMANLANDS LÄN</t>
        </is>
      </c>
      <c r="E374" t="inlineStr">
        <is>
          <t>KATRINEHOLM</t>
        </is>
      </c>
      <c r="G374" t="n">
        <v>10.2</v>
      </c>
      <c r="H374" t="n">
        <v>0</v>
      </c>
      <c r="I374" t="n">
        <v>0</v>
      </c>
      <c r="J374" t="n">
        <v>0</v>
      </c>
      <c r="K374" t="n">
        <v>0</v>
      </c>
      <c r="L374" t="n">
        <v>0</v>
      </c>
      <c r="M374" t="n">
        <v>0</v>
      </c>
      <c r="N374" t="n">
        <v>0</v>
      </c>
      <c r="O374" t="n">
        <v>0</v>
      </c>
      <c r="P374" t="n">
        <v>0</v>
      </c>
      <c r="Q374" t="n">
        <v>0</v>
      </c>
      <c r="R374" s="2" t="inlineStr"/>
    </row>
    <row r="375" ht="15" customHeight="1">
      <c r="A375" t="inlineStr">
        <is>
          <t>A 30350-2025</t>
        </is>
      </c>
      <c r="B375" s="1" t="n">
        <v>45827.53319444445</v>
      </c>
      <c r="C375" s="1" t="n">
        <v>46035</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30352-2025</t>
        </is>
      </c>
      <c r="B376" s="1" t="n">
        <v>45827</v>
      </c>
      <c r="C376" s="1" t="n">
        <v>46035</v>
      </c>
      <c r="D376" t="inlineStr">
        <is>
          <t>SÖDERMANLANDS LÄN</t>
        </is>
      </c>
      <c r="E376" t="inlineStr">
        <is>
          <t>KATRINEHOLM</t>
        </is>
      </c>
      <c r="G376" t="n">
        <v>1.6</v>
      </c>
      <c r="H376" t="n">
        <v>0</v>
      </c>
      <c r="I376" t="n">
        <v>0</v>
      </c>
      <c r="J376" t="n">
        <v>0</v>
      </c>
      <c r="K376" t="n">
        <v>0</v>
      </c>
      <c r="L376" t="n">
        <v>0</v>
      </c>
      <c r="M376" t="n">
        <v>0</v>
      </c>
      <c r="N376" t="n">
        <v>0</v>
      </c>
      <c r="O376" t="n">
        <v>0</v>
      </c>
      <c r="P376" t="n">
        <v>0</v>
      </c>
      <c r="Q376" t="n">
        <v>0</v>
      </c>
      <c r="R376" s="2" t="inlineStr"/>
    </row>
    <row r="377" ht="15" customHeight="1">
      <c r="A377" t="inlineStr">
        <is>
          <t>A 50934-2025</t>
        </is>
      </c>
      <c r="B377" s="1" t="n">
        <v>45946.69195601852</v>
      </c>
      <c r="C377" s="1" t="n">
        <v>46035</v>
      </c>
      <c r="D377" t="inlineStr">
        <is>
          <t>SÖDERMANLANDS LÄN</t>
        </is>
      </c>
      <c r="E377" t="inlineStr">
        <is>
          <t>KATRINEHOLM</t>
        </is>
      </c>
      <c r="G377" t="n">
        <v>2</v>
      </c>
      <c r="H377" t="n">
        <v>0</v>
      </c>
      <c r="I377" t="n">
        <v>0</v>
      </c>
      <c r="J377" t="n">
        <v>0</v>
      </c>
      <c r="K377" t="n">
        <v>0</v>
      </c>
      <c r="L377" t="n">
        <v>0</v>
      </c>
      <c r="M377" t="n">
        <v>0</v>
      </c>
      <c r="N377" t="n">
        <v>0</v>
      </c>
      <c r="O377" t="n">
        <v>0</v>
      </c>
      <c r="P377" t="n">
        <v>0</v>
      </c>
      <c r="Q377" t="n">
        <v>0</v>
      </c>
      <c r="R377" s="2" t="inlineStr"/>
    </row>
    <row r="378" ht="15" customHeight="1">
      <c r="A378" t="inlineStr">
        <is>
          <t>A 30386-2025</t>
        </is>
      </c>
      <c r="B378" s="1" t="n">
        <v>45827</v>
      </c>
      <c r="C378" s="1" t="n">
        <v>46035</v>
      </c>
      <c r="D378" t="inlineStr">
        <is>
          <t>SÖDERMANLANDS LÄN</t>
        </is>
      </c>
      <c r="E378" t="inlineStr">
        <is>
          <t>KATRINEHOLM</t>
        </is>
      </c>
      <c r="G378" t="n">
        <v>5.6</v>
      </c>
      <c r="H378" t="n">
        <v>0</v>
      </c>
      <c r="I378" t="n">
        <v>0</v>
      </c>
      <c r="J378" t="n">
        <v>0</v>
      </c>
      <c r="K378" t="n">
        <v>0</v>
      </c>
      <c r="L378" t="n">
        <v>0</v>
      </c>
      <c r="M378" t="n">
        <v>0</v>
      </c>
      <c r="N378" t="n">
        <v>0</v>
      </c>
      <c r="O378" t="n">
        <v>0</v>
      </c>
      <c r="P378" t="n">
        <v>0</v>
      </c>
      <c r="Q378" t="n">
        <v>0</v>
      </c>
      <c r="R378" s="2" t="inlineStr"/>
    </row>
    <row r="379" ht="15" customHeight="1">
      <c r="A379" t="inlineStr">
        <is>
          <t>A 30402-2025</t>
        </is>
      </c>
      <c r="B379" s="1" t="n">
        <v>45827</v>
      </c>
      <c r="C379" s="1" t="n">
        <v>46035</v>
      </c>
      <c r="D379" t="inlineStr">
        <is>
          <t>SÖDERMANLANDS LÄN</t>
        </is>
      </c>
      <c r="E379" t="inlineStr">
        <is>
          <t>KATRINEHOLM</t>
        </is>
      </c>
      <c r="G379" t="n">
        <v>7.1</v>
      </c>
      <c r="H379" t="n">
        <v>0</v>
      </c>
      <c r="I379" t="n">
        <v>0</v>
      </c>
      <c r="J379" t="n">
        <v>0</v>
      </c>
      <c r="K379" t="n">
        <v>0</v>
      </c>
      <c r="L379" t="n">
        <v>0</v>
      </c>
      <c r="M379" t="n">
        <v>0</v>
      </c>
      <c r="N379" t="n">
        <v>0</v>
      </c>
      <c r="O379" t="n">
        <v>0</v>
      </c>
      <c r="P379" t="n">
        <v>0</v>
      </c>
      <c r="Q379" t="n">
        <v>0</v>
      </c>
      <c r="R379" s="2" t="inlineStr"/>
    </row>
    <row r="380" ht="15" customHeight="1">
      <c r="A380" t="inlineStr">
        <is>
          <t>A 48091-2024</t>
        </is>
      </c>
      <c r="B380" s="1" t="n">
        <v>45590</v>
      </c>
      <c r="C380" s="1" t="n">
        <v>46035</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24097-2022</t>
        </is>
      </c>
      <c r="B381" s="1" t="n">
        <v>44725.39371527778</v>
      </c>
      <c r="C381" s="1" t="n">
        <v>46035</v>
      </c>
      <c r="D381" t="inlineStr">
        <is>
          <t>SÖDERMANLANDS LÄN</t>
        </is>
      </c>
      <c r="E381" t="inlineStr">
        <is>
          <t>KATRINEHOLM</t>
        </is>
      </c>
      <c r="G381" t="n">
        <v>6.5</v>
      </c>
      <c r="H381" t="n">
        <v>0</v>
      </c>
      <c r="I381" t="n">
        <v>0</v>
      </c>
      <c r="J381" t="n">
        <v>0</v>
      </c>
      <c r="K381" t="n">
        <v>0</v>
      </c>
      <c r="L381" t="n">
        <v>0</v>
      </c>
      <c r="M381" t="n">
        <v>0</v>
      </c>
      <c r="N381" t="n">
        <v>0</v>
      </c>
      <c r="O381" t="n">
        <v>0</v>
      </c>
      <c r="P381" t="n">
        <v>0</v>
      </c>
      <c r="Q381" t="n">
        <v>0</v>
      </c>
      <c r="R381" s="2" t="inlineStr"/>
    </row>
    <row r="382" ht="15" customHeight="1">
      <c r="A382" t="inlineStr">
        <is>
          <t>A 46670-2021</t>
        </is>
      </c>
      <c r="B382" s="1" t="n">
        <v>44445</v>
      </c>
      <c r="C382" s="1" t="n">
        <v>46035</v>
      </c>
      <c r="D382" t="inlineStr">
        <is>
          <t>SÖDERMANLANDS LÄN</t>
        </is>
      </c>
      <c r="E382" t="inlineStr">
        <is>
          <t>KATRINEHOLM</t>
        </is>
      </c>
      <c r="G382" t="n">
        <v>4.4</v>
      </c>
      <c r="H382" t="n">
        <v>0</v>
      </c>
      <c r="I382" t="n">
        <v>0</v>
      </c>
      <c r="J382" t="n">
        <v>0</v>
      </c>
      <c r="K382" t="n">
        <v>0</v>
      </c>
      <c r="L382" t="n">
        <v>0</v>
      </c>
      <c r="M382" t="n">
        <v>0</v>
      </c>
      <c r="N382" t="n">
        <v>0</v>
      </c>
      <c r="O382" t="n">
        <v>0</v>
      </c>
      <c r="P382" t="n">
        <v>0</v>
      </c>
      <c r="Q382" t="n">
        <v>0</v>
      </c>
      <c r="R382" s="2" t="inlineStr"/>
    </row>
    <row r="383" ht="15" customHeight="1">
      <c r="A383" t="inlineStr">
        <is>
          <t>A 62954-2023</t>
        </is>
      </c>
      <c r="B383" s="1" t="n">
        <v>45272.55362268518</v>
      </c>
      <c r="C383" s="1" t="n">
        <v>46035</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31376-2025</t>
        </is>
      </c>
      <c r="B384" s="1" t="n">
        <v>45833</v>
      </c>
      <c r="C384" s="1" t="n">
        <v>46035</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58651-2023</t>
        </is>
      </c>
      <c r="B385" s="1" t="n">
        <v>45247</v>
      </c>
      <c r="C385" s="1" t="n">
        <v>46035</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12238-2021</t>
        </is>
      </c>
      <c r="B386" s="1" t="n">
        <v>44266</v>
      </c>
      <c r="C386" s="1" t="n">
        <v>46035</v>
      </c>
      <c r="D386" t="inlineStr">
        <is>
          <t>SÖDERMANLANDS LÄN</t>
        </is>
      </c>
      <c r="E386" t="inlineStr">
        <is>
          <t>KATRINEHOLM</t>
        </is>
      </c>
      <c r="G386" t="n">
        <v>0.7</v>
      </c>
      <c r="H386" t="n">
        <v>0</v>
      </c>
      <c r="I386" t="n">
        <v>0</v>
      </c>
      <c r="J386" t="n">
        <v>0</v>
      </c>
      <c r="K386" t="n">
        <v>0</v>
      </c>
      <c r="L386" t="n">
        <v>0</v>
      </c>
      <c r="M386" t="n">
        <v>0</v>
      </c>
      <c r="N386" t="n">
        <v>0</v>
      </c>
      <c r="O386" t="n">
        <v>0</v>
      </c>
      <c r="P386" t="n">
        <v>0</v>
      </c>
      <c r="Q386" t="n">
        <v>0</v>
      </c>
      <c r="R386" s="2" t="inlineStr"/>
    </row>
    <row r="387" ht="15" customHeight="1">
      <c r="A387" t="inlineStr">
        <is>
          <t>A 51367-2025</t>
        </is>
      </c>
      <c r="B387" s="1" t="n">
        <v>45950.44700231482</v>
      </c>
      <c r="C387" s="1" t="n">
        <v>46035</v>
      </c>
      <c r="D387" t="inlineStr">
        <is>
          <t>SÖDERMANLANDS LÄN</t>
        </is>
      </c>
      <c r="E387" t="inlineStr">
        <is>
          <t>KATRINEHOLM</t>
        </is>
      </c>
      <c r="G387" t="n">
        <v>2.7</v>
      </c>
      <c r="H387" t="n">
        <v>0</v>
      </c>
      <c r="I387" t="n">
        <v>0</v>
      </c>
      <c r="J387" t="n">
        <v>0</v>
      </c>
      <c r="K387" t="n">
        <v>0</v>
      </c>
      <c r="L387" t="n">
        <v>0</v>
      </c>
      <c r="M387" t="n">
        <v>0</v>
      </c>
      <c r="N387" t="n">
        <v>0</v>
      </c>
      <c r="O387" t="n">
        <v>0</v>
      </c>
      <c r="P387" t="n">
        <v>0</v>
      </c>
      <c r="Q387" t="n">
        <v>0</v>
      </c>
      <c r="R387" s="2" t="inlineStr"/>
    </row>
    <row r="388" ht="15" customHeight="1">
      <c r="A388" t="inlineStr">
        <is>
          <t>A 31392-2025</t>
        </is>
      </c>
      <c r="B388" s="1" t="n">
        <v>45833</v>
      </c>
      <c r="C388" s="1" t="n">
        <v>46035</v>
      </c>
      <c r="D388" t="inlineStr">
        <is>
          <t>SÖDERMANLANDS LÄN</t>
        </is>
      </c>
      <c r="E388" t="inlineStr">
        <is>
          <t>KATRINEHOLM</t>
        </is>
      </c>
      <c r="G388" t="n">
        <v>5</v>
      </c>
      <c r="H388" t="n">
        <v>0</v>
      </c>
      <c r="I388" t="n">
        <v>0</v>
      </c>
      <c r="J388" t="n">
        <v>0</v>
      </c>
      <c r="K388" t="n">
        <v>0</v>
      </c>
      <c r="L388" t="n">
        <v>0</v>
      </c>
      <c r="M388" t="n">
        <v>0</v>
      </c>
      <c r="N388" t="n">
        <v>0</v>
      </c>
      <c r="O388" t="n">
        <v>0</v>
      </c>
      <c r="P388" t="n">
        <v>0</v>
      </c>
      <c r="Q388" t="n">
        <v>0</v>
      </c>
      <c r="R388" s="2" t="inlineStr"/>
    </row>
    <row r="389" ht="15" customHeight="1">
      <c r="A389" t="inlineStr">
        <is>
          <t>A 6446-2022</t>
        </is>
      </c>
      <c r="B389" s="1" t="n">
        <v>44600</v>
      </c>
      <c r="C389" s="1" t="n">
        <v>46035</v>
      </c>
      <c r="D389" t="inlineStr">
        <is>
          <t>SÖDERMANLANDS LÄN</t>
        </is>
      </c>
      <c r="E389" t="inlineStr">
        <is>
          <t>KATRINEHOLM</t>
        </is>
      </c>
      <c r="G389" t="n">
        <v>1.5</v>
      </c>
      <c r="H389" t="n">
        <v>0</v>
      </c>
      <c r="I389" t="n">
        <v>0</v>
      </c>
      <c r="J389" t="n">
        <v>0</v>
      </c>
      <c r="K389" t="n">
        <v>0</v>
      </c>
      <c r="L389" t="n">
        <v>0</v>
      </c>
      <c r="M389" t="n">
        <v>0</v>
      </c>
      <c r="N389" t="n">
        <v>0</v>
      </c>
      <c r="O389" t="n">
        <v>0</v>
      </c>
      <c r="P389" t="n">
        <v>0</v>
      </c>
      <c r="Q389" t="n">
        <v>0</v>
      </c>
      <c r="R389" s="2" t="inlineStr"/>
    </row>
    <row r="390" ht="15" customHeight="1">
      <c r="A390" t="inlineStr">
        <is>
          <t>A 31386-2025</t>
        </is>
      </c>
      <c r="B390" s="1" t="n">
        <v>45833.45259259259</v>
      </c>
      <c r="C390" s="1" t="n">
        <v>46035</v>
      </c>
      <c r="D390" t="inlineStr">
        <is>
          <t>SÖDERMANLANDS LÄN</t>
        </is>
      </c>
      <c r="E390" t="inlineStr">
        <is>
          <t>KATRINEHOLM</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51923-2023</t>
        </is>
      </c>
      <c r="B391" s="1" t="n">
        <v>45223</v>
      </c>
      <c r="C391" s="1" t="n">
        <v>46035</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31990-2025</t>
        </is>
      </c>
      <c r="B392" s="1" t="n">
        <v>45835.36697916667</v>
      </c>
      <c r="C392" s="1" t="n">
        <v>46035</v>
      </c>
      <c r="D392" t="inlineStr">
        <is>
          <t>SÖDERMANLANDS LÄN</t>
        </is>
      </c>
      <c r="E392" t="inlineStr">
        <is>
          <t>KATRINEHOLM</t>
        </is>
      </c>
      <c r="G392" t="n">
        <v>0.5</v>
      </c>
      <c r="H392" t="n">
        <v>0</v>
      </c>
      <c r="I392" t="n">
        <v>0</v>
      </c>
      <c r="J392" t="n">
        <v>0</v>
      </c>
      <c r="K392" t="n">
        <v>0</v>
      </c>
      <c r="L392" t="n">
        <v>0</v>
      </c>
      <c r="M392" t="n">
        <v>0</v>
      </c>
      <c r="N392" t="n">
        <v>0</v>
      </c>
      <c r="O392" t="n">
        <v>0</v>
      </c>
      <c r="P392" t="n">
        <v>0</v>
      </c>
      <c r="Q392" t="n">
        <v>0</v>
      </c>
      <c r="R392" s="2" t="inlineStr"/>
    </row>
    <row r="393" ht="15" customHeight="1">
      <c r="A393" t="inlineStr">
        <is>
          <t>A 18386-2025</t>
        </is>
      </c>
      <c r="B393" s="1" t="n">
        <v>45762</v>
      </c>
      <c r="C393" s="1" t="n">
        <v>46035</v>
      </c>
      <c r="D393" t="inlineStr">
        <is>
          <t>SÖDERMANLANDS LÄN</t>
        </is>
      </c>
      <c r="E393" t="inlineStr">
        <is>
          <t>KATRINEHOLM</t>
        </is>
      </c>
      <c r="G393" t="n">
        <v>0.5</v>
      </c>
      <c r="H393" t="n">
        <v>0</v>
      </c>
      <c r="I393" t="n">
        <v>0</v>
      </c>
      <c r="J393" t="n">
        <v>0</v>
      </c>
      <c r="K393" t="n">
        <v>0</v>
      </c>
      <c r="L393" t="n">
        <v>0</v>
      </c>
      <c r="M393" t="n">
        <v>0</v>
      </c>
      <c r="N393" t="n">
        <v>0</v>
      </c>
      <c r="O393" t="n">
        <v>0</v>
      </c>
      <c r="P393" t="n">
        <v>0</v>
      </c>
      <c r="Q393" t="n">
        <v>0</v>
      </c>
      <c r="R393" s="2" t="inlineStr"/>
    </row>
    <row r="394" ht="15" customHeight="1">
      <c r="A394" t="inlineStr">
        <is>
          <t>A 3125-2024</t>
        </is>
      </c>
      <c r="B394" s="1" t="n">
        <v>45316</v>
      </c>
      <c r="C394" s="1" t="n">
        <v>46035</v>
      </c>
      <c r="D394" t="inlineStr">
        <is>
          <t>SÖDERMANLANDS LÄN</t>
        </is>
      </c>
      <c r="E394" t="inlineStr">
        <is>
          <t>KATRINEHOLM</t>
        </is>
      </c>
      <c r="G394" t="n">
        <v>3.4</v>
      </c>
      <c r="H394" t="n">
        <v>0</v>
      </c>
      <c r="I394" t="n">
        <v>0</v>
      </c>
      <c r="J394" t="n">
        <v>0</v>
      </c>
      <c r="K394" t="n">
        <v>0</v>
      </c>
      <c r="L394" t="n">
        <v>0</v>
      </c>
      <c r="M394" t="n">
        <v>0</v>
      </c>
      <c r="N394" t="n">
        <v>0</v>
      </c>
      <c r="O394" t="n">
        <v>0</v>
      </c>
      <c r="P394" t="n">
        <v>0</v>
      </c>
      <c r="Q394" t="n">
        <v>0</v>
      </c>
      <c r="R394" s="2" t="inlineStr"/>
    </row>
    <row r="395" ht="15" customHeight="1">
      <c r="A395" t="inlineStr">
        <is>
          <t>A 35183-2022</t>
        </is>
      </c>
      <c r="B395" s="1" t="n">
        <v>44797</v>
      </c>
      <c r="C395" s="1" t="n">
        <v>46035</v>
      </c>
      <c r="D395" t="inlineStr">
        <is>
          <t>SÖDERMANLANDS LÄN</t>
        </is>
      </c>
      <c r="E395" t="inlineStr">
        <is>
          <t>KATRINEHOLM</t>
        </is>
      </c>
      <c r="G395" t="n">
        <v>4.6</v>
      </c>
      <c r="H395" t="n">
        <v>0</v>
      </c>
      <c r="I395" t="n">
        <v>0</v>
      </c>
      <c r="J395" t="n">
        <v>0</v>
      </c>
      <c r="K395" t="n">
        <v>0</v>
      </c>
      <c r="L395" t="n">
        <v>0</v>
      </c>
      <c r="M395" t="n">
        <v>0</v>
      </c>
      <c r="N395" t="n">
        <v>0</v>
      </c>
      <c r="O395" t="n">
        <v>0</v>
      </c>
      <c r="P395" t="n">
        <v>0</v>
      </c>
      <c r="Q395" t="n">
        <v>0</v>
      </c>
      <c r="R395" s="2" t="inlineStr"/>
    </row>
    <row r="396" ht="15" customHeight="1">
      <c r="A396" t="inlineStr">
        <is>
          <t>A 42519-2024</t>
        </is>
      </c>
      <c r="B396" s="1" t="n">
        <v>45565</v>
      </c>
      <c r="C396" s="1" t="n">
        <v>46035</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20826-2022</t>
        </is>
      </c>
      <c r="B397" s="1" t="n">
        <v>44701.44754629629</v>
      </c>
      <c r="C397" s="1" t="n">
        <v>46035</v>
      </c>
      <c r="D397" t="inlineStr">
        <is>
          <t>SÖDERMANLANDS LÄN</t>
        </is>
      </c>
      <c r="E397" t="inlineStr">
        <is>
          <t>KATRINEHOLM</t>
        </is>
      </c>
      <c r="G397" t="n">
        <v>6.8</v>
      </c>
      <c r="H397" t="n">
        <v>0</v>
      </c>
      <c r="I397" t="n">
        <v>0</v>
      </c>
      <c r="J397" t="n">
        <v>0</v>
      </c>
      <c r="K397" t="n">
        <v>0</v>
      </c>
      <c r="L397" t="n">
        <v>0</v>
      </c>
      <c r="M397" t="n">
        <v>0</v>
      </c>
      <c r="N397" t="n">
        <v>0</v>
      </c>
      <c r="O397" t="n">
        <v>0</v>
      </c>
      <c r="P397" t="n">
        <v>0</v>
      </c>
      <c r="Q397" t="n">
        <v>0</v>
      </c>
      <c r="R397" s="2" t="inlineStr"/>
    </row>
    <row r="398" ht="15" customHeight="1">
      <c r="A398" t="inlineStr">
        <is>
          <t>A 20846-2022</t>
        </is>
      </c>
      <c r="B398" s="1" t="n">
        <v>44701.4744212963</v>
      </c>
      <c r="C398" s="1" t="n">
        <v>46035</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33090-2025</t>
        </is>
      </c>
      <c r="B399" s="1" t="n">
        <v>45840.46840277778</v>
      </c>
      <c r="C399" s="1" t="n">
        <v>46035</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33084-2025</t>
        </is>
      </c>
      <c r="B400" s="1" t="n">
        <v>45840.46559027778</v>
      </c>
      <c r="C400" s="1" t="n">
        <v>46035</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33577-2025</t>
        </is>
      </c>
      <c r="B401" s="1" t="n">
        <v>45841.59056712963</v>
      </c>
      <c r="C401" s="1" t="n">
        <v>46035</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59967-2025</t>
        </is>
      </c>
      <c r="B402" s="1" t="n">
        <v>45993.48525462963</v>
      </c>
      <c r="C402" s="1" t="n">
        <v>46035</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49078-2024</t>
        </is>
      </c>
      <c r="B403" s="1" t="n">
        <v>45594.62556712963</v>
      </c>
      <c r="C403" s="1" t="n">
        <v>46035</v>
      </c>
      <c r="D403" t="inlineStr">
        <is>
          <t>SÖDERMANLANDS LÄN</t>
        </is>
      </c>
      <c r="E403" t="inlineStr">
        <is>
          <t>KATRINEHOLM</t>
        </is>
      </c>
      <c r="F403" t="inlineStr">
        <is>
          <t>Övriga Aktiebolag</t>
        </is>
      </c>
      <c r="G403" t="n">
        <v>0.4</v>
      </c>
      <c r="H403" t="n">
        <v>0</v>
      </c>
      <c r="I403" t="n">
        <v>0</v>
      </c>
      <c r="J403" t="n">
        <v>0</v>
      </c>
      <c r="K403" t="n">
        <v>0</v>
      </c>
      <c r="L403" t="n">
        <v>0</v>
      </c>
      <c r="M403" t="n">
        <v>0</v>
      </c>
      <c r="N403" t="n">
        <v>0</v>
      </c>
      <c r="O403" t="n">
        <v>0</v>
      </c>
      <c r="P403" t="n">
        <v>0</v>
      </c>
      <c r="Q403" t="n">
        <v>0</v>
      </c>
      <c r="R403" s="2" t="inlineStr"/>
    </row>
    <row r="404" ht="15" customHeight="1">
      <c r="A404" t="inlineStr">
        <is>
          <t>A 51440-2024</t>
        </is>
      </c>
      <c r="B404" s="1" t="n">
        <v>45604</v>
      </c>
      <c r="C404" s="1" t="n">
        <v>46035</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47879-2023</t>
        </is>
      </c>
      <c r="B405" s="1" t="n">
        <v>45204</v>
      </c>
      <c r="C405" s="1" t="n">
        <v>46035</v>
      </c>
      <c r="D405" t="inlineStr">
        <is>
          <t>SÖDERMANLANDS LÄN</t>
        </is>
      </c>
      <c r="E405" t="inlineStr">
        <is>
          <t>KATRINEHOLM</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12975-2022</t>
        </is>
      </c>
      <c r="B406" s="1" t="n">
        <v>44643</v>
      </c>
      <c r="C406" s="1" t="n">
        <v>46035</v>
      </c>
      <c r="D406" t="inlineStr">
        <is>
          <t>SÖDERMANLANDS LÄN</t>
        </is>
      </c>
      <c r="E406" t="inlineStr">
        <is>
          <t>KATRINEHOLM</t>
        </is>
      </c>
      <c r="G406" t="n">
        <v>2.4</v>
      </c>
      <c r="H406" t="n">
        <v>0</v>
      </c>
      <c r="I406" t="n">
        <v>0</v>
      </c>
      <c r="J406" t="n">
        <v>0</v>
      </c>
      <c r="K406" t="n">
        <v>0</v>
      </c>
      <c r="L406" t="n">
        <v>0</v>
      </c>
      <c r="M406" t="n">
        <v>0</v>
      </c>
      <c r="N406" t="n">
        <v>0</v>
      </c>
      <c r="O406" t="n">
        <v>0</v>
      </c>
      <c r="P406" t="n">
        <v>0</v>
      </c>
      <c r="Q406" t="n">
        <v>0</v>
      </c>
      <c r="R406" s="2" t="inlineStr"/>
    </row>
    <row r="407" ht="15" customHeight="1">
      <c r="A407" t="inlineStr">
        <is>
          <t>A 51260-2021</t>
        </is>
      </c>
      <c r="B407" s="1" t="n">
        <v>44461</v>
      </c>
      <c r="C407" s="1" t="n">
        <v>46035</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33812-2025</t>
        </is>
      </c>
      <c r="B408" s="1" t="n">
        <v>45842</v>
      </c>
      <c r="C408" s="1" t="n">
        <v>46035</v>
      </c>
      <c r="D408" t="inlineStr">
        <is>
          <t>SÖDERMANLANDS LÄN</t>
        </is>
      </c>
      <c r="E408" t="inlineStr">
        <is>
          <t>KATRINEHOLM</t>
        </is>
      </c>
      <c r="G408" t="n">
        <v>1.5</v>
      </c>
      <c r="H408" t="n">
        <v>0</v>
      </c>
      <c r="I408" t="n">
        <v>0</v>
      </c>
      <c r="J408" t="n">
        <v>0</v>
      </c>
      <c r="K408" t="n">
        <v>0</v>
      </c>
      <c r="L408" t="n">
        <v>0</v>
      </c>
      <c r="M408" t="n">
        <v>0</v>
      </c>
      <c r="N408" t="n">
        <v>0</v>
      </c>
      <c r="O408" t="n">
        <v>0</v>
      </c>
      <c r="P408" t="n">
        <v>0</v>
      </c>
      <c r="Q408" t="n">
        <v>0</v>
      </c>
      <c r="R408" s="2" t="inlineStr"/>
    </row>
    <row r="409" ht="15" customHeight="1">
      <c r="A409" t="inlineStr">
        <is>
          <t>A 33815-2025</t>
        </is>
      </c>
      <c r="B409" s="1" t="n">
        <v>45842</v>
      </c>
      <c r="C409" s="1" t="n">
        <v>46035</v>
      </c>
      <c r="D409" t="inlineStr">
        <is>
          <t>SÖDERMANLANDS LÄN</t>
        </is>
      </c>
      <c r="E409" t="inlineStr">
        <is>
          <t>KATRINEHOLM</t>
        </is>
      </c>
      <c r="G409" t="n">
        <v>3.4</v>
      </c>
      <c r="H409" t="n">
        <v>0</v>
      </c>
      <c r="I409" t="n">
        <v>0</v>
      </c>
      <c r="J409" t="n">
        <v>0</v>
      </c>
      <c r="K409" t="n">
        <v>0</v>
      </c>
      <c r="L409" t="n">
        <v>0</v>
      </c>
      <c r="M409" t="n">
        <v>0</v>
      </c>
      <c r="N409" t="n">
        <v>0</v>
      </c>
      <c r="O409" t="n">
        <v>0</v>
      </c>
      <c r="P409" t="n">
        <v>0</v>
      </c>
      <c r="Q409" t="n">
        <v>0</v>
      </c>
      <c r="R409" s="2" t="inlineStr"/>
    </row>
    <row r="410" ht="15" customHeight="1">
      <c r="A410" t="inlineStr">
        <is>
          <t>A 53843-2023</t>
        </is>
      </c>
      <c r="B410" s="1" t="n">
        <v>45230</v>
      </c>
      <c r="C410" s="1" t="n">
        <v>46035</v>
      </c>
      <c r="D410" t="inlineStr">
        <is>
          <t>SÖDERMANLANDS LÄN</t>
        </is>
      </c>
      <c r="E410" t="inlineStr">
        <is>
          <t>KATRINEHOLM</t>
        </is>
      </c>
      <c r="G410" t="n">
        <v>14.2</v>
      </c>
      <c r="H410" t="n">
        <v>0</v>
      </c>
      <c r="I410" t="n">
        <v>0</v>
      </c>
      <c r="J410" t="n">
        <v>0</v>
      </c>
      <c r="K410" t="n">
        <v>0</v>
      </c>
      <c r="L410" t="n">
        <v>0</v>
      </c>
      <c r="M410" t="n">
        <v>0</v>
      </c>
      <c r="N410" t="n">
        <v>0</v>
      </c>
      <c r="O410" t="n">
        <v>0</v>
      </c>
      <c r="P410" t="n">
        <v>0</v>
      </c>
      <c r="Q410" t="n">
        <v>0</v>
      </c>
      <c r="R410" s="2" t="inlineStr"/>
    </row>
    <row r="411" ht="15" customHeight="1">
      <c r="A411" t="inlineStr">
        <is>
          <t>A 51780-2025</t>
        </is>
      </c>
      <c r="B411" s="1" t="n">
        <v>45951.65725694445</v>
      </c>
      <c r="C411" s="1" t="n">
        <v>46035</v>
      </c>
      <c r="D411" t="inlineStr">
        <is>
          <t>SÖDERMANLANDS LÄN</t>
        </is>
      </c>
      <c r="E411" t="inlineStr">
        <is>
          <t>KATRINEHOLM</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6762-2025</t>
        </is>
      </c>
      <c r="B412" s="1" t="n">
        <v>45700</v>
      </c>
      <c r="C412" s="1" t="n">
        <v>46035</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48763-2024</t>
        </is>
      </c>
      <c r="B413" s="1" t="n">
        <v>45593.60288194445</v>
      </c>
      <c r="C413" s="1" t="n">
        <v>46035</v>
      </c>
      <c r="D413" t="inlineStr">
        <is>
          <t>SÖDERMANLANDS LÄN</t>
        </is>
      </c>
      <c r="E413" t="inlineStr">
        <is>
          <t>KATRINEHOLM</t>
        </is>
      </c>
      <c r="G413" t="n">
        <v>1.3</v>
      </c>
      <c r="H413" t="n">
        <v>0</v>
      </c>
      <c r="I413" t="n">
        <v>0</v>
      </c>
      <c r="J413" t="n">
        <v>0</v>
      </c>
      <c r="K413" t="n">
        <v>0</v>
      </c>
      <c r="L413" t="n">
        <v>0</v>
      </c>
      <c r="M413" t="n">
        <v>0</v>
      </c>
      <c r="N413" t="n">
        <v>0</v>
      </c>
      <c r="O413" t="n">
        <v>0</v>
      </c>
      <c r="P413" t="n">
        <v>0</v>
      </c>
      <c r="Q413" t="n">
        <v>0</v>
      </c>
      <c r="R413" s="2" t="inlineStr"/>
    </row>
    <row r="414" ht="15" customHeight="1">
      <c r="A414" t="inlineStr">
        <is>
          <t>A 20213-2025</t>
        </is>
      </c>
      <c r="B414" s="1" t="n">
        <v>45772.63453703704</v>
      </c>
      <c r="C414" s="1" t="n">
        <v>46035</v>
      </c>
      <c r="D414" t="inlineStr">
        <is>
          <t>SÖDERMANLANDS LÄN</t>
        </is>
      </c>
      <c r="E414" t="inlineStr">
        <is>
          <t>KATRINEHOLM</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14478-2023</t>
        </is>
      </c>
      <c r="B415" s="1" t="n">
        <v>45012.66421296296</v>
      </c>
      <c r="C415" s="1" t="n">
        <v>46035</v>
      </c>
      <c r="D415" t="inlineStr">
        <is>
          <t>SÖDERMANLANDS LÄN</t>
        </is>
      </c>
      <c r="E415" t="inlineStr">
        <is>
          <t>KATRINEHOLM</t>
        </is>
      </c>
      <c r="G415" t="n">
        <v>3.9</v>
      </c>
      <c r="H415" t="n">
        <v>0</v>
      </c>
      <c r="I415" t="n">
        <v>0</v>
      </c>
      <c r="J415" t="n">
        <v>0</v>
      </c>
      <c r="K415" t="n">
        <v>0</v>
      </c>
      <c r="L415" t="n">
        <v>0</v>
      </c>
      <c r="M415" t="n">
        <v>0</v>
      </c>
      <c r="N415" t="n">
        <v>0</v>
      </c>
      <c r="O415" t="n">
        <v>0</v>
      </c>
      <c r="P415" t="n">
        <v>0</v>
      </c>
      <c r="Q415" t="n">
        <v>0</v>
      </c>
      <c r="R415" s="2" t="inlineStr"/>
    </row>
    <row r="416" ht="15" customHeight="1">
      <c r="A416" t="inlineStr">
        <is>
          <t>A 20921-2023</t>
        </is>
      </c>
      <c r="B416" s="1" t="n">
        <v>45061</v>
      </c>
      <c r="C416" s="1" t="n">
        <v>46035</v>
      </c>
      <c r="D416" t="inlineStr">
        <is>
          <t>SÖDERMANLANDS LÄN</t>
        </is>
      </c>
      <c r="E416" t="inlineStr">
        <is>
          <t>KATRINEHOLM</t>
        </is>
      </c>
      <c r="G416" t="n">
        <v>8.9</v>
      </c>
      <c r="H416" t="n">
        <v>0</v>
      </c>
      <c r="I416" t="n">
        <v>0</v>
      </c>
      <c r="J416" t="n">
        <v>0</v>
      </c>
      <c r="K416" t="n">
        <v>0</v>
      </c>
      <c r="L416" t="n">
        <v>0</v>
      </c>
      <c r="M416" t="n">
        <v>0</v>
      </c>
      <c r="N416" t="n">
        <v>0</v>
      </c>
      <c r="O416" t="n">
        <v>0</v>
      </c>
      <c r="P416" t="n">
        <v>0</v>
      </c>
      <c r="Q416" t="n">
        <v>0</v>
      </c>
      <c r="R416" s="2" t="inlineStr"/>
    </row>
    <row r="417" ht="15" customHeight="1">
      <c r="A417" t="inlineStr">
        <is>
          <t>A 12930-2023</t>
        </is>
      </c>
      <c r="B417" s="1" t="n">
        <v>45001</v>
      </c>
      <c r="C417" s="1" t="n">
        <v>46035</v>
      </c>
      <c r="D417" t="inlineStr">
        <is>
          <t>SÖDERMANLANDS LÄN</t>
        </is>
      </c>
      <c r="E417" t="inlineStr">
        <is>
          <t>KATRINEHOLM</t>
        </is>
      </c>
      <c r="G417" t="n">
        <v>0.7</v>
      </c>
      <c r="H417" t="n">
        <v>0</v>
      </c>
      <c r="I417" t="n">
        <v>0</v>
      </c>
      <c r="J417" t="n">
        <v>0</v>
      </c>
      <c r="K417" t="n">
        <v>0</v>
      </c>
      <c r="L417" t="n">
        <v>0</v>
      </c>
      <c r="M417" t="n">
        <v>0</v>
      </c>
      <c r="N417" t="n">
        <v>0</v>
      </c>
      <c r="O417" t="n">
        <v>0</v>
      </c>
      <c r="P417" t="n">
        <v>0</v>
      </c>
      <c r="Q417" t="n">
        <v>0</v>
      </c>
      <c r="R417" s="2" t="inlineStr"/>
    </row>
    <row r="418" ht="15" customHeight="1">
      <c r="A418" t="inlineStr">
        <is>
          <t>A 12938-2023</t>
        </is>
      </c>
      <c r="B418" s="1" t="n">
        <v>45001</v>
      </c>
      <c r="C418" s="1" t="n">
        <v>46035</v>
      </c>
      <c r="D418" t="inlineStr">
        <is>
          <t>SÖDERMANLANDS LÄN</t>
        </is>
      </c>
      <c r="E418" t="inlineStr">
        <is>
          <t>KATRINEHOLM</t>
        </is>
      </c>
      <c r="G418" t="n">
        <v>0.4</v>
      </c>
      <c r="H418" t="n">
        <v>0</v>
      </c>
      <c r="I418" t="n">
        <v>0</v>
      </c>
      <c r="J418" t="n">
        <v>0</v>
      </c>
      <c r="K418" t="n">
        <v>0</v>
      </c>
      <c r="L418" t="n">
        <v>0</v>
      </c>
      <c r="M418" t="n">
        <v>0</v>
      </c>
      <c r="N418" t="n">
        <v>0</v>
      </c>
      <c r="O418" t="n">
        <v>0</v>
      </c>
      <c r="P418" t="n">
        <v>0</v>
      </c>
      <c r="Q418" t="n">
        <v>0</v>
      </c>
      <c r="R418" s="2" t="inlineStr"/>
    </row>
    <row r="419" ht="15" customHeight="1">
      <c r="A419" t="inlineStr">
        <is>
          <t>A 12559-2023</t>
        </is>
      </c>
      <c r="B419" s="1" t="n">
        <v>45000.36373842593</v>
      </c>
      <c r="C419" s="1" t="n">
        <v>46035</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7704-2023</t>
        </is>
      </c>
      <c r="B420" s="1" t="n">
        <v>44968</v>
      </c>
      <c r="C420" s="1" t="n">
        <v>46035</v>
      </c>
      <c r="D420" t="inlineStr">
        <is>
          <t>SÖDERMANLANDS LÄN</t>
        </is>
      </c>
      <c r="E420" t="inlineStr">
        <is>
          <t>KATRINEHOLM</t>
        </is>
      </c>
      <c r="G420" t="n">
        <v>7.3</v>
      </c>
      <c r="H420" t="n">
        <v>0</v>
      </c>
      <c r="I420" t="n">
        <v>0</v>
      </c>
      <c r="J420" t="n">
        <v>0</v>
      </c>
      <c r="K420" t="n">
        <v>0</v>
      </c>
      <c r="L420" t="n">
        <v>0</v>
      </c>
      <c r="M420" t="n">
        <v>0</v>
      </c>
      <c r="N420" t="n">
        <v>0</v>
      </c>
      <c r="O420" t="n">
        <v>0</v>
      </c>
      <c r="P420" t="n">
        <v>0</v>
      </c>
      <c r="Q420" t="n">
        <v>0</v>
      </c>
      <c r="R420" s="2" t="inlineStr"/>
    </row>
    <row r="421" ht="15" customHeight="1">
      <c r="A421" t="inlineStr">
        <is>
          <t>A 49122-2024</t>
        </is>
      </c>
      <c r="B421" s="1" t="n">
        <v>45594</v>
      </c>
      <c r="C421" s="1" t="n">
        <v>46035</v>
      </c>
      <c r="D421" t="inlineStr">
        <is>
          <t>SÖDERMANLANDS LÄN</t>
        </is>
      </c>
      <c r="E421" t="inlineStr">
        <is>
          <t>KATRINEHOLM</t>
        </is>
      </c>
      <c r="G421" t="n">
        <v>19.4</v>
      </c>
      <c r="H421" t="n">
        <v>0</v>
      </c>
      <c r="I421" t="n">
        <v>0</v>
      </c>
      <c r="J421" t="n">
        <v>0</v>
      </c>
      <c r="K421" t="n">
        <v>0</v>
      </c>
      <c r="L421" t="n">
        <v>0</v>
      </c>
      <c r="M421" t="n">
        <v>0</v>
      </c>
      <c r="N421" t="n">
        <v>0</v>
      </c>
      <c r="O421" t="n">
        <v>0</v>
      </c>
      <c r="P421" t="n">
        <v>0</v>
      </c>
      <c r="Q421" t="n">
        <v>0</v>
      </c>
      <c r="R421" s="2" t="inlineStr"/>
    </row>
    <row r="422" ht="15" customHeight="1">
      <c r="A422" t="inlineStr">
        <is>
          <t>A 12937-2023</t>
        </is>
      </c>
      <c r="B422" s="1" t="n">
        <v>45001</v>
      </c>
      <c r="C422" s="1" t="n">
        <v>46035</v>
      </c>
      <c r="D422" t="inlineStr">
        <is>
          <t>SÖDERMANLANDS LÄN</t>
        </is>
      </c>
      <c r="E422" t="inlineStr">
        <is>
          <t>KATRINEHOLM</t>
        </is>
      </c>
      <c r="G422" t="n">
        <v>0.9</v>
      </c>
      <c r="H422" t="n">
        <v>0</v>
      </c>
      <c r="I422" t="n">
        <v>0</v>
      </c>
      <c r="J422" t="n">
        <v>0</v>
      </c>
      <c r="K422" t="n">
        <v>0</v>
      </c>
      <c r="L422" t="n">
        <v>0</v>
      </c>
      <c r="M422" t="n">
        <v>0</v>
      </c>
      <c r="N422" t="n">
        <v>0</v>
      </c>
      <c r="O422" t="n">
        <v>0</v>
      </c>
      <c r="P422" t="n">
        <v>0</v>
      </c>
      <c r="Q422" t="n">
        <v>0</v>
      </c>
      <c r="R422" s="2" t="inlineStr"/>
    </row>
    <row r="423" ht="15" customHeight="1">
      <c r="A423" t="inlineStr">
        <is>
          <t>A 11127-2023</t>
        </is>
      </c>
      <c r="B423" s="1" t="n">
        <v>44987</v>
      </c>
      <c r="C423" s="1" t="n">
        <v>46035</v>
      </c>
      <c r="D423" t="inlineStr">
        <is>
          <t>SÖDERMANLANDS LÄN</t>
        </is>
      </c>
      <c r="E423" t="inlineStr">
        <is>
          <t>KATRINEHOLM</t>
        </is>
      </c>
      <c r="G423" t="n">
        <v>4.3</v>
      </c>
      <c r="H423" t="n">
        <v>0</v>
      </c>
      <c r="I423" t="n">
        <v>0</v>
      </c>
      <c r="J423" t="n">
        <v>0</v>
      </c>
      <c r="K423" t="n">
        <v>0</v>
      </c>
      <c r="L423" t="n">
        <v>0</v>
      </c>
      <c r="M423" t="n">
        <v>0</v>
      </c>
      <c r="N423" t="n">
        <v>0</v>
      </c>
      <c r="O423" t="n">
        <v>0</v>
      </c>
      <c r="P423" t="n">
        <v>0</v>
      </c>
      <c r="Q423" t="n">
        <v>0</v>
      </c>
      <c r="R423" s="2" t="inlineStr"/>
    </row>
    <row r="424" ht="15" customHeight="1">
      <c r="A424" t="inlineStr">
        <is>
          <t>A 27345-2023</t>
        </is>
      </c>
      <c r="B424" s="1" t="n">
        <v>45096</v>
      </c>
      <c r="C424" s="1" t="n">
        <v>46035</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1151-2025</t>
        </is>
      </c>
      <c r="B425" s="1" t="n">
        <v>45666</v>
      </c>
      <c r="C425" s="1" t="n">
        <v>46035</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6808-2023</t>
        </is>
      </c>
      <c r="B426" s="1" t="n">
        <v>44964</v>
      </c>
      <c r="C426" s="1" t="n">
        <v>46035</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61394-2024</t>
        </is>
      </c>
      <c r="B427" s="1" t="n">
        <v>45646.42061342593</v>
      </c>
      <c r="C427" s="1" t="n">
        <v>46035</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35156-2025</t>
        </is>
      </c>
      <c r="B428" s="1" t="n">
        <v>45852</v>
      </c>
      <c r="C428" s="1" t="n">
        <v>46035</v>
      </c>
      <c r="D428" t="inlineStr">
        <is>
          <t>SÖDERMANLANDS LÄN</t>
        </is>
      </c>
      <c r="E428" t="inlineStr">
        <is>
          <t>KATRINEHOLM</t>
        </is>
      </c>
      <c r="G428" t="n">
        <v>5.7</v>
      </c>
      <c r="H428" t="n">
        <v>0</v>
      </c>
      <c r="I428" t="n">
        <v>0</v>
      </c>
      <c r="J428" t="n">
        <v>0</v>
      </c>
      <c r="K428" t="n">
        <v>0</v>
      </c>
      <c r="L428" t="n">
        <v>0</v>
      </c>
      <c r="M428" t="n">
        <v>0</v>
      </c>
      <c r="N428" t="n">
        <v>0</v>
      </c>
      <c r="O428" t="n">
        <v>0</v>
      </c>
      <c r="P428" t="n">
        <v>0</v>
      </c>
      <c r="Q428" t="n">
        <v>0</v>
      </c>
      <c r="R428" s="2" t="inlineStr"/>
    </row>
    <row r="429" ht="15" customHeight="1">
      <c r="A429" t="inlineStr">
        <is>
          <t>A 35152-2025</t>
        </is>
      </c>
      <c r="B429" s="1" t="n">
        <v>45852</v>
      </c>
      <c r="C429" s="1" t="n">
        <v>46035</v>
      </c>
      <c r="D429" t="inlineStr">
        <is>
          <t>SÖDERMANLANDS LÄN</t>
        </is>
      </c>
      <c r="E429" t="inlineStr">
        <is>
          <t>KATRINEHOLM</t>
        </is>
      </c>
      <c r="G429" t="n">
        <v>4.6</v>
      </c>
      <c r="H429" t="n">
        <v>0</v>
      </c>
      <c r="I429" t="n">
        <v>0</v>
      </c>
      <c r="J429" t="n">
        <v>0</v>
      </c>
      <c r="K429" t="n">
        <v>0</v>
      </c>
      <c r="L429" t="n">
        <v>0</v>
      </c>
      <c r="M429" t="n">
        <v>0</v>
      </c>
      <c r="N429" t="n">
        <v>0</v>
      </c>
      <c r="O429" t="n">
        <v>0</v>
      </c>
      <c r="P429" t="n">
        <v>0</v>
      </c>
      <c r="Q429" t="n">
        <v>0</v>
      </c>
      <c r="R429" s="2" t="inlineStr"/>
    </row>
    <row r="430" ht="15" customHeight="1">
      <c r="A430" t="inlineStr">
        <is>
          <t>A 35165-2025</t>
        </is>
      </c>
      <c r="B430" s="1" t="n">
        <v>45852.72320601852</v>
      </c>
      <c r="C430" s="1" t="n">
        <v>46035</v>
      </c>
      <c r="D430" t="inlineStr">
        <is>
          <t>SÖDERMANLANDS LÄN</t>
        </is>
      </c>
      <c r="E430" t="inlineStr">
        <is>
          <t>KATRINEHOLM</t>
        </is>
      </c>
      <c r="F430" t="inlineStr">
        <is>
          <t>Övriga Aktiebolag</t>
        </is>
      </c>
      <c r="G430" t="n">
        <v>20.7</v>
      </c>
      <c r="H430" t="n">
        <v>0</v>
      </c>
      <c r="I430" t="n">
        <v>0</v>
      </c>
      <c r="J430" t="n">
        <v>0</v>
      </c>
      <c r="K430" t="n">
        <v>0</v>
      </c>
      <c r="L430" t="n">
        <v>0</v>
      </c>
      <c r="M430" t="n">
        <v>0</v>
      </c>
      <c r="N430" t="n">
        <v>0</v>
      </c>
      <c r="O430" t="n">
        <v>0</v>
      </c>
      <c r="P430" t="n">
        <v>0</v>
      </c>
      <c r="Q430" t="n">
        <v>0</v>
      </c>
      <c r="R430" s="2" t="inlineStr"/>
    </row>
    <row r="431" ht="15" customHeight="1">
      <c r="A431" t="inlineStr">
        <is>
          <t>A 51774-2025</t>
        </is>
      </c>
      <c r="B431" s="1" t="n">
        <v>45951.65359953704</v>
      </c>
      <c r="C431" s="1" t="n">
        <v>46035</v>
      </c>
      <c r="D431" t="inlineStr">
        <is>
          <t>SÖDERMANLANDS LÄN</t>
        </is>
      </c>
      <c r="E431" t="inlineStr">
        <is>
          <t>KATRINEHOLM</t>
        </is>
      </c>
      <c r="F431" t="inlineStr">
        <is>
          <t>Allmännings- och besparingsskogar</t>
        </is>
      </c>
      <c r="G431" t="n">
        <v>3.7</v>
      </c>
      <c r="H431" t="n">
        <v>0</v>
      </c>
      <c r="I431" t="n">
        <v>0</v>
      </c>
      <c r="J431" t="n">
        <v>0</v>
      </c>
      <c r="K431" t="n">
        <v>0</v>
      </c>
      <c r="L431" t="n">
        <v>0</v>
      </c>
      <c r="M431" t="n">
        <v>0</v>
      </c>
      <c r="N431" t="n">
        <v>0</v>
      </c>
      <c r="O431" t="n">
        <v>0</v>
      </c>
      <c r="P431" t="n">
        <v>0</v>
      </c>
      <c r="Q431" t="n">
        <v>0</v>
      </c>
      <c r="R431" s="2" t="inlineStr"/>
    </row>
    <row r="432" ht="15" customHeight="1">
      <c r="A432" t="inlineStr">
        <is>
          <t>A 51783-2025</t>
        </is>
      </c>
      <c r="B432" s="1" t="n">
        <v>45951.67546296296</v>
      </c>
      <c r="C432" s="1" t="n">
        <v>46035</v>
      </c>
      <c r="D432" t="inlineStr">
        <is>
          <t>SÖDERMANLANDS LÄN</t>
        </is>
      </c>
      <c r="E432" t="inlineStr">
        <is>
          <t>KATRINEHOLM</t>
        </is>
      </c>
      <c r="F432" t="inlineStr">
        <is>
          <t>Allmännings- och besparingsskogar</t>
        </is>
      </c>
      <c r="G432" t="n">
        <v>5.8</v>
      </c>
      <c r="H432" t="n">
        <v>0</v>
      </c>
      <c r="I432" t="n">
        <v>0</v>
      </c>
      <c r="J432" t="n">
        <v>0</v>
      </c>
      <c r="K432" t="n">
        <v>0</v>
      </c>
      <c r="L432" t="n">
        <v>0</v>
      </c>
      <c r="M432" t="n">
        <v>0</v>
      </c>
      <c r="N432" t="n">
        <v>0</v>
      </c>
      <c r="O432" t="n">
        <v>0</v>
      </c>
      <c r="P432" t="n">
        <v>0</v>
      </c>
      <c r="Q432" t="n">
        <v>0</v>
      </c>
      <c r="R432" s="2" t="inlineStr"/>
    </row>
    <row r="433" ht="15" customHeight="1">
      <c r="A433" t="inlineStr">
        <is>
          <t>A 35149-2025</t>
        </is>
      </c>
      <c r="B433" s="1" t="n">
        <v>45852</v>
      </c>
      <c r="C433" s="1" t="n">
        <v>46035</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35161-2025</t>
        </is>
      </c>
      <c r="B434" s="1" t="n">
        <v>45852.70716435185</v>
      </c>
      <c r="C434" s="1" t="n">
        <v>46035</v>
      </c>
      <c r="D434" t="inlineStr">
        <is>
          <t>SÖDERMANLANDS LÄN</t>
        </is>
      </c>
      <c r="E434" t="inlineStr">
        <is>
          <t>KATRINEHOLM</t>
        </is>
      </c>
      <c r="F434" t="inlineStr">
        <is>
          <t>Övriga Aktiebolag</t>
        </is>
      </c>
      <c r="G434" t="n">
        <v>1.5</v>
      </c>
      <c r="H434" t="n">
        <v>0</v>
      </c>
      <c r="I434" t="n">
        <v>0</v>
      </c>
      <c r="J434" t="n">
        <v>0</v>
      </c>
      <c r="K434" t="n">
        <v>0</v>
      </c>
      <c r="L434" t="n">
        <v>0</v>
      </c>
      <c r="M434" t="n">
        <v>0</v>
      </c>
      <c r="N434" t="n">
        <v>0</v>
      </c>
      <c r="O434" t="n">
        <v>0</v>
      </c>
      <c r="P434" t="n">
        <v>0</v>
      </c>
      <c r="Q434" t="n">
        <v>0</v>
      </c>
      <c r="R434" s="2" t="inlineStr"/>
    </row>
    <row r="435" ht="15" customHeight="1">
      <c r="A435" t="inlineStr">
        <is>
          <t>A 35084-2025</t>
        </is>
      </c>
      <c r="B435" s="1" t="n">
        <v>45852</v>
      </c>
      <c r="C435" s="1" t="n">
        <v>46035</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35145-2025</t>
        </is>
      </c>
      <c r="B436" s="1" t="n">
        <v>45852</v>
      </c>
      <c r="C436" s="1" t="n">
        <v>46035</v>
      </c>
      <c r="D436" t="inlineStr">
        <is>
          <t>SÖDERMANLANDS LÄN</t>
        </is>
      </c>
      <c r="E436" t="inlineStr">
        <is>
          <t>KATRINEHOLM</t>
        </is>
      </c>
      <c r="G436" t="n">
        <v>3.1</v>
      </c>
      <c r="H436" t="n">
        <v>0</v>
      </c>
      <c r="I436" t="n">
        <v>0</v>
      </c>
      <c r="J436" t="n">
        <v>0</v>
      </c>
      <c r="K436" t="n">
        <v>0</v>
      </c>
      <c r="L436" t="n">
        <v>0</v>
      </c>
      <c r="M436" t="n">
        <v>0</v>
      </c>
      <c r="N436" t="n">
        <v>0</v>
      </c>
      <c r="O436" t="n">
        <v>0</v>
      </c>
      <c r="P436" t="n">
        <v>0</v>
      </c>
      <c r="Q436" t="n">
        <v>0</v>
      </c>
      <c r="R436" s="2" t="inlineStr"/>
    </row>
    <row r="437" ht="15" customHeight="1">
      <c r="A437" t="inlineStr">
        <is>
          <t>A 34439-2025</t>
        </is>
      </c>
      <c r="B437" s="1" t="n">
        <v>45845</v>
      </c>
      <c r="C437" s="1" t="n">
        <v>46035</v>
      </c>
      <c r="D437" t="inlineStr">
        <is>
          <t>SÖDERMANLANDS LÄN</t>
        </is>
      </c>
      <c r="E437" t="inlineStr">
        <is>
          <t>KATRINEHOLM</t>
        </is>
      </c>
      <c r="G437" t="n">
        <v>1.4</v>
      </c>
      <c r="H437" t="n">
        <v>0</v>
      </c>
      <c r="I437" t="n">
        <v>0</v>
      </c>
      <c r="J437" t="n">
        <v>0</v>
      </c>
      <c r="K437" t="n">
        <v>0</v>
      </c>
      <c r="L437" t="n">
        <v>0</v>
      </c>
      <c r="M437" t="n">
        <v>0</v>
      </c>
      <c r="N437" t="n">
        <v>0</v>
      </c>
      <c r="O437" t="n">
        <v>0</v>
      </c>
      <c r="P437" t="n">
        <v>0</v>
      </c>
      <c r="Q437" t="n">
        <v>0</v>
      </c>
      <c r="R437" s="2" t="inlineStr"/>
    </row>
    <row r="438" ht="15" customHeight="1">
      <c r="A438" t="inlineStr">
        <is>
          <t>A 35157-2025</t>
        </is>
      </c>
      <c r="B438" s="1" t="n">
        <v>45852</v>
      </c>
      <c r="C438" s="1" t="n">
        <v>46035</v>
      </c>
      <c r="D438" t="inlineStr">
        <is>
          <t>SÖDERMANLANDS LÄN</t>
        </is>
      </c>
      <c r="E438" t="inlineStr">
        <is>
          <t>KATRINEHOLM</t>
        </is>
      </c>
      <c r="G438" t="n">
        <v>3.7</v>
      </c>
      <c r="H438" t="n">
        <v>0</v>
      </c>
      <c r="I438" t="n">
        <v>0</v>
      </c>
      <c r="J438" t="n">
        <v>0</v>
      </c>
      <c r="K438" t="n">
        <v>0</v>
      </c>
      <c r="L438" t="n">
        <v>0</v>
      </c>
      <c r="M438" t="n">
        <v>0</v>
      </c>
      <c r="N438" t="n">
        <v>0</v>
      </c>
      <c r="O438" t="n">
        <v>0</v>
      </c>
      <c r="P438" t="n">
        <v>0</v>
      </c>
      <c r="Q438" t="n">
        <v>0</v>
      </c>
      <c r="R438" s="2" t="inlineStr"/>
    </row>
    <row r="439" ht="15" customHeight="1">
      <c r="A439" t="inlineStr">
        <is>
          <t>A 35158-2025</t>
        </is>
      </c>
      <c r="B439" s="1" t="n">
        <v>45852</v>
      </c>
      <c r="C439" s="1" t="n">
        <v>46035</v>
      </c>
      <c r="D439" t="inlineStr">
        <is>
          <t>SÖDERMANLANDS LÄN</t>
        </is>
      </c>
      <c r="E439" t="inlineStr">
        <is>
          <t>KATRINEHOLM</t>
        </is>
      </c>
      <c r="G439" t="n">
        <v>1.2</v>
      </c>
      <c r="H439" t="n">
        <v>0</v>
      </c>
      <c r="I439" t="n">
        <v>0</v>
      </c>
      <c r="J439" t="n">
        <v>0</v>
      </c>
      <c r="K439" t="n">
        <v>0</v>
      </c>
      <c r="L439" t="n">
        <v>0</v>
      </c>
      <c r="M439" t="n">
        <v>0</v>
      </c>
      <c r="N439" t="n">
        <v>0</v>
      </c>
      <c r="O439" t="n">
        <v>0</v>
      </c>
      <c r="P439" t="n">
        <v>0</v>
      </c>
      <c r="Q439" t="n">
        <v>0</v>
      </c>
      <c r="R439" s="2" t="inlineStr"/>
    </row>
    <row r="440" ht="15" customHeight="1">
      <c r="A440" t="inlineStr">
        <is>
          <t>A 18339-2023</t>
        </is>
      </c>
      <c r="B440" s="1" t="n">
        <v>45041</v>
      </c>
      <c r="C440" s="1" t="n">
        <v>46035</v>
      </c>
      <c r="D440" t="inlineStr">
        <is>
          <t>SÖDERMANLANDS LÄN</t>
        </is>
      </c>
      <c r="E440" t="inlineStr">
        <is>
          <t>KATRINEHOLM</t>
        </is>
      </c>
      <c r="G440" t="n">
        <v>1.7</v>
      </c>
      <c r="H440" t="n">
        <v>0</v>
      </c>
      <c r="I440" t="n">
        <v>0</v>
      </c>
      <c r="J440" t="n">
        <v>0</v>
      </c>
      <c r="K440" t="n">
        <v>0</v>
      </c>
      <c r="L440" t="n">
        <v>0</v>
      </c>
      <c r="M440" t="n">
        <v>0</v>
      </c>
      <c r="N440" t="n">
        <v>0</v>
      </c>
      <c r="O440" t="n">
        <v>0</v>
      </c>
      <c r="P440" t="n">
        <v>0</v>
      </c>
      <c r="Q440" t="n">
        <v>0</v>
      </c>
      <c r="R440" s="2" t="inlineStr"/>
    </row>
    <row r="441" ht="15" customHeight="1">
      <c r="A441" t="inlineStr">
        <is>
          <t>A 58522-2024</t>
        </is>
      </c>
      <c r="B441" s="1" t="n">
        <v>45635.43770833333</v>
      </c>
      <c r="C441" s="1" t="n">
        <v>46035</v>
      </c>
      <c r="D441" t="inlineStr">
        <is>
          <t>SÖDERMANLANDS LÄN</t>
        </is>
      </c>
      <c r="E441" t="inlineStr">
        <is>
          <t>KATRINEHOLM</t>
        </is>
      </c>
      <c r="G441" t="n">
        <v>2</v>
      </c>
      <c r="H441" t="n">
        <v>0</v>
      </c>
      <c r="I441" t="n">
        <v>0</v>
      </c>
      <c r="J441" t="n">
        <v>0</v>
      </c>
      <c r="K441" t="n">
        <v>0</v>
      </c>
      <c r="L441" t="n">
        <v>0</v>
      </c>
      <c r="M441" t="n">
        <v>0</v>
      </c>
      <c r="N441" t="n">
        <v>0</v>
      </c>
      <c r="O441" t="n">
        <v>0</v>
      </c>
      <c r="P441" t="n">
        <v>0</v>
      </c>
      <c r="Q441" t="n">
        <v>0</v>
      </c>
      <c r="R441" s="2" t="inlineStr"/>
    </row>
    <row r="442" ht="15" customHeight="1">
      <c r="A442" t="inlineStr">
        <is>
          <t>A 34176-2025</t>
        </is>
      </c>
      <c r="B442" s="1" t="n">
        <v>45845</v>
      </c>
      <c r="C442" s="1" t="n">
        <v>46035</v>
      </c>
      <c r="D442" t="inlineStr">
        <is>
          <t>SÖDERMANLANDS LÄN</t>
        </is>
      </c>
      <c r="E442" t="inlineStr">
        <is>
          <t>KATRINEHOLM</t>
        </is>
      </c>
      <c r="G442" t="n">
        <v>0.5</v>
      </c>
      <c r="H442" t="n">
        <v>0</v>
      </c>
      <c r="I442" t="n">
        <v>0</v>
      </c>
      <c r="J442" t="n">
        <v>0</v>
      </c>
      <c r="K442" t="n">
        <v>0</v>
      </c>
      <c r="L442" t="n">
        <v>0</v>
      </c>
      <c r="M442" t="n">
        <v>0</v>
      </c>
      <c r="N442" t="n">
        <v>0</v>
      </c>
      <c r="O442" t="n">
        <v>0</v>
      </c>
      <c r="P442" t="n">
        <v>0</v>
      </c>
      <c r="Q442" t="n">
        <v>0</v>
      </c>
      <c r="R442" s="2" t="inlineStr"/>
    </row>
    <row r="443" ht="15" customHeight="1">
      <c r="A443" t="inlineStr">
        <is>
          <t>A 47889-2023</t>
        </is>
      </c>
      <c r="B443" s="1" t="n">
        <v>45204</v>
      </c>
      <c r="C443" s="1" t="n">
        <v>46035</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44024-2021</t>
        </is>
      </c>
      <c r="B444" s="1" t="n">
        <v>44434</v>
      </c>
      <c r="C444" s="1" t="n">
        <v>46035</v>
      </c>
      <c r="D444" t="inlineStr">
        <is>
          <t>SÖDERMANLANDS LÄN</t>
        </is>
      </c>
      <c r="E444" t="inlineStr">
        <is>
          <t>KATRINEHOLM</t>
        </is>
      </c>
      <c r="G444" t="n">
        <v>13</v>
      </c>
      <c r="H444" t="n">
        <v>0</v>
      </c>
      <c r="I444" t="n">
        <v>0</v>
      </c>
      <c r="J444" t="n">
        <v>0</v>
      </c>
      <c r="K444" t="n">
        <v>0</v>
      </c>
      <c r="L444" t="n">
        <v>0</v>
      </c>
      <c r="M444" t="n">
        <v>0</v>
      </c>
      <c r="N444" t="n">
        <v>0</v>
      </c>
      <c r="O444" t="n">
        <v>0</v>
      </c>
      <c r="P444" t="n">
        <v>0</v>
      </c>
      <c r="Q444" t="n">
        <v>0</v>
      </c>
      <c r="R444" s="2" t="inlineStr"/>
    </row>
    <row r="445" ht="15" customHeight="1">
      <c r="A445" t="inlineStr">
        <is>
          <t>A 52242-2025</t>
        </is>
      </c>
      <c r="B445" s="1" t="n">
        <v>45953.46886574074</v>
      </c>
      <c r="C445" s="1" t="n">
        <v>46035</v>
      </c>
      <c r="D445" t="inlineStr">
        <is>
          <t>SÖDERMANLANDS LÄN</t>
        </is>
      </c>
      <c r="E445" t="inlineStr">
        <is>
          <t>KATRINEHOLM</t>
        </is>
      </c>
      <c r="G445" t="n">
        <v>5.3</v>
      </c>
      <c r="H445" t="n">
        <v>0</v>
      </c>
      <c r="I445" t="n">
        <v>0</v>
      </c>
      <c r="J445" t="n">
        <v>0</v>
      </c>
      <c r="K445" t="n">
        <v>0</v>
      </c>
      <c r="L445" t="n">
        <v>0</v>
      </c>
      <c r="M445" t="n">
        <v>0</v>
      </c>
      <c r="N445" t="n">
        <v>0</v>
      </c>
      <c r="O445" t="n">
        <v>0</v>
      </c>
      <c r="P445" t="n">
        <v>0</v>
      </c>
      <c r="Q445" t="n">
        <v>0</v>
      </c>
      <c r="R445" s="2" t="inlineStr"/>
    </row>
    <row r="446" ht="15" customHeight="1">
      <c r="A446" t="inlineStr">
        <is>
          <t>A 34732-2022</t>
        </is>
      </c>
      <c r="B446" s="1" t="n">
        <v>44795</v>
      </c>
      <c r="C446" s="1" t="n">
        <v>46035</v>
      </c>
      <c r="D446" t="inlineStr">
        <is>
          <t>SÖDERMANLANDS LÄN</t>
        </is>
      </c>
      <c r="E446" t="inlineStr">
        <is>
          <t>KATRINEHOLM</t>
        </is>
      </c>
      <c r="G446" t="n">
        <v>3</v>
      </c>
      <c r="H446" t="n">
        <v>0</v>
      </c>
      <c r="I446" t="n">
        <v>0</v>
      </c>
      <c r="J446" t="n">
        <v>0</v>
      </c>
      <c r="K446" t="n">
        <v>0</v>
      </c>
      <c r="L446" t="n">
        <v>0</v>
      </c>
      <c r="M446" t="n">
        <v>0</v>
      </c>
      <c r="N446" t="n">
        <v>0</v>
      </c>
      <c r="O446" t="n">
        <v>0</v>
      </c>
      <c r="P446" t="n">
        <v>0</v>
      </c>
      <c r="Q446" t="n">
        <v>0</v>
      </c>
      <c r="R446" s="2" t="inlineStr"/>
    </row>
    <row r="447" ht="15" customHeight="1">
      <c r="A447" t="inlineStr">
        <is>
          <t>A 60678-2025</t>
        </is>
      </c>
      <c r="B447" s="1" t="n">
        <v>45996.56251157408</v>
      </c>
      <c r="C447" s="1" t="n">
        <v>46035</v>
      </c>
      <c r="D447" t="inlineStr">
        <is>
          <t>SÖDERMANLANDS LÄN</t>
        </is>
      </c>
      <c r="E447" t="inlineStr">
        <is>
          <t>KATRINEHOLM</t>
        </is>
      </c>
      <c r="G447" t="n">
        <v>2</v>
      </c>
      <c r="H447" t="n">
        <v>0</v>
      </c>
      <c r="I447" t="n">
        <v>0</v>
      </c>
      <c r="J447" t="n">
        <v>0</v>
      </c>
      <c r="K447" t="n">
        <v>0</v>
      </c>
      <c r="L447" t="n">
        <v>0</v>
      </c>
      <c r="M447" t="n">
        <v>0</v>
      </c>
      <c r="N447" t="n">
        <v>0</v>
      </c>
      <c r="O447" t="n">
        <v>0</v>
      </c>
      <c r="P447" t="n">
        <v>0</v>
      </c>
      <c r="Q447" t="n">
        <v>0</v>
      </c>
      <c r="R447" s="2" t="inlineStr"/>
    </row>
    <row r="448" ht="15" customHeight="1">
      <c r="A448" t="inlineStr">
        <is>
          <t>A 52239-2025</t>
        </is>
      </c>
      <c r="B448" s="1" t="n">
        <v>45953.46193287037</v>
      </c>
      <c r="C448" s="1" t="n">
        <v>46035</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52244-2025</t>
        </is>
      </c>
      <c r="B449" s="1" t="n">
        <v>45953</v>
      </c>
      <c r="C449" s="1" t="n">
        <v>46035</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32166-2022</t>
        </is>
      </c>
      <c r="B450" s="1" t="n">
        <v>44781</v>
      </c>
      <c r="C450" s="1" t="n">
        <v>46035</v>
      </c>
      <c r="D450" t="inlineStr">
        <is>
          <t>SÖDERMANLANDS LÄN</t>
        </is>
      </c>
      <c r="E450" t="inlineStr">
        <is>
          <t>KATRINEHOLM</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32169-2022</t>
        </is>
      </c>
      <c r="B451" s="1" t="n">
        <v>44781</v>
      </c>
      <c r="C451" s="1" t="n">
        <v>46035</v>
      </c>
      <c r="D451" t="inlineStr">
        <is>
          <t>SÖDERMANLANDS LÄN</t>
        </is>
      </c>
      <c r="E451" t="inlineStr">
        <is>
          <t>KATRINEHOLM</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35864-2023</t>
        </is>
      </c>
      <c r="B452" s="1" t="n">
        <v>45147</v>
      </c>
      <c r="C452" s="1" t="n">
        <v>46035</v>
      </c>
      <c r="D452" t="inlineStr">
        <is>
          <t>SÖDERMANLANDS LÄN</t>
        </is>
      </c>
      <c r="E452" t="inlineStr">
        <is>
          <t>KATRINEHOLM</t>
        </is>
      </c>
      <c r="F452" t="inlineStr">
        <is>
          <t>Övriga Aktiebolag</t>
        </is>
      </c>
      <c r="G452" t="n">
        <v>4.7</v>
      </c>
      <c r="H452" t="n">
        <v>0</v>
      </c>
      <c r="I452" t="n">
        <v>0</v>
      </c>
      <c r="J452" t="n">
        <v>0</v>
      </c>
      <c r="K452" t="n">
        <v>0</v>
      </c>
      <c r="L452" t="n">
        <v>0</v>
      </c>
      <c r="M452" t="n">
        <v>0</v>
      </c>
      <c r="N452" t="n">
        <v>0</v>
      </c>
      <c r="O452" t="n">
        <v>0</v>
      </c>
      <c r="P452" t="n">
        <v>0</v>
      </c>
      <c r="Q452" t="n">
        <v>0</v>
      </c>
      <c r="R452" s="2" t="inlineStr"/>
    </row>
    <row r="453" ht="15" customHeight="1">
      <c r="A453" t="inlineStr">
        <is>
          <t>A 44637-2023</t>
        </is>
      </c>
      <c r="B453" s="1" t="n">
        <v>45189</v>
      </c>
      <c r="C453" s="1" t="n">
        <v>46035</v>
      </c>
      <c r="D453" t="inlineStr">
        <is>
          <t>SÖDERMANLANDS LÄN</t>
        </is>
      </c>
      <c r="E453" t="inlineStr">
        <is>
          <t>KATRINEHOLM</t>
        </is>
      </c>
      <c r="G453" t="n">
        <v>5.1</v>
      </c>
      <c r="H453" t="n">
        <v>0</v>
      </c>
      <c r="I453" t="n">
        <v>0</v>
      </c>
      <c r="J453" t="n">
        <v>0</v>
      </c>
      <c r="K453" t="n">
        <v>0</v>
      </c>
      <c r="L453" t="n">
        <v>0</v>
      </c>
      <c r="M453" t="n">
        <v>0</v>
      </c>
      <c r="N453" t="n">
        <v>0</v>
      </c>
      <c r="O453" t="n">
        <v>0</v>
      </c>
      <c r="P453" t="n">
        <v>0</v>
      </c>
      <c r="Q453" t="n">
        <v>0</v>
      </c>
      <c r="R453" s="2" t="inlineStr"/>
    </row>
    <row r="454" ht="15" customHeight="1">
      <c r="A454" t="inlineStr">
        <is>
          <t>A 36590-2025</t>
        </is>
      </c>
      <c r="B454" s="1" t="n">
        <v>45870</v>
      </c>
      <c r="C454" s="1" t="n">
        <v>46035</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26684-2025</t>
        </is>
      </c>
      <c r="B455" s="1" t="n">
        <v>45810</v>
      </c>
      <c r="C455" s="1" t="n">
        <v>46035</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12227-2025</t>
        </is>
      </c>
      <c r="B456" s="1" t="n">
        <v>45729.56836805555</v>
      </c>
      <c r="C456" s="1" t="n">
        <v>46035</v>
      </c>
      <c r="D456" t="inlineStr">
        <is>
          <t>SÖDERMANLANDS LÄN</t>
        </is>
      </c>
      <c r="E456" t="inlineStr">
        <is>
          <t>KATRINEHOLM</t>
        </is>
      </c>
      <c r="G456" t="n">
        <v>7</v>
      </c>
      <c r="H456" t="n">
        <v>0</v>
      </c>
      <c r="I456" t="n">
        <v>0</v>
      </c>
      <c r="J456" t="n">
        <v>0</v>
      </c>
      <c r="K456" t="n">
        <v>0</v>
      </c>
      <c r="L456" t="n">
        <v>0</v>
      </c>
      <c r="M456" t="n">
        <v>0</v>
      </c>
      <c r="N456" t="n">
        <v>0</v>
      </c>
      <c r="O456" t="n">
        <v>0</v>
      </c>
      <c r="P456" t="n">
        <v>0</v>
      </c>
      <c r="Q456" t="n">
        <v>0</v>
      </c>
      <c r="R456" s="2" t="inlineStr"/>
    </row>
    <row r="457" ht="15" customHeight="1">
      <c r="A457" t="inlineStr">
        <is>
          <t>A 39055-2022</t>
        </is>
      </c>
      <c r="B457" s="1" t="n">
        <v>44817</v>
      </c>
      <c r="C457" s="1" t="n">
        <v>46035</v>
      </c>
      <c r="D457" t="inlineStr">
        <is>
          <t>SÖDERMANLANDS LÄN</t>
        </is>
      </c>
      <c r="E457" t="inlineStr">
        <is>
          <t>KATRINEHOLM</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46257-2021</t>
        </is>
      </c>
      <c r="B458" s="1" t="n">
        <v>44442</v>
      </c>
      <c r="C458" s="1" t="n">
        <v>46035</v>
      </c>
      <c r="D458" t="inlineStr">
        <is>
          <t>SÖDERMANLANDS LÄN</t>
        </is>
      </c>
      <c r="E458" t="inlineStr">
        <is>
          <t>KATRINEHOLM</t>
        </is>
      </c>
      <c r="G458" t="n">
        <v>2.3</v>
      </c>
      <c r="H458" t="n">
        <v>0</v>
      </c>
      <c r="I458" t="n">
        <v>0</v>
      </c>
      <c r="J458" t="n">
        <v>0</v>
      </c>
      <c r="K458" t="n">
        <v>0</v>
      </c>
      <c r="L458" t="n">
        <v>0</v>
      </c>
      <c r="M458" t="n">
        <v>0</v>
      </c>
      <c r="N458" t="n">
        <v>0</v>
      </c>
      <c r="O458" t="n">
        <v>0</v>
      </c>
      <c r="P458" t="n">
        <v>0</v>
      </c>
      <c r="Q458" t="n">
        <v>0</v>
      </c>
      <c r="R458" s="2" t="inlineStr"/>
    </row>
    <row r="459" ht="15" customHeight="1">
      <c r="A459" t="inlineStr">
        <is>
          <t>A 50021-2023</t>
        </is>
      </c>
      <c r="B459" s="1" t="n">
        <v>45215</v>
      </c>
      <c r="C459" s="1" t="n">
        <v>46035</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52769-2023</t>
        </is>
      </c>
      <c r="B460" s="1" t="n">
        <v>45226</v>
      </c>
      <c r="C460" s="1" t="n">
        <v>46035</v>
      </c>
      <c r="D460" t="inlineStr">
        <is>
          <t>SÖDERMANLANDS LÄN</t>
        </is>
      </c>
      <c r="E460" t="inlineStr">
        <is>
          <t>KATRINEHOLM</t>
        </is>
      </c>
      <c r="G460" t="n">
        <v>0.5</v>
      </c>
      <c r="H460" t="n">
        <v>0</v>
      </c>
      <c r="I460" t="n">
        <v>0</v>
      </c>
      <c r="J460" t="n">
        <v>0</v>
      </c>
      <c r="K460" t="n">
        <v>0</v>
      </c>
      <c r="L460" t="n">
        <v>0</v>
      </c>
      <c r="M460" t="n">
        <v>0</v>
      </c>
      <c r="N460" t="n">
        <v>0</v>
      </c>
      <c r="O460" t="n">
        <v>0</v>
      </c>
      <c r="P460" t="n">
        <v>0</v>
      </c>
      <c r="Q460" t="n">
        <v>0</v>
      </c>
      <c r="R460" s="2" t="inlineStr"/>
    </row>
    <row r="461" ht="15" customHeight="1">
      <c r="A461" t="inlineStr">
        <is>
          <t>A 37043-2025</t>
        </is>
      </c>
      <c r="B461" s="1" t="n">
        <v>45875.3396412037</v>
      </c>
      <c r="C461" s="1" t="n">
        <v>46035</v>
      </c>
      <c r="D461" t="inlineStr">
        <is>
          <t>SÖDERMANLANDS LÄN</t>
        </is>
      </c>
      <c r="E461" t="inlineStr">
        <is>
          <t>KATRINEHOLM</t>
        </is>
      </c>
      <c r="G461" t="n">
        <v>2.2</v>
      </c>
      <c r="H461" t="n">
        <v>0</v>
      </c>
      <c r="I461" t="n">
        <v>0</v>
      </c>
      <c r="J461" t="n">
        <v>0</v>
      </c>
      <c r="K461" t="n">
        <v>0</v>
      </c>
      <c r="L461" t="n">
        <v>0</v>
      </c>
      <c r="M461" t="n">
        <v>0</v>
      </c>
      <c r="N461" t="n">
        <v>0</v>
      </c>
      <c r="O461" t="n">
        <v>0</v>
      </c>
      <c r="P461" t="n">
        <v>0</v>
      </c>
      <c r="Q461" t="n">
        <v>0</v>
      </c>
      <c r="R461" s="2" t="inlineStr"/>
    </row>
    <row r="462" ht="15" customHeight="1">
      <c r="A462" t="inlineStr">
        <is>
          <t>A 4758-2025</t>
        </is>
      </c>
      <c r="B462" s="1" t="n">
        <v>45688</v>
      </c>
      <c r="C462" s="1" t="n">
        <v>46035</v>
      </c>
      <c r="D462" t="inlineStr">
        <is>
          <t>SÖDERMANLANDS LÄN</t>
        </is>
      </c>
      <c r="E462" t="inlineStr">
        <is>
          <t>KATRINEHOLM</t>
        </is>
      </c>
      <c r="G462" t="n">
        <v>2.3</v>
      </c>
      <c r="H462" t="n">
        <v>0</v>
      </c>
      <c r="I462" t="n">
        <v>0</v>
      </c>
      <c r="J462" t="n">
        <v>0</v>
      </c>
      <c r="K462" t="n">
        <v>0</v>
      </c>
      <c r="L462" t="n">
        <v>0</v>
      </c>
      <c r="M462" t="n">
        <v>0</v>
      </c>
      <c r="N462" t="n">
        <v>0</v>
      </c>
      <c r="O462" t="n">
        <v>0</v>
      </c>
      <c r="P462" t="n">
        <v>0</v>
      </c>
      <c r="Q462" t="n">
        <v>0</v>
      </c>
      <c r="R462" s="2" t="inlineStr"/>
    </row>
    <row r="463" ht="15" customHeight="1">
      <c r="A463" t="inlineStr">
        <is>
          <t>A 27852-2023</t>
        </is>
      </c>
      <c r="B463" s="1" t="n">
        <v>45098</v>
      </c>
      <c r="C463" s="1" t="n">
        <v>46035</v>
      </c>
      <c r="D463" t="inlineStr">
        <is>
          <t>SÖDERMANLANDS LÄN</t>
        </is>
      </c>
      <c r="E463" t="inlineStr">
        <is>
          <t>KATRINEHOLM</t>
        </is>
      </c>
      <c r="G463" t="n">
        <v>7.4</v>
      </c>
      <c r="H463" t="n">
        <v>0</v>
      </c>
      <c r="I463" t="n">
        <v>0</v>
      </c>
      <c r="J463" t="n">
        <v>0</v>
      </c>
      <c r="K463" t="n">
        <v>0</v>
      </c>
      <c r="L463" t="n">
        <v>0</v>
      </c>
      <c r="M463" t="n">
        <v>0</v>
      </c>
      <c r="N463" t="n">
        <v>0</v>
      </c>
      <c r="O463" t="n">
        <v>0</v>
      </c>
      <c r="P463" t="n">
        <v>0</v>
      </c>
      <c r="Q463" t="n">
        <v>0</v>
      </c>
      <c r="R463" s="2" t="inlineStr"/>
    </row>
    <row r="464" ht="15" customHeight="1">
      <c r="A464" t="inlineStr">
        <is>
          <t>A 28304-2024</t>
        </is>
      </c>
      <c r="B464" s="1" t="n">
        <v>45477</v>
      </c>
      <c r="C464" s="1" t="n">
        <v>46035</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61911-2021</t>
        </is>
      </c>
      <c r="B465" s="1" t="n">
        <v>44502.35746527778</v>
      </c>
      <c r="C465" s="1" t="n">
        <v>46035</v>
      </c>
      <c r="D465" t="inlineStr">
        <is>
          <t>SÖDERMANLANDS LÄN</t>
        </is>
      </c>
      <c r="E465" t="inlineStr">
        <is>
          <t>KATRINEHOLM</t>
        </is>
      </c>
      <c r="G465" t="n">
        <v>3.8</v>
      </c>
      <c r="H465" t="n">
        <v>0</v>
      </c>
      <c r="I465" t="n">
        <v>0</v>
      </c>
      <c r="J465" t="n">
        <v>0</v>
      </c>
      <c r="K465" t="n">
        <v>0</v>
      </c>
      <c r="L465" t="n">
        <v>0</v>
      </c>
      <c r="M465" t="n">
        <v>0</v>
      </c>
      <c r="N465" t="n">
        <v>0</v>
      </c>
      <c r="O465" t="n">
        <v>0</v>
      </c>
      <c r="P465" t="n">
        <v>0</v>
      </c>
      <c r="Q465" t="n">
        <v>0</v>
      </c>
      <c r="R465" s="2" t="inlineStr"/>
    </row>
    <row r="466" ht="15" customHeight="1">
      <c r="A466" t="inlineStr">
        <is>
          <t>A 42945-2023</t>
        </is>
      </c>
      <c r="B466" s="1" t="n">
        <v>45182.5793287037</v>
      </c>
      <c r="C466" s="1" t="n">
        <v>46035</v>
      </c>
      <c r="D466" t="inlineStr">
        <is>
          <t>SÖDERMANLANDS LÄN</t>
        </is>
      </c>
      <c r="E466" t="inlineStr">
        <is>
          <t>KATRINEHOLM</t>
        </is>
      </c>
      <c r="F466" t="inlineStr">
        <is>
          <t>Övriga Aktiebolag</t>
        </is>
      </c>
      <c r="G466" t="n">
        <v>2.2</v>
      </c>
      <c r="H466" t="n">
        <v>0</v>
      </c>
      <c r="I466" t="n">
        <v>0</v>
      </c>
      <c r="J466" t="n">
        <v>0</v>
      </c>
      <c r="K466" t="n">
        <v>0</v>
      </c>
      <c r="L466" t="n">
        <v>0</v>
      </c>
      <c r="M466" t="n">
        <v>0</v>
      </c>
      <c r="N466" t="n">
        <v>0</v>
      </c>
      <c r="O466" t="n">
        <v>0</v>
      </c>
      <c r="P466" t="n">
        <v>0</v>
      </c>
      <c r="Q466" t="n">
        <v>0</v>
      </c>
      <c r="R466" s="2" t="inlineStr"/>
    </row>
    <row r="467" ht="15" customHeight="1">
      <c r="A467" t="inlineStr">
        <is>
          <t>A 42962-2023</t>
        </is>
      </c>
      <c r="B467" s="1" t="n">
        <v>45182</v>
      </c>
      <c r="C467" s="1" t="n">
        <v>46035</v>
      </c>
      <c r="D467" t="inlineStr">
        <is>
          <t>SÖDERMANLANDS LÄN</t>
        </is>
      </c>
      <c r="E467" t="inlineStr">
        <is>
          <t>KATRINEHOLM</t>
        </is>
      </c>
      <c r="F467" t="inlineStr">
        <is>
          <t>Övriga Aktiebolag</t>
        </is>
      </c>
      <c r="G467" t="n">
        <v>10.6</v>
      </c>
      <c r="H467" t="n">
        <v>0</v>
      </c>
      <c r="I467" t="n">
        <v>0</v>
      </c>
      <c r="J467" t="n">
        <v>0</v>
      </c>
      <c r="K467" t="n">
        <v>0</v>
      </c>
      <c r="L467" t="n">
        <v>0</v>
      </c>
      <c r="M467" t="n">
        <v>0</v>
      </c>
      <c r="N467" t="n">
        <v>0</v>
      </c>
      <c r="O467" t="n">
        <v>0</v>
      </c>
      <c r="P467" t="n">
        <v>0</v>
      </c>
      <c r="Q467" t="n">
        <v>0</v>
      </c>
      <c r="R467" s="2" t="inlineStr"/>
    </row>
    <row r="468" ht="15" customHeight="1">
      <c r="A468" t="inlineStr">
        <is>
          <t>A 61121-2025</t>
        </is>
      </c>
      <c r="B468" s="1" t="n">
        <v>46000.46746527778</v>
      </c>
      <c r="C468" s="1" t="n">
        <v>46035</v>
      </c>
      <c r="D468" t="inlineStr">
        <is>
          <t>SÖDERMANLANDS LÄN</t>
        </is>
      </c>
      <c r="E468" t="inlineStr">
        <is>
          <t>KATRINEHOLM</t>
        </is>
      </c>
      <c r="G468" t="n">
        <v>0.2</v>
      </c>
      <c r="H468" t="n">
        <v>0</v>
      </c>
      <c r="I468" t="n">
        <v>0</v>
      </c>
      <c r="J468" t="n">
        <v>0</v>
      </c>
      <c r="K468" t="n">
        <v>0</v>
      </c>
      <c r="L468" t="n">
        <v>0</v>
      </c>
      <c r="M468" t="n">
        <v>0</v>
      </c>
      <c r="N468" t="n">
        <v>0</v>
      </c>
      <c r="O468" t="n">
        <v>0</v>
      </c>
      <c r="P468" t="n">
        <v>0</v>
      </c>
      <c r="Q468" t="n">
        <v>0</v>
      </c>
      <c r="R468" s="2" t="inlineStr"/>
    </row>
    <row r="469" ht="15" customHeight="1">
      <c r="A469" t="inlineStr">
        <is>
          <t>A 44915-2022</t>
        </is>
      </c>
      <c r="B469" s="1" t="n">
        <v>44840</v>
      </c>
      <c r="C469" s="1" t="n">
        <v>46035</v>
      </c>
      <c r="D469" t="inlineStr">
        <is>
          <t>SÖDERMANLANDS LÄN</t>
        </is>
      </c>
      <c r="E469" t="inlineStr">
        <is>
          <t>KATRINEHOLM</t>
        </is>
      </c>
      <c r="G469" t="n">
        <v>6.3</v>
      </c>
      <c r="H469" t="n">
        <v>0</v>
      </c>
      <c r="I469" t="n">
        <v>0</v>
      </c>
      <c r="J469" t="n">
        <v>0</v>
      </c>
      <c r="K469" t="n">
        <v>0</v>
      </c>
      <c r="L469" t="n">
        <v>0</v>
      </c>
      <c r="M469" t="n">
        <v>0</v>
      </c>
      <c r="N469" t="n">
        <v>0</v>
      </c>
      <c r="O469" t="n">
        <v>0</v>
      </c>
      <c r="P469" t="n">
        <v>0</v>
      </c>
      <c r="Q469" t="n">
        <v>0</v>
      </c>
      <c r="R469" s="2" t="inlineStr"/>
    </row>
    <row r="470" ht="15" customHeight="1">
      <c r="A470" t="inlineStr">
        <is>
          <t>A 5953-2021</t>
        </is>
      </c>
      <c r="B470" s="1" t="n">
        <v>44231</v>
      </c>
      <c r="C470" s="1" t="n">
        <v>46035</v>
      </c>
      <c r="D470" t="inlineStr">
        <is>
          <t>SÖDERMANLANDS LÄN</t>
        </is>
      </c>
      <c r="E470" t="inlineStr">
        <is>
          <t>KATRINEHOLM</t>
        </is>
      </c>
      <c r="G470" t="n">
        <v>3.1</v>
      </c>
      <c r="H470" t="n">
        <v>0</v>
      </c>
      <c r="I470" t="n">
        <v>0</v>
      </c>
      <c r="J470" t="n">
        <v>0</v>
      </c>
      <c r="K470" t="n">
        <v>0</v>
      </c>
      <c r="L470" t="n">
        <v>0</v>
      </c>
      <c r="M470" t="n">
        <v>0</v>
      </c>
      <c r="N470" t="n">
        <v>0</v>
      </c>
      <c r="O470" t="n">
        <v>0</v>
      </c>
      <c r="P470" t="n">
        <v>0</v>
      </c>
      <c r="Q470" t="n">
        <v>0</v>
      </c>
      <c r="R470" s="2" t="inlineStr"/>
    </row>
    <row r="471" ht="15" customHeight="1">
      <c r="A471" t="inlineStr">
        <is>
          <t>A 11543-2025</t>
        </is>
      </c>
      <c r="B471" s="1" t="n">
        <v>45727.34248842593</v>
      </c>
      <c r="C471" s="1" t="n">
        <v>46035</v>
      </c>
      <c r="D471" t="inlineStr">
        <is>
          <t>SÖDERMANLANDS LÄN</t>
        </is>
      </c>
      <c r="E471" t="inlineStr">
        <is>
          <t>KATRINEHOLM</t>
        </is>
      </c>
      <c r="G471" t="n">
        <v>3.6</v>
      </c>
      <c r="H471" t="n">
        <v>0</v>
      </c>
      <c r="I471" t="n">
        <v>0</v>
      </c>
      <c r="J471" t="n">
        <v>0</v>
      </c>
      <c r="K471" t="n">
        <v>0</v>
      </c>
      <c r="L471" t="n">
        <v>0</v>
      </c>
      <c r="M471" t="n">
        <v>0</v>
      </c>
      <c r="N471" t="n">
        <v>0</v>
      </c>
      <c r="O471" t="n">
        <v>0</v>
      </c>
      <c r="P471" t="n">
        <v>0</v>
      </c>
      <c r="Q471" t="n">
        <v>0</v>
      </c>
      <c r="R471" s="2" t="inlineStr"/>
    </row>
    <row r="472" ht="15" customHeight="1">
      <c r="A472" t="inlineStr">
        <is>
          <t>A 48097-2023</t>
        </is>
      </c>
      <c r="B472" s="1" t="n">
        <v>45205.31987268518</v>
      </c>
      <c r="C472" s="1" t="n">
        <v>46035</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37827-2025</t>
        </is>
      </c>
      <c r="B473" s="1" t="n">
        <v>45881.40907407407</v>
      </c>
      <c r="C473" s="1" t="n">
        <v>46035</v>
      </c>
      <c r="D473" t="inlineStr">
        <is>
          <t>SÖDERMANLANDS LÄN</t>
        </is>
      </c>
      <c r="E473" t="inlineStr">
        <is>
          <t>KATRINEHOLM</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45793-2022</t>
        </is>
      </c>
      <c r="B474" s="1" t="n">
        <v>44844</v>
      </c>
      <c r="C474" s="1" t="n">
        <v>46035</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40393-2022</t>
        </is>
      </c>
      <c r="B475" s="1" t="n">
        <v>44823</v>
      </c>
      <c r="C475" s="1" t="n">
        <v>46035</v>
      </c>
      <c r="D475" t="inlineStr">
        <is>
          <t>SÖDERMANLANDS LÄN</t>
        </is>
      </c>
      <c r="E475" t="inlineStr">
        <is>
          <t>KATRINEHOLM</t>
        </is>
      </c>
      <c r="G475" t="n">
        <v>1.3</v>
      </c>
      <c r="H475" t="n">
        <v>0</v>
      </c>
      <c r="I475" t="n">
        <v>0</v>
      </c>
      <c r="J475" t="n">
        <v>0</v>
      </c>
      <c r="K475" t="n">
        <v>0</v>
      </c>
      <c r="L475" t="n">
        <v>0</v>
      </c>
      <c r="M475" t="n">
        <v>0</v>
      </c>
      <c r="N475" t="n">
        <v>0</v>
      </c>
      <c r="O475" t="n">
        <v>0</v>
      </c>
      <c r="P475" t="n">
        <v>0</v>
      </c>
      <c r="Q475" t="n">
        <v>0</v>
      </c>
      <c r="R475" s="2" t="inlineStr"/>
    </row>
    <row r="476" ht="15" customHeight="1">
      <c r="A476" t="inlineStr">
        <is>
          <t>A 48685-2022</t>
        </is>
      </c>
      <c r="B476" s="1" t="n">
        <v>44859</v>
      </c>
      <c r="C476" s="1" t="n">
        <v>46035</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36133-2021</t>
        </is>
      </c>
      <c r="B477" s="1" t="n">
        <v>44386</v>
      </c>
      <c r="C477" s="1" t="n">
        <v>46035</v>
      </c>
      <c r="D477" t="inlineStr">
        <is>
          <t>SÖDERMANLANDS LÄN</t>
        </is>
      </c>
      <c r="E477" t="inlineStr">
        <is>
          <t>KATRINEHOLM</t>
        </is>
      </c>
      <c r="F477" t="inlineStr">
        <is>
          <t>Övriga Aktiebolag</t>
        </is>
      </c>
      <c r="G477" t="n">
        <v>8.9</v>
      </c>
      <c r="H477" t="n">
        <v>0</v>
      </c>
      <c r="I477" t="n">
        <v>0</v>
      </c>
      <c r="J477" t="n">
        <v>0</v>
      </c>
      <c r="K477" t="n">
        <v>0</v>
      </c>
      <c r="L477" t="n">
        <v>0</v>
      </c>
      <c r="M477" t="n">
        <v>0</v>
      </c>
      <c r="N477" t="n">
        <v>0</v>
      </c>
      <c r="O477" t="n">
        <v>0</v>
      </c>
      <c r="P477" t="n">
        <v>0</v>
      </c>
      <c r="Q477" t="n">
        <v>0</v>
      </c>
      <c r="R477" s="2" t="inlineStr"/>
    </row>
    <row r="478" ht="15" customHeight="1">
      <c r="A478" t="inlineStr">
        <is>
          <t>A 61066-2025</t>
        </is>
      </c>
      <c r="B478" s="1" t="n">
        <v>46000.37695601852</v>
      </c>
      <c r="C478" s="1" t="n">
        <v>46035</v>
      </c>
      <c r="D478" t="inlineStr">
        <is>
          <t>SÖDERMANLANDS LÄN</t>
        </is>
      </c>
      <c r="E478" t="inlineStr">
        <is>
          <t>KATRINEHOLM</t>
        </is>
      </c>
      <c r="F478" t="inlineStr">
        <is>
          <t>Kyrkan</t>
        </is>
      </c>
      <c r="G478" t="n">
        <v>5</v>
      </c>
      <c r="H478" t="n">
        <v>0</v>
      </c>
      <c r="I478" t="n">
        <v>0</v>
      </c>
      <c r="J478" t="n">
        <v>0</v>
      </c>
      <c r="K478" t="n">
        <v>0</v>
      </c>
      <c r="L478" t="n">
        <v>0</v>
      </c>
      <c r="M478" t="n">
        <v>0</v>
      </c>
      <c r="N478" t="n">
        <v>0</v>
      </c>
      <c r="O478" t="n">
        <v>0</v>
      </c>
      <c r="P478" t="n">
        <v>0</v>
      </c>
      <c r="Q478" t="n">
        <v>0</v>
      </c>
      <c r="R478" s="2" t="inlineStr"/>
    </row>
    <row r="479" ht="15" customHeight="1">
      <c r="A479" t="inlineStr">
        <is>
          <t>A 49700-2022</t>
        </is>
      </c>
      <c r="B479" s="1" t="n">
        <v>44862</v>
      </c>
      <c r="C479" s="1" t="n">
        <v>46035</v>
      </c>
      <c r="D479" t="inlineStr">
        <is>
          <t>SÖDERMANLANDS LÄN</t>
        </is>
      </c>
      <c r="E479" t="inlineStr">
        <is>
          <t>KATRINEHOLM</t>
        </is>
      </c>
      <c r="G479" t="n">
        <v>19.5</v>
      </c>
      <c r="H479" t="n">
        <v>0</v>
      </c>
      <c r="I479" t="n">
        <v>0</v>
      </c>
      <c r="J479" t="n">
        <v>0</v>
      </c>
      <c r="K479" t="n">
        <v>0</v>
      </c>
      <c r="L479" t="n">
        <v>0</v>
      </c>
      <c r="M479" t="n">
        <v>0</v>
      </c>
      <c r="N479" t="n">
        <v>0</v>
      </c>
      <c r="O479" t="n">
        <v>0</v>
      </c>
      <c r="P479" t="n">
        <v>0</v>
      </c>
      <c r="Q479" t="n">
        <v>0</v>
      </c>
      <c r="R479" s="2" t="inlineStr"/>
    </row>
    <row r="480" ht="15" customHeight="1">
      <c r="A480" t="inlineStr">
        <is>
          <t>A 52744-2025</t>
        </is>
      </c>
      <c r="B480" s="1" t="n">
        <v>45957.38387731482</v>
      </c>
      <c r="C480" s="1" t="n">
        <v>46035</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30276-2023</t>
        </is>
      </c>
      <c r="B481" s="1" t="n">
        <v>45110</v>
      </c>
      <c r="C481" s="1" t="n">
        <v>46035</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57265-2022</t>
        </is>
      </c>
      <c r="B482" s="1" t="n">
        <v>44895</v>
      </c>
      <c r="C482" s="1" t="n">
        <v>46035</v>
      </c>
      <c r="D482" t="inlineStr">
        <is>
          <t>SÖDERMANLANDS LÄN</t>
        </is>
      </c>
      <c r="E482" t="inlineStr">
        <is>
          <t>KATRINEHOLM</t>
        </is>
      </c>
      <c r="G482" t="n">
        <v>2</v>
      </c>
      <c r="H482" t="n">
        <v>0</v>
      </c>
      <c r="I482" t="n">
        <v>0</v>
      </c>
      <c r="J482" t="n">
        <v>0</v>
      </c>
      <c r="K482" t="n">
        <v>0</v>
      </c>
      <c r="L482" t="n">
        <v>0</v>
      </c>
      <c r="M482" t="n">
        <v>0</v>
      </c>
      <c r="N482" t="n">
        <v>0</v>
      </c>
      <c r="O482" t="n">
        <v>0</v>
      </c>
      <c r="P482" t="n">
        <v>0</v>
      </c>
      <c r="Q482" t="n">
        <v>0</v>
      </c>
      <c r="R482" s="2" t="inlineStr"/>
    </row>
    <row r="483" ht="15" customHeight="1">
      <c r="A483" t="inlineStr">
        <is>
          <t>A 50316-2023</t>
        </is>
      </c>
      <c r="B483" s="1" t="n">
        <v>45209</v>
      </c>
      <c r="C483" s="1" t="n">
        <v>46035</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52857-2021</t>
        </is>
      </c>
      <c r="B484" s="1" t="n">
        <v>44466</v>
      </c>
      <c r="C484" s="1" t="n">
        <v>46035</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60160-2022</t>
        </is>
      </c>
      <c r="B485" s="1" t="n">
        <v>44909</v>
      </c>
      <c r="C485" s="1" t="n">
        <v>46035</v>
      </c>
      <c r="D485" t="inlineStr">
        <is>
          <t>SÖDERMANLANDS LÄN</t>
        </is>
      </c>
      <c r="E485" t="inlineStr">
        <is>
          <t>KATRINEHOLM</t>
        </is>
      </c>
      <c r="F485" t="inlineStr">
        <is>
          <t>Allmännings- och besparingsskogar</t>
        </is>
      </c>
      <c r="G485" t="n">
        <v>2</v>
      </c>
      <c r="H485" t="n">
        <v>0</v>
      </c>
      <c r="I485" t="n">
        <v>0</v>
      </c>
      <c r="J485" t="n">
        <v>0</v>
      </c>
      <c r="K485" t="n">
        <v>0</v>
      </c>
      <c r="L485" t="n">
        <v>0</v>
      </c>
      <c r="M485" t="n">
        <v>0</v>
      </c>
      <c r="N485" t="n">
        <v>0</v>
      </c>
      <c r="O485" t="n">
        <v>0</v>
      </c>
      <c r="P485" t="n">
        <v>0</v>
      </c>
      <c r="Q485" t="n">
        <v>0</v>
      </c>
      <c r="R485" s="2" t="inlineStr"/>
    </row>
    <row r="486" ht="15" customHeight="1">
      <c r="A486" t="inlineStr">
        <is>
          <t>A 19442-2023</t>
        </is>
      </c>
      <c r="B486" s="1" t="n">
        <v>45050</v>
      </c>
      <c r="C486" s="1" t="n">
        <v>46035</v>
      </c>
      <c r="D486" t="inlineStr">
        <is>
          <t>SÖDERMANLANDS LÄN</t>
        </is>
      </c>
      <c r="E486" t="inlineStr">
        <is>
          <t>KATRINEHOLM</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50840-2022</t>
        </is>
      </c>
      <c r="B487" s="1" t="n">
        <v>44862</v>
      </c>
      <c r="C487" s="1" t="n">
        <v>46035</v>
      </c>
      <c r="D487" t="inlineStr">
        <is>
          <t>SÖDERMANLANDS LÄN</t>
        </is>
      </c>
      <c r="E487" t="inlineStr">
        <is>
          <t>KATRINEHOLM</t>
        </is>
      </c>
      <c r="G487" t="n">
        <v>4.2</v>
      </c>
      <c r="H487" t="n">
        <v>0</v>
      </c>
      <c r="I487" t="n">
        <v>0</v>
      </c>
      <c r="J487" t="n">
        <v>0</v>
      </c>
      <c r="K487" t="n">
        <v>0</v>
      </c>
      <c r="L487" t="n">
        <v>0</v>
      </c>
      <c r="M487" t="n">
        <v>0</v>
      </c>
      <c r="N487" t="n">
        <v>0</v>
      </c>
      <c r="O487" t="n">
        <v>0</v>
      </c>
      <c r="P487" t="n">
        <v>0</v>
      </c>
      <c r="Q487" t="n">
        <v>0</v>
      </c>
      <c r="R487" s="2" t="inlineStr"/>
    </row>
    <row r="488" ht="15" customHeight="1">
      <c r="A488" t="inlineStr">
        <is>
          <t>A 61721-2025</t>
        </is>
      </c>
      <c r="B488" s="1" t="n">
        <v>46002.57778935185</v>
      </c>
      <c r="C488" s="1" t="n">
        <v>46035</v>
      </c>
      <c r="D488" t="inlineStr">
        <is>
          <t>SÖDERMANLANDS LÄN</t>
        </is>
      </c>
      <c r="E488" t="inlineStr">
        <is>
          <t>KATRINEHOLM</t>
        </is>
      </c>
      <c r="G488" t="n">
        <v>4.5</v>
      </c>
      <c r="H488" t="n">
        <v>0</v>
      </c>
      <c r="I488" t="n">
        <v>0</v>
      </c>
      <c r="J488" t="n">
        <v>0</v>
      </c>
      <c r="K488" t="n">
        <v>0</v>
      </c>
      <c r="L488" t="n">
        <v>0</v>
      </c>
      <c r="M488" t="n">
        <v>0</v>
      </c>
      <c r="N488" t="n">
        <v>0</v>
      </c>
      <c r="O488" t="n">
        <v>0</v>
      </c>
      <c r="P488" t="n">
        <v>0</v>
      </c>
      <c r="Q488" t="n">
        <v>0</v>
      </c>
      <c r="R488" s="2" t="inlineStr"/>
    </row>
    <row r="489" ht="15" customHeight="1">
      <c r="A489" t="inlineStr">
        <is>
          <t>A 53338-2025</t>
        </is>
      </c>
      <c r="B489" s="1" t="n">
        <v>45959.40447916667</v>
      </c>
      <c r="C489" s="1" t="n">
        <v>46035</v>
      </c>
      <c r="D489" t="inlineStr">
        <is>
          <t>SÖDERMANLANDS LÄN</t>
        </is>
      </c>
      <c r="E489" t="inlineStr">
        <is>
          <t>KATRINEHOLM</t>
        </is>
      </c>
      <c r="G489" t="n">
        <v>2.9</v>
      </c>
      <c r="H489" t="n">
        <v>0</v>
      </c>
      <c r="I489" t="n">
        <v>0</v>
      </c>
      <c r="J489" t="n">
        <v>0</v>
      </c>
      <c r="K489" t="n">
        <v>0</v>
      </c>
      <c r="L489" t="n">
        <v>0</v>
      </c>
      <c r="M489" t="n">
        <v>0</v>
      </c>
      <c r="N489" t="n">
        <v>0</v>
      </c>
      <c r="O489" t="n">
        <v>0</v>
      </c>
      <c r="P489" t="n">
        <v>0</v>
      </c>
      <c r="Q489" t="n">
        <v>0</v>
      </c>
      <c r="R489" s="2" t="inlineStr"/>
    </row>
    <row r="490" ht="15" customHeight="1">
      <c r="A490" t="inlineStr">
        <is>
          <t>A 3060-2022</t>
        </is>
      </c>
      <c r="B490" s="1" t="n">
        <v>44582.40109953703</v>
      </c>
      <c r="C490" s="1" t="n">
        <v>46035</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6611-2023</t>
        </is>
      </c>
      <c r="B491" s="1" t="n">
        <v>44963</v>
      </c>
      <c r="C491" s="1" t="n">
        <v>46035</v>
      </c>
      <c r="D491" t="inlineStr">
        <is>
          <t>SÖDERMANLANDS LÄN</t>
        </is>
      </c>
      <c r="E491" t="inlineStr">
        <is>
          <t>KATRINEHOLM</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50804-2023</t>
        </is>
      </c>
      <c r="B492" s="1" t="n">
        <v>45211</v>
      </c>
      <c r="C492" s="1" t="n">
        <v>46035</v>
      </c>
      <c r="D492" t="inlineStr">
        <is>
          <t>SÖDERMANLANDS LÄN</t>
        </is>
      </c>
      <c r="E492" t="inlineStr">
        <is>
          <t>KATRINEHOLM</t>
        </is>
      </c>
      <c r="G492" t="n">
        <v>4</v>
      </c>
      <c r="H492" t="n">
        <v>0</v>
      </c>
      <c r="I492" t="n">
        <v>0</v>
      </c>
      <c r="J492" t="n">
        <v>0</v>
      </c>
      <c r="K492" t="n">
        <v>0</v>
      </c>
      <c r="L492" t="n">
        <v>0</v>
      </c>
      <c r="M492" t="n">
        <v>0</v>
      </c>
      <c r="N492" t="n">
        <v>0</v>
      </c>
      <c r="O492" t="n">
        <v>0</v>
      </c>
      <c r="P492" t="n">
        <v>0</v>
      </c>
      <c r="Q492" t="n">
        <v>0</v>
      </c>
      <c r="R492" s="2" t="inlineStr"/>
    </row>
    <row r="493" ht="15" customHeight="1">
      <c r="A493" t="inlineStr">
        <is>
          <t>A 20533-2023</t>
        </is>
      </c>
      <c r="B493" s="1" t="n">
        <v>45057</v>
      </c>
      <c r="C493" s="1" t="n">
        <v>46035</v>
      </c>
      <c r="D493" t="inlineStr">
        <is>
          <t>SÖDERMANLANDS LÄN</t>
        </is>
      </c>
      <c r="E493" t="inlineStr">
        <is>
          <t>KATRINEHOLM</t>
        </is>
      </c>
      <c r="G493" t="n">
        <v>1.2</v>
      </c>
      <c r="H493" t="n">
        <v>0</v>
      </c>
      <c r="I493" t="n">
        <v>0</v>
      </c>
      <c r="J493" t="n">
        <v>0</v>
      </c>
      <c r="K493" t="n">
        <v>0</v>
      </c>
      <c r="L493" t="n">
        <v>0</v>
      </c>
      <c r="M493" t="n">
        <v>0</v>
      </c>
      <c r="N493" t="n">
        <v>0</v>
      </c>
      <c r="O493" t="n">
        <v>0</v>
      </c>
      <c r="P493" t="n">
        <v>0</v>
      </c>
      <c r="Q493" t="n">
        <v>0</v>
      </c>
      <c r="R493" s="2" t="inlineStr"/>
      <c r="T493">
        <f>HYPERLINK("https://klasma.github.io/Logging_0483/kartor/A 20533-2023 karta.png", "A 20533-2023")</f>
        <v/>
      </c>
      <c r="V493">
        <f>HYPERLINK("https://klasma.github.io/Logging_0483/klagomål/A 20533-2023 FSC-klagomål.docx", "A 20533-2023")</f>
        <v/>
      </c>
      <c r="W493">
        <f>HYPERLINK("https://klasma.github.io/Logging_0483/klagomålsmail/A 20533-2023 FSC-klagomål mail.docx", "A 20533-2023")</f>
        <v/>
      </c>
      <c r="X493">
        <f>HYPERLINK("https://klasma.github.io/Logging_0483/tillsyn/A 20533-2023 tillsynsbegäran.docx", "A 20533-2023")</f>
        <v/>
      </c>
      <c r="Y493">
        <f>HYPERLINK("https://klasma.github.io/Logging_0483/tillsynsmail/A 20533-2023 tillsynsbegäran mail.docx", "A 20533-2023")</f>
        <v/>
      </c>
      <c r="Z493">
        <f>HYPERLINK("https://klasma.github.io/Logging_0483/fåglar/A 20533-2023 prioriterade fågelarter.docx", "A 20533-2023")</f>
        <v/>
      </c>
    </row>
    <row r="494" ht="15" customHeight="1">
      <c r="A494" t="inlineStr">
        <is>
          <t>A 33469-2025</t>
        </is>
      </c>
      <c r="B494" s="1" t="n">
        <v>45841.48686342593</v>
      </c>
      <c r="C494" s="1" t="n">
        <v>46035</v>
      </c>
      <c r="D494" t="inlineStr">
        <is>
          <t>SÖDERMANLANDS LÄN</t>
        </is>
      </c>
      <c r="E494" t="inlineStr">
        <is>
          <t>KATRINEHOLM</t>
        </is>
      </c>
      <c r="G494" t="n">
        <v>2.1</v>
      </c>
      <c r="H494" t="n">
        <v>0</v>
      </c>
      <c r="I494" t="n">
        <v>0</v>
      </c>
      <c r="J494" t="n">
        <v>0</v>
      </c>
      <c r="K494" t="n">
        <v>0</v>
      </c>
      <c r="L494" t="n">
        <v>0</v>
      </c>
      <c r="M494" t="n">
        <v>0</v>
      </c>
      <c r="N494" t="n">
        <v>0</v>
      </c>
      <c r="O494" t="n">
        <v>0</v>
      </c>
      <c r="P494" t="n">
        <v>0</v>
      </c>
      <c r="Q494" t="n">
        <v>0</v>
      </c>
      <c r="R494" s="2" t="inlineStr"/>
    </row>
    <row r="495" ht="15" customHeight="1">
      <c r="A495" t="inlineStr">
        <is>
          <t>A 33129-2025</t>
        </is>
      </c>
      <c r="B495" s="1" t="n">
        <v>45840.50141203704</v>
      </c>
      <c r="C495" s="1" t="n">
        <v>46035</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43499-2021</t>
        </is>
      </c>
      <c r="B496" s="1" t="n">
        <v>44433</v>
      </c>
      <c r="C496" s="1" t="n">
        <v>46035</v>
      </c>
      <c r="D496" t="inlineStr">
        <is>
          <t>SÖDERMANLANDS LÄN</t>
        </is>
      </c>
      <c r="E496" t="inlineStr">
        <is>
          <t>KATRINEHOLM</t>
        </is>
      </c>
      <c r="F496" t="inlineStr">
        <is>
          <t>Övriga Aktiebolag</t>
        </is>
      </c>
      <c r="G496" t="n">
        <v>1.4</v>
      </c>
      <c r="H496" t="n">
        <v>0</v>
      </c>
      <c r="I496" t="n">
        <v>0</v>
      </c>
      <c r="J496" t="n">
        <v>0</v>
      </c>
      <c r="K496" t="n">
        <v>0</v>
      </c>
      <c r="L496" t="n">
        <v>0</v>
      </c>
      <c r="M496" t="n">
        <v>0</v>
      </c>
      <c r="N496" t="n">
        <v>0</v>
      </c>
      <c r="O496" t="n">
        <v>0</v>
      </c>
      <c r="P496" t="n">
        <v>0</v>
      </c>
      <c r="Q496" t="n">
        <v>0</v>
      </c>
      <c r="R496" s="2" t="inlineStr"/>
    </row>
    <row r="497" ht="15" customHeight="1">
      <c r="A497" t="inlineStr">
        <is>
          <t>A 53996-2023</t>
        </is>
      </c>
      <c r="B497" s="1" t="n">
        <v>45231</v>
      </c>
      <c r="C497" s="1" t="n">
        <v>46035</v>
      </c>
      <c r="D497" t="inlineStr">
        <is>
          <t>SÖDERMANLANDS LÄN</t>
        </is>
      </c>
      <c r="E497" t="inlineStr">
        <is>
          <t>KATRINEHOLM</t>
        </is>
      </c>
      <c r="G497" t="n">
        <v>4.9</v>
      </c>
      <c r="H497" t="n">
        <v>0</v>
      </c>
      <c r="I497" t="n">
        <v>0</v>
      </c>
      <c r="J497" t="n">
        <v>0</v>
      </c>
      <c r="K497" t="n">
        <v>0</v>
      </c>
      <c r="L497" t="n">
        <v>0</v>
      </c>
      <c r="M497" t="n">
        <v>0</v>
      </c>
      <c r="N497" t="n">
        <v>0</v>
      </c>
      <c r="O497" t="n">
        <v>0</v>
      </c>
      <c r="P497" t="n">
        <v>0</v>
      </c>
      <c r="Q497" t="n">
        <v>0</v>
      </c>
      <c r="R497" s="2" t="inlineStr"/>
    </row>
    <row r="498" ht="15" customHeight="1">
      <c r="A498" t="inlineStr">
        <is>
          <t>A 33790-2024</t>
        </is>
      </c>
      <c r="B498" s="1" t="n">
        <v>45520.59179398148</v>
      </c>
      <c r="C498" s="1" t="n">
        <v>46035</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47456-2022</t>
        </is>
      </c>
      <c r="B499" s="1" t="n">
        <v>44852</v>
      </c>
      <c r="C499" s="1" t="n">
        <v>46035</v>
      </c>
      <c r="D499" t="inlineStr">
        <is>
          <t>SÖDERMANLANDS LÄN</t>
        </is>
      </c>
      <c r="E499" t="inlineStr">
        <is>
          <t>KATRINEHOLM</t>
        </is>
      </c>
      <c r="G499" t="n">
        <v>3.7</v>
      </c>
      <c r="H499" t="n">
        <v>0</v>
      </c>
      <c r="I499" t="n">
        <v>0</v>
      </c>
      <c r="J499" t="n">
        <v>0</v>
      </c>
      <c r="K499" t="n">
        <v>0</v>
      </c>
      <c r="L499" t="n">
        <v>0</v>
      </c>
      <c r="M499" t="n">
        <v>0</v>
      </c>
      <c r="N499" t="n">
        <v>0</v>
      </c>
      <c r="O499" t="n">
        <v>0</v>
      </c>
      <c r="P499" t="n">
        <v>0</v>
      </c>
      <c r="Q499" t="n">
        <v>0</v>
      </c>
      <c r="R499" s="2" t="inlineStr"/>
    </row>
    <row r="500" ht="15" customHeight="1">
      <c r="A500" t="inlineStr">
        <is>
          <t>A 23347-2023</t>
        </is>
      </c>
      <c r="B500" s="1" t="n">
        <v>45076</v>
      </c>
      <c r="C500" s="1" t="n">
        <v>46035</v>
      </c>
      <c r="D500" t="inlineStr">
        <is>
          <t>SÖDERMANLANDS LÄN</t>
        </is>
      </c>
      <c r="E500" t="inlineStr">
        <is>
          <t>KATRINEHOLM</t>
        </is>
      </c>
      <c r="G500" t="n">
        <v>4.3</v>
      </c>
      <c r="H500" t="n">
        <v>0</v>
      </c>
      <c r="I500" t="n">
        <v>0</v>
      </c>
      <c r="J500" t="n">
        <v>0</v>
      </c>
      <c r="K500" t="n">
        <v>0</v>
      </c>
      <c r="L500" t="n">
        <v>0</v>
      </c>
      <c r="M500" t="n">
        <v>0</v>
      </c>
      <c r="N500" t="n">
        <v>0</v>
      </c>
      <c r="O500" t="n">
        <v>0</v>
      </c>
      <c r="P500" t="n">
        <v>0</v>
      </c>
      <c r="Q500" t="n">
        <v>0</v>
      </c>
      <c r="R500" s="2" t="inlineStr"/>
    </row>
    <row r="501" ht="15" customHeight="1">
      <c r="A501" t="inlineStr">
        <is>
          <t>A 74354-2021</t>
        </is>
      </c>
      <c r="B501" s="1" t="n">
        <v>44559.57041666667</v>
      </c>
      <c r="C501" s="1" t="n">
        <v>46035</v>
      </c>
      <c r="D501" t="inlineStr">
        <is>
          <t>SÖDERMANLANDS LÄN</t>
        </is>
      </c>
      <c r="E501" t="inlineStr">
        <is>
          <t>KATRINEHOLM</t>
        </is>
      </c>
      <c r="G501" t="n">
        <v>0.7</v>
      </c>
      <c r="H501" t="n">
        <v>0</v>
      </c>
      <c r="I501" t="n">
        <v>0</v>
      </c>
      <c r="J501" t="n">
        <v>0</v>
      </c>
      <c r="K501" t="n">
        <v>0</v>
      </c>
      <c r="L501" t="n">
        <v>0</v>
      </c>
      <c r="M501" t="n">
        <v>0</v>
      </c>
      <c r="N501" t="n">
        <v>0</v>
      </c>
      <c r="O501" t="n">
        <v>0</v>
      </c>
      <c r="P501" t="n">
        <v>0</v>
      </c>
      <c r="Q501" t="n">
        <v>0</v>
      </c>
      <c r="R501" s="2" t="inlineStr"/>
    </row>
    <row r="502" ht="15" customHeight="1">
      <c r="A502" t="inlineStr">
        <is>
          <t>A 41548-2025</t>
        </is>
      </c>
      <c r="B502" s="1" t="n">
        <v>45901</v>
      </c>
      <c r="C502" s="1" t="n">
        <v>46035</v>
      </c>
      <c r="D502" t="inlineStr">
        <is>
          <t>SÖDERMANLANDS LÄN</t>
        </is>
      </c>
      <c r="E502" t="inlineStr">
        <is>
          <t>KATRINEHOLM</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52348-2021</t>
        </is>
      </c>
      <c r="B503" s="1" t="n">
        <v>44464.49756944444</v>
      </c>
      <c r="C503" s="1" t="n">
        <v>46035</v>
      </c>
      <c r="D503" t="inlineStr">
        <is>
          <t>SÖDERMANLANDS LÄN</t>
        </is>
      </c>
      <c r="E503" t="inlineStr">
        <is>
          <t>KATRINEHOLM</t>
        </is>
      </c>
      <c r="G503" t="n">
        <v>1.5</v>
      </c>
      <c r="H503" t="n">
        <v>0</v>
      </c>
      <c r="I503" t="n">
        <v>0</v>
      </c>
      <c r="J503" t="n">
        <v>0</v>
      </c>
      <c r="K503" t="n">
        <v>0</v>
      </c>
      <c r="L503" t="n">
        <v>0</v>
      </c>
      <c r="M503" t="n">
        <v>0</v>
      </c>
      <c r="N503" t="n">
        <v>0</v>
      </c>
      <c r="O503" t="n">
        <v>0</v>
      </c>
      <c r="P503" t="n">
        <v>0</v>
      </c>
      <c r="Q503" t="n">
        <v>0</v>
      </c>
      <c r="R503" s="2" t="inlineStr"/>
    </row>
    <row r="504" ht="15" customHeight="1">
      <c r="A504" t="inlineStr">
        <is>
          <t>A 33096-2025</t>
        </is>
      </c>
      <c r="B504" s="1" t="n">
        <v>45840.47563657408</v>
      </c>
      <c r="C504" s="1" t="n">
        <v>46035</v>
      </c>
      <c r="D504" t="inlineStr">
        <is>
          <t>SÖDERMANLANDS LÄN</t>
        </is>
      </c>
      <c r="E504" t="inlineStr">
        <is>
          <t>KATRINEHOLM</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33077-2025</t>
        </is>
      </c>
      <c r="B505" s="1" t="n">
        <v>45840.45864583334</v>
      </c>
      <c r="C505" s="1" t="n">
        <v>46035</v>
      </c>
      <c r="D505" t="inlineStr">
        <is>
          <t>SÖDERMANLANDS LÄN</t>
        </is>
      </c>
      <c r="E505" t="inlineStr">
        <is>
          <t>KATRINEHOLM</t>
        </is>
      </c>
      <c r="G505" t="n">
        <v>7</v>
      </c>
      <c r="H505" t="n">
        <v>0</v>
      </c>
      <c r="I505" t="n">
        <v>0</v>
      </c>
      <c r="J505" t="n">
        <v>0</v>
      </c>
      <c r="K505" t="n">
        <v>0</v>
      </c>
      <c r="L505" t="n">
        <v>0</v>
      </c>
      <c r="M505" t="n">
        <v>0</v>
      </c>
      <c r="N505" t="n">
        <v>0</v>
      </c>
      <c r="O505" t="n">
        <v>0</v>
      </c>
      <c r="P505" t="n">
        <v>0</v>
      </c>
      <c r="Q505" t="n">
        <v>0</v>
      </c>
      <c r="R505" s="2" t="inlineStr"/>
    </row>
    <row r="506" ht="15" customHeight="1">
      <c r="A506" t="inlineStr">
        <is>
          <t>A 33101-2025</t>
        </is>
      </c>
      <c r="B506" s="1" t="n">
        <v>45840.47953703703</v>
      </c>
      <c r="C506" s="1" t="n">
        <v>46035</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54359-2025</t>
        </is>
      </c>
      <c r="B507" s="1" t="n">
        <v>45964</v>
      </c>
      <c r="C507" s="1" t="n">
        <v>46035</v>
      </c>
      <c r="D507" t="inlineStr">
        <is>
          <t>SÖDERMANLANDS LÄN</t>
        </is>
      </c>
      <c r="E507" t="inlineStr">
        <is>
          <t>KATRINEHOLM</t>
        </is>
      </c>
      <c r="G507" t="n">
        <v>2.5</v>
      </c>
      <c r="H507" t="n">
        <v>0</v>
      </c>
      <c r="I507" t="n">
        <v>0</v>
      </c>
      <c r="J507" t="n">
        <v>0</v>
      </c>
      <c r="K507" t="n">
        <v>0</v>
      </c>
      <c r="L507" t="n">
        <v>0</v>
      </c>
      <c r="M507" t="n">
        <v>0</v>
      </c>
      <c r="N507" t="n">
        <v>0</v>
      </c>
      <c r="O507" t="n">
        <v>0</v>
      </c>
      <c r="P507" t="n">
        <v>0</v>
      </c>
      <c r="Q507" t="n">
        <v>0</v>
      </c>
      <c r="R507" s="2" t="inlineStr"/>
    </row>
    <row r="508" ht="15" customHeight="1">
      <c r="A508" t="inlineStr">
        <is>
          <t>A 54395-2025</t>
        </is>
      </c>
      <c r="B508" s="1" t="n">
        <v>45964</v>
      </c>
      <c r="C508" s="1" t="n">
        <v>46035</v>
      </c>
      <c r="D508" t="inlineStr">
        <is>
          <t>SÖDERMANLANDS LÄN</t>
        </is>
      </c>
      <c r="E508" t="inlineStr">
        <is>
          <t>KATRINEHOLM</t>
        </is>
      </c>
      <c r="G508" t="n">
        <v>0.7</v>
      </c>
      <c r="H508" t="n">
        <v>0</v>
      </c>
      <c r="I508" t="n">
        <v>0</v>
      </c>
      <c r="J508" t="n">
        <v>0</v>
      </c>
      <c r="K508" t="n">
        <v>0</v>
      </c>
      <c r="L508" t="n">
        <v>0</v>
      </c>
      <c r="M508" t="n">
        <v>0</v>
      </c>
      <c r="N508" t="n">
        <v>0</v>
      </c>
      <c r="O508" t="n">
        <v>0</v>
      </c>
      <c r="P508" t="n">
        <v>0</v>
      </c>
      <c r="Q508" t="n">
        <v>0</v>
      </c>
      <c r="R508" s="2" t="inlineStr"/>
    </row>
    <row r="509" ht="15" customHeight="1">
      <c r="A509" t="inlineStr">
        <is>
          <t>A 56628-2021</t>
        </is>
      </c>
      <c r="B509" s="1" t="n">
        <v>44480</v>
      </c>
      <c r="C509" s="1" t="n">
        <v>46035</v>
      </c>
      <c r="D509" t="inlineStr">
        <is>
          <t>SÖDERMANLANDS LÄN</t>
        </is>
      </c>
      <c r="E509" t="inlineStr">
        <is>
          <t>KATRINEHOLM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45438-2021</t>
        </is>
      </c>
      <c r="B510" s="1" t="n">
        <v>44440</v>
      </c>
      <c r="C510" s="1" t="n">
        <v>46035</v>
      </c>
      <c r="D510" t="inlineStr">
        <is>
          <t>SÖDERMANLANDS LÄN</t>
        </is>
      </c>
      <c r="E510" t="inlineStr">
        <is>
          <t>KATRINEHOLM</t>
        </is>
      </c>
      <c r="F510" t="inlineStr">
        <is>
          <t>Kommuner</t>
        </is>
      </c>
      <c r="G510" t="n">
        <v>1.5</v>
      </c>
      <c r="H510" t="n">
        <v>0</v>
      </c>
      <c r="I510" t="n">
        <v>0</v>
      </c>
      <c r="J510" t="n">
        <v>0</v>
      </c>
      <c r="K510" t="n">
        <v>0</v>
      </c>
      <c r="L510" t="n">
        <v>0</v>
      </c>
      <c r="M510" t="n">
        <v>0</v>
      </c>
      <c r="N510" t="n">
        <v>0</v>
      </c>
      <c r="O510" t="n">
        <v>0</v>
      </c>
      <c r="P510" t="n">
        <v>0</v>
      </c>
      <c r="Q510" t="n">
        <v>0</v>
      </c>
      <c r="R510" s="2" t="inlineStr"/>
    </row>
    <row r="511" ht="15" customHeight="1">
      <c r="A511" t="inlineStr">
        <is>
          <t>A 50061-2022</t>
        </is>
      </c>
      <c r="B511" s="1" t="n">
        <v>44865</v>
      </c>
      <c r="C511" s="1" t="n">
        <v>46035</v>
      </c>
      <c r="D511" t="inlineStr">
        <is>
          <t>SÖDERMANLANDS LÄN</t>
        </is>
      </c>
      <c r="E511" t="inlineStr">
        <is>
          <t>KATRINEHOLM</t>
        </is>
      </c>
      <c r="G511" t="n">
        <v>4.9</v>
      </c>
      <c r="H511" t="n">
        <v>0</v>
      </c>
      <c r="I511" t="n">
        <v>0</v>
      </c>
      <c r="J511" t="n">
        <v>0</v>
      </c>
      <c r="K511" t="n">
        <v>0</v>
      </c>
      <c r="L511" t="n">
        <v>0</v>
      </c>
      <c r="M511" t="n">
        <v>0</v>
      </c>
      <c r="N511" t="n">
        <v>0</v>
      </c>
      <c r="O511" t="n">
        <v>0</v>
      </c>
      <c r="P511" t="n">
        <v>0</v>
      </c>
      <c r="Q511" t="n">
        <v>0</v>
      </c>
      <c r="R511" s="2" t="inlineStr"/>
    </row>
    <row r="512" ht="15" customHeight="1">
      <c r="A512" t="inlineStr">
        <is>
          <t>A 10446-2024</t>
        </is>
      </c>
      <c r="B512" s="1" t="n">
        <v>45366</v>
      </c>
      <c r="C512" s="1" t="n">
        <v>46035</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53860-2021</t>
        </is>
      </c>
      <c r="B513" s="1" t="n">
        <v>44467</v>
      </c>
      <c r="C513" s="1" t="n">
        <v>46035</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23842-2023</t>
        </is>
      </c>
      <c r="B514" s="1" t="n">
        <v>45075</v>
      </c>
      <c r="C514" s="1" t="n">
        <v>46035</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34263-2023</t>
        </is>
      </c>
      <c r="B515" s="1" t="n">
        <v>45138.60248842592</v>
      </c>
      <c r="C515" s="1" t="n">
        <v>46035</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46899-2022</t>
        </is>
      </c>
      <c r="B516" s="1" t="n">
        <v>44848</v>
      </c>
      <c r="C516" s="1" t="n">
        <v>46035</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55296-2022</t>
        </is>
      </c>
      <c r="B517" s="1" t="n">
        <v>44887</v>
      </c>
      <c r="C517" s="1" t="n">
        <v>46035</v>
      </c>
      <c r="D517" t="inlineStr">
        <is>
          <t>SÖDERMANLANDS LÄN</t>
        </is>
      </c>
      <c r="E517" t="inlineStr">
        <is>
          <t>KATRINEHOLM</t>
        </is>
      </c>
      <c r="G517" t="n">
        <v>1.4</v>
      </c>
      <c r="H517" t="n">
        <v>0</v>
      </c>
      <c r="I517" t="n">
        <v>0</v>
      </c>
      <c r="J517" t="n">
        <v>0</v>
      </c>
      <c r="K517" t="n">
        <v>0</v>
      </c>
      <c r="L517" t="n">
        <v>0</v>
      </c>
      <c r="M517" t="n">
        <v>0</v>
      </c>
      <c r="N517" t="n">
        <v>0</v>
      </c>
      <c r="O517" t="n">
        <v>0</v>
      </c>
      <c r="P517" t="n">
        <v>0</v>
      </c>
      <c r="Q517" t="n">
        <v>0</v>
      </c>
      <c r="R517" s="2" t="inlineStr"/>
    </row>
    <row r="518" ht="15" customHeight="1">
      <c r="A518" t="inlineStr">
        <is>
          <t>A 55029-2025</t>
        </is>
      </c>
      <c r="B518" s="1" t="n">
        <v>45967.63784722222</v>
      </c>
      <c r="C518" s="1" t="n">
        <v>46035</v>
      </c>
      <c r="D518" t="inlineStr">
        <is>
          <t>SÖDERMANLANDS LÄN</t>
        </is>
      </c>
      <c r="E518" t="inlineStr">
        <is>
          <t>KATRINEHOLM</t>
        </is>
      </c>
      <c r="G518" t="n">
        <v>10.1</v>
      </c>
      <c r="H518" t="n">
        <v>0</v>
      </c>
      <c r="I518" t="n">
        <v>0</v>
      </c>
      <c r="J518" t="n">
        <v>0</v>
      </c>
      <c r="K518" t="n">
        <v>0</v>
      </c>
      <c r="L518" t="n">
        <v>0</v>
      </c>
      <c r="M518" t="n">
        <v>0</v>
      </c>
      <c r="N518" t="n">
        <v>0</v>
      </c>
      <c r="O518" t="n">
        <v>0</v>
      </c>
      <c r="P518" t="n">
        <v>0</v>
      </c>
      <c r="Q518" t="n">
        <v>0</v>
      </c>
      <c r="R518" s="2" t="inlineStr"/>
    </row>
    <row r="519" ht="15" customHeight="1">
      <c r="A519" t="inlineStr">
        <is>
          <t>A 57524-2021</t>
        </is>
      </c>
      <c r="B519" s="1" t="n">
        <v>44483</v>
      </c>
      <c r="C519" s="1" t="n">
        <v>46035</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931-2023</t>
        </is>
      </c>
      <c r="B520" s="1" t="n">
        <v>44932.74261574074</v>
      </c>
      <c r="C520" s="1" t="n">
        <v>46035</v>
      </c>
      <c r="D520" t="inlineStr">
        <is>
          <t>SÖDERMANLANDS LÄN</t>
        </is>
      </c>
      <c r="E520" t="inlineStr">
        <is>
          <t>KATRINEHOLM</t>
        </is>
      </c>
      <c r="G520" t="n">
        <v>4</v>
      </c>
      <c r="H520" t="n">
        <v>0</v>
      </c>
      <c r="I520" t="n">
        <v>0</v>
      </c>
      <c r="J520" t="n">
        <v>0</v>
      </c>
      <c r="K520" t="n">
        <v>0</v>
      </c>
      <c r="L520" t="n">
        <v>0</v>
      </c>
      <c r="M520" t="n">
        <v>0</v>
      </c>
      <c r="N520" t="n">
        <v>0</v>
      </c>
      <c r="O520" t="n">
        <v>0</v>
      </c>
      <c r="P520" t="n">
        <v>0</v>
      </c>
      <c r="Q520" t="n">
        <v>0</v>
      </c>
      <c r="R520" s="2" t="inlineStr"/>
    </row>
    <row r="521" ht="15" customHeight="1">
      <c r="A521" t="inlineStr">
        <is>
          <t>A 55171-2023</t>
        </is>
      </c>
      <c r="B521" s="1" t="n">
        <v>45231</v>
      </c>
      <c r="C521" s="1" t="n">
        <v>46035</v>
      </c>
      <c r="D521" t="inlineStr">
        <is>
          <t>SÖDERMANLANDS LÄN</t>
        </is>
      </c>
      <c r="E521" t="inlineStr">
        <is>
          <t>KATRINEHOLM</t>
        </is>
      </c>
      <c r="G521" t="n">
        <v>4.2</v>
      </c>
      <c r="H521" t="n">
        <v>0</v>
      </c>
      <c r="I521" t="n">
        <v>0</v>
      </c>
      <c r="J521" t="n">
        <v>0</v>
      </c>
      <c r="K521" t="n">
        <v>0</v>
      </c>
      <c r="L521" t="n">
        <v>0</v>
      </c>
      <c r="M521" t="n">
        <v>0</v>
      </c>
      <c r="N521" t="n">
        <v>0</v>
      </c>
      <c r="O521" t="n">
        <v>0</v>
      </c>
      <c r="P521" t="n">
        <v>0</v>
      </c>
      <c r="Q521" t="n">
        <v>0</v>
      </c>
      <c r="R521" s="2" t="inlineStr"/>
    </row>
    <row r="522" ht="15" customHeight="1">
      <c r="A522" t="inlineStr">
        <is>
          <t>A 53393-2023</t>
        </is>
      </c>
      <c r="B522" s="1" t="n">
        <v>45229</v>
      </c>
      <c r="C522" s="1" t="n">
        <v>46035</v>
      </c>
      <c r="D522" t="inlineStr">
        <is>
          <t>SÖDERMANLANDS LÄN</t>
        </is>
      </c>
      <c r="E522" t="inlineStr">
        <is>
          <t>KATRINEHOLM</t>
        </is>
      </c>
      <c r="F522" t="inlineStr">
        <is>
          <t>Kyrkan</t>
        </is>
      </c>
      <c r="G522" t="n">
        <v>5.6</v>
      </c>
      <c r="H522" t="n">
        <v>0</v>
      </c>
      <c r="I522" t="n">
        <v>0</v>
      </c>
      <c r="J522" t="n">
        <v>0</v>
      </c>
      <c r="K522" t="n">
        <v>0</v>
      </c>
      <c r="L522" t="n">
        <v>0</v>
      </c>
      <c r="M522" t="n">
        <v>0</v>
      </c>
      <c r="N522" t="n">
        <v>0</v>
      </c>
      <c r="O522" t="n">
        <v>0</v>
      </c>
      <c r="P522" t="n">
        <v>0</v>
      </c>
      <c r="Q522" t="n">
        <v>0</v>
      </c>
      <c r="R522" s="2" t="inlineStr"/>
    </row>
    <row r="523" ht="15" customHeight="1">
      <c r="A523" t="inlineStr">
        <is>
          <t>A 54999-2025</t>
        </is>
      </c>
      <c r="B523" s="1" t="n">
        <v>45967.59880787037</v>
      </c>
      <c r="C523" s="1" t="n">
        <v>46035</v>
      </c>
      <c r="D523" t="inlineStr">
        <is>
          <t>SÖDERMANLANDS LÄN</t>
        </is>
      </c>
      <c r="E523" t="inlineStr">
        <is>
          <t>KATRINEHOLM</t>
        </is>
      </c>
      <c r="G523" t="n">
        <v>8.5</v>
      </c>
      <c r="H523" t="n">
        <v>0</v>
      </c>
      <c r="I523" t="n">
        <v>0</v>
      </c>
      <c r="J523" t="n">
        <v>0</v>
      </c>
      <c r="K523" t="n">
        <v>0</v>
      </c>
      <c r="L523" t="n">
        <v>0</v>
      </c>
      <c r="M523" t="n">
        <v>0</v>
      </c>
      <c r="N523" t="n">
        <v>0</v>
      </c>
      <c r="O523" t="n">
        <v>0</v>
      </c>
      <c r="P523" t="n">
        <v>0</v>
      </c>
      <c r="Q523" t="n">
        <v>0</v>
      </c>
      <c r="R523" s="2" t="inlineStr"/>
    </row>
    <row r="524" ht="15" customHeight="1">
      <c r="A524" t="inlineStr">
        <is>
          <t>A 23031-2024</t>
        </is>
      </c>
      <c r="B524" s="1" t="n">
        <v>45450.38120370371</v>
      </c>
      <c r="C524" s="1" t="n">
        <v>46035</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22506-2023</t>
        </is>
      </c>
      <c r="B525" s="1" t="n">
        <v>45071.37393518518</v>
      </c>
      <c r="C525" s="1" t="n">
        <v>46035</v>
      </c>
      <c r="D525" t="inlineStr">
        <is>
          <t>SÖDERMANLANDS LÄN</t>
        </is>
      </c>
      <c r="E525" t="inlineStr">
        <is>
          <t>KATRINEHOLM</t>
        </is>
      </c>
      <c r="F525" t="inlineStr">
        <is>
          <t>Kyrkan</t>
        </is>
      </c>
      <c r="G525" t="n">
        <v>5.9</v>
      </c>
      <c r="H525" t="n">
        <v>0</v>
      </c>
      <c r="I525" t="n">
        <v>0</v>
      </c>
      <c r="J525" t="n">
        <v>0</v>
      </c>
      <c r="K525" t="n">
        <v>0</v>
      </c>
      <c r="L525" t="n">
        <v>0</v>
      </c>
      <c r="M525" t="n">
        <v>0</v>
      </c>
      <c r="N525" t="n">
        <v>0</v>
      </c>
      <c r="O525" t="n">
        <v>0</v>
      </c>
      <c r="P525" t="n">
        <v>0</v>
      </c>
      <c r="Q525" t="n">
        <v>0</v>
      </c>
      <c r="R525" s="2" t="inlineStr"/>
    </row>
    <row r="526" ht="15" customHeight="1">
      <c r="A526" t="inlineStr">
        <is>
          <t>A 12888-2025</t>
        </is>
      </c>
      <c r="B526" s="1" t="n">
        <v>45733</v>
      </c>
      <c r="C526" s="1" t="n">
        <v>46035</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22345-2023</t>
        </is>
      </c>
      <c r="B527" s="1" t="n">
        <v>45070</v>
      </c>
      <c r="C527" s="1" t="n">
        <v>46035</v>
      </c>
      <c r="D527" t="inlineStr">
        <is>
          <t>SÖDERMANLANDS LÄN</t>
        </is>
      </c>
      <c r="E527" t="inlineStr">
        <is>
          <t>KATRINEHOLM</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48877-2022</t>
        </is>
      </c>
      <c r="B528" s="1" t="n">
        <v>44859</v>
      </c>
      <c r="C528" s="1" t="n">
        <v>46035</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19868-2022</t>
        </is>
      </c>
      <c r="B529" s="1" t="n">
        <v>44696</v>
      </c>
      <c r="C529" s="1" t="n">
        <v>46035</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63188-2021</t>
        </is>
      </c>
      <c r="B530" s="1" t="n">
        <v>44507.56865740741</v>
      </c>
      <c r="C530" s="1" t="n">
        <v>46035</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29843-2023</t>
        </is>
      </c>
      <c r="B531" s="1" t="n">
        <v>45107</v>
      </c>
      <c r="C531" s="1" t="n">
        <v>46035</v>
      </c>
      <c r="D531" t="inlineStr">
        <is>
          <t>SÖDERMANLANDS LÄN</t>
        </is>
      </c>
      <c r="E531" t="inlineStr">
        <is>
          <t>KATRINEHOLM</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5834-2025</t>
        </is>
      </c>
      <c r="B532" s="1" t="n">
        <v>45694</v>
      </c>
      <c r="C532" s="1" t="n">
        <v>46035</v>
      </c>
      <c r="D532" t="inlineStr">
        <is>
          <t>SÖDERMANLANDS LÄN</t>
        </is>
      </c>
      <c r="E532" t="inlineStr">
        <is>
          <t>KATRINEHOLM</t>
        </is>
      </c>
      <c r="G532" t="n">
        <v>3.3</v>
      </c>
      <c r="H532" t="n">
        <v>0</v>
      </c>
      <c r="I532" t="n">
        <v>0</v>
      </c>
      <c r="J532" t="n">
        <v>0</v>
      </c>
      <c r="K532" t="n">
        <v>0</v>
      </c>
      <c r="L532" t="n">
        <v>0</v>
      </c>
      <c r="M532" t="n">
        <v>0</v>
      </c>
      <c r="N532" t="n">
        <v>0</v>
      </c>
      <c r="O532" t="n">
        <v>0</v>
      </c>
      <c r="P532" t="n">
        <v>0</v>
      </c>
      <c r="Q532" t="n">
        <v>0</v>
      </c>
      <c r="R532" s="2" t="inlineStr"/>
    </row>
    <row r="533" ht="15" customHeight="1">
      <c r="A533" t="inlineStr">
        <is>
          <t>A 34981-2023</t>
        </is>
      </c>
      <c r="B533" s="1" t="n">
        <v>45142</v>
      </c>
      <c r="C533" s="1" t="n">
        <v>46035</v>
      </c>
      <c r="D533" t="inlineStr">
        <is>
          <t>SÖDERMANLANDS LÄN</t>
        </is>
      </c>
      <c r="E533" t="inlineStr">
        <is>
          <t>KATRINEHOLM</t>
        </is>
      </c>
      <c r="G533" t="n">
        <v>10</v>
      </c>
      <c r="H533" t="n">
        <v>0</v>
      </c>
      <c r="I533" t="n">
        <v>0</v>
      </c>
      <c r="J533" t="n">
        <v>0</v>
      </c>
      <c r="K533" t="n">
        <v>0</v>
      </c>
      <c r="L533" t="n">
        <v>0</v>
      </c>
      <c r="M533" t="n">
        <v>0</v>
      </c>
      <c r="N533" t="n">
        <v>0</v>
      </c>
      <c r="O533" t="n">
        <v>0</v>
      </c>
      <c r="P533" t="n">
        <v>0</v>
      </c>
      <c r="Q533" t="n">
        <v>0</v>
      </c>
      <c r="R533" s="2" t="inlineStr"/>
    </row>
    <row r="534" ht="15" customHeight="1">
      <c r="A534" t="inlineStr">
        <is>
          <t>A 73412-2021</t>
        </is>
      </c>
      <c r="B534" s="1" t="n">
        <v>44551</v>
      </c>
      <c r="C534" s="1" t="n">
        <v>46035</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55829-2025</t>
        </is>
      </c>
      <c r="B535" s="1" t="n">
        <v>45972.79274305556</v>
      </c>
      <c r="C535" s="1" t="n">
        <v>46035</v>
      </c>
      <c r="D535" t="inlineStr">
        <is>
          <t>SÖDERMANLANDS LÄN</t>
        </is>
      </c>
      <c r="E535" t="inlineStr">
        <is>
          <t>KATRINEHOLM</t>
        </is>
      </c>
      <c r="G535" t="n">
        <v>3.2</v>
      </c>
      <c r="H535" t="n">
        <v>0</v>
      </c>
      <c r="I535" t="n">
        <v>0</v>
      </c>
      <c r="J535" t="n">
        <v>0</v>
      </c>
      <c r="K535" t="n">
        <v>0</v>
      </c>
      <c r="L535" t="n">
        <v>0</v>
      </c>
      <c r="M535" t="n">
        <v>0</v>
      </c>
      <c r="N535" t="n">
        <v>0</v>
      </c>
      <c r="O535" t="n">
        <v>0</v>
      </c>
      <c r="P535" t="n">
        <v>0</v>
      </c>
      <c r="Q535" t="n">
        <v>0</v>
      </c>
      <c r="R535" s="2" t="inlineStr"/>
    </row>
    <row r="536" ht="15" customHeight="1">
      <c r="A536" t="inlineStr">
        <is>
          <t>A 55832-2025</t>
        </is>
      </c>
      <c r="B536" s="1" t="n">
        <v>45972.81768518518</v>
      </c>
      <c r="C536" s="1" t="n">
        <v>46035</v>
      </c>
      <c r="D536" t="inlineStr">
        <is>
          <t>SÖDERMANLANDS LÄN</t>
        </is>
      </c>
      <c r="E536" t="inlineStr">
        <is>
          <t>KATRINEHOLM</t>
        </is>
      </c>
      <c r="G536" t="n">
        <v>2</v>
      </c>
      <c r="H536" t="n">
        <v>0</v>
      </c>
      <c r="I536" t="n">
        <v>0</v>
      </c>
      <c r="J536" t="n">
        <v>0</v>
      </c>
      <c r="K536" t="n">
        <v>0</v>
      </c>
      <c r="L536" t="n">
        <v>0</v>
      </c>
      <c r="M536" t="n">
        <v>0</v>
      </c>
      <c r="N536" t="n">
        <v>0</v>
      </c>
      <c r="O536" t="n">
        <v>0</v>
      </c>
      <c r="P536" t="n">
        <v>0</v>
      </c>
      <c r="Q536" t="n">
        <v>0</v>
      </c>
      <c r="R536" s="2" t="inlineStr"/>
    </row>
    <row r="537" ht="15" customHeight="1">
      <c r="A537" t="inlineStr">
        <is>
          <t>A 53750-2022</t>
        </is>
      </c>
      <c r="B537" s="1" t="n">
        <v>44875</v>
      </c>
      <c r="C537" s="1" t="n">
        <v>46035</v>
      </c>
      <c r="D537" t="inlineStr">
        <is>
          <t>SÖDERMANLANDS LÄN</t>
        </is>
      </c>
      <c r="E537" t="inlineStr">
        <is>
          <t>KATRINEHOLM</t>
        </is>
      </c>
      <c r="F537" t="inlineStr">
        <is>
          <t>Övriga Aktiebolag</t>
        </is>
      </c>
      <c r="G537" t="n">
        <v>12.6</v>
      </c>
      <c r="H537" t="n">
        <v>0</v>
      </c>
      <c r="I537" t="n">
        <v>0</v>
      </c>
      <c r="J537" t="n">
        <v>0</v>
      </c>
      <c r="K537" t="n">
        <v>0</v>
      </c>
      <c r="L537" t="n">
        <v>0</v>
      </c>
      <c r="M537" t="n">
        <v>0</v>
      </c>
      <c r="N537" t="n">
        <v>0</v>
      </c>
      <c r="O537" t="n">
        <v>0</v>
      </c>
      <c r="P537" t="n">
        <v>0</v>
      </c>
      <c r="Q537" t="n">
        <v>0</v>
      </c>
      <c r="R537" s="2" t="inlineStr"/>
    </row>
    <row r="538" ht="15" customHeight="1">
      <c r="A538" t="inlineStr">
        <is>
          <t>A 14245-2024</t>
        </is>
      </c>
      <c r="B538" s="1" t="n">
        <v>45393</v>
      </c>
      <c r="C538" s="1" t="n">
        <v>46035</v>
      </c>
      <c r="D538" t="inlineStr">
        <is>
          <t>SÖDERMANLANDS LÄN</t>
        </is>
      </c>
      <c r="E538" t="inlineStr">
        <is>
          <t>KATRINEHOLM</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11104-2023</t>
        </is>
      </c>
      <c r="B539" s="1" t="n">
        <v>44992</v>
      </c>
      <c r="C539" s="1" t="n">
        <v>46035</v>
      </c>
      <c r="D539" t="inlineStr">
        <is>
          <t>SÖDERMANLANDS LÄN</t>
        </is>
      </c>
      <c r="E539" t="inlineStr">
        <is>
          <t>KATRINEHOLM</t>
        </is>
      </c>
      <c r="F539" t="inlineStr">
        <is>
          <t>Allmännings- och besparingsskogar</t>
        </is>
      </c>
      <c r="G539" t="n">
        <v>7.8</v>
      </c>
      <c r="H539" t="n">
        <v>0</v>
      </c>
      <c r="I539" t="n">
        <v>0</v>
      </c>
      <c r="J539" t="n">
        <v>0</v>
      </c>
      <c r="K539" t="n">
        <v>0</v>
      </c>
      <c r="L539" t="n">
        <v>0</v>
      </c>
      <c r="M539" t="n">
        <v>0</v>
      </c>
      <c r="N539" t="n">
        <v>0</v>
      </c>
      <c r="O539" t="n">
        <v>0</v>
      </c>
      <c r="P539" t="n">
        <v>0</v>
      </c>
      <c r="Q539" t="n">
        <v>0</v>
      </c>
      <c r="R539" s="2" t="inlineStr"/>
    </row>
    <row r="540" ht="15" customHeight="1">
      <c r="A540" t="inlineStr">
        <is>
          <t>A 55831-2025</t>
        </is>
      </c>
      <c r="B540" s="1" t="n">
        <v>45972.81034722222</v>
      </c>
      <c r="C540" s="1" t="n">
        <v>46035</v>
      </c>
      <c r="D540" t="inlineStr">
        <is>
          <t>SÖDERMANLANDS LÄN</t>
        </is>
      </c>
      <c r="E540" t="inlineStr">
        <is>
          <t>KATRINEHOLM</t>
        </is>
      </c>
      <c r="G540" t="n">
        <v>6.2</v>
      </c>
      <c r="H540" t="n">
        <v>0</v>
      </c>
      <c r="I540" t="n">
        <v>0</v>
      </c>
      <c r="J540" t="n">
        <v>0</v>
      </c>
      <c r="K540" t="n">
        <v>0</v>
      </c>
      <c r="L540" t="n">
        <v>0</v>
      </c>
      <c r="M540" t="n">
        <v>0</v>
      </c>
      <c r="N540" t="n">
        <v>0</v>
      </c>
      <c r="O540" t="n">
        <v>0</v>
      </c>
      <c r="P540" t="n">
        <v>0</v>
      </c>
      <c r="Q540" t="n">
        <v>0</v>
      </c>
      <c r="R540" s="2" t="inlineStr"/>
    </row>
    <row r="541" ht="15" customHeight="1">
      <c r="A541" t="inlineStr">
        <is>
          <t>A 56330-2025</t>
        </is>
      </c>
      <c r="B541" s="1" t="n">
        <v>45974.64094907408</v>
      </c>
      <c r="C541" s="1" t="n">
        <v>46035</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4387-2024</t>
        </is>
      </c>
      <c r="B542" s="1" t="n">
        <v>45327.35068287037</v>
      </c>
      <c r="C542" s="1" t="n">
        <v>46035</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4872-2024</t>
        </is>
      </c>
      <c r="B543" s="1" t="n">
        <v>45329</v>
      </c>
      <c r="C543" s="1" t="n">
        <v>46035</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29702-2021</t>
        </is>
      </c>
      <c r="B544" s="1" t="n">
        <v>44362</v>
      </c>
      <c r="C544" s="1" t="n">
        <v>46035</v>
      </c>
      <c r="D544" t="inlineStr">
        <is>
          <t>SÖDERMANLANDS LÄN</t>
        </is>
      </c>
      <c r="E544" t="inlineStr">
        <is>
          <t>KATRINEHOLM</t>
        </is>
      </c>
      <c r="F544" t="inlineStr">
        <is>
          <t>Holmen skog AB</t>
        </is>
      </c>
      <c r="G544" t="n">
        <v>0.3</v>
      </c>
      <c r="H544" t="n">
        <v>0</v>
      </c>
      <c r="I544" t="n">
        <v>0</v>
      </c>
      <c r="J544" t="n">
        <v>0</v>
      </c>
      <c r="K544" t="n">
        <v>0</v>
      </c>
      <c r="L544" t="n">
        <v>0</v>
      </c>
      <c r="M544" t="n">
        <v>0</v>
      </c>
      <c r="N544" t="n">
        <v>0</v>
      </c>
      <c r="O544" t="n">
        <v>0</v>
      </c>
      <c r="P544" t="n">
        <v>0</v>
      </c>
      <c r="Q544" t="n">
        <v>0</v>
      </c>
      <c r="R544" s="2" t="inlineStr"/>
    </row>
    <row r="545" ht="15" customHeight="1">
      <c r="A545" t="inlineStr">
        <is>
          <t>A 3986-2024</t>
        </is>
      </c>
      <c r="B545" s="1" t="n">
        <v>45322</v>
      </c>
      <c r="C545" s="1" t="n">
        <v>46035</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10996-2022</t>
        </is>
      </c>
      <c r="B546" s="1" t="n">
        <v>44628</v>
      </c>
      <c r="C546" s="1" t="n">
        <v>46035</v>
      </c>
      <c r="D546" t="inlineStr">
        <is>
          <t>SÖDERMANLANDS LÄN</t>
        </is>
      </c>
      <c r="E546" t="inlineStr">
        <is>
          <t>KATRINEHOLM</t>
        </is>
      </c>
      <c r="G546" t="n">
        <v>0.3</v>
      </c>
      <c r="H546" t="n">
        <v>0</v>
      </c>
      <c r="I546" t="n">
        <v>0</v>
      </c>
      <c r="J546" t="n">
        <v>0</v>
      </c>
      <c r="K546" t="n">
        <v>0</v>
      </c>
      <c r="L546" t="n">
        <v>0</v>
      </c>
      <c r="M546" t="n">
        <v>0</v>
      </c>
      <c r="N546" t="n">
        <v>0</v>
      </c>
      <c r="O546" t="n">
        <v>0</v>
      </c>
      <c r="P546" t="n">
        <v>0</v>
      </c>
      <c r="Q546" t="n">
        <v>0</v>
      </c>
      <c r="R546" s="2" t="inlineStr"/>
    </row>
    <row r="547" ht="15" customHeight="1">
      <c r="A547" t="inlineStr">
        <is>
          <t>A 42451-2023</t>
        </is>
      </c>
      <c r="B547" s="1" t="n">
        <v>45180</v>
      </c>
      <c r="C547" s="1" t="n">
        <v>46035</v>
      </c>
      <c r="D547" t="inlineStr">
        <is>
          <t>SÖDERMANLANDS LÄN</t>
        </is>
      </c>
      <c r="E547" t="inlineStr">
        <is>
          <t>KATRINEHOLM</t>
        </is>
      </c>
      <c r="G547" t="n">
        <v>3.8</v>
      </c>
      <c r="H547" t="n">
        <v>0</v>
      </c>
      <c r="I547" t="n">
        <v>0</v>
      </c>
      <c r="J547" t="n">
        <v>0</v>
      </c>
      <c r="K547" t="n">
        <v>0</v>
      </c>
      <c r="L547" t="n">
        <v>0</v>
      </c>
      <c r="M547" t="n">
        <v>0</v>
      </c>
      <c r="N547" t="n">
        <v>0</v>
      </c>
      <c r="O547" t="n">
        <v>0</v>
      </c>
      <c r="P547" t="n">
        <v>0</v>
      </c>
      <c r="Q547" t="n">
        <v>0</v>
      </c>
      <c r="R547" s="2" t="inlineStr"/>
    </row>
    <row r="548" ht="15" customHeight="1">
      <c r="A548" t="inlineStr">
        <is>
          <t>A 56597-2025</t>
        </is>
      </c>
      <c r="B548" s="1" t="n">
        <v>45975.57271990741</v>
      </c>
      <c r="C548" s="1" t="n">
        <v>46035</v>
      </c>
      <c r="D548" t="inlineStr">
        <is>
          <t>SÖDERMANLANDS LÄN</t>
        </is>
      </c>
      <c r="E548" t="inlineStr">
        <is>
          <t>KATRINEHOLM</t>
        </is>
      </c>
      <c r="G548" t="n">
        <v>1.7</v>
      </c>
      <c r="H548" t="n">
        <v>0</v>
      </c>
      <c r="I548" t="n">
        <v>0</v>
      </c>
      <c r="J548" t="n">
        <v>0</v>
      </c>
      <c r="K548" t="n">
        <v>0</v>
      </c>
      <c r="L548" t="n">
        <v>0</v>
      </c>
      <c r="M548" t="n">
        <v>0</v>
      </c>
      <c r="N548" t="n">
        <v>0</v>
      </c>
      <c r="O548" t="n">
        <v>0</v>
      </c>
      <c r="P548" t="n">
        <v>0</v>
      </c>
      <c r="Q548" t="n">
        <v>0</v>
      </c>
      <c r="R548" s="2" t="inlineStr"/>
    </row>
    <row r="549" ht="15" customHeight="1">
      <c r="A549" t="inlineStr">
        <is>
          <t>A 13113-2023</t>
        </is>
      </c>
      <c r="B549" s="1" t="n">
        <v>45002</v>
      </c>
      <c r="C549" s="1" t="n">
        <v>46035</v>
      </c>
      <c r="D549" t="inlineStr">
        <is>
          <t>SÖDERMANLANDS LÄN</t>
        </is>
      </c>
      <c r="E549" t="inlineStr">
        <is>
          <t>KATRINEHOLM</t>
        </is>
      </c>
      <c r="F549" t="inlineStr">
        <is>
          <t>Allmännings- och besparingsskogar</t>
        </is>
      </c>
      <c r="G549" t="n">
        <v>3.6</v>
      </c>
      <c r="H549" t="n">
        <v>0</v>
      </c>
      <c r="I549" t="n">
        <v>0</v>
      </c>
      <c r="J549" t="n">
        <v>0</v>
      </c>
      <c r="K549" t="n">
        <v>0</v>
      </c>
      <c r="L549" t="n">
        <v>0</v>
      </c>
      <c r="M549" t="n">
        <v>0</v>
      </c>
      <c r="N549" t="n">
        <v>0</v>
      </c>
      <c r="O549" t="n">
        <v>0</v>
      </c>
      <c r="P549" t="n">
        <v>0</v>
      </c>
      <c r="Q549" t="n">
        <v>0</v>
      </c>
      <c r="R549" s="2" t="inlineStr"/>
    </row>
    <row r="550" ht="15" customHeight="1">
      <c r="A550" t="inlineStr">
        <is>
          <t>A 6606-2022</t>
        </is>
      </c>
      <c r="B550" s="1" t="n">
        <v>44601</v>
      </c>
      <c r="C550" s="1" t="n">
        <v>46035</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27646-2023</t>
        </is>
      </c>
      <c r="B551" s="1" t="n">
        <v>45097</v>
      </c>
      <c r="C551" s="1" t="n">
        <v>46035</v>
      </c>
      <c r="D551" t="inlineStr">
        <is>
          <t>SÖDERMANLANDS LÄN</t>
        </is>
      </c>
      <c r="E551" t="inlineStr">
        <is>
          <t>KATRINEHOLM</t>
        </is>
      </c>
      <c r="G551" t="n">
        <v>2.4</v>
      </c>
      <c r="H551" t="n">
        <v>0</v>
      </c>
      <c r="I551" t="n">
        <v>0</v>
      </c>
      <c r="J551" t="n">
        <v>0</v>
      </c>
      <c r="K551" t="n">
        <v>0</v>
      </c>
      <c r="L551" t="n">
        <v>0</v>
      </c>
      <c r="M551" t="n">
        <v>0</v>
      </c>
      <c r="N551" t="n">
        <v>0</v>
      </c>
      <c r="O551" t="n">
        <v>0</v>
      </c>
      <c r="P551" t="n">
        <v>0</v>
      </c>
      <c r="Q551" t="n">
        <v>0</v>
      </c>
      <c r="R551" s="2" t="inlineStr"/>
    </row>
    <row r="552" ht="15" customHeight="1">
      <c r="A552" t="inlineStr">
        <is>
          <t>A 15235-2023</t>
        </is>
      </c>
      <c r="B552" s="1" t="n">
        <v>45019</v>
      </c>
      <c r="C552" s="1" t="n">
        <v>46035</v>
      </c>
      <c r="D552" t="inlineStr">
        <is>
          <t>SÖDERMANLANDS LÄN</t>
        </is>
      </c>
      <c r="E552" t="inlineStr">
        <is>
          <t>KATRINEHOLM</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63947-2025</t>
        </is>
      </c>
      <c r="B553" s="1" t="n">
        <v>46010</v>
      </c>
      <c r="C553" s="1" t="n">
        <v>46035</v>
      </c>
      <c r="D553" t="inlineStr">
        <is>
          <t>SÖDERMANLANDS LÄN</t>
        </is>
      </c>
      <c r="E553" t="inlineStr">
        <is>
          <t>KATRINEHOLM</t>
        </is>
      </c>
      <c r="F553" t="inlineStr">
        <is>
          <t>Allmännings- och besparingsskogar</t>
        </is>
      </c>
      <c r="G553" t="n">
        <v>4.8</v>
      </c>
      <c r="H553" t="n">
        <v>0</v>
      </c>
      <c r="I553" t="n">
        <v>0</v>
      </c>
      <c r="J553" t="n">
        <v>0</v>
      </c>
      <c r="K553" t="n">
        <v>0</v>
      </c>
      <c r="L553" t="n">
        <v>0</v>
      </c>
      <c r="M553" t="n">
        <v>0</v>
      </c>
      <c r="N553" t="n">
        <v>0</v>
      </c>
      <c r="O553" t="n">
        <v>0</v>
      </c>
      <c r="P553" t="n">
        <v>0</v>
      </c>
      <c r="Q553" t="n">
        <v>0</v>
      </c>
      <c r="R553" s="2" t="inlineStr"/>
    </row>
    <row r="554" ht="15" customHeight="1">
      <c r="A554" t="inlineStr">
        <is>
          <t>A 63949-2025</t>
        </is>
      </c>
      <c r="B554" s="1" t="n">
        <v>46010</v>
      </c>
      <c r="C554" s="1" t="n">
        <v>46035</v>
      </c>
      <c r="D554" t="inlineStr">
        <is>
          <t>SÖDERMANLANDS LÄN</t>
        </is>
      </c>
      <c r="E554" t="inlineStr">
        <is>
          <t>KATRINEHOLM</t>
        </is>
      </c>
      <c r="F554" t="inlineStr">
        <is>
          <t>Allmännings- och besparingsskogar</t>
        </is>
      </c>
      <c r="G554" t="n">
        <v>5.1</v>
      </c>
      <c r="H554" t="n">
        <v>0</v>
      </c>
      <c r="I554" t="n">
        <v>0</v>
      </c>
      <c r="J554" t="n">
        <v>0</v>
      </c>
      <c r="K554" t="n">
        <v>0</v>
      </c>
      <c r="L554" t="n">
        <v>0</v>
      </c>
      <c r="M554" t="n">
        <v>0</v>
      </c>
      <c r="N554" t="n">
        <v>0</v>
      </c>
      <c r="O554" t="n">
        <v>0</v>
      </c>
      <c r="P554" t="n">
        <v>0</v>
      </c>
      <c r="Q554" t="n">
        <v>0</v>
      </c>
      <c r="R554" s="2" t="inlineStr"/>
    </row>
    <row r="555" ht="15" customHeight="1">
      <c r="A555" t="inlineStr">
        <is>
          <t>A 25433-2024</t>
        </is>
      </c>
      <c r="B555" s="1" t="n">
        <v>45463</v>
      </c>
      <c r="C555" s="1" t="n">
        <v>46035</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63948-2025</t>
        </is>
      </c>
      <c r="B556" s="1" t="n">
        <v>46010</v>
      </c>
      <c r="C556" s="1" t="n">
        <v>46035</v>
      </c>
      <c r="D556" t="inlineStr">
        <is>
          <t>SÖDERMANLANDS LÄN</t>
        </is>
      </c>
      <c r="E556" t="inlineStr">
        <is>
          <t>KATRINEHOLM</t>
        </is>
      </c>
      <c r="F556" t="inlineStr">
        <is>
          <t>Allmännings- och besparingsskogar</t>
        </is>
      </c>
      <c r="G556" t="n">
        <v>4.9</v>
      </c>
      <c r="H556" t="n">
        <v>0</v>
      </c>
      <c r="I556" t="n">
        <v>0</v>
      </c>
      <c r="J556" t="n">
        <v>0</v>
      </c>
      <c r="K556" t="n">
        <v>0</v>
      </c>
      <c r="L556" t="n">
        <v>0</v>
      </c>
      <c r="M556" t="n">
        <v>0</v>
      </c>
      <c r="N556" t="n">
        <v>0</v>
      </c>
      <c r="O556" t="n">
        <v>0</v>
      </c>
      <c r="P556" t="n">
        <v>0</v>
      </c>
      <c r="Q556" t="n">
        <v>0</v>
      </c>
      <c r="R556" s="2" t="inlineStr"/>
    </row>
    <row r="557" ht="15" customHeight="1">
      <c r="A557" t="inlineStr">
        <is>
          <t>A 22304-2024</t>
        </is>
      </c>
      <c r="B557" s="1" t="n">
        <v>45446.56626157407</v>
      </c>
      <c r="C557" s="1" t="n">
        <v>46035</v>
      </c>
      <c r="D557" t="inlineStr">
        <is>
          <t>SÖDERMANLANDS LÄN</t>
        </is>
      </c>
      <c r="E557" t="inlineStr">
        <is>
          <t>KATRINEHOLM</t>
        </is>
      </c>
      <c r="F557" t="inlineStr">
        <is>
          <t>Kommuner</t>
        </is>
      </c>
      <c r="G557" t="n">
        <v>0.7</v>
      </c>
      <c r="H557" t="n">
        <v>0</v>
      </c>
      <c r="I557" t="n">
        <v>0</v>
      </c>
      <c r="J557" t="n">
        <v>0</v>
      </c>
      <c r="K557" t="n">
        <v>0</v>
      </c>
      <c r="L557" t="n">
        <v>0</v>
      </c>
      <c r="M557" t="n">
        <v>0</v>
      </c>
      <c r="N557" t="n">
        <v>0</v>
      </c>
      <c r="O557" t="n">
        <v>0</v>
      </c>
      <c r="P557" t="n">
        <v>0</v>
      </c>
      <c r="Q557" t="n">
        <v>0</v>
      </c>
      <c r="R557" s="2" t="inlineStr"/>
    </row>
    <row r="558" ht="15" customHeight="1">
      <c r="A558" t="inlineStr">
        <is>
          <t>A 14224-2024</t>
        </is>
      </c>
      <c r="B558" s="1" t="n">
        <v>45393</v>
      </c>
      <c r="C558" s="1" t="n">
        <v>46035</v>
      </c>
      <c r="D558" t="inlineStr">
        <is>
          <t>SÖDERMANLANDS LÄN</t>
        </is>
      </c>
      <c r="E558" t="inlineStr">
        <is>
          <t>KATRINEHOLM</t>
        </is>
      </c>
      <c r="F558" t="inlineStr">
        <is>
          <t>Sveaskog</t>
        </is>
      </c>
      <c r="G558" t="n">
        <v>7.6</v>
      </c>
      <c r="H558" t="n">
        <v>0</v>
      </c>
      <c r="I558" t="n">
        <v>0</v>
      </c>
      <c r="J558" t="n">
        <v>0</v>
      </c>
      <c r="K558" t="n">
        <v>0</v>
      </c>
      <c r="L558" t="n">
        <v>0</v>
      </c>
      <c r="M558" t="n">
        <v>0</v>
      </c>
      <c r="N558" t="n">
        <v>0</v>
      </c>
      <c r="O558" t="n">
        <v>0</v>
      </c>
      <c r="P558" t="n">
        <v>0</v>
      </c>
      <c r="Q558" t="n">
        <v>0</v>
      </c>
      <c r="R558" s="2" t="inlineStr"/>
    </row>
    <row r="559" ht="15" customHeight="1">
      <c r="A559" t="inlineStr">
        <is>
          <t>A 23341-2023</t>
        </is>
      </c>
      <c r="B559" s="1" t="n">
        <v>45076</v>
      </c>
      <c r="C559" s="1" t="n">
        <v>46035</v>
      </c>
      <c r="D559" t="inlineStr">
        <is>
          <t>SÖDERMANLANDS LÄN</t>
        </is>
      </c>
      <c r="E559" t="inlineStr">
        <is>
          <t>KATRINEHOLM</t>
        </is>
      </c>
      <c r="G559" t="n">
        <v>3.5</v>
      </c>
      <c r="H559" t="n">
        <v>0</v>
      </c>
      <c r="I559" t="n">
        <v>0</v>
      </c>
      <c r="J559" t="n">
        <v>0</v>
      </c>
      <c r="K559" t="n">
        <v>0</v>
      </c>
      <c r="L559" t="n">
        <v>0</v>
      </c>
      <c r="M559" t="n">
        <v>0</v>
      </c>
      <c r="N559" t="n">
        <v>0</v>
      </c>
      <c r="O559" t="n">
        <v>0</v>
      </c>
      <c r="P559" t="n">
        <v>0</v>
      </c>
      <c r="Q559" t="n">
        <v>0</v>
      </c>
      <c r="R559" s="2" t="inlineStr"/>
    </row>
    <row r="560" ht="15" customHeight="1">
      <c r="A560" t="inlineStr">
        <is>
          <t>A 63945-2025</t>
        </is>
      </c>
      <c r="B560" s="1" t="n">
        <v>46010</v>
      </c>
      <c r="C560" s="1" t="n">
        <v>46035</v>
      </c>
      <c r="D560" t="inlineStr">
        <is>
          <t>SÖDERMANLANDS LÄN</t>
        </is>
      </c>
      <c r="E560" t="inlineStr">
        <is>
          <t>KATRINEHOLM</t>
        </is>
      </c>
      <c r="F560" t="inlineStr">
        <is>
          <t>Allmännings- och besparingsskogar</t>
        </is>
      </c>
      <c r="G560" t="n">
        <v>1.2</v>
      </c>
      <c r="H560" t="n">
        <v>0</v>
      </c>
      <c r="I560" t="n">
        <v>0</v>
      </c>
      <c r="J560" t="n">
        <v>0</v>
      </c>
      <c r="K560" t="n">
        <v>0</v>
      </c>
      <c r="L560" t="n">
        <v>0</v>
      </c>
      <c r="M560" t="n">
        <v>0</v>
      </c>
      <c r="N560" t="n">
        <v>0</v>
      </c>
      <c r="O560" t="n">
        <v>0</v>
      </c>
      <c r="P560" t="n">
        <v>0</v>
      </c>
      <c r="Q560" t="n">
        <v>0</v>
      </c>
      <c r="R560" s="2" t="inlineStr"/>
    </row>
    <row r="561" ht="15" customHeight="1">
      <c r="A561" t="inlineStr">
        <is>
          <t>A 57323-2025</t>
        </is>
      </c>
      <c r="B561" s="1" t="n">
        <v>45980.32501157407</v>
      </c>
      <c r="C561" s="1" t="n">
        <v>46035</v>
      </c>
      <c r="D561" t="inlineStr">
        <is>
          <t>SÖDERMANLANDS LÄN</t>
        </is>
      </c>
      <c r="E561" t="inlineStr">
        <is>
          <t>KATRINEHOLM</t>
        </is>
      </c>
      <c r="F561" t="inlineStr">
        <is>
          <t>Övriga Aktiebolag</t>
        </is>
      </c>
      <c r="G561" t="n">
        <v>1.1</v>
      </c>
      <c r="H561" t="n">
        <v>0</v>
      </c>
      <c r="I561" t="n">
        <v>0</v>
      </c>
      <c r="J561" t="n">
        <v>0</v>
      </c>
      <c r="K561" t="n">
        <v>0</v>
      </c>
      <c r="L561" t="n">
        <v>0</v>
      </c>
      <c r="M561" t="n">
        <v>0</v>
      </c>
      <c r="N561" t="n">
        <v>0</v>
      </c>
      <c r="O561" t="n">
        <v>0</v>
      </c>
      <c r="P561" t="n">
        <v>0</v>
      </c>
      <c r="Q561" t="n">
        <v>0</v>
      </c>
      <c r="R561" s="2" t="inlineStr"/>
    </row>
    <row r="562" ht="15" customHeight="1">
      <c r="A562" t="inlineStr">
        <is>
          <t>A 36366-2023</t>
        </is>
      </c>
      <c r="B562" s="1" t="n">
        <v>45152</v>
      </c>
      <c r="C562" s="1" t="n">
        <v>46035</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36021-2023</t>
        </is>
      </c>
      <c r="B563" s="1" t="n">
        <v>45148</v>
      </c>
      <c r="C563" s="1" t="n">
        <v>46035</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28597-2024</t>
        </is>
      </c>
      <c r="B564" s="1" t="n">
        <v>45478</v>
      </c>
      <c r="C564" s="1" t="n">
        <v>46035</v>
      </c>
      <c r="D564" t="inlineStr">
        <is>
          <t>SÖDERMANLANDS LÄN</t>
        </is>
      </c>
      <c r="E564" t="inlineStr">
        <is>
          <t>KATRINEHOLM</t>
        </is>
      </c>
      <c r="G564" t="n">
        <v>1.8</v>
      </c>
      <c r="H564" t="n">
        <v>0</v>
      </c>
      <c r="I564" t="n">
        <v>0</v>
      </c>
      <c r="J564" t="n">
        <v>0</v>
      </c>
      <c r="K564" t="n">
        <v>0</v>
      </c>
      <c r="L564" t="n">
        <v>0</v>
      </c>
      <c r="M564" t="n">
        <v>0</v>
      </c>
      <c r="N564" t="n">
        <v>0</v>
      </c>
      <c r="O564" t="n">
        <v>0</v>
      </c>
      <c r="P564" t="n">
        <v>0</v>
      </c>
      <c r="Q564" t="n">
        <v>0</v>
      </c>
      <c r="R564" s="2" t="inlineStr"/>
    </row>
    <row r="565" ht="15" customHeight="1">
      <c r="A565" t="inlineStr">
        <is>
          <t>A 57975-2025</t>
        </is>
      </c>
      <c r="B565" s="1" t="n">
        <v>45981</v>
      </c>
      <c r="C565" s="1" t="n">
        <v>46035</v>
      </c>
      <c r="D565" t="inlineStr">
        <is>
          <t>SÖDERMANLANDS LÄN</t>
        </is>
      </c>
      <c r="E565" t="inlineStr">
        <is>
          <t>KATRINEHOLM</t>
        </is>
      </c>
      <c r="G565" t="n">
        <v>3.1</v>
      </c>
      <c r="H565" t="n">
        <v>0</v>
      </c>
      <c r="I565" t="n">
        <v>0</v>
      </c>
      <c r="J565" t="n">
        <v>0</v>
      </c>
      <c r="K565" t="n">
        <v>0</v>
      </c>
      <c r="L565" t="n">
        <v>0</v>
      </c>
      <c r="M565" t="n">
        <v>0</v>
      </c>
      <c r="N565" t="n">
        <v>0</v>
      </c>
      <c r="O565" t="n">
        <v>0</v>
      </c>
      <c r="P565" t="n">
        <v>0</v>
      </c>
      <c r="Q565" t="n">
        <v>0</v>
      </c>
      <c r="R565" s="2" t="inlineStr"/>
    </row>
    <row r="566" ht="15" customHeight="1">
      <c r="A566" t="inlineStr">
        <is>
          <t>A 29198-2023</t>
        </is>
      </c>
      <c r="B566" s="1" t="n">
        <v>45105</v>
      </c>
      <c r="C566" s="1" t="n">
        <v>46035</v>
      </c>
      <c r="D566" t="inlineStr">
        <is>
          <t>SÖDERMANLANDS LÄN</t>
        </is>
      </c>
      <c r="E566" t="inlineStr">
        <is>
          <t>KATRINEHOLM</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46035</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41267-2023</t>
        </is>
      </c>
      <c r="B568" s="1" t="n">
        <v>45174</v>
      </c>
      <c r="C568" s="1" t="n">
        <v>46035</v>
      </c>
      <c r="D568" t="inlineStr">
        <is>
          <t>SÖDERMANLANDS LÄN</t>
        </is>
      </c>
      <c r="E568" t="inlineStr">
        <is>
          <t>KATRINEHOLM</t>
        </is>
      </c>
      <c r="F568" t="inlineStr">
        <is>
          <t>Holmen skog AB</t>
        </is>
      </c>
      <c r="G568" t="n">
        <v>4.5</v>
      </c>
      <c r="H568" t="n">
        <v>0</v>
      </c>
      <c r="I568" t="n">
        <v>0</v>
      </c>
      <c r="J568" t="n">
        <v>0</v>
      </c>
      <c r="K568" t="n">
        <v>0</v>
      </c>
      <c r="L568" t="n">
        <v>0</v>
      </c>
      <c r="M568" t="n">
        <v>0</v>
      </c>
      <c r="N568" t="n">
        <v>0</v>
      </c>
      <c r="O568" t="n">
        <v>0</v>
      </c>
      <c r="P568" t="n">
        <v>0</v>
      </c>
      <c r="Q568" t="n">
        <v>0</v>
      </c>
      <c r="R568" s="2" t="inlineStr"/>
    </row>
    <row r="569" ht="15" customHeight="1">
      <c r="A569" t="inlineStr">
        <is>
          <t>A 4650-2024</t>
        </is>
      </c>
      <c r="B569" s="1" t="n">
        <v>45328</v>
      </c>
      <c r="C569" s="1" t="n">
        <v>46035</v>
      </c>
      <c r="D569" t="inlineStr">
        <is>
          <t>SÖDERMANLANDS LÄN</t>
        </is>
      </c>
      <c r="E569" t="inlineStr">
        <is>
          <t>KATRINEHOLM</t>
        </is>
      </c>
      <c r="G569" t="n">
        <v>0.6</v>
      </c>
      <c r="H569" t="n">
        <v>0</v>
      </c>
      <c r="I569" t="n">
        <v>0</v>
      </c>
      <c r="J569" t="n">
        <v>0</v>
      </c>
      <c r="K569" t="n">
        <v>0</v>
      </c>
      <c r="L569" t="n">
        <v>0</v>
      </c>
      <c r="M569" t="n">
        <v>0</v>
      </c>
      <c r="N569" t="n">
        <v>0</v>
      </c>
      <c r="O569" t="n">
        <v>0</v>
      </c>
      <c r="P569" t="n">
        <v>0</v>
      </c>
      <c r="Q569" t="n">
        <v>0</v>
      </c>
      <c r="R569" s="2" t="inlineStr"/>
    </row>
    <row r="570" ht="15" customHeight="1">
      <c r="A570" t="inlineStr">
        <is>
          <t>A 4652-2024</t>
        </is>
      </c>
      <c r="B570" s="1" t="n">
        <v>45328</v>
      </c>
      <c r="C570" s="1" t="n">
        <v>46035</v>
      </c>
      <c r="D570" t="inlineStr">
        <is>
          <t>SÖDERMANLANDS LÄN</t>
        </is>
      </c>
      <c r="E570" t="inlineStr">
        <is>
          <t>KATRINEHOLM</t>
        </is>
      </c>
      <c r="F570" t="inlineStr">
        <is>
          <t>Övriga Aktiebolag</t>
        </is>
      </c>
      <c r="G570" t="n">
        <v>6.1</v>
      </c>
      <c r="H570" t="n">
        <v>0</v>
      </c>
      <c r="I570" t="n">
        <v>0</v>
      </c>
      <c r="J570" t="n">
        <v>0</v>
      </c>
      <c r="K570" t="n">
        <v>0</v>
      </c>
      <c r="L570" t="n">
        <v>0</v>
      </c>
      <c r="M570" t="n">
        <v>0</v>
      </c>
      <c r="N570" t="n">
        <v>0</v>
      </c>
      <c r="O570" t="n">
        <v>0</v>
      </c>
      <c r="P570" t="n">
        <v>0</v>
      </c>
      <c r="Q570" t="n">
        <v>0</v>
      </c>
      <c r="R570" s="2" t="inlineStr"/>
    </row>
    <row r="571" ht="15" customHeight="1">
      <c r="A571" t="inlineStr">
        <is>
          <t>A 29008-2024</t>
        </is>
      </c>
      <c r="B571" s="1" t="n">
        <v>45481</v>
      </c>
      <c r="C571" s="1" t="n">
        <v>46035</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9936-2023</t>
        </is>
      </c>
      <c r="B572" s="1" t="n">
        <v>44985.47086805556</v>
      </c>
      <c r="C572" s="1" t="n">
        <v>46035</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4645-2024</t>
        </is>
      </c>
      <c r="B573" s="1" t="n">
        <v>45328</v>
      </c>
      <c r="C573" s="1" t="n">
        <v>46035</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36001-2024</t>
        </is>
      </c>
      <c r="B574" s="1" t="n">
        <v>45533.54609953704</v>
      </c>
      <c r="C574" s="1" t="n">
        <v>46035</v>
      </c>
      <c r="D574" t="inlineStr">
        <is>
          <t>SÖDERMANLANDS LÄN</t>
        </is>
      </c>
      <c r="E574" t="inlineStr">
        <is>
          <t>KATRINEHOLM</t>
        </is>
      </c>
      <c r="G574" t="n">
        <v>1</v>
      </c>
      <c r="H574" t="n">
        <v>0</v>
      </c>
      <c r="I574" t="n">
        <v>0</v>
      </c>
      <c r="J574" t="n">
        <v>0</v>
      </c>
      <c r="K574" t="n">
        <v>0</v>
      </c>
      <c r="L574" t="n">
        <v>0</v>
      </c>
      <c r="M574" t="n">
        <v>0</v>
      </c>
      <c r="N574" t="n">
        <v>0</v>
      </c>
      <c r="O574" t="n">
        <v>0</v>
      </c>
      <c r="P574" t="n">
        <v>0</v>
      </c>
      <c r="Q574" t="n">
        <v>0</v>
      </c>
      <c r="R574" s="2" t="inlineStr"/>
    </row>
    <row r="575" ht="15" customHeight="1">
      <c r="A575" t="inlineStr">
        <is>
          <t>A 1106-2026</t>
        </is>
      </c>
      <c r="B575" s="1" t="n">
        <v>46030.67123842592</v>
      </c>
      <c r="C575" s="1" t="n">
        <v>46035</v>
      </c>
      <c r="D575" t="inlineStr">
        <is>
          <t>SÖDERMANLANDS LÄN</t>
        </is>
      </c>
      <c r="E575" t="inlineStr">
        <is>
          <t>KATRINEHOLM</t>
        </is>
      </c>
      <c r="G575" t="n">
        <v>1.5</v>
      </c>
      <c r="H575" t="n">
        <v>0</v>
      </c>
      <c r="I575" t="n">
        <v>0</v>
      </c>
      <c r="J575" t="n">
        <v>0</v>
      </c>
      <c r="K575" t="n">
        <v>0</v>
      </c>
      <c r="L575" t="n">
        <v>0</v>
      </c>
      <c r="M575" t="n">
        <v>0</v>
      </c>
      <c r="N575" t="n">
        <v>0</v>
      </c>
      <c r="O575" t="n">
        <v>0</v>
      </c>
      <c r="P575" t="n">
        <v>0</v>
      </c>
      <c r="Q575" t="n">
        <v>0</v>
      </c>
      <c r="R575" s="2" t="inlineStr"/>
    </row>
    <row r="576" ht="15" customHeight="1">
      <c r="A576" t="inlineStr">
        <is>
          <t>A 1114-2026</t>
        </is>
      </c>
      <c r="B576" s="1" t="n">
        <v>46030.684375</v>
      </c>
      <c r="C576" s="1" t="n">
        <v>46035</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36832-2023</t>
        </is>
      </c>
      <c r="B577" s="1" t="n">
        <v>45153</v>
      </c>
      <c r="C577" s="1" t="n">
        <v>46035</v>
      </c>
      <c r="D577" t="inlineStr">
        <is>
          <t>SÖDERMANLANDS LÄN</t>
        </is>
      </c>
      <c r="E577" t="inlineStr">
        <is>
          <t>KATRINEHOLM</t>
        </is>
      </c>
      <c r="F577" t="inlineStr">
        <is>
          <t>Övriga Aktiebolag</t>
        </is>
      </c>
      <c r="G577" t="n">
        <v>9</v>
      </c>
      <c r="H577" t="n">
        <v>0</v>
      </c>
      <c r="I577" t="n">
        <v>0</v>
      </c>
      <c r="J577" t="n">
        <v>0</v>
      </c>
      <c r="K577" t="n">
        <v>0</v>
      </c>
      <c r="L577" t="n">
        <v>0</v>
      </c>
      <c r="M577" t="n">
        <v>0</v>
      </c>
      <c r="N577" t="n">
        <v>0</v>
      </c>
      <c r="O577" t="n">
        <v>0</v>
      </c>
      <c r="P577" t="n">
        <v>0</v>
      </c>
      <c r="Q577" t="n">
        <v>0</v>
      </c>
      <c r="R577" s="2" t="inlineStr"/>
    </row>
    <row r="578" ht="15" customHeight="1">
      <c r="A578" t="inlineStr">
        <is>
          <t>A 63895-2025</t>
        </is>
      </c>
      <c r="B578" s="1" t="n">
        <v>46020</v>
      </c>
      <c r="C578" s="1" t="n">
        <v>46035</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28931-2024</t>
        </is>
      </c>
      <c r="B579" s="1" t="n">
        <v>45479</v>
      </c>
      <c r="C579" s="1" t="n">
        <v>46035</v>
      </c>
      <c r="D579" t="inlineStr">
        <is>
          <t>SÖDERMANLANDS LÄN</t>
        </is>
      </c>
      <c r="E579" t="inlineStr">
        <is>
          <t>KATRINEHOLM</t>
        </is>
      </c>
      <c r="G579" t="n">
        <v>7.4</v>
      </c>
      <c r="H579" t="n">
        <v>0</v>
      </c>
      <c r="I579" t="n">
        <v>0</v>
      </c>
      <c r="J579" t="n">
        <v>0</v>
      </c>
      <c r="K579" t="n">
        <v>0</v>
      </c>
      <c r="L579" t="n">
        <v>0</v>
      </c>
      <c r="M579" t="n">
        <v>0</v>
      </c>
      <c r="N579" t="n">
        <v>0</v>
      </c>
      <c r="O579" t="n">
        <v>0</v>
      </c>
      <c r="P579" t="n">
        <v>0</v>
      </c>
      <c r="Q579" t="n">
        <v>0</v>
      </c>
      <c r="R579" s="2" t="inlineStr"/>
    </row>
    <row r="580" ht="15" customHeight="1">
      <c r="A580" t="inlineStr">
        <is>
          <t>A 6810-2023</t>
        </is>
      </c>
      <c r="B580" s="1" t="n">
        <v>44964</v>
      </c>
      <c r="C580" s="1" t="n">
        <v>46035</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32944-2023</t>
        </is>
      </c>
      <c r="B581" s="1" t="n">
        <v>45125</v>
      </c>
      <c r="C581" s="1" t="n">
        <v>46035</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1098-2026</t>
        </is>
      </c>
      <c r="B582" s="1" t="n">
        <v>46030.66519675926</v>
      </c>
      <c r="C582" s="1" t="n">
        <v>46035</v>
      </c>
      <c r="D582" t="inlineStr">
        <is>
          <t>SÖDERMANLANDS LÄN</t>
        </is>
      </c>
      <c r="E582" t="inlineStr">
        <is>
          <t>KATRINEHOLM</t>
        </is>
      </c>
      <c r="G582" t="n">
        <v>3.4</v>
      </c>
      <c r="H582" t="n">
        <v>0</v>
      </c>
      <c r="I582" t="n">
        <v>0</v>
      </c>
      <c r="J582" t="n">
        <v>0</v>
      </c>
      <c r="K582" t="n">
        <v>0</v>
      </c>
      <c r="L582" t="n">
        <v>0</v>
      </c>
      <c r="M582" t="n">
        <v>0</v>
      </c>
      <c r="N582" t="n">
        <v>0</v>
      </c>
      <c r="O582" t="n">
        <v>0</v>
      </c>
      <c r="P582" t="n">
        <v>0</v>
      </c>
      <c r="Q582" t="n">
        <v>0</v>
      </c>
      <c r="R582" s="2" t="inlineStr"/>
    </row>
    <row r="583" ht="15" customHeight="1">
      <c r="A583" t="inlineStr">
        <is>
          <t>A 1112-2026</t>
        </is>
      </c>
      <c r="B583" s="1" t="n">
        <v>46030.68107638889</v>
      </c>
      <c r="C583" s="1" t="n">
        <v>46035</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29977-2023</t>
        </is>
      </c>
      <c r="B584" s="1" t="n">
        <v>45108</v>
      </c>
      <c r="C584" s="1" t="n">
        <v>46035</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5788-2022</t>
        </is>
      </c>
      <c r="B585" s="1" t="n">
        <v>44596.54990740741</v>
      </c>
      <c r="C585" s="1" t="n">
        <v>46035</v>
      </c>
      <c r="D585" t="inlineStr">
        <is>
          <t>SÖDERMANLANDS LÄN</t>
        </is>
      </c>
      <c r="E585" t="inlineStr">
        <is>
          <t>KATRINEHOLM</t>
        </is>
      </c>
      <c r="G585" t="n">
        <v>4.1</v>
      </c>
      <c r="H585" t="n">
        <v>0</v>
      </c>
      <c r="I585" t="n">
        <v>0</v>
      </c>
      <c r="J585" t="n">
        <v>0</v>
      </c>
      <c r="K585" t="n">
        <v>0</v>
      </c>
      <c r="L585" t="n">
        <v>0</v>
      </c>
      <c r="M585" t="n">
        <v>0</v>
      </c>
      <c r="N585" t="n">
        <v>0</v>
      </c>
      <c r="O585" t="n">
        <v>0</v>
      </c>
      <c r="P585" t="n">
        <v>0</v>
      </c>
      <c r="Q585" t="n">
        <v>0</v>
      </c>
      <c r="R585" s="2" t="inlineStr"/>
    </row>
    <row r="586" ht="15" customHeight="1">
      <c r="A586" t="inlineStr">
        <is>
          <t>A 20803-2024</t>
        </is>
      </c>
      <c r="B586" s="1" t="n">
        <v>45438</v>
      </c>
      <c r="C586" s="1" t="n">
        <v>46035</v>
      </c>
      <c r="D586" t="inlineStr">
        <is>
          <t>SÖDERMANLANDS LÄN</t>
        </is>
      </c>
      <c r="E586" t="inlineStr">
        <is>
          <t>KATRINEHOLM</t>
        </is>
      </c>
      <c r="G586" t="n">
        <v>1.5</v>
      </c>
      <c r="H586" t="n">
        <v>0</v>
      </c>
      <c r="I586" t="n">
        <v>0</v>
      </c>
      <c r="J586" t="n">
        <v>0</v>
      </c>
      <c r="K586" t="n">
        <v>0</v>
      </c>
      <c r="L586" t="n">
        <v>0</v>
      </c>
      <c r="M586" t="n">
        <v>0</v>
      </c>
      <c r="N586" t="n">
        <v>0</v>
      </c>
      <c r="O586" t="n">
        <v>0</v>
      </c>
      <c r="P586" t="n">
        <v>0</v>
      </c>
      <c r="Q586" t="n">
        <v>0</v>
      </c>
      <c r="R586" s="2" t="inlineStr"/>
    </row>
    <row r="587" ht="15" customHeight="1">
      <c r="A587" t="inlineStr">
        <is>
          <t>A 5795-2022</t>
        </is>
      </c>
      <c r="B587" s="1" t="n">
        <v>44596</v>
      </c>
      <c r="C587" s="1" t="n">
        <v>46035</v>
      </c>
      <c r="D587" t="inlineStr">
        <is>
          <t>SÖDERMANLANDS LÄN</t>
        </is>
      </c>
      <c r="E587" t="inlineStr">
        <is>
          <t>KATRINEHOLM</t>
        </is>
      </c>
      <c r="G587" t="n">
        <v>8.1</v>
      </c>
      <c r="H587" t="n">
        <v>0</v>
      </c>
      <c r="I587" t="n">
        <v>0</v>
      </c>
      <c r="J587" t="n">
        <v>0</v>
      </c>
      <c r="K587" t="n">
        <v>0</v>
      </c>
      <c r="L587" t="n">
        <v>0</v>
      </c>
      <c r="M587" t="n">
        <v>0</v>
      </c>
      <c r="N587" t="n">
        <v>0</v>
      </c>
      <c r="O587" t="n">
        <v>0</v>
      </c>
      <c r="P587" t="n">
        <v>0</v>
      </c>
      <c r="Q587" t="n">
        <v>0</v>
      </c>
      <c r="R587" s="2" t="inlineStr"/>
    </row>
    <row r="588" ht="15" customHeight="1">
      <c r="A588" t="inlineStr">
        <is>
          <t>A 3075-2022</t>
        </is>
      </c>
      <c r="B588" s="1" t="n">
        <v>44582</v>
      </c>
      <c r="C588" s="1" t="n">
        <v>46035</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1260-2026</t>
        </is>
      </c>
      <c r="B589" s="1" t="n">
        <v>46031.45652777778</v>
      </c>
      <c r="C589" s="1" t="n">
        <v>46035</v>
      </c>
      <c r="D589" t="inlineStr">
        <is>
          <t>SÖDERMANLANDS LÄN</t>
        </is>
      </c>
      <c r="E589" t="inlineStr">
        <is>
          <t>KATRINEHOLM</t>
        </is>
      </c>
      <c r="G589" t="n">
        <v>9.1</v>
      </c>
      <c r="H589" t="n">
        <v>0</v>
      </c>
      <c r="I589" t="n">
        <v>0</v>
      </c>
      <c r="J589" t="n">
        <v>0</v>
      </c>
      <c r="K589" t="n">
        <v>0</v>
      </c>
      <c r="L589" t="n">
        <v>0</v>
      </c>
      <c r="M589" t="n">
        <v>0</v>
      </c>
      <c r="N589" t="n">
        <v>0</v>
      </c>
      <c r="O589" t="n">
        <v>0</v>
      </c>
      <c r="P589" t="n">
        <v>0</v>
      </c>
      <c r="Q589" t="n">
        <v>0</v>
      </c>
      <c r="R589" s="2" t="inlineStr"/>
    </row>
    <row r="590" ht="15" customHeight="1">
      <c r="A590" t="inlineStr">
        <is>
          <t>A 73409-2021</t>
        </is>
      </c>
      <c r="B590" s="1" t="n">
        <v>44551</v>
      </c>
      <c r="C590" s="1" t="n">
        <v>46035</v>
      </c>
      <c r="D590" t="inlineStr">
        <is>
          <t>SÖDERMANLANDS LÄN</t>
        </is>
      </c>
      <c r="E590" t="inlineStr">
        <is>
          <t>KATRINEHOLM</t>
        </is>
      </c>
      <c r="G590" t="n">
        <v>1.7</v>
      </c>
      <c r="H590" t="n">
        <v>0</v>
      </c>
      <c r="I590" t="n">
        <v>0</v>
      </c>
      <c r="J590" t="n">
        <v>0</v>
      </c>
      <c r="K590" t="n">
        <v>0</v>
      </c>
      <c r="L590" t="n">
        <v>0</v>
      </c>
      <c r="M590" t="n">
        <v>0</v>
      </c>
      <c r="N590" t="n">
        <v>0</v>
      </c>
      <c r="O590" t="n">
        <v>0</v>
      </c>
      <c r="P590" t="n">
        <v>0</v>
      </c>
      <c r="Q590" t="n">
        <v>0</v>
      </c>
      <c r="R590" s="2" t="inlineStr"/>
    </row>
    <row r="591" ht="15" customHeight="1">
      <c r="A591" t="inlineStr">
        <is>
          <t>A 73415-2021</t>
        </is>
      </c>
      <c r="B591" s="1" t="n">
        <v>44551</v>
      </c>
      <c r="C591" s="1" t="n">
        <v>46035</v>
      </c>
      <c r="D591" t="inlineStr">
        <is>
          <t>SÖDERMANLANDS LÄN</t>
        </is>
      </c>
      <c r="E591" t="inlineStr">
        <is>
          <t>KATRINEHOLM</t>
        </is>
      </c>
      <c r="G591" t="n">
        <v>3.2</v>
      </c>
      <c r="H591" t="n">
        <v>0</v>
      </c>
      <c r="I591" t="n">
        <v>0</v>
      </c>
      <c r="J591" t="n">
        <v>0</v>
      </c>
      <c r="K591" t="n">
        <v>0</v>
      </c>
      <c r="L591" t="n">
        <v>0</v>
      </c>
      <c r="M591" t="n">
        <v>0</v>
      </c>
      <c r="N591" t="n">
        <v>0</v>
      </c>
      <c r="O591" t="n">
        <v>0</v>
      </c>
      <c r="P591" t="n">
        <v>0</v>
      </c>
      <c r="Q591" t="n">
        <v>0</v>
      </c>
      <c r="R591" s="2" t="inlineStr"/>
    </row>
    <row r="592" ht="15" customHeight="1">
      <c r="A592" t="inlineStr">
        <is>
          <t>A 8087-2022</t>
        </is>
      </c>
      <c r="B592" s="1" t="n">
        <v>44609.53502314815</v>
      </c>
      <c r="C592" s="1" t="n">
        <v>46035</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50935-2023</t>
        </is>
      </c>
      <c r="B593" s="1" t="n">
        <v>45211</v>
      </c>
      <c r="C593" s="1" t="n">
        <v>46035</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6298-2024</t>
        </is>
      </c>
      <c r="B594" s="1" t="n">
        <v>45338.34245370371</v>
      </c>
      <c r="C594" s="1" t="n">
        <v>46035</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33001-2024</t>
        </is>
      </c>
      <c r="B595" s="1" t="n">
        <v>45517</v>
      </c>
      <c r="C595" s="1" t="n">
        <v>46035</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58175-2024</t>
        </is>
      </c>
      <c r="B596" s="1" t="n">
        <v>45632.46648148148</v>
      </c>
      <c r="C596" s="1" t="n">
        <v>46035</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53715-2023</t>
        </is>
      </c>
      <c r="B597" s="1" t="n">
        <v>45230</v>
      </c>
      <c r="C597" s="1" t="n">
        <v>46035</v>
      </c>
      <c r="D597" t="inlineStr">
        <is>
          <t>SÖDERMANLANDS LÄN</t>
        </is>
      </c>
      <c r="E597" t="inlineStr">
        <is>
          <t>KATRINEHOLM</t>
        </is>
      </c>
      <c r="F597" t="inlineStr">
        <is>
          <t>Allmännings- och besparingsskogar</t>
        </is>
      </c>
      <c r="G597" t="n">
        <v>5.6</v>
      </c>
      <c r="H597" t="n">
        <v>0</v>
      </c>
      <c r="I597" t="n">
        <v>0</v>
      </c>
      <c r="J597" t="n">
        <v>0</v>
      </c>
      <c r="K597" t="n">
        <v>0</v>
      </c>
      <c r="L597" t="n">
        <v>0</v>
      </c>
      <c r="M597" t="n">
        <v>0</v>
      </c>
      <c r="N597" t="n">
        <v>0</v>
      </c>
      <c r="O597" t="n">
        <v>0</v>
      </c>
      <c r="P597" t="n">
        <v>0</v>
      </c>
      <c r="Q597" t="n">
        <v>0</v>
      </c>
      <c r="R597" s="2" t="inlineStr"/>
    </row>
    <row r="598" ht="15" customHeight="1">
      <c r="A598" t="inlineStr">
        <is>
          <t>A 23705-2023</t>
        </is>
      </c>
      <c r="B598" s="1" t="n">
        <v>45077</v>
      </c>
      <c r="C598" s="1" t="n">
        <v>46035</v>
      </c>
      <c r="D598" t="inlineStr">
        <is>
          <t>SÖDERMANLANDS LÄN</t>
        </is>
      </c>
      <c r="E598" t="inlineStr">
        <is>
          <t>KATRINEHOLM</t>
        </is>
      </c>
      <c r="F598" t="inlineStr">
        <is>
          <t>Kyrkan</t>
        </is>
      </c>
      <c r="G598" t="n">
        <v>11.9</v>
      </c>
      <c r="H598" t="n">
        <v>0</v>
      </c>
      <c r="I598" t="n">
        <v>0</v>
      </c>
      <c r="J598" t="n">
        <v>0</v>
      </c>
      <c r="K598" t="n">
        <v>0</v>
      </c>
      <c r="L598" t="n">
        <v>0</v>
      </c>
      <c r="M598" t="n">
        <v>0</v>
      </c>
      <c r="N598" t="n">
        <v>0</v>
      </c>
      <c r="O598" t="n">
        <v>0</v>
      </c>
      <c r="P598" t="n">
        <v>0</v>
      </c>
      <c r="Q598" t="n">
        <v>0</v>
      </c>
      <c r="R598" s="2" t="inlineStr"/>
    </row>
    <row r="599" ht="15" customHeight="1">
      <c r="A599" t="inlineStr">
        <is>
          <t>A 1668-2026</t>
        </is>
      </c>
      <c r="B599" s="1" t="n">
        <v>46034.55986111111</v>
      </c>
      <c r="C599" s="1" t="n">
        <v>46035</v>
      </c>
      <c r="D599" t="inlineStr">
        <is>
          <t>SÖDERMANLANDS LÄN</t>
        </is>
      </c>
      <c r="E599" t="inlineStr">
        <is>
          <t>KATRINEHOLM</t>
        </is>
      </c>
      <c r="G599" t="n">
        <v>4.1</v>
      </c>
      <c r="H599" t="n">
        <v>0</v>
      </c>
      <c r="I599" t="n">
        <v>0</v>
      </c>
      <c r="J599" t="n">
        <v>0</v>
      </c>
      <c r="K599" t="n">
        <v>0</v>
      </c>
      <c r="L599" t="n">
        <v>0</v>
      </c>
      <c r="M599" t="n">
        <v>0</v>
      </c>
      <c r="N599" t="n">
        <v>0</v>
      </c>
      <c r="O599" t="n">
        <v>0</v>
      </c>
      <c r="P599" t="n">
        <v>0</v>
      </c>
      <c r="Q599" t="n">
        <v>0</v>
      </c>
      <c r="R599" s="2" t="inlineStr"/>
    </row>
    <row r="600" ht="15" customHeight="1">
      <c r="A600" t="inlineStr">
        <is>
          <t>A 39120-2023</t>
        </is>
      </c>
      <c r="B600" s="1" t="n">
        <v>45165</v>
      </c>
      <c r="C600" s="1" t="n">
        <v>46035</v>
      </c>
      <c r="D600" t="inlineStr">
        <is>
          <t>SÖDERMANLANDS LÄN</t>
        </is>
      </c>
      <c r="E600" t="inlineStr">
        <is>
          <t>KATRINEHOLM</t>
        </is>
      </c>
      <c r="G600" t="n">
        <v>4.4</v>
      </c>
      <c r="H600" t="n">
        <v>0</v>
      </c>
      <c r="I600" t="n">
        <v>0</v>
      </c>
      <c r="J600" t="n">
        <v>0</v>
      </c>
      <c r="K600" t="n">
        <v>0</v>
      </c>
      <c r="L600" t="n">
        <v>0</v>
      </c>
      <c r="M600" t="n">
        <v>0</v>
      </c>
      <c r="N600" t="n">
        <v>0</v>
      </c>
      <c r="O600" t="n">
        <v>0</v>
      </c>
      <c r="P600" t="n">
        <v>0</v>
      </c>
      <c r="Q600" t="n">
        <v>0</v>
      </c>
      <c r="R600" s="2" t="inlineStr"/>
    </row>
    <row r="601" ht="15" customHeight="1">
      <c r="A601" t="inlineStr">
        <is>
          <t>A 51397-2023</t>
        </is>
      </c>
      <c r="B601" s="1" t="n">
        <v>45214</v>
      </c>
      <c r="C601" s="1" t="n">
        <v>46035</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19452-2023</t>
        </is>
      </c>
      <c r="B602" s="1" t="n">
        <v>45050</v>
      </c>
      <c r="C602" s="1" t="n">
        <v>46035</v>
      </c>
      <c r="D602" t="inlineStr">
        <is>
          <t>SÖDERMANLANDS LÄN</t>
        </is>
      </c>
      <c r="E602" t="inlineStr">
        <is>
          <t>KATRINEHOLM</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52658-2023</t>
        </is>
      </c>
      <c r="B603" s="1" t="n">
        <v>45225</v>
      </c>
      <c r="C603" s="1" t="n">
        <v>46035</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5320-2025</t>
        </is>
      </c>
      <c r="B604" s="1" t="n">
        <v>45692</v>
      </c>
      <c r="C604" s="1" t="n">
        <v>46035</v>
      </c>
      <c r="D604" t="inlineStr">
        <is>
          <t>SÖDERMANLANDS LÄN</t>
        </is>
      </c>
      <c r="E604" t="inlineStr">
        <is>
          <t>KATRINEHOLM</t>
        </is>
      </c>
      <c r="F604" t="inlineStr">
        <is>
          <t>Kommuner</t>
        </is>
      </c>
      <c r="G604" t="n">
        <v>0.9</v>
      </c>
      <c r="H604" t="n">
        <v>0</v>
      </c>
      <c r="I604" t="n">
        <v>0</v>
      </c>
      <c r="J604" t="n">
        <v>0</v>
      </c>
      <c r="K604" t="n">
        <v>0</v>
      </c>
      <c r="L604" t="n">
        <v>0</v>
      </c>
      <c r="M604" t="n">
        <v>0</v>
      </c>
      <c r="N604" t="n">
        <v>0</v>
      </c>
      <c r="O604" t="n">
        <v>0</v>
      </c>
      <c r="P604" t="n">
        <v>0</v>
      </c>
      <c r="Q604" t="n">
        <v>0</v>
      </c>
      <c r="R604" s="2" t="inlineStr"/>
    </row>
    <row r="605" ht="15" customHeight="1">
      <c r="A605" t="inlineStr">
        <is>
          <t>A 2606-2025</t>
        </is>
      </c>
      <c r="B605" s="1" t="n">
        <v>45674</v>
      </c>
      <c r="C605" s="1" t="n">
        <v>46035</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39748-2022</t>
        </is>
      </c>
      <c r="B606" s="1" t="n">
        <v>44817</v>
      </c>
      <c r="C606" s="1" t="n">
        <v>46035</v>
      </c>
      <c r="D606" t="inlineStr">
        <is>
          <t>SÖDERMANLANDS LÄN</t>
        </is>
      </c>
      <c r="E606" t="inlineStr">
        <is>
          <t>KATRINEHOLM</t>
        </is>
      </c>
      <c r="G606" t="n">
        <v>10.2</v>
      </c>
      <c r="H606" t="n">
        <v>0</v>
      </c>
      <c r="I606" t="n">
        <v>0</v>
      </c>
      <c r="J606" t="n">
        <v>0</v>
      </c>
      <c r="K606" t="n">
        <v>0</v>
      </c>
      <c r="L606" t="n">
        <v>0</v>
      </c>
      <c r="M606" t="n">
        <v>0</v>
      </c>
      <c r="N606" t="n">
        <v>0</v>
      </c>
      <c r="O606" t="n">
        <v>0</v>
      </c>
      <c r="P606" t="n">
        <v>0</v>
      </c>
      <c r="Q606" t="n">
        <v>0</v>
      </c>
      <c r="R606" s="2" t="inlineStr"/>
    </row>
    <row r="607" ht="15" customHeight="1">
      <c r="A607" t="inlineStr">
        <is>
          <t>A 34731-2023</t>
        </is>
      </c>
      <c r="B607" s="1" t="n">
        <v>45141</v>
      </c>
      <c r="C607" s="1" t="n">
        <v>46035</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34739-2023</t>
        </is>
      </c>
      <c r="B608" s="1" t="n">
        <v>45141</v>
      </c>
      <c r="C608" s="1" t="n">
        <v>46035</v>
      </c>
      <c r="D608" t="inlineStr">
        <is>
          <t>SÖDERMANLANDS LÄN</t>
        </is>
      </c>
      <c r="E608" t="inlineStr">
        <is>
          <t>KATRINEHOLM</t>
        </is>
      </c>
      <c r="G608" t="n">
        <v>1.4</v>
      </c>
      <c r="H608" t="n">
        <v>0</v>
      </c>
      <c r="I608" t="n">
        <v>0</v>
      </c>
      <c r="J608" t="n">
        <v>0</v>
      </c>
      <c r="K608" t="n">
        <v>0</v>
      </c>
      <c r="L608" t="n">
        <v>0</v>
      </c>
      <c r="M608" t="n">
        <v>0</v>
      </c>
      <c r="N608" t="n">
        <v>0</v>
      </c>
      <c r="O608" t="n">
        <v>0</v>
      </c>
      <c r="P608" t="n">
        <v>0</v>
      </c>
      <c r="Q608" t="n">
        <v>0</v>
      </c>
      <c r="R608" s="2" t="inlineStr"/>
    </row>
    <row r="609" ht="15" customHeight="1">
      <c r="A609" t="inlineStr">
        <is>
          <t>A 20480-2022</t>
        </is>
      </c>
      <c r="B609" s="1" t="n">
        <v>44699</v>
      </c>
      <c r="C609" s="1" t="n">
        <v>46035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50017-2023</t>
        </is>
      </c>
      <c r="B610" s="1" t="n">
        <v>45215</v>
      </c>
      <c r="C610" s="1" t="n">
        <v>46035</v>
      </c>
      <c r="D610" t="inlineStr">
        <is>
          <t>SÖDERMANLANDS LÄN</t>
        </is>
      </c>
      <c r="E610" t="inlineStr">
        <is>
          <t>KATRINEHOLM</t>
        </is>
      </c>
      <c r="G610" t="n">
        <v>0.9</v>
      </c>
      <c r="H610" t="n">
        <v>0</v>
      </c>
      <c r="I610" t="n">
        <v>0</v>
      </c>
      <c r="J610" t="n">
        <v>0</v>
      </c>
      <c r="K610" t="n">
        <v>0</v>
      </c>
      <c r="L610" t="n">
        <v>0</v>
      </c>
      <c r="M610" t="n">
        <v>0</v>
      </c>
      <c r="N610" t="n">
        <v>0</v>
      </c>
      <c r="O610" t="n">
        <v>0</v>
      </c>
      <c r="P610" t="n">
        <v>0</v>
      </c>
      <c r="Q610" t="n">
        <v>0</v>
      </c>
      <c r="R610" s="2" t="inlineStr"/>
    </row>
    <row r="611" ht="15" customHeight="1">
      <c r="A611" t="inlineStr">
        <is>
          <t>A 50018-2023</t>
        </is>
      </c>
      <c r="B611" s="1" t="n">
        <v>45215</v>
      </c>
      <c r="C611" s="1" t="n">
        <v>46035</v>
      </c>
      <c r="D611" t="inlineStr">
        <is>
          <t>SÖDERMANLANDS LÄN</t>
        </is>
      </c>
      <c r="E611" t="inlineStr">
        <is>
          <t>KATRINEHOLM</t>
        </is>
      </c>
      <c r="G611" t="n">
        <v>2.4</v>
      </c>
      <c r="H611" t="n">
        <v>0</v>
      </c>
      <c r="I611" t="n">
        <v>0</v>
      </c>
      <c r="J611" t="n">
        <v>0</v>
      </c>
      <c r="K611" t="n">
        <v>0</v>
      </c>
      <c r="L611" t="n">
        <v>0</v>
      </c>
      <c r="M611" t="n">
        <v>0</v>
      </c>
      <c r="N611" t="n">
        <v>0</v>
      </c>
      <c r="O611" t="n">
        <v>0</v>
      </c>
      <c r="P611" t="n">
        <v>0</v>
      </c>
      <c r="Q611" t="n">
        <v>0</v>
      </c>
      <c r="R611" s="2" t="inlineStr"/>
    </row>
    <row r="612" ht="15" customHeight="1">
      <c r="A612" t="inlineStr">
        <is>
          <t>A 28508-2023</t>
        </is>
      </c>
      <c r="B612" s="1" t="n">
        <v>45103.46788194445</v>
      </c>
      <c r="C612" s="1" t="n">
        <v>46035</v>
      </c>
      <c r="D612" t="inlineStr">
        <is>
          <t>SÖDERMANLANDS LÄN</t>
        </is>
      </c>
      <c r="E612" t="inlineStr">
        <is>
          <t>KATRINEHOLM</t>
        </is>
      </c>
      <c r="F612" t="inlineStr">
        <is>
          <t>Kyrkan</t>
        </is>
      </c>
      <c r="G612" t="n">
        <v>20.5</v>
      </c>
      <c r="H612" t="n">
        <v>0</v>
      </c>
      <c r="I612" t="n">
        <v>0</v>
      </c>
      <c r="J612" t="n">
        <v>0</v>
      </c>
      <c r="K612" t="n">
        <v>0</v>
      </c>
      <c r="L612" t="n">
        <v>0</v>
      </c>
      <c r="M612" t="n">
        <v>0</v>
      </c>
      <c r="N612" t="n">
        <v>0</v>
      </c>
      <c r="O612" t="n">
        <v>0</v>
      </c>
      <c r="P612" t="n">
        <v>0</v>
      </c>
      <c r="Q612" t="n">
        <v>0</v>
      </c>
      <c r="R612" s="2" t="inlineStr"/>
    </row>
    <row r="613" ht="15" customHeight="1">
      <c r="A613" t="inlineStr">
        <is>
          <t>A 46075-2023</t>
        </is>
      </c>
      <c r="B613" s="1" t="n">
        <v>45196</v>
      </c>
      <c r="C613" s="1" t="n">
        <v>46035</v>
      </c>
      <c r="D613" t="inlineStr">
        <is>
          <t>SÖDERMANLANDS LÄN</t>
        </is>
      </c>
      <c r="E613" t="inlineStr">
        <is>
          <t>KATRINEHOLM</t>
        </is>
      </c>
      <c r="F613" t="inlineStr">
        <is>
          <t>Övriga Aktiebolag</t>
        </is>
      </c>
      <c r="G613" t="n">
        <v>9.5</v>
      </c>
      <c r="H613" t="n">
        <v>0</v>
      </c>
      <c r="I613" t="n">
        <v>0</v>
      </c>
      <c r="J613" t="n">
        <v>0</v>
      </c>
      <c r="K613" t="n">
        <v>0</v>
      </c>
      <c r="L613" t="n">
        <v>0</v>
      </c>
      <c r="M613" t="n">
        <v>0</v>
      </c>
      <c r="N613" t="n">
        <v>0</v>
      </c>
      <c r="O613" t="n">
        <v>0</v>
      </c>
      <c r="P613" t="n">
        <v>0</v>
      </c>
      <c r="Q613" t="n">
        <v>0</v>
      </c>
      <c r="R613" s="2" t="inlineStr"/>
    </row>
    <row r="614" ht="15" customHeight="1">
      <c r="A614" t="inlineStr">
        <is>
          <t>A 25823-2023</t>
        </is>
      </c>
      <c r="B614" s="1" t="n">
        <v>45090.55078703703</v>
      </c>
      <c r="C614" s="1" t="n">
        <v>46035</v>
      </c>
      <c r="D614" t="inlineStr">
        <is>
          <t>SÖDERMANLANDS LÄN</t>
        </is>
      </c>
      <c r="E614" t="inlineStr">
        <is>
          <t>KATRINEHOLM</t>
        </is>
      </c>
      <c r="F614" t="inlineStr">
        <is>
          <t>Kyrkan</t>
        </is>
      </c>
      <c r="G614" t="n">
        <v>10.2</v>
      </c>
      <c r="H614" t="n">
        <v>0</v>
      </c>
      <c r="I614" t="n">
        <v>0</v>
      </c>
      <c r="J614" t="n">
        <v>0</v>
      </c>
      <c r="K614" t="n">
        <v>0</v>
      </c>
      <c r="L614" t="n">
        <v>0</v>
      </c>
      <c r="M614" t="n">
        <v>0</v>
      </c>
      <c r="N614" t="n">
        <v>0</v>
      </c>
      <c r="O614" t="n">
        <v>0</v>
      </c>
      <c r="P614" t="n">
        <v>0</v>
      </c>
      <c r="Q614" t="n">
        <v>0</v>
      </c>
      <c r="R614" s="2" t="inlineStr"/>
    </row>
    <row r="615" ht="15" customHeight="1">
      <c r="A615" t="inlineStr">
        <is>
          <t>A 17360-2022</t>
        </is>
      </c>
      <c r="B615" s="1" t="n">
        <v>44678</v>
      </c>
      <c r="C615" s="1" t="n">
        <v>46035</v>
      </c>
      <c r="D615" t="inlineStr">
        <is>
          <t>SÖDERMANLANDS LÄN</t>
        </is>
      </c>
      <c r="E615" t="inlineStr">
        <is>
          <t>KATRINEHOLM</t>
        </is>
      </c>
      <c r="G615" t="n">
        <v>4.5</v>
      </c>
      <c r="H615" t="n">
        <v>0</v>
      </c>
      <c r="I615" t="n">
        <v>0</v>
      </c>
      <c r="J615" t="n">
        <v>0</v>
      </c>
      <c r="K615" t="n">
        <v>0</v>
      </c>
      <c r="L615" t="n">
        <v>0</v>
      </c>
      <c r="M615" t="n">
        <v>0</v>
      </c>
      <c r="N615" t="n">
        <v>0</v>
      </c>
      <c r="O615" t="n">
        <v>0</v>
      </c>
      <c r="P615" t="n">
        <v>0</v>
      </c>
      <c r="Q615" t="n">
        <v>0</v>
      </c>
      <c r="R615" s="2" t="inlineStr"/>
    </row>
    <row r="616" ht="15" customHeight="1">
      <c r="A616" t="inlineStr">
        <is>
          <t>A 22295-2024</t>
        </is>
      </c>
      <c r="B616" s="1" t="n">
        <v>45446.56141203704</v>
      </c>
      <c r="C616" s="1" t="n">
        <v>46035</v>
      </c>
      <c r="D616" t="inlineStr">
        <is>
          <t>SÖDERMANLANDS LÄN</t>
        </is>
      </c>
      <c r="E616" t="inlineStr">
        <is>
          <t>KATRINEHOLM</t>
        </is>
      </c>
      <c r="F616" t="inlineStr">
        <is>
          <t>Kommuner</t>
        </is>
      </c>
      <c r="G616" t="n">
        <v>1.2</v>
      </c>
      <c r="H616" t="n">
        <v>0</v>
      </c>
      <c r="I616" t="n">
        <v>0</v>
      </c>
      <c r="J616" t="n">
        <v>0</v>
      </c>
      <c r="K616" t="n">
        <v>0</v>
      </c>
      <c r="L616" t="n">
        <v>0</v>
      </c>
      <c r="M616" t="n">
        <v>0</v>
      </c>
      <c r="N616" t="n">
        <v>0</v>
      </c>
      <c r="O616" t="n">
        <v>0</v>
      </c>
      <c r="P616" t="n">
        <v>0</v>
      </c>
      <c r="Q616" t="n">
        <v>0</v>
      </c>
      <c r="R616" s="2" t="inlineStr"/>
    </row>
    <row r="617" ht="15" customHeight="1">
      <c r="A617" t="inlineStr">
        <is>
          <t>A 46700-2023</t>
        </is>
      </c>
      <c r="B617" s="1" t="n">
        <v>45194</v>
      </c>
      <c r="C617" s="1" t="n">
        <v>46035</v>
      </c>
      <c r="D617" t="inlineStr">
        <is>
          <t>SÖDERMANLANDS LÄN</t>
        </is>
      </c>
      <c r="E617" t="inlineStr">
        <is>
          <t>KATRINEHOLM</t>
        </is>
      </c>
      <c r="G617" t="n">
        <v>3</v>
      </c>
      <c r="H617" t="n">
        <v>0</v>
      </c>
      <c r="I617" t="n">
        <v>0</v>
      </c>
      <c r="J617" t="n">
        <v>0</v>
      </c>
      <c r="K617" t="n">
        <v>0</v>
      </c>
      <c r="L617" t="n">
        <v>0</v>
      </c>
      <c r="M617" t="n">
        <v>0</v>
      </c>
      <c r="N617" t="n">
        <v>0</v>
      </c>
      <c r="O617" t="n">
        <v>0</v>
      </c>
      <c r="P617" t="n">
        <v>0</v>
      </c>
      <c r="Q617" t="n">
        <v>0</v>
      </c>
      <c r="R617" s="2" t="inlineStr"/>
    </row>
    <row r="618" ht="15" customHeight="1">
      <c r="A618" t="inlineStr">
        <is>
          <t>A 55590-2023</t>
        </is>
      </c>
      <c r="B618" s="1" t="n">
        <v>45238</v>
      </c>
      <c r="C618" s="1" t="n">
        <v>46035</v>
      </c>
      <c r="D618" t="inlineStr">
        <is>
          <t>SÖDERMANLANDS LÄN</t>
        </is>
      </c>
      <c r="E618" t="inlineStr">
        <is>
          <t>KATRINEHOLM</t>
        </is>
      </c>
      <c r="G618" t="n">
        <v>4.5</v>
      </c>
      <c r="H618" t="n">
        <v>0</v>
      </c>
      <c r="I618" t="n">
        <v>0</v>
      </c>
      <c r="J618" t="n">
        <v>0</v>
      </c>
      <c r="K618" t="n">
        <v>0</v>
      </c>
      <c r="L618" t="n">
        <v>0</v>
      </c>
      <c r="M618" t="n">
        <v>0</v>
      </c>
      <c r="N618" t="n">
        <v>0</v>
      </c>
      <c r="O618" t="n">
        <v>0</v>
      </c>
      <c r="P618" t="n">
        <v>0</v>
      </c>
      <c r="Q618" t="n">
        <v>0</v>
      </c>
      <c r="R618" s="2" t="inlineStr"/>
    </row>
    <row r="619" ht="15" customHeight="1">
      <c r="A619" t="inlineStr">
        <is>
          <t>A 15898-2022</t>
        </is>
      </c>
      <c r="B619" s="1" t="n">
        <v>44664.55688657407</v>
      </c>
      <c r="C619" s="1" t="n">
        <v>46035</v>
      </c>
      <c r="D619" t="inlineStr">
        <is>
          <t>SÖDERMANLANDS LÄN</t>
        </is>
      </c>
      <c r="E619" t="inlineStr">
        <is>
          <t>KATRINEHOLM</t>
        </is>
      </c>
      <c r="G619" t="n">
        <v>6.5</v>
      </c>
      <c r="H619" t="n">
        <v>0</v>
      </c>
      <c r="I619" t="n">
        <v>0</v>
      </c>
      <c r="J619" t="n">
        <v>0</v>
      </c>
      <c r="K619" t="n">
        <v>0</v>
      </c>
      <c r="L619" t="n">
        <v>0</v>
      </c>
      <c r="M619" t="n">
        <v>0</v>
      </c>
      <c r="N619" t="n">
        <v>0</v>
      </c>
      <c r="O619" t="n">
        <v>0</v>
      </c>
      <c r="P619" t="n">
        <v>0</v>
      </c>
      <c r="Q619" t="n">
        <v>0</v>
      </c>
      <c r="R619" s="2" t="inlineStr"/>
    </row>
    <row r="620" ht="15" customHeight="1">
      <c r="A620" t="inlineStr">
        <is>
          <t>A 15910-2022</t>
        </is>
      </c>
      <c r="B620" s="1" t="n">
        <v>44664</v>
      </c>
      <c r="C620" s="1" t="n">
        <v>46035</v>
      </c>
      <c r="D620" t="inlineStr">
        <is>
          <t>SÖDERMANLANDS LÄN</t>
        </is>
      </c>
      <c r="E620" t="inlineStr">
        <is>
          <t>KATRINEHOLM</t>
        </is>
      </c>
      <c r="G620" t="n">
        <v>5.6</v>
      </c>
      <c r="H620" t="n">
        <v>0</v>
      </c>
      <c r="I620" t="n">
        <v>0</v>
      </c>
      <c r="J620" t="n">
        <v>0</v>
      </c>
      <c r="K620" t="n">
        <v>0</v>
      </c>
      <c r="L620" t="n">
        <v>0</v>
      </c>
      <c r="M620" t="n">
        <v>0</v>
      </c>
      <c r="N620" t="n">
        <v>0</v>
      </c>
      <c r="O620" t="n">
        <v>0</v>
      </c>
      <c r="P620" t="n">
        <v>0</v>
      </c>
      <c r="Q620" t="n">
        <v>0</v>
      </c>
      <c r="R620" s="2" t="inlineStr"/>
    </row>
    <row r="621" ht="15" customHeight="1">
      <c r="A621" t="inlineStr">
        <is>
          <t>A 32818-2023</t>
        </is>
      </c>
      <c r="B621" s="1" t="n">
        <v>45124.55633101852</v>
      </c>
      <c r="C621" s="1" t="n">
        <v>46035</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20214-2025</t>
        </is>
      </c>
      <c r="B622" s="1" t="n">
        <v>45772.63540509259</v>
      </c>
      <c r="C622" s="1" t="n">
        <v>46035</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22272-2022</t>
        </is>
      </c>
      <c r="B623" s="1" t="n">
        <v>44712</v>
      </c>
      <c r="C623" s="1" t="n">
        <v>46035</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27334-2023</t>
        </is>
      </c>
      <c r="B624" s="1" t="n">
        <v>45096</v>
      </c>
      <c r="C624" s="1" t="n">
        <v>46035</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40186-2023</t>
        </is>
      </c>
      <c r="B625" s="1" t="n">
        <v>45169</v>
      </c>
      <c r="C625" s="1" t="n">
        <v>46035</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47886-2023</t>
        </is>
      </c>
      <c r="B626" s="1" t="n">
        <v>45204</v>
      </c>
      <c r="C626" s="1" t="n">
        <v>46035</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36562-2023</t>
        </is>
      </c>
      <c r="B627" s="1" t="n">
        <v>45153</v>
      </c>
      <c r="C627" s="1" t="n">
        <v>46035</v>
      </c>
      <c r="D627" t="inlineStr">
        <is>
          <t>SÖDERMANLANDS LÄN</t>
        </is>
      </c>
      <c r="E627" t="inlineStr">
        <is>
          <t>KATRINEHOLM</t>
        </is>
      </c>
      <c r="G627" t="n">
        <v>5.8</v>
      </c>
      <c r="H627" t="n">
        <v>0</v>
      </c>
      <c r="I627" t="n">
        <v>0</v>
      </c>
      <c r="J627" t="n">
        <v>0</v>
      </c>
      <c r="K627" t="n">
        <v>0</v>
      </c>
      <c r="L627" t="n">
        <v>0</v>
      </c>
      <c r="M627" t="n">
        <v>0</v>
      </c>
      <c r="N627" t="n">
        <v>0</v>
      </c>
      <c r="O627" t="n">
        <v>0</v>
      </c>
      <c r="P627" t="n">
        <v>0</v>
      </c>
      <c r="Q627" t="n">
        <v>0</v>
      </c>
      <c r="R627" s="2" t="inlineStr"/>
    </row>
    <row r="628" ht="15" customHeight="1">
      <c r="A628" t="inlineStr">
        <is>
          <t>A 34539-2022</t>
        </is>
      </c>
      <c r="B628" s="1" t="n">
        <v>44793.50563657407</v>
      </c>
      <c r="C628" s="1" t="n">
        <v>46035</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41205-2021</t>
        </is>
      </c>
      <c r="B629" s="1" t="n">
        <v>44424.38577546296</v>
      </c>
      <c r="C629" s="1" t="n">
        <v>46035</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24748-2024</t>
        </is>
      </c>
      <c r="B630" s="1" t="n">
        <v>45460.66567129629</v>
      </c>
      <c r="C630" s="1" t="n">
        <v>46035</v>
      </c>
      <c r="D630" t="inlineStr">
        <is>
          <t>SÖDERMANLANDS LÄN</t>
        </is>
      </c>
      <c r="E630" t="inlineStr">
        <is>
          <t>KATRINEHOLM</t>
        </is>
      </c>
      <c r="G630" t="n">
        <v>3.3</v>
      </c>
      <c r="H630" t="n">
        <v>0</v>
      </c>
      <c r="I630" t="n">
        <v>0</v>
      </c>
      <c r="J630" t="n">
        <v>0</v>
      </c>
      <c r="K630" t="n">
        <v>0</v>
      </c>
      <c r="L630" t="n">
        <v>0</v>
      </c>
      <c r="M630" t="n">
        <v>0</v>
      </c>
      <c r="N630" t="n">
        <v>0</v>
      </c>
      <c r="O630" t="n">
        <v>0</v>
      </c>
      <c r="P630" t="n">
        <v>0</v>
      </c>
      <c r="Q630" t="n">
        <v>0</v>
      </c>
      <c r="R630" s="2" t="inlineStr"/>
    </row>
    <row r="631" ht="15" customHeight="1">
      <c r="A631" t="inlineStr">
        <is>
          <t>A 2298-2021</t>
        </is>
      </c>
      <c r="B631" s="1" t="n">
        <v>44212</v>
      </c>
      <c r="C631" s="1" t="n">
        <v>46035</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40402-2022</t>
        </is>
      </c>
      <c r="B632" s="1" t="n">
        <v>44823.44353009259</v>
      </c>
      <c r="C632" s="1" t="n">
        <v>46035</v>
      </c>
      <c r="D632" t="inlineStr">
        <is>
          <t>SÖDERMANLANDS LÄN</t>
        </is>
      </c>
      <c r="E632" t="inlineStr">
        <is>
          <t>KATRINEHOLM</t>
        </is>
      </c>
      <c r="G632" t="n">
        <v>1.6</v>
      </c>
      <c r="H632" t="n">
        <v>0</v>
      </c>
      <c r="I632" t="n">
        <v>0</v>
      </c>
      <c r="J632" t="n">
        <v>0</v>
      </c>
      <c r="K632" t="n">
        <v>0</v>
      </c>
      <c r="L632" t="n">
        <v>0</v>
      </c>
      <c r="M632" t="n">
        <v>0</v>
      </c>
      <c r="N632" t="n">
        <v>0</v>
      </c>
      <c r="O632" t="n">
        <v>0</v>
      </c>
      <c r="P632" t="n">
        <v>0</v>
      </c>
      <c r="Q632" t="n">
        <v>0</v>
      </c>
      <c r="R632" s="2" t="inlineStr"/>
    </row>
    <row r="633" ht="15" customHeight="1">
      <c r="A633" t="inlineStr">
        <is>
          <t>A 17792-2025</t>
        </is>
      </c>
      <c r="B633" s="1" t="n">
        <v>45758</v>
      </c>
      <c r="C633" s="1" t="n">
        <v>46035</v>
      </c>
      <c r="D633" t="inlineStr">
        <is>
          <t>SÖDERMANLANDS LÄN</t>
        </is>
      </c>
      <c r="E633" t="inlineStr">
        <is>
          <t>KATRINEHOLM</t>
        </is>
      </c>
      <c r="G633" t="n">
        <v>4.2</v>
      </c>
      <c r="H633" t="n">
        <v>0</v>
      </c>
      <c r="I633" t="n">
        <v>0</v>
      </c>
      <c r="J633" t="n">
        <v>0</v>
      </c>
      <c r="K633" t="n">
        <v>0</v>
      </c>
      <c r="L633" t="n">
        <v>0</v>
      </c>
      <c r="M633" t="n">
        <v>0</v>
      </c>
      <c r="N633" t="n">
        <v>0</v>
      </c>
      <c r="O633" t="n">
        <v>0</v>
      </c>
      <c r="P633" t="n">
        <v>0</v>
      </c>
      <c r="Q633" t="n">
        <v>0</v>
      </c>
      <c r="R633" s="2" t="inlineStr"/>
    </row>
    <row r="634" ht="15" customHeight="1">
      <c r="A634" t="inlineStr">
        <is>
          <t>A 17820-2025</t>
        </is>
      </c>
      <c r="B634" s="1" t="n">
        <v>45758</v>
      </c>
      <c r="C634" s="1" t="n">
        <v>46035</v>
      </c>
      <c r="D634" t="inlineStr">
        <is>
          <t>SÖDERMANLANDS LÄN</t>
        </is>
      </c>
      <c r="E634" t="inlineStr">
        <is>
          <t>KATRINEHOLM</t>
        </is>
      </c>
      <c r="G634" t="n">
        <v>5.9</v>
      </c>
      <c r="H634" t="n">
        <v>0</v>
      </c>
      <c r="I634" t="n">
        <v>0</v>
      </c>
      <c r="J634" t="n">
        <v>0</v>
      </c>
      <c r="K634" t="n">
        <v>0</v>
      </c>
      <c r="L634" t="n">
        <v>0</v>
      </c>
      <c r="M634" t="n">
        <v>0</v>
      </c>
      <c r="N634" t="n">
        <v>0</v>
      </c>
      <c r="O634" t="n">
        <v>0</v>
      </c>
      <c r="P634" t="n">
        <v>0</v>
      </c>
      <c r="Q634" t="n">
        <v>0</v>
      </c>
      <c r="R634" s="2" t="inlineStr"/>
    </row>
    <row r="635" ht="15" customHeight="1">
      <c r="A635" t="inlineStr">
        <is>
          <t>A 30387-2022</t>
        </is>
      </c>
      <c r="B635" s="1" t="n">
        <v>44760</v>
      </c>
      <c r="C635" s="1" t="n">
        <v>46035</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39052-2023</t>
        </is>
      </c>
      <c r="B636" s="1" t="n">
        <v>45163</v>
      </c>
      <c r="C636" s="1" t="n">
        <v>46035</v>
      </c>
      <c r="D636" t="inlineStr">
        <is>
          <t>SÖDERMANLANDS LÄN</t>
        </is>
      </c>
      <c r="E636" t="inlineStr">
        <is>
          <t>KATRINEHOLM</t>
        </is>
      </c>
      <c r="G636" t="n">
        <v>3</v>
      </c>
      <c r="H636" t="n">
        <v>0</v>
      </c>
      <c r="I636" t="n">
        <v>0</v>
      </c>
      <c r="J636" t="n">
        <v>0</v>
      </c>
      <c r="K636" t="n">
        <v>0</v>
      </c>
      <c r="L636" t="n">
        <v>0</v>
      </c>
      <c r="M636" t="n">
        <v>0</v>
      </c>
      <c r="N636" t="n">
        <v>0</v>
      </c>
      <c r="O636" t="n">
        <v>0</v>
      </c>
      <c r="P636" t="n">
        <v>0</v>
      </c>
      <c r="Q636" t="n">
        <v>0</v>
      </c>
      <c r="R636" s="2" t="inlineStr"/>
    </row>
    <row r="637" ht="15" customHeight="1">
      <c r="A637" t="inlineStr">
        <is>
          <t>A 8922-2024</t>
        </is>
      </c>
      <c r="B637" s="1" t="n">
        <v>45357.38601851852</v>
      </c>
      <c r="C637" s="1" t="n">
        <v>46035</v>
      </c>
      <c r="D637" t="inlineStr">
        <is>
          <t>SÖDERMANLANDS LÄN</t>
        </is>
      </c>
      <c r="E637" t="inlineStr">
        <is>
          <t>KATRINEHOLM</t>
        </is>
      </c>
      <c r="G637" t="n">
        <v>2.2</v>
      </c>
      <c r="H637" t="n">
        <v>0</v>
      </c>
      <c r="I637" t="n">
        <v>0</v>
      </c>
      <c r="J637" t="n">
        <v>0</v>
      </c>
      <c r="K637" t="n">
        <v>0</v>
      </c>
      <c r="L637" t="n">
        <v>0</v>
      </c>
      <c r="M637" t="n">
        <v>0</v>
      </c>
      <c r="N637" t="n">
        <v>0</v>
      </c>
      <c r="O637" t="n">
        <v>0</v>
      </c>
      <c r="P637" t="n">
        <v>0</v>
      </c>
      <c r="Q637" t="n">
        <v>0</v>
      </c>
      <c r="R637" s="2" t="inlineStr"/>
    </row>
    <row r="638" ht="15" customHeight="1">
      <c r="A638" t="inlineStr">
        <is>
          <t>A 48160-2022</t>
        </is>
      </c>
      <c r="B638" s="1" t="n">
        <v>44853</v>
      </c>
      <c r="C638" s="1" t="n">
        <v>46035</v>
      </c>
      <c r="D638" t="inlineStr">
        <is>
          <t>SÖDERMANLANDS LÄN</t>
        </is>
      </c>
      <c r="E638" t="inlineStr">
        <is>
          <t>KATRINEHOLM</t>
        </is>
      </c>
      <c r="F638" t="inlineStr">
        <is>
          <t>Övriga statliga verk och myndigheter</t>
        </is>
      </c>
      <c r="G638" t="n">
        <v>2.2</v>
      </c>
      <c r="H638" t="n">
        <v>0</v>
      </c>
      <c r="I638" t="n">
        <v>0</v>
      </c>
      <c r="J638" t="n">
        <v>0</v>
      </c>
      <c r="K638" t="n">
        <v>0</v>
      </c>
      <c r="L638" t="n">
        <v>0</v>
      </c>
      <c r="M638" t="n">
        <v>0</v>
      </c>
      <c r="N638" t="n">
        <v>0</v>
      </c>
      <c r="O638" t="n">
        <v>0</v>
      </c>
      <c r="P638" t="n">
        <v>0</v>
      </c>
      <c r="Q638" t="n">
        <v>0</v>
      </c>
      <c r="R638" s="2" t="inlineStr"/>
    </row>
    <row r="639" ht="15" customHeight="1">
      <c r="A639" t="inlineStr">
        <is>
          <t>A 28317-2024</t>
        </is>
      </c>
      <c r="B639" s="1" t="n">
        <v>45477</v>
      </c>
      <c r="C639" s="1" t="n">
        <v>46035</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66393-2021</t>
        </is>
      </c>
      <c r="B640" s="1" t="n">
        <v>44518</v>
      </c>
      <c r="C640" s="1" t="n">
        <v>46035</v>
      </c>
      <c r="D640" t="inlineStr">
        <is>
          <t>SÖDERMANLANDS LÄN</t>
        </is>
      </c>
      <c r="E640" t="inlineStr">
        <is>
          <t>KATRINEHOLM</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47134-2022</t>
        </is>
      </c>
      <c r="B641" s="1" t="n">
        <v>44851</v>
      </c>
      <c r="C641" s="1" t="n">
        <v>46035</v>
      </c>
      <c r="D641" t="inlineStr">
        <is>
          <t>SÖDERMANLANDS LÄN</t>
        </is>
      </c>
      <c r="E641" t="inlineStr">
        <is>
          <t>KATRINEHOLM</t>
        </is>
      </c>
      <c r="F641" t="inlineStr">
        <is>
          <t>Övriga statliga verk och myndigheter</t>
        </is>
      </c>
      <c r="G641" t="n">
        <v>1.5</v>
      </c>
      <c r="H641" t="n">
        <v>0</v>
      </c>
      <c r="I641" t="n">
        <v>0</v>
      </c>
      <c r="J641" t="n">
        <v>0</v>
      </c>
      <c r="K641" t="n">
        <v>0</v>
      </c>
      <c r="L641" t="n">
        <v>0</v>
      </c>
      <c r="M641" t="n">
        <v>0</v>
      </c>
      <c r="N641" t="n">
        <v>0</v>
      </c>
      <c r="O641" t="n">
        <v>0</v>
      </c>
      <c r="P641" t="n">
        <v>0</v>
      </c>
      <c r="Q641" t="n">
        <v>0</v>
      </c>
      <c r="R641" s="2" t="inlineStr"/>
    </row>
    <row r="642" ht="15" customHeight="1">
      <c r="A642" t="inlineStr">
        <is>
          <t>A 1143-2024</t>
        </is>
      </c>
      <c r="B642" s="1" t="n">
        <v>45302</v>
      </c>
      <c r="C642" s="1" t="n">
        <v>46035</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3982-2024</t>
        </is>
      </c>
      <c r="B643" s="1" t="n">
        <v>45322</v>
      </c>
      <c r="C643" s="1" t="n">
        <v>46035</v>
      </c>
      <c r="D643" t="inlineStr">
        <is>
          <t>SÖDERMANLANDS LÄN</t>
        </is>
      </c>
      <c r="E643" t="inlineStr">
        <is>
          <t>KATRINEHOLM</t>
        </is>
      </c>
      <c r="G643" t="n">
        <v>3.7</v>
      </c>
      <c r="H643" t="n">
        <v>0</v>
      </c>
      <c r="I643" t="n">
        <v>0</v>
      </c>
      <c r="J643" t="n">
        <v>0</v>
      </c>
      <c r="K643" t="n">
        <v>0</v>
      </c>
      <c r="L643" t="n">
        <v>0</v>
      </c>
      <c r="M643" t="n">
        <v>0</v>
      </c>
      <c r="N643" t="n">
        <v>0</v>
      </c>
      <c r="O643" t="n">
        <v>0</v>
      </c>
      <c r="P643" t="n">
        <v>0</v>
      </c>
      <c r="Q643" t="n">
        <v>0</v>
      </c>
      <c r="R643" s="2" t="inlineStr"/>
    </row>
    <row r="644" ht="15" customHeight="1">
      <c r="A644" t="inlineStr">
        <is>
          <t>A 57263-2022</t>
        </is>
      </c>
      <c r="B644" s="1" t="n">
        <v>44895</v>
      </c>
      <c r="C644" s="1" t="n">
        <v>46035</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28431-2024</t>
        </is>
      </c>
      <c r="B645" s="1" t="n">
        <v>45477.65216435185</v>
      </c>
      <c r="C645" s="1" t="n">
        <v>46035</v>
      </c>
      <c r="D645" t="inlineStr">
        <is>
          <t>SÖDERMANLANDS LÄN</t>
        </is>
      </c>
      <c r="E645" t="inlineStr">
        <is>
          <t>KATRINEHOLM</t>
        </is>
      </c>
      <c r="G645" t="n">
        <v>3.5</v>
      </c>
      <c r="H645" t="n">
        <v>0</v>
      </c>
      <c r="I645" t="n">
        <v>0</v>
      </c>
      <c r="J645" t="n">
        <v>0</v>
      </c>
      <c r="K645" t="n">
        <v>0</v>
      </c>
      <c r="L645" t="n">
        <v>0</v>
      </c>
      <c r="M645" t="n">
        <v>0</v>
      </c>
      <c r="N645" t="n">
        <v>0</v>
      </c>
      <c r="O645" t="n">
        <v>0</v>
      </c>
      <c r="P645" t="n">
        <v>0</v>
      </c>
      <c r="Q645" t="n">
        <v>0</v>
      </c>
      <c r="R645" s="2" t="inlineStr"/>
    </row>
    <row r="646" ht="15" customHeight="1">
      <c r="A646" t="inlineStr">
        <is>
          <t>A 62418-2023</t>
        </is>
      </c>
      <c r="B646" s="1" t="n">
        <v>45268</v>
      </c>
      <c r="C646" s="1" t="n">
        <v>46035</v>
      </c>
      <c r="D646" t="inlineStr">
        <is>
          <t>SÖDERMANLANDS LÄN</t>
        </is>
      </c>
      <c r="E646" t="inlineStr">
        <is>
          <t>KATRINEHOLM</t>
        </is>
      </c>
      <c r="G646" t="n">
        <v>3</v>
      </c>
      <c r="H646" t="n">
        <v>0</v>
      </c>
      <c r="I646" t="n">
        <v>0</v>
      </c>
      <c r="J646" t="n">
        <v>0</v>
      </c>
      <c r="K646" t="n">
        <v>0</v>
      </c>
      <c r="L646" t="n">
        <v>0</v>
      </c>
      <c r="M646" t="n">
        <v>0</v>
      </c>
      <c r="N646" t="n">
        <v>0</v>
      </c>
      <c r="O646" t="n">
        <v>0</v>
      </c>
      <c r="P646" t="n">
        <v>0</v>
      </c>
      <c r="Q646" t="n">
        <v>0</v>
      </c>
      <c r="R646" s="2" t="inlineStr"/>
    </row>
    <row r="647" ht="15" customHeight="1">
      <c r="A647" t="inlineStr">
        <is>
          <t>A 45142-2021</t>
        </is>
      </c>
      <c r="B647" s="1" t="n">
        <v>44439</v>
      </c>
      <c r="C647" s="1" t="n">
        <v>46035</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7191-2023</t>
        </is>
      </c>
      <c r="B648" s="1" t="n">
        <v>44965</v>
      </c>
      <c r="C648" s="1" t="n">
        <v>46035</v>
      </c>
      <c r="D648" t="inlineStr">
        <is>
          <t>SÖDERMANLANDS LÄN</t>
        </is>
      </c>
      <c r="E648" t="inlineStr">
        <is>
          <t>KATRINEHOLM</t>
        </is>
      </c>
      <c r="G648" t="n">
        <v>14.1</v>
      </c>
      <c r="H648" t="n">
        <v>0</v>
      </c>
      <c r="I648" t="n">
        <v>0</v>
      </c>
      <c r="J648" t="n">
        <v>0</v>
      </c>
      <c r="K648" t="n">
        <v>0</v>
      </c>
      <c r="L648" t="n">
        <v>0</v>
      </c>
      <c r="M648" t="n">
        <v>0</v>
      </c>
      <c r="N648" t="n">
        <v>0</v>
      </c>
      <c r="O648" t="n">
        <v>0</v>
      </c>
      <c r="P648" t="n">
        <v>0</v>
      </c>
      <c r="Q648" t="n">
        <v>0</v>
      </c>
      <c r="R648" s="2" t="inlineStr"/>
    </row>
    <row r="649" ht="15" customHeight="1">
      <c r="A649" t="inlineStr">
        <is>
          <t>A 66540-2021</t>
        </is>
      </c>
      <c r="B649" s="1" t="n">
        <v>44519</v>
      </c>
      <c r="C649" s="1" t="n">
        <v>46035</v>
      </c>
      <c r="D649" t="inlineStr">
        <is>
          <t>SÖDERMANLANDS LÄN</t>
        </is>
      </c>
      <c r="E649" t="inlineStr">
        <is>
          <t>KATRINEHOLM</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8394-2024</t>
        </is>
      </c>
      <c r="B650" s="1" t="n">
        <v>45352</v>
      </c>
      <c r="C650" s="1" t="n">
        <v>46035</v>
      </c>
      <c r="D650" t="inlineStr">
        <is>
          <t>SÖDERMANLANDS LÄN</t>
        </is>
      </c>
      <c r="E650" t="inlineStr">
        <is>
          <t>KATRINEHOLM</t>
        </is>
      </c>
      <c r="G650" t="n">
        <v>4</v>
      </c>
      <c r="H650" t="n">
        <v>0</v>
      </c>
      <c r="I650" t="n">
        <v>0</v>
      </c>
      <c r="J650" t="n">
        <v>0</v>
      </c>
      <c r="K650" t="n">
        <v>0</v>
      </c>
      <c r="L650" t="n">
        <v>0</v>
      </c>
      <c r="M650" t="n">
        <v>0</v>
      </c>
      <c r="N650" t="n">
        <v>0</v>
      </c>
      <c r="O650" t="n">
        <v>0</v>
      </c>
      <c r="P650" t="n">
        <v>0</v>
      </c>
      <c r="Q650" t="n">
        <v>0</v>
      </c>
      <c r="R650" s="2" t="inlineStr"/>
    </row>
    <row r="651" ht="15" customHeight="1">
      <c r="A651" t="inlineStr">
        <is>
          <t>A 13658-2023</t>
        </is>
      </c>
      <c r="B651" s="1" t="n">
        <v>45006</v>
      </c>
      <c r="C651" s="1" t="n">
        <v>46035</v>
      </c>
      <c r="D651" t="inlineStr">
        <is>
          <t>SÖDERMANLANDS LÄN</t>
        </is>
      </c>
      <c r="E651" t="inlineStr">
        <is>
          <t>KATRINEHOLM</t>
        </is>
      </c>
      <c r="F651" t="inlineStr">
        <is>
          <t>Kyrkan</t>
        </is>
      </c>
      <c r="G651" t="n">
        <v>24.3</v>
      </c>
      <c r="H651" t="n">
        <v>0</v>
      </c>
      <c r="I651" t="n">
        <v>0</v>
      </c>
      <c r="J651" t="n">
        <v>0</v>
      </c>
      <c r="K651" t="n">
        <v>0</v>
      </c>
      <c r="L651" t="n">
        <v>0</v>
      </c>
      <c r="M651" t="n">
        <v>0</v>
      </c>
      <c r="N651" t="n">
        <v>0</v>
      </c>
      <c r="O651" t="n">
        <v>0</v>
      </c>
      <c r="P651" t="n">
        <v>0</v>
      </c>
      <c r="Q651" t="n">
        <v>0</v>
      </c>
      <c r="R651" s="2" t="inlineStr"/>
    </row>
    <row r="652" ht="15" customHeight="1">
      <c r="A652" t="inlineStr">
        <is>
          <t>A 61385-2023</t>
        </is>
      </c>
      <c r="B652" s="1" t="n">
        <v>45264.64241898148</v>
      </c>
      <c r="C652" s="1" t="n">
        <v>46035</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55825-2022</t>
        </is>
      </c>
      <c r="B653" s="1" t="n">
        <v>44886</v>
      </c>
      <c r="C653" s="1" t="n">
        <v>46035</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55856-2022</t>
        </is>
      </c>
      <c r="B654" s="1" t="n">
        <v>44888</v>
      </c>
      <c r="C654" s="1" t="n">
        <v>46035</v>
      </c>
      <c r="D654" t="inlineStr">
        <is>
          <t>SÖDERMANLANDS LÄN</t>
        </is>
      </c>
      <c r="E654" t="inlineStr">
        <is>
          <t>KATRINEHOLM</t>
        </is>
      </c>
      <c r="G654" t="n">
        <v>5.6</v>
      </c>
      <c r="H654" t="n">
        <v>0</v>
      </c>
      <c r="I654" t="n">
        <v>0</v>
      </c>
      <c r="J654" t="n">
        <v>0</v>
      </c>
      <c r="K654" t="n">
        <v>0</v>
      </c>
      <c r="L654" t="n">
        <v>0</v>
      </c>
      <c r="M654" t="n">
        <v>0</v>
      </c>
      <c r="N654" t="n">
        <v>0</v>
      </c>
      <c r="O654" t="n">
        <v>0</v>
      </c>
      <c r="P654" t="n">
        <v>0</v>
      </c>
      <c r="Q654" t="n">
        <v>0</v>
      </c>
      <c r="R654" s="2" t="inlineStr"/>
    </row>
    <row r="655" ht="15" customHeight="1">
      <c r="A655" t="inlineStr">
        <is>
          <t>A 43513-2023</t>
        </is>
      </c>
      <c r="B655" s="1" t="n">
        <v>45184</v>
      </c>
      <c r="C655" s="1" t="n">
        <v>46035</v>
      </c>
      <c r="D655" t="inlineStr">
        <is>
          <t>SÖDERMANLANDS LÄN</t>
        </is>
      </c>
      <c r="E655" t="inlineStr">
        <is>
          <t>KATRINEHOLM</t>
        </is>
      </c>
      <c r="G655" t="n">
        <v>3.8</v>
      </c>
      <c r="H655" t="n">
        <v>0</v>
      </c>
      <c r="I655" t="n">
        <v>0</v>
      </c>
      <c r="J655" t="n">
        <v>0</v>
      </c>
      <c r="K655" t="n">
        <v>0</v>
      </c>
      <c r="L655" t="n">
        <v>0</v>
      </c>
      <c r="M655" t="n">
        <v>0</v>
      </c>
      <c r="N655" t="n">
        <v>0</v>
      </c>
      <c r="O655" t="n">
        <v>0</v>
      </c>
      <c r="P655" t="n">
        <v>0</v>
      </c>
      <c r="Q655" t="n">
        <v>0</v>
      </c>
      <c r="R655" s="2" t="inlineStr"/>
    </row>
    <row r="656" ht="15" customHeight="1">
      <c r="A656" t="inlineStr">
        <is>
          <t>A 8951-2024</t>
        </is>
      </c>
      <c r="B656" s="1" t="n">
        <v>45357.44695601852</v>
      </c>
      <c r="C656" s="1" t="n">
        <v>46035</v>
      </c>
      <c r="D656" t="inlineStr">
        <is>
          <t>SÖDERMANLANDS LÄN</t>
        </is>
      </c>
      <c r="E656" t="inlineStr">
        <is>
          <t>KATRINEHOLM</t>
        </is>
      </c>
      <c r="G656" t="n">
        <v>3.3</v>
      </c>
      <c r="H656" t="n">
        <v>0</v>
      </c>
      <c r="I656" t="n">
        <v>0</v>
      </c>
      <c r="J656" t="n">
        <v>0</v>
      </c>
      <c r="K656" t="n">
        <v>0</v>
      </c>
      <c r="L656" t="n">
        <v>0</v>
      </c>
      <c r="M656" t="n">
        <v>0</v>
      </c>
      <c r="N656" t="n">
        <v>0</v>
      </c>
      <c r="O656" t="n">
        <v>0</v>
      </c>
      <c r="P656" t="n">
        <v>0</v>
      </c>
      <c r="Q656" t="n">
        <v>0</v>
      </c>
      <c r="R656" s="2" t="inlineStr"/>
    </row>
    <row r="657" ht="15" customHeight="1">
      <c r="A657" t="inlineStr">
        <is>
          <t>A 8955-2024</t>
        </is>
      </c>
      <c r="B657" s="1" t="n">
        <v>45357.44873842593</v>
      </c>
      <c r="C657" s="1" t="n">
        <v>46035</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15945-2024</t>
        </is>
      </c>
      <c r="B658" s="1" t="n">
        <v>45405.48912037037</v>
      </c>
      <c r="C658" s="1" t="n">
        <v>46035</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4655-2024</t>
        </is>
      </c>
      <c r="B659" s="1" t="n">
        <v>45328</v>
      </c>
      <c r="C659" s="1" t="n">
        <v>46035</v>
      </c>
      <c r="D659" t="inlineStr">
        <is>
          <t>SÖDERMANLANDS LÄN</t>
        </is>
      </c>
      <c r="E659" t="inlineStr">
        <is>
          <t>KATRINEHOLM</t>
        </is>
      </c>
      <c r="G659" t="n">
        <v>17.7</v>
      </c>
      <c r="H659" t="n">
        <v>0</v>
      </c>
      <c r="I659" t="n">
        <v>0</v>
      </c>
      <c r="J659" t="n">
        <v>0</v>
      </c>
      <c r="K659" t="n">
        <v>0</v>
      </c>
      <c r="L659" t="n">
        <v>0</v>
      </c>
      <c r="M659" t="n">
        <v>0</v>
      </c>
      <c r="N659" t="n">
        <v>0</v>
      </c>
      <c r="O659" t="n">
        <v>0</v>
      </c>
      <c r="P659" t="n">
        <v>0</v>
      </c>
      <c r="Q659" t="n">
        <v>0</v>
      </c>
      <c r="R659" s="2" t="inlineStr"/>
    </row>
    <row r="660" ht="15" customHeight="1">
      <c r="A660" t="inlineStr">
        <is>
          <t>A 53387-2023</t>
        </is>
      </c>
      <c r="B660" s="1" t="n">
        <v>45229</v>
      </c>
      <c r="C660" s="1" t="n">
        <v>46035</v>
      </c>
      <c r="D660" t="inlineStr">
        <is>
          <t>SÖDERMANLANDS LÄN</t>
        </is>
      </c>
      <c r="E660" t="inlineStr">
        <is>
          <t>KATRINEHOLM</t>
        </is>
      </c>
      <c r="F660" t="inlineStr">
        <is>
          <t>Kyrkan</t>
        </is>
      </c>
      <c r="G660" t="n">
        <v>7.4</v>
      </c>
      <c r="H660" t="n">
        <v>0</v>
      </c>
      <c r="I660" t="n">
        <v>0</v>
      </c>
      <c r="J660" t="n">
        <v>0</v>
      </c>
      <c r="K660" t="n">
        <v>0</v>
      </c>
      <c r="L660" t="n">
        <v>0</v>
      </c>
      <c r="M660" t="n">
        <v>0</v>
      </c>
      <c r="N660" t="n">
        <v>0</v>
      </c>
      <c r="O660" t="n">
        <v>0</v>
      </c>
      <c r="P660" t="n">
        <v>0</v>
      </c>
      <c r="Q660" t="n">
        <v>0</v>
      </c>
      <c r="R660" s="2" t="inlineStr"/>
    </row>
    <row r="661" ht="15" customHeight="1">
      <c r="A661" t="inlineStr">
        <is>
          <t>A 42590-2022</t>
        </is>
      </c>
      <c r="B661" s="1" t="n">
        <v>44831</v>
      </c>
      <c r="C661" s="1" t="n">
        <v>46035</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38883-2024</t>
        </is>
      </c>
      <c r="B662" s="1" t="n">
        <v>45547</v>
      </c>
      <c r="C662" s="1" t="n">
        <v>46035</v>
      </c>
      <c r="D662" t="inlineStr">
        <is>
          <t>SÖDERMANLANDS LÄN</t>
        </is>
      </c>
      <c r="E662" t="inlineStr">
        <is>
          <t>KATRINEHOLM</t>
        </is>
      </c>
      <c r="G662" t="n">
        <v>3.1</v>
      </c>
      <c r="H662" t="n">
        <v>0</v>
      </c>
      <c r="I662" t="n">
        <v>0</v>
      </c>
      <c r="J662" t="n">
        <v>0</v>
      </c>
      <c r="K662" t="n">
        <v>0</v>
      </c>
      <c r="L662" t="n">
        <v>0</v>
      </c>
      <c r="M662" t="n">
        <v>0</v>
      </c>
      <c r="N662" t="n">
        <v>0</v>
      </c>
      <c r="O662" t="n">
        <v>0</v>
      </c>
      <c r="P662" t="n">
        <v>0</v>
      </c>
      <c r="Q662" t="n">
        <v>0</v>
      </c>
      <c r="R662" s="2" t="inlineStr"/>
    </row>
    <row r="663" ht="15" customHeight="1">
      <c r="A663" t="inlineStr">
        <is>
          <t>A 4667-2024</t>
        </is>
      </c>
      <c r="B663" s="1" t="n">
        <v>45328.47</v>
      </c>
      <c r="C663" s="1" t="n">
        <v>46035</v>
      </c>
      <c r="D663" t="inlineStr">
        <is>
          <t>SÖDERMANLANDS LÄN</t>
        </is>
      </c>
      <c r="E663" t="inlineStr">
        <is>
          <t>KATRINEHOLM</t>
        </is>
      </c>
      <c r="F663" t="inlineStr">
        <is>
          <t>Övriga Aktiebolag</t>
        </is>
      </c>
      <c r="G663" t="n">
        <v>10.2</v>
      </c>
      <c r="H663" t="n">
        <v>0</v>
      </c>
      <c r="I663" t="n">
        <v>0</v>
      </c>
      <c r="J663" t="n">
        <v>0</v>
      </c>
      <c r="K663" t="n">
        <v>0</v>
      </c>
      <c r="L663" t="n">
        <v>0</v>
      </c>
      <c r="M663" t="n">
        <v>0</v>
      </c>
      <c r="N663" t="n">
        <v>0</v>
      </c>
      <c r="O663" t="n">
        <v>0</v>
      </c>
      <c r="P663" t="n">
        <v>0</v>
      </c>
      <c r="Q663" t="n">
        <v>0</v>
      </c>
      <c r="R663" s="2" t="inlineStr"/>
    </row>
    <row r="664" ht="15" customHeight="1">
      <c r="A664" t="inlineStr">
        <is>
          <t>A 39704-2023</t>
        </is>
      </c>
      <c r="B664" s="1" t="n">
        <v>45167</v>
      </c>
      <c r="C664" s="1" t="n">
        <v>46035</v>
      </c>
      <c r="D664" t="inlineStr">
        <is>
          <t>SÖDERMANLANDS LÄN</t>
        </is>
      </c>
      <c r="E664" t="inlineStr">
        <is>
          <t>KATRINEHOLM</t>
        </is>
      </c>
      <c r="F664" t="inlineStr">
        <is>
          <t>Övriga Aktiebolag</t>
        </is>
      </c>
      <c r="G664" t="n">
        <v>3.4</v>
      </c>
      <c r="H664" t="n">
        <v>0</v>
      </c>
      <c r="I664" t="n">
        <v>0</v>
      </c>
      <c r="J664" t="n">
        <v>0</v>
      </c>
      <c r="K664" t="n">
        <v>0</v>
      </c>
      <c r="L664" t="n">
        <v>0</v>
      </c>
      <c r="M664" t="n">
        <v>0</v>
      </c>
      <c r="N664" t="n">
        <v>0</v>
      </c>
      <c r="O664" t="n">
        <v>0</v>
      </c>
      <c r="P664" t="n">
        <v>0</v>
      </c>
      <c r="Q664" t="n">
        <v>0</v>
      </c>
      <c r="R664" s="2" t="inlineStr"/>
    </row>
    <row r="665" ht="15" customHeight="1">
      <c r="A665" t="inlineStr">
        <is>
          <t>A 16087-2023</t>
        </is>
      </c>
      <c r="B665" s="1" t="n">
        <v>45026</v>
      </c>
      <c r="C665" s="1" t="n">
        <v>46035</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28652-2024</t>
        </is>
      </c>
      <c r="B666" s="1" t="n">
        <v>45478</v>
      </c>
      <c r="C666" s="1" t="n">
        <v>46035</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42791-2023</t>
        </is>
      </c>
      <c r="B667" s="1" t="n">
        <v>45181.92876157408</v>
      </c>
      <c r="C667" s="1" t="n">
        <v>46035</v>
      </c>
      <c r="D667" t="inlineStr">
        <is>
          <t>SÖDERMANLANDS LÄN</t>
        </is>
      </c>
      <c r="E667" t="inlineStr">
        <is>
          <t>KATRINEHOLM</t>
        </is>
      </c>
      <c r="G667" t="n">
        <v>4.1</v>
      </c>
      <c r="H667" t="n">
        <v>0</v>
      </c>
      <c r="I667" t="n">
        <v>0</v>
      </c>
      <c r="J667" t="n">
        <v>0</v>
      </c>
      <c r="K667" t="n">
        <v>0</v>
      </c>
      <c r="L667" t="n">
        <v>0</v>
      </c>
      <c r="M667" t="n">
        <v>0</v>
      </c>
      <c r="N667" t="n">
        <v>0</v>
      </c>
      <c r="O667" t="n">
        <v>0</v>
      </c>
      <c r="P667" t="n">
        <v>0</v>
      </c>
      <c r="Q667" t="n">
        <v>0</v>
      </c>
      <c r="R667" s="2" t="inlineStr"/>
    </row>
    <row r="668" ht="15" customHeight="1">
      <c r="A668" t="inlineStr">
        <is>
          <t>A 42792-2023</t>
        </is>
      </c>
      <c r="B668" s="1" t="n">
        <v>45181.95491898148</v>
      </c>
      <c r="C668" s="1" t="n">
        <v>46035</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31740-2022</t>
        </is>
      </c>
      <c r="B669" s="1" t="n">
        <v>44776</v>
      </c>
      <c r="C669" s="1" t="n">
        <v>46035</v>
      </c>
      <c r="D669" t="inlineStr">
        <is>
          <t>SÖDERMANLANDS LÄN</t>
        </is>
      </c>
      <c r="E669" t="inlineStr">
        <is>
          <t>KATRINEHOLM</t>
        </is>
      </c>
      <c r="G669" t="n">
        <v>1.1</v>
      </c>
      <c r="H669" t="n">
        <v>0</v>
      </c>
      <c r="I669" t="n">
        <v>0</v>
      </c>
      <c r="J669" t="n">
        <v>0</v>
      </c>
      <c r="K669" t="n">
        <v>0</v>
      </c>
      <c r="L669" t="n">
        <v>0</v>
      </c>
      <c r="M669" t="n">
        <v>0</v>
      </c>
      <c r="N669" t="n">
        <v>0</v>
      </c>
      <c r="O669" t="n">
        <v>0</v>
      </c>
      <c r="P669" t="n">
        <v>0</v>
      </c>
      <c r="Q669" t="n">
        <v>0</v>
      </c>
      <c r="R669" s="2" t="inlineStr"/>
    </row>
    <row r="670" ht="15" customHeight="1">
      <c r="A670" t="inlineStr">
        <is>
          <t>A 4679-2023</t>
        </is>
      </c>
      <c r="B670" s="1" t="n">
        <v>44957.44885416667</v>
      </c>
      <c r="C670" s="1" t="n">
        <v>46035</v>
      </c>
      <c r="D670" t="inlineStr">
        <is>
          <t>SÖDERMANLANDS LÄN</t>
        </is>
      </c>
      <c r="E670" t="inlineStr">
        <is>
          <t>KATRINEHOLM</t>
        </is>
      </c>
      <c r="G670" t="n">
        <v>5.3</v>
      </c>
      <c r="H670" t="n">
        <v>0</v>
      </c>
      <c r="I670" t="n">
        <v>0</v>
      </c>
      <c r="J670" t="n">
        <v>0</v>
      </c>
      <c r="K670" t="n">
        <v>0</v>
      </c>
      <c r="L670" t="n">
        <v>0</v>
      </c>
      <c r="M670" t="n">
        <v>0</v>
      </c>
      <c r="N670" t="n">
        <v>0</v>
      </c>
      <c r="O670" t="n">
        <v>0</v>
      </c>
      <c r="P670" t="n">
        <v>0</v>
      </c>
      <c r="Q670" t="n">
        <v>0</v>
      </c>
      <c r="R670" s="2" t="inlineStr"/>
    </row>
    <row r="671" ht="15" customHeight="1">
      <c r="A671" t="inlineStr">
        <is>
          <t>A 6087-2021</t>
        </is>
      </c>
      <c r="B671" s="1" t="n">
        <v>44232</v>
      </c>
      <c r="C671" s="1" t="n">
        <v>46035</v>
      </c>
      <c r="D671" t="inlineStr">
        <is>
          <t>SÖDERMANLANDS LÄN</t>
        </is>
      </c>
      <c r="E671" t="inlineStr">
        <is>
          <t>KATRINEHOLM</t>
        </is>
      </c>
      <c r="G671" t="n">
        <v>2.6</v>
      </c>
      <c r="H671" t="n">
        <v>0</v>
      </c>
      <c r="I671" t="n">
        <v>0</v>
      </c>
      <c r="J671" t="n">
        <v>0</v>
      </c>
      <c r="K671" t="n">
        <v>0</v>
      </c>
      <c r="L671" t="n">
        <v>0</v>
      </c>
      <c r="M671" t="n">
        <v>0</v>
      </c>
      <c r="N671" t="n">
        <v>0</v>
      </c>
      <c r="O671" t="n">
        <v>0</v>
      </c>
      <c r="P671" t="n">
        <v>0</v>
      </c>
      <c r="Q671" t="n">
        <v>0</v>
      </c>
      <c r="R671" s="2" t="inlineStr"/>
    </row>
    <row r="672" ht="15" customHeight="1">
      <c r="A672" t="inlineStr">
        <is>
          <t>A 48528-2021</t>
        </is>
      </c>
      <c r="B672" s="1" t="n">
        <v>44449</v>
      </c>
      <c r="C672" s="1" t="n">
        <v>46035</v>
      </c>
      <c r="D672" t="inlineStr">
        <is>
          <t>SÖDERMANLANDS LÄN</t>
        </is>
      </c>
      <c r="E672" t="inlineStr">
        <is>
          <t>KATRINEHOLM</t>
        </is>
      </c>
      <c r="G672" t="n">
        <v>0.7</v>
      </c>
      <c r="H672" t="n">
        <v>0</v>
      </c>
      <c r="I672" t="n">
        <v>0</v>
      </c>
      <c r="J672" t="n">
        <v>0</v>
      </c>
      <c r="K672" t="n">
        <v>0</v>
      </c>
      <c r="L672" t="n">
        <v>0</v>
      </c>
      <c r="M672" t="n">
        <v>0</v>
      </c>
      <c r="N672" t="n">
        <v>0</v>
      </c>
      <c r="O672" t="n">
        <v>0</v>
      </c>
      <c r="P672" t="n">
        <v>0</v>
      </c>
      <c r="Q672" t="n">
        <v>0</v>
      </c>
      <c r="R672" s="2" t="inlineStr"/>
    </row>
    <row r="673" ht="15" customHeight="1">
      <c r="A673" t="inlineStr">
        <is>
          <t>A 48398-2022</t>
        </is>
      </c>
      <c r="B673" s="1" t="n">
        <v>44858.60809027778</v>
      </c>
      <c r="C673" s="1" t="n">
        <v>46035</v>
      </c>
      <c r="D673" t="inlineStr">
        <is>
          <t>SÖDERMANLANDS LÄN</t>
        </is>
      </c>
      <c r="E673" t="inlineStr">
        <is>
          <t>KATRINEHOLM</t>
        </is>
      </c>
      <c r="G673" t="n">
        <v>1.9</v>
      </c>
      <c r="H673" t="n">
        <v>0</v>
      </c>
      <c r="I673" t="n">
        <v>0</v>
      </c>
      <c r="J673" t="n">
        <v>0</v>
      </c>
      <c r="K673" t="n">
        <v>0</v>
      </c>
      <c r="L673" t="n">
        <v>0</v>
      </c>
      <c r="M673" t="n">
        <v>0</v>
      </c>
      <c r="N673" t="n">
        <v>0</v>
      </c>
      <c r="O673" t="n">
        <v>0</v>
      </c>
      <c r="P673" t="n">
        <v>0</v>
      </c>
      <c r="Q673" t="n">
        <v>0</v>
      </c>
      <c r="R673" s="2" t="inlineStr"/>
    </row>
    <row r="674" ht="15" customHeight="1">
      <c r="A674" t="inlineStr">
        <is>
          <t>A 6753-2022</t>
        </is>
      </c>
      <c r="B674" s="1" t="n">
        <v>44602</v>
      </c>
      <c r="C674" s="1" t="n">
        <v>46035</v>
      </c>
      <c r="D674" t="inlineStr">
        <is>
          <t>SÖDERMANLANDS LÄN</t>
        </is>
      </c>
      <c r="E674" t="inlineStr">
        <is>
          <t>KATRINEHOLM</t>
        </is>
      </c>
      <c r="G674" t="n">
        <v>4.3</v>
      </c>
      <c r="H674" t="n">
        <v>0</v>
      </c>
      <c r="I674" t="n">
        <v>0</v>
      </c>
      <c r="J674" t="n">
        <v>0</v>
      </c>
      <c r="K674" t="n">
        <v>0</v>
      </c>
      <c r="L674" t="n">
        <v>0</v>
      </c>
      <c r="M674" t="n">
        <v>0</v>
      </c>
      <c r="N674" t="n">
        <v>0</v>
      </c>
      <c r="O674" t="n">
        <v>0</v>
      </c>
      <c r="P674" t="n">
        <v>0</v>
      </c>
      <c r="Q674" t="n">
        <v>0</v>
      </c>
      <c r="R674" s="2" t="inlineStr"/>
    </row>
    <row r="675" ht="15" customHeight="1">
      <c r="A675" t="inlineStr">
        <is>
          <t>A 15184-2023</t>
        </is>
      </c>
      <c r="B675" s="1" t="n">
        <v>45016</v>
      </c>
      <c r="C675" s="1" t="n">
        <v>46035</v>
      </c>
      <c r="D675" t="inlineStr">
        <is>
          <t>SÖDERMANLANDS LÄN</t>
        </is>
      </c>
      <c r="E675" t="inlineStr">
        <is>
          <t>KATRINEHOLM</t>
        </is>
      </c>
      <c r="G675" t="n">
        <v>1.1</v>
      </c>
      <c r="H675" t="n">
        <v>0</v>
      </c>
      <c r="I675" t="n">
        <v>0</v>
      </c>
      <c r="J675" t="n">
        <v>0</v>
      </c>
      <c r="K675" t="n">
        <v>0</v>
      </c>
      <c r="L675" t="n">
        <v>0</v>
      </c>
      <c r="M675" t="n">
        <v>0</v>
      </c>
      <c r="N675" t="n">
        <v>0</v>
      </c>
      <c r="O675" t="n">
        <v>0</v>
      </c>
      <c r="P675" t="n">
        <v>0</v>
      </c>
      <c r="Q675" t="n">
        <v>0</v>
      </c>
      <c r="R675" s="2" t="inlineStr"/>
    </row>
    <row r="676" ht="15" customHeight="1">
      <c r="A676" t="inlineStr">
        <is>
          <t>A 38826-2021</t>
        </is>
      </c>
      <c r="B676" s="1" t="n">
        <v>44411</v>
      </c>
      <c r="C676" s="1" t="n">
        <v>46035</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2297-2021</t>
        </is>
      </c>
      <c r="B677" s="1" t="n">
        <v>44212</v>
      </c>
      <c r="C677" s="1" t="n">
        <v>46035</v>
      </c>
      <c r="D677" t="inlineStr">
        <is>
          <t>SÖDERMANLANDS LÄN</t>
        </is>
      </c>
      <c r="E677" t="inlineStr">
        <is>
          <t>KATRINEHOLM</t>
        </is>
      </c>
      <c r="G677" t="n">
        <v>14.4</v>
      </c>
      <c r="H677" t="n">
        <v>0</v>
      </c>
      <c r="I677" t="n">
        <v>0</v>
      </c>
      <c r="J677" t="n">
        <v>0</v>
      </c>
      <c r="K677" t="n">
        <v>0</v>
      </c>
      <c r="L677" t="n">
        <v>0</v>
      </c>
      <c r="M677" t="n">
        <v>0</v>
      </c>
      <c r="N677" t="n">
        <v>0</v>
      </c>
      <c r="O677" t="n">
        <v>0</v>
      </c>
      <c r="P677" t="n">
        <v>0</v>
      </c>
      <c r="Q677" t="n">
        <v>0</v>
      </c>
      <c r="R677" s="2" t="inlineStr"/>
    </row>
    <row r="678" ht="15" customHeight="1">
      <c r="A678" t="inlineStr">
        <is>
          <t>A 9388-2021</t>
        </is>
      </c>
      <c r="B678" s="1" t="n">
        <v>44250</v>
      </c>
      <c r="C678" s="1" t="n">
        <v>46035</v>
      </c>
      <c r="D678" t="inlineStr">
        <is>
          <t>SÖDERMANLANDS LÄN</t>
        </is>
      </c>
      <c r="E678" t="inlineStr">
        <is>
          <t>KATRINEHOLM</t>
        </is>
      </c>
      <c r="G678" t="n">
        <v>5.4</v>
      </c>
      <c r="H678" t="n">
        <v>0</v>
      </c>
      <c r="I678" t="n">
        <v>0</v>
      </c>
      <c r="J678" t="n">
        <v>0</v>
      </c>
      <c r="K678" t="n">
        <v>0</v>
      </c>
      <c r="L678" t="n">
        <v>0</v>
      </c>
      <c r="M678" t="n">
        <v>0</v>
      </c>
      <c r="N678" t="n">
        <v>0</v>
      </c>
      <c r="O678" t="n">
        <v>0</v>
      </c>
      <c r="P678" t="n">
        <v>0</v>
      </c>
      <c r="Q678" t="n">
        <v>0</v>
      </c>
      <c r="R678" s="2" t="inlineStr"/>
    </row>
    <row r="679" ht="15" customHeight="1">
      <c r="A679" t="inlineStr">
        <is>
          <t>A 29830-2023</t>
        </is>
      </c>
      <c r="B679" s="1" t="n">
        <v>45107</v>
      </c>
      <c r="C679" s="1" t="n">
        <v>46035</v>
      </c>
      <c r="D679" t="inlineStr">
        <is>
          <t>SÖDERMANLANDS LÄN</t>
        </is>
      </c>
      <c r="E679" t="inlineStr">
        <is>
          <t>KATRINEHOLM</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19098-2022</t>
        </is>
      </c>
      <c r="B680" s="1" t="n">
        <v>44691.52616898148</v>
      </c>
      <c r="C680" s="1" t="n">
        <v>46035</v>
      </c>
      <c r="D680" t="inlineStr">
        <is>
          <t>SÖDERMANLANDS LÄN</t>
        </is>
      </c>
      <c r="E680" t="inlineStr">
        <is>
          <t>KATRINEHOLM</t>
        </is>
      </c>
      <c r="G680" t="n">
        <v>5.5</v>
      </c>
      <c r="H680" t="n">
        <v>0</v>
      </c>
      <c r="I680" t="n">
        <v>0</v>
      </c>
      <c r="J680" t="n">
        <v>0</v>
      </c>
      <c r="K680" t="n">
        <v>0</v>
      </c>
      <c r="L680" t="n">
        <v>0</v>
      </c>
      <c r="M680" t="n">
        <v>0</v>
      </c>
      <c r="N680" t="n">
        <v>0</v>
      </c>
      <c r="O680" t="n">
        <v>0</v>
      </c>
      <c r="P680" t="n">
        <v>0</v>
      </c>
      <c r="Q680" t="n">
        <v>0</v>
      </c>
      <c r="R680" s="2" t="inlineStr"/>
    </row>
    <row r="681" ht="15" customHeight="1">
      <c r="A681" t="inlineStr">
        <is>
          <t>A 6628-2022</t>
        </is>
      </c>
      <c r="B681" s="1" t="n">
        <v>44601.78850694445</v>
      </c>
      <c r="C681" s="1" t="n">
        <v>46035</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72984-2021</t>
        </is>
      </c>
      <c r="B682" s="1" t="n">
        <v>44549.74741898148</v>
      </c>
      <c r="C682" s="1" t="n">
        <v>46035</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2325-2023</t>
        </is>
      </c>
      <c r="B683" s="1" t="n">
        <v>44942</v>
      </c>
      <c r="C683" s="1" t="n">
        <v>46035</v>
      </c>
      <c r="D683" t="inlineStr">
        <is>
          <t>SÖDERMANLANDS LÄN</t>
        </is>
      </c>
      <c r="E683" t="inlineStr">
        <is>
          <t>KATRINEHOLM</t>
        </is>
      </c>
      <c r="G683" t="n">
        <v>5.6</v>
      </c>
      <c r="H683" t="n">
        <v>0</v>
      </c>
      <c r="I683" t="n">
        <v>0</v>
      </c>
      <c r="J683" t="n">
        <v>0</v>
      </c>
      <c r="K683" t="n">
        <v>0</v>
      </c>
      <c r="L683" t="n">
        <v>0</v>
      </c>
      <c r="M683" t="n">
        <v>0</v>
      </c>
      <c r="N683" t="n">
        <v>0</v>
      </c>
      <c r="O683" t="n">
        <v>0</v>
      </c>
      <c r="P683" t="n">
        <v>0</v>
      </c>
      <c r="Q683" t="n">
        <v>0</v>
      </c>
      <c r="R683" s="2" t="inlineStr"/>
    </row>
    <row r="684" ht="15" customHeight="1">
      <c r="A684" t="inlineStr">
        <is>
          <t>A 46011-2021</t>
        </is>
      </c>
      <c r="B684" s="1" t="n">
        <v>44441.88092592593</v>
      </c>
      <c r="C684" s="1" t="n">
        <v>46035</v>
      </c>
      <c r="D684" t="inlineStr">
        <is>
          <t>SÖDERMANLANDS LÄN</t>
        </is>
      </c>
      <c r="E684" t="inlineStr">
        <is>
          <t>KATRINEHOLM</t>
        </is>
      </c>
      <c r="G684" t="n">
        <v>4.7</v>
      </c>
      <c r="H684" t="n">
        <v>0</v>
      </c>
      <c r="I684" t="n">
        <v>0</v>
      </c>
      <c r="J684" t="n">
        <v>0</v>
      </c>
      <c r="K684" t="n">
        <v>0</v>
      </c>
      <c r="L684" t="n">
        <v>0</v>
      </c>
      <c r="M684" t="n">
        <v>0</v>
      </c>
      <c r="N684" t="n">
        <v>0</v>
      </c>
      <c r="O684" t="n">
        <v>0</v>
      </c>
      <c r="P684" t="n">
        <v>0</v>
      </c>
      <c r="Q684" t="n">
        <v>0</v>
      </c>
      <c r="R684" s="2" t="inlineStr"/>
    </row>
    <row r="685" ht="15" customHeight="1">
      <c r="A685" t="inlineStr">
        <is>
          <t>A 62140-2022</t>
        </is>
      </c>
      <c r="B685" s="1" t="n">
        <v>44922</v>
      </c>
      <c r="C685" s="1" t="n">
        <v>46035</v>
      </c>
      <c r="D685" t="inlineStr">
        <is>
          <t>SÖDERMANLANDS LÄN</t>
        </is>
      </c>
      <c r="E685" t="inlineStr">
        <is>
          <t>KATRINEHOLM</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33934-2022</t>
        </is>
      </c>
      <c r="B686" s="1" t="n">
        <v>44790</v>
      </c>
      <c r="C686" s="1" t="n">
        <v>46035</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13171-2024</t>
        </is>
      </c>
      <c r="B687" s="1" t="n">
        <v>45386</v>
      </c>
      <c r="C687" s="1" t="n">
        <v>46035</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59384-2022</t>
        </is>
      </c>
      <c r="B688" s="1" t="n">
        <v>44905</v>
      </c>
      <c r="C688" s="1" t="n">
        <v>46035</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13086-2023</t>
        </is>
      </c>
      <c r="B689" s="1" t="n">
        <v>45002.42188657408</v>
      </c>
      <c r="C689" s="1" t="n">
        <v>46035</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19670-2022</t>
        </is>
      </c>
      <c r="B690" s="1" t="n">
        <v>44694</v>
      </c>
      <c r="C690" s="1" t="n">
        <v>46035</v>
      </c>
      <c r="D690" t="inlineStr">
        <is>
          <t>SÖDERMANLANDS LÄN</t>
        </is>
      </c>
      <c r="E690" t="inlineStr">
        <is>
          <t>KATRINEHOLM</t>
        </is>
      </c>
      <c r="G690" t="n">
        <v>13.6</v>
      </c>
      <c r="H690" t="n">
        <v>0</v>
      </c>
      <c r="I690" t="n">
        <v>0</v>
      </c>
      <c r="J690" t="n">
        <v>0</v>
      </c>
      <c r="K690" t="n">
        <v>0</v>
      </c>
      <c r="L690" t="n">
        <v>0</v>
      </c>
      <c r="M690" t="n">
        <v>0</v>
      </c>
      <c r="N690" t="n">
        <v>0</v>
      </c>
      <c r="O690" t="n">
        <v>0</v>
      </c>
      <c r="P690" t="n">
        <v>0</v>
      </c>
      <c r="Q690" t="n">
        <v>0</v>
      </c>
      <c r="R690" s="2" t="inlineStr"/>
    </row>
    <row r="691" ht="15" customHeight="1">
      <c r="A691" t="inlineStr">
        <is>
          <t>A 19107-2022</t>
        </is>
      </c>
      <c r="B691" s="1" t="n">
        <v>44691.54077546296</v>
      </c>
      <c r="C691" s="1" t="n">
        <v>46035</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30333-2023</t>
        </is>
      </c>
      <c r="B692" s="1" t="n">
        <v>45111</v>
      </c>
      <c r="C692" s="1" t="n">
        <v>46035</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6175-2023</t>
        </is>
      </c>
      <c r="B693" s="1" t="n">
        <v>44964</v>
      </c>
      <c r="C693" s="1" t="n">
        <v>46035</v>
      </c>
      <c r="D693" t="inlineStr">
        <is>
          <t>SÖDERMANLANDS LÄN</t>
        </is>
      </c>
      <c r="E693" t="inlineStr">
        <is>
          <t>KATRINEHOLM</t>
        </is>
      </c>
      <c r="G693" t="n">
        <v>11.2</v>
      </c>
      <c r="H693" t="n">
        <v>0</v>
      </c>
      <c r="I693" t="n">
        <v>0</v>
      </c>
      <c r="J693" t="n">
        <v>0</v>
      </c>
      <c r="K693" t="n">
        <v>0</v>
      </c>
      <c r="L693" t="n">
        <v>0</v>
      </c>
      <c r="M693" t="n">
        <v>0</v>
      </c>
      <c r="N693" t="n">
        <v>0</v>
      </c>
      <c r="O693" t="n">
        <v>0</v>
      </c>
      <c r="P693" t="n">
        <v>0</v>
      </c>
      <c r="Q693" t="n">
        <v>0</v>
      </c>
      <c r="R693" s="2" t="inlineStr"/>
    </row>
    <row r="694" ht="15" customHeight="1">
      <c r="A694" t="inlineStr">
        <is>
          <t>A 11875-2023</t>
        </is>
      </c>
      <c r="B694" s="1" t="n">
        <v>44995</v>
      </c>
      <c r="C694" s="1" t="n">
        <v>46035</v>
      </c>
      <c r="D694" t="inlineStr">
        <is>
          <t>SÖDERMANLANDS LÄN</t>
        </is>
      </c>
      <c r="E694" t="inlineStr">
        <is>
          <t>KATRINEHOLM</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6796-2022</t>
        </is>
      </c>
      <c r="B695" s="1" t="n">
        <v>44602</v>
      </c>
      <c r="C695" s="1" t="n">
        <v>46035</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13612-2023</t>
        </is>
      </c>
      <c r="B696" s="1" t="n">
        <v>45006</v>
      </c>
      <c r="C696" s="1" t="n">
        <v>46035</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39068-2022</t>
        </is>
      </c>
      <c r="B697" s="1" t="n">
        <v>44816</v>
      </c>
      <c r="C697" s="1" t="n">
        <v>46035</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8765-2023</t>
        </is>
      </c>
      <c r="B698" s="1" t="n">
        <v>44978.52131944444</v>
      </c>
      <c r="C698" s="1" t="n">
        <v>46035</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57154-2023</t>
        </is>
      </c>
      <c r="B699" s="1" t="n">
        <v>45245</v>
      </c>
      <c r="C699" s="1" t="n">
        <v>46035</v>
      </c>
      <c r="D699" t="inlineStr">
        <is>
          <t>SÖDERMANLANDS LÄN</t>
        </is>
      </c>
      <c r="E699" t="inlineStr">
        <is>
          <t>KATRINEHOLM</t>
        </is>
      </c>
      <c r="F699" t="inlineStr">
        <is>
          <t>Allmännings- och besparingsskogar</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21959-2022</t>
        </is>
      </c>
      <c r="B700" s="1" t="n">
        <v>44708</v>
      </c>
      <c r="C700" s="1" t="n">
        <v>46035</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51530-2023</t>
        </is>
      </c>
      <c r="B701" s="1" t="n">
        <v>45222</v>
      </c>
      <c r="C701" s="1" t="n">
        <v>46035</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23916-2023</t>
        </is>
      </c>
      <c r="B702" s="1" t="n">
        <v>45075</v>
      </c>
      <c r="C702" s="1" t="n">
        <v>46035</v>
      </c>
      <c r="D702" t="inlineStr">
        <is>
          <t>SÖDERMANLANDS LÄN</t>
        </is>
      </c>
      <c r="E702" t="inlineStr">
        <is>
          <t>KATRINEHOLM</t>
        </is>
      </c>
      <c r="G702" t="n">
        <v>8</v>
      </c>
      <c r="H702" t="n">
        <v>0</v>
      </c>
      <c r="I702" t="n">
        <v>0</v>
      </c>
      <c r="J702" t="n">
        <v>0</v>
      </c>
      <c r="K702" t="n">
        <v>0</v>
      </c>
      <c r="L702" t="n">
        <v>0</v>
      </c>
      <c r="M702" t="n">
        <v>0</v>
      </c>
      <c r="N702" t="n">
        <v>0</v>
      </c>
      <c r="O702" t="n">
        <v>0</v>
      </c>
      <c r="P702" t="n">
        <v>0</v>
      </c>
      <c r="Q702" t="n">
        <v>0</v>
      </c>
      <c r="R702" s="2" t="inlineStr"/>
    </row>
    <row r="703" ht="15" customHeight="1">
      <c r="A703" t="inlineStr">
        <is>
          <t>A 38879-2024</t>
        </is>
      </c>
      <c r="B703" s="1" t="n">
        <v>45547</v>
      </c>
      <c r="C703" s="1" t="n">
        <v>46035</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46035</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25362-2023</t>
        </is>
      </c>
      <c r="B705" s="1" t="n">
        <v>45088.83430555555</v>
      </c>
      <c r="C705" s="1" t="n">
        <v>46035</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4662-2023</t>
        </is>
      </c>
      <c r="B706" s="1" t="n">
        <v>44957</v>
      </c>
      <c r="C706" s="1" t="n">
        <v>46035</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19685-2022</t>
        </is>
      </c>
      <c r="B707" s="1" t="n">
        <v>44694</v>
      </c>
      <c r="C707" s="1" t="n">
        <v>46035</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62419-2023</t>
        </is>
      </c>
      <c r="B708" s="1" t="n">
        <v>45268</v>
      </c>
      <c r="C708" s="1" t="n">
        <v>46035</v>
      </c>
      <c r="D708" t="inlineStr">
        <is>
          <t>SÖDERMANLANDS LÄN</t>
        </is>
      </c>
      <c r="E708" t="inlineStr">
        <is>
          <t>KATRINEHOLM</t>
        </is>
      </c>
      <c r="G708" t="n">
        <v>9</v>
      </c>
      <c r="H708" t="n">
        <v>0</v>
      </c>
      <c r="I708" t="n">
        <v>0</v>
      </c>
      <c r="J708" t="n">
        <v>0</v>
      </c>
      <c r="K708" t="n">
        <v>0</v>
      </c>
      <c r="L708" t="n">
        <v>0</v>
      </c>
      <c r="M708" t="n">
        <v>0</v>
      </c>
      <c r="N708" t="n">
        <v>0</v>
      </c>
      <c r="O708" t="n">
        <v>0</v>
      </c>
      <c r="P708" t="n">
        <v>0</v>
      </c>
      <c r="Q708" t="n">
        <v>0</v>
      </c>
      <c r="R708" s="2" t="inlineStr"/>
    </row>
    <row r="709" ht="15" customHeight="1">
      <c r="A709" t="inlineStr">
        <is>
          <t>A 39897-2023</t>
        </is>
      </c>
      <c r="B709" s="1" t="n">
        <v>45168</v>
      </c>
      <c r="C709" s="1" t="n">
        <v>46035</v>
      </c>
      <c r="D709" t="inlineStr">
        <is>
          <t>SÖDERMANLANDS LÄN</t>
        </is>
      </c>
      <c r="E709" t="inlineStr">
        <is>
          <t>KATRINEHOLM</t>
        </is>
      </c>
      <c r="G709" t="n">
        <v>15.6</v>
      </c>
      <c r="H709" t="n">
        <v>0</v>
      </c>
      <c r="I709" t="n">
        <v>0</v>
      </c>
      <c r="J709" t="n">
        <v>0</v>
      </c>
      <c r="K709" t="n">
        <v>0</v>
      </c>
      <c r="L709" t="n">
        <v>0</v>
      </c>
      <c r="M709" t="n">
        <v>0</v>
      </c>
      <c r="N709" t="n">
        <v>0</v>
      </c>
      <c r="O709" t="n">
        <v>0</v>
      </c>
      <c r="P709" t="n">
        <v>0</v>
      </c>
      <c r="Q709" t="n">
        <v>0</v>
      </c>
      <c r="R709" s="2" t="inlineStr"/>
    </row>
    <row r="710" ht="15" customHeight="1">
      <c r="A710" t="inlineStr">
        <is>
          <t>A 23207-2023</t>
        </is>
      </c>
      <c r="B710" s="1" t="n">
        <v>45071</v>
      </c>
      <c r="C710" s="1" t="n">
        <v>46035</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42025-2022</t>
        </is>
      </c>
      <c r="B711" s="1" t="n">
        <v>44830.47399305556</v>
      </c>
      <c r="C711" s="1" t="n">
        <v>46035</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46035</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48253-2022</t>
        </is>
      </c>
      <c r="B713" s="1" t="n">
        <v>44858</v>
      </c>
      <c r="C713" s="1" t="n">
        <v>46035</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46035</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31719-2024</t>
        </is>
      </c>
      <c r="B715" s="1" t="n">
        <v>45509</v>
      </c>
      <c r="C715" s="1" t="n">
        <v>46035</v>
      </c>
      <c r="D715" t="inlineStr">
        <is>
          <t>SÖDERMANLANDS LÄN</t>
        </is>
      </c>
      <c r="E715" t="inlineStr">
        <is>
          <t>KATRINEHOLM</t>
        </is>
      </c>
      <c r="F715" t="inlineStr">
        <is>
          <t>Kyrkan</t>
        </is>
      </c>
      <c r="G715" t="n">
        <v>11.9</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46035</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46035</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8761-2023</t>
        </is>
      </c>
      <c r="B718" s="1" t="n">
        <v>44978.49685185185</v>
      </c>
      <c r="C718" s="1" t="n">
        <v>46035</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8778-2023</t>
        </is>
      </c>
      <c r="B719" s="1" t="n">
        <v>44978.5737037037</v>
      </c>
      <c r="C719" s="1" t="n">
        <v>46035</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8457-2023</t>
        </is>
      </c>
      <c r="B720" s="1" t="n">
        <v>44977</v>
      </c>
      <c r="C720" s="1" t="n">
        <v>46035</v>
      </c>
      <c r="D720" t="inlineStr">
        <is>
          <t>SÖDERMANLANDS LÄN</t>
        </is>
      </c>
      <c r="E720" t="inlineStr">
        <is>
          <t>KATRINEHOLM</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7056-2022</t>
        </is>
      </c>
      <c r="B721" s="1" t="n">
        <v>44603</v>
      </c>
      <c r="C721" s="1" t="n">
        <v>46035</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32786-2022</t>
        </is>
      </c>
      <c r="B722" s="1" t="n">
        <v>44784</v>
      </c>
      <c r="C722" s="1" t="n">
        <v>46035</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7223-2022</t>
        </is>
      </c>
      <c r="B723" s="1" t="n">
        <v>44603</v>
      </c>
      <c r="C723" s="1" t="n">
        <v>46035</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7459-2022</t>
        </is>
      </c>
      <c r="B724" s="1" t="n">
        <v>44607.35009259259</v>
      </c>
      <c r="C724" s="1" t="n">
        <v>46035</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27375-2024</t>
        </is>
      </c>
      <c r="B725" s="1" t="n">
        <v>45473.87645833333</v>
      </c>
      <c r="C725" s="1" t="n">
        <v>46035</v>
      </c>
      <c r="D725" t="inlineStr">
        <is>
          <t>SÖDERMANLANDS LÄN</t>
        </is>
      </c>
      <c r="E725" t="inlineStr">
        <is>
          <t>KATRINEHOLM</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20768-2022</t>
        </is>
      </c>
      <c r="B726" s="1" t="n">
        <v>44701.36431712963</v>
      </c>
      <c r="C726" s="1" t="n">
        <v>46035</v>
      </c>
      <c r="D726" t="inlineStr">
        <is>
          <t>SÖDERMANLANDS LÄN</t>
        </is>
      </c>
      <c r="E726" t="inlineStr">
        <is>
          <t>KATRINEHOLM</t>
        </is>
      </c>
      <c r="G726" t="n">
        <v>3.5</v>
      </c>
      <c r="H726" t="n">
        <v>0</v>
      </c>
      <c r="I726" t="n">
        <v>0</v>
      </c>
      <c r="J726" t="n">
        <v>0</v>
      </c>
      <c r="K726" t="n">
        <v>0</v>
      </c>
      <c r="L726" t="n">
        <v>0</v>
      </c>
      <c r="M726" t="n">
        <v>0</v>
      </c>
      <c r="N726" t="n">
        <v>0</v>
      </c>
      <c r="O726" t="n">
        <v>0</v>
      </c>
      <c r="P726" t="n">
        <v>0</v>
      </c>
      <c r="Q726" t="n">
        <v>0</v>
      </c>
      <c r="R726" s="2" t="inlineStr"/>
    </row>
    <row r="727" ht="15" customHeight="1">
      <c r="A727" t="inlineStr">
        <is>
          <t>A 15284-2023</t>
        </is>
      </c>
      <c r="B727" s="1" t="n">
        <v>45019</v>
      </c>
      <c r="C727" s="1" t="n">
        <v>46035</v>
      </c>
      <c r="D727" t="inlineStr">
        <is>
          <t>SÖDERMANLANDS LÄN</t>
        </is>
      </c>
      <c r="E727" t="inlineStr">
        <is>
          <t>KATRINEHOLM</t>
        </is>
      </c>
      <c r="F727" t="inlineStr">
        <is>
          <t>Allmännings- och besparingsskogar</t>
        </is>
      </c>
      <c r="G727" t="n">
        <v>17.4</v>
      </c>
      <c r="H727" t="n">
        <v>0</v>
      </c>
      <c r="I727" t="n">
        <v>0</v>
      </c>
      <c r="J727" t="n">
        <v>0</v>
      </c>
      <c r="K727" t="n">
        <v>0</v>
      </c>
      <c r="L727" t="n">
        <v>0</v>
      </c>
      <c r="M727" t="n">
        <v>0</v>
      </c>
      <c r="N727" t="n">
        <v>0</v>
      </c>
      <c r="O727" t="n">
        <v>0</v>
      </c>
      <c r="P727" t="n">
        <v>0</v>
      </c>
      <c r="Q727" t="n">
        <v>0</v>
      </c>
      <c r="R727" s="2" t="inlineStr"/>
    </row>
    <row r="728" ht="15" customHeight="1">
      <c r="A728" t="inlineStr">
        <is>
          <t>A 51613-2022</t>
        </is>
      </c>
      <c r="B728" s="1" t="n">
        <v>44871</v>
      </c>
      <c r="C728" s="1" t="n">
        <v>46035</v>
      </c>
      <c r="D728" t="inlineStr">
        <is>
          <t>SÖDERMANLANDS LÄN</t>
        </is>
      </c>
      <c r="E728" t="inlineStr">
        <is>
          <t>KATRINEHOLM</t>
        </is>
      </c>
      <c r="G728" t="n">
        <v>3</v>
      </c>
      <c r="H728" t="n">
        <v>0</v>
      </c>
      <c r="I728" t="n">
        <v>0</v>
      </c>
      <c r="J728" t="n">
        <v>0</v>
      </c>
      <c r="K728" t="n">
        <v>0</v>
      </c>
      <c r="L728" t="n">
        <v>0</v>
      </c>
      <c r="M728" t="n">
        <v>0</v>
      </c>
      <c r="N728" t="n">
        <v>0</v>
      </c>
      <c r="O728" t="n">
        <v>0</v>
      </c>
      <c r="P728" t="n">
        <v>0</v>
      </c>
      <c r="Q728" t="n">
        <v>0</v>
      </c>
      <c r="R728" s="2" t="inlineStr"/>
    </row>
    <row r="729" ht="15" customHeight="1">
      <c r="A729" t="inlineStr">
        <is>
          <t>A 37834-2023</t>
        </is>
      </c>
      <c r="B729" s="1" t="n">
        <v>45160</v>
      </c>
      <c r="C729" s="1" t="n">
        <v>46035</v>
      </c>
      <c r="D729" t="inlineStr">
        <is>
          <t>SÖDERMANLANDS LÄN</t>
        </is>
      </c>
      <c r="E729" t="inlineStr">
        <is>
          <t>KATRINEHOLM</t>
        </is>
      </c>
      <c r="F729" t="inlineStr">
        <is>
          <t>Kyrkan</t>
        </is>
      </c>
      <c r="G729" t="n">
        <v>2.8</v>
      </c>
      <c r="H729" t="n">
        <v>0</v>
      </c>
      <c r="I729" t="n">
        <v>0</v>
      </c>
      <c r="J729" t="n">
        <v>0</v>
      </c>
      <c r="K729" t="n">
        <v>0</v>
      </c>
      <c r="L729" t="n">
        <v>0</v>
      </c>
      <c r="M729" t="n">
        <v>0</v>
      </c>
      <c r="N729" t="n">
        <v>0</v>
      </c>
      <c r="O729" t="n">
        <v>0</v>
      </c>
      <c r="P729" t="n">
        <v>0</v>
      </c>
      <c r="Q729" t="n">
        <v>0</v>
      </c>
      <c r="R729" s="2" t="inlineStr"/>
    </row>
    <row r="730" ht="15" customHeight="1">
      <c r="A730" t="inlineStr">
        <is>
          <t>A 8475-2023</t>
        </is>
      </c>
      <c r="B730" s="1" t="n">
        <v>44977</v>
      </c>
      <c r="C730" s="1" t="n">
        <v>46035</v>
      </c>
      <c r="D730" t="inlineStr">
        <is>
          <t>SÖDERMANLANDS LÄN</t>
        </is>
      </c>
      <c r="E730" t="inlineStr">
        <is>
          <t>KATRINEHOLM</t>
        </is>
      </c>
      <c r="F730" t="inlineStr">
        <is>
          <t>Allmännings- och besparingsskogar</t>
        </is>
      </c>
      <c r="G730" t="n">
        <v>8.1</v>
      </c>
      <c r="H730" t="n">
        <v>0</v>
      </c>
      <c r="I730" t="n">
        <v>0</v>
      </c>
      <c r="J730" t="n">
        <v>0</v>
      </c>
      <c r="K730" t="n">
        <v>0</v>
      </c>
      <c r="L730" t="n">
        <v>0</v>
      </c>
      <c r="M730" t="n">
        <v>0</v>
      </c>
      <c r="N730" t="n">
        <v>0</v>
      </c>
      <c r="O730" t="n">
        <v>0</v>
      </c>
      <c r="P730" t="n">
        <v>0</v>
      </c>
      <c r="Q730" t="n">
        <v>0</v>
      </c>
      <c r="R730" s="2" t="inlineStr"/>
    </row>
    <row r="731" ht="15" customHeight="1">
      <c r="A731" t="inlineStr">
        <is>
          <t>A 32890-2024</t>
        </is>
      </c>
      <c r="B731" s="1" t="n">
        <v>45516</v>
      </c>
      <c r="C731" s="1" t="n">
        <v>46035</v>
      </c>
      <c r="D731" t="inlineStr">
        <is>
          <t>SÖDERMANLANDS LÄN</t>
        </is>
      </c>
      <c r="E731" t="inlineStr">
        <is>
          <t>KATRINEHOLM</t>
        </is>
      </c>
      <c r="G731" t="n">
        <v>2.6</v>
      </c>
      <c r="H731" t="n">
        <v>0</v>
      </c>
      <c r="I731" t="n">
        <v>0</v>
      </c>
      <c r="J731" t="n">
        <v>0</v>
      </c>
      <c r="K731" t="n">
        <v>0</v>
      </c>
      <c r="L731" t="n">
        <v>0</v>
      </c>
      <c r="M731" t="n">
        <v>0</v>
      </c>
      <c r="N731" t="n">
        <v>0</v>
      </c>
      <c r="O731" t="n">
        <v>0</v>
      </c>
      <c r="P731" t="n">
        <v>0</v>
      </c>
      <c r="Q731" t="n">
        <v>0</v>
      </c>
      <c r="R731" s="2" t="inlineStr"/>
    </row>
    <row r="732" ht="15" customHeight="1">
      <c r="A732" t="inlineStr">
        <is>
          <t>A 2320-2023</t>
        </is>
      </c>
      <c r="B732" s="1" t="n">
        <v>44942.58850694444</v>
      </c>
      <c r="C732" s="1" t="n">
        <v>46035</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59898-2022</t>
        </is>
      </c>
      <c r="B733" s="1" t="n">
        <v>44908</v>
      </c>
      <c r="C733" s="1" t="n">
        <v>46035</v>
      </c>
      <c r="D733" t="inlineStr">
        <is>
          <t>SÖDERMANLANDS LÄN</t>
        </is>
      </c>
      <c r="E733" t="inlineStr">
        <is>
          <t>KATRINEHOLM</t>
        </is>
      </c>
      <c r="G733" t="n">
        <v>4.8</v>
      </c>
      <c r="H733" t="n">
        <v>0</v>
      </c>
      <c r="I733" t="n">
        <v>0</v>
      </c>
      <c r="J733" t="n">
        <v>0</v>
      </c>
      <c r="K733" t="n">
        <v>0</v>
      </c>
      <c r="L733" t="n">
        <v>0</v>
      </c>
      <c r="M733" t="n">
        <v>0</v>
      </c>
      <c r="N733" t="n">
        <v>0</v>
      </c>
      <c r="O733" t="n">
        <v>0</v>
      </c>
      <c r="P733" t="n">
        <v>0</v>
      </c>
      <c r="Q733" t="n">
        <v>0</v>
      </c>
      <c r="R733" s="2" t="inlineStr"/>
    </row>
    <row r="734" ht="15" customHeight="1">
      <c r="A734" t="inlineStr">
        <is>
          <t>A 20326-2023</t>
        </is>
      </c>
      <c r="B734" s="1" t="n">
        <v>45056.46821759259</v>
      </c>
      <c r="C734" s="1" t="n">
        <v>46035</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46035</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45246-2023</t>
        </is>
      </c>
      <c r="B736" s="1" t="n">
        <v>45191</v>
      </c>
      <c r="C736" s="1" t="n">
        <v>46035</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46035</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49914-2023</t>
        </is>
      </c>
      <c r="B738" s="1" t="n">
        <v>45214</v>
      </c>
      <c r="C738" s="1" t="n">
        <v>46035</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17335-2023</t>
        </is>
      </c>
      <c r="B739" s="1" t="n">
        <v>45033</v>
      </c>
      <c r="C739" s="1" t="n">
        <v>46035</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46035</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33141-2023</t>
        </is>
      </c>
      <c r="B741" s="1" t="n">
        <v>45126.65491898148</v>
      </c>
      <c r="C741" s="1" t="n">
        <v>46035</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58528-2024</t>
        </is>
      </c>
      <c r="B742" s="1" t="n">
        <v>45635.44527777778</v>
      </c>
      <c r="C742" s="1" t="n">
        <v>46035</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9899-2023</t>
        </is>
      </c>
      <c r="B743" s="1" t="n">
        <v>44985</v>
      </c>
      <c r="C743" s="1" t="n">
        <v>46035</v>
      </c>
      <c r="D743" t="inlineStr">
        <is>
          <t>SÖDERMANLANDS LÄN</t>
        </is>
      </c>
      <c r="E743" t="inlineStr">
        <is>
          <t>KATRINEHOLM</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8288-2023</t>
        </is>
      </c>
      <c r="B744" s="1" t="n">
        <v>44974</v>
      </c>
      <c r="C744" s="1" t="n">
        <v>46035</v>
      </c>
      <c r="D744" t="inlineStr">
        <is>
          <t>SÖDERMANLANDS LÄN</t>
        </is>
      </c>
      <c r="E744" t="inlineStr">
        <is>
          <t>KATRINEHOLM</t>
        </is>
      </c>
      <c r="F744" t="inlineStr">
        <is>
          <t>Allmännings- och besparingsskogar</t>
        </is>
      </c>
      <c r="G744" t="n">
        <v>5.6</v>
      </c>
      <c r="H744" t="n">
        <v>0</v>
      </c>
      <c r="I744" t="n">
        <v>0</v>
      </c>
      <c r="J744" t="n">
        <v>0</v>
      </c>
      <c r="K744" t="n">
        <v>0</v>
      </c>
      <c r="L744" t="n">
        <v>0</v>
      </c>
      <c r="M744" t="n">
        <v>0</v>
      </c>
      <c r="N744" t="n">
        <v>0</v>
      </c>
      <c r="O744" t="n">
        <v>0</v>
      </c>
      <c r="P744" t="n">
        <v>0</v>
      </c>
      <c r="Q744" t="n">
        <v>0</v>
      </c>
      <c r="R744" s="2" t="inlineStr"/>
    </row>
    <row r="745" ht="15" customHeight="1">
      <c r="A745" t="inlineStr">
        <is>
          <t>A 3317-2023</t>
        </is>
      </c>
      <c r="B745" s="1" t="n">
        <v>44945</v>
      </c>
      <c r="C745" s="1" t="n">
        <v>46035</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37185-2023</t>
        </is>
      </c>
      <c r="B746" s="1" t="n">
        <v>45154</v>
      </c>
      <c r="C746" s="1" t="n">
        <v>46035</v>
      </c>
      <c r="D746" t="inlineStr">
        <is>
          <t>SÖDERMANLANDS LÄN</t>
        </is>
      </c>
      <c r="E746" t="inlineStr">
        <is>
          <t>KATRINEHOLM</t>
        </is>
      </c>
      <c r="G746" t="n">
        <v>3</v>
      </c>
      <c r="H746" t="n">
        <v>0</v>
      </c>
      <c r="I746" t="n">
        <v>0</v>
      </c>
      <c r="J746" t="n">
        <v>0</v>
      </c>
      <c r="K746" t="n">
        <v>0</v>
      </c>
      <c r="L746" t="n">
        <v>0</v>
      </c>
      <c r="M746" t="n">
        <v>0</v>
      </c>
      <c r="N746" t="n">
        <v>0</v>
      </c>
      <c r="O746" t="n">
        <v>0</v>
      </c>
      <c r="P746" t="n">
        <v>0</v>
      </c>
      <c r="Q746" t="n">
        <v>0</v>
      </c>
      <c r="R746" s="2" t="inlineStr"/>
    </row>
    <row r="747" ht="15" customHeight="1">
      <c r="A747" t="inlineStr">
        <is>
          <t>A 51848-2022</t>
        </is>
      </c>
      <c r="B747" s="1" t="n">
        <v>44872.57752314815</v>
      </c>
      <c r="C747" s="1" t="n">
        <v>46035</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46035</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55169-2022</t>
        </is>
      </c>
      <c r="B749" s="1" t="n">
        <v>44886</v>
      </c>
      <c r="C749" s="1" t="n">
        <v>46035</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1329-2025</t>
        </is>
      </c>
      <c r="B750" s="1" t="n">
        <v>45667</v>
      </c>
      <c r="C750" s="1" t="n">
        <v>46035</v>
      </c>
      <c r="D750" t="inlineStr">
        <is>
          <t>SÖDERMANLANDS LÄN</t>
        </is>
      </c>
      <c r="E750" t="inlineStr">
        <is>
          <t>KATRINEHOLM</t>
        </is>
      </c>
      <c r="G750" t="n">
        <v>2.7</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46035</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24287-2024</t>
        </is>
      </c>
      <c r="B752" s="1" t="n">
        <v>45457</v>
      </c>
      <c r="C752" s="1" t="n">
        <v>46035</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8518-2023</t>
        </is>
      </c>
      <c r="B753" s="1" t="n">
        <v>44977</v>
      </c>
      <c r="C753" s="1" t="n">
        <v>46035</v>
      </c>
      <c r="D753" t="inlineStr">
        <is>
          <t>SÖDERMANLANDS LÄN</t>
        </is>
      </c>
      <c r="E753" t="inlineStr">
        <is>
          <t>KATRINEHOLM</t>
        </is>
      </c>
      <c r="F753" t="inlineStr">
        <is>
          <t>Allmännings- och besparingsskogar</t>
        </is>
      </c>
      <c r="G753" t="n">
        <v>35.3</v>
      </c>
      <c r="H753" t="n">
        <v>0</v>
      </c>
      <c r="I753" t="n">
        <v>0</v>
      </c>
      <c r="J753" t="n">
        <v>0</v>
      </c>
      <c r="K753" t="n">
        <v>0</v>
      </c>
      <c r="L753" t="n">
        <v>0</v>
      </c>
      <c r="M753" t="n">
        <v>0</v>
      </c>
      <c r="N753" t="n">
        <v>0</v>
      </c>
      <c r="O753" t="n">
        <v>0</v>
      </c>
      <c r="P753" t="n">
        <v>0</v>
      </c>
      <c r="Q753" t="n">
        <v>0</v>
      </c>
      <c r="R753" s="2" t="inlineStr"/>
    </row>
    <row r="754" ht="15" customHeight="1">
      <c r="A754" t="inlineStr">
        <is>
          <t>A 48030-2022</t>
        </is>
      </c>
      <c r="B754" s="1" t="n">
        <v>44855</v>
      </c>
      <c r="C754" s="1" t="n">
        <v>46035</v>
      </c>
      <c r="D754" t="inlineStr">
        <is>
          <t>SÖDERMANLANDS LÄN</t>
        </is>
      </c>
      <c r="E754" t="inlineStr">
        <is>
          <t>KATRINEHOLM</t>
        </is>
      </c>
      <c r="F754" t="inlineStr">
        <is>
          <t>Allmännings- och besparingsskogar</t>
        </is>
      </c>
      <c r="G754" t="n">
        <v>1.5</v>
      </c>
      <c r="H754" t="n">
        <v>0</v>
      </c>
      <c r="I754" t="n">
        <v>0</v>
      </c>
      <c r="J754" t="n">
        <v>0</v>
      </c>
      <c r="K754" t="n">
        <v>0</v>
      </c>
      <c r="L754" t="n">
        <v>0</v>
      </c>
      <c r="M754" t="n">
        <v>0</v>
      </c>
      <c r="N754" t="n">
        <v>0</v>
      </c>
      <c r="O754" t="n">
        <v>0</v>
      </c>
      <c r="P754" t="n">
        <v>0</v>
      </c>
      <c r="Q754" t="n">
        <v>0</v>
      </c>
      <c r="R754" s="2" t="inlineStr"/>
    </row>
    <row r="755" ht="15" customHeight="1">
      <c r="A755" t="inlineStr">
        <is>
          <t>A 948-2023</t>
        </is>
      </c>
      <c r="B755" s="1" t="n">
        <v>44934</v>
      </c>
      <c r="C755" s="1" t="n">
        <v>46035</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37542-2022</t>
        </is>
      </c>
      <c r="B756" s="1" t="n">
        <v>44809</v>
      </c>
      <c r="C756" s="1" t="n">
        <v>46035</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41229-2022</t>
        </is>
      </c>
      <c r="B757" s="1" t="n">
        <v>44825</v>
      </c>
      <c r="C757" s="1" t="n">
        <v>46035</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64652-2023</t>
        </is>
      </c>
      <c r="B758" s="1" t="n">
        <v>45281</v>
      </c>
      <c r="C758" s="1" t="n">
        <v>46035</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51404-2023</t>
        </is>
      </c>
      <c r="B759" s="1" t="n">
        <v>45214</v>
      </c>
      <c r="C759" s="1" t="n">
        <v>46035</v>
      </c>
      <c r="D759" t="inlineStr">
        <is>
          <t>SÖDERMANLANDS LÄN</t>
        </is>
      </c>
      <c r="E759" t="inlineStr">
        <is>
          <t>KATRINEHOLM</t>
        </is>
      </c>
      <c r="G759" t="n">
        <v>9</v>
      </c>
      <c r="H759" t="n">
        <v>0</v>
      </c>
      <c r="I759" t="n">
        <v>0</v>
      </c>
      <c r="J759" t="n">
        <v>0</v>
      </c>
      <c r="K759" t="n">
        <v>0</v>
      </c>
      <c r="L759" t="n">
        <v>0</v>
      </c>
      <c r="M759" t="n">
        <v>0</v>
      </c>
      <c r="N759" t="n">
        <v>0</v>
      </c>
      <c r="O759" t="n">
        <v>0</v>
      </c>
      <c r="P759" t="n">
        <v>0</v>
      </c>
      <c r="Q759" t="n">
        <v>0</v>
      </c>
      <c r="R759" s="2" t="inlineStr"/>
    </row>
    <row r="760" ht="15" customHeight="1">
      <c r="A760" t="inlineStr">
        <is>
          <t>A 41946-2022</t>
        </is>
      </c>
      <c r="B760" s="1" t="n">
        <v>44830.38502314815</v>
      </c>
      <c r="C760" s="1" t="n">
        <v>46035</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3115-2024</t>
        </is>
      </c>
      <c r="B761" s="1" t="n">
        <v>45316.49630787037</v>
      </c>
      <c r="C761" s="1" t="n">
        <v>46035</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61431-2024</t>
        </is>
      </c>
      <c r="B762" s="1" t="n">
        <v>45646.45950231481</v>
      </c>
      <c r="C762" s="1" t="n">
        <v>46035</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44659-2023</t>
        </is>
      </c>
      <c r="B763" s="1" t="n">
        <v>45189</v>
      </c>
      <c r="C763" s="1" t="n">
        <v>46035</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51446-2023</t>
        </is>
      </c>
      <c r="B764" s="1" t="n">
        <v>45220.48068287037</v>
      </c>
      <c r="C764" s="1" t="n">
        <v>46035</v>
      </c>
      <c r="D764" t="inlineStr">
        <is>
          <t>SÖDERMANLANDS LÄN</t>
        </is>
      </c>
      <c r="E764" t="inlineStr">
        <is>
          <t>KATRINEHOLM</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46035</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46035</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46035</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46035</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46035</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46035</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46035</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46035</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46035</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46035</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14629-2023</t>
        </is>
      </c>
      <c r="B775" s="1" t="n">
        <v>45013</v>
      </c>
      <c r="C775" s="1" t="n">
        <v>46035</v>
      </c>
      <c r="D775" t="inlineStr">
        <is>
          <t>SÖDERMANLANDS LÄN</t>
        </is>
      </c>
      <c r="E775" t="inlineStr">
        <is>
          <t>KATRINEHOLM</t>
        </is>
      </c>
      <c r="F775" t="inlineStr">
        <is>
          <t>Holmen skog AB</t>
        </is>
      </c>
      <c r="G775" t="n">
        <v>1.3</v>
      </c>
      <c r="H775" t="n">
        <v>0</v>
      </c>
      <c r="I775" t="n">
        <v>0</v>
      </c>
      <c r="J775" t="n">
        <v>0</v>
      </c>
      <c r="K775" t="n">
        <v>0</v>
      </c>
      <c r="L775" t="n">
        <v>0</v>
      </c>
      <c r="M775" t="n">
        <v>0</v>
      </c>
      <c r="N775" t="n">
        <v>0</v>
      </c>
      <c r="O775" t="n">
        <v>0</v>
      </c>
      <c r="P775" t="n">
        <v>0</v>
      </c>
      <c r="Q775" t="n">
        <v>0</v>
      </c>
      <c r="R775" s="2" t="inlineStr"/>
    </row>
    <row r="776">
      <c r="A776" t="inlineStr">
        <is>
          <t>A 49116-2024</t>
        </is>
      </c>
      <c r="B776" s="1" t="n">
        <v>45594.6605787037</v>
      </c>
      <c r="C776" s="1" t="n">
        <v>46035</v>
      </c>
      <c r="D776" t="inlineStr">
        <is>
          <t>SÖDERMANLANDS LÄN</t>
        </is>
      </c>
      <c r="E776" t="inlineStr">
        <is>
          <t>KATRINEHOLM</t>
        </is>
      </c>
      <c r="G776" t="n">
        <v>0.9</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2026-01-13T10:48:21Z</dcterms:created>
  <dcterms:modified xmlns:dcterms="http://purl.org/dc/terms/" xmlns:xsi="http://www.w3.org/2001/XMLSchema-instance" xsi:type="dcterms:W3CDTF">2026-01-13T10:48:22Z</dcterms:modified>
</cp:coreProperties>
</file>