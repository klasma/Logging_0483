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46288</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46288</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46288</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46288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46288</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46288</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54614-2021</t>
        </is>
      </c>
      <c r="B11" t="inlineStr">
        <is>
          <t>avverkningsanmälan</t>
        </is>
      </c>
      <c r="C11" t="inlineStr">
        <is>
          <t>Föryngringsavverkning</t>
        </is>
      </c>
      <c r="D11" s="1" t="n">
        <v>44473</v>
      </c>
      <c r="E11" s="1" t="n">
        <v>46288</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46288</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46288</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35137-2025</t>
        </is>
      </c>
      <c r="B14" t="inlineStr">
        <is>
          <t>avverkningsanmälan</t>
        </is>
      </c>
      <c r="C14" t="inlineStr">
        <is>
          <t>Föryngringsavverkning</t>
        </is>
      </c>
      <c r="D14" s="1" t="n">
        <v>45852</v>
      </c>
      <c r="E14" s="1" t="n">
        <v>46288</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46288</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46288</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46288</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46288</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46524-2025</t>
        </is>
      </c>
      <c r="B19" t="inlineStr">
        <is>
          <t>avverkningsanmälan</t>
        </is>
      </c>
      <c r="C19" t="inlineStr">
        <is>
          <t>Föryngringsavverkning</t>
        </is>
      </c>
      <c r="D19" s="1" t="n">
        <v>45926</v>
      </c>
      <c r="E19" s="1" t="n">
        <v>46288</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55700-2025</t>
        </is>
      </c>
      <c r="B20" t="inlineStr">
        <is>
          <t>avverkningsanmälan</t>
        </is>
      </c>
      <c r="C20" t="inlineStr">
        <is>
          <t>Föryngringsavverkning</t>
        </is>
      </c>
      <c r="D20" s="1" t="n">
        <v>45972</v>
      </c>
      <c r="E20" s="1" t="n">
        <v>46288</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46288</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46288</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46288</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46288</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46288</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46288</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46288</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46288</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46288</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46288</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46288</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46288</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46288</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46288</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46288</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46288</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46288</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1150-2025</t>
        </is>
      </c>
      <c r="B38" t="inlineStr">
        <is>
          <t>avverkningsanmälan</t>
        </is>
      </c>
      <c r="C38" t="inlineStr">
        <is>
          <t>Föryngringsavverkning</t>
        </is>
      </c>
      <c r="D38" s="1" t="n">
        <v>45666</v>
      </c>
      <c r="E38" s="1" t="n">
        <v>46288</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16458-2022</t>
        </is>
      </c>
      <c r="B39" t="inlineStr">
        <is>
          <t>avverkningsanmälan</t>
        </is>
      </c>
      <c r="C39" t="inlineStr">
        <is>
          <t>Föryngringsavverkning</t>
        </is>
      </c>
      <c r="D39" s="1" t="n">
        <v>44671</v>
      </c>
      <c r="E39" s="1" t="n">
        <v>46288</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37537-2022</t>
        </is>
      </c>
      <c r="B40" t="inlineStr">
        <is>
          <t>avverkningsanmälan</t>
        </is>
      </c>
      <c r="C40" t="inlineStr">
        <is>
          <t>Föryngringsavverkning</t>
        </is>
      </c>
      <c r="D40" s="1" t="n">
        <v>44809</v>
      </c>
      <c r="E40" s="1" t="n">
        <v>46288</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53154-2023</t>
        </is>
      </c>
      <c r="B41" t="inlineStr">
        <is>
          <t>avverkningsanmälan</t>
        </is>
      </c>
      <c r="C41" t="inlineStr">
        <is>
          <t>Föryngringsavverkning</t>
        </is>
      </c>
      <c r="D41" s="1" t="n">
        <v>45229</v>
      </c>
      <c r="E41" s="1" t="n">
        <v>46288</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42055-2025</t>
        </is>
      </c>
      <c r="B42" t="inlineStr">
        <is>
          <t>avverkningsanmälan</t>
        </is>
      </c>
      <c r="C42" t="inlineStr">
        <is>
          <t>Föryngringsavverkning</t>
        </is>
      </c>
      <c r="D42" s="1" t="n">
        <v>45903</v>
      </c>
      <c r="E42" s="1" t="n">
        <v>46288</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23077-2026</t>
        </is>
      </c>
      <c r="B43" t="inlineStr">
        <is>
          <t>avverkningsanmälan</t>
        </is>
      </c>
      <c r="C43" t="inlineStr">
        <is>
          <t>Föryngringsavverkning</t>
        </is>
      </c>
      <c r="D43" s="1" t="n">
        <v>46161</v>
      </c>
      <c r="E43" s="1" t="n">
        <v>46288</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46288</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63946-2025</t>
        </is>
      </c>
      <c r="B45" t="inlineStr">
        <is>
          <t>avverkningsanmälan</t>
        </is>
      </c>
      <c r="C45" t="inlineStr">
        <is>
          <t>Föryngringsavverkning</t>
        </is>
      </c>
      <c r="D45" s="1" t="n">
        <v>46010</v>
      </c>
      <c r="E45" s="1" t="n">
        <v>46288</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53471-2024</t>
        </is>
      </c>
      <c r="B46" t="inlineStr">
        <is>
          <t>avverkningsanmälan</t>
        </is>
      </c>
      <c r="C46" t="inlineStr">
        <is>
          <t>Föryngringsavverkning</t>
        </is>
      </c>
      <c r="D46" s="1" t="n">
        <v>45614</v>
      </c>
      <c r="E46" s="1" t="n">
        <v>46288</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16435-2026</t>
        </is>
      </c>
      <c r="B47" t="inlineStr">
        <is>
          <t>avverkningsanmälan</t>
        </is>
      </c>
      <c r="C47" t="inlineStr">
        <is>
          <t>Föryngringsavverkning</t>
        </is>
      </c>
      <c r="D47" s="1" t="n">
        <v>46111</v>
      </c>
      <c r="E47" s="1" t="n">
        <v>46288</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12937-2023</t>
        </is>
      </c>
      <c r="B48" t="inlineStr">
        <is>
          <t>avverkningsanmälan</t>
        </is>
      </c>
      <c r="C48" t="inlineStr">
        <is>
          <t>Föryngringsavverkning</t>
        </is>
      </c>
      <c r="D48" s="1" t="n">
        <v>45001</v>
      </c>
      <c r="E48" s="1" t="n">
        <v>46288</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11890-2023</t>
        </is>
      </c>
      <c r="B49" t="inlineStr">
        <is>
          <t>avverkningsanmälan</t>
        </is>
      </c>
      <c r="C49" t="inlineStr">
        <is>
          <t>Avverkning för annat ändamål</t>
        </is>
      </c>
      <c r="D49" s="1" t="n">
        <v>44995</v>
      </c>
      <c r="E49" s="1" t="n">
        <v>46288</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46288</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46288</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46288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46288</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46288</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46288</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46288</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46288</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46288</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46288</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46288</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46288</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46288</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13848-2026</t>
        </is>
      </c>
      <c r="B66" t="inlineStr">
        <is>
          <t>avverkningsanmälan</t>
        </is>
      </c>
      <c r="C66" t="inlineStr">
        <is>
          <t>Föryngringsavverkning</t>
        </is>
      </c>
      <c r="D66" s="1" t="n">
        <v>46098</v>
      </c>
      <c r="E66" s="1" t="n">
        <v>46288</v>
      </c>
      <c r="F66" t="inlineStr">
        <is>
          <t>SÖDERMANLANDS LÄN</t>
        </is>
      </c>
      <c r="G66" t="inlineStr">
        <is>
          <t>KATRINEHOLM</t>
        </is>
      </c>
      <c r="I66" t="n">
        <v>3.1</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HYPERLINK("https://klasma.github.io/Logging_0483/artfynd/A 13848-2026 artfynd.xlsx", "A 13848-2026")</f>
        <v/>
      </c>
      <c r="X66">
        <f>HYPERLINK("https://klasma.github.io/Logging_0483/kartor/A 13848-2026 karta.png", "A 13848-2026")</f>
        <v/>
      </c>
      <c r="Y66">
        <f>HYPERLINK("https://klasma.github.io/Logging_0483/kartor_geotiff/A 13848-2026 georefererad karta.tif", "A 13848-2026")</f>
        <v/>
      </c>
      <c r="AA66">
        <f>HYPERLINK("https://klasma.github.io/Logging_0483/klagomål/A 13848-2026 FSC-klagomål.docx", "A 13848-2026")</f>
        <v/>
      </c>
      <c r="AB66">
        <f>HYPERLINK("https://klasma.github.io/Logging_0483/klagomålsmail/A 13848-2026 FSC-klagomål mail.docx", "A 13848-2026")</f>
        <v/>
      </c>
      <c r="AC66">
        <f>HYPERLINK("https://klasma.github.io/Logging_0483/tillsyn/A 13848-2026 tillsynsbegäran.docx", "A 13848-2026")</f>
        <v/>
      </c>
      <c r="AD66">
        <f>HYPERLINK("https://klasma.github.io/Logging_0483/tillsynsmail/A 13848-2026 tillsynsbegäran mail.docx", "A 13848-2026")</f>
        <v/>
      </c>
    </row>
    <row r="67" ht="15" customHeight="1">
      <c r="A67" t="inlineStr">
        <is>
          <t>A 63945-2025</t>
        </is>
      </c>
      <c r="B67" t="inlineStr">
        <is>
          <t>avverkningsanmälan</t>
        </is>
      </c>
      <c r="C67" t="inlineStr">
        <is>
          <t>Föryngringsavverkning</t>
        </is>
      </c>
      <c r="D67" s="1" t="n">
        <v>46010</v>
      </c>
      <c r="E67" s="1" t="n">
        <v>46288</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46288</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57519-2021</t>
        </is>
      </c>
      <c r="B69" t="inlineStr">
        <is>
          <t>avverkningsanmälan</t>
        </is>
      </c>
      <c r="C69" t="inlineStr">
        <is>
          <t>Föryngringsavverkning</t>
        </is>
      </c>
      <c r="D69" s="1" t="n">
        <v>44483</v>
      </c>
      <c r="E69" s="1" t="n">
        <v>46288</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57519-2021 artfynd.xlsx", "A 57519-2021")</f>
        <v/>
      </c>
      <c r="X69">
        <f>HYPERLINK("https://klasma.github.io/Logging_0483/kartor/A 57519-2021 karta.png", "A 57519-2021")</f>
        <v/>
      </c>
      <c r="Y69">
        <f>HYPERLINK("https://klasma.github.io/Logging_0483/kartor_geotiff/A 57519-2021 georefererad karta.tif", "A 57519-2021")</f>
        <v/>
      </c>
      <c r="AA69">
        <f>HYPERLINK("https://klasma.github.io/Logging_0483/klagomål/A 57519-2021 FSC-klagomål.docx", "A 57519-2021")</f>
        <v/>
      </c>
      <c r="AB69">
        <f>HYPERLINK("https://klasma.github.io/Logging_0483/klagomålsmail/A 57519-2021 FSC-klagomål mail.docx", "A 57519-2021")</f>
        <v/>
      </c>
      <c r="AC69">
        <f>HYPERLINK("https://klasma.github.io/Logging_0483/tillsyn/A 57519-2021 tillsynsbegäran.docx", "A 57519-2021")</f>
        <v/>
      </c>
      <c r="AD69">
        <f>HYPERLINK("https://klasma.github.io/Logging_0483/tillsynsmail/A 57519-2021 tillsynsbegäran mail.docx", "A 57519-2021")</f>
        <v/>
      </c>
    </row>
    <row r="70" ht="15" customHeight="1">
      <c r="A70" t="inlineStr">
        <is>
          <t>A 26491-2026</t>
        </is>
      </c>
      <c r="B70" t="inlineStr">
        <is>
          <t>avverkningsanmälan</t>
        </is>
      </c>
      <c r="C70" t="inlineStr">
        <is>
          <t>Föryngringsavverkning</t>
        </is>
      </c>
      <c r="D70" s="1" t="n">
        <v>46183</v>
      </c>
      <c r="E70" s="1" t="n">
        <v>46288</v>
      </c>
      <c r="F70" t="inlineStr">
        <is>
          <t>SÖDERMANLANDS LÄN</t>
        </is>
      </c>
      <c r="G70" t="inlineStr">
        <is>
          <t>KATRINEHOLM</t>
        </is>
      </c>
      <c r="I70" t="n">
        <v>6.5</v>
      </c>
      <c r="J70" t="n">
        <v>0</v>
      </c>
      <c r="K70" t="n">
        <v>0</v>
      </c>
      <c r="L70" t="n">
        <v>1</v>
      </c>
      <c r="M70" t="n">
        <v>0</v>
      </c>
      <c r="N70" t="n">
        <v>0</v>
      </c>
      <c r="O70" t="n">
        <v>0</v>
      </c>
      <c r="P70" t="n">
        <v>0</v>
      </c>
      <c r="Q70" t="n">
        <v>1</v>
      </c>
      <c r="R70" t="n">
        <v>0</v>
      </c>
      <c r="S70" t="n">
        <v>1</v>
      </c>
      <c r="T70" t="n">
        <v>1</v>
      </c>
      <c r="U70" t="n">
        <v>1</v>
      </c>
      <c r="V70" s="2" t="inlineStr">
        <is>
          <t>Jungfrulinspraktmal</t>
        </is>
      </c>
      <c r="W70">
        <f>HYPERLINK("https://klasma.github.io/Logging_0483/artfynd/A 26491-2026 artfynd.xlsx", "A 26491-2026")</f>
        <v/>
      </c>
      <c r="X70">
        <f>HYPERLINK("https://klasma.github.io/Logging_0483/kartor/A 26491-2026 karta.png", "A 26491-2026")</f>
        <v/>
      </c>
      <c r="Y70">
        <f>HYPERLINK("https://klasma.github.io/Logging_0483/kartor_geotiff/A 26491-2026 georefererad karta.tif", "A 26491-2026")</f>
        <v/>
      </c>
      <c r="AA70">
        <f>HYPERLINK("https://klasma.github.io/Logging_0483/klagomål/A 26491-2026 FSC-klagomål.docx", "A 26491-2026")</f>
        <v/>
      </c>
      <c r="AB70">
        <f>HYPERLINK("https://klasma.github.io/Logging_0483/klagomålsmail/A 26491-2026 FSC-klagomål mail.docx", "A 26491-2026")</f>
        <v/>
      </c>
      <c r="AC70">
        <f>HYPERLINK("https://klasma.github.io/Logging_0483/tillsyn/A 26491-2026 tillsynsbegäran.docx", "A 26491-2026")</f>
        <v/>
      </c>
      <c r="AD70">
        <f>HYPERLINK("https://klasma.github.io/Logging_0483/tillsynsmail/A 26491-2026 tillsynsbegäran mail.docx", "A 26491-2026")</f>
        <v/>
      </c>
    </row>
    <row r="71" ht="15" customHeight="1">
      <c r="A71" t="inlineStr">
        <is>
          <t>A 64713-2023</t>
        </is>
      </c>
      <c r="B71" t="inlineStr">
        <is>
          <t>avverkningsanmälan</t>
        </is>
      </c>
      <c r="C71" t="inlineStr">
        <is>
          <t>Föryngringsavverkning</t>
        </is>
      </c>
      <c r="D71" s="1" t="n">
        <v>45281</v>
      </c>
      <c r="E71" s="1" t="n">
        <v>46288</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46288</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46288</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46288</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46288</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46288</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34000-2026</t>
        </is>
      </c>
      <c r="B77" t="inlineStr">
        <is>
          <t>avverkningsanmälan</t>
        </is>
      </c>
      <c r="C77" t="inlineStr">
        <is>
          <t>Avverkning för annat ändamål</t>
        </is>
      </c>
      <c r="D77" s="1" t="n">
        <v>46251</v>
      </c>
      <c r="E77" s="1" t="n">
        <v>46288</v>
      </c>
      <c r="F77" t="inlineStr">
        <is>
          <t>SÖDERMANLANDS LÄN</t>
        </is>
      </c>
      <c r="G77" t="inlineStr">
        <is>
          <t>KATRINEHOLM</t>
        </is>
      </c>
      <c r="I77" t="n">
        <v>1.4</v>
      </c>
      <c r="J77" t="n">
        <v>1</v>
      </c>
      <c r="K77" t="n">
        <v>0</v>
      </c>
      <c r="L77" t="n">
        <v>0</v>
      </c>
      <c r="M77" t="n">
        <v>0</v>
      </c>
      <c r="N77" t="n">
        <v>0</v>
      </c>
      <c r="O77" t="n">
        <v>0</v>
      </c>
      <c r="P77" t="n">
        <v>0</v>
      </c>
      <c r="Q77" t="n">
        <v>0</v>
      </c>
      <c r="R77" t="n">
        <v>0</v>
      </c>
      <c r="S77" t="n">
        <v>1</v>
      </c>
      <c r="T77" t="n">
        <v>1</v>
      </c>
      <c r="U77" t="n">
        <v>0</v>
      </c>
      <c r="V77" s="2" t="inlineStr">
        <is>
          <t>Röd glada</t>
        </is>
      </c>
      <c r="W77">
        <f>HYPERLINK("https://klasma.github.io/Logging_0483/artfynd/A 34000-2026 artfynd.xlsx", "A 34000-2026")</f>
        <v/>
      </c>
      <c r="X77">
        <f>HYPERLINK("https://klasma.github.io/Logging_0483/kartor/A 34000-2026 karta.png", "A 34000-2026")</f>
        <v/>
      </c>
      <c r="Y77">
        <f>HYPERLINK("https://klasma.github.io/Logging_0483/kartor_geotiff/A 34000-2026 georefererad karta.tif", "A 34000-2026")</f>
        <v/>
      </c>
      <c r="AA77">
        <f>HYPERLINK("https://klasma.github.io/Logging_0483/klagomål/A 34000-2026 FSC-klagomål.docx", "A 34000-2026")</f>
        <v/>
      </c>
      <c r="AB77">
        <f>HYPERLINK("https://klasma.github.io/Logging_0483/klagomålsmail/A 34000-2026 FSC-klagomål mail.docx", "A 34000-2026")</f>
        <v/>
      </c>
      <c r="AC77">
        <f>HYPERLINK("https://klasma.github.io/Logging_0483/tillsyn/A 34000-2026 tillsynsbegäran.docx", "A 34000-2026")</f>
        <v/>
      </c>
      <c r="AD77">
        <f>HYPERLINK("https://klasma.github.io/Logging_0483/tillsynsmail/A 34000-2026 tillsynsbegäran mail.docx", "A 34000-2026")</f>
        <v/>
      </c>
      <c r="AE77">
        <f>HYPERLINK("https://klasma.github.io/Logging_0483/fåglar/A 34000-2026 prioriterade fågelarter.docx", "A 34000-2026")</f>
        <v/>
      </c>
    </row>
    <row r="78" ht="15" customHeight="1">
      <c r="A78" t="inlineStr">
        <is>
          <t>A 27376-2024</t>
        </is>
      </c>
      <c r="B78" t="inlineStr">
        <is>
          <t>avverkningsanmälan</t>
        </is>
      </c>
      <c r="C78" t="inlineStr">
        <is>
          <t>Föryngringsavverkning</t>
        </is>
      </c>
      <c r="D78" s="1" t="n">
        <v>45473</v>
      </c>
      <c r="E78" s="1" t="n">
        <v>46288</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46288</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33292-2026</t>
        </is>
      </c>
      <c r="B80" t="inlineStr">
        <is>
          <t>avverkningsanmälan</t>
        </is>
      </c>
      <c r="C80" t="inlineStr">
        <is>
          <t>Avverkning för annat ändamål</t>
        </is>
      </c>
      <c r="D80" s="1" t="n">
        <v>46245</v>
      </c>
      <c r="E80" s="1" t="n">
        <v>46288</v>
      </c>
      <c r="F80" t="inlineStr">
        <is>
          <t>SÖDERMANLANDS LÄN</t>
        </is>
      </c>
      <c r="G80" t="inlineStr">
        <is>
          <t>KATRINEHOLM</t>
        </is>
      </c>
      <c r="I80" t="n">
        <v>2.8</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HYPERLINK("https://klasma.github.io/Logging_0483/artfynd/A 33292-2026 artfynd.xlsx", "A 33292-2026")</f>
        <v/>
      </c>
      <c r="X80">
        <f>HYPERLINK("https://klasma.github.io/Logging_0483/kartor/A 33292-2026 karta.png", "A 33292-2026")</f>
        <v/>
      </c>
      <c r="Y80">
        <f>HYPERLINK("https://klasma.github.io/Logging_0483/kartor_geotiff/A 33292-2026 georefererad karta.tif", "A 33292-2026")</f>
        <v/>
      </c>
      <c r="AA80">
        <f>HYPERLINK("https://klasma.github.io/Logging_0483/klagomål/A 33292-2026 FSC-klagomål.docx", "A 33292-2026")</f>
        <v/>
      </c>
      <c r="AB80">
        <f>HYPERLINK("https://klasma.github.io/Logging_0483/klagomålsmail/A 33292-2026 FSC-klagomål mail.docx", "A 33292-2026")</f>
        <v/>
      </c>
      <c r="AC80">
        <f>HYPERLINK("https://klasma.github.io/Logging_0483/tillsyn/A 33292-2026 tillsynsbegäran.docx", "A 33292-2026")</f>
        <v/>
      </c>
      <c r="AD80">
        <f>HYPERLINK("https://klasma.github.io/Logging_0483/tillsynsmail/A 33292-2026 tillsynsbegäran mail.docx", "A 33292-2026")</f>
        <v/>
      </c>
    </row>
    <row r="81" ht="15" customHeight="1">
      <c r="A81" t="inlineStr">
        <is>
          <t>A 56074-2022</t>
        </is>
      </c>
      <c r="B81" t="inlineStr">
        <is>
          <t>avverkningsanmälan</t>
        </is>
      </c>
      <c r="C81" t="inlineStr">
        <is>
          <t>Föryngringsavverkning</t>
        </is>
      </c>
      <c r="D81" s="1" t="n">
        <v>44889</v>
      </c>
      <c r="E81" s="1" t="n">
        <v>46288</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46288</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46288</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46288</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1091-2025</t>
        </is>
      </c>
      <c r="B85" t="inlineStr">
        <is>
          <t>avverkningsanmälan</t>
        </is>
      </c>
      <c r="C85" t="inlineStr">
        <is>
          <t>Föryngringsavverkning</t>
        </is>
      </c>
      <c r="D85" s="1" t="n">
        <v>45666</v>
      </c>
      <c r="E85" s="1" t="n">
        <v>46288</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46288</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46288</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46288</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46288</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46288</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46288</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46288</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46288</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46288</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46288</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46288</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46288</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46288</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46288</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46288</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46288</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70442-2021</t>
        </is>
      </c>
      <c r="B102" t="inlineStr">
        <is>
          <t>avverkningsanmälan</t>
        </is>
      </c>
      <c r="C102" t="inlineStr">
        <is>
          <t>Föryngringsavverkning</t>
        </is>
      </c>
      <c r="D102" s="1" t="n">
        <v>44536</v>
      </c>
      <c r="E102" s="1" t="n">
        <v>46288</v>
      </c>
      <c r="F102" t="inlineStr">
        <is>
          <t>SÖDERMANLANDS LÄN</t>
        </is>
      </c>
      <c r="G102" t="inlineStr">
        <is>
          <t>KATRINEHOLM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46288</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46288</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46288</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46288</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46288</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46288</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46288</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46288</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46288</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46288</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46288</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46288</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46288</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46288</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46288</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46288</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46288</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32632-2022</t>
        </is>
      </c>
      <c r="B120" t="inlineStr">
        <is>
          <t>avverkningsanmälan</t>
        </is>
      </c>
      <c r="C120" t="inlineStr">
        <is>
          <t>Föryngringsavverkning</t>
        </is>
      </c>
      <c r="D120" s="1" t="n">
        <v>44783</v>
      </c>
      <c r="E120" s="1" t="n">
        <v>46288</v>
      </c>
      <c r="F120" t="inlineStr">
        <is>
          <t>SÖDERMANLANDS LÄN</t>
        </is>
      </c>
      <c r="G120" t="inlineStr">
        <is>
          <t>KATRINEHOLM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32639-2022</t>
        </is>
      </c>
      <c r="B121" t="inlineStr">
        <is>
          <t>avverkningsanmälan</t>
        </is>
      </c>
      <c r="C121" t="inlineStr">
        <is>
          <t>Föryngringsavverkning</t>
        </is>
      </c>
      <c r="D121" s="1" t="n">
        <v>44783</v>
      </c>
      <c r="E121" s="1" t="n">
        <v>46288</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46288</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46288</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46288</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46288</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46288</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46288</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46288</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46288</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46288</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46288</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46288</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46288</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46288</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46288</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46288</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46288</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46288</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46288</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46288</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46288</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46288</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46288</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46288</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46288</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46288</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46288</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46288</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46288</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46288</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46288</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60596-2021</t>
        </is>
      </c>
      <c r="B152" t="inlineStr">
        <is>
          <t>avverkningsanmälan</t>
        </is>
      </c>
      <c r="C152" t="inlineStr">
        <is>
          <t>Föryngringsavverkning</t>
        </is>
      </c>
      <c r="D152" s="1" t="n">
        <v>44496</v>
      </c>
      <c r="E152" s="1" t="n">
        <v>46288</v>
      </c>
      <c r="F152" t="inlineStr">
        <is>
          <t>SÖDERMANLANDS LÄN</t>
        </is>
      </c>
      <c r="G152" t="inlineStr">
        <is>
          <t>KATRINEHOLM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33753-2022</t>
        </is>
      </c>
      <c r="B153" t="inlineStr">
        <is>
          <t>avverkningsanmälan</t>
        </is>
      </c>
      <c r="C153" t="inlineStr">
        <is>
          <t>Föryngringsavverkning</t>
        </is>
      </c>
      <c r="D153" s="1" t="n">
        <v>44789</v>
      </c>
      <c r="E153" s="1" t="n">
        <v>46288</v>
      </c>
      <c r="F153" t="inlineStr">
        <is>
          <t>SÖDERMANLANDS LÄN</t>
        </is>
      </c>
      <c r="G153" t="inlineStr">
        <is>
          <t>KATRINEHOLM</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46288</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7189-2022</t>
        </is>
      </c>
      <c r="B155" t="inlineStr">
        <is>
          <t>avverkningsanmälan</t>
        </is>
      </c>
      <c r="C155" t="inlineStr">
        <is>
          <t>Föryngringsavverkning</t>
        </is>
      </c>
      <c r="D155" s="1" t="n">
        <v>44605</v>
      </c>
      <c r="E155" s="1" t="n">
        <v>46288</v>
      </c>
      <c r="F155" t="inlineStr">
        <is>
          <t>SÖDERMANLANDS LÄN</t>
        </is>
      </c>
      <c r="G155" t="inlineStr">
        <is>
          <t>KATRINEHOLM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54698-2021</t>
        </is>
      </c>
      <c r="B156" t="inlineStr">
        <is>
          <t>avverkningsanmälan</t>
        </is>
      </c>
      <c r="C156" t="inlineStr">
        <is>
          <t>Föryngringsavverkning</t>
        </is>
      </c>
      <c r="D156" s="1" t="n">
        <v>44473</v>
      </c>
      <c r="E156" s="1" t="n">
        <v>46288</v>
      </c>
      <c r="F156" t="inlineStr">
        <is>
          <t>SÖDERMANLANDS LÄN</t>
        </is>
      </c>
      <c r="G156" t="inlineStr">
        <is>
          <t>KATRINEHOLM</t>
        </is>
      </c>
      <c r="H156" t="inlineStr">
        <is>
          <t>Holmen skog AB</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12658-2022</t>
        </is>
      </c>
      <c r="B157" t="inlineStr">
        <is>
          <t>avverkningsanmälan</t>
        </is>
      </c>
      <c r="C157" t="inlineStr">
        <is>
          <t>Föryngringsavverkning</t>
        </is>
      </c>
      <c r="D157" s="1" t="n">
        <v>44641</v>
      </c>
      <c r="E157" s="1" t="n">
        <v>46288</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46412-2022</t>
        </is>
      </c>
      <c r="B158" t="inlineStr">
        <is>
          <t>avverkningsanmälan</t>
        </is>
      </c>
      <c r="C158" t="inlineStr">
        <is>
          <t>Föryngringsavverkning</t>
        </is>
      </c>
      <c r="D158" s="1" t="n">
        <v>44848</v>
      </c>
      <c r="E158" s="1" t="n">
        <v>46288</v>
      </c>
      <c r="F158" t="inlineStr">
        <is>
          <t>SÖDERMANLANDS LÄN</t>
        </is>
      </c>
      <c r="G158" t="inlineStr">
        <is>
          <t>KATRINEHOLM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46288</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9419-2022</t>
        </is>
      </c>
      <c r="B160" t="inlineStr">
        <is>
          <t>avverkningsanmälan</t>
        </is>
      </c>
      <c r="C160" t="inlineStr">
        <is>
          <t>Föryngringsavverkning</t>
        </is>
      </c>
      <c r="D160" s="1" t="n">
        <v>44616</v>
      </c>
      <c r="E160" s="1" t="n">
        <v>46288</v>
      </c>
      <c r="F160" t="inlineStr">
        <is>
          <t>SÖDERMANLANDS LÄN</t>
        </is>
      </c>
      <c r="G160" t="inlineStr">
        <is>
          <t>KATRINEHOLM</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66801-2021</t>
        </is>
      </c>
      <c r="B161" t="inlineStr">
        <is>
          <t>avverkningsanmälan</t>
        </is>
      </c>
      <c r="C161" t="inlineStr">
        <is>
          <t>Föryngringsavverkning</t>
        </is>
      </c>
      <c r="D161" s="1" t="n">
        <v>44522</v>
      </c>
      <c r="E161" s="1" t="n">
        <v>46288</v>
      </c>
      <c r="F161" t="inlineStr">
        <is>
          <t>SÖDERMANLANDS LÄN</t>
        </is>
      </c>
      <c r="G161" t="inlineStr">
        <is>
          <t>KATRINEHOLM</t>
        </is>
      </c>
      <c r="H161" t="inlineStr">
        <is>
          <t>Holmen skog AB</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51885-2022</t>
        </is>
      </c>
      <c r="B162" t="inlineStr">
        <is>
          <t>avverkningsanmälan</t>
        </is>
      </c>
      <c r="C162" t="inlineStr">
        <is>
          <t>Föryngringsavverkning</t>
        </is>
      </c>
      <c r="D162" s="1" t="n">
        <v>44872</v>
      </c>
      <c r="E162" s="1" t="n">
        <v>46288</v>
      </c>
      <c r="F162" t="inlineStr">
        <is>
          <t>SÖDERMANLANDS LÄN</t>
        </is>
      </c>
      <c r="G162" t="inlineStr">
        <is>
          <t>KATRINEHOLM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42735-2022</t>
        </is>
      </c>
      <c r="B163" t="inlineStr">
        <is>
          <t>avverkningsanmälan</t>
        </is>
      </c>
      <c r="C163" t="inlineStr">
        <is>
          <t>Föryngringsavverkning</t>
        </is>
      </c>
      <c r="D163" s="1" t="n">
        <v>44832</v>
      </c>
      <c r="E163" s="1" t="n">
        <v>46288</v>
      </c>
      <c r="F163" t="inlineStr">
        <is>
          <t>SÖDERMANLANDS LÄN</t>
        </is>
      </c>
      <c r="G163" t="inlineStr">
        <is>
          <t>KATRINEHOLM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45038-2022</t>
        </is>
      </c>
      <c r="B164" t="inlineStr">
        <is>
          <t>avverkningsanmälan</t>
        </is>
      </c>
      <c r="C164" t="inlineStr">
        <is>
          <t>Föryngringsavverkning</t>
        </is>
      </c>
      <c r="D164" s="1" t="n">
        <v>44840</v>
      </c>
      <c r="E164" s="1" t="n">
        <v>46288</v>
      </c>
      <c r="F164" t="inlineStr">
        <is>
          <t>SÖDERMANLANDS LÄN</t>
        </is>
      </c>
      <c r="G164" t="inlineStr">
        <is>
          <t>KATRINEHOLM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67351-2021</t>
        </is>
      </c>
      <c r="B165" t="inlineStr">
        <is>
          <t>avverkningsanmälan</t>
        </is>
      </c>
      <c r="C165" t="inlineStr">
        <is>
          <t>Föryngringsavverkning</t>
        </is>
      </c>
      <c r="D165" s="1" t="n">
        <v>44523</v>
      </c>
      <c r="E165" s="1" t="n">
        <v>46288</v>
      </c>
      <c r="F165" t="inlineStr">
        <is>
          <t>SÖDERMANLANDS LÄN</t>
        </is>
      </c>
      <c r="G165" t="inlineStr">
        <is>
          <t>KATRINEHOLM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46288</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46288</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46288</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46288</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71129-2021</t>
        </is>
      </c>
      <c r="B170" t="inlineStr">
        <is>
          <t>avverkningsanmälan</t>
        </is>
      </c>
      <c r="C170" t="inlineStr">
        <is>
          <t>Föryngringsavverkning</t>
        </is>
      </c>
      <c r="D170" s="1" t="n">
        <v>44539</v>
      </c>
      <c r="E170" s="1" t="n">
        <v>46288</v>
      </c>
      <c r="F170" t="inlineStr">
        <is>
          <t>SÖDERMANLANDS LÄN</t>
        </is>
      </c>
      <c r="G170" t="inlineStr">
        <is>
          <t>KATRINEHOLM</t>
        </is>
      </c>
      <c r="H170" t="inlineStr">
        <is>
          <t>Holmen skog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40749-2022</t>
        </is>
      </c>
      <c r="B171" t="inlineStr">
        <is>
          <t>avverkningsanmälan</t>
        </is>
      </c>
      <c r="C171" t="inlineStr">
        <is>
          <t>Föryngringsavverkning</t>
        </is>
      </c>
      <c r="D171" s="1" t="n">
        <v>44824</v>
      </c>
      <c r="E171" s="1" t="n">
        <v>46288</v>
      </c>
      <c r="F171" t="inlineStr">
        <is>
          <t>SÖDERMANLANDS LÄN</t>
        </is>
      </c>
      <c r="G171" t="inlineStr">
        <is>
          <t>KATRINEHOLM</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39120-2023</t>
        </is>
      </c>
      <c r="B172" t="inlineStr">
        <is>
          <t>avverkningsanmälan</t>
        </is>
      </c>
      <c r="C172" t="inlineStr">
        <is>
          <t>Föryngringsavverkning</t>
        </is>
      </c>
      <c r="D172" s="1" t="n">
        <v>45165</v>
      </c>
      <c r="E172" s="1" t="n">
        <v>46288</v>
      </c>
      <c r="F172" t="inlineStr">
        <is>
          <t>SÖDERMANLANDS LÄN</t>
        </is>
      </c>
      <c r="G172" t="inlineStr">
        <is>
          <t>KATRINEHOLM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50061-2022</t>
        </is>
      </c>
      <c r="B173" t="inlineStr">
        <is>
          <t>avverkningsanmälan</t>
        </is>
      </c>
      <c r="C173" t="inlineStr">
        <is>
          <t>Föryngringsavverkning</t>
        </is>
      </c>
      <c r="D173" s="1" t="n">
        <v>44865</v>
      </c>
      <c r="E173" s="1" t="n">
        <v>46288</v>
      </c>
      <c r="F173" t="inlineStr">
        <is>
          <t>SÖDERMANLANDS LÄN</t>
        </is>
      </c>
      <c r="G173" t="inlineStr">
        <is>
          <t>KATRINEHOLM</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24287-2024</t>
        </is>
      </c>
      <c r="B174" t="inlineStr">
        <is>
          <t>avverkningsanmälan</t>
        </is>
      </c>
      <c r="C174" t="inlineStr">
        <is>
          <t>Föryngringsavverkning</t>
        </is>
      </c>
      <c r="D174" s="1" t="n">
        <v>45457</v>
      </c>
      <c r="E174" s="1" t="n">
        <v>46288</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33934-2022</t>
        </is>
      </c>
      <c r="B175" t="inlineStr">
        <is>
          <t>avverkningsanmälan</t>
        </is>
      </c>
      <c r="C175" t="inlineStr">
        <is>
          <t>Föryngringsavverkning</t>
        </is>
      </c>
      <c r="D175" s="1" t="n">
        <v>44790</v>
      </c>
      <c r="E175" s="1" t="n">
        <v>46288</v>
      </c>
      <c r="F175" t="inlineStr">
        <is>
          <t>SÖDERMANLANDS LÄN</t>
        </is>
      </c>
      <c r="G175" t="inlineStr">
        <is>
          <t>KATRINEHOLM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9699-2024</t>
        </is>
      </c>
      <c r="B176" t="inlineStr">
        <is>
          <t>avverkningsanmälan</t>
        </is>
      </c>
      <c r="C176" t="inlineStr">
        <is>
          <t>Föryngringsavverkning</t>
        </is>
      </c>
      <c r="D176" s="1" t="n">
        <v>45362</v>
      </c>
      <c r="E176" s="1" t="n">
        <v>46288</v>
      </c>
      <c r="F176" t="inlineStr">
        <is>
          <t>SÖDERMANLANDS LÄN</t>
        </is>
      </c>
      <c r="G176" t="inlineStr">
        <is>
          <t>KATRINEHOLM</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10732-2022</t>
        </is>
      </c>
      <c r="B177" t="inlineStr">
        <is>
          <t>avverkningsanmälan</t>
        </is>
      </c>
      <c r="C177" t="inlineStr">
        <is>
          <t>Föryngringsavverkning</t>
        </is>
      </c>
      <c r="D177" s="1" t="n">
        <v>44627</v>
      </c>
      <c r="E177" s="1" t="n">
        <v>46288</v>
      </c>
      <c r="F177" t="inlineStr">
        <is>
          <t>SÖDERMANLANDS LÄN</t>
        </is>
      </c>
      <c r="G177" t="inlineStr">
        <is>
          <t>KATRINEHOLM</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74354-2021</t>
        </is>
      </c>
      <c r="B178" t="inlineStr">
        <is>
          <t>avverkningsanmälan</t>
        </is>
      </c>
      <c r="C178" t="inlineStr">
        <is>
          <t>Föryngringsavverkning</t>
        </is>
      </c>
      <c r="D178" s="1" t="n">
        <v>44559</v>
      </c>
      <c r="E178" s="1" t="n">
        <v>46288</v>
      </c>
      <c r="F178" t="inlineStr">
        <is>
          <t>SÖDERMANLANDS LÄN</t>
        </is>
      </c>
      <c r="G178" t="inlineStr">
        <is>
          <t>KATRINEHOLM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33001-2024</t>
        </is>
      </c>
      <c r="B179" t="inlineStr">
        <is>
          <t>avverkningsanmälan</t>
        </is>
      </c>
      <c r="C179" t="inlineStr">
        <is>
          <t>Föryngringsavverkning</t>
        </is>
      </c>
      <c r="D179" s="1" t="n">
        <v>45517</v>
      </c>
      <c r="E179" s="1" t="n">
        <v>46288</v>
      </c>
      <c r="F179" t="inlineStr">
        <is>
          <t>SÖDERMANLANDS LÄN</t>
        </is>
      </c>
      <c r="G179" t="inlineStr">
        <is>
          <t>KATRINEHOLM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48259-2022</t>
        </is>
      </c>
      <c r="B180" t="inlineStr">
        <is>
          <t>avverkningsanmälan</t>
        </is>
      </c>
      <c r="C180" t="inlineStr">
        <is>
          <t>Föryngringsavverkning</t>
        </is>
      </c>
      <c r="D180" s="1" t="n">
        <v>44858</v>
      </c>
      <c r="E180" s="1" t="n">
        <v>46288</v>
      </c>
      <c r="F180" t="inlineStr">
        <is>
          <t>SÖDERMANLANDS LÄN</t>
        </is>
      </c>
      <c r="G180" t="inlineStr">
        <is>
          <t>KATRINEHOLM</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55034-2021</t>
        </is>
      </c>
      <c r="B181" t="inlineStr">
        <is>
          <t>avverkningsanmälan</t>
        </is>
      </c>
      <c r="C181" t="inlineStr">
        <is>
          <t>Föryngringsavverkning</t>
        </is>
      </c>
      <c r="D181" s="1" t="n">
        <v>44474</v>
      </c>
      <c r="E181" s="1" t="n">
        <v>46288</v>
      </c>
      <c r="F181" t="inlineStr">
        <is>
          <t>SÖDERMANLANDS LÄN</t>
        </is>
      </c>
      <c r="G181" t="inlineStr">
        <is>
          <t>KATRINEHOLM</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29397-2024</t>
        </is>
      </c>
      <c r="B182" t="inlineStr">
        <is>
          <t>avverkningsanmälan</t>
        </is>
      </c>
      <c r="C182" t="inlineStr">
        <is>
          <t>Föryngringsavverkning</t>
        </is>
      </c>
      <c r="D182" s="1" t="n">
        <v>45483</v>
      </c>
      <c r="E182" s="1" t="n">
        <v>46288</v>
      </c>
      <c r="F182" t="inlineStr">
        <is>
          <t>SÖDERMANLANDS LÄN</t>
        </is>
      </c>
      <c r="G182" t="inlineStr">
        <is>
          <t>KATRINEHOLM</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6807-2023</t>
        </is>
      </c>
      <c r="B183" t="inlineStr">
        <is>
          <t>avverkningsanmälan</t>
        </is>
      </c>
      <c r="C183" t="inlineStr">
        <is>
          <t>Föryngringsavverkning</t>
        </is>
      </c>
      <c r="D183" s="1" t="n">
        <v>44964</v>
      </c>
      <c r="E183" s="1" t="n">
        <v>46288</v>
      </c>
      <c r="F183" t="inlineStr">
        <is>
          <t>SÖDERMANLANDS LÄN</t>
        </is>
      </c>
      <c r="G183" t="inlineStr">
        <is>
          <t>KATRINEHOLM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24179-2024</t>
        </is>
      </c>
      <c r="B184" t="inlineStr">
        <is>
          <t>avverkningsanmälan</t>
        </is>
      </c>
      <c r="C184" t="inlineStr">
        <is>
          <t>Föryngringsavverkning</t>
        </is>
      </c>
      <c r="D184" s="1" t="n">
        <v>45456</v>
      </c>
      <c r="E184" s="1" t="n">
        <v>46288</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30276-2023</t>
        </is>
      </c>
      <c r="B185" t="inlineStr">
        <is>
          <t>avverkningsanmälan</t>
        </is>
      </c>
      <c r="C185" t="inlineStr">
        <is>
          <t>Föryngringsavverkning</t>
        </is>
      </c>
      <c r="D185" s="1" t="n">
        <v>45110</v>
      </c>
      <c r="E185" s="1" t="n">
        <v>46288</v>
      </c>
      <c r="F185" t="inlineStr">
        <is>
          <t>SÖDERMANLANDS LÄN</t>
        </is>
      </c>
      <c r="G185" t="inlineStr">
        <is>
          <t>KATRINEHOLM</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42791-2023</t>
        </is>
      </c>
      <c r="B186" t="inlineStr">
        <is>
          <t>avverkningsanmälan</t>
        </is>
      </c>
      <c r="C186" t="inlineStr">
        <is>
          <t>Föryngringsavverkning</t>
        </is>
      </c>
      <c r="D186" s="1" t="n">
        <v>45181</v>
      </c>
      <c r="E186" s="1" t="n">
        <v>46288</v>
      </c>
      <c r="F186" t="inlineStr">
        <is>
          <t>SÖDERMANLANDS LÄN</t>
        </is>
      </c>
      <c r="G186" t="inlineStr">
        <is>
          <t>KATRINEHOLM</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42792-2023</t>
        </is>
      </c>
      <c r="B187" t="inlineStr">
        <is>
          <t>avverkningsanmälan</t>
        </is>
      </c>
      <c r="C187" t="inlineStr">
        <is>
          <t>Föryngringsavverkning</t>
        </is>
      </c>
      <c r="D187" s="1" t="n">
        <v>45181</v>
      </c>
      <c r="E187" s="1" t="n">
        <v>46288</v>
      </c>
      <c r="F187" t="inlineStr">
        <is>
          <t>SÖDERMANLANDS LÄN</t>
        </is>
      </c>
      <c r="G187" t="inlineStr">
        <is>
          <t>KATRINEHOLM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32786-2022</t>
        </is>
      </c>
      <c r="B188" t="inlineStr">
        <is>
          <t>avverkningsanmälan</t>
        </is>
      </c>
      <c r="C188" t="inlineStr">
        <is>
          <t>Föryngringsavverkning</t>
        </is>
      </c>
      <c r="D188" s="1" t="n">
        <v>44784</v>
      </c>
      <c r="E188" s="1" t="n">
        <v>46288</v>
      </c>
      <c r="F188" t="inlineStr">
        <is>
          <t>SÖDERMANLANDS LÄN</t>
        </is>
      </c>
      <c r="G188" t="inlineStr">
        <is>
          <t>KATRINEHOLM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46288</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42025-2022</t>
        </is>
      </c>
      <c r="B190" t="inlineStr">
        <is>
          <t>avverkningsanmälan</t>
        </is>
      </c>
      <c r="C190" t="inlineStr">
        <is>
          <t>Föryngringsavverkning</t>
        </is>
      </c>
      <c r="D190" s="1" t="n">
        <v>44830</v>
      </c>
      <c r="E190" s="1" t="n">
        <v>46288</v>
      </c>
      <c r="F190" t="inlineStr">
        <is>
          <t>SÖDERMANLANDS LÄN</t>
        </is>
      </c>
      <c r="G190" t="inlineStr">
        <is>
          <t>KATRINEHOLM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13658-2023</t>
        </is>
      </c>
      <c r="B191" t="inlineStr">
        <is>
          <t>avverkningsanmälan</t>
        </is>
      </c>
      <c r="C191" t="inlineStr">
        <is>
          <t>Föryngringsavverkning</t>
        </is>
      </c>
      <c r="D191" s="1" t="n">
        <v>45006</v>
      </c>
      <c r="E191" s="1" t="n">
        <v>46288</v>
      </c>
      <c r="F191" t="inlineStr">
        <is>
          <t>SÖDERMANLANDS LÄN</t>
        </is>
      </c>
      <c r="G191" t="inlineStr">
        <is>
          <t>KATRINEHOLM</t>
        </is>
      </c>
      <c r="H191" t="inlineStr">
        <is>
          <t>Kyrkan</t>
        </is>
      </c>
      <c r="I191" t="n">
        <v>24.3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46288</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46288</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24748-2024</t>
        </is>
      </c>
      <c r="B194" t="inlineStr">
        <is>
          <t>avverkningsanmälan</t>
        </is>
      </c>
      <c r="C194" t="inlineStr">
        <is>
          <t>Föryngringsavverkning</t>
        </is>
      </c>
      <c r="D194" s="1" t="n">
        <v>45460</v>
      </c>
      <c r="E194" s="1" t="n">
        <v>46288</v>
      </c>
      <c r="F194" t="inlineStr">
        <is>
          <t>SÖDERMANLANDS LÄN</t>
        </is>
      </c>
      <c r="G194" t="inlineStr">
        <is>
          <t>KATRINEHOLM</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15235-2023</t>
        </is>
      </c>
      <c r="B195" t="inlineStr">
        <is>
          <t>avverkningsanmälan</t>
        </is>
      </c>
      <c r="C195" t="inlineStr">
        <is>
          <t>Föryngringsavverkning</t>
        </is>
      </c>
      <c r="D195" s="1" t="n">
        <v>45019</v>
      </c>
      <c r="E195" s="1" t="n">
        <v>46288</v>
      </c>
      <c r="F195" t="inlineStr">
        <is>
          <t>SÖDERMANLANDS LÄN</t>
        </is>
      </c>
      <c r="G195" t="inlineStr">
        <is>
          <t>KATRINEHOLM</t>
        </is>
      </c>
      <c r="H195" t="inlineStr">
        <is>
          <t>Holmen skog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45793-2022</t>
        </is>
      </c>
      <c r="B196" t="inlineStr">
        <is>
          <t>avverkningsanmälan</t>
        </is>
      </c>
      <c r="C196" t="inlineStr">
        <is>
          <t>Föryngringsavverkning</t>
        </is>
      </c>
      <c r="D196" s="1" t="n">
        <v>44844</v>
      </c>
      <c r="E196" s="1" t="n">
        <v>46288</v>
      </c>
      <c r="F196" t="inlineStr">
        <is>
          <t>SÖDERMANLANDS LÄN</t>
        </is>
      </c>
      <c r="G196" t="inlineStr">
        <is>
          <t>KATRINEHOLM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44915-2022</t>
        </is>
      </c>
      <c r="B197" t="inlineStr">
        <is>
          <t>avverkningsanmälan</t>
        </is>
      </c>
      <c r="C197" t="inlineStr">
        <is>
          <t>Föryngringsavverkning</t>
        </is>
      </c>
      <c r="D197" s="1" t="n">
        <v>44840</v>
      </c>
      <c r="E197" s="1" t="n">
        <v>46288</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15184-2023</t>
        </is>
      </c>
      <c r="B198" t="inlineStr">
        <is>
          <t>avverkningsanmälan</t>
        </is>
      </c>
      <c r="C198" t="inlineStr">
        <is>
          <t>Föryngringsavverkning</t>
        </is>
      </c>
      <c r="D198" s="1" t="n">
        <v>45016</v>
      </c>
      <c r="E198" s="1" t="n">
        <v>46288</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4387-2024</t>
        </is>
      </c>
      <c r="B199" t="inlineStr">
        <is>
          <t>avverkningsanmälan</t>
        </is>
      </c>
      <c r="C199" t="inlineStr">
        <is>
          <t>Föryngringsavverkning</t>
        </is>
      </c>
      <c r="D199" s="1" t="n">
        <v>45327</v>
      </c>
      <c r="E199" s="1" t="n">
        <v>46288</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18386-2025</t>
        </is>
      </c>
      <c r="B200" t="inlineStr">
        <is>
          <t>avverkningsanmälan</t>
        </is>
      </c>
      <c r="C200" t="inlineStr">
        <is>
          <t>Avverkning för annat ändamål</t>
        </is>
      </c>
      <c r="D200" s="1" t="n">
        <v>45762</v>
      </c>
      <c r="E200" s="1" t="n">
        <v>46288</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14313-2024</t>
        </is>
      </c>
      <c r="B201" t="inlineStr">
        <is>
          <t>avverkningsanmälan</t>
        </is>
      </c>
      <c r="C201" t="inlineStr">
        <is>
          <t>Föryngringsavverkning</t>
        </is>
      </c>
      <c r="D201" s="1" t="n">
        <v>45393</v>
      </c>
      <c r="E201" s="1" t="n">
        <v>46288</v>
      </c>
      <c r="F201" t="inlineStr">
        <is>
          <t>SÖDERMANLANDS LÄN</t>
        </is>
      </c>
      <c r="G201" t="inlineStr">
        <is>
          <t>KATRINEHOLM</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7398-2024</t>
        </is>
      </c>
      <c r="B202" t="inlineStr">
        <is>
          <t>avverkningsanmälan</t>
        </is>
      </c>
      <c r="C202" t="inlineStr">
        <is>
          <t>Föryngringsavverkning</t>
        </is>
      </c>
      <c r="D202" s="1" t="n">
        <v>45345</v>
      </c>
      <c r="E202" s="1" t="n">
        <v>46288</v>
      </c>
      <c r="F202" t="inlineStr">
        <is>
          <t>SÖDERMANLANDS LÄN</t>
        </is>
      </c>
      <c r="G202" t="inlineStr">
        <is>
          <t>KATRINEHOLM</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12938-2023</t>
        </is>
      </c>
      <c r="B203" t="inlineStr">
        <is>
          <t>avverkningsanmälan</t>
        </is>
      </c>
      <c r="C203" t="inlineStr">
        <is>
          <t>Föryngringsavverkning</t>
        </is>
      </c>
      <c r="D203" s="1" t="n">
        <v>45001</v>
      </c>
      <c r="E203" s="1" t="n">
        <v>46288</v>
      </c>
      <c r="F203" t="inlineStr">
        <is>
          <t>SÖDERMANLANDS LÄN</t>
        </is>
      </c>
      <c r="G203" t="inlineStr">
        <is>
          <t>KATRINEHOLM</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8955-2024</t>
        </is>
      </c>
      <c r="B204" t="inlineStr">
        <is>
          <t>avverkningsanmälan</t>
        </is>
      </c>
      <c r="C204" t="inlineStr">
        <is>
          <t>Föryngringsavverkning</t>
        </is>
      </c>
      <c r="D204" s="1" t="n">
        <v>45357</v>
      </c>
      <c r="E204" s="1" t="n">
        <v>46288</v>
      </c>
      <c r="F204" t="inlineStr">
        <is>
          <t>SÖDERMANLANDS LÄN</t>
        </is>
      </c>
      <c r="G204" t="inlineStr">
        <is>
          <t>KATRINEHOLM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36001-2024</t>
        </is>
      </c>
      <c r="B205" t="inlineStr">
        <is>
          <t>avverkningsanmälan</t>
        </is>
      </c>
      <c r="C205" t="inlineStr">
        <is>
          <t>Föryngringsavverkning</t>
        </is>
      </c>
      <c r="D205" s="1" t="n">
        <v>45533</v>
      </c>
      <c r="E205" s="1" t="n">
        <v>46288</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36-2023</t>
        </is>
      </c>
      <c r="B206" t="inlineStr">
        <is>
          <t>avverkningsanmälan</t>
        </is>
      </c>
      <c r="C206" t="inlineStr">
        <is>
          <t>Föryngringsavverkning</t>
        </is>
      </c>
      <c r="D206" s="1" t="n">
        <v>44928</v>
      </c>
      <c r="E206" s="1" t="n">
        <v>46288</v>
      </c>
      <c r="F206" t="inlineStr">
        <is>
          <t>SÖDERMANLANDS LÄN</t>
        </is>
      </c>
      <c r="G206" t="inlineStr">
        <is>
          <t>KATRINEHOLM</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46569-2022</t>
        </is>
      </c>
      <c r="B207" t="inlineStr">
        <is>
          <t>avverkningsanmälan</t>
        </is>
      </c>
      <c r="C207" t="inlineStr">
        <is>
          <t>Föryngringsavverkning</t>
        </is>
      </c>
      <c r="D207" s="1" t="n">
        <v>44847</v>
      </c>
      <c r="E207" s="1" t="n">
        <v>46288</v>
      </c>
      <c r="F207" t="inlineStr">
        <is>
          <t>SÖDERMANLANDS LÄN</t>
        </is>
      </c>
      <c r="G207" t="inlineStr">
        <is>
          <t>KATRINEHOLM</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19098-2022</t>
        </is>
      </c>
      <c r="B208" t="inlineStr">
        <is>
          <t>avverkningsanmälan</t>
        </is>
      </c>
      <c r="C208" t="inlineStr">
        <is>
          <t>Föryngringsavverkning</t>
        </is>
      </c>
      <c r="D208" s="1" t="n">
        <v>44691</v>
      </c>
      <c r="E208" s="1" t="n">
        <v>46288</v>
      </c>
      <c r="F208" t="inlineStr">
        <is>
          <t>SÖDERMANLANDS LÄN</t>
        </is>
      </c>
      <c r="G208" t="inlineStr">
        <is>
          <t>KATRINEHOLM</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3315-2023</t>
        </is>
      </c>
      <c r="B209" t="inlineStr">
        <is>
          <t>avverkningsanmälan</t>
        </is>
      </c>
      <c r="C209" t="inlineStr">
        <is>
          <t>Föryngringsavverkning</t>
        </is>
      </c>
      <c r="D209" s="1" t="n">
        <v>44945</v>
      </c>
      <c r="E209" s="1" t="n">
        <v>46288</v>
      </c>
      <c r="F209" t="inlineStr">
        <is>
          <t>SÖDERMANLANDS LÄN</t>
        </is>
      </c>
      <c r="G209" t="inlineStr">
        <is>
          <t>KATRINEHOLM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51530-2023</t>
        </is>
      </c>
      <c r="B210" t="inlineStr">
        <is>
          <t>avverkningsanmälan</t>
        </is>
      </c>
      <c r="C210" t="inlineStr">
        <is>
          <t>Föryngringsavverkning</t>
        </is>
      </c>
      <c r="D210" s="1" t="n">
        <v>45222</v>
      </c>
      <c r="E210" s="1" t="n">
        <v>46288</v>
      </c>
      <c r="F210" t="inlineStr">
        <is>
          <t>SÖDERMANLANDS LÄN</t>
        </is>
      </c>
      <c r="G210" t="inlineStr">
        <is>
          <t>KATRINEHOLM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2093-2025</t>
        </is>
      </c>
      <c r="B211" t="inlineStr">
        <is>
          <t>avverkningsanmälan</t>
        </is>
      </c>
      <c r="C211" t="inlineStr">
        <is>
          <t>Föryngringsavverkning</t>
        </is>
      </c>
      <c r="D211" s="1" t="n">
        <v>45672</v>
      </c>
      <c r="E211" s="1" t="n">
        <v>46288</v>
      </c>
      <c r="F211" t="inlineStr">
        <is>
          <t>SÖDERMANLANDS LÄN</t>
        </is>
      </c>
      <c r="G211" t="inlineStr">
        <is>
          <t>KATRINEHOLM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20826-2022</t>
        </is>
      </c>
      <c r="B212" t="inlineStr">
        <is>
          <t>avverkningsanmälan</t>
        </is>
      </c>
      <c r="C212" t="inlineStr">
        <is>
          <t>Föryngringsavverkning</t>
        </is>
      </c>
      <c r="D212" s="1" t="n">
        <v>44701</v>
      </c>
      <c r="E212" s="1" t="n">
        <v>46288</v>
      </c>
      <c r="F212" t="inlineStr">
        <is>
          <t>SÖDERMANLANDS LÄN</t>
        </is>
      </c>
      <c r="G212" t="inlineStr">
        <is>
          <t>KATRINEHOLM</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20846-2022</t>
        </is>
      </c>
      <c r="B213" t="inlineStr">
        <is>
          <t>avverkningsanmälan</t>
        </is>
      </c>
      <c r="C213" t="inlineStr">
        <is>
          <t>Föryngringsavverkning</t>
        </is>
      </c>
      <c r="D213" s="1" t="n">
        <v>44701</v>
      </c>
      <c r="E213" s="1" t="n">
        <v>46288</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6628-2022</t>
        </is>
      </c>
      <c r="B214" t="inlineStr">
        <is>
          <t>avverkningsanmälan</t>
        </is>
      </c>
      <c r="C214" t="inlineStr">
        <is>
          <t>Föryngringsavverkning</t>
        </is>
      </c>
      <c r="D214" s="1" t="n">
        <v>44601</v>
      </c>
      <c r="E214" s="1" t="n">
        <v>46288</v>
      </c>
      <c r="F214" t="inlineStr">
        <is>
          <t>SÖDERMANLANDS LÄN</t>
        </is>
      </c>
      <c r="G214" t="inlineStr">
        <is>
          <t>KATRINEHOLM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12930-2023</t>
        </is>
      </c>
      <c r="B215" t="inlineStr">
        <is>
          <t>avverkningsanmälan</t>
        </is>
      </c>
      <c r="C215" t="inlineStr">
        <is>
          <t>Föryngringsavverkning</t>
        </is>
      </c>
      <c r="D215" s="1" t="n">
        <v>45001</v>
      </c>
      <c r="E215" s="1" t="n">
        <v>46288</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23031-2024</t>
        </is>
      </c>
      <c r="B216" t="inlineStr">
        <is>
          <t>avverkningsanmälan</t>
        </is>
      </c>
      <c r="C216" t="inlineStr">
        <is>
          <t>Avverkning för att bevara och utveckla /försöksver</t>
        </is>
      </c>
      <c r="D216" s="1" t="n">
        <v>45450</v>
      </c>
      <c r="E216" s="1" t="n">
        <v>46288</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55856-2022</t>
        </is>
      </c>
      <c r="B217" t="inlineStr">
        <is>
          <t>avverkningsanmälan</t>
        </is>
      </c>
      <c r="C217" t="inlineStr">
        <is>
          <t>Föryngringsavverkning</t>
        </is>
      </c>
      <c r="D217" s="1" t="n">
        <v>44888</v>
      </c>
      <c r="E217" s="1" t="n">
        <v>46288</v>
      </c>
      <c r="F217" t="inlineStr">
        <is>
          <t>SÖDERMANLANDS LÄN</t>
        </is>
      </c>
      <c r="G217" t="inlineStr">
        <is>
          <t>KATRINEHOLM</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15284-2023</t>
        </is>
      </c>
      <c r="B218" t="inlineStr">
        <is>
          <t>avverkningsanmälan</t>
        </is>
      </c>
      <c r="C218" t="inlineStr">
        <is>
          <t>Föryngringsavverkning</t>
        </is>
      </c>
      <c r="D218" s="1" t="n">
        <v>45019</v>
      </c>
      <c r="E218" s="1" t="n">
        <v>46288</v>
      </c>
      <c r="F218" t="inlineStr">
        <is>
          <t>SÖDERMANLANDS LÄN</t>
        </is>
      </c>
      <c r="G218" t="inlineStr">
        <is>
          <t>KATRINEHOLM</t>
        </is>
      </c>
      <c r="H218" t="inlineStr">
        <is>
          <t>Allmännings- och besparingsskogar</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37542-2022</t>
        </is>
      </c>
      <c r="B219" t="inlineStr">
        <is>
          <t>avverkningsanmälan</t>
        </is>
      </c>
      <c r="C219" t="inlineStr">
        <is>
          <t>Föryngringsavverkning</t>
        </is>
      </c>
      <c r="D219" s="1" t="n">
        <v>44809</v>
      </c>
      <c r="E219" s="1" t="n">
        <v>46288</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9932-2023</t>
        </is>
      </c>
      <c r="B220" t="inlineStr">
        <is>
          <t>avverkningsanmälan</t>
        </is>
      </c>
      <c r="C220" t="inlineStr">
        <is>
          <t>Föryngringsavverkning</t>
        </is>
      </c>
      <c r="D220" s="1" t="n">
        <v>44985</v>
      </c>
      <c r="E220" s="1" t="n">
        <v>46288</v>
      </c>
      <c r="F220" t="inlineStr">
        <is>
          <t>SÖDERMANLANDS LÄN</t>
        </is>
      </c>
      <c r="G220" t="inlineStr">
        <is>
          <t>KATRINEHOLM</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42590-2022</t>
        </is>
      </c>
      <c r="B221" t="inlineStr">
        <is>
          <t>avverkningsanmälan</t>
        </is>
      </c>
      <c r="C221" t="inlineStr">
        <is>
          <t>Föryngringsavverkning</t>
        </is>
      </c>
      <c r="D221" s="1" t="n">
        <v>44831</v>
      </c>
      <c r="E221" s="1" t="n">
        <v>46288</v>
      </c>
      <c r="F221" t="inlineStr">
        <is>
          <t>SÖDERMANLANDS LÄN</t>
        </is>
      </c>
      <c r="G221" t="inlineStr">
        <is>
          <t>KATRINEHOLM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48520-2023</t>
        </is>
      </c>
      <c r="B222" t="inlineStr">
        <is>
          <t>avverkningsanmälan</t>
        </is>
      </c>
      <c r="C222" t="inlineStr">
        <is>
          <t>Föryngringsavverkning</t>
        </is>
      </c>
      <c r="D222" s="1" t="n">
        <v>45208</v>
      </c>
      <c r="E222" s="1" t="n">
        <v>46288</v>
      </c>
      <c r="F222" t="inlineStr">
        <is>
          <t>SÖDERMANLANDS LÄN</t>
        </is>
      </c>
      <c r="G222" t="inlineStr">
        <is>
          <t>KATRINEHOLM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9693-2024</t>
        </is>
      </c>
      <c r="B223" t="inlineStr">
        <is>
          <t>avverkningsanmälan</t>
        </is>
      </c>
      <c r="C223" t="inlineStr">
        <is>
          <t>Föryngringsavverkning</t>
        </is>
      </c>
      <c r="D223" s="1" t="n">
        <v>45362</v>
      </c>
      <c r="E223" s="1" t="n">
        <v>46288</v>
      </c>
      <c r="F223" t="inlineStr">
        <is>
          <t>SÖDERMANLANDS LÄN</t>
        </is>
      </c>
      <c r="G223" t="inlineStr">
        <is>
          <t>KATRINEHOLM</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55296-2022</t>
        </is>
      </c>
      <c r="B224" t="inlineStr">
        <is>
          <t>avverkningsanmälan</t>
        </is>
      </c>
      <c r="C224" t="inlineStr">
        <is>
          <t>Avverkning för annat ändamål</t>
        </is>
      </c>
      <c r="D224" s="1" t="n">
        <v>44887</v>
      </c>
      <c r="E224" s="1" t="n">
        <v>46288</v>
      </c>
      <c r="F224" t="inlineStr">
        <is>
          <t>SÖDERMANLANDS LÄN</t>
        </is>
      </c>
      <c r="G224" t="inlineStr">
        <is>
          <t>KATRINEHOLM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34739-2023</t>
        </is>
      </c>
      <c r="B225" t="inlineStr">
        <is>
          <t>avverkningsanmälan</t>
        </is>
      </c>
      <c r="C225" t="inlineStr">
        <is>
          <t>Föryngringsavverkning</t>
        </is>
      </c>
      <c r="D225" s="1" t="n">
        <v>45141</v>
      </c>
      <c r="E225" s="1" t="n">
        <v>46288</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32818-2023</t>
        </is>
      </c>
      <c r="B226" t="inlineStr">
        <is>
          <t>avverkningsanmälan</t>
        </is>
      </c>
      <c r="C226" t="inlineStr">
        <is>
          <t>Föryngringsavverkning</t>
        </is>
      </c>
      <c r="D226" s="1" t="n">
        <v>45124</v>
      </c>
      <c r="E226" s="1" t="n">
        <v>46288</v>
      </c>
      <c r="F226" t="inlineStr">
        <is>
          <t>SÖDERMANLANDS LÄN</t>
        </is>
      </c>
      <c r="G226" t="inlineStr">
        <is>
          <t>KATRINEHOLM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17360-2022</t>
        </is>
      </c>
      <c r="B227" t="inlineStr">
        <is>
          <t>avverkningsanmälan</t>
        </is>
      </c>
      <c r="C227" t="inlineStr">
        <is>
          <t>Föryngringsavverkning</t>
        </is>
      </c>
      <c r="D227" s="1" t="n">
        <v>44678</v>
      </c>
      <c r="E227" s="1" t="n">
        <v>46288</v>
      </c>
      <c r="F227" t="inlineStr">
        <is>
          <t>SÖDERMANLANDS LÄN</t>
        </is>
      </c>
      <c r="G227" t="inlineStr">
        <is>
          <t>KATRINEHOLM</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35864-2023</t>
        </is>
      </c>
      <c r="B228" t="inlineStr">
        <is>
          <t>avverkningsanmälan</t>
        </is>
      </c>
      <c r="C228" t="inlineStr">
        <is>
          <t>Föryngringsavverkning</t>
        </is>
      </c>
      <c r="D228" s="1" t="n">
        <v>45147</v>
      </c>
      <c r="E228" s="1" t="n">
        <v>46288</v>
      </c>
      <c r="F228" t="inlineStr">
        <is>
          <t>SÖDERMANLANDS LÄN</t>
        </is>
      </c>
      <c r="G228" t="inlineStr">
        <is>
          <t>KATRINEHOLM</t>
        </is>
      </c>
      <c r="H228" t="inlineStr">
        <is>
          <t>Övriga Aktiebolag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6810-2023</t>
        </is>
      </c>
      <c r="B229" t="inlineStr">
        <is>
          <t>avverkningsanmälan</t>
        </is>
      </c>
      <c r="C229" t="inlineStr">
        <is>
          <t>Föryngringsavverkning</t>
        </is>
      </c>
      <c r="D229" s="1" t="n">
        <v>44964</v>
      </c>
      <c r="E229" s="1" t="n">
        <v>46288</v>
      </c>
      <c r="F229" t="inlineStr">
        <is>
          <t>SÖDERMANLANDS LÄN</t>
        </is>
      </c>
      <c r="G229" t="inlineStr">
        <is>
          <t>KATRINEHOLM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11635-2023</t>
        </is>
      </c>
      <c r="B230" t="inlineStr">
        <is>
          <t>avverkningsanmälan</t>
        </is>
      </c>
      <c r="C230" t="inlineStr">
        <is>
          <t>Föryngringsavverkning</t>
        </is>
      </c>
      <c r="D230" s="1" t="n">
        <v>44994</v>
      </c>
      <c r="E230" s="1" t="n">
        <v>46288</v>
      </c>
      <c r="F230" t="inlineStr">
        <is>
          <t>SÖDERMANLANDS LÄN</t>
        </is>
      </c>
      <c r="G230" t="inlineStr">
        <is>
          <t>KATRINEHOLM</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34732-2022</t>
        </is>
      </c>
      <c r="B231" t="inlineStr">
        <is>
          <t>avverkningsanmälan</t>
        </is>
      </c>
      <c r="C231" t="inlineStr">
        <is>
          <t>Föryngringsavverkning</t>
        </is>
      </c>
      <c r="D231" s="1" t="n">
        <v>44795</v>
      </c>
      <c r="E231" s="1" t="n">
        <v>46288</v>
      </c>
      <c r="F231" t="inlineStr">
        <is>
          <t>SÖDERMANLANDS LÄN</t>
        </is>
      </c>
      <c r="G231" t="inlineStr">
        <is>
          <t>KATRINEHOLM</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3982-2024</t>
        </is>
      </c>
      <c r="B232" t="inlineStr">
        <is>
          <t>avverkningsanmälan</t>
        </is>
      </c>
      <c r="C232" t="inlineStr">
        <is>
          <t>Föryngringsavverkning</t>
        </is>
      </c>
      <c r="D232" s="1" t="n">
        <v>45322</v>
      </c>
      <c r="E232" s="1" t="n">
        <v>46288</v>
      </c>
      <c r="F232" t="inlineStr">
        <is>
          <t>SÖDERMANLANDS LÄN</t>
        </is>
      </c>
      <c r="G232" t="inlineStr">
        <is>
          <t>KATRINEHOLM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13086-2023</t>
        </is>
      </c>
      <c r="B233" t="inlineStr">
        <is>
          <t>avverkningsanmälan</t>
        </is>
      </c>
      <c r="C233" t="inlineStr">
        <is>
          <t>Föryngringsavverkning</t>
        </is>
      </c>
      <c r="D233" s="1" t="n">
        <v>45002</v>
      </c>
      <c r="E233" s="1" t="n">
        <v>46288</v>
      </c>
      <c r="F233" t="inlineStr">
        <is>
          <t>SÖDERMANLANDS LÄN</t>
        </is>
      </c>
      <c r="G233" t="inlineStr">
        <is>
          <t>KATRINEHOLM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57154-2023</t>
        </is>
      </c>
      <c r="B234" t="inlineStr">
        <is>
          <t>avverkningsanmälan</t>
        </is>
      </c>
      <c r="C234" t="inlineStr">
        <is>
          <t>Föryngringsavverkning</t>
        </is>
      </c>
      <c r="D234" s="1" t="n">
        <v>45245</v>
      </c>
      <c r="E234" s="1" t="n">
        <v>46288</v>
      </c>
      <c r="F234" t="inlineStr">
        <is>
          <t>SÖDERMANLANDS LÄN</t>
        </is>
      </c>
      <c r="G234" t="inlineStr">
        <is>
          <t>KATRINEHOLM</t>
        </is>
      </c>
      <c r="H234" t="inlineStr">
        <is>
          <t>Allmännings- och besparingsskogar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6298-2024</t>
        </is>
      </c>
      <c r="B235" t="inlineStr">
        <is>
          <t>avverkningsanmälan</t>
        </is>
      </c>
      <c r="C235" t="inlineStr">
        <is>
          <t>Föryngringsavverkning</t>
        </is>
      </c>
      <c r="D235" s="1" t="n">
        <v>45338</v>
      </c>
      <c r="E235" s="1" t="n">
        <v>46288</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57265-2022</t>
        </is>
      </c>
      <c r="B236" t="inlineStr">
        <is>
          <t>avverkningsanmälan</t>
        </is>
      </c>
      <c r="C236" t="inlineStr">
        <is>
          <t>Föryngringsavverkning</t>
        </is>
      </c>
      <c r="D236" s="1" t="n">
        <v>44895</v>
      </c>
      <c r="E236" s="1" t="n">
        <v>46288</v>
      </c>
      <c r="F236" t="inlineStr">
        <is>
          <t>SÖDERMANLANDS LÄN</t>
        </is>
      </c>
      <c r="G236" t="inlineStr">
        <is>
          <t>KATRINEHOLM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36366-2023</t>
        </is>
      </c>
      <c r="B237" t="inlineStr">
        <is>
          <t>avverkningsanmälan</t>
        </is>
      </c>
      <c r="C237" t="inlineStr">
        <is>
          <t>Föryngringsavverkning</t>
        </is>
      </c>
      <c r="D237" s="1" t="n">
        <v>45152</v>
      </c>
      <c r="E237" s="1" t="n">
        <v>46288</v>
      </c>
      <c r="F237" t="inlineStr">
        <is>
          <t>SÖDERMANLANDS LÄN</t>
        </is>
      </c>
      <c r="G237" t="inlineStr">
        <is>
          <t>KATRINEHOLM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48877-2022</t>
        </is>
      </c>
      <c r="B238" t="inlineStr">
        <is>
          <t>avverkningsanmälan</t>
        </is>
      </c>
      <c r="C238" t="inlineStr">
        <is>
          <t>Föryngringsavverkning</t>
        </is>
      </c>
      <c r="D238" s="1" t="n">
        <v>44859</v>
      </c>
      <c r="E238" s="1" t="n">
        <v>46288</v>
      </c>
      <c r="F238" t="inlineStr">
        <is>
          <t>SÖDERMANLANDS LÄN</t>
        </is>
      </c>
      <c r="G238" t="inlineStr">
        <is>
          <t>KATRINEHOLM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23705-2023</t>
        </is>
      </c>
      <c r="B239" t="inlineStr">
        <is>
          <t>avverkningsanmälan</t>
        </is>
      </c>
      <c r="C239" t="inlineStr">
        <is>
          <t>Föryngringsavverkning</t>
        </is>
      </c>
      <c r="D239" s="1" t="n">
        <v>45077</v>
      </c>
      <c r="E239" s="1" t="n">
        <v>46288</v>
      </c>
      <c r="F239" t="inlineStr">
        <is>
          <t>SÖDERMANLANDS LÄN</t>
        </is>
      </c>
      <c r="G239" t="inlineStr">
        <is>
          <t>KATRINEHOLM</t>
        </is>
      </c>
      <c r="H239" t="inlineStr">
        <is>
          <t>Kyrkan</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34539-2022</t>
        </is>
      </c>
      <c r="B240" t="inlineStr">
        <is>
          <t>avverkningsanmälan</t>
        </is>
      </c>
      <c r="C240" t="inlineStr">
        <is>
          <t>Föryngringsavverkning</t>
        </is>
      </c>
      <c r="D240" s="1" t="n">
        <v>44793</v>
      </c>
      <c r="E240" s="1" t="n">
        <v>46288</v>
      </c>
      <c r="F240" t="inlineStr">
        <is>
          <t>SÖDERMANLANDS LÄN</t>
        </is>
      </c>
      <c r="G240" t="inlineStr">
        <is>
          <t>KATRINEHOLM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3115-2024</t>
        </is>
      </c>
      <c r="B241" t="inlineStr">
        <is>
          <t>avverkningsanmälan</t>
        </is>
      </c>
      <c r="C241" t="inlineStr">
        <is>
          <t>Föryngringsavverkning</t>
        </is>
      </c>
      <c r="D241" s="1" t="n">
        <v>45316</v>
      </c>
      <c r="E241" s="1" t="n">
        <v>46288</v>
      </c>
      <c r="F241" t="inlineStr">
        <is>
          <t>SÖDERMANLANDS LÄN</t>
        </is>
      </c>
      <c r="G241" t="inlineStr">
        <is>
          <t>KATRINEHOLM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52769-2023</t>
        </is>
      </c>
      <c r="B242" t="inlineStr">
        <is>
          <t>avverkningsanmälan</t>
        </is>
      </c>
      <c r="C242" t="inlineStr">
        <is>
          <t>Avverkning för att bevara och utveckla /försöksver</t>
        </is>
      </c>
      <c r="D242" s="1" t="n">
        <v>45226</v>
      </c>
      <c r="E242" s="1" t="n">
        <v>46288</v>
      </c>
      <c r="F242" t="inlineStr">
        <is>
          <t>SÖDERMANLANDS LÄN</t>
        </is>
      </c>
      <c r="G242" t="inlineStr">
        <is>
          <t>KATRINEHOLM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50626-2024</t>
        </is>
      </c>
      <c r="B243" t="inlineStr">
        <is>
          <t>avverkningsanmälan</t>
        </is>
      </c>
      <c r="C243" t="inlineStr">
        <is>
          <t>Föryngringsavverkning</t>
        </is>
      </c>
      <c r="D243" s="1" t="n">
        <v>45601</v>
      </c>
      <c r="E243" s="1" t="n">
        <v>46288</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35183-2022</t>
        </is>
      </c>
      <c r="B244" t="inlineStr">
        <is>
          <t>avverkningsanmälan</t>
        </is>
      </c>
      <c r="C244" t="inlineStr">
        <is>
          <t>Föryngringsavverkning</t>
        </is>
      </c>
      <c r="D244" s="1" t="n">
        <v>44797</v>
      </c>
      <c r="E244" s="1" t="n">
        <v>46288</v>
      </c>
      <c r="F244" t="inlineStr">
        <is>
          <t>SÖDERMANLANDS LÄN</t>
        </is>
      </c>
      <c r="G244" t="inlineStr">
        <is>
          <t>KATRINEHOLM</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7197-2023</t>
        </is>
      </c>
      <c r="B245" t="inlineStr">
        <is>
          <t>avverkningsanmälan</t>
        </is>
      </c>
      <c r="C245" t="inlineStr">
        <is>
          <t>Föryngringsavverkning</t>
        </is>
      </c>
      <c r="D245" s="1" t="n">
        <v>44965</v>
      </c>
      <c r="E245" s="1" t="n">
        <v>46288</v>
      </c>
      <c r="F245" t="inlineStr">
        <is>
          <t>SÖDERMANLANDS LÄN</t>
        </is>
      </c>
      <c r="G245" t="inlineStr">
        <is>
          <t>KATRINEHOLM</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7223-2022</t>
        </is>
      </c>
      <c r="B246" t="inlineStr">
        <is>
          <t>avverkningsanmälan</t>
        </is>
      </c>
      <c r="C246" t="inlineStr">
        <is>
          <t>Föryngringsavverkning</t>
        </is>
      </c>
      <c r="D246" s="1" t="n">
        <v>44603</v>
      </c>
      <c r="E246" s="1" t="n">
        <v>46288</v>
      </c>
      <c r="F246" t="inlineStr">
        <is>
          <t>SÖDERMANLANDS LÄN</t>
        </is>
      </c>
      <c r="G246" t="inlineStr">
        <is>
          <t>KATRINEHOLM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28394-2023</t>
        </is>
      </c>
      <c r="B247" t="inlineStr">
        <is>
          <t>avverkningsanmälan</t>
        </is>
      </c>
      <c r="C247" t="inlineStr">
        <is>
          <t>Föryngringsavverkning</t>
        </is>
      </c>
      <c r="D247" s="1" t="n">
        <v>45100</v>
      </c>
      <c r="E247" s="1" t="n">
        <v>46288</v>
      </c>
      <c r="F247" t="inlineStr">
        <is>
          <t>SÖDERMANLANDS LÄN</t>
        </is>
      </c>
      <c r="G247" t="inlineStr">
        <is>
          <t>KATRINEHOLM</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12888-2025</t>
        </is>
      </c>
      <c r="B248" t="inlineStr">
        <is>
          <t>avverkningsanmälan</t>
        </is>
      </c>
      <c r="C248" t="inlineStr">
        <is>
          <t>Föryngringsavverkning</t>
        </is>
      </c>
      <c r="D248" s="1" t="n">
        <v>45733</v>
      </c>
      <c r="E248" s="1" t="n">
        <v>46288</v>
      </c>
      <c r="F248" t="inlineStr">
        <is>
          <t>SÖDERMANLANDS LÄN</t>
        </is>
      </c>
      <c r="G248" t="inlineStr">
        <is>
          <t>KATRINEHOLM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27646-2023</t>
        </is>
      </c>
      <c r="B249" t="inlineStr">
        <is>
          <t>avverkningsanmälan</t>
        </is>
      </c>
      <c r="C249" t="inlineStr">
        <is>
          <t>Föryngringsavverkning</t>
        </is>
      </c>
      <c r="D249" s="1" t="n">
        <v>45097</v>
      </c>
      <c r="E249" s="1" t="n">
        <v>46288</v>
      </c>
      <c r="F249" t="inlineStr">
        <is>
          <t>SÖDERMANLANDS LÄN</t>
        </is>
      </c>
      <c r="G249" t="inlineStr">
        <is>
          <t>KATRINEHOLM</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25362-2023</t>
        </is>
      </c>
      <c r="B250" t="inlineStr">
        <is>
          <t>avverkningsanmälan</t>
        </is>
      </c>
      <c r="C250" t="inlineStr">
        <is>
          <t>Föryngringsavverkning</t>
        </is>
      </c>
      <c r="D250" s="1" t="n">
        <v>45088</v>
      </c>
      <c r="E250" s="1" t="n">
        <v>46288</v>
      </c>
      <c r="F250" t="inlineStr">
        <is>
          <t>SÖDERMANLANDS LÄN</t>
        </is>
      </c>
      <c r="G250" t="inlineStr">
        <is>
          <t>KATRINEHOLM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51446-2023</t>
        </is>
      </c>
      <c r="B251" t="inlineStr">
        <is>
          <t>avverkningsanmälan</t>
        </is>
      </c>
      <c r="C251" t="inlineStr">
        <is>
          <t>Föryngringsavverkning</t>
        </is>
      </c>
      <c r="D251" s="1" t="n">
        <v>45220</v>
      </c>
      <c r="E251" s="1" t="n">
        <v>46288</v>
      </c>
      <c r="F251" t="inlineStr">
        <is>
          <t>SÖDERMANLANDS LÄN</t>
        </is>
      </c>
      <c r="G251" t="inlineStr">
        <is>
          <t>KATRINEHOLM</t>
        </is>
      </c>
      <c r="I251" t="n">
        <v>8.800000000000001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5327-2025</t>
        </is>
      </c>
      <c r="B252" t="inlineStr">
        <is>
          <t>avverkningsanmälan</t>
        </is>
      </c>
      <c r="C252" t="inlineStr">
        <is>
          <t>Föryngringsavverkning</t>
        </is>
      </c>
      <c r="D252" s="1" t="n">
        <v>45692</v>
      </c>
      <c r="E252" s="1" t="n">
        <v>46288</v>
      </c>
      <c r="F252" t="inlineStr">
        <is>
          <t>SÖDERMANLANDS LÄN</t>
        </is>
      </c>
      <c r="G252" t="inlineStr">
        <is>
          <t>KATRINEHOLM</t>
        </is>
      </c>
      <c r="H252" t="inlineStr">
        <is>
          <t>Kommuner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4656-2023</t>
        </is>
      </c>
      <c r="B253" t="inlineStr">
        <is>
          <t>avverkningsanmälan</t>
        </is>
      </c>
      <c r="C253" t="inlineStr">
        <is>
          <t>Föryngringsavverkning</t>
        </is>
      </c>
      <c r="D253" s="1" t="n">
        <v>44957</v>
      </c>
      <c r="E253" s="1" t="n">
        <v>46288</v>
      </c>
      <c r="F253" t="inlineStr">
        <is>
          <t>SÖDERMANLANDS LÄN</t>
        </is>
      </c>
      <c r="G253" t="inlineStr">
        <is>
          <t>KATRINEHOLM</t>
        </is>
      </c>
      <c r="H253" t="inlineStr">
        <is>
          <t>Holmen skog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49078-2024</t>
        </is>
      </c>
      <c r="B254" t="inlineStr">
        <is>
          <t>avverkningsanmälan</t>
        </is>
      </c>
      <c r="C254" t="inlineStr">
        <is>
          <t>Avverkning för annat ändamål</t>
        </is>
      </c>
      <c r="D254" s="1" t="n">
        <v>45594</v>
      </c>
      <c r="E254" s="1" t="n">
        <v>46288</v>
      </c>
      <c r="F254" t="inlineStr">
        <is>
          <t>SÖDERMANLANDS LÄN</t>
        </is>
      </c>
      <c r="G254" t="inlineStr">
        <is>
          <t>KATRINEHOLM</t>
        </is>
      </c>
      <c r="H254" t="inlineStr">
        <is>
          <t>Övriga Aktiebolag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47456-2022</t>
        </is>
      </c>
      <c r="B255" t="inlineStr">
        <is>
          <t>avverkningsanmälan</t>
        </is>
      </c>
      <c r="C255" t="inlineStr">
        <is>
          <t>Föryngringsavverkning</t>
        </is>
      </c>
      <c r="D255" s="1" t="n">
        <v>44852</v>
      </c>
      <c r="E255" s="1" t="n">
        <v>46288</v>
      </c>
      <c r="F255" t="inlineStr">
        <is>
          <t>SÖDERMANLANDS LÄN</t>
        </is>
      </c>
      <c r="G255" t="inlineStr">
        <is>
          <t>KATRINEHOLM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35188-2022</t>
        </is>
      </c>
      <c r="B256" t="inlineStr">
        <is>
          <t>avverkningsanmälan</t>
        </is>
      </c>
      <c r="C256" t="inlineStr">
        <is>
          <t>Föryngringsavverkning</t>
        </is>
      </c>
      <c r="D256" s="1" t="n">
        <v>44797</v>
      </c>
      <c r="E256" s="1" t="n">
        <v>46288</v>
      </c>
      <c r="F256" t="inlineStr">
        <is>
          <t>SÖDERMANLANDS LÄN</t>
        </is>
      </c>
      <c r="G256" t="inlineStr">
        <is>
          <t>KATRINEHOLM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4655-2024</t>
        </is>
      </c>
      <c r="B257" t="inlineStr">
        <is>
          <t>avverkningsanmälan</t>
        </is>
      </c>
      <c r="C257" t="inlineStr">
        <is>
          <t>Föryngringsavverkning</t>
        </is>
      </c>
      <c r="D257" s="1" t="n">
        <v>45328</v>
      </c>
      <c r="E257" s="1" t="n">
        <v>46288</v>
      </c>
      <c r="F257" t="inlineStr">
        <is>
          <t>SÖDERMANLANDS LÄN</t>
        </is>
      </c>
      <c r="G257" t="inlineStr">
        <is>
          <t>KATRINEHOLM</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12227-2025</t>
        </is>
      </c>
      <c r="B258" t="inlineStr">
        <is>
          <t>avverkningsanmälan</t>
        </is>
      </c>
      <c r="C258" t="inlineStr">
        <is>
          <t>Föryngringsavverkning</t>
        </is>
      </c>
      <c r="D258" s="1" t="n">
        <v>45729</v>
      </c>
      <c r="E258" s="1" t="n">
        <v>46288</v>
      </c>
      <c r="F258" t="inlineStr">
        <is>
          <t>SÖDERMANLANDS LÄN</t>
        </is>
      </c>
      <c r="G258" t="inlineStr">
        <is>
          <t>KATRINEHOLM</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50316-2023</t>
        </is>
      </c>
      <c r="B259" t="inlineStr">
        <is>
          <t>avverkningsanmälan</t>
        </is>
      </c>
      <c r="C259" t="inlineStr">
        <is>
          <t>Föryngringsavverkning</t>
        </is>
      </c>
      <c r="D259" s="1" t="n">
        <v>45209</v>
      </c>
      <c r="E259" s="1" t="n">
        <v>46288</v>
      </c>
      <c r="F259" t="inlineStr">
        <is>
          <t>SÖDERMANLANDS LÄN</t>
        </is>
      </c>
      <c r="G259" t="inlineStr">
        <is>
          <t>KATRINEHOLM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15898-2022</t>
        </is>
      </c>
      <c r="B260" t="inlineStr">
        <is>
          <t>avverkningsanmälan</t>
        </is>
      </c>
      <c r="C260" t="inlineStr">
        <is>
          <t>Föryngringsavverkning</t>
        </is>
      </c>
      <c r="D260" s="1" t="n">
        <v>44664</v>
      </c>
      <c r="E260" s="1" t="n">
        <v>46288</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15910-2022</t>
        </is>
      </c>
      <c r="B261" t="inlineStr">
        <is>
          <t>avverkningsanmälan</t>
        </is>
      </c>
      <c r="C261" t="inlineStr">
        <is>
          <t>Föryngringsavverkning</t>
        </is>
      </c>
      <c r="D261" s="1" t="n">
        <v>44664</v>
      </c>
      <c r="E261" s="1" t="n">
        <v>46288</v>
      </c>
      <c r="F261" t="inlineStr">
        <is>
          <t>SÖDERMANLANDS LÄN</t>
        </is>
      </c>
      <c r="G261" t="inlineStr">
        <is>
          <t>KATRINEHOLM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64605-2023</t>
        </is>
      </c>
      <c r="B262" t="inlineStr">
        <is>
          <t>avverkningsanmälan</t>
        </is>
      </c>
      <c r="C262" t="inlineStr">
        <is>
          <t>Föryngringsavverkning</t>
        </is>
      </c>
      <c r="D262" s="1" t="n">
        <v>45281</v>
      </c>
      <c r="E262" s="1" t="n">
        <v>46288</v>
      </c>
      <c r="F262" t="inlineStr">
        <is>
          <t>SÖDERMANLANDS LÄN</t>
        </is>
      </c>
      <c r="G262" t="inlineStr">
        <is>
          <t>KATRINEHOLM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64652-2023</t>
        </is>
      </c>
      <c r="B263" t="inlineStr">
        <is>
          <t>avverkningsanmälan</t>
        </is>
      </c>
      <c r="C263" t="inlineStr">
        <is>
          <t>Föryngringsavverkning</t>
        </is>
      </c>
      <c r="D263" s="1" t="n">
        <v>45281</v>
      </c>
      <c r="E263" s="1" t="n">
        <v>46288</v>
      </c>
      <c r="F263" t="inlineStr">
        <is>
          <t>SÖDERMANLANDS LÄN</t>
        </is>
      </c>
      <c r="G263" t="inlineStr">
        <is>
          <t>KATRINEHOLM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26684-2025</t>
        </is>
      </c>
      <c r="B264" t="inlineStr">
        <is>
          <t>avverkningsanmälan</t>
        </is>
      </c>
      <c r="C264" t="inlineStr">
        <is>
          <t>Föryngringsavverkning</t>
        </is>
      </c>
      <c r="D264" s="1" t="n">
        <v>45810</v>
      </c>
      <c r="E264" s="1" t="n">
        <v>46288</v>
      </c>
      <c r="F264" t="inlineStr">
        <is>
          <t>SÖDERMANLANDS LÄN</t>
        </is>
      </c>
      <c r="G264" t="inlineStr">
        <is>
          <t>KATRINEHOLM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37043-2025</t>
        </is>
      </c>
      <c r="B265" t="inlineStr">
        <is>
          <t>avverkningsanmälan</t>
        </is>
      </c>
      <c r="C265" t="inlineStr">
        <is>
          <t>Föryngringsavverkning</t>
        </is>
      </c>
      <c r="D265" s="1" t="n">
        <v>45875</v>
      </c>
      <c r="E265" s="1" t="n">
        <v>46288</v>
      </c>
      <c r="F265" t="inlineStr">
        <is>
          <t>SÖDERMANLANDS LÄN</t>
        </is>
      </c>
      <c r="G265" t="inlineStr">
        <is>
          <t>KATRINEHOLM</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51404-2023</t>
        </is>
      </c>
      <c r="B266" t="inlineStr">
        <is>
          <t>avverkningsanmälan</t>
        </is>
      </c>
      <c r="C266" t="inlineStr">
        <is>
          <t>Föryngringsavverkning</t>
        </is>
      </c>
      <c r="D266" s="1" t="n">
        <v>45214</v>
      </c>
      <c r="E266" s="1" t="n">
        <v>46288</v>
      </c>
      <c r="F266" t="inlineStr">
        <is>
          <t>SÖDERMANLANDS LÄN</t>
        </is>
      </c>
      <c r="G266" t="inlineStr">
        <is>
          <t>KATRINEHOLM</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29830-2023</t>
        </is>
      </c>
      <c r="B267" t="inlineStr">
        <is>
          <t>avverkningsanmälan</t>
        </is>
      </c>
      <c r="C267" t="inlineStr">
        <is>
          <t>Föryngringsavverkning</t>
        </is>
      </c>
      <c r="D267" s="1" t="n">
        <v>45107</v>
      </c>
      <c r="E267" s="1" t="n">
        <v>46288</v>
      </c>
      <c r="F267" t="inlineStr">
        <is>
          <t>SÖDERMANLANDS LÄN</t>
        </is>
      </c>
      <c r="G267" t="inlineStr">
        <is>
          <t>KATRINEHOLM</t>
        </is>
      </c>
      <c r="H267" t="inlineStr">
        <is>
          <t>Holmen skog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28582-2024</t>
        </is>
      </c>
      <c r="B268" t="inlineStr">
        <is>
          <t>avverkningsanmälan</t>
        </is>
      </c>
      <c r="C268" t="inlineStr">
        <is>
          <t>Föryngringsavverkning</t>
        </is>
      </c>
      <c r="D268" s="1" t="n">
        <v>45478</v>
      </c>
      <c r="E268" s="1" t="n">
        <v>46288</v>
      </c>
      <c r="F268" t="inlineStr">
        <is>
          <t>SÖDERMANLANDS LÄN</t>
        </is>
      </c>
      <c r="G268" t="inlineStr">
        <is>
          <t>KATRINEHOLM</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29394-2024</t>
        </is>
      </c>
      <c r="B269" t="inlineStr">
        <is>
          <t>avverkningsanmälan</t>
        </is>
      </c>
      <c r="C269" t="inlineStr">
        <is>
          <t>Föryngringsavverkning</t>
        </is>
      </c>
      <c r="D269" s="1" t="n">
        <v>45483</v>
      </c>
      <c r="E269" s="1" t="n">
        <v>46288</v>
      </c>
      <c r="F269" t="inlineStr">
        <is>
          <t>SÖDERMANLANDS LÄN</t>
        </is>
      </c>
      <c r="G269" t="inlineStr">
        <is>
          <t>KATRINEHOLM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37827-2025</t>
        </is>
      </c>
      <c r="B270" t="inlineStr">
        <is>
          <t>avverkningsanmälan</t>
        </is>
      </c>
      <c r="C270" t="inlineStr">
        <is>
          <t>Föryngringsavverkning</t>
        </is>
      </c>
      <c r="D270" s="1" t="n">
        <v>45881</v>
      </c>
      <c r="E270" s="1" t="n">
        <v>46288</v>
      </c>
      <c r="F270" t="inlineStr">
        <is>
          <t>SÖDERMANLANDS LÄN</t>
        </is>
      </c>
      <c r="G270" t="inlineStr">
        <is>
          <t>KATRINEHOLM</t>
        </is>
      </c>
      <c r="H270" t="inlineStr">
        <is>
          <t>Övriga Aktiebolag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30350-2025</t>
        </is>
      </c>
      <c r="B271" t="inlineStr">
        <is>
          <t>avverkningsanmälan</t>
        </is>
      </c>
      <c r="C271" t="inlineStr">
        <is>
          <t>Föryngringsavverkning</t>
        </is>
      </c>
      <c r="D271" s="1" t="n">
        <v>45827</v>
      </c>
      <c r="E271" s="1" t="n">
        <v>46288</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30387-2022</t>
        </is>
      </c>
      <c r="B272" t="inlineStr">
        <is>
          <t>avverkningsanmälan</t>
        </is>
      </c>
      <c r="C272" t="inlineStr">
        <is>
          <t>Föryngringsavverkning</t>
        </is>
      </c>
      <c r="D272" s="1" t="n">
        <v>44760</v>
      </c>
      <c r="E272" s="1" t="n">
        <v>46288</v>
      </c>
      <c r="F272" t="inlineStr">
        <is>
          <t>SÖDERMANLANDS LÄN</t>
        </is>
      </c>
      <c r="G272" t="inlineStr">
        <is>
          <t>KATRINEHOLM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11543-2025</t>
        </is>
      </c>
      <c r="B273" t="inlineStr">
        <is>
          <t>avverkningsanmälan</t>
        </is>
      </c>
      <c r="C273" t="inlineStr">
        <is>
          <t>Föryngringsavverkning</t>
        </is>
      </c>
      <c r="D273" s="1" t="n">
        <v>45727</v>
      </c>
      <c r="E273" s="1" t="n">
        <v>46288</v>
      </c>
      <c r="F273" t="inlineStr">
        <is>
          <t>SÖDERMANLANDS LÄN</t>
        </is>
      </c>
      <c r="G273" t="inlineStr">
        <is>
          <t>KATRINEHOLM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35228-2025</t>
        </is>
      </c>
      <c r="B274" t="inlineStr">
        <is>
          <t>avverkningsanmälan</t>
        </is>
      </c>
      <c r="C274" t="inlineStr">
        <is>
          <t>Föryngringsavverkning</t>
        </is>
      </c>
      <c r="D274" s="1" t="n">
        <v>45853</v>
      </c>
      <c r="E274" s="1" t="n">
        <v>46288</v>
      </c>
      <c r="F274" t="inlineStr">
        <is>
          <t>SÖDERMANLANDS LÄN</t>
        </is>
      </c>
      <c r="G274" t="inlineStr">
        <is>
          <t>KATRINEHOLM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20202-2026</t>
        </is>
      </c>
      <c r="B275" t="inlineStr">
        <is>
          <t>avverkningsanmälan</t>
        </is>
      </c>
      <c r="C275" t="inlineStr">
        <is>
          <t>Föryngringsavverkning</t>
        </is>
      </c>
      <c r="D275" s="1" t="n">
        <v>46136</v>
      </c>
      <c r="E275" s="1" t="n">
        <v>46288</v>
      </c>
      <c r="F275" t="inlineStr">
        <is>
          <t>SÖDERMANLANDS LÄN</t>
        </is>
      </c>
      <c r="G275" t="inlineStr">
        <is>
          <t>KATRINEHOLM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931-2023</t>
        </is>
      </c>
      <c r="B276" t="inlineStr">
        <is>
          <t>avverkningsanmälan</t>
        </is>
      </c>
      <c r="C276" t="inlineStr">
        <is>
          <t>Föryngringsavverkning</t>
        </is>
      </c>
      <c r="D276" s="1" t="n">
        <v>44932</v>
      </c>
      <c r="E276" s="1" t="n">
        <v>46288</v>
      </c>
      <c r="F276" t="inlineStr">
        <is>
          <t>SÖDERMANLANDS LÄN</t>
        </is>
      </c>
      <c r="G276" t="inlineStr">
        <is>
          <t>KATRINEHOLM</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54395-2025</t>
        </is>
      </c>
      <c r="B277" t="inlineStr">
        <is>
          <t>avverkningsanmälan</t>
        </is>
      </c>
      <c r="C277" t="inlineStr">
        <is>
          <t>Föryngringsavverkning</t>
        </is>
      </c>
      <c r="D277" s="1" t="n">
        <v>45964</v>
      </c>
      <c r="E277" s="1" t="n">
        <v>46288</v>
      </c>
      <c r="F277" t="inlineStr">
        <is>
          <t>SÖDERMANLANDS LÄN</t>
        </is>
      </c>
      <c r="G277" t="inlineStr">
        <is>
          <t>KATRINEHOLM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55829-2025</t>
        </is>
      </c>
      <c r="B278" t="inlineStr">
        <is>
          <t>avverkningsanmälan</t>
        </is>
      </c>
      <c r="C278" t="inlineStr">
        <is>
          <t>Föryngringsavverkning</t>
        </is>
      </c>
      <c r="D278" s="1" t="n">
        <v>45972</v>
      </c>
      <c r="E278" s="1" t="n">
        <v>46288</v>
      </c>
      <c r="F278" t="inlineStr">
        <is>
          <t>SÖDERMANLANDS LÄN</t>
        </is>
      </c>
      <c r="G278" t="inlineStr">
        <is>
          <t>KATRINEHOLM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39663-2025</t>
        </is>
      </c>
      <c r="B279" t="inlineStr">
        <is>
          <t>avverkningsanmälan</t>
        </is>
      </c>
      <c r="C279" t="inlineStr">
        <is>
          <t>Föryngringsavverkning</t>
        </is>
      </c>
      <c r="D279" s="1" t="n">
        <v>45890</v>
      </c>
      <c r="E279" s="1" t="n">
        <v>46288</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39645-2025</t>
        </is>
      </c>
      <c r="B280" t="inlineStr">
        <is>
          <t>avverkningsanmälan</t>
        </is>
      </c>
      <c r="C280" t="inlineStr">
        <is>
          <t>Föryngringsavverkning</t>
        </is>
      </c>
      <c r="D280" s="1" t="n">
        <v>45890</v>
      </c>
      <c r="E280" s="1" t="n">
        <v>46288</v>
      </c>
      <c r="F280" t="inlineStr">
        <is>
          <t>SÖDERMANLANDS LÄN</t>
        </is>
      </c>
      <c r="G280" t="inlineStr">
        <is>
          <t>KATRINEHOLM</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38883-2024</t>
        </is>
      </c>
      <c r="B281" t="inlineStr">
        <is>
          <t>avverkningsanmälan</t>
        </is>
      </c>
      <c r="C281" t="inlineStr">
        <is>
          <t>Föryngringsavverkning</t>
        </is>
      </c>
      <c r="D281" s="1" t="n">
        <v>45547</v>
      </c>
      <c r="E281" s="1" t="n">
        <v>46288</v>
      </c>
      <c r="F281" t="inlineStr">
        <is>
          <t>SÖDERMANLANDS LÄN</t>
        </is>
      </c>
      <c r="G281" t="inlineStr">
        <is>
          <t>KATRINEHOLM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6796-2022</t>
        </is>
      </c>
      <c r="B282" t="inlineStr">
        <is>
          <t>avverkningsanmälan</t>
        </is>
      </c>
      <c r="C282" t="inlineStr">
        <is>
          <t>Föryngringsavverkning</t>
        </is>
      </c>
      <c r="D282" s="1" t="n">
        <v>44602</v>
      </c>
      <c r="E282" s="1" t="n">
        <v>46288</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52857-2021</t>
        </is>
      </c>
      <c r="B283" t="inlineStr">
        <is>
          <t>avverkningsanmälan</t>
        </is>
      </c>
      <c r="C283" t="inlineStr">
        <is>
          <t>Föryngringsavverkning</t>
        </is>
      </c>
      <c r="D283" s="1" t="n">
        <v>44466</v>
      </c>
      <c r="E283" s="1" t="n">
        <v>46288</v>
      </c>
      <c r="F283" t="inlineStr">
        <is>
          <t>SÖDERMANLANDS LÄN</t>
        </is>
      </c>
      <c r="G283" t="inlineStr">
        <is>
          <t>KATRINEHOLM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42015-2022</t>
        </is>
      </c>
      <c r="B284" t="inlineStr">
        <is>
          <t>avverkningsanmälan</t>
        </is>
      </c>
      <c r="C284" t="inlineStr">
        <is>
          <t>Föryngringsavverkning</t>
        </is>
      </c>
      <c r="D284" s="1" t="n">
        <v>44830</v>
      </c>
      <c r="E284" s="1" t="n">
        <v>46288</v>
      </c>
      <c r="F284" t="inlineStr">
        <is>
          <t>SÖDERMANLANDS LÄN</t>
        </is>
      </c>
      <c r="G284" t="inlineStr">
        <is>
          <t>KATRINEHOLM</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42020-2022</t>
        </is>
      </c>
      <c r="B285" t="inlineStr">
        <is>
          <t>avverkningsanmälan</t>
        </is>
      </c>
      <c r="C285" t="inlineStr">
        <is>
          <t>Föryngringsavverkning</t>
        </is>
      </c>
      <c r="D285" s="1" t="n">
        <v>44830</v>
      </c>
      <c r="E285" s="1" t="n">
        <v>46288</v>
      </c>
      <c r="F285" t="inlineStr">
        <is>
          <t>SÖDERMANLANDS LÄN</t>
        </is>
      </c>
      <c r="G285" t="inlineStr">
        <is>
          <t>KATRINEHOLM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8394-2024</t>
        </is>
      </c>
      <c r="B286" t="inlineStr">
        <is>
          <t>avverkningsanmälan</t>
        </is>
      </c>
      <c r="C286" t="inlineStr">
        <is>
          <t>Föryngringsavverkning</t>
        </is>
      </c>
      <c r="D286" s="1" t="n">
        <v>45352</v>
      </c>
      <c r="E286" s="1" t="n">
        <v>46288</v>
      </c>
      <c r="F286" t="inlineStr">
        <is>
          <t>SÖDERMANLANDS LÄN</t>
        </is>
      </c>
      <c r="G286" t="inlineStr">
        <is>
          <t>KATRINEHOLM</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14239-2024</t>
        </is>
      </c>
      <c r="B287" t="inlineStr">
        <is>
          <t>avverkningsanmälan</t>
        </is>
      </c>
      <c r="C287" t="inlineStr">
        <is>
          <t>Föryngringsavverkning</t>
        </is>
      </c>
      <c r="D287" s="1" t="n">
        <v>45393</v>
      </c>
      <c r="E287" s="1" t="n">
        <v>46288</v>
      </c>
      <c r="F287" t="inlineStr">
        <is>
          <t>SÖDERMANLANDS LÄN</t>
        </is>
      </c>
      <c r="G287" t="inlineStr">
        <is>
          <t>KATRINEHOLM</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14248-2024</t>
        </is>
      </c>
      <c r="B288" t="inlineStr">
        <is>
          <t>avverkningsanmälan</t>
        </is>
      </c>
      <c r="C288" t="inlineStr">
        <is>
          <t>Föryngringsavverkning</t>
        </is>
      </c>
      <c r="D288" s="1" t="n">
        <v>45393</v>
      </c>
      <c r="E288" s="1" t="n">
        <v>46288</v>
      </c>
      <c r="F288" t="inlineStr">
        <is>
          <t>SÖDERMANLANDS LÄN</t>
        </is>
      </c>
      <c r="G288" t="inlineStr">
        <is>
          <t>KATRINEHOLM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25716-2022</t>
        </is>
      </c>
      <c r="B289" t="inlineStr">
        <is>
          <t>avverkningsanmälan</t>
        </is>
      </c>
      <c r="C289" t="inlineStr">
        <is>
          <t>Föryngringsavverkning</t>
        </is>
      </c>
      <c r="D289" s="1" t="n">
        <v>44733</v>
      </c>
      <c r="E289" s="1" t="n">
        <v>46288</v>
      </c>
      <c r="F289" t="inlineStr">
        <is>
          <t>SÖDERMANLANDS LÄN</t>
        </is>
      </c>
      <c r="G289" t="inlineStr">
        <is>
          <t>KATRINEHOLM</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23842-2023</t>
        </is>
      </c>
      <c r="B290" t="inlineStr">
        <is>
          <t>avverkningsanmälan</t>
        </is>
      </c>
      <c r="C290" t="inlineStr">
        <is>
          <t>Föryngringsavverkning</t>
        </is>
      </c>
      <c r="D290" s="1" t="n">
        <v>45075</v>
      </c>
      <c r="E290" s="1" t="n">
        <v>46288</v>
      </c>
      <c r="F290" t="inlineStr">
        <is>
          <t>SÖDERMANLANDS LÄN</t>
        </is>
      </c>
      <c r="G290" t="inlineStr">
        <is>
          <t>KATRINEHOLM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20221-2026</t>
        </is>
      </c>
      <c r="B291" t="inlineStr">
        <is>
          <t>avverkningsanmälan</t>
        </is>
      </c>
      <c r="C291" t="inlineStr">
        <is>
          <t>Föryngringsavverkning</t>
        </is>
      </c>
      <c r="D291" s="1" t="n">
        <v>46139</v>
      </c>
      <c r="E291" s="1" t="n">
        <v>46288</v>
      </c>
      <c r="F291" t="inlineStr">
        <is>
          <t>SÖDERMANLANDS LÄN</t>
        </is>
      </c>
      <c r="G291" t="inlineStr">
        <is>
          <t>KATRINEHOLM</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28931-2024</t>
        </is>
      </c>
      <c r="B292" t="inlineStr">
        <is>
          <t>avverkningsanmälan</t>
        </is>
      </c>
      <c r="C292" t="inlineStr">
        <is>
          <t>Föryngringsavverkning</t>
        </is>
      </c>
      <c r="D292" s="1" t="n">
        <v>45479</v>
      </c>
      <c r="E292" s="1" t="n">
        <v>46288</v>
      </c>
      <c r="F292" t="inlineStr">
        <is>
          <t>SÖDERMANLANDS LÄN</t>
        </is>
      </c>
      <c r="G292" t="inlineStr">
        <is>
          <t>KATRINEHOLM</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35145-2025</t>
        </is>
      </c>
      <c r="B293" t="inlineStr">
        <is>
          <t>avverkningsanmälan</t>
        </is>
      </c>
      <c r="C293" t="inlineStr">
        <is>
          <t>Föryngringsavverkning</t>
        </is>
      </c>
      <c r="D293" s="1" t="n">
        <v>45852</v>
      </c>
      <c r="E293" s="1" t="n">
        <v>46288</v>
      </c>
      <c r="F293" t="inlineStr">
        <is>
          <t>SÖDERMANLANDS LÄN</t>
        </is>
      </c>
      <c r="G293" t="inlineStr">
        <is>
          <t>KATRINEHOLM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22113-2025</t>
        </is>
      </c>
      <c r="B294" t="inlineStr">
        <is>
          <t>avverkningsanmälan</t>
        </is>
      </c>
      <c r="C294" t="inlineStr">
        <is>
          <t>Avverkning för annat ändamål</t>
        </is>
      </c>
      <c r="D294" s="1" t="n">
        <v>45785</v>
      </c>
      <c r="E294" s="1" t="n">
        <v>46288</v>
      </c>
      <c r="F294" t="inlineStr">
        <is>
          <t>SÖDERMANLANDS LÄN</t>
        </is>
      </c>
      <c r="G294" t="inlineStr">
        <is>
          <t>KATRINEHOLM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30386-2025</t>
        </is>
      </c>
      <c r="B295" t="inlineStr">
        <is>
          <t>avverkningsanmälan</t>
        </is>
      </c>
      <c r="C295" t="inlineStr">
        <is>
          <t>Föryngringsavverkning</t>
        </is>
      </c>
      <c r="D295" s="1" t="n">
        <v>45827</v>
      </c>
      <c r="E295" s="1" t="n">
        <v>46288</v>
      </c>
      <c r="F295" t="inlineStr">
        <is>
          <t>SÖDERMANLANDS LÄN</t>
        </is>
      </c>
      <c r="G295" t="inlineStr">
        <is>
          <t>KATRINEHOLM</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50032-2022</t>
        </is>
      </c>
      <c r="B296" t="inlineStr">
        <is>
          <t>avverkningsanmälan</t>
        </is>
      </c>
      <c r="C296" t="inlineStr">
        <is>
          <t>Föryngringsavverkning</t>
        </is>
      </c>
      <c r="D296" s="1" t="n">
        <v>44860</v>
      </c>
      <c r="E296" s="1" t="n">
        <v>46288</v>
      </c>
      <c r="F296" t="inlineStr">
        <is>
          <t>SÖDERMANLANDS LÄN</t>
        </is>
      </c>
      <c r="G296" t="inlineStr">
        <is>
          <t>KATRINEHOLM</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49341-2024</t>
        </is>
      </c>
      <c r="B297" t="inlineStr">
        <is>
          <t>avverkningsanmälan</t>
        </is>
      </c>
      <c r="C297" t="inlineStr">
        <is>
          <t>Föryngringsavverkning</t>
        </is>
      </c>
      <c r="D297" s="1" t="n">
        <v>45595</v>
      </c>
      <c r="E297" s="1" t="n">
        <v>46288</v>
      </c>
      <c r="F297" t="inlineStr">
        <is>
          <t>SÖDERMANLANDS LÄN</t>
        </is>
      </c>
      <c r="G297" t="inlineStr">
        <is>
          <t>KATRINEHOLM</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50804-2023</t>
        </is>
      </c>
      <c r="B298" t="inlineStr">
        <is>
          <t>avverkningsanmälan</t>
        </is>
      </c>
      <c r="C298" t="inlineStr">
        <is>
          <t>Föryngringsavverkning</t>
        </is>
      </c>
      <c r="D298" s="1" t="n">
        <v>45211</v>
      </c>
      <c r="E298" s="1" t="n">
        <v>46288</v>
      </c>
      <c r="F298" t="inlineStr">
        <is>
          <t>SÖDERMANLANDS LÄN</t>
        </is>
      </c>
      <c r="G298" t="inlineStr">
        <is>
          <t>KATRINEHOLM</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29502-2023</t>
        </is>
      </c>
      <c r="B299" t="inlineStr">
        <is>
          <t>avverkningsanmälan</t>
        </is>
      </c>
      <c r="C299" t="inlineStr">
        <is>
          <t>Föryngringsavverkning</t>
        </is>
      </c>
      <c r="D299" s="1" t="n">
        <v>45106</v>
      </c>
      <c r="E299" s="1" t="n">
        <v>46288</v>
      </c>
      <c r="F299" t="inlineStr">
        <is>
          <t>SÖDERMANLANDS LÄN</t>
        </is>
      </c>
      <c r="G299" t="inlineStr">
        <is>
          <t>KATRINEHOLM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56074-2022</t>
        </is>
      </c>
      <c r="B300" t="inlineStr">
        <is>
          <t>avverkningsanmälan</t>
        </is>
      </c>
      <c r="C300" t="inlineStr">
        <is>
          <t>Föryngringsavverkning</t>
        </is>
      </c>
      <c r="D300" s="1" t="n">
        <v>44889</v>
      </c>
      <c r="E300" s="1" t="n">
        <v>46288</v>
      </c>
      <c r="F300" t="inlineStr">
        <is>
          <t>SÖDERMANLANDS LÄN</t>
        </is>
      </c>
      <c r="G300" t="inlineStr">
        <is>
          <t>KATRINEHOLM</t>
        </is>
      </c>
      <c r="I300" t="n">
        <v>1</v>
      </c>
      <c r="J300" t="n">
        <v>0</v>
      </c>
      <c r="K300" t="n">
        <v>0</v>
      </c>
      <c r="L300" t="n">
        <v>0</v>
      </c>
      <c r="M300" t="n">
        <v>0</v>
      </c>
      <c r="N300" t="n">
        <v>0</v>
      </c>
      <c r="O300" t="n">
        <v>0</v>
      </c>
      <c r="P300" t="n">
        <v>0</v>
      </c>
      <c r="Q300" t="n">
        <v>0</v>
      </c>
      <c r="R300" t="n">
        <v>0</v>
      </c>
      <c r="S300" t="n">
        <v>0</v>
      </c>
      <c r="T300" t="n">
        <v>0</v>
      </c>
      <c r="U300" t="n">
        <v>0</v>
      </c>
      <c r="V300" s="2" t="inlineStr"/>
      <c r="X300">
        <f>HYPERLINK("https://klasma.github.io/Logging_0483/kartor/A 56074-2022 karta.png", "A 56074-2022")</f>
        <v/>
      </c>
      <c r="Y300">
        <f>HYPERLINK("https://klasma.github.io/Logging_0483/kartor_geotiff/A 56074-2022 georefererad karta.tif", "A 56074-2022")</f>
        <v/>
      </c>
      <c r="AA300">
        <f>HYPERLINK("https://klasma.github.io/Logging_0483/klagomål/A 56074-2022 FSC-klagomål.docx", "A 56074-2022")</f>
        <v/>
      </c>
      <c r="AB300">
        <f>HYPERLINK("https://klasma.github.io/Logging_0483/klagomålsmail/A 56074-2022 FSC-klagomål mail.docx", "A 56074-2022")</f>
        <v/>
      </c>
      <c r="AC300">
        <f>HYPERLINK("https://klasma.github.io/Logging_0483/tillsyn/A 56074-2022 tillsynsbegäran.docx", "A 56074-2022")</f>
        <v/>
      </c>
      <c r="AD300">
        <f>HYPERLINK("https://klasma.github.io/Logging_0483/tillsynsmail/A 56074-2022 tillsynsbegäran mail.docx", "A 56074-2022")</f>
        <v/>
      </c>
    </row>
    <row r="301" ht="15" customHeight="1">
      <c r="A301" t="inlineStr">
        <is>
          <t>A 28304-2024</t>
        </is>
      </c>
      <c r="B301" t="inlineStr">
        <is>
          <t>avverkningsanmälan</t>
        </is>
      </c>
      <c r="C301" t="inlineStr">
        <is>
          <t>Föryngringsavverkning</t>
        </is>
      </c>
      <c r="D301" s="1" t="n">
        <v>45477</v>
      </c>
      <c r="E301" s="1" t="n">
        <v>46288</v>
      </c>
      <c r="F301" t="inlineStr">
        <is>
          <t>SÖDERMANLANDS LÄN</t>
        </is>
      </c>
      <c r="G301" t="inlineStr">
        <is>
          <t>KATRINEHOLM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42799-2025</t>
        </is>
      </c>
      <c r="B302" t="inlineStr">
        <is>
          <t>avverkningsanmälan</t>
        </is>
      </c>
      <c r="C302" t="inlineStr">
        <is>
          <t>Föryngringsavverkning</t>
        </is>
      </c>
      <c r="D302" s="1" t="n">
        <v>45907</v>
      </c>
      <c r="E302" s="1" t="n">
        <v>46288</v>
      </c>
      <c r="F302" t="inlineStr">
        <is>
          <t>SÖDERMANLANDS LÄN</t>
        </is>
      </c>
      <c r="G302" t="inlineStr">
        <is>
          <t>KATRINEHOLM</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22336-2025</t>
        </is>
      </c>
      <c r="B303" t="inlineStr">
        <is>
          <t>avverkningsanmälan</t>
        </is>
      </c>
      <c r="C303" t="inlineStr">
        <is>
          <t>Föryngringsavverkning</t>
        </is>
      </c>
      <c r="D303" s="1" t="n">
        <v>45786</v>
      </c>
      <c r="E303" s="1" t="n">
        <v>46288</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8922-2024</t>
        </is>
      </c>
      <c r="B304" t="inlineStr">
        <is>
          <t>avverkningsanmälan</t>
        </is>
      </c>
      <c r="C304" t="inlineStr">
        <is>
          <t>Föryngringsavverkning</t>
        </is>
      </c>
      <c r="D304" s="1" t="n">
        <v>45357</v>
      </c>
      <c r="E304" s="1" t="n">
        <v>46288</v>
      </c>
      <c r="F304" t="inlineStr">
        <is>
          <t>SÖDERMANLANDS LÄN</t>
        </is>
      </c>
      <c r="G304" t="inlineStr">
        <is>
          <t>KATRINEHOLM</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41793-2025</t>
        </is>
      </c>
      <c r="B305" t="inlineStr">
        <is>
          <t>avverkningsanmälan</t>
        </is>
      </c>
      <c r="C305" t="inlineStr">
        <is>
          <t>Föryngringsavverkning</t>
        </is>
      </c>
      <c r="D305" s="1" t="n">
        <v>45902</v>
      </c>
      <c r="E305" s="1" t="n">
        <v>46288</v>
      </c>
      <c r="F305" t="inlineStr">
        <is>
          <t>SÖDERMANLANDS LÄN</t>
        </is>
      </c>
      <c r="G305" t="inlineStr">
        <is>
          <t>KATRINEHOLM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43975-2025</t>
        </is>
      </c>
      <c r="B306" t="inlineStr">
        <is>
          <t>avverkningsanmälan</t>
        </is>
      </c>
      <c r="C306" t="inlineStr">
        <is>
          <t>Avverkning för att bevara och utveckla /försöksver</t>
        </is>
      </c>
      <c r="D306" s="1" t="n">
        <v>45915</v>
      </c>
      <c r="E306" s="1" t="n">
        <v>46288</v>
      </c>
      <c r="F306" t="inlineStr">
        <is>
          <t>SÖDERMANLANDS LÄN</t>
        </is>
      </c>
      <c r="G306" t="inlineStr">
        <is>
          <t>KATRINEHOLM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45376-2022</t>
        </is>
      </c>
      <c r="B307" t="inlineStr">
        <is>
          <t>avverkningsanmälan</t>
        </is>
      </c>
      <c r="C307" t="inlineStr">
        <is>
          <t>Föryngringsavverkning</t>
        </is>
      </c>
      <c r="D307" s="1" t="n">
        <v>44844</v>
      </c>
      <c r="E307" s="1" t="n">
        <v>46288</v>
      </c>
      <c r="F307" t="inlineStr">
        <is>
          <t>SÖDERMANLANDS LÄN</t>
        </is>
      </c>
      <c r="G307" t="inlineStr">
        <is>
          <t>KATRINEHOLM</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20200-2026</t>
        </is>
      </c>
      <c r="B308" t="inlineStr">
        <is>
          <t>avverkningsanmälan</t>
        </is>
      </c>
      <c r="C308" t="inlineStr">
        <is>
          <t>Föryngringsavverkning</t>
        </is>
      </c>
      <c r="D308" s="1" t="n">
        <v>46136</v>
      </c>
      <c r="E308" s="1" t="n">
        <v>46288</v>
      </c>
      <c r="F308" t="inlineStr">
        <is>
          <t>SÖDERMANLANDS LÄN</t>
        </is>
      </c>
      <c r="G308" t="inlineStr">
        <is>
          <t>KATRINEHOLM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39748-2022</t>
        </is>
      </c>
      <c r="B309" t="inlineStr">
        <is>
          <t>avverkningsanmälan</t>
        </is>
      </c>
      <c r="C309" t="inlineStr">
        <is>
          <t>Föryngringsavverkning</t>
        </is>
      </c>
      <c r="D309" s="1" t="n">
        <v>44817</v>
      </c>
      <c r="E309" s="1" t="n">
        <v>46288</v>
      </c>
      <c r="F309" t="inlineStr">
        <is>
          <t>SÖDERMANLANDS LÄN</t>
        </is>
      </c>
      <c r="G309" t="inlineStr">
        <is>
          <t>KATRINEHOLM</t>
        </is>
      </c>
      <c r="I309" t="n">
        <v>10.2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30333-2023</t>
        </is>
      </c>
      <c r="B310" t="inlineStr">
        <is>
          <t>avverkningsanmälan</t>
        </is>
      </c>
      <c r="C310" t="inlineStr">
        <is>
          <t>Avverkning för annat ändamål</t>
        </is>
      </c>
      <c r="D310" s="1" t="n">
        <v>45111</v>
      </c>
      <c r="E310" s="1" t="n">
        <v>46288</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34981-2023</t>
        </is>
      </c>
      <c r="B311" t="inlineStr">
        <is>
          <t>avverkningsanmälan</t>
        </is>
      </c>
      <c r="C311" t="inlineStr">
        <is>
          <t>Föryngringsavverkning</t>
        </is>
      </c>
      <c r="D311" s="1" t="n">
        <v>45142</v>
      </c>
      <c r="E311" s="1" t="n">
        <v>46288</v>
      </c>
      <c r="F311" t="inlineStr">
        <is>
          <t>SÖDERMANLANDS LÄN</t>
        </is>
      </c>
      <c r="G311" t="inlineStr">
        <is>
          <t>KATRINEHOLM</t>
        </is>
      </c>
      <c r="I311" t="n">
        <v>10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46288-2025</t>
        </is>
      </c>
      <c r="B312" t="inlineStr">
        <is>
          <t>avverkningsanmälan</t>
        </is>
      </c>
      <c r="C312" t="inlineStr">
        <is>
          <t>Föryngringsavverkning</t>
        </is>
      </c>
      <c r="D312" s="1" t="n">
        <v>45925</v>
      </c>
      <c r="E312" s="1" t="n">
        <v>46288</v>
      </c>
      <c r="F312" t="inlineStr">
        <is>
          <t>SÖDERMANLANDS LÄN</t>
        </is>
      </c>
      <c r="G312" t="inlineStr">
        <is>
          <t>KATRINEHOLM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31740-2022</t>
        </is>
      </c>
      <c r="B313" t="inlineStr">
        <is>
          <t>avverkningsanmälan</t>
        </is>
      </c>
      <c r="C313" t="inlineStr">
        <is>
          <t>Föryngringsavverkning</t>
        </is>
      </c>
      <c r="D313" s="1" t="n">
        <v>44776</v>
      </c>
      <c r="E313" s="1" t="n">
        <v>46288</v>
      </c>
      <c r="F313" t="inlineStr">
        <is>
          <t>SÖDERMANLANDS LÄN</t>
        </is>
      </c>
      <c r="G313" t="inlineStr">
        <is>
          <t>KATRINEHOLM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3125-2024</t>
        </is>
      </c>
      <c r="B314" t="inlineStr">
        <is>
          <t>avverkningsanmälan</t>
        </is>
      </c>
      <c r="C314" t="inlineStr">
        <is>
          <t>Föryngringsavverkning</t>
        </is>
      </c>
      <c r="D314" s="1" t="n">
        <v>45316</v>
      </c>
      <c r="E314" s="1" t="n">
        <v>46288</v>
      </c>
      <c r="F314" t="inlineStr">
        <is>
          <t>SÖDERMANLANDS LÄN</t>
        </is>
      </c>
      <c r="G314" t="inlineStr">
        <is>
          <t>KATRINEHOLM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8087-2022</t>
        </is>
      </c>
      <c r="B315" t="inlineStr">
        <is>
          <t>avverkningsanmälan</t>
        </is>
      </c>
      <c r="C315" t="inlineStr">
        <is>
          <t>Föryngringsavverkning</t>
        </is>
      </c>
      <c r="D315" s="1" t="n">
        <v>44609</v>
      </c>
      <c r="E315" s="1" t="n">
        <v>46288</v>
      </c>
      <c r="F315" t="inlineStr">
        <is>
          <t>SÖDERMANLANDS LÄN</t>
        </is>
      </c>
      <c r="G315" t="inlineStr">
        <is>
          <t>KATRINEHOLM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27852-2023</t>
        </is>
      </c>
      <c r="B316" t="inlineStr">
        <is>
          <t>avverkningsanmälan</t>
        </is>
      </c>
      <c r="C316" t="inlineStr">
        <is>
          <t>Föryngringsavverkning</t>
        </is>
      </c>
      <c r="D316" s="1" t="n">
        <v>45098</v>
      </c>
      <c r="E316" s="1" t="n">
        <v>46288</v>
      </c>
      <c r="F316" t="inlineStr">
        <is>
          <t>SÖDERMANLANDS LÄN</t>
        </is>
      </c>
      <c r="G316" t="inlineStr">
        <is>
          <t>KATRINEHOLM</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1143-2024</t>
        </is>
      </c>
      <c r="B317" t="inlineStr">
        <is>
          <t>avverkningsanmälan</t>
        </is>
      </c>
      <c r="C317" t="inlineStr">
        <is>
          <t>Föryngringsavverkning</t>
        </is>
      </c>
      <c r="D317" s="1" t="n">
        <v>45302</v>
      </c>
      <c r="E317" s="1" t="n">
        <v>46288</v>
      </c>
      <c r="F317" t="inlineStr">
        <is>
          <t>SÖDERMANLANDS LÄN</t>
        </is>
      </c>
      <c r="G317" t="inlineStr">
        <is>
          <t>KATRINEHOLM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20464-2026</t>
        </is>
      </c>
      <c r="B318" t="inlineStr">
        <is>
          <t>avverkningsanmälan</t>
        </is>
      </c>
      <c r="C318" t="inlineStr">
        <is>
          <t>Föryngringsavverkning</t>
        </is>
      </c>
      <c r="D318" s="1" t="n">
        <v>46140</v>
      </c>
      <c r="E318" s="1" t="n">
        <v>46288</v>
      </c>
      <c r="F318" t="inlineStr">
        <is>
          <t>SÖDERMANLANDS LÄN</t>
        </is>
      </c>
      <c r="G318" t="inlineStr">
        <is>
          <t>KATRINEHOLM</t>
        </is>
      </c>
      <c r="I318" t="n">
        <v>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28431-2024</t>
        </is>
      </c>
      <c r="B319" t="inlineStr">
        <is>
          <t>avverkningsanmälan</t>
        </is>
      </c>
      <c r="C319" t="inlineStr">
        <is>
          <t>Föryngringsavverkning</t>
        </is>
      </c>
      <c r="D319" s="1" t="n">
        <v>45477</v>
      </c>
      <c r="E319" s="1" t="n">
        <v>46288</v>
      </c>
      <c r="F319" t="inlineStr">
        <is>
          <t>SÖDERMANLANDS LÄN</t>
        </is>
      </c>
      <c r="G319" t="inlineStr">
        <is>
          <t>KATRINEHOLM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36590-2025</t>
        </is>
      </c>
      <c r="B320" t="inlineStr">
        <is>
          <t>avverkningsanmälan</t>
        </is>
      </c>
      <c r="C320" t="inlineStr">
        <is>
          <t>Föryngringsavverkning</t>
        </is>
      </c>
      <c r="D320" s="1" t="n">
        <v>45870</v>
      </c>
      <c r="E320" s="1" t="n">
        <v>46288</v>
      </c>
      <c r="F320" t="inlineStr">
        <is>
          <t>SÖDERMANLANDS LÄN</t>
        </is>
      </c>
      <c r="G320" t="inlineStr">
        <is>
          <t>KATRINEHOLM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17335-2023</t>
        </is>
      </c>
      <c r="B321" t="inlineStr">
        <is>
          <t>avverkningsanmälan</t>
        </is>
      </c>
      <c r="C321" t="inlineStr">
        <is>
          <t>Föryngringsavverkning</t>
        </is>
      </c>
      <c r="D321" s="1" t="n">
        <v>45033</v>
      </c>
      <c r="E321" s="1" t="n">
        <v>46288</v>
      </c>
      <c r="F321" t="inlineStr">
        <is>
          <t>SÖDERMANLANDS LÄN</t>
        </is>
      </c>
      <c r="G321" t="inlineStr">
        <is>
          <t>KATRINEHOLM</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59898-2022</t>
        </is>
      </c>
      <c r="B322" t="inlineStr">
        <is>
          <t>avverkningsanmälan</t>
        </is>
      </c>
      <c r="C322" t="inlineStr">
        <is>
          <t>Föryngringsavverkning</t>
        </is>
      </c>
      <c r="D322" s="1" t="n">
        <v>44908</v>
      </c>
      <c r="E322" s="1" t="n">
        <v>46288</v>
      </c>
      <c r="F322" t="inlineStr">
        <is>
          <t>SÖDERMANLANDS LÄN</t>
        </is>
      </c>
      <c r="G322" t="inlineStr">
        <is>
          <t>KATRINEHOLM</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38019-2022</t>
        </is>
      </c>
      <c r="B323" t="inlineStr">
        <is>
          <t>avverkningsanmälan</t>
        </is>
      </c>
      <c r="C323" t="inlineStr">
        <is>
          <t>Föryngringsavverkning</t>
        </is>
      </c>
      <c r="D323" s="1" t="n">
        <v>44811</v>
      </c>
      <c r="E323" s="1" t="n">
        <v>46288</v>
      </c>
      <c r="F323" t="inlineStr">
        <is>
          <t>SÖDERMANLANDS LÄN</t>
        </is>
      </c>
      <c r="G323" t="inlineStr">
        <is>
          <t>KATRINEHOLM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20956-2026</t>
        </is>
      </c>
      <c r="B324" t="inlineStr">
        <is>
          <t>avverkningsanmälan</t>
        </is>
      </c>
      <c r="C324" t="inlineStr">
        <is>
          <t>Föryngringsavverkning</t>
        </is>
      </c>
      <c r="D324" s="1" t="n">
        <v>46142</v>
      </c>
      <c r="E324" s="1" t="n">
        <v>46288</v>
      </c>
      <c r="F324" t="inlineStr">
        <is>
          <t>SÖDERMANLANDS LÄN</t>
        </is>
      </c>
      <c r="G324" t="inlineStr">
        <is>
          <t>KATRINEHOLM</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20987-2026</t>
        </is>
      </c>
      <c r="B325" t="inlineStr">
        <is>
          <t>avverkningsanmälan</t>
        </is>
      </c>
      <c r="C325" t="inlineStr">
        <is>
          <t>Föryngringsavverkning</t>
        </is>
      </c>
      <c r="D325" s="1" t="n">
        <v>46142</v>
      </c>
      <c r="E325" s="1" t="n">
        <v>46288</v>
      </c>
      <c r="F325" t="inlineStr">
        <is>
          <t>SÖDERMANLANDS LÄN</t>
        </is>
      </c>
      <c r="G325" t="inlineStr">
        <is>
          <t>KATRINEHOLM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28317-2024</t>
        </is>
      </c>
      <c r="B326" t="inlineStr">
        <is>
          <t>avverkningsanmälan</t>
        </is>
      </c>
      <c r="C326" t="inlineStr">
        <is>
          <t>Föryngringsavverkning</t>
        </is>
      </c>
      <c r="D326" s="1" t="n">
        <v>45477</v>
      </c>
      <c r="E326" s="1" t="n">
        <v>46288</v>
      </c>
      <c r="F326" t="inlineStr">
        <is>
          <t>SÖDERMANLANDS LÄN</t>
        </is>
      </c>
      <c r="G326" t="inlineStr">
        <is>
          <t>KATRINEHOLM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73412-2021</t>
        </is>
      </c>
      <c r="B327" t="inlineStr">
        <is>
          <t>avverkningsanmälan</t>
        </is>
      </c>
      <c r="C327" t="inlineStr">
        <is>
          <t>Föryngringsavverkning</t>
        </is>
      </c>
      <c r="D327" s="1" t="n">
        <v>44551</v>
      </c>
      <c r="E327" s="1" t="n">
        <v>46288</v>
      </c>
      <c r="F327" t="inlineStr">
        <is>
          <t>SÖDERMANLANDS LÄN</t>
        </is>
      </c>
      <c r="G327" t="inlineStr">
        <is>
          <t>KATRINEHOLM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21087-2026</t>
        </is>
      </c>
      <c r="B328" t="inlineStr">
        <is>
          <t>avverkningsanmälan</t>
        </is>
      </c>
      <c r="C328" t="inlineStr">
        <is>
          <t>Föryngringsavverkning</t>
        </is>
      </c>
      <c r="D328" s="1" t="n">
        <v>46146</v>
      </c>
      <c r="E328" s="1" t="n">
        <v>46288</v>
      </c>
      <c r="F328" t="inlineStr">
        <is>
          <t>SÖDERMANLANDS LÄN</t>
        </is>
      </c>
      <c r="G328" t="inlineStr">
        <is>
          <t>KATRINEHOLM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28995-2024</t>
        </is>
      </c>
      <c r="B329" t="inlineStr">
        <is>
          <t>avverkningsanmälan</t>
        </is>
      </c>
      <c r="C329" t="inlineStr">
        <is>
          <t>Föryngringsavverkning</t>
        </is>
      </c>
      <c r="D329" s="1" t="n">
        <v>45481</v>
      </c>
      <c r="E329" s="1" t="n">
        <v>46288</v>
      </c>
      <c r="F329" t="inlineStr">
        <is>
          <t>SÖDERMANLANDS LÄN</t>
        </is>
      </c>
      <c r="G329" t="inlineStr">
        <is>
          <t>KATRINEHOLM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28597-2024</t>
        </is>
      </c>
      <c r="B330" t="inlineStr">
        <is>
          <t>avverkningsanmälan</t>
        </is>
      </c>
      <c r="C330" t="inlineStr">
        <is>
          <t>Föryngringsavverkning</t>
        </is>
      </c>
      <c r="D330" s="1" t="n">
        <v>45478</v>
      </c>
      <c r="E330" s="1" t="n">
        <v>46288</v>
      </c>
      <c r="F330" t="inlineStr">
        <is>
          <t>SÖDERMANLANDS LÄN</t>
        </is>
      </c>
      <c r="G330" t="inlineStr">
        <is>
          <t>KATRINEHOLM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21863-2026</t>
        </is>
      </c>
      <c r="B331" t="inlineStr">
        <is>
          <t>avverkningsanmälan</t>
        </is>
      </c>
      <c r="C331" t="inlineStr">
        <is>
          <t>Föryngringsavverkning</t>
        </is>
      </c>
      <c r="D331" s="1" t="n">
        <v>46150</v>
      </c>
      <c r="E331" s="1" t="n">
        <v>46288</v>
      </c>
      <c r="F331" t="inlineStr">
        <is>
          <t>SÖDERMANLANDS LÄN</t>
        </is>
      </c>
      <c r="G331" t="inlineStr">
        <is>
          <t>KATRINEHOLM</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41966-2023</t>
        </is>
      </c>
      <c r="B332" t="inlineStr">
        <is>
          <t>avverkningsanmälan</t>
        </is>
      </c>
      <c r="C332" t="inlineStr">
        <is>
          <t>Föryngringsavverkning</t>
        </is>
      </c>
      <c r="D332" s="1" t="n">
        <v>45177</v>
      </c>
      <c r="E332" s="1" t="n">
        <v>46288</v>
      </c>
      <c r="F332" t="inlineStr">
        <is>
          <t>SÖDERMANLANDS LÄN</t>
        </is>
      </c>
      <c r="G332" t="inlineStr">
        <is>
          <t>KATRINEHOLM</t>
        </is>
      </c>
      <c r="I332" t="n">
        <v>36.9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10446-2024</t>
        </is>
      </c>
      <c r="B333" t="inlineStr">
        <is>
          <t>avverkningsanmälan</t>
        </is>
      </c>
      <c r="C333" t="inlineStr">
        <is>
          <t>Föryngringsavverkning</t>
        </is>
      </c>
      <c r="D333" s="1" t="n">
        <v>45366</v>
      </c>
      <c r="E333" s="1" t="n">
        <v>46288</v>
      </c>
      <c r="F333" t="inlineStr">
        <is>
          <t>SÖDERMANLANDS LÄN</t>
        </is>
      </c>
      <c r="G333" t="inlineStr">
        <is>
          <t>KATRINEHOLM</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8761-2023</t>
        </is>
      </c>
      <c r="B334" t="inlineStr">
        <is>
          <t>avverkningsanmälan</t>
        </is>
      </c>
      <c r="C334" t="inlineStr">
        <is>
          <t>Föryngringsavverkning</t>
        </is>
      </c>
      <c r="D334" s="1" t="n">
        <v>44978</v>
      </c>
      <c r="E334" s="1" t="n">
        <v>46288</v>
      </c>
      <c r="F334" t="inlineStr">
        <is>
          <t>SÖDERMANLANDS LÄN</t>
        </is>
      </c>
      <c r="G334" t="inlineStr">
        <is>
          <t>KATRINEHOLM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8778-2023</t>
        </is>
      </c>
      <c r="B335" t="inlineStr">
        <is>
          <t>avverkningsanmälan</t>
        </is>
      </c>
      <c r="C335" t="inlineStr">
        <is>
          <t>Föryngringsavverkning</t>
        </is>
      </c>
      <c r="D335" s="1" t="n">
        <v>44978</v>
      </c>
      <c r="E335" s="1" t="n">
        <v>46288</v>
      </c>
      <c r="F335" t="inlineStr">
        <is>
          <t>SÖDERMANLANDS LÄN</t>
        </is>
      </c>
      <c r="G335" t="inlineStr">
        <is>
          <t>KATRINEHOLM</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15399-2022</t>
        </is>
      </c>
      <c r="B336" t="inlineStr">
        <is>
          <t>avverkningsanmälan</t>
        </is>
      </c>
      <c r="C336" t="inlineStr">
        <is>
          <t>Föryngringsavverkning</t>
        </is>
      </c>
      <c r="D336" s="1" t="n">
        <v>44659</v>
      </c>
      <c r="E336" s="1" t="n">
        <v>46288</v>
      </c>
      <c r="F336" t="inlineStr">
        <is>
          <t>SÖDERMANLANDS LÄN</t>
        </is>
      </c>
      <c r="G336" t="inlineStr">
        <is>
          <t>KATRINEHOLM</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49116-2024</t>
        </is>
      </c>
      <c r="B337" t="inlineStr">
        <is>
          <t>avverkningsanmälan</t>
        </is>
      </c>
      <c r="C337" t="inlineStr">
        <is>
          <t>Föryngringsavverkning</t>
        </is>
      </c>
      <c r="D337" s="1" t="n">
        <v>45594</v>
      </c>
      <c r="E337" s="1" t="n">
        <v>46288</v>
      </c>
      <c r="F337" t="inlineStr">
        <is>
          <t>SÖDERMANLANDS LÄN</t>
        </is>
      </c>
      <c r="G337" t="inlineStr">
        <is>
          <t>KATRINEHOLM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6753-2022</t>
        </is>
      </c>
      <c r="B338" t="inlineStr">
        <is>
          <t>avverkningsanmälan</t>
        </is>
      </c>
      <c r="C338" t="inlineStr">
        <is>
          <t>Föryngringsavverkning</t>
        </is>
      </c>
      <c r="D338" s="1" t="n">
        <v>44602</v>
      </c>
      <c r="E338" s="1" t="n">
        <v>46288</v>
      </c>
      <c r="F338" t="inlineStr">
        <is>
          <t>SÖDERMANLANDS LÄN</t>
        </is>
      </c>
      <c r="G338" t="inlineStr">
        <is>
          <t>KATRINEHOLM</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6763-2022</t>
        </is>
      </c>
      <c r="B339" t="inlineStr">
        <is>
          <t>avverkningsanmälan</t>
        </is>
      </c>
      <c r="C339" t="inlineStr">
        <is>
          <t>Föryngringsavverkning</t>
        </is>
      </c>
      <c r="D339" s="1" t="n">
        <v>44602</v>
      </c>
      <c r="E339" s="1" t="n">
        <v>46288</v>
      </c>
      <c r="F339" t="inlineStr">
        <is>
          <t>SÖDERMANLANDS LÄN</t>
        </is>
      </c>
      <c r="G339" t="inlineStr">
        <is>
          <t>KATRINEHOLM</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39068-2022</t>
        </is>
      </c>
      <c r="B340" t="inlineStr">
        <is>
          <t>avverkningsanmälan</t>
        </is>
      </c>
      <c r="C340" t="inlineStr">
        <is>
          <t>Föryngringsavverkning</t>
        </is>
      </c>
      <c r="D340" s="1" t="n">
        <v>44816</v>
      </c>
      <c r="E340" s="1" t="n">
        <v>46288</v>
      </c>
      <c r="F340" t="inlineStr">
        <is>
          <t>SÖDERMANLANDS LÄN</t>
        </is>
      </c>
      <c r="G340" t="inlineStr">
        <is>
          <t>KATRINEHOLM</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66540-2021</t>
        </is>
      </c>
      <c r="B341" t="inlineStr">
        <is>
          <t>avverkningsanmälan</t>
        </is>
      </c>
      <c r="C341" t="inlineStr">
        <is>
          <t>Föryngringsavverkning</t>
        </is>
      </c>
      <c r="D341" s="1" t="n">
        <v>44519</v>
      </c>
      <c r="E341" s="1" t="n">
        <v>46288</v>
      </c>
      <c r="F341" t="inlineStr">
        <is>
          <t>SÖDERMANLANDS LÄN</t>
        </is>
      </c>
      <c r="G341" t="inlineStr">
        <is>
          <t>KATRINEHOLM</t>
        </is>
      </c>
      <c r="H341" t="inlineStr">
        <is>
          <t>Holmen skog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51367-2025</t>
        </is>
      </c>
      <c r="B342" t="inlineStr">
        <is>
          <t>avverkningsanmälan</t>
        </is>
      </c>
      <c r="C342" t="inlineStr">
        <is>
          <t>Föryngringsavverkning</t>
        </is>
      </c>
      <c r="D342" s="1" t="n">
        <v>45950</v>
      </c>
      <c r="E342" s="1" t="n">
        <v>46288</v>
      </c>
      <c r="F342" t="inlineStr">
        <is>
          <t>SÖDERMANLANDS LÄN</t>
        </is>
      </c>
      <c r="G342" t="inlineStr">
        <is>
          <t>KATRINEHOLM</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8288-2023</t>
        </is>
      </c>
      <c r="B343" t="inlineStr">
        <is>
          <t>avverkningsanmälan</t>
        </is>
      </c>
      <c r="C343" t="inlineStr">
        <is>
          <t>Föryngringsavverkning</t>
        </is>
      </c>
      <c r="D343" s="1" t="n">
        <v>44974</v>
      </c>
      <c r="E343" s="1" t="n">
        <v>46288</v>
      </c>
      <c r="F343" t="inlineStr">
        <is>
          <t>SÖDERMANLANDS LÄN</t>
        </is>
      </c>
      <c r="G343" t="inlineStr">
        <is>
          <t>KATRINEHOLM</t>
        </is>
      </c>
      <c r="H343" t="inlineStr">
        <is>
          <t>Allmännings- och besparingsskogar</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5788-2022</t>
        </is>
      </c>
      <c r="B344" t="inlineStr">
        <is>
          <t>avverkningsanmälan</t>
        </is>
      </c>
      <c r="C344" t="inlineStr">
        <is>
          <t>Föryngringsavverkning</t>
        </is>
      </c>
      <c r="D344" s="1" t="n">
        <v>44596</v>
      </c>
      <c r="E344" s="1" t="n">
        <v>46288</v>
      </c>
      <c r="F344" t="inlineStr">
        <is>
          <t>SÖDERMANLANDS LÄN</t>
        </is>
      </c>
      <c r="G344" t="inlineStr">
        <is>
          <t>KATRINEHOLM</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5790-2022</t>
        </is>
      </c>
      <c r="B345" t="inlineStr">
        <is>
          <t>avverkningsanmälan</t>
        </is>
      </c>
      <c r="C345" t="inlineStr">
        <is>
          <t>Föryngringsavverkning</t>
        </is>
      </c>
      <c r="D345" s="1" t="n">
        <v>44596</v>
      </c>
      <c r="E345" s="1" t="n">
        <v>46288</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53387-2023</t>
        </is>
      </c>
      <c r="B346" t="inlineStr">
        <is>
          <t>avverkningsanmälan</t>
        </is>
      </c>
      <c r="C346" t="inlineStr">
        <is>
          <t>Föryngringsavverkning</t>
        </is>
      </c>
      <c r="D346" s="1" t="n">
        <v>45229</v>
      </c>
      <c r="E346" s="1" t="n">
        <v>46288</v>
      </c>
      <c r="F346" t="inlineStr">
        <is>
          <t>SÖDERMANLANDS LÄN</t>
        </is>
      </c>
      <c r="G346" t="inlineStr">
        <is>
          <t>KATRINEHOLM</t>
        </is>
      </c>
      <c r="H346" t="inlineStr">
        <is>
          <t>Kyrkan</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55169-2022</t>
        </is>
      </c>
      <c r="B347" t="inlineStr">
        <is>
          <t>avverkningsanmälan</t>
        </is>
      </c>
      <c r="C347" t="inlineStr">
        <is>
          <t>Föryngringsavverkning</t>
        </is>
      </c>
      <c r="D347" s="1" t="n">
        <v>44886</v>
      </c>
      <c r="E347" s="1" t="n">
        <v>46288</v>
      </c>
      <c r="F347" t="inlineStr">
        <is>
          <t>SÖDERMANLANDS LÄN</t>
        </is>
      </c>
      <c r="G347" t="inlineStr">
        <is>
          <t>KATRINEHOLM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13612-2023</t>
        </is>
      </c>
      <c r="B348" t="inlineStr">
        <is>
          <t>avverkningsanmälan</t>
        </is>
      </c>
      <c r="C348" t="inlineStr">
        <is>
          <t>Avverkning för annat ändamål</t>
        </is>
      </c>
      <c r="D348" s="1" t="n">
        <v>45006</v>
      </c>
      <c r="E348" s="1" t="n">
        <v>46288</v>
      </c>
      <c r="F348" t="inlineStr">
        <is>
          <t>SÖDERMANLANDS LÄN</t>
        </is>
      </c>
      <c r="G348" t="inlineStr">
        <is>
          <t>KATRINEHOLM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2735-2025</t>
        </is>
      </c>
      <c r="B349" t="inlineStr">
        <is>
          <t>avverkningsanmälan</t>
        </is>
      </c>
      <c r="C349" t="inlineStr">
        <is>
          <t>Avverkning för annat ändamål</t>
        </is>
      </c>
      <c r="D349" s="1" t="n">
        <v>45677</v>
      </c>
      <c r="E349" s="1" t="n">
        <v>46288</v>
      </c>
      <c r="F349" t="inlineStr">
        <is>
          <t>SÖDERMANLANDS LÄN</t>
        </is>
      </c>
      <c r="G349" t="inlineStr">
        <is>
          <t>KATRINEHOLM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7747-2024</t>
        </is>
      </c>
      <c r="B350" t="inlineStr">
        <is>
          <t>avverkningsanmälan</t>
        </is>
      </c>
      <c r="C350" t="inlineStr">
        <is>
          <t>Föryngringsavverkning</t>
        </is>
      </c>
      <c r="D350" s="1" t="n">
        <v>45348</v>
      </c>
      <c r="E350" s="1" t="n">
        <v>46288</v>
      </c>
      <c r="F350" t="inlineStr">
        <is>
          <t>SÖDERMANLANDS LÄN</t>
        </is>
      </c>
      <c r="G350" t="inlineStr">
        <is>
          <t>KATRINEHOLM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4650-2024</t>
        </is>
      </c>
      <c r="B351" t="inlineStr">
        <is>
          <t>avverkningsanmälan</t>
        </is>
      </c>
      <c r="C351" t="inlineStr">
        <is>
          <t>Föryngringsavverkning</t>
        </is>
      </c>
      <c r="D351" s="1" t="n">
        <v>45328</v>
      </c>
      <c r="E351" s="1" t="n">
        <v>46288</v>
      </c>
      <c r="F351" t="inlineStr">
        <is>
          <t>SÖDERMANLANDS LÄN</t>
        </is>
      </c>
      <c r="G351" t="inlineStr">
        <is>
          <t>KATRINEHOLM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4652-2024</t>
        </is>
      </c>
      <c r="B352" t="inlineStr">
        <is>
          <t>avverkningsanmälan</t>
        </is>
      </c>
      <c r="C352" t="inlineStr">
        <is>
          <t>Föryngringsavverkning</t>
        </is>
      </c>
      <c r="D352" s="1" t="n">
        <v>45328</v>
      </c>
      <c r="E352" s="1" t="n">
        <v>46288</v>
      </c>
      <c r="F352" t="inlineStr">
        <is>
          <t>SÖDERMANLANDS LÄN</t>
        </is>
      </c>
      <c r="G352" t="inlineStr">
        <is>
          <t>KATRINEHOLM</t>
        </is>
      </c>
      <c r="H352" t="inlineStr">
        <is>
          <t>Övriga Aktiebolag</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32166-2022</t>
        </is>
      </c>
      <c r="B353" t="inlineStr">
        <is>
          <t>avverkningsanmälan</t>
        </is>
      </c>
      <c r="C353" t="inlineStr">
        <is>
          <t>Föryngringsavverkning</t>
        </is>
      </c>
      <c r="D353" s="1" t="n">
        <v>44781</v>
      </c>
      <c r="E353" s="1" t="n">
        <v>46288</v>
      </c>
      <c r="F353" t="inlineStr">
        <is>
          <t>SÖDERMANLANDS LÄN</t>
        </is>
      </c>
      <c r="G353" t="inlineStr">
        <is>
          <t>KATRINEHOLM</t>
        </is>
      </c>
      <c r="H353" t="inlineStr">
        <is>
          <t>Kommuner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59384-2022</t>
        </is>
      </c>
      <c r="B354" t="inlineStr">
        <is>
          <t>avverkningsanmälan</t>
        </is>
      </c>
      <c r="C354" t="inlineStr">
        <is>
          <t>Föryngringsavverkning</t>
        </is>
      </c>
      <c r="D354" s="1" t="n">
        <v>44905</v>
      </c>
      <c r="E354" s="1" t="n">
        <v>46288</v>
      </c>
      <c r="F354" t="inlineStr">
        <is>
          <t>SÖDERMANLANDS LÄN</t>
        </is>
      </c>
      <c r="G354" t="inlineStr">
        <is>
          <t>KATRINEHOLM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10996-2022</t>
        </is>
      </c>
      <c r="B355" t="inlineStr">
        <is>
          <t>avverkningsanmälan</t>
        </is>
      </c>
      <c r="C355" t="inlineStr">
        <is>
          <t>Föryngringsavverkning</t>
        </is>
      </c>
      <c r="D355" s="1" t="n">
        <v>44628</v>
      </c>
      <c r="E355" s="1" t="n">
        <v>46288</v>
      </c>
      <c r="F355" t="inlineStr">
        <is>
          <t>SÖDERMANLANDS LÄN</t>
        </is>
      </c>
      <c r="G355" t="inlineStr">
        <is>
          <t>KATRINEHOLM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25363-2023</t>
        </is>
      </c>
      <c r="B356" t="inlineStr">
        <is>
          <t>avverkningsanmälan</t>
        </is>
      </c>
      <c r="C356" t="inlineStr">
        <is>
          <t>Föryngringsavverkning</t>
        </is>
      </c>
      <c r="D356" s="1" t="n">
        <v>45088</v>
      </c>
      <c r="E356" s="1" t="n">
        <v>46288</v>
      </c>
      <c r="F356" t="inlineStr">
        <is>
          <t>SÖDERMANLANDS LÄN</t>
        </is>
      </c>
      <c r="G356" t="inlineStr">
        <is>
          <t>KATRINEHOLM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23753-2026</t>
        </is>
      </c>
      <c r="B357" t="inlineStr">
        <is>
          <t>avverkningsanmälan</t>
        </is>
      </c>
      <c r="C357" t="inlineStr">
        <is>
          <t>Föryngringsavverkning</t>
        </is>
      </c>
      <c r="D357" s="1" t="n">
        <v>46164</v>
      </c>
      <c r="E357" s="1" t="n">
        <v>46288</v>
      </c>
      <c r="F357" t="inlineStr">
        <is>
          <t>SÖDERMANLANDS LÄN</t>
        </is>
      </c>
      <c r="G357" t="inlineStr">
        <is>
          <t>KATRINEHOLM</t>
        </is>
      </c>
      <c r="I357" t="n">
        <v>24.4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23806-2026</t>
        </is>
      </c>
      <c r="B358" t="inlineStr">
        <is>
          <t>avverkningsanmälan</t>
        </is>
      </c>
      <c r="C358" t="inlineStr">
        <is>
          <t>Föryngringsavverkning</t>
        </is>
      </c>
      <c r="D358" s="1" t="n">
        <v>46164</v>
      </c>
      <c r="E358" s="1" t="n">
        <v>46288</v>
      </c>
      <c r="F358" t="inlineStr">
        <is>
          <t>SÖDERMANLANDS LÄN</t>
        </is>
      </c>
      <c r="G358" t="inlineStr">
        <is>
          <t>KATRINEHOLM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48398-2022</t>
        </is>
      </c>
      <c r="B359" t="inlineStr">
        <is>
          <t>avverkningsanmälan</t>
        </is>
      </c>
      <c r="C359" t="inlineStr">
        <is>
          <t>Föryngringsavverkning</t>
        </is>
      </c>
      <c r="D359" s="1" t="n">
        <v>44858</v>
      </c>
      <c r="E359" s="1" t="n">
        <v>46288</v>
      </c>
      <c r="F359" t="inlineStr">
        <is>
          <t>SÖDERMANLANDS LÄN</t>
        </is>
      </c>
      <c r="G359" t="inlineStr">
        <is>
          <t>KATRINEHOLM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15945-2024</t>
        </is>
      </c>
      <c r="B360" t="inlineStr">
        <is>
          <t>avverkningsanmälan</t>
        </is>
      </c>
      <c r="C360" t="inlineStr">
        <is>
          <t>Föryngringsavverkning</t>
        </is>
      </c>
      <c r="D360" s="1" t="n">
        <v>45405</v>
      </c>
      <c r="E360" s="1" t="n">
        <v>46288</v>
      </c>
      <c r="F360" t="inlineStr">
        <is>
          <t>SÖDERMANLANDS LÄN</t>
        </is>
      </c>
      <c r="G360" t="inlineStr">
        <is>
          <t>KATRINEHOLM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54873-2025</t>
        </is>
      </c>
      <c r="B361" t="inlineStr">
        <is>
          <t>avverkningsanmälan</t>
        </is>
      </c>
      <c r="C361" t="inlineStr">
        <is>
          <t>Föryngringsavverkning</t>
        </is>
      </c>
      <c r="D361" s="1" t="n">
        <v>45967</v>
      </c>
      <c r="E361" s="1" t="n">
        <v>46288</v>
      </c>
      <c r="F361" t="inlineStr">
        <is>
          <t>SÖDERMANLANDS LÄN</t>
        </is>
      </c>
      <c r="G361" t="inlineStr">
        <is>
          <t>KATRINEHOLM</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8475-2023</t>
        </is>
      </c>
      <c r="B362" t="inlineStr">
        <is>
          <t>avverkningsanmälan</t>
        </is>
      </c>
      <c r="C362" t="inlineStr">
        <is>
          <t>Föryngringsavverkning</t>
        </is>
      </c>
      <c r="D362" s="1" t="n">
        <v>44977</v>
      </c>
      <c r="E362" s="1" t="n">
        <v>46288</v>
      </c>
      <c r="F362" t="inlineStr">
        <is>
          <t>SÖDERMANLANDS LÄN</t>
        </is>
      </c>
      <c r="G362" t="inlineStr">
        <is>
          <t>KATRINEHOLM</t>
        </is>
      </c>
      <c r="H362" t="inlineStr">
        <is>
          <t>Allmännings- och besparingsskogar</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8518-2023</t>
        </is>
      </c>
      <c r="B363" t="inlineStr">
        <is>
          <t>avverkningsanmälan</t>
        </is>
      </c>
      <c r="C363" t="inlineStr">
        <is>
          <t>Föryngringsavverkning</t>
        </is>
      </c>
      <c r="D363" s="1" t="n">
        <v>44977</v>
      </c>
      <c r="E363" s="1" t="n">
        <v>46288</v>
      </c>
      <c r="F363" t="inlineStr">
        <is>
          <t>SÖDERMANLANDS LÄN</t>
        </is>
      </c>
      <c r="G363" t="inlineStr">
        <is>
          <t>KATRINEHOLM</t>
        </is>
      </c>
      <c r="H363" t="inlineStr">
        <is>
          <t>Allmännings- och besparingsskogar</t>
        </is>
      </c>
      <c r="I363" t="n">
        <v>35.3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41267-2023</t>
        </is>
      </c>
      <c r="B364" t="inlineStr">
        <is>
          <t>avverkningsanmälan</t>
        </is>
      </c>
      <c r="C364" t="inlineStr">
        <is>
          <t>Föryngringsavverkning</t>
        </is>
      </c>
      <c r="D364" s="1" t="n">
        <v>45174</v>
      </c>
      <c r="E364" s="1" t="n">
        <v>46288</v>
      </c>
      <c r="F364" t="inlineStr">
        <is>
          <t>SÖDERMANLANDS LÄN</t>
        </is>
      </c>
      <c r="G364" t="inlineStr">
        <is>
          <t>KATRINEHOLM</t>
        </is>
      </c>
      <c r="H364" t="inlineStr">
        <is>
          <t>Holmen skog AB</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50934-2025</t>
        </is>
      </c>
      <c r="B365" t="inlineStr">
        <is>
          <t>avverkningsanmälan</t>
        </is>
      </c>
      <c r="C365" t="inlineStr">
        <is>
          <t>Föryngringsavverkning</t>
        </is>
      </c>
      <c r="D365" s="1" t="n">
        <v>45946</v>
      </c>
      <c r="E365" s="1" t="n">
        <v>46288</v>
      </c>
      <c r="F365" t="inlineStr">
        <is>
          <t>SÖDERMANLANDS LÄN</t>
        </is>
      </c>
      <c r="G365" t="inlineStr">
        <is>
          <t>KATRINEHOLM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14622-2026</t>
        </is>
      </c>
      <c r="B366" t="inlineStr">
        <is>
          <t>avverkningsanmälan</t>
        </is>
      </c>
      <c r="C366" t="inlineStr">
        <is>
          <t>Föryngringsavverkning</t>
        </is>
      </c>
      <c r="D366" s="1" t="n">
        <v>46101</v>
      </c>
      <c r="E366" s="1" t="n">
        <v>46288</v>
      </c>
      <c r="F366" t="inlineStr">
        <is>
          <t>SÖDERMANLANDS LÄN</t>
        </is>
      </c>
      <c r="G366" t="inlineStr">
        <is>
          <t>KATRINEHOLM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43513-2023</t>
        </is>
      </c>
      <c r="B367" t="inlineStr">
        <is>
          <t>avverkningsanmälan</t>
        </is>
      </c>
      <c r="C367" t="inlineStr">
        <is>
          <t>Föryngringsavverkning</t>
        </is>
      </c>
      <c r="D367" s="1" t="n">
        <v>45184</v>
      </c>
      <c r="E367" s="1" t="n">
        <v>46288</v>
      </c>
      <c r="F367" t="inlineStr">
        <is>
          <t>SÖDERMANLANDS LÄN</t>
        </is>
      </c>
      <c r="G367" t="inlineStr">
        <is>
          <t>KATRINEHOLM</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49122-2024</t>
        </is>
      </c>
      <c r="B368" t="inlineStr">
        <is>
          <t>avverkningsanmälan</t>
        </is>
      </c>
      <c r="C368" t="inlineStr">
        <is>
          <t>Föryngringsavverkning</t>
        </is>
      </c>
      <c r="D368" s="1" t="n">
        <v>45594</v>
      </c>
      <c r="E368" s="1" t="n">
        <v>46288</v>
      </c>
      <c r="F368" t="inlineStr">
        <is>
          <t>SÖDERMANLANDS LÄN</t>
        </is>
      </c>
      <c r="G368" t="inlineStr">
        <is>
          <t>KATRINEHOLM</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8791-2023</t>
        </is>
      </c>
      <c r="B369" t="inlineStr">
        <is>
          <t>avverkningsanmälan</t>
        </is>
      </c>
      <c r="C369" t="inlineStr">
        <is>
          <t>Föryngringsavverkning</t>
        </is>
      </c>
      <c r="D369" s="1" t="n">
        <v>44978</v>
      </c>
      <c r="E369" s="1" t="n">
        <v>46288</v>
      </c>
      <c r="F369" t="inlineStr">
        <is>
          <t>SÖDERMANLANDS LÄN</t>
        </is>
      </c>
      <c r="G369" t="inlineStr">
        <is>
          <t>KATRINEHOLM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55825-2022</t>
        </is>
      </c>
      <c r="B370" t="inlineStr">
        <is>
          <t>avverkningsanmälan</t>
        </is>
      </c>
      <c r="C370" t="inlineStr">
        <is>
          <t>Föryngringsavverkning</t>
        </is>
      </c>
      <c r="D370" s="1" t="n">
        <v>44886</v>
      </c>
      <c r="E370" s="1" t="n">
        <v>46288</v>
      </c>
      <c r="F370" t="inlineStr">
        <is>
          <t>SÖDERMANLANDS LÄN</t>
        </is>
      </c>
      <c r="G370" t="inlineStr">
        <is>
          <t>KATRINEHOLM</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62954-2023</t>
        </is>
      </c>
      <c r="B371" t="inlineStr">
        <is>
          <t>avverkningsanmälan</t>
        </is>
      </c>
      <c r="C371" t="inlineStr">
        <is>
          <t>Föryngringsavverkning</t>
        </is>
      </c>
      <c r="D371" s="1" t="n">
        <v>45272</v>
      </c>
      <c r="E371" s="1" t="n">
        <v>46288</v>
      </c>
      <c r="F371" t="inlineStr">
        <is>
          <t>SÖDERMANLANDS LÄN</t>
        </is>
      </c>
      <c r="G371" t="inlineStr">
        <is>
          <t>KATRINEHOLM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7191-2023</t>
        </is>
      </c>
      <c r="B372" t="inlineStr">
        <is>
          <t>avverkningsanmälan</t>
        </is>
      </c>
      <c r="C372" t="inlineStr">
        <is>
          <t>Föryngringsavverkning</t>
        </is>
      </c>
      <c r="D372" s="1" t="n">
        <v>44965</v>
      </c>
      <c r="E372" s="1" t="n">
        <v>46288</v>
      </c>
      <c r="F372" t="inlineStr">
        <is>
          <t>SÖDERMANLANDS LÄN</t>
        </is>
      </c>
      <c r="G372" t="inlineStr">
        <is>
          <t>KATRINEHOLM</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37834-2023</t>
        </is>
      </c>
      <c r="B373" t="inlineStr">
        <is>
          <t>avverkningsanmälan</t>
        </is>
      </c>
      <c r="C373" t="inlineStr">
        <is>
          <t>Föryngringsavverkning</t>
        </is>
      </c>
      <c r="D373" s="1" t="n">
        <v>45160</v>
      </c>
      <c r="E373" s="1" t="n">
        <v>46288</v>
      </c>
      <c r="F373" t="inlineStr">
        <is>
          <t>SÖDERMANLANDS LÄN</t>
        </is>
      </c>
      <c r="G373" t="inlineStr">
        <is>
          <t>KATRINEHOLM</t>
        </is>
      </c>
      <c r="H373" t="inlineStr">
        <is>
          <t>Kyrkan</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36210-2022</t>
        </is>
      </c>
      <c r="B374" t="inlineStr">
        <is>
          <t>avverkningsanmälan</t>
        </is>
      </c>
      <c r="C374" t="inlineStr">
        <is>
          <t>Föryngringsavverkning</t>
        </is>
      </c>
      <c r="D374" s="1" t="n">
        <v>44803</v>
      </c>
      <c r="E374" s="1" t="n">
        <v>46288</v>
      </c>
      <c r="F374" t="inlineStr">
        <is>
          <t>SÖDERMANLANDS LÄN</t>
        </is>
      </c>
      <c r="G374" t="inlineStr">
        <is>
          <t>KATRINEHOLM</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19685-2022</t>
        </is>
      </c>
      <c r="B375" t="inlineStr">
        <is>
          <t>avverkningsanmälan</t>
        </is>
      </c>
      <c r="C375" t="inlineStr">
        <is>
          <t>Föryngringsavverkning</t>
        </is>
      </c>
      <c r="D375" s="1" t="n">
        <v>44694</v>
      </c>
      <c r="E375" s="1" t="n">
        <v>46288</v>
      </c>
      <c r="F375" t="inlineStr">
        <is>
          <t>SÖDERMANLANDS LÄN</t>
        </is>
      </c>
      <c r="G375" t="inlineStr">
        <is>
          <t>KATRINEHOLM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8951-2024</t>
        </is>
      </c>
      <c r="B376" t="inlineStr">
        <is>
          <t>avverkningsanmälan</t>
        </is>
      </c>
      <c r="C376" t="inlineStr">
        <is>
          <t>Föryngringsavverkning</t>
        </is>
      </c>
      <c r="D376" s="1" t="n">
        <v>45357</v>
      </c>
      <c r="E376" s="1" t="n">
        <v>46288</v>
      </c>
      <c r="F376" t="inlineStr">
        <is>
          <t>SÖDERMANLANDS LÄN</t>
        </is>
      </c>
      <c r="G376" t="inlineStr">
        <is>
          <t>KATRINEHOLM</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61066-2025</t>
        </is>
      </c>
      <c r="B377" t="inlineStr">
        <is>
          <t>avverkningsanmälan</t>
        </is>
      </c>
      <c r="C377" t="inlineStr">
        <is>
          <t>Föryngringsavverkning</t>
        </is>
      </c>
      <c r="D377" s="1" t="n">
        <v>46000</v>
      </c>
      <c r="E377" s="1" t="n">
        <v>46288</v>
      </c>
      <c r="F377" t="inlineStr">
        <is>
          <t>SÖDERMANLANDS LÄN</t>
        </is>
      </c>
      <c r="G377" t="inlineStr">
        <is>
          <t>KATRINEHOLM</t>
        </is>
      </c>
      <c r="H377" t="inlineStr">
        <is>
          <t>Kyrkan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18314-2026</t>
        </is>
      </c>
      <c r="B378" t="inlineStr">
        <is>
          <t>avverkningsanmälan</t>
        </is>
      </c>
      <c r="C378" t="inlineStr">
        <is>
          <t>Föryngringsavverkning</t>
        </is>
      </c>
      <c r="D378" s="1" t="n">
        <v>46126</v>
      </c>
      <c r="E378" s="1" t="n">
        <v>46288</v>
      </c>
      <c r="F378" t="inlineStr">
        <is>
          <t>SÖDERMANLANDS LÄN</t>
        </is>
      </c>
      <c r="G378" t="inlineStr">
        <is>
          <t>KATRINEHOLM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14224-2024</t>
        </is>
      </c>
      <c r="B379" t="inlineStr">
        <is>
          <t>avverkningsanmälan</t>
        </is>
      </c>
      <c r="C379" t="inlineStr">
        <is>
          <t>Föryngringsavverkning</t>
        </is>
      </c>
      <c r="D379" s="1" t="n">
        <v>45393</v>
      </c>
      <c r="E379" s="1" t="n">
        <v>46288</v>
      </c>
      <c r="F379" t="inlineStr">
        <is>
          <t>SÖDERMANLANDS LÄN</t>
        </is>
      </c>
      <c r="G379" t="inlineStr">
        <is>
          <t>KATRINEHOLM</t>
        </is>
      </c>
      <c r="H379" t="inlineStr">
        <is>
          <t>Sveaskog</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44989-2022</t>
        </is>
      </c>
      <c r="B380" t="inlineStr">
        <is>
          <t>avverkningsanmälan</t>
        </is>
      </c>
      <c r="C380" t="inlineStr">
        <is>
          <t>Föryngringsavverkning</t>
        </is>
      </c>
      <c r="D380" s="1" t="n">
        <v>44840</v>
      </c>
      <c r="E380" s="1" t="n">
        <v>46288</v>
      </c>
      <c r="F380" t="inlineStr">
        <is>
          <t>SÖDERMANLANDS LÄN</t>
        </is>
      </c>
      <c r="G380" t="inlineStr">
        <is>
          <t>KATRINEHOLM</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61121-2025</t>
        </is>
      </c>
      <c r="B381" t="inlineStr">
        <is>
          <t>avverkningsanmälan</t>
        </is>
      </c>
      <c r="C381" t="inlineStr">
        <is>
          <t>Avverkning för annat ändamål</t>
        </is>
      </c>
      <c r="D381" s="1" t="n">
        <v>46000</v>
      </c>
      <c r="E381" s="1" t="n">
        <v>46288</v>
      </c>
      <c r="F381" t="inlineStr">
        <is>
          <t>SÖDERMANLANDS LÄN</t>
        </is>
      </c>
      <c r="G381" t="inlineStr">
        <is>
          <t>KATRINEHOLM</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57263-2022</t>
        </is>
      </c>
      <c r="B382" t="inlineStr">
        <is>
          <t>avverkningsanmälan</t>
        </is>
      </c>
      <c r="C382" t="inlineStr">
        <is>
          <t>Föryngringsavverkning</t>
        </is>
      </c>
      <c r="D382" s="1" t="n">
        <v>44895</v>
      </c>
      <c r="E382" s="1" t="n">
        <v>46288</v>
      </c>
      <c r="F382" t="inlineStr">
        <is>
          <t>SÖDERMANLANDS LÄN</t>
        </is>
      </c>
      <c r="G382" t="inlineStr">
        <is>
          <t>KATRINEHOLM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61721-2025</t>
        </is>
      </c>
      <c r="B383" t="inlineStr">
        <is>
          <t>avverkningsanmälan</t>
        </is>
      </c>
      <c r="C383" t="inlineStr">
        <is>
          <t>Föryngringsavverkning</t>
        </is>
      </c>
      <c r="D383" s="1" t="n">
        <v>46002</v>
      </c>
      <c r="E383" s="1" t="n">
        <v>46288</v>
      </c>
      <c r="F383" t="inlineStr">
        <is>
          <t>SÖDERMANLANDS LÄN</t>
        </is>
      </c>
      <c r="G383" t="inlineStr">
        <is>
          <t>KATRINEHOLM</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49218-2023</t>
        </is>
      </c>
      <c r="B384" t="inlineStr">
        <is>
          <t>avverkningsanmälan</t>
        </is>
      </c>
      <c r="C384" t="inlineStr">
        <is>
          <t>Föryngringsavverkning</t>
        </is>
      </c>
      <c r="D384" s="1" t="n">
        <v>45205</v>
      </c>
      <c r="E384" s="1" t="n">
        <v>46288</v>
      </c>
      <c r="F384" t="inlineStr">
        <is>
          <t>SÖDERMANLANDS LÄN</t>
        </is>
      </c>
      <c r="G384" t="inlineStr">
        <is>
          <t>KATRINEHOLM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4679-2023</t>
        </is>
      </c>
      <c r="B385" t="inlineStr">
        <is>
          <t>avverkningsanmälan</t>
        </is>
      </c>
      <c r="C385" t="inlineStr">
        <is>
          <t>Föryngringsavverkning</t>
        </is>
      </c>
      <c r="D385" s="1" t="n">
        <v>44957</v>
      </c>
      <c r="E385" s="1" t="n">
        <v>46288</v>
      </c>
      <c r="F385" t="inlineStr">
        <is>
          <t>SÖDERMANLANDS LÄN</t>
        </is>
      </c>
      <c r="G385" t="inlineStr">
        <is>
          <t>KATRINEHOLM</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10891-2026</t>
        </is>
      </c>
      <c r="B386" t="inlineStr">
        <is>
          <t>avverkningsanmälan</t>
        </is>
      </c>
      <c r="C386" t="inlineStr">
        <is>
          <t>Föryngringsavverkning</t>
        </is>
      </c>
      <c r="D386" s="1" t="n">
        <v>46078</v>
      </c>
      <c r="E386" s="1" t="n">
        <v>46288</v>
      </c>
      <c r="F386" t="inlineStr">
        <is>
          <t>SÖDERMANLANDS LÄN</t>
        </is>
      </c>
      <c r="G386" t="inlineStr">
        <is>
          <t>KATRINEHOLM</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2320-2023</t>
        </is>
      </c>
      <c r="B387" t="inlineStr">
        <is>
          <t>avverkningsanmälan</t>
        </is>
      </c>
      <c r="C387" t="inlineStr">
        <is>
          <t>Föryngringsavverkning</t>
        </is>
      </c>
      <c r="D387" s="1" t="n">
        <v>44942</v>
      </c>
      <c r="E387" s="1" t="n">
        <v>46288</v>
      </c>
      <c r="F387" t="inlineStr">
        <is>
          <t>SÖDERMANLANDS LÄN</t>
        </is>
      </c>
      <c r="G387" t="inlineStr">
        <is>
          <t>KATRINEHOLM</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2325-2023</t>
        </is>
      </c>
      <c r="B388" t="inlineStr">
        <is>
          <t>avverkningsanmälan</t>
        </is>
      </c>
      <c r="C388" t="inlineStr">
        <is>
          <t>Föryngringsavverkning</t>
        </is>
      </c>
      <c r="D388" s="1" t="n">
        <v>44942</v>
      </c>
      <c r="E388" s="1" t="n">
        <v>46288</v>
      </c>
      <c r="F388" t="inlineStr">
        <is>
          <t>SÖDERMANLANDS LÄN</t>
        </is>
      </c>
      <c r="G388" t="inlineStr">
        <is>
          <t>KATRINEHOLM</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55732-2023</t>
        </is>
      </c>
      <c r="B389" t="inlineStr">
        <is>
          <t>avverkningsanmälan</t>
        </is>
      </c>
      <c r="C389" t="inlineStr">
        <is>
          <t>Föryngringsavverkning</t>
        </is>
      </c>
      <c r="D389" s="1" t="n">
        <v>45239</v>
      </c>
      <c r="E389" s="1" t="n">
        <v>46288</v>
      </c>
      <c r="F389" t="inlineStr">
        <is>
          <t>SÖDERMANLANDS LÄN</t>
        </is>
      </c>
      <c r="G389" t="inlineStr">
        <is>
          <t>KATRINEHOLM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58473-2021</t>
        </is>
      </c>
      <c r="B390" t="inlineStr">
        <is>
          <t>avverkningsanmälan</t>
        </is>
      </c>
      <c r="C390" t="inlineStr">
        <is>
          <t>Föryngringsavverkning</t>
        </is>
      </c>
      <c r="D390" s="1" t="n">
        <v>44488</v>
      </c>
      <c r="E390" s="1" t="n">
        <v>46288</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63947-2025</t>
        </is>
      </c>
      <c r="B391" t="inlineStr">
        <is>
          <t>avverkningsanmälan</t>
        </is>
      </c>
      <c r="C391" t="inlineStr">
        <is>
          <t>Föryngringsavverkning</t>
        </is>
      </c>
      <c r="D391" s="1" t="n">
        <v>46010</v>
      </c>
      <c r="E391" s="1" t="n">
        <v>46288</v>
      </c>
      <c r="F391" t="inlineStr">
        <is>
          <t>SÖDERMANLANDS LÄN</t>
        </is>
      </c>
      <c r="G391" t="inlineStr">
        <is>
          <t>KATRINEHOLM</t>
        </is>
      </c>
      <c r="H391" t="inlineStr">
        <is>
          <t>Allmännings- och besparingsskogar</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63949-2025</t>
        </is>
      </c>
      <c r="B392" t="inlineStr">
        <is>
          <t>avverkningsanmälan</t>
        </is>
      </c>
      <c r="C392" t="inlineStr">
        <is>
          <t>Föryngringsavverkning</t>
        </is>
      </c>
      <c r="D392" s="1" t="n">
        <v>46010</v>
      </c>
      <c r="E392" s="1" t="n">
        <v>46288</v>
      </c>
      <c r="F392" t="inlineStr">
        <is>
          <t>SÖDERMANLANDS LÄN</t>
        </is>
      </c>
      <c r="G392" t="inlineStr">
        <is>
          <t>KATRINEHOLM</t>
        </is>
      </c>
      <c r="H392" t="inlineStr">
        <is>
          <t>Allmännings- och besparingsskogar</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63948-2025</t>
        </is>
      </c>
      <c r="B393" t="inlineStr">
        <is>
          <t>avverkningsanmälan</t>
        </is>
      </c>
      <c r="C393" t="inlineStr">
        <is>
          <t>Föryngringsavverkning</t>
        </is>
      </c>
      <c r="D393" s="1" t="n">
        <v>46010</v>
      </c>
      <c r="E393" s="1" t="n">
        <v>46288</v>
      </c>
      <c r="F393" t="inlineStr">
        <is>
          <t>SÖDERMANLANDS LÄN</t>
        </is>
      </c>
      <c r="G393" t="inlineStr">
        <is>
          <t>KATRINEHOLM</t>
        </is>
      </c>
      <c r="H393" t="inlineStr">
        <is>
          <t>Allmännings- och besparingsskogar</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53860-2021</t>
        </is>
      </c>
      <c r="B394" t="inlineStr">
        <is>
          <t>avverkningsanmälan</t>
        </is>
      </c>
      <c r="C394" t="inlineStr">
        <is>
          <t>Föryngringsavverkning</t>
        </is>
      </c>
      <c r="D394" s="1" t="n">
        <v>44467</v>
      </c>
      <c r="E394" s="1" t="n">
        <v>46288</v>
      </c>
      <c r="F394" t="inlineStr">
        <is>
          <t>SÖDERMANLANDS LÄN</t>
        </is>
      </c>
      <c r="G394" t="inlineStr">
        <is>
          <t>KATRINEHOLM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22509-2026</t>
        </is>
      </c>
      <c r="B395" t="inlineStr">
        <is>
          <t>avverkningsanmälan</t>
        </is>
      </c>
      <c r="C395" t="inlineStr">
        <is>
          <t>Avverkning för annat ändamål</t>
        </is>
      </c>
      <c r="D395" s="1" t="n">
        <v>46155</v>
      </c>
      <c r="E395" s="1" t="n">
        <v>46288</v>
      </c>
      <c r="F395" t="inlineStr">
        <is>
          <t>SÖDERMANLANDS LÄN</t>
        </is>
      </c>
      <c r="G395" t="inlineStr">
        <is>
          <t>KATRINEHOLM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26553-2026</t>
        </is>
      </c>
      <c r="B396" t="inlineStr">
        <is>
          <t>avverkningsanmälan</t>
        </is>
      </c>
      <c r="C396" t="inlineStr">
        <is>
          <t>Föryngringsavverkning</t>
        </is>
      </c>
      <c r="D396" s="1" t="n">
        <v>46183</v>
      </c>
      <c r="E396" s="1" t="n">
        <v>46288</v>
      </c>
      <c r="F396" t="inlineStr">
        <is>
          <t>SÖDERMANLANDS LÄN</t>
        </is>
      </c>
      <c r="G396" t="inlineStr">
        <is>
          <t>KATRINEHOLM</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4662-2023</t>
        </is>
      </c>
      <c r="B397" t="inlineStr">
        <is>
          <t>avverkningsanmälan</t>
        </is>
      </c>
      <c r="C397" t="inlineStr">
        <is>
          <t>Föryngringsavverkning</t>
        </is>
      </c>
      <c r="D397" s="1" t="n">
        <v>44957</v>
      </c>
      <c r="E397" s="1" t="n">
        <v>46288</v>
      </c>
      <c r="F397" t="inlineStr">
        <is>
          <t>SÖDERMANLANDS LÄN</t>
        </is>
      </c>
      <c r="G397" t="inlineStr">
        <is>
          <t>KATRINEHOLM</t>
        </is>
      </c>
      <c r="H397" t="inlineStr">
        <is>
          <t>Holmen skog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22304-2024</t>
        </is>
      </c>
      <c r="B398" t="inlineStr">
        <is>
          <t>avverkningsanmälan</t>
        </is>
      </c>
      <c r="C398" t="inlineStr">
        <is>
          <t>Föryngringsavverkning</t>
        </is>
      </c>
      <c r="D398" s="1" t="n">
        <v>45446</v>
      </c>
      <c r="E398" s="1" t="n">
        <v>46288</v>
      </c>
      <c r="F398" t="inlineStr">
        <is>
          <t>SÖDERMANLANDS LÄN</t>
        </is>
      </c>
      <c r="G398" t="inlineStr">
        <is>
          <t>KATRINEHOLM</t>
        </is>
      </c>
      <c r="H398" t="inlineStr">
        <is>
          <t>Kommuner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13171-2024</t>
        </is>
      </c>
      <c r="B399" t="inlineStr">
        <is>
          <t>avverkningsanmälan</t>
        </is>
      </c>
      <c r="C399" t="inlineStr">
        <is>
          <t>Föryngringsavverkning</t>
        </is>
      </c>
      <c r="D399" s="1" t="n">
        <v>45386</v>
      </c>
      <c r="E399" s="1" t="n">
        <v>46288</v>
      </c>
      <c r="F399" t="inlineStr">
        <is>
          <t>SÖDERMANLANDS LÄN</t>
        </is>
      </c>
      <c r="G399" t="inlineStr">
        <is>
          <t>KATRINEHOLM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33752-2023</t>
        </is>
      </c>
      <c r="B400" t="inlineStr">
        <is>
          <t>avverkningsanmälan</t>
        </is>
      </c>
      <c r="C400" t="inlineStr">
        <is>
          <t>Föryngringsavverkning</t>
        </is>
      </c>
      <c r="D400" s="1" t="n">
        <v>45120</v>
      </c>
      <c r="E400" s="1" t="n">
        <v>46288</v>
      </c>
      <c r="F400" t="inlineStr">
        <is>
          <t>SÖDERMANLANDS LÄN</t>
        </is>
      </c>
      <c r="G400" t="inlineStr">
        <is>
          <t>KATRINEHOLM</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28652-2024</t>
        </is>
      </c>
      <c r="B401" t="inlineStr">
        <is>
          <t>avverkningsanmälan</t>
        </is>
      </c>
      <c r="C401" t="inlineStr">
        <is>
          <t>Föryngringsavverkning</t>
        </is>
      </c>
      <c r="D401" s="1" t="n">
        <v>45478</v>
      </c>
      <c r="E401" s="1" t="n">
        <v>46288</v>
      </c>
      <c r="F401" t="inlineStr">
        <is>
          <t>SÖDERMANLANDS LÄN</t>
        </is>
      </c>
      <c r="G401" t="inlineStr">
        <is>
          <t>KATRINEHOLM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9936-2023</t>
        </is>
      </c>
      <c r="B402" t="inlineStr">
        <is>
          <t>avverkningsanmälan</t>
        </is>
      </c>
      <c r="C402" t="inlineStr">
        <is>
          <t>Föryngringsavverkning</t>
        </is>
      </c>
      <c r="D402" s="1" t="n">
        <v>44985</v>
      </c>
      <c r="E402" s="1" t="n">
        <v>46288</v>
      </c>
      <c r="F402" t="inlineStr">
        <is>
          <t>SÖDERMANLANDS LÄN</t>
        </is>
      </c>
      <c r="G402" t="inlineStr">
        <is>
          <t>KATRINEHOLM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1114-2026</t>
        </is>
      </c>
      <c r="B403" t="inlineStr">
        <is>
          <t>avverkningsanmälan</t>
        </is>
      </c>
      <c r="C403" t="inlineStr">
        <is>
          <t>Föryngringsavverkning</t>
        </is>
      </c>
      <c r="D403" s="1" t="n">
        <v>46030</v>
      </c>
      <c r="E403" s="1" t="n">
        <v>46288</v>
      </c>
      <c r="F403" t="inlineStr">
        <is>
          <t>SÖDERMANLANDS LÄN</t>
        </is>
      </c>
      <c r="G403" t="inlineStr">
        <is>
          <t>KATRINEHOLM</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26498-2026</t>
        </is>
      </c>
      <c r="B404" t="inlineStr">
        <is>
          <t>avverkningsanmälan</t>
        </is>
      </c>
      <c r="C404" t="inlineStr">
        <is>
          <t>Föryngringsavverkning</t>
        </is>
      </c>
      <c r="D404" s="1" t="n">
        <v>46183</v>
      </c>
      <c r="E404" s="1" t="n">
        <v>46288</v>
      </c>
      <c r="F404" t="inlineStr">
        <is>
          <t>SÖDERMANLANDS LÄN</t>
        </is>
      </c>
      <c r="G404" t="inlineStr">
        <is>
          <t>KATRINEHOLM</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18309-2026</t>
        </is>
      </c>
      <c r="B405" t="inlineStr">
        <is>
          <t>avverkningsanmälan</t>
        </is>
      </c>
      <c r="C405" t="inlineStr">
        <is>
          <t>Föryngringsavverkning</t>
        </is>
      </c>
      <c r="D405" s="1" t="n">
        <v>46126</v>
      </c>
      <c r="E405" s="1" t="n">
        <v>46288</v>
      </c>
      <c r="F405" t="inlineStr">
        <is>
          <t>SÖDERMANLANDS LÄN</t>
        </is>
      </c>
      <c r="G405" t="inlineStr">
        <is>
          <t>KATRINEHOLM</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18316-2026</t>
        </is>
      </c>
      <c r="B406" t="inlineStr">
        <is>
          <t>avverkningsanmälan</t>
        </is>
      </c>
      <c r="C406" t="inlineStr">
        <is>
          <t>Föryngringsavverkning</t>
        </is>
      </c>
      <c r="D406" s="1" t="n">
        <v>46126</v>
      </c>
      <c r="E406" s="1" t="n">
        <v>46288</v>
      </c>
      <c r="F406" t="inlineStr">
        <is>
          <t>SÖDERMANLANDS LÄN</t>
        </is>
      </c>
      <c r="G406" t="inlineStr">
        <is>
          <t>KATRINEHOLM</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9192-2023</t>
        </is>
      </c>
      <c r="B407" t="inlineStr">
        <is>
          <t>avverkningsanmälan</t>
        </is>
      </c>
      <c r="C407" t="inlineStr">
        <is>
          <t>Föryngringsavverkning</t>
        </is>
      </c>
      <c r="D407" s="1" t="n">
        <v>44980</v>
      </c>
      <c r="E407" s="1" t="n">
        <v>46288</v>
      </c>
      <c r="F407" t="inlineStr">
        <is>
          <t>SÖDERMANLANDS LÄN</t>
        </is>
      </c>
      <c r="G407" t="inlineStr">
        <is>
          <t>KATRINEHOLM</t>
        </is>
      </c>
      <c r="H407" t="inlineStr">
        <is>
          <t>Övriga Aktiebolag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26483-2026</t>
        </is>
      </c>
      <c r="B408" t="inlineStr">
        <is>
          <t>avverkningsanmälan</t>
        </is>
      </c>
      <c r="C408" t="inlineStr">
        <is>
          <t>Föryngringsavverkning</t>
        </is>
      </c>
      <c r="D408" s="1" t="n">
        <v>46183</v>
      </c>
      <c r="E408" s="1" t="n">
        <v>46288</v>
      </c>
      <c r="F408" t="inlineStr">
        <is>
          <t>SÖDERMANLANDS LÄN</t>
        </is>
      </c>
      <c r="G408" t="inlineStr">
        <is>
          <t>KATRINEHOLM</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72984-2021</t>
        </is>
      </c>
      <c r="B409" t="inlineStr">
        <is>
          <t>avverkningsanmälan</t>
        </is>
      </c>
      <c r="C409" t="inlineStr">
        <is>
          <t>Föryngringsavverkning</t>
        </is>
      </c>
      <c r="D409" s="1" t="n">
        <v>44549</v>
      </c>
      <c r="E409" s="1" t="n">
        <v>46288</v>
      </c>
      <c r="F409" t="inlineStr">
        <is>
          <t>SÖDERMANLANDS LÄN</t>
        </is>
      </c>
      <c r="G409" t="inlineStr">
        <is>
          <t>KATRINEHOLM</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33712-2022</t>
        </is>
      </c>
      <c r="B410" t="inlineStr">
        <is>
          <t>avverkningsanmälan</t>
        </is>
      </c>
      <c r="C410" t="inlineStr">
        <is>
          <t>Föryngringsavverkning</t>
        </is>
      </c>
      <c r="D410" s="1" t="n">
        <v>44789</v>
      </c>
      <c r="E410" s="1" t="n">
        <v>46288</v>
      </c>
      <c r="F410" t="inlineStr">
        <is>
          <t>SÖDERMANLANDS LÄN</t>
        </is>
      </c>
      <c r="G410" t="inlineStr">
        <is>
          <t>KATRINEHOLM</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33717-2022</t>
        </is>
      </c>
      <c r="B411" t="inlineStr">
        <is>
          <t>avverkningsanmälan</t>
        </is>
      </c>
      <c r="C411" t="inlineStr">
        <is>
          <t>Föryngringsavverkning</t>
        </is>
      </c>
      <c r="D411" s="1" t="n">
        <v>44789</v>
      </c>
      <c r="E411" s="1" t="n">
        <v>46288</v>
      </c>
      <c r="F411" t="inlineStr">
        <is>
          <t>SÖDERMANLANDS LÄN</t>
        </is>
      </c>
      <c r="G411" t="inlineStr">
        <is>
          <t>KATRINEHOLM</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38879-2024</t>
        </is>
      </c>
      <c r="B412" t="inlineStr">
        <is>
          <t>avverkningsanmälan</t>
        </is>
      </c>
      <c r="C412" t="inlineStr">
        <is>
          <t>Föryngringsavverkning</t>
        </is>
      </c>
      <c r="D412" s="1" t="n">
        <v>45547</v>
      </c>
      <c r="E412" s="1" t="n">
        <v>46288</v>
      </c>
      <c r="F412" t="inlineStr">
        <is>
          <t>SÖDERMANLANDS LÄN</t>
        </is>
      </c>
      <c r="G412" t="inlineStr">
        <is>
          <t>KATRINEHOLM</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42945-2023</t>
        </is>
      </c>
      <c r="B413" t="inlineStr">
        <is>
          <t>avverkningsanmälan</t>
        </is>
      </c>
      <c r="C413" t="inlineStr">
        <is>
          <t>Föryngringsavverkning</t>
        </is>
      </c>
      <c r="D413" s="1" t="n">
        <v>45182</v>
      </c>
      <c r="E413" s="1" t="n">
        <v>46288</v>
      </c>
      <c r="F413" t="inlineStr">
        <is>
          <t>SÖDERMANLANDS LÄN</t>
        </is>
      </c>
      <c r="G413" t="inlineStr">
        <is>
          <t>KATRINEHOLM</t>
        </is>
      </c>
      <c r="H413" t="inlineStr">
        <is>
          <t>Övriga Aktiebolag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42962-2023</t>
        </is>
      </c>
      <c r="B414" t="inlineStr">
        <is>
          <t>avverkningsanmälan</t>
        </is>
      </c>
      <c r="C414" t="inlineStr">
        <is>
          <t>Föryngringsavverkning</t>
        </is>
      </c>
      <c r="D414" s="1" t="n">
        <v>45182</v>
      </c>
      <c r="E414" s="1" t="n">
        <v>46288</v>
      </c>
      <c r="F414" t="inlineStr">
        <is>
          <t>SÖDERMANLANDS LÄN</t>
        </is>
      </c>
      <c r="G414" t="inlineStr">
        <is>
          <t>KATRINEHOLM</t>
        </is>
      </c>
      <c r="H414" t="inlineStr">
        <is>
          <t>Övriga Aktiebolag</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33538-2022</t>
        </is>
      </c>
      <c r="B415" t="inlineStr">
        <is>
          <t>avverkningsanmälan</t>
        </is>
      </c>
      <c r="C415" t="inlineStr">
        <is>
          <t>Föryngringsavverkning</t>
        </is>
      </c>
      <c r="D415" s="1" t="n">
        <v>44789</v>
      </c>
      <c r="E415" s="1" t="n">
        <v>46288</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27109-2026</t>
        </is>
      </c>
      <c r="B416" t="inlineStr">
        <is>
          <t>avverkningsanmälan</t>
        </is>
      </c>
      <c r="C416" t="inlineStr">
        <is>
          <t>Föryngringsavverkning</t>
        </is>
      </c>
      <c r="D416" s="1" t="n">
        <v>46188</v>
      </c>
      <c r="E416" s="1" t="n">
        <v>46288</v>
      </c>
      <c r="F416" t="inlineStr">
        <is>
          <t>SÖDERMANLANDS LÄN</t>
        </is>
      </c>
      <c r="G416" t="inlineStr">
        <is>
          <t>KATRINEHOLM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2672-2026</t>
        </is>
      </c>
      <c r="B417" t="inlineStr">
        <is>
          <t>avverkningsanmälan</t>
        </is>
      </c>
      <c r="C417" t="inlineStr">
        <is>
          <t>Föryngringsavverkning</t>
        </is>
      </c>
      <c r="D417" s="1" t="n">
        <v>46037</v>
      </c>
      <c r="E417" s="1" t="n">
        <v>46288</v>
      </c>
      <c r="F417" t="inlineStr">
        <is>
          <t>SÖDERMANLANDS LÄN</t>
        </is>
      </c>
      <c r="G417" t="inlineStr">
        <is>
          <t>KATRINEHOLM</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16605-2025</t>
        </is>
      </c>
      <c r="B418" t="inlineStr">
        <is>
          <t>avverkningsanmälan</t>
        </is>
      </c>
      <c r="C418" t="inlineStr">
        <is>
          <t>Föryngringsavverkning</t>
        </is>
      </c>
      <c r="D418" s="1" t="n">
        <v>45753</v>
      </c>
      <c r="E418" s="1" t="n">
        <v>46288</v>
      </c>
      <c r="F418" t="inlineStr">
        <is>
          <t>SÖDERMANLANDS LÄN</t>
        </is>
      </c>
      <c r="G418" t="inlineStr">
        <is>
          <t>KATRINEHOLM</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73409-2021</t>
        </is>
      </c>
      <c r="B419" t="inlineStr">
        <is>
          <t>avverkningsanmälan</t>
        </is>
      </c>
      <c r="C419" t="inlineStr">
        <is>
          <t>Föryngringsavverkning</t>
        </is>
      </c>
      <c r="D419" s="1" t="n">
        <v>44551</v>
      </c>
      <c r="E419" s="1" t="n">
        <v>46288</v>
      </c>
      <c r="F419" t="inlineStr">
        <is>
          <t>SÖDERMANLANDS LÄN</t>
        </is>
      </c>
      <c r="G419" t="inlineStr">
        <is>
          <t>KATRINEHOLM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73415-2021</t>
        </is>
      </c>
      <c r="B420" t="inlineStr">
        <is>
          <t>avverkningsanmälan</t>
        </is>
      </c>
      <c r="C420" t="inlineStr">
        <is>
          <t>Föryngringsavverkning</t>
        </is>
      </c>
      <c r="D420" s="1" t="n">
        <v>44551</v>
      </c>
      <c r="E420" s="1" t="n">
        <v>46288</v>
      </c>
      <c r="F420" t="inlineStr">
        <is>
          <t>SÖDERMANLANDS LÄN</t>
        </is>
      </c>
      <c r="G420" t="inlineStr">
        <is>
          <t>KATRINEHOLM</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63188-2021</t>
        </is>
      </c>
      <c r="B421" t="inlineStr">
        <is>
          <t>avverkningsanmälan</t>
        </is>
      </c>
      <c r="C421" t="inlineStr">
        <is>
          <t>Föryngringsavverkning</t>
        </is>
      </c>
      <c r="D421" s="1" t="n">
        <v>44507</v>
      </c>
      <c r="E421" s="1" t="n">
        <v>46288</v>
      </c>
      <c r="F421" t="inlineStr">
        <is>
          <t>SÖDERMANLANDS LÄN</t>
        </is>
      </c>
      <c r="G421" t="inlineStr">
        <is>
          <t>KATRINEHOLM</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8457-2023</t>
        </is>
      </c>
      <c r="B422" t="inlineStr">
        <is>
          <t>avverkningsanmälan</t>
        </is>
      </c>
      <c r="C422" t="inlineStr">
        <is>
          <t>Föryngringsavverkning</t>
        </is>
      </c>
      <c r="D422" s="1" t="n">
        <v>44977</v>
      </c>
      <c r="E422" s="1" t="n">
        <v>46288</v>
      </c>
      <c r="F422" t="inlineStr">
        <is>
          <t>SÖDERMANLANDS LÄN</t>
        </is>
      </c>
      <c r="G422" t="inlineStr">
        <is>
          <t>KATRINEHOLM</t>
        </is>
      </c>
      <c r="H422" t="inlineStr">
        <is>
          <t>Allmännings- och besparingsskogar</t>
        </is>
      </c>
      <c r="I422" t="n">
        <v>16.1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4889-2026</t>
        </is>
      </c>
      <c r="B423" t="inlineStr">
        <is>
          <t>avverkningsanmälan</t>
        </is>
      </c>
      <c r="C423" t="inlineStr">
        <is>
          <t>Föryngringsavverkning</t>
        </is>
      </c>
      <c r="D423" s="1" t="n">
        <v>46048</v>
      </c>
      <c r="E423" s="1" t="n">
        <v>46288</v>
      </c>
      <c r="F423" t="inlineStr">
        <is>
          <t>SÖDERMANLANDS LÄN</t>
        </is>
      </c>
      <c r="G423" t="inlineStr">
        <is>
          <t>KATRINEHOLM</t>
        </is>
      </c>
      <c r="H423" t="inlineStr">
        <is>
          <t>Övriga Aktiebolag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5703-2026</t>
        </is>
      </c>
      <c r="B424" t="inlineStr">
        <is>
          <t>avverkningsanmälan</t>
        </is>
      </c>
      <c r="C424" t="inlineStr">
        <is>
          <t>Föryngringsavverkning</t>
        </is>
      </c>
      <c r="D424" s="1" t="n">
        <v>46051</v>
      </c>
      <c r="E424" s="1" t="n">
        <v>46288</v>
      </c>
      <c r="F424" t="inlineStr">
        <is>
          <t>SÖDERMANLANDS LÄN</t>
        </is>
      </c>
      <c r="G424" t="inlineStr">
        <is>
          <t>KATRINEHOLM</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60160-2022</t>
        </is>
      </c>
      <c r="B425" t="inlineStr">
        <is>
          <t>avverkningsanmälan</t>
        </is>
      </c>
      <c r="C425" t="inlineStr">
        <is>
          <t>Föryngringsavverkning</t>
        </is>
      </c>
      <c r="D425" s="1" t="n">
        <v>44909</v>
      </c>
      <c r="E425" s="1" t="n">
        <v>46288</v>
      </c>
      <c r="F425" t="inlineStr">
        <is>
          <t>SÖDERMANLANDS LÄN</t>
        </is>
      </c>
      <c r="G425" t="inlineStr">
        <is>
          <t>KATRINEHOLM</t>
        </is>
      </c>
      <c r="H425" t="inlineStr">
        <is>
          <t>Allmännings- och besparingsskogar</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48685-2022</t>
        </is>
      </c>
      <c r="B426" t="inlineStr">
        <is>
          <t>avverkningsanmälan</t>
        </is>
      </c>
      <c r="C426" t="inlineStr">
        <is>
          <t>Föryngringsavverkning</t>
        </is>
      </c>
      <c r="D426" s="1" t="n">
        <v>44859</v>
      </c>
      <c r="E426" s="1" t="n">
        <v>46288</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42519-2024</t>
        </is>
      </c>
      <c r="B427" t="inlineStr">
        <is>
          <t>avverkningsanmälan</t>
        </is>
      </c>
      <c r="C427" t="inlineStr">
        <is>
          <t>Föryngringsavverkning</t>
        </is>
      </c>
      <c r="D427" s="1" t="n">
        <v>45565</v>
      </c>
      <c r="E427" s="1" t="n">
        <v>46288</v>
      </c>
      <c r="F427" t="inlineStr">
        <is>
          <t>SÖDERMANLANDS LÄN</t>
        </is>
      </c>
      <c r="G427" t="inlineStr">
        <is>
          <t>KATRINEHOLM</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32169-2022</t>
        </is>
      </c>
      <c r="B428" t="inlineStr">
        <is>
          <t>avverkningsanmälan</t>
        </is>
      </c>
      <c r="C428" t="inlineStr">
        <is>
          <t>Avverkning för annat ändamål</t>
        </is>
      </c>
      <c r="D428" s="1" t="n">
        <v>44781</v>
      </c>
      <c r="E428" s="1" t="n">
        <v>46288</v>
      </c>
      <c r="F428" t="inlineStr">
        <is>
          <t>SÖDERMANLANDS LÄN</t>
        </is>
      </c>
      <c r="G428" t="inlineStr">
        <is>
          <t>KATRINEHOLM</t>
        </is>
      </c>
      <c r="H428" t="inlineStr">
        <is>
          <t>Kommuner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55122-2022</t>
        </is>
      </c>
      <c r="B429" t="inlineStr">
        <is>
          <t>avverkningsanmälan</t>
        </is>
      </c>
      <c r="C429" t="inlineStr">
        <is>
          <t>Föryngringsavverkning</t>
        </is>
      </c>
      <c r="D429" s="1" t="n">
        <v>44886</v>
      </c>
      <c r="E429" s="1" t="n">
        <v>46288</v>
      </c>
      <c r="F429" t="inlineStr">
        <is>
          <t>SÖDERMANLANDS LÄN</t>
        </is>
      </c>
      <c r="G429" t="inlineStr">
        <is>
          <t>KATRINEHOLM</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43964-2022</t>
        </is>
      </c>
      <c r="B430" t="inlineStr">
        <is>
          <t>avverkningsanmälan</t>
        </is>
      </c>
      <c r="C430" t="inlineStr">
        <is>
          <t>Föryngringsavverkning</t>
        </is>
      </c>
      <c r="D430" s="1" t="n">
        <v>44837</v>
      </c>
      <c r="E430" s="1" t="n">
        <v>46288</v>
      </c>
      <c r="F430" t="inlineStr">
        <is>
          <t>SÖDERMANLANDS LÄN</t>
        </is>
      </c>
      <c r="G430" t="inlineStr">
        <is>
          <t>KATRINEHOLM</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46075-2023</t>
        </is>
      </c>
      <c r="B431" t="inlineStr">
        <is>
          <t>avverkningsanmälan</t>
        </is>
      </c>
      <c r="C431" t="inlineStr">
        <is>
          <t>Föryngringsavverkning</t>
        </is>
      </c>
      <c r="D431" s="1" t="n">
        <v>45196</v>
      </c>
      <c r="E431" s="1" t="n">
        <v>46288</v>
      </c>
      <c r="F431" t="inlineStr">
        <is>
          <t>SÖDERMANLANDS LÄN</t>
        </is>
      </c>
      <c r="G431" t="inlineStr">
        <is>
          <t>KATRINEHOLM</t>
        </is>
      </c>
      <c r="H431" t="inlineStr">
        <is>
          <t>Övriga Aktiebolag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9992-2022</t>
        </is>
      </c>
      <c r="B432" t="inlineStr">
        <is>
          <t>avverkningsanmälan</t>
        </is>
      </c>
      <c r="C432" t="inlineStr">
        <is>
          <t>Föryngringsavverkning</t>
        </is>
      </c>
      <c r="D432" s="1" t="n">
        <v>44621</v>
      </c>
      <c r="E432" s="1" t="n">
        <v>46288</v>
      </c>
      <c r="F432" t="inlineStr">
        <is>
          <t>SÖDERMANLANDS LÄN</t>
        </is>
      </c>
      <c r="G432" t="inlineStr">
        <is>
          <t>KATRINEHOLM</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44659-2023</t>
        </is>
      </c>
      <c r="B433" t="inlineStr">
        <is>
          <t>avverkningsanmälan</t>
        </is>
      </c>
      <c r="C433" t="inlineStr">
        <is>
          <t>Föryngringsavverkning</t>
        </is>
      </c>
      <c r="D433" s="1" t="n">
        <v>45189</v>
      </c>
      <c r="E433" s="1" t="n">
        <v>46288</v>
      </c>
      <c r="F433" t="inlineStr">
        <is>
          <t>SÖDERMANLANDS LÄN</t>
        </is>
      </c>
      <c r="G433" t="inlineStr">
        <is>
          <t>KATRINEHOLM</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29046-2026</t>
        </is>
      </c>
      <c r="B434" t="inlineStr">
        <is>
          <t>avverkningsanmälan</t>
        </is>
      </c>
      <c r="C434" t="inlineStr">
        <is>
          <t>Föryngringsavverkning</t>
        </is>
      </c>
      <c r="D434" s="1" t="n">
        <v>46199</v>
      </c>
      <c r="E434" s="1" t="n">
        <v>46288</v>
      </c>
      <c r="F434" t="inlineStr">
        <is>
          <t>SÖDERMANLANDS LÄN</t>
        </is>
      </c>
      <c r="G434" t="inlineStr">
        <is>
          <t>KATRINEHOLM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48682-2022</t>
        </is>
      </c>
      <c r="B435" t="inlineStr">
        <is>
          <t>avverkningsanmälan</t>
        </is>
      </c>
      <c r="C435" t="inlineStr">
        <is>
          <t>Föryngringsavverkning</t>
        </is>
      </c>
      <c r="D435" s="1" t="n">
        <v>44859</v>
      </c>
      <c r="E435" s="1" t="n">
        <v>46288</v>
      </c>
      <c r="F435" t="inlineStr">
        <is>
          <t>SÖDERMANLANDS LÄN</t>
        </is>
      </c>
      <c r="G435" t="inlineStr">
        <is>
          <t>KATRINEHOLM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28999-2026</t>
        </is>
      </c>
      <c r="B436" t="inlineStr">
        <is>
          <t>avverkningsanmälan</t>
        </is>
      </c>
      <c r="C436" t="inlineStr">
        <is>
          <t>Föryngringsavverkning</t>
        </is>
      </c>
      <c r="D436" s="1" t="n">
        <v>46199</v>
      </c>
      <c r="E436" s="1" t="n">
        <v>46288</v>
      </c>
      <c r="F436" t="inlineStr">
        <is>
          <t>SÖDERMANLANDS LÄN</t>
        </is>
      </c>
      <c r="G436" t="inlineStr">
        <is>
          <t>KATRINEHOLM</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14629-2023</t>
        </is>
      </c>
      <c r="B437" t="inlineStr">
        <is>
          <t>avverkningsanmälan</t>
        </is>
      </c>
      <c r="C437" t="inlineStr">
        <is>
          <t>Föryngringsavverkning</t>
        </is>
      </c>
      <c r="D437" s="1" t="n">
        <v>45013</v>
      </c>
      <c r="E437" s="1" t="n">
        <v>46288</v>
      </c>
      <c r="F437" t="inlineStr">
        <is>
          <t>SÖDERMANLANDS LÄN</t>
        </is>
      </c>
      <c r="G437" t="inlineStr">
        <is>
          <t>KATRINEHOLM</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28946-2026</t>
        </is>
      </c>
      <c r="B438" t="inlineStr">
        <is>
          <t>avverkningsanmälan</t>
        </is>
      </c>
      <c r="C438" t="inlineStr">
        <is>
          <t>Föryngringsavverkning</t>
        </is>
      </c>
      <c r="D438" s="1" t="n">
        <v>46199</v>
      </c>
      <c r="E438" s="1" t="n">
        <v>46288</v>
      </c>
      <c r="F438" t="inlineStr">
        <is>
          <t>SÖDERMANLANDS LÄN</t>
        </is>
      </c>
      <c r="G438" t="inlineStr">
        <is>
          <t>KATRINEHOLM</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57524-2021</t>
        </is>
      </c>
      <c r="B439" t="inlineStr">
        <is>
          <t>avverkningsanmälan</t>
        </is>
      </c>
      <c r="C439" t="inlineStr">
        <is>
          <t>Föryngringsavverkning</t>
        </is>
      </c>
      <c r="D439" s="1" t="n">
        <v>44483</v>
      </c>
      <c r="E439" s="1" t="n">
        <v>46288</v>
      </c>
      <c r="F439" t="inlineStr">
        <is>
          <t>SÖDERMANLANDS LÄN</t>
        </is>
      </c>
      <c r="G439" t="inlineStr">
        <is>
          <t>KATRINEHOLM</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27345-2023</t>
        </is>
      </c>
      <c r="B440" t="inlineStr">
        <is>
          <t>avverkningsanmälan</t>
        </is>
      </c>
      <c r="C440" t="inlineStr">
        <is>
          <t>Föryngringsavverkning</t>
        </is>
      </c>
      <c r="D440" s="1" t="n">
        <v>45096</v>
      </c>
      <c r="E440" s="1" t="n">
        <v>46288</v>
      </c>
      <c r="F440" t="inlineStr">
        <is>
          <t>SÖDERMANLANDS LÄN</t>
        </is>
      </c>
      <c r="G440" t="inlineStr">
        <is>
          <t>KATRINEHOLM</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10086-2026</t>
        </is>
      </c>
      <c r="B441" t="inlineStr">
        <is>
          <t>avverkningsanmälan</t>
        </is>
      </c>
      <c r="C441" t="inlineStr">
        <is>
          <t>Föryngringsavverkning</t>
        </is>
      </c>
      <c r="D441" s="1" t="n">
        <v>46073</v>
      </c>
      <c r="E441" s="1" t="n">
        <v>46288</v>
      </c>
      <c r="F441" t="inlineStr">
        <is>
          <t>SÖDERMANLANDS LÄN</t>
        </is>
      </c>
      <c r="G441" t="inlineStr">
        <is>
          <t>KATRINEHOLM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53996-2023</t>
        </is>
      </c>
      <c r="B442" t="inlineStr">
        <is>
          <t>avverkningsanmälan</t>
        </is>
      </c>
      <c r="C442" t="inlineStr">
        <is>
          <t>Föryngringsavverkning</t>
        </is>
      </c>
      <c r="D442" s="1" t="n">
        <v>45231</v>
      </c>
      <c r="E442" s="1" t="n">
        <v>46288</v>
      </c>
      <c r="F442" t="inlineStr">
        <is>
          <t>SÖDERMANLANDS LÄN</t>
        </is>
      </c>
      <c r="G442" t="inlineStr">
        <is>
          <t>KATRINEHOLM</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29019-2026</t>
        </is>
      </c>
      <c r="B443" t="inlineStr">
        <is>
          <t>avverkningsanmälan</t>
        </is>
      </c>
      <c r="C443" t="inlineStr">
        <is>
          <t>Föryngringsavverkning</t>
        </is>
      </c>
      <c r="D443" s="1" t="n">
        <v>46199</v>
      </c>
      <c r="E443" s="1" t="n">
        <v>46288</v>
      </c>
      <c r="F443" t="inlineStr">
        <is>
          <t>SÖDERMANLANDS LÄN</t>
        </is>
      </c>
      <c r="G443" t="inlineStr">
        <is>
          <t>KATRINEHOLM</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29023-2026</t>
        </is>
      </c>
      <c r="B444" t="inlineStr">
        <is>
          <t>avverkningsanmälan</t>
        </is>
      </c>
      <c r="C444" t="inlineStr">
        <is>
          <t>Föryngringsavverkning</t>
        </is>
      </c>
      <c r="D444" s="1" t="n">
        <v>46199</v>
      </c>
      <c r="E444" s="1" t="n">
        <v>46288</v>
      </c>
      <c r="F444" t="inlineStr">
        <is>
          <t>SÖDERMANLANDS LÄN</t>
        </is>
      </c>
      <c r="G444" t="inlineStr">
        <is>
          <t>KATRINEHOLM</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28933-2026</t>
        </is>
      </c>
      <c r="B445" t="inlineStr">
        <is>
          <t>avverkningsanmälan</t>
        </is>
      </c>
      <c r="C445" t="inlineStr">
        <is>
          <t>Föryngringsavverkning</t>
        </is>
      </c>
      <c r="D445" s="1" t="n">
        <v>46199</v>
      </c>
      <c r="E445" s="1" t="n">
        <v>46288</v>
      </c>
      <c r="F445" t="inlineStr">
        <is>
          <t>SÖDERMANLANDS LÄN</t>
        </is>
      </c>
      <c r="G445" t="inlineStr">
        <is>
          <t>KATRINEHOLM</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11127-2023</t>
        </is>
      </c>
      <c r="B446" t="inlineStr">
        <is>
          <t>avverkningsanmälan</t>
        </is>
      </c>
      <c r="C446" t="inlineStr">
        <is>
          <t>Föryngringsavverkning</t>
        </is>
      </c>
      <c r="D446" s="1" t="n">
        <v>44987</v>
      </c>
      <c r="E446" s="1" t="n">
        <v>46288</v>
      </c>
      <c r="F446" t="inlineStr">
        <is>
          <t>SÖDERMANLANDS LÄN</t>
        </is>
      </c>
      <c r="G446" t="inlineStr">
        <is>
          <t>KATRINEHOLM</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37185-2023</t>
        </is>
      </c>
      <c r="B447" t="inlineStr">
        <is>
          <t>avverkningsanmälan</t>
        </is>
      </c>
      <c r="C447" t="inlineStr">
        <is>
          <t>Föryngringsavverkning</t>
        </is>
      </c>
      <c r="D447" s="1" t="n">
        <v>45154</v>
      </c>
      <c r="E447" s="1" t="n">
        <v>46288</v>
      </c>
      <c r="F447" t="inlineStr">
        <is>
          <t>SÖDERMANLANDS LÄN</t>
        </is>
      </c>
      <c r="G447" t="inlineStr">
        <is>
          <t>KATRINEHOLM</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11677-2026</t>
        </is>
      </c>
      <c r="B448" t="inlineStr">
        <is>
          <t>avverkningsanmälan</t>
        </is>
      </c>
      <c r="C448" t="inlineStr">
        <is>
          <t>Föryngringsavverkning</t>
        </is>
      </c>
      <c r="D448" s="1" t="n">
        <v>46084</v>
      </c>
      <c r="E448" s="1" t="n">
        <v>46288</v>
      </c>
      <c r="F448" t="inlineStr">
        <is>
          <t>SÖDERMANLANDS LÄN</t>
        </is>
      </c>
      <c r="G448" t="inlineStr">
        <is>
          <t>KATRINEHOLM</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24284-2024</t>
        </is>
      </c>
      <c r="B449" t="inlineStr">
        <is>
          <t>avverkningsanmälan</t>
        </is>
      </c>
      <c r="C449" t="inlineStr">
        <is>
          <t>Avverkning för att bevara och utveckla /försöksver</t>
        </is>
      </c>
      <c r="D449" s="1" t="n">
        <v>45457</v>
      </c>
      <c r="E449" s="1" t="n">
        <v>46288</v>
      </c>
      <c r="F449" t="inlineStr">
        <is>
          <t>SÖDERMANLANDS LÄN</t>
        </is>
      </c>
      <c r="G449" t="inlineStr">
        <is>
          <t>KATRINEHOLM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11666-2026</t>
        </is>
      </c>
      <c r="B450" t="inlineStr">
        <is>
          <t>avverkningsanmälan</t>
        </is>
      </c>
      <c r="C450" t="inlineStr">
        <is>
          <t>Föryngringsavverkning</t>
        </is>
      </c>
      <c r="D450" s="1" t="n">
        <v>46084</v>
      </c>
      <c r="E450" s="1" t="n">
        <v>46288</v>
      </c>
      <c r="F450" t="inlineStr">
        <is>
          <t>SÖDERMANLANDS LÄN</t>
        </is>
      </c>
      <c r="G450" t="inlineStr">
        <is>
          <t>KATRINEHOLM</t>
        </is>
      </c>
      <c r="H450" t="inlineStr">
        <is>
          <t>Holmen skog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11621-2026</t>
        </is>
      </c>
      <c r="B451" t="inlineStr">
        <is>
          <t>avverkningsanmälan</t>
        </is>
      </c>
      <c r="C451" t="inlineStr">
        <is>
          <t>Föryngringsavverkning</t>
        </is>
      </c>
      <c r="D451" s="1" t="n">
        <v>46084</v>
      </c>
      <c r="E451" s="1" t="n">
        <v>46288</v>
      </c>
      <c r="F451" t="inlineStr">
        <is>
          <t>SÖDERMANLANDS LÄN</t>
        </is>
      </c>
      <c r="G451" t="inlineStr">
        <is>
          <t>KATRINEHOLM</t>
        </is>
      </c>
      <c r="H451" t="inlineStr">
        <is>
          <t>Holmen skog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66393-2021</t>
        </is>
      </c>
      <c r="B452" t="inlineStr">
        <is>
          <t>avverkningsanmälan</t>
        </is>
      </c>
      <c r="C452" t="inlineStr">
        <is>
          <t>Föryngringsavverkning</t>
        </is>
      </c>
      <c r="D452" s="1" t="n">
        <v>44518</v>
      </c>
      <c r="E452" s="1" t="n">
        <v>46288</v>
      </c>
      <c r="F452" t="inlineStr">
        <is>
          <t>SÖDERMANLANDS LÄN</t>
        </is>
      </c>
      <c r="G452" t="inlineStr">
        <is>
          <t>KATRINEHOLM</t>
        </is>
      </c>
      <c r="H452" t="inlineStr">
        <is>
          <t>Holmen skog AB</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50840-2022</t>
        </is>
      </c>
      <c r="B453" t="inlineStr">
        <is>
          <t>avverkningsanmälan</t>
        </is>
      </c>
      <c r="C453" t="inlineStr">
        <is>
          <t>Föryngringsavverkning</t>
        </is>
      </c>
      <c r="D453" s="1" t="n">
        <v>44862</v>
      </c>
      <c r="E453" s="1" t="n">
        <v>46288</v>
      </c>
      <c r="F453" t="inlineStr">
        <is>
          <t>SÖDERMANLANDS LÄN</t>
        </is>
      </c>
      <c r="G453" t="inlineStr">
        <is>
          <t>KATRINEHOLM</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14245-2024</t>
        </is>
      </c>
      <c r="B454" t="inlineStr">
        <is>
          <t>avverkningsanmälan</t>
        </is>
      </c>
      <c r="C454" t="inlineStr">
        <is>
          <t>Föryngringsavverkning</t>
        </is>
      </c>
      <c r="D454" s="1" t="n">
        <v>45393</v>
      </c>
      <c r="E454" s="1" t="n">
        <v>46288</v>
      </c>
      <c r="F454" t="inlineStr">
        <is>
          <t>SÖDERMANLANDS LÄN</t>
        </is>
      </c>
      <c r="G454" t="inlineStr">
        <is>
          <t>KATRINEHOLM</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36832-2023</t>
        </is>
      </c>
      <c r="B455" t="inlineStr">
        <is>
          <t>avverkningsanmälan</t>
        </is>
      </c>
      <c r="C455" t="inlineStr">
        <is>
          <t>Föryngringsavverkning</t>
        </is>
      </c>
      <c r="D455" s="1" t="n">
        <v>45153</v>
      </c>
      <c r="E455" s="1" t="n">
        <v>46288</v>
      </c>
      <c r="F455" t="inlineStr">
        <is>
          <t>SÖDERMANLANDS LÄN</t>
        </is>
      </c>
      <c r="G455" t="inlineStr">
        <is>
          <t>KATRINEHOLM</t>
        </is>
      </c>
      <c r="H455" t="inlineStr">
        <is>
          <t>Övriga Aktiebolag</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39052-2023</t>
        </is>
      </c>
      <c r="B456" t="inlineStr">
        <is>
          <t>avverkningsanmälan</t>
        </is>
      </c>
      <c r="C456" t="inlineStr">
        <is>
          <t>Föryngringsavverkning</t>
        </is>
      </c>
      <c r="D456" s="1" t="n">
        <v>45163</v>
      </c>
      <c r="E456" s="1" t="n">
        <v>46288</v>
      </c>
      <c r="F456" t="inlineStr">
        <is>
          <t>SÖDERMANLANDS LÄN</t>
        </is>
      </c>
      <c r="G456" t="inlineStr">
        <is>
          <t>KATRINEHOLM</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41946-2022</t>
        </is>
      </c>
      <c r="B457" t="inlineStr">
        <is>
          <t>avverkningsanmälan</t>
        </is>
      </c>
      <c r="C457" t="inlineStr">
        <is>
          <t>Föryngringsavverkning</t>
        </is>
      </c>
      <c r="D457" s="1" t="n">
        <v>44830</v>
      </c>
      <c r="E457" s="1" t="n">
        <v>46288</v>
      </c>
      <c r="F457" t="inlineStr">
        <is>
          <t>SÖDERMANLANDS LÄN</t>
        </is>
      </c>
      <c r="G457" t="inlineStr">
        <is>
          <t>KATRINEHOLM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12831-2026</t>
        </is>
      </c>
      <c r="B458" t="inlineStr">
        <is>
          <t>avverkningsanmälan</t>
        </is>
      </c>
      <c r="C458" t="inlineStr">
        <is>
          <t>Föryngringsavverkning</t>
        </is>
      </c>
      <c r="D458" s="1" t="n">
        <v>46092</v>
      </c>
      <c r="E458" s="1" t="n">
        <v>46288</v>
      </c>
      <c r="F458" t="inlineStr">
        <is>
          <t>SÖDERMANLANDS LÄN</t>
        </is>
      </c>
      <c r="G458" t="inlineStr">
        <is>
          <t>KATRINEHOLM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28978-2026</t>
        </is>
      </c>
      <c r="B459" t="inlineStr">
        <is>
          <t>avverkningsanmälan</t>
        </is>
      </c>
      <c r="C459" t="inlineStr">
        <is>
          <t>Föryngringsavverkning</t>
        </is>
      </c>
      <c r="D459" s="1" t="n">
        <v>46199</v>
      </c>
      <c r="E459" s="1" t="n">
        <v>46288</v>
      </c>
      <c r="F459" t="inlineStr">
        <is>
          <t>SÖDERMANLANDS LÄN</t>
        </is>
      </c>
      <c r="G459" t="inlineStr">
        <is>
          <t>KATRINEHOLM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51613-2022</t>
        </is>
      </c>
      <c r="B460" t="inlineStr">
        <is>
          <t>avverkningsanmälan</t>
        </is>
      </c>
      <c r="C460" t="inlineStr">
        <is>
          <t>Föryngringsavverkning</t>
        </is>
      </c>
      <c r="D460" s="1" t="n">
        <v>44871</v>
      </c>
      <c r="E460" s="1" t="n">
        <v>46288</v>
      </c>
      <c r="F460" t="inlineStr">
        <is>
          <t>SÖDERMANLANDS LÄN</t>
        </is>
      </c>
      <c r="G460" t="inlineStr">
        <is>
          <t>KATRINEHOLM</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19868-2022</t>
        </is>
      </c>
      <c r="B461" t="inlineStr">
        <is>
          <t>avverkningsanmälan</t>
        </is>
      </c>
      <c r="C461" t="inlineStr">
        <is>
          <t>Föryngringsavverkning</t>
        </is>
      </c>
      <c r="D461" s="1" t="n">
        <v>44696</v>
      </c>
      <c r="E461" s="1" t="n">
        <v>46288</v>
      </c>
      <c r="F461" t="inlineStr">
        <is>
          <t>SÖDERMANLANDS LÄN</t>
        </is>
      </c>
      <c r="G461" t="inlineStr">
        <is>
          <t>KATRINEHOLM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58651-2023</t>
        </is>
      </c>
      <c r="B462" t="inlineStr">
        <is>
          <t>avverkningsanmälan</t>
        </is>
      </c>
      <c r="C462" t="inlineStr">
        <is>
          <t>Föryngringsavverkning</t>
        </is>
      </c>
      <c r="D462" s="1" t="n">
        <v>45247</v>
      </c>
      <c r="E462" s="1" t="n">
        <v>46288</v>
      </c>
      <c r="F462" t="inlineStr">
        <is>
          <t>SÖDERMANLANDS LÄN</t>
        </is>
      </c>
      <c r="G462" t="inlineStr">
        <is>
          <t>KATRINEHOLM</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13841-2026</t>
        </is>
      </c>
      <c r="B463" t="inlineStr">
        <is>
          <t>avverkningsanmälan</t>
        </is>
      </c>
      <c r="C463" t="inlineStr">
        <is>
          <t>Föryngringsavverkning</t>
        </is>
      </c>
      <c r="D463" s="1" t="n">
        <v>46098</v>
      </c>
      <c r="E463" s="1" t="n">
        <v>46288</v>
      </c>
      <c r="F463" t="inlineStr">
        <is>
          <t>SÖDERMANLANDS LÄN</t>
        </is>
      </c>
      <c r="G463" t="inlineStr">
        <is>
          <t>KATRINEHOLM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8765-2023</t>
        </is>
      </c>
      <c r="B464" t="inlineStr">
        <is>
          <t>avverkningsanmälan</t>
        </is>
      </c>
      <c r="C464" t="inlineStr">
        <is>
          <t>Föryngringsavverkning</t>
        </is>
      </c>
      <c r="D464" s="1" t="n">
        <v>44978</v>
      </c>
      <c r="E464" s="1" t="n">
        <v>46288</v>
      </c>
      <c r="F464" t="inlineStr">
        <is>
          <t>SÖDERMANLANDS LÄN</t>
        </is>
      </c>
      <c r="G464" t="inlineStr">
        <is>
          <t>KATRINEHOLM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13632-2026</t>
        </is>
      </c>
      <c r="B465" t="inlineStr">
        <is>
          <t>avverkningsanmälan</t>
        </is>
      </c>
      <c r="C465" t="inlineStr">
        <is>
          <t>Föryngringsavverkning</t>
        </is>
      </c>
      <c r="D465" s="1" t="n">
        <v>46097</v>
      </c>
      <c r="E465" s="1" t="n">
        <v>46288</v>
      </c>
      <c r="F465" t="inlineStr">
        <is>
          <t>SÖDERMANLANDS LÄN</t>
        </is>
      </c>
      <c r="G465" t="inlineStr">
        <is>
          <t>KATRINEHOLM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13655-2026</t>
        </is>
      </c>
      <c r="B466" t="inlineStr">
        <is>
          <t>avverkningsanmälan</t>
        </is>
      </c>
      <c r="C466" t="inlineStr">
        <is>
          <t>Avverkning för att bevara och utveckla /försöksver</t>
        </is>
      </c>
      <c r="D466" s="1" t="n">
        <v>46097</v>
      </c>
      <c r="E466" s="1" t="n">
        <v>46288</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28992-2024</t>
        </is>
      </c>
      <c r="B467" t="inlineStr">
        <is>
          <t>avverkningsanmälan</t>
        </is>
      </c>
      <c r="C467" t="inlineStr">
        <is>
          <t>Föryngringsavverkning</t>
        </is>
      </c>
      <c r="D467" s="1" t="n">
        <v>45481</v>
      </c>
      <c r="E467" s="1" t="n">
        <v>46288</v>
      </c>
      <c r="F467" t="inlineStr">
        <is>
          <t>SÖDERMANLANDS LÄN</t>
        </is>
      </c>
      <c r="G467" t="inlineStr">
        <is>
          <t>KATRINEHOLM</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25433-2024</t>
        </is>
      </c>
      <c r="B468" t="inlineStr">
        <is>
          <t>avverkningsanmälan</t>
        </is>
      </c>
      <c r="C468" t="inlineStr">
        <is>
          <t>Avverkning för annat ändamål</t>
        </is>
      </c>
      <c r="D468" s="1" t="n">
        <v>45463</v>
      </c>
      <c r="E468" s="1" t="n">
        <v>46288</v>
      </c>
      <c r="F468" t="inlineStr">
        <is>
          <t>SÖDERMANLANDS LÄN</t>
        </is>
      </c>
      <c r="G468" t="inlineStr">
        <is>
          <t>KATRINEHOLM</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14770-2026</t>
        </is>
      </c>
      <c r="B469" t="inlineStr">
        <is>
          <t>avverkningsanmälan</t>
        </is>
      </c>
      <c r="C469" t="inlineStr">
        <is>
          <t>Föryngringsavverkning</t>
        </is>
      </c>
      <c r="D469" s="1" t="n">
        <v>46101</v>
      </c>
      <c r="E469" s="1" t="n">
        <v>46288</v>
      </c>
      <c r="F469" t="inlineStr">
        <is>
          <t>SÖDERMANLANDS LÄN</t>
        </is>
      </c>
      <c r="G469" t="inlineStr">
        <is>
          <t>KATRINEHOLM</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14751-2026</t>
        </is>
      </c>
      <c r="B470" t="inlineStr">
        <is>
          <t>avverkningsanmälan</t>
        </is>
      </c>
      <c r="C470" t="inlineStr">
        <is>
          <t>Avverkning för att bevara och utveckla /försöksver</t>
        </is>
      </c>
      <c r="D470" s="1" t="n">
        <v>46101</v>
      </c>
      <c r="E470" s="1" t="n">
        <v>46288</v>
      </c>
      <c r="F470" t="inlineStr">
        <is>
          <t>SÖDERMANLANDS LÄN</t>
        </is>
      </c>
      <c r="G470" t="inlineStr">
        <is>
          <t>KATRINEHOLM</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42111-2022</t>
        </is>
      </c>
      <c r="B471" t="inlineStr">
        <is>
          <t>avverkningsanmälan</t>
        </is>
      </c>
      <c r="C471" t="inlineStr">
        <is>
          <t>Föryngringsavverkning</t>
        </is>
      </c>
      <c r="D471" s="1" t="n">
        <v>44830</v>
      </c>
      <c r="E471" s="1" t="n">
        <v>46288</v>
      </c>
      <c r="F471" t="inlineStr">
        <is>
          <t>SÖDERMANLANDS LÄN</t>
        </is>
      </c>
      <c r="G471" t="inlineStr">
        <is>
          <t>KATRINEHOLM</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15701-2026</t>
        </is>
      </c>
      <c r="B472" t="inlineStr">
        <is>
          <t>avverkningsanmälan</t>
        </is>
      </c>
      <c r="C472" t="inlineStr">
        <is>
          <t>Föryngringsavverkning</t>
        </is>
      </c>
      <c r="D472" s="1" t="n">
        <v>46106</v>
      </c>
      <c r="E472" s="1" t="n">
        <v>46288</v>
      </c>
      <c r="F472" t="inlineStr">
        <is>
          <t>SÖDERMANLANDS LÄN</t>
        </is>
      </c>
      <c r="G472" t="inlineStr">
        <is>
          <t>KATRINEHOLM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36021-2023</t>
        </is>
      </c>
      <c r="B473" t="inlineStr">
        <is>
          <t>avverkningsanmälan</t>
        </is>
      </c>
      <c r="C473" t="inlineStr">
        <is>
          <t>Föryngringsavverkning</t>
        </is>
      </c>
      <c r="D473" s="1" t="n">
        <v>45148</v>
      </c>
      <c r="E473" s="1" t="n">
        <v>46288</v>
      </c>
      <c r="F473" t="inlineStr">
        <is>
          <t>SÖDERMANLANDS LÄN</t>
        </is>
      </c>
      <c r="G473" t="inlineStr">
        <is>
          <t>KATRINEHOLM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16113-2026</t>
        </is>
      </c>
      <c r="B474" t="inlineStr">
        <is>
          <t>avverkningsanmälan</t>
        </is>
      </c>
      <c r="C474" t="inlineStr">
        <is>
          <t>Föryngringsavverkning</t>
        </is>
      </c>
      <c r="D474" s="1" t="n">
        <v>46108</v>
      </c>
      <c r="E474" s="1" t="n">
        <v>46288</v>
      </c>
      <c r="F474" t="inlineStr">
        <is>
          <t>SÖDERMANLANDS LÄN</t>
        </is>
      </c>
      <c r="G474" t="inlineStr">
        <is>
          <t>KATRINEHOLM</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15819-2026</t>
        </is>
      </c>
      <c r="B475" t="inlineStr">
        <is>
          <t>avverkningsanmälan</t>
        </is>
      </c>
      <c r="C475" t="inlineStr">
        <is>
          <t>Föryngringsavverkning</t>
        </is>
      </c>
      <c r="D475" s="1" t="n">
        <v>46107</v>
      </c>
      <c r="E475" s="1" t="n">
        <v>46288</v>
      </c>
      <c r="F475" t="inlineStr">
        <is>
          <t>SÖDERMANLANDS LÄN</t>
        </is>
      </c>
      <c r="G475" t="inlineStr">
        <is>
          <t>KATRINEHOLM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40402-2022</t>
        </is>
      </c>
      <c r="B476" t="inlineStr">
        <is>
          <t>avverkningsanmälan</t>
        </is>
      </c>
      <c r="C476" t="inlineStr">
        <is>
          <t>Föryngringsavverkning</t>
        </is>
      </c>
      <c r="D476" s="1" t="n">
        <v>44823</v>
      </c>
      <c r="E476" s="1" t="n">
        <v>46288</v>
      </c>
      <c r="F476" t="inlineStr">
        <is>
          <t>SÖDERMANLANDS LÄN</t>
        </is>
      </c>
      <c r="G476" t="inlineStr">
        <is>
          <t>KATRINEHOLM</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16432-2026</t>
        </is>
      </c>
      <c r="B477" t="inlineStr">
        <is>
          <t>avverkningsanmälan</t>
        </is>
      </c>
      <c r="C477" t="inlineStr">
        <is>
          <t>Föryngringsavverkning</t>
        </is>
      </c>
      <c r="D477" s="1" t="n">
        <v>46111</v>
      </c>
      <c r="E477" s="1" t="n">
        <v>46288</v>
      </c>
      <c r="F477" t="inlineStr">
        <is>
          <t>SÖDERMANLANDS LÄN</t>
        </is>
      </c>
      <c r="G477" t="inlineStr">
        <is>
          <t>KATRINEHOLM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27334-2023</t>
        </is>
      </c>
      <c r="B478" t="inlineStr">
        <is>
          <t>avverkningsanmälan</t>
        </is>
      </c>
      <c r="C478" t="inlineStr">
        <is>
          <t>Föryngringsavverkning</t>
        </is>
      </c>
      <c r="D478" s="1" t="n">
        <v>45096</v>
      </c>
      <c r="E478" s="1" t="n">
        <v>46288</v>
      </c>
      <c r="F478" t="inlineStr">
        <is>
          <t>SÖDERMANLANDS LÄN</t>
        </is>
      </c>
      <c r="G478" t="inlineStr">
        <is>
          <t>KATRINEHOLM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35165-2025</t>
        </is>
      </c>
      <c r="B479" t="inlineStr">
        <is>
          <t>avverkningsanmälan</t>
        </is>
      </c>
      <c r="C479" t="inlineStr">
        <is>
          <t>Föryngringsavverkning</t>
        </is>
      </c>
      <c r="D479" s="1" t="n">
        <v>45852</v>
      </c>
      <c r="E479" s="1" t="n">
        <v>46288</v>
      </c>
      <c r="F479" t="inlineStr">
        <is>
          <t>SÖDERMANLANDS LÄN</t>
        </is>
      </c>
      <c r="G479" t="inlineStr">
        <is>
          <t>KATRINEHOLM</t>
        </is>
      </c>
      <c r="H479" t="inlineStr">
        <is>
          <t>Övriga Aktiebolag</t>
        </is>
      </c>
      <c r="I479" t="n">
        <v>20.7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7704-2023</t>
        </is>
      </c>
      <c r="B480" t="inlineStr">
        <is>
          <t>avverkningsanmälan</t>
        </is>
      </c>
      <c r="C480" t="inlineStr">
        <is>
          <t>Föryngringsavverkning</t>
        </is>
      </c>
      <c r="D480" s="1" t="n">
        <v>44968</v>
      </c>
      <c r="E480" s="1" t="n">
        <v>46288</v>
      </c>
      <c r="F480" t="inlineStr">
        <is>
          <t>SÖDERMANLANDS LÄN</t>
        </is>
      </c>
      <c r="G480" t="inlineStr">
        <is>
          <t>KATRINEHOLM</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14478-2023</t>
        </is>
      </c>
      <c r="B481" t="inlineStr">
        <is>
          <t>avverkningsanmälan</t>
        </is>
      </c>
      <c r="C481" t="inlineStr">
        <is>
          <t>Föryngringsavverkning</t>
        </is>
      </c>
      <c r="D481" s="1" t="n">
        <v>45012</v>
      </c>
      <c r="E481" s="1" t="n">
        <v>46288</v>
      </c>
      <c r="F481" t="inlineStr">
        <is>
          <t>SÖDERMANLANDS LÄN</t>
        </is>
      </c>
      <c r="G481" t="inlineStr">
        <is>
          <t>KATRINEHOLM</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39055-2022</t>
        </is>
      </c>
      <c r="B482" t="inlineStr">
        <is>
          <t>avverkningsanmälan</t>
        </is>
      </c>
      <c r="C482" t="inlineStr">
        <is>
          <t>Föryngringsavverkning</t>
        </is>
      </c>
      <c r="D482" s="1" t="n">
        <v>44817</v>
      </c>
      <c r="E482" s="1" t="n">
        <v>46288</v>
      </c>
      <c r="F482" t="inlineStr">
        <is>
          <t>SÖDERMANLANDS LÄN</t>
        </is>
      </c>
      <c r="G482" t="inlineStr">
        <is>
          <t>KATRINEHOLM</t>
        </is>
      </c>
      <c r="H482" t="inlineStr">
        <is>
          <t>Övriga Aktiebolag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7056-2022</t>
        </is>
      </c>
      <c r="B483" t="inlineStr">
        <is>
          <t>avverkningsanmälan</t>
        </is>
      </c>
      <c r="C483" t="inlineStr">
        <is>
          <t>Föryngringsavverkning</t>
        </is>
      </c>
      <c r="D483" s="1" t="n">
        <v>44603</v>
      </c>
      <c r="E483" s="1" t="n">
        <v>46288</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42896-2024</t>
        </is>
      </c>
      <c r="B484" t="inlineStr">
        <is>
          <t>avverkningsanmälan</t>
        </is>
      </c>
      <c r="C484" t="inlineStr">
        <is>
          <t>Föryngringsavverkning</t>
        </is>
      </c>
      <c r="D484" s="1" t="n">
        <v>45566</v>
      </c>
      <c r="E484" s="1" t="n">
        <v>46288</v>
      </c>
      <c r="F484" t="inlineStr">
        <is>
          <t>SÖDERMANLANDS LÄN</t>
        </is>
      </c>
      <c r="G484" t="inlineStr">
        <is>
          <t>KATRINEHOLM</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18383-2026</t>
        </is>
      </c>
      <c r="B485" t="inlineStr">
        <is>
          <t>avverkningsanmälan</t>
        </is>
      </c>
      <c r="C485" t="inlineStr">
        <is>
          <t>Föryngringsavverkning</t>
        </is>
      </c>
      <c r="D485" s="1" t="n">
        <v>46126</v>
      </c>
      <c r="E485" s="1" t="n">
        <v>46288</v>
      </c>
      <c r="F485" t="inlineStr">
        <is>
          <t>SÖDERMANLANDS LÄN</t>
        </is>
      </c>
      <c r="G485" t="inlineStr">
        <is>
          <t>KATRINEHOLM</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18306-2026</t>
        </is>
      </c>
      <c r="B486" t="inlineStr">
        <is>
          <t>avverkningsanmälan</t>
        </is>
      </c>
      <c r="C486" t="inlineStr">
        <is>
          <t>Föryngringsavverkning</t>
        </is>
      </c>
      <c r="D486" s="1" t="n">
        <v>46126</v>
      </c>
      <c r="E486" s="1" t="n">
        <v>46288</v>
      </c>
      <c r="F486" t="inlineStr">
        <is>
          <t>SÖDERMANLANDS LÄN</t>
        </is>
      </c>
      <c r="G486" t="inlineStr">
        <is>
          <t>KATRINEHOLM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18301-2026</t>
        </is>
      </c>
      <c r="B487" t="inlineStr">
        <is>
          <t>avverkningsanmälan</t>
        </is>
      </c>
      <c r="C487" t="inlineStr">
        <is>
          <t>Föryngringsavverkning</t>
        </is>
      </c>
      <c r="D487" s="1" t="n">
        <v>46126</v>
      </c>
      <c r="E487" s="1" t="n">
        <v>46288</v>
      </c>
      <c r="F487" t="inlineStr">
        <is>
          <t>SÖDERMANLANDS LÄN</t>
        </is>
      </c>
      <c r="G487" t="inlineStr">
        <is>
          <t>KATRINEHOLM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29008-2024</t>
        </is>
      </c>
      <c r="B488" t="inlineStr">
        <is>
          <t>avverkningsanmälan</t>
        </is>
      </c>
      <c r="C488" t="inlineStr">
        <is>
          <t>Föryngringsavverkning</t>
        </is>
      </c>
      <c r="D488" s="1" t="n">
        <v>45481</v>
      </c>
      <c r="E488" s="1" t="n">
        <v>46288</v>
      </c>
      <c r="F488" t="inlineStr">
        <is>
          <t>SÖDERMANLANDS LÄN</t>
        </is>
      </c>
      <c r="G488" t="inlineStr">
        <is>
          <t>KATRINEHOLM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62419-2023</t>
        </is>
      </c>
      <c r="B489" t="inlineStr">
        <is>
          <t>avverkningsanmälan</t>
        </is>
      </c>
      <c r="C489" t="inlineStr">
        <is>
          <t>Föryngringsavverkning</t>
        </is>
      </c>
      <c r="D489" s="1" t="n">
        <v>45268</v>
      </c>
      <c r="E489" s="1" t="n">
        <v>46288</v>
      </c>
      <c r="F489" t="inlineStr">
        <is>
          <t>SÖDERMANLANDS LÄN</t>
        </is>
      </c>
      <c r="G489" t="inlineStr">
        <is>
          <t>KATRINEHOLM</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18302-2026</t>
        </is>
      </c>
      <c r="B490" t="inlineStr">
        <is>
          <t>avverkningsanmälan</t>
        </is>
      </c>
      <c r="C490" t="inlineStr">
        <is>
          <t>Föryngringsavverkning</t>
        </is>
      </c>
      <c r="D490" s="1" t="n">
        <v>46126</v>
      </c>
      <c r="E490" s="1" t="n">
        <v>46288</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18308-2026</t>
        </is>
      </c>
      <c r="B491" t="inlineStr">
        <is>
          <t>avverkningsanmälan</t>
        </is>
      </c>
      <c r="C491" t="inlineStr">
        <is>
          <t>Föryngringsavverkning</t>
        </is>
      </c>
      <c r="D491" s="1" t="n">
        <v>46126</v>
      </c>
      <c r="E491" s="1" t="n">
        <v>46288</v>
      </c>
      <c r="F491" t="inlineStr">
        <is>
          <t>SÖDERMANLANDS LÄN</t>
        </is>
      </c>
      <c r="G491" t="inlineStr">
        <is>
          <t>KATRINEHOLM</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18384-2026</t>
        </is>
      </c>
      <c r="B492" t="inlineStr">
        <is>
          <t>avverkningsanmälan</t>
        </is>
      </c>
      <c r="C492" t="inlineStr">
        <is>
          <t>Föryngringsavverkning</t>
        </is>
      </c>
      <c r="D492" s="1" t="n">
        <v>46126</v>
      </c>
      <c r="E492" s="1" t="n">
        <v>46288</v>
      </c>
      <c r="F492" t="inlineStr">
        <is>
          <t>SÖDERMANLANDS LÄN</t>
        </is>
      </c>
      <c r="G492" t="inlineStr">
        <is>
          <t>KATRINEHOLM</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53722-2023</t>
        </is>
      </c>
      <c r="B493" t="inlineStr">
        <is>
          <t>avverkningsanmälan</t>
        </is>
      </c>
      <c r="C493" t="inlineStr">
        <is>
          <t>Föryngringsavverkning</t>
        </is>
      </c>
      <c r="D493" s="1" t="n">
        <v>45230</v>
      </c>
      <c r="E493" s="1" t="n">
        <v>46288</v>
      </c>
      <c r="F493" t="inlineStr">
        <is>
          <t>SÖDERMANLANDS LÄN</t>
        </is>
      </c>
      <c r="G493" t="inlineStr">
        <is>
          <t>KATRINEHOLM</t>
        </is>
      </c>
      <c r="H493" t="inlineStr">
        <is>
          <t>Allmännings- och besparingsskogar</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38869-2024</t>
        </is>
      </c>
      <c r="B494" t="inlineStr">
        <is>
          <t>avverkningsanmälan</t>
        </is>
      </c>
      <c r="C494" t="inlineStr">
        <is>
          <t>Föryngringsavverkning</t>
        </is>
      </c>
      <c r="D494" s="1" t="n">
        <v>45547</v>
      </c>
      <c r="E494" s="1" t="n">
        <v>46288</v>
      </c>
      <c r="F494" t="inlineStr">
        <is>
          <t>SÖDERMANLANDS LÄN</t>
        </is>
      </c>
      <c r="G494" t="inlineStr">
        <is>
          <t>KATRINEHOLM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62140-2022</t>
        </is>
      </c>
      <c r="B495" t="inlineStr">
        <is>
          <t>avverkningsanmälan</t>
        </is>
      </c>
      <c r="C495" t="inlineStr">
        <is>
          <t>Föryngringsavverkning</t>
        </is>
      </c>
      <c r="D495" s="1" t="n">
        <v>44922</v>
      </c>
      <c r="E495" s="1" t="n">
        <v>46288</v>
      </c>
      <c r="F495" t="inlineStr">
        <is>
          <t>SÖDERMANLANDS LÄN</t>
        </is>
      </c>
      <c r="G495" t="inlineStr">
        <is>
          <t>KATRINEHOLM</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18966-2026</t>
        </is>
      </c>
      <c r="B496" t="inlineStr">
        <is>
          <t>avverkningsanmälan</t>
        </is>
      </c>
      <c r="C496" t="inlineStr">
        <is>
          <t>Föryngringsavverkning</t>
        </is>
      </c>
      <c r="D496" s="1" t="n">
        <v>46129</v>
      </c>
      <c r="E496" s="1" t="n">
        <v>46288</v>
      </c>
      <c r="F496" t="inlineStr">
        <is>
          <t>SÖDERMANLANDS LÄN</t>
        </is>
      </c>
      <c r="G496" t="inlineStr">
        <is>
          <t>KATRINEHOLM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7867-2024</t>
        </is>
      </c>
      <c r="B497" t="inlineStr">
        <is>
          <t>avverkningsanmälan</t>
        </is>
      </c>
      <c r="C497" t="inlineStr">
        <is>
          <t>Föryngringsavverkning</t>
        </is>
      </c>
      <c r="D497" s="1" t="n">
        <v>45350</v>
      </c>
      <c r="E497" s="1" t="n">
        <v>46288</v>
      </c>
      <c r="F497" t="inlineStr">
        <is>
          <t>SÖDERMANLANDS LÄN</t>
        </is>
      </c>
      <c r="G497" t="inlineStr">
        <is>
          <t>KATRINEHOLM</t>
        </is>
      </c>
      <c r="H497" t="inlineStr">
        <is>
          <t>Kyrkan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8957-2024</t>
        </is>
      </c>
      <c r="B498" t="inlineStr">
        <is>
          <t>avverkningsanmälan</t>
        </is>
      </c>
      <c r="C498" t="inlineStr">
        <is>
          <t>Föryngringsavverkning</t>
        </is>
      </c>
      <c r="D498" s="1" t="n">
        <v>45357</v>
      </c>
      <c r="E498" s="1" t="n">
        <v>46288</v>
      </c>
      <c r="F498" t="inlineStr">
        <is>
          <t>SÖDERMANLANDS LÄN</t>
        </is>
      </c>
      <c r="G498" t="inlineStr">
        <is>
          <t>KATRINEHOLM</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19187-2026</t>
        </is>
      </c>
      <c r="B499" t="inlineStr">
        <is>
          <t>avverkningsanmälan</t>
        </is>
      </c>
      <c r="C499" t="inlineStr">
        <is>
          <t>Föryngringsavverkning</t>
        </is>
      </c>
      <c r="D499" s="1" t="n">
        <v>46132</v>
      </c>
      <c r="E499" s="1" t="n">
        <v>46288</v>
      </c>
      <c r="F499" t="inlineStr">
        <is>
          <t>SÖDERMANLANDS LÄN</t>
        </is>
      </c>
      <c r="G499" t="inlineStr">
        <is>
          <t>KATRINEHOLM</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33850-2026</t>
        </is>
      </c>
      <c r="B500" t="inlineStr">
        <is>
          <t>avverkningsanmälan</t>
        </is>
      </c>
      <c r="C500" t="inlineStr">
        <is>
          <t>Föryngringsavverkning</t>
        </is>
      </c>
      <c r="D500" s="1" t="n">
        <v>46251</v>
      </c>
      <c r="E500" s="1" t="n">
        <v>46288</v>
      </c>
      <c r="F500" t="inlineStr">
        <is>
          <t>SÖDERMANLANDS LÄN</t>
        </is>
      </c>
      <c r="G500" t="inlineStr">
        <is>
          <t>KATRINEHOLM</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19098-2026</t>
        </is>
      </c>
      <c r="B501" t="inlineStr">
        <is>
          <t>avverkningsanmälan</t>
        </is>
      </c>
      <c r="C501" t="inlineStr">
        <is>
          <t>Föryngringsavverkning</t>
        </is>
      </c>
      <c r="D501" s="1" t="n">
        <v>46132</v>
      </c>
      <c r="E501" s="1" t="n">
        <v>46288</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19813-2026</t>
        </is>
      </c>
      <c r="B502" t="inlineStr">
        <is>
          <t>avverkningsanmälan</t>
        </is>
      </c>
      <c r="C502" t="inlineStr">
        <is>
          <t>Föryngringsavverkning</t>
        </is>
      </c>
      <c r="D502" s="1" t="n">
        <v>46135</v>
      </c>
      <c r="E502" s="1" t="n">
        <v>46288</v>
      </c>
      <c r="F502" t="inlineStr">
        <is>
          <t>SÖDERMANLANDS LÄN</t>
        </is>
      </c>
      <c r="G502" t="inlineStr">
        <is>
          <t>KATRINEHOLM</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33618-2026</t>
        </is>
      </c>
      <c r="B503" t="inlineStr">
        <is>
          <t>avverkningsanmälan</t>
        </is>
      </c>
      <c r="C503" t="inlineStr">
        <is>
          <t>Föryngringsavverkning</t>
        </is>
      </c>
      <c r="D503" s="1" t="n">
        <v>46248</v>
      </c>
      <c r="E503" s="1" t="n">
        <v>46288</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60677-2021</t>
        </is>
      </c>
      <c r="B504" t="inlineStr">
        <is>
          <t>avverkningsanmälan</t>
        </is>
      </c>
      <c r="C504" t="inlineStr">
        <is>
          <t>Föryngringsavverkning</t>
        </is>
      </c>
      <c r="D504" s="1" t="n">
        <v>44495</v>
      </c>
      <c r="E504" s="1" t="n">
        <v>46288</v>
      </c>
      <c r="F504" t="inlineStr">
        <is>
          <t>SÖDERMANLANDS LÄN</t>
        </is>
      </c>
      <c r="G504" t="inlineStr">
        <is>
          <t>KATRINEHOLM</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3986-2024</t>
        </is>
      </c>
      <c r="B505" t="inlineStr">
        <is>
          <t>avverkningsanmälan</t>
        </is>
      </c>
      <c r="C505" t="inlineStr">
        <is>
          <t>Föryngringsavverkning</t>
        </is>
      </c>
      <c r="D505" s="1" t="n">
        <v>45322</v>
      </c>
      <c r="E505" s="1" t="n">
        <v>46288</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3939-2022</t>
        </is>
      </c>
      <c r="B506" t="inlineStr">
        <is>
          <t>avverkningsanmälan</t>
        </is>
      </c>
      <c r="C506" t="inlineStr">
        <is>
          <t>Föryngringsavverkning</t>
        </is>
      </c>
      <c r="D506" s="1" t="n">
        <v>44587</v>
      </c>
      <c r="E506" s="1" t="n">
        <v>46288</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2683-2025</t>
        </is>
      </c>
      <c r="B507" t="inlineStr">
        <is>
          <t>avverkningsanmälan</t>
        </is>
      </c>
      <c r="C507" t="inlineStr">
        <is>
          <t>Avverkning för annat ändamål</t>
        </is>
      </c>
      <c r="D507" s="1" t="n">
        <v>45677</v>
      </c>
      <c r="E507" s="1" t="n">
        <v>46288</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3317-2023</t>
        </is>
      </c>
      <c r="B508" t="inlineStr">
        <is>
          <t>avverkningsanmälan</t>
        </is>
      </c>
      <c r="C508" t="inlineStr">
        <is>
          <t>Föryngringsavverkning</t>
        </is>
      </c>
      <c r="D508" s="1" t="n">
        <v>44945</v>
      </c>
      <c r="E508" s="1" t="n">
        <v>46288</v>
      </c>
      <c r="F508" t="inlineStr">
        <is>
          <t>SÖDERMANLANDS LÄN</t>
        </is>
      </c>
      <c r="G508" t="inlineStr">
        <is>
          <t>KATRINEHOLM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32944-2023</t>
        </is>
      </c>
      <c r="B509" t="inlineStr">
        <is>
          <t>avverkningsanmälan</t>
        </is>
      </c>
      <c r="C509" t="inlineStr">
        <is>
          <t>Föryngringsavverkning</t>
        </is>
      </c>
      <c r="D509" s="1" t="n">
        <v>45125</v>
      </c>
      <c r="E509" s="1" t="n">
        <v>46288</v>
      </c>
      <c r="F509" t="inlineStr">
        <is>
          <t>SÖDERMANLANDS LÄN</t>
        </is>
      </c>
      <c r="G509" t="inlineStr">
        <is>
          <t>KATRINEHOLM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29198-2023</t>
        </is>
      </c>
      <c r="B510" t="inlineStr">
        <is>
          <t>avverkningsanmälan</t>
        </is>
      </c>
      <c r="C510" t="inlineStr">
        <is>
          <t>Föryngringsavverkning</t>
        </is>
      </c>
      <c r="D510" s="1" t="n">
        <v>45105</v>
      </c>
      <c r="E510" s="1" t="n">
        <v>46288</v>
      </c>
      <c r="F510" t="inlineStr">
        <is>
          <t>SÖDERMANLANDS LÄN</t>
        </is>
      </c>
      <c r="G510" t="inlineStr">
        <is>
          <t>KATRINEHOLM</t>
        </is>
      </c>
      <c r="H510" t="inlineStr">
        <is>
          <t>Övriga Aktiebolag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56661-2021</t>
        </is>
      </c>
      <c r="B511" t="inlineStr">
        <is>
          <t>avverkningsanmälan</t>
        </is>
      </c>
      <c r="C511" t="inlineStr">
        <is>
          <t>Föryngringsavverkning</t>
        </is>
      </c>
      <c r="D511" s="1" t="n">
        <v>44481</v>
      </c>
      <c r="E511" s="1" t="n">
        <v>46288</v>
      </c>
      <c r="F511" t="inlineStr">
        <is>
          <t>SÖDERMANLANDS LÄN</t>
        </is>
      </c>
      <c r="G511" t="inlineStr">
        <is>
          <t>KATRINEHOLM</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45246-2023</t>
        </is>
      </c>
      <c r="B512" t="inlineStr">
        <is>
          <t>avverkningsanmälan</t>
        </is>
      </c>
      <c r="C512" t="inlineStr">
        <is>
          <t>Föryngringsavverkning</t>
        </is>
      </c>
      <c r="D512" s="1" t="n">
        <v>45191</v>
      </c>
      <c r="E512" s="1" t="n">
        <v>46288</v>
      </c>
      <c r="F512" t="inlineStr">
        <is>
          <t>SÖDERMANLANDS LÄN</t>
        </is>
      </c>
      <c r="G512" t="inlineStr">
        <is>
          <t>KATRINEHOLM</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55171-2023</t>
        </is>
      </c>
      <c r="B513" t="inlineStr">
        <is>
          <t>avverkningsanmälan</t>
        </is>
      </c>
      <c r="C513" t="inlineStr">
        <is>
          <t>Föryngringsavverkning</t>
        </is>
      </c>
      <c r="D513" s="1" t="n">
        <v>45231</v>
      </c>
      <c r="E513" s="1" t="n">
        <v>46288</v>
      </c>
      <c r="F513" t="inlineStr">
        <is>
          <t>SÖDERMANLANDS LÄN</t>
        </is>
      </c>
      <c r="G513" t="inlineStr">
        <is>
          <t>KATRINEHOLM</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48097-2023</t>
        </is>
      </c>
      <c r="B514" t="inlineStr">
        <is>
          <t>avverkningsanmälan</t>
        </is>
      </c>
      <c r="C514" t="inlineStr">
        <is>
          <t>Föryngringsavverkning</t>
        </is>
      </c>
      <c r="D514" s="1" t="n">
        <v>45205</v>
      </c>
      <c r="E514" s="1" t="n">
        <v>46288</v>
      </c>
      <c r="F514" t="inlineStr">
        <is>
          <t>SÖDERMANLANDS LÄN</t>
        </is>
      </c>
      <c r="G514" t="inlineStr">
        <is>
          <t>KATRINEHOLM</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7753-2024</t>
        </is>
      </c>
      <c r="B515" t="inlineStr">
        <is>
          <t>avverkningsanmälan</t>
        </is>
      </c>
      <c r="C515" t="inlineStr">
        <is>
          <t>Föryngringsavverkning</t>
        </is>
      </c>
      <c r="D515" s="1" t="n">
        <v>45348</v>
      </c>
      <c r="E515" s="1" t="n">
        <v>46288</v>
      </c>
      <c r="F515" t="inlineStr">
        <is>
          <t>SÖDERMANLANDS LÄN</t>
        </is>
      </c>
      <c r="G515" t="inlineStr">
        <is>
          <t>KATRINEHOLM</t>
        </is>
      </c>
      <c r="I515" t="n">
        <v>13.4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61915-2021</t>
        </is>
      </c>
      <c r="B516" t="inlineStr">
        <is>
          <t>avverkningsanmälan</t>
        </is>
      </c>
      <c r="C516" t="inlineStr">
        <is>
          <t>Föryngringsavverkning</t>
        </is>
      </c>
      <c r="D516" s="1" t="n">
        <v>44502</v>
      </c>
      <c r="E516" s="1" t="n">
        <v>46288</v>
      </c>
      <c r="F516" t="inlineStr">
        <is>
          <t>SÖDERMANLANDS LÄN</t>
        </is>
      </c>
      <c r="G516" t="inlineStr">
        <is>
          <t>KATRINEHOLM</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55795-2023</t>
        </is>
      </c>
      <c r="B517" t="inlineStr">
        <is>
          <t>avverkningsanmälan</t>
        </is>
      </c>
      <c r="C517" t="inlineStr">
        <is>
          <t>Föryngringsavverkning</t>
        </is>
      </c>
      <c r="D517" s="1" t="n">
        <v>45239</v>
      </c>
      <c r="E517" s="1" t="n">
        <v>46288</v>
      </c>
      <c r="F517" t="inlineStr">
        <is>
          <t>SÖDERMANLANDS LÄN</t>
        </is>
      </c>
      <c r="G517" t="inlineStr">
        <is>
          <t>KATRINEHOLM</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20768-2022</t>
        </is>
      </c>
      <c r="B518" t="inlineStr">
        <is>
          <t>avverkningsanmälan</t>
        </is>
      </c>
      <c r="C518" t="inlineStr">
        <is>
          <t>Föryngringsavverkning</t>
        </is>
      </c>
      <c r="D518" s="1" t="n">
        <v>44701</v>
      </c>
      <c r="E518" s="1" t="n">
        <v>46288</v>
      </c>
      <c r="F518" t="inlineStr">
        <is>
          <t>SÖDERMANLANDS LÄN</t>
        </is>
      </c>
      <c r="G518" t="inlineStr">
        <is>
          <t>KATRINEHOLM</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55846-2022</t>
        </is>
      </c>
      <c r="B519" t="inlineStr">
        <is>
          <t>avverkningsanmälan</t>
        </is>
      </c>
      <c r="C519" t="inlineStr">
        <is>
          <t>Föryngringsavverkning</t>
        </is>
      </c>
      <c r="D519" s="1" t="n">
        <v>44888</v>
      </c>
      <c r="E519" s="1" t="n">
        <v>46288</v>
      </c>
      <c r="F519" t="inlineStr">
        <is>
          <t>SÖDERMANLANDS LÄN</t>
        </is>
      </c>
      <c r="G519" t="inlineStr">
        <is>
          <t>KATRINEHOLM</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19452-2023</t>
        </is>
      </c>
      <c r="B520" t="inlineStr">
        <is>
          <t>avverkningsanmälan</t>
        </is>
      </c>
      <c r="C520" t="inlineStr">
        <is>
          <t>Föryngringsavverkning</t>
        </is>
      </c>
      <c r="D520" s="1" t="n">
        <v>45050</v>
      </c>
      <c r="E520" s="1" t="n">
        <v>46288</v>
      </c>
      <c r="F520" t="inlineStr">
        <is>
          <t>SÖDERMANLANDS LÄN</t>
        </is>
      </c>
      <c r="G520" t="inlineStr">
        <is>
          <t>KATRINEHOLM</t>
        </is>
      </c>
      <c r="H520" t="inlineStr">
        <is>
          <t>Holmen skog AB</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43837-2022</t>
        </is>
      </c>
      <c r="B521" t="inlineStr">
        <is>
          <t>avverkningsanmälan</t>
        </is>
      </c>
      <c r="C521" t="inlineStr">
        <is>
          <t>Föryngringsavverkning</t>
        </is>
      </c>
      <c r="D521" s="1" t="n">
        <v>44838</v>
      </c>
      <c r="E521" s="1" t="n">
        <v>46288</v>
      </c>
      <c r="F521" t="inlineStr">
        <is>
          <t>SÖDERMANLANDS LÄN</t>
        </is>
      </c>
      <c r="G521" t="inlineStr">
        <is>
          <t>KATRINEHOLM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51397-2023</t>
        </is>
      </c>
      <c r="B522" t="inlineStr">
        <is>
          <t>avverkningsanmälan</t>
        </is>
      </c>
      <c r="C522" t="inlineStr">
        <is>
          <t>Föryngringsavverkning</t>
        </is>
      </c>
      <c r="D522" s="1" t="n">
        <v>45214</v>
      </c>
      <c r="E522" s="1" t="n">
        <v>46288</v>
      </c>
      <c r="F522" t="inlineStr">
        <is>
          <t>SÖDERMANLANDS LÄN</t>
        </is>
      </c>
      <c r="G522" t="inlineStr">
        <is>
          <t>KATRINEHOLM</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19670-2022</t>
        </is>
      </c>
      <c r="B523" t="inlineStr">
        <is>
          <t>avverkningsanmälan</t>
        </is>
      </c>
      <c r="C523" t="inlineStr">
        <is>
          <t>Föryngringsavverkning</t>
        </is>
      </c>
      <c r="D523" s="1" t="n">
        <v>44694</v>
      </c>
      <c r="E523" s="1" t="n">
        <v>46288</v>
      </c>
      <c r="F523" t="inlineStr">
        <is>
          <t>SÖDERMANLANDS LÄN</t>
        </is>
      </c>
      <c r="G523" t="inlineStr">
        <is>
          <t>KATRINEHOLM</t>
        </is>
      </c>
      <c r="I523" t="n">
        <v>13.6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6606-2022</t>
        </is>
      </c>
      <c r="B524" t="inlineStr">
        <is>
          <t>avverkningsanmälan</t>
        </is>
      </c>
      <c r="C524" t="inlineStr">
        <is>
          <t>Föryngringsavverkning</t>
        </is>
      </c>
      <c r="D524" s="1" t="n">
        <v>44601</v>
      </c>
      <c r="E524" s="1" t="n">
        <v>46288</v>
      </c>
      <c r="F524" t="inlineStr">
        <is>
          <t>SÖDERMANLANDS LÄN</t>
        </is>
      </c>
      <c r="G524" t="inlineStr">
        <is>
          <t>KATRINEHOLM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4122-2023</t>
        </is>
      </c>
      <c r="B525" t="inlineStr">
        <is>
          <t>avverkningsanmälan</t>
        </is>
      </c>
      <c r="C525" t="inlineStr">
        <is>
          <t>Föryngringsavverkning</t>
        </is>
      </c>
      <c r="D525" s="1" t="n">
        <v>44952</v>
      </c>
      <c r="E525" s="1" t="n">
        <v>46288</v>
      </c>
      <c r="F525" t="inlineStr">
        <is>
          <t>SÖDERMANLANDS LÄN</t>
        </is>
      </c>
      <c r="G525" t="inlineStr">
        <is>
          <t>KATRINEHOLM</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23347-2023</t>
        </is>
      </c>
      <c r="B526" t="inlineStr">
        <is>
          <t>avverkningsanmälan</t>
        </is>
      </c>
      <c r="C526" t="inlineStr">
        <is>
          <t>Föryngringsavverkning</t>
        </is>
      </c>
      <c r="D526" s="1" t="n">
        <v>45076</v>
      </c>
      <c r="E526" s="1" t="n">
        <v>46288</v>
      </c>
      <c r="F526" t="inlineStr">
        <is>
          <t>SÖDERMANLANDS LÄN</t>
        </is>
      </c>
      <c r="G526" t="inlineStr">
        <is>
          <t>KATRINEHOLM</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23916-2023</t>
        </is>
      </c>
      <c r="B527" t="inlineStr">
        <is>
          <t>avverkningsanmälan</t>
        </is>
      </c>
      <c r="C527" t="inlineStr">
        <is>
          <t>Föryngringsavverkning</t>
        </is>
      </c>
      <c r="D527" s="1" t="n">
        <v>45075</v>
      </c>
      <c r="E527" s="1" t="n">
        <v>46288</v>
      </c>
      <c r="F527" t="inlineStr">
        <is>
          <t>SÖDERMANLANDS LÄN</t>
        </is>
      </c>
      <c r="G527" t="inlineStr">
        <is>
          <t>KATRINEHOLM</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33278-2024</t>
        </is>
      </c>
      <c r="B528" t="inlineStr">
        <is>
          <t>avverkningsanmälan</t>
        </is>
      </c>
      <c r="C528" t="inlineStr">
        <is>
          <t>Föryngringsavverkning</t>
        </is>
      </c>
      <c r="D528" s="1" t="n">
        <v>45518</v>
      </c>
      <c r="E528" s="1" t="n">
        <v>46288</v>
      </c>
      <c r="F528" t="inlineStr">
        <is>
          <t>SÖDERMANLANDS LÄN</t>
        </is>
      </c>
      <c r="G528" t="inlineStr">
        <is>
          <t>KATRINEHOLM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40186-2023</t>
        </is>
      </c>
      <c r="B529" t="inlineStr">
        <is>
          <t>avverkningsanmälan</t>
        </is>
      </c>
      <c r="C529" t="inlineStr">
        <is>
          <t>Föryngringsavverkning</t>
        </is>
      </c>
      <c r="D529" s="1" t="n">
        <v>45169</v>
      </c>
      <c r="E529" s="1" t="n">
        <v>46288</v>
      </c>
      <c r="F529" t="inlineStr">
        <is>
          <t>SÖDERMANLANDS LÄN</t>
        </is>
      </c>
      <c r="G529" t="inlineStr">
        <is>
          <t>KATRINEHOLM</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49700-2022</t>
        </is>
      </c>
      <c r="B530" t="inlineStr">
        <is>
          <t>avverkningsanmälan</t>
        </is>
      </c>
      <c r="C530" t="inlineStr">
        <is>
          <t>Föryngringsavverkning</t>
        </is>
      </c>
      <c r="D530" s="1" t="n">
        <v>44862</v>
      </c>
      <c r="E530" s="1" t="n">
        <v>46288</v>
      </c>
      <c r="F530" t="inlineStr">
        <is>
          <t>SÖDERMANLANDS LÄN</t>
        </is>
      </c>
      <c r="G530" t="inlineStr">
        <is>
          <t>KATRINEHOLM</t>
        </is>
      </c>
      <c r="I530" t="n">
        <v>19.5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27955-2023</t>
        </is>
      </c>
      <c r="B531" t="inlineStr">
        <is>
          <t>avverkningsanmälan</t>
        </is>
      </c>
      <c r="C531" t="inlineStr">
        <is>
          <t>Föryngringsavverkning</t>
        </is>
      </c>
      <c r="D531" s="1" t="n">
        <v>45098</v>
      </c>
      <c r="E531" s="1" t="n">
        <v>46288</v>
      </c>
      <c r="F531" t="inlineStr">
        <is>
          <t>SÖDERMANLANDS LÄN</t>
        </is>
      </c>
      <c r="G531" t="inlineStr">
        <is>
          <t>KATRINEHOLM</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33141-2023</t>
        </is>
      </c>
      <c r="B532" t="inlineStr">
        <is>
          <t>avverkningsanmälan</t>
        </is>
      </c>
      <c r="C532" t="inlineStr">
        <is>
          <t>Föryngringsavverkning</t>
        </is>
      </c>
      <c r="D532" s="1" t="n">
        <v>45126</v>
      </c>
      <c r="E532" s="1" t="n">
        <v>46288</v>
      </c>
      <c r="F532" t="inlineStr">
        <is>
          <t>SÖDERMANLANDS LÄN</t>
        </is>
      </c>
      <c r="G532" t="inlineStr">
        <is>
          <t>KATRINEHOLM</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46899-2022</t>
        </is>
      </c>
      <c r="B533" t="inlineStr">
        <is>
          <t>avverkningsanmälan</t>
        </is>
      </c>
      <c r="C533" t="inlineStr">
        <is>
          <t>Föryngringsavverkning</t>
        </is>
      </c>
      <c r="D533" s="1" t="n">
        <v>44848</v>
      </c>
      <c r="E533" s="1" t="n">
        <v>46288</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9714-2024</t>
        </is>
      </c>
      <c r="B534" t="inlineStr">
        <is>
          <t>avverkningsanmälan</t>
        </is>
      </c>
      <c r="C534" t="inlineStr">
        <is>
          <t>Föryngringsavverkning</t>
        </is>
      </c>
      <c r="D534" s="1" t="n">
        <v>45362</v>
      </c>
      <c r="E534" s="1" t="n">
        <v>46288</v>
      </c>
      <c r="F534" t="inlineStr">
        <is>
          <t>SÖDERMANLANDS LÄN</t>
        </is>
      </c>
      <c r="G534" t="inlineStr">
        <is>
          <t>KATRINEHOLM</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39897-2023</t>
        </is>
      </c>
      <c r="B535" t="inlineStr">
        <is>
          <t>avverkningsanmälan</t>
        </is>
      </c>
      <c r="C535" t="inlineStr">
        <is>
          <t>Föryngringsavverkning</t>
        </is>
      </c>
      <c r="D535" s="1" t="n">
        <v>45168</v>
      </c>
      <c r="E535" s="1" t="n">
        <v>46288</v>
      </c>
      <c r="F535" t="inlineStr">
        <is>
          <t>SÖDERMANLANDS LÄN</t>
        </is>
      </c>
      <c r="G535" t="inlineStr">
        <is>
          <t>KATRINEHOLM</t>
        </is>
      </c>
      <c r="I535" t="n">
        <v>15.6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20326-2023</t>
        </is>
      </c>
      <c r="B536" t="inlineStr">
        <is>
          <t>avverkningsanmälan</t>
        </is>
      </c>
      <c r="C536" t="inlineStr">
        <is>
          <t>Föryngringsavverkning</t>
        </is>
      </c>
      <c r="D536" s="1" t="n">
        <v>45056</v>
      </c>
      <c r="E536" s="1" t="n">
        <v>46288</v>
      </c>
      <c r="F536" t="inlineStr">
        <is>
          <t>SÖDERMANLANDS LÄN</t>
        </is>
      </c>
      <c r="G536" t="inlineStr">
        <is>
          <t>KATRINEHOLM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67337-2021</t>
        </is>
      </c>
      <c r="B537" t="inlineStr">
        <is>
          <t>avverkningsanmälan</t>
        </is>
      </c>
      <c r="C537" t="inlineStr">
        <is>
          <t>Föryngringsavverkning</t>
        </is>
      </c>
      <c r="D537" s="1" t="n">
        <v>44523</v>
      </c>
      <c r="E537" s="1" t="n">
        <v>46288</v>
      </c>
      <c r="F537" t="inlineStr">
        <is>
          <t>SÖDERMANLANDS LÄN</t>
        </is>
      </c>
      <c r="G537" t="inlineStr">
        <is>
          <t>KATRINEHOLM</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9044-2022</t>
        </is>
      </c>
      <c r="B538" t="inlineStr">
        <is>
          <t>avverkningsanmälan</t>
        </is>
      </c>
      <c r="C538" t="inlineStr">
        <is>
          <t>Föryngringsavverkning</t>
        </is>
      </c>
      <c r="D538" s="1" t="n">
        <v>44602</v>
      </c>
      <c r="E538" s="1" t="n">
        <v>46288</v>
      </c>
      <c r="F538" t="inlineStr">
        <is>
          <t>SÖDERMANLANDS LÄN</t>
        </is>
      </c>
      <c r="G538" t="inlineStr">
        <is>
          <t>KATRINEHOLM</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69117-2021</t>
        </is>
      </c>
      <c r="B539" t="inlineStr">
        <is>
          <t>avverkningsanmälan</t>
        </is>
      </c>
      <c r="C539" t="inlineStr">
        <is>
          <t>Föryngringsavverkning</t>
        </is>
      </c>
      <c r="D539" s="1" t="n">
        <v>44530</v>
      </c>
      <c r="E539" s="1" t="n">
        <v>46288</v>
      </c>
      <c r="F539" t="inlineStr">
        <is>
          <t>SÖDERMANLANDS LÄN</t>
        </is>
      </c>
      <c r="G539" t="inlineStr">
        <is>
          <t>KATRINEHOLM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12559-2023</t>
        </is>
      </c>
      <c r="B540" t="inlineStr">
        <is>
          <t>avverkningsanmälan</t>
        </is>
      </c>
      <c r="C540" t="inlineStr">
        <is>
          <t>Föryngringsavverkning</t>
        </is>
      </c>
      <c r="D540" s="1" t="n">
        <v>45000</v>
      </c>
      <c r="E540" s="1" t="n">
        <v>46288</v>
      </c>
      <c r="F540" t="inlineStr">
        <is>
          <t>SÖDERMANLANDS LÄN</t>
        </is>
      </c>
      <c r="G540" t="inlineStr">
        <is>
          <t>KATRINEHOLM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6722-2022</t>
        </is>
      </c>
      <c r="B541" t="inlineStr">
        <is>
          <t>avverkningsanmälan</t>
        </is>
      </c>
      <c r="C541" t="inlineStr">
        <is>
          <t>Föryngringsavverkning</t>
        </is>
      </c>
      <c r="D541" s="1" t="n">
        <v>44602</v>
      </c>
      <c r="E541" s="1" t="n">
        <v>46288</v>
      </c>
      <c r="F541" t="inlineStr">
        <is>
          <t>SÖDERMANLANDS LÄN</t>
        </is>
      </c>
      <c r="G541" t="inlineStr">
        <is>
          <t>KATRINEHOLM</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11872-2023</t>
        </is>
      </c>
      <c r="B542" t="inlineStr">
        <is>
          <t>avverkningsanmälan</t>
        </is>
      </c>
      <c r="C542" t="inlineStr">
        <is>
          <t>Föryngringsavverkning</t>
        </is>
      </c>
      <c r="D542" s="1" t="n">
        <v>44995</v>
      </c>
      <c r="E542" s="1" t="n">
        <v>46288</v>
      </c>
      <c r="F542" t="inlineStr">
        <is>
          <t>SÖDERMANLANDS LÄN</t>
        </is>
      </c>
      <c r="G542" t="inlineStr">
        <is>
          <t>KATRINEHOLM</t>
        </is>
      </c>
      <c r="H542" t="inlineStr">
        <is>
          <t>Kommuner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35271-2026</t>
        </is>
      </c>
      <c r="B543" t="inlineStr">
        <is>
          <t>avverkningsanmälan</t>
        </is>
      </c>
      <c r="C543" t="inlineStr">
        <is>
          <t>Föryngringsavverkning</t>
        </is>
      </c>
      <c r="D543" s="1" t="n">
        <v>46261</v>
      </c>
      <c r="E543" s="1" t="n">
        <v>46288</v>
      </c>
      <c r="F543" t="inlineStr">
        <is>
          <t>SÖDERMANLANDS LÄN</t>
        </is>
      </c>
      <c r="G543" t="inlineStr">
        <is>
          <t>KATRINEHOLM</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16087-2023</t>
        </is>
      </c>
      <c r="B544" t="inlineStr">
        <is>
          <t>avverkningsanmälan</t>
        </is>
      </c>
      <c r="C544" t="inlineStr">
        <is>
          <t>Föryngringsavverkning</t>
        </is>
      </c>
      <c r="D544" s="1" t="n">
        <v>45026</v>
      </c>
      <c r="E544" s="1" t="n">
        <v>46288</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21959-2022</t>
        </is>
      </c>
      <c r="B545" t="inlineStr">
        <is>
          <t>avverkningsanmälan</t>
        </is>
      </c>
      <c r="C545" t="inlineStr">
        <is>
          <t>Föryngringsavverkning</t>
        </is>
      </c>
      <c r="D545" s="1" t="n">
        <v>44708</v>
      </c>
      <c r="E545" s="1" t="n">
        <v>46288</v>
      </c>
      <c r="F545" t="inlineStr">
        <is>
          <t>SÖDERMANLANDS LÄN</t>
        </is>
      </c>
      <c r="G545" t="inlineStr">
        <is>
          <t>KATRINEHOLM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42451-2023</t>
        </is>
      </c>
      <c r="B546" t="inlineStr">
        <is>
          <t>avverkningsanmälan</t>
        </is>
      </c>
      <c r="C546" t="inlineStr">
        <is>
          <t>Föryngringsavverkning</t>
        </is>
      </c>
      <c r="D546" s="1" t="n">
        <v>45180</v>
      </c>
      <c r="E546" s="1" t="n">
        <v>46288</v>
      </c>
      <c r="F546" t="inlineStr">
        <is>
          <t>SÖDERMANLANDS LÄN</t>
        </is>
      </c>
      <c r="G546" t="inlineStr">
        <is>
          <t>KATRINEHOLM</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22506-2023</t>
        </is>
      </c>
      <c r="B547" t="inlineStr">
        <is>
          <t>avverkningsanmälan</t>
        </is>
      </c>
      <c r="C547" t="inlineStr">
        <is>
          <t>Föryngringsavverkning</t>
        </is>
      </c>
      <c r="D547" s="1" t="n">
        <v>45071</v>
      </c>
      <c r="E547" s="1" t="n">
        <v>46288</v>
      </c>
      <c r="F547" t="inlineStr">
        <is>
          <t>SÖDERMANLANDS LÄN</t>
        </is>
      </c>
      <c r="G547" t="inlineStr">
        <is>
          <t>KATRINEHOLM</t>
        </is>
      </c>
      <c r="H547" t="inlineStr">
        <is>
          <t>Kyrkan</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26713-2024</t>
        </is>
      </c>
      <c r="B548" t="inlineStr">
        <is>
          <t>avverkningsanmälan</t>
        </is>
      </c>
      <c r="C548" t="inlineStr">
        <is>
          <t>Avverkning för annat ändamål</t>
        </is>
      </c>
      <c r="D548" s="1" t="n">
        <v>45470</v>
      </c>
      <c r="E548" s="1" t="n">
        <v>46288</v>
      </c>
      <c r="F548" t="inlineStr">
        <is>
          <t>SÖDERMANLANDS LÄN</t>
        </is>
      </c>
      <c r="G548" t="inlineStr">
        <is>
          <t>KATRINEHOLM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1151-2025</t>
        </is>
      </c>
      <c r="B549" t="inlineStr">
        <is>
          <t>avverkningsanmälan</t>
        </is>
      </c>
      <c r="C549" t="inlineStr">
        <is>
          <t>Avverkning för annat ändamål</t>
        </is>
      </c>
      <c r="D549" s="1" t="n">
        <v>45666</v>
      </c>
      <c r="E549" s="1" t="n">
        <v>46288</v>
      </c>
      <c r="F549" t="inlineStr">
        <is>
          <t>SÖDERMANLANDS LÄN</t>
        </is>
      </c>
      <c r="G549" t="inlineStr">
        <is>
          <t>KATRINEHOLM</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50017-2023</t>
        </is>
      </c>
      <c r="B550" t="inlineStr">
        <is>
          <t>avverkningsanmälan</t>
        </is>
      </c>
      <c r="C550" t="inlineStr">
        <is>
          <t>Föryngringsavverkning</t>
        </is>
      </c>
      <c r="D550" s="1" t="n">
        <v>45215</v>
      </c>
      <c r="E550" s="1" t="n">
        <v>46288</v>
      </c>
      <c r="F550" t="inlineStr">
        <is>
          <t>SÖDERMANLANDS LÄN</t>
        </is>
      </c>
      <c r="G550" t="inlineStr">
        <is>
          <t>KATRINEHOLM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29843-2023</t>
        </is>
      </c>
      <c r="B551" t="inlineStr">
        <is>
          <t>avverkningsanmälan</t>
        </is>
      </c>
      <c r="C551" t="inlineStr">
        <is>
          <t>Föryngringsavverkning</t>
        </is>
      </c>
      <c r="D551" s="1" t="n">
        <v>45107</v>
      </c>
      <c r="E551" s="1" t="n">
        <v>46288</v>
      </c>
      <c r="F551" t="inlineStr">
        <is>
          <t>SÖDERMANLANDS LÄN</t>
        </is>
      </c>
      <c r="G551" t="inlineStr">
        <is>
          <t>KATRINEHOLM</t>
        </is>
      </c>
      <c r="H551" t="inlineStr">
        <is>
          <t>Holmen skog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56628-2021</t>
        </is>
      </c>
      <c r="B552" t="inlineStr">
        <is>
          <t>avverkningsanmälan</t>
        </is>
      </c>
      <c r="C552" t="inlineStr">
        <is>
          <t>Föryngringsavverkning</t>
        </is>
      </c>
      <c r="D552" s="1" t="n">
        <v>44480</v>
      </c>
      <c r="E552" s="1" t="n">
        <v>46288</v>
      </c>
      <c r="F552" t="inlineStr">
        <is>
          <t>SÖDERMANLANDS LÄN</t>
        </is>
      </c>
      <c r="G552" t="inlineStr">
        <is>
          <t>KATRINEHOLM</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62418-2023</t>
        </is>
      </c>
      <c r="B553" t="inlineStr">
        <is>
          <t>avverkningsanmälan</t>
        </is>
      </c>
      <c r="C553" t="inlineStr">
        <is>
          <t>Föryngringsavverkning</t>
        </is>
      </c>
      <c r="D553" s="1" t="n">
        <v>45268</v>
      </c>
      <c r="E553" s="1" t="n">
        <v>46288</v>
      </c>
      <c r="F553" t="inlineStr">
        <is>
          <t>SÖDERMANLANDS LÄN</t>
        </is>
      </c>
      <c r="G553" t="inlineStr">
        <is>
          <t>KATRINEHOLM</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35106-2026</t>
        </is>
      </c>
      <c r="B554" t="inlineStr">
        <is>
          <t>avverkningsanmälan</t>
        </is>
      </c>
      <c r="C554" t="inlineStr">
        <is>
          <t>Avverkning för annat ändamål</t>
        </is>
      </c>
      <c r="D554" s="1" t="n">
        <v>46260</v>
      </c>
      <c r="E554" s="1" t="n">
        <v>46288</v>
      </c>
      <c r="F554" t="inlineStr">
        <is>
          <t>SÖDERMANLANDS LÄN</t>
        </is>
      </c>
      <c r="G554" t="inlineStr">
        <is>
          <t>KATRINEHOLM</t>
        </is>
      </c>
      <c r="H554" t="inlineStr">
        <is>
          <t>Holmen skog AB</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48091-2024</t>
        </is>
      </c>
      <c r="B555" t="inlineStr">
        <is>
          <t>avverkningsanmälan</t>
        </is>
      </c>
      <c r="C555" t="inlineStr">
        <is>
          <t>Föryngringsavverkning</t>
        </is>
      </c>
      <c r="D555" s="1" t="n">
        <v>45590</v>
      </c>
      <c r="E555" s="1" t="n">
        <v>46288</v>
      </c>
      <c r="F555" t="inlineStr">
        <is>
          <t>SÖDERMANLANDS LÄN</t>
        </is>
      </c>
      <c r="G555" t="inlineStr">
        <is>
          <t>KATRINEHOLM</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48160-2022</t>
        </is>
      </c>
      <c r="B556" t="inlineStr">
        <is>
          <t>avverkningsanmälan</t>
        </is>
      </c>
      <c r="C556" t="inlineStr">
        <is>
          <t>Föryngringsavverkning</t>
        </is>
      </c>
      <c r="D556" s="1" t="n">
        <v>44853</v>
      </c>
      <c r="E556" s="1" t="n">
        <v>46288</v>
      </c>
      <c r="F556" t="inlineStr">
        <is>
          <t>SÖDERMANLANDS LÄN</t>
        </is>
      </c>
      <c r="G556" t="inlineStr">
        <is>
          <t>KATRINEHOLM</t>
        </is>
      </c>
      <c r="H556" t="inlineStr">
        <is>
          <t>Övriga statliga verk och myndigheter</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18339-2023</t>
        </is>
      </c>
      <c r="B557" t="inlineStr">
        <is>
          <t>avverkningsanmälan</t>
        </is>
      </c>
      <c r="C557" t="inlineStr">
        <is>
          <t>Föryngringsavverkning</t>
        </is>
      </c>
      <c r="D557" s="1" t="n">
        <v>45041</v>
      </c>
      <c r="E557" s="1" t="n">
        <v>46288</v>
      </c>
      <c r="F557" t="inlineStr">
        <is>
          <t>SÖDERMANLANDS LÄN</t>
        </is>
      </c>
      <c r="G557" t="inlineStr">
        <is>
          <t>KATRINEHOLM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20460-2025</t>
        </is>
      </c>
      <c r="B558" t="inlineStr">
        <is>
          <t>avverkningsanmälan</t>
        </is>
      </c>
      <c r="C558" t="inlineStr">
        <is>
          <t>Föryngringsavverkning</t>
        </is>
      </c>
      <c r="D558" s="1" t="n">
        <v>45775</v>
      </c>
      <c r="E558" s="1" t="n">
        <v>46288</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49092-2024</t>
        </is>
      </c>
      <c r="B559" t="inlineStr">
        <is>
          <t>avverkningsanmälan</t>
        </is>
      </c>
      <c r="C559" t="inlineStr">
        <is>
          <t>Avverkning för annat ändamål</t>
        </is>
      </c>
      <c r="D559" s="1" t="n">
        <v>45594</v>
      </c>
      <c r="E559" s="1" t="n">
        <v>46288</v>
      </c>
      <c r="F559" t="inlineStr">
        <is>
          <t>SÖDERMANLANDS LÄN</t>
        </is>
      </c>
      <c r="G559" t="inlineStr">
        <is>
          <t>KATRINEHOLM</t>
        </is>
      </c>
      <c r="H559" t="inlineStr">
        <is>
          <t>Övriga Aktiebolag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49095-2024</t>
        </is>
      </c>
      <c r="B560" t="inlineStr">
        <is>
          <t>avverkningsanmälan</t>
        </is>
      </c>
      <c r="C560" t="inlineStr">
        <is>
          <t>Avverkning för annat ändamål</t>
        </is>
      </c>
      <c r="D560" s="1" t="n">
        <v>45594</v>
      </c>
      <c r="E560" s="1" t="n">
        <v>46288</v>
      </c>
      <c r="F560" t="inlineStr">
        <is>
          <t>SÖDERMANLANDS LÄN</t>
        </is>
      </c>
      <c r="G560" t="inlineStr">
        <is>
          <t>KATRINEHOLM</t>
        </is>
      </c>
      <c r="H560" t="inlineStr">
        <is>
          <t>Övriga Aktiebolag</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33285-2026</t>
        </is>
      </c>
      <c r="B561" t="inlineStr">
        <is>
          <t>avverkningsanmälan</t>
        </is>
      </c>
      <c r="C561" t="inlineStr">
        <is>
          <t>Avverkning för annat ändamål</t>
        </is>
      </c>
      <c r="D561" s="1" t="n">
        <v>46245</v>
      </c>
      <c r="E561" s="1" t="n">
        <v>46288</v>
      </c>
      <c r="F561" t="inlineStr">
        <is>
          <t>SÖDERMANLANDS LÄN</t>
        </is>
      </c>
      <c r="G561" t="inlineStr">
        <is>
          <t>KATRINEHOLM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55172-2022</t>
        </is>
      </c>
      <c r="B562" t="inlineStr">
        <is>
          <t>avverkningsanmälan</t>
        </is>
      </c>
      <c r="C562" t="inlineStr">
        <is>
          <t>Föryngringsavverkning</t>
        </is>
      </c>
      <c r="D562" s="1" t="n">
        <v>44886</v>
      </c>
      <c r="E562" s="1" t="n">
        <v>46288</v>
      </c>
      <c r="F562" t="inlineStr">
        <is>
          <t>SÖDERMANLANDS LÄN</t>
        </is>
      </c>
      <c r="G562" t="inlineStr">
        <is>
          <t>KATRINEHOLM</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50935-2023</t>
        </is>
      </c>
      <c r="B563" t="inlineStr">
        <is>
          <t>avverkningsanmälan</t>
        </is>
      </c>
      <c r="C563" t="inlineStr">
        <is>
          <t>Föryngringsavverkning</t>
        </is>
      </c>
      <c r="D563" s="1" t="n">
        <v>45211</v>
      </c>
      <c r="E563" s="1" t="n">
        <v>46288</v>
      </c>
      <c r="F563" t="inlineStr">
        <is>
          <t>SÖDERMANLANDS LÄN</t>
        </is>
      </c>
      <c r="G563" t="inlineStr">
        <is>
          <t>KATRINEHOLM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24619-2024</t>
        </is>
      </c>
      <c r="B564" t="inlineStr">
        <is>
          <t>avverkningsanmälan</t>
        </is>
      </c>
      <c r="C564" t="inlineStr">
        <is>
          <t>Föryngringsavverkning</t>
        </is>
      </c>
      <c r="D564" s="1" t="n">
        <v>45460</v>
      </c>
      <c r="E564" s="1" t="n">
        <v>46288</v>
      </c>
      <c r="F564" t="inlineStr">
        <is>
          <t>SÖDERMANLANDS LÄN</t>
        </is>
      </c>
      <c r="G564" t="inlineStr">
        <is>
          <t>KATRINEHOLM</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53843-2023</t>
        </is>
      </c>
      <c r="B565" t="inlineStr">
        <is>
          <t>avverkningsanmälan</t>
        </is>
      </c>
      <c r="C565" t="inlineStr">
        <is>
          <t>Föryngringsavverkning</t>
        </is>
      </c>
      <c r="D565" s="1" t="n">
        <v>45230</v>
      </c>
      <c r="E565" s="1" t="n">
        <v>46288</v>
      </c>
      <c r="F565" t="inlineStr">
        <is>
          <t>SÖDERMANLANDS LÄN</t>
        </is>
      </c>
      <c r="G565" t="inlineStr">
        <is>
          <t>KATRINEHOLM</t>
        </is>
      </c>
      <c r="I565" t="n">
        <v>14.2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22295-2024</t>
        </is>
      </c>
      <c r="B566" t="inlineStr">
        <is>
          <t>avverkningsanmälan</t>
        </is>
      </c>
      <c r="C566" t="inlineStr">
        <is>
          <t>Föryngringsavverkning</t>
        </is>
      </c>
      <c r="D566" s="1" t="n">
        <v>45446</v>
      </c>
      <c r="E566" s="1" t="n">
        <v>46288</v>
      </c>
      <c r="F566" t="inlineStr">
        <is>
          <t>SÖDERMANLANDS LÄN</t>
        </is>
      </c>
      <c r="G566" t="inlineStr">
        <is>
          <t>KATRINEHOLM</t>
        </is>
      </c>
      <c r="H566" t="inlineStr">
        <is>
          <t>Kommuner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31751-2026</t>
        </is>
      </c>
      <c r="B567" t="inlineStr">
        <is>
          <t>avverkningsanmälan</t>
        </is>
      </c>
      <c r="C567" t="inlineStr">
        <is>
          <t>Föryngringsavverkning</t>
        </is>
      </c>
      <c r="D567" s="1" t="n">
        <v>46227</v>
      </c>
      <c r="E567" s="1" t="n">
        <v>46288</v>
      </c>
      <c r="F567" t="inlineStr">
        <is>
          <t>SÖDERMANLANDS LÄN</t>
        </is>
      </c>
      <c r="G567" t="inlineStr">
        <is>
          <t>KATRINEHOLM</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22272-2022</t>
        </is>
      </c>
      <c r="B568" t="inlineStr">
        <is>
          <t>avverkningsanmälan</t>
        </is>
      </c>
      <c r="C568" t="inlineStr">
        <is>
          <t>Föryngringsavverkning</t>
        </is>
      </c>
      <c r="D568" s="1" t="n">
        <v>44712</v>
      </c>
      <c r="E568" s="1" t="n">
        <v>46288</v>
      </c>
      <c r="F568" t="inlineStr">
        <is>
          <t>SÖDERMANLANDS LÄN</t>
        </is>
      </c>
      <c r="G568" t="inlineStr">
        <is>
          <t>KATRINEHOLM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53715-2023</t>
        </is>
      </c>
      <c r="B569" t="inlineStr">
        <is>
          <t>avverkningsanmälan</t>
        </is>
      </c>
      <c r="C569" t="inlineStr">
        <is>
          <t>Föryngringsavverkning</t>
        </is>
      </c>
      <c r="D569" s="1" t="n">
        <v>45230</v>
      </c>
      <c r="E569" s="1" t="n">
        <v>46288</v>
      </c>
      <c r="F569" t="inlineStr">
        <is>
          <t>SÖDERMANLANDS LÄN</t>
        </is>
      </c>
      <c r="G569" t="inlineStr">
        <is>
          <t>KATRINEHOLM</t>
        </is>
      </c>
      <c r="H569" t="inlineStr">
        <is>
          <t>Allmännings- och besparingsskogar</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58175-2024</t>
        </is>
      </c>
      <c r="B570" t="inlineStr">
        <is>
          <t>avverkningsanmälan</t>
        </is>
      </c>
      <c r="C570" t="inlineStr">
        <is>
          <t>Avverkning för att bevara och utveckla /försöksver</t>
        </is>
      </c>
      <c r="D570" s="1" t="n">
        <v>45632</v>
      </c>
      <c r="E570" s="1" t="n">
        <v>46288</v>
      </c>
      <c r="F570" t="inlineStr">
        <is>
          <t>SÖDERMANLANDS LÄN</t>
        </is>
      </c>
      <c r="G570" t="inlineStr">
        <is>
          <t>KATRINEHOLM</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59474-2021</t>
        </is>
      </c>
      <c r="B571" t="inlineStr">
        <is>
          <t>avverkningsanmälan</t>
        </is>
      </c>
      <c r="C571" t="inlineStr">
        <is>
          <t>Föryngringsavverkning</t>
        </is>
      </c>
      <c r="D571" s="1" t="n">
        <v>44491</v>
      </c>
      <c r="E571" s="1" t="n">
        <v>46288</v>
      </c>
      <c r="F571" t="inlineStr">
        <is>
          <t>SÖDERMANLANDS LÄN</t>
        </is>
      </c>
      <c r="G571" t="inlineStr">
        <is>
          <t>KATRINEHOLM</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51923-2023</t>
        </is>
      </c>
      <c r="B572" t="inlineStr">
        <is>
          <t>avverkningsanmälan</t>
        </is>
      </c>
      <c r="C572" t="inlineStr">
        <is>
          <t>Föryngringsavverkning</t>
        </is>
      </c>
      <c r="D572" s="1" t="n">
        <v>45223</v>
      </c>
      <c r="E572" s="1" t="n">
        <v>46288</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27875-2024</t>
        </is>
      </c>
      <c r="B573" t="inlineStr">
        <is>
          <t>avverkningsanmälan</t>
        </is>
      </c>
      <c r="C573" t="inlineStr">
        <is>
          <t>Föryngringsavverkning</t>
        </is>
      </c>
      <c r="D573" s="1" t="n">
        <v>45475</v>
      </c>
      <c r="E573" s="1" t="n">
        <v>46288</v>
      </c>
      <c r="F573" t="inlineStr">
        <is>
          <t>SÖDERMANLANDS LÄN</t>
        </is>
      </c>
      <c r="G573" t="inlineStr">
        <is>
          <t>KATRINEHOLM</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43088-2022</t>
        </is>
      </c>
      <c r="B574" t="inlineStr">
        <is>
          <t>avverkningsanmälan</t>
        </is>
      </c>
      <c r="C574" t="inlineStr">
        <is>
          <t>Föryngringsavverkning</t>
        </is>
      </c>
      <c r="D574" s="1" t="n">
        <v>44833</v>
      </c>
      <c r="E574" s="1" t="n">
        <v>46288</v>
      </c>
      <c r="F574" t="inlineStr">
        <is>
          <t>SÖDERMANLANDS LÄN</t>
        </is>
      </c>
      <c r="G574" t="inlineStr">
        <is>
          <t>KATRINEHOLM</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61385-2023</t>
        </is>
      </c>
      <c r="B575" t="inlineStr">
        <is>
          <t>avverkningsanmälan</t>
        </is>
      </c>
      <c r="C575" t="inlineStr">
        <is>
          <t>Föryngringsavverkning</t>
        </is>
      </c>
      <c r="D575" s="1" t="n">
        <v>45264</v>
      </c>
      <c r="E575" s="1" t="n">
        <v>46288</v>
      </c>
      <c r="F575" t="inlineStr">
        <is>
          <t>SÖDERMANLANDS LÄN</t>
        </is>
      </c>
      <c r="G575" t="inlineStr">
        <is>
          <t>KATRINEHOLM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48030-2022</t>
        </is>
      </c>
      <c r="B576" t="inlineStr">
        <is>
          <t>avverkningsanmälan</t>
        </is>
      </c>
      <c r="C576" t="inlineStr">
        <is>
          <t>Föryngringsavverkning</t>
        </is>
      </c>
      <c r="D576" s="1" t="n">
        <v>44855</v>
      </c>
      <c r="E576" s="1" t="n">
        <v>46288</v>
      </c>
      <c r="F576" t="inlineStr">
        <is>
          <t>SÖDERMANLANDS LÄN</t>
        </is>
      </c>
      <c r="G576" t="inlineStr">
        <is>
          <t>KATRINEHOLM</t>
        </is>
      </c>
      <c r="H576" t="inlineStr">
        <is>
          <t>Allmännings- och besparingsskogar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10932-2023</t>
        </is>
      </c>
      <c r="B577" t="inlineStr">
        <is>
          <t>avverkningsanmälan</t>
        </is>
      </c>
      <c r="C577" t="inlineStr">
        <is>
          <t>Föryngringsavverkning</t>
        </is>
      </c>
      <c r="D577" s="1" t="n">
        <v>44985</v>
      </c>
      <c r="E577" s="1" t="n">
        <v>46288</v>
      </c>
      <c r="F577" t="inlineStr">
        <is>
          <t>SÖDERMANLANDS LÄN</t>
        </is>
      </c>
      <c r="G577" t="inlineStr">
        <is>
          <t>KATRINEHOLM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36767-2022</t>
        </is>
      </c>
      <c r="B578" t="inlineStr">
        <is>
          <t>avverkningsanmälan</t>
        </is>
      </c>
      <c r="C578" t="inlineStr">
        <is>
          <t>Föryngringsavverkning</t>
        </is>
      </c>
      <c r="D578" s="1" t="n">
        <v>44805</v>
      </c>
      <c r="E578" s="1" t="n">
        <v>46288</v>
      </c>
      <c r="F578" t="inlineStr">
        <is>
          <t>SÖDERMANLANDS LÄN</t>
        </is>
      </c>
      <c r="G578" t="inlineStr">
        <is>
          <t>KATRINEHOLM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5834-2025</t>
        </is>
      </c>
      <c r="B579" t="inlineStr">
        <is>
          <t>avverkningsanmälan</t>
        </is>
      </c>
      <c r="C579" t="inlineStr">
        <is>
          <t>Föryngringsavverkning</t>
        </is>
      </c>
      <c r="D579" s="1" t="n">
        <v>45694</v>
      </c>
      <c r="E579" s="1" t="n">
        <v>46288</v>
      </c>
      <c r="F579" t="inlineStr">
        <is>
          <t>SÖDERMANLANDS LÄN</t>
        </is>
      </c>
      <c r="G579" t="inlineStr">
        <is>
          <t>KATRINEHOLM</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9899-2023</t>
        </is>
      </c>
      <c r="B580" t="inlineStr">
        <is>
          <t>avverkningsanmälan</t>
        </is>
      </c>
      <c r="C580" t="inlineStr">
        <is>
          <t>Föryngringsavverkning</t>
        </is>
      </c>
      <c r="D580" s="1" t="n">
        <v>44985</v>
      </c>
      <c r="E580" s="1" t="n">
        <v>46288</v>
      </c>
      <c r="F580" t="inlineStr">
        <is>
          <t>SÖDERMANLANDS LÄN</t>
        </is>
      </c>
      <c r="G580" t="inlineStr">
        <is>
          <t>KATRINEHOLM</t>
        </is>
      </c>
      <c r="H580" t="inlineStr">
        <is>
          <t>Allmännings- och besparingsskogar</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34263-2023</t>
        </is>
      </c>
      <c r="B581" t="inlineStr">
        <is>
          <t>avverkningsanmälan</t>
        </is>
      </c>
      <c r="C581" t="inlineStr">
        <is>
          <t>Föryngringsavverkning</t>
        </is>
      </c>
      <c r="D581" s="1" t="n">
        <v>45138</v>
      </c>
      <c r="E581" s="1" t="n">
        <v>46288</v>
      </c>
      <c r="F581" t="inlineStr">
        <is>
          <t>SÖDERMANLANDS LÄN</t>
        </is>
      </c>
      <c r="G581" t="inlineStr">
        <is>
          <t>KATRINEHOLM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55863-2022</t>
        </is>
      </c>
      <c r="B582" t="inlineStr">
        <is>
          <t>avverkningsanmälan</t>
        </is>
      </c>
      <c r="C582" t="inlineStr">
        <is>
          <t>Föryngringsavverkning</t>
        </is>
      </c>
      <c r="D582" s="1" t="n">
        <v>44888</v>
      </c>
      <c r="E582" s="1" t="n">
        <v>46288</v>
      </c>
      <c r="F582" t="inlineStr">
        <is>
          <t>SÖDERMANLANDS LÄN</t>
        </is>
      </c>
      <c r="G582" t="inlineStr">
        <is>
          <t>KATRINEHOLM</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55865-2022</t>
        </is>
      </c>
      <c r="B583" t="inlineStr">
        <is>
          <t>avverkningsanmälan</t>
        </is>
      </c>
      <c r="C583" t="inlineStr">
        <is>
          <t>Föryngringsavverkning</t>
        </is>
      </c>
      <c r="D583" s="1" t="n">
        <v>44888</v>
      </c>
      <c r="E583" s="1" t="n">
        <v>46288</v>
      </c>
      <c r="F583" t="inlineStr">
        <is>
          <t>SÖDERMANLANDS LÄN</t>
        </is>
      </c>
      <c r="G583" t="inlineStr">
        <is>
          <t>KATRINEHOLM</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10341-2022</t>
        </is>
      </c>
      <c r="B584" t="inlineStr">
        <is>
          <t>avverkningsanmälan</t>
        </is>
      </c>
      <c r="C584" t="inlineStr">
        <is>
          <t>Föryngringsavverkning</t>
        </is>
      </c>
      <c r="D584" s="1" t="n">
        <v>44623</v>
      </c>
      <c r="E584" s="1" t="n">
        <v>46288</v>
      </c>
      <c r="F584" t="inlineStr">
        <is>
          <t>SÖDERMANLANDS LÄN</t>
        </is>
      </c>
      <c r="G584" t="inlineStr">
        <is>
          <t>KATRINEHOLM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9437-2022</t>
        </is>
      </c>
      <c r="B585" t="inlineStr">
        <is>
          <t>avverkningsanmälan</t>
        </is>
      </c>
      <c r="C585" t="inlineStr">
        <is>
          <t>Föryngringsavverkning</t>
        </is>
      </c>
      <c r="D585" s="1" t="n">
        <v>44616</v>
      </c>
      <c r="E585" s="1" t="n">
        <v>46288</v>
      </c>
      <c r="F585" t="inlineStr">
        <is>
          <t>SÖDERMANLANDS LÄN</t>
        </is>
      </c>
      <c r="G585" t="inlineStr">
        <is>
          <t>KATRINEHOLM</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22345-2023</t>
        </is>
      </c>
      <c r="B586" t="inlineStr">
        <is>
          <t>avverkningsanmälan</t>
        </is>
      </c>
      <c r="C586" t="inlineStr">
        <is>
          <t>Föryngringsavverkning</t>
        </is>
      </c>
      <c r="D586" s="1" t="n">
        <v>45070</v>
      </c>
      <c r="E586" s="1" t="n">
        <v>46288</v>
      </c>
      <c r="F586" t="inlineStr">
        <is>
          <t>SÖDERMANLANDS LÄN</t>
        </is>
      </c>
      <c r="G586" t="inlineStr">
        <is>
          <t>KATRINEHOLM</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31964-2026</t>
        </is>
      </c>
      <c r="B587" t="inlineStr">
        <is>
          <t>avverkningsanmälan</t>
        </is>
      </c>
      <c r="C587" t="inlineStr">
        <is>
          <t>Föryngringsavverkning</t>
        </is>
      </c>
      <c r="D587" s="1" t="n">
        <v>46232</v>
      </c>
      <c r="E587" s="1" t="n">
        <v>46288</v>
      </c>
      <c r="F587" t="inlineStr">
        <is>
          <t>SÖDERMANLANDS LÄN</t>
        </is>
      </c>
      <c r="G587" t="inlineStr">
        <is>
          <t>KATRINEHOLM</t>
        </is>
      </c>
      <c r="H587" t="inlineStr">
        <is>
          <t>Övriga Aktiebolag</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28675-2024</t>
        </is>
      </c>
      <c r="B588" t="inlineStr">
        <is>
          <t>avverkningsanmälan</t>
        </is>
      </c>
      <c r="C588" t="inlineStr">
        <is>
          <t>Föryngringsavverkning</t>
        </is>
      </c>
      <c r="D588" s="1" t="n">
        <v>45478</v>
      </c>
      <c r="E588" s="1" t="n">
        <v>46288</v>
      </c>
      <c r="F588" t="inlineStr">
        <is>
          <t>SÖDERMANLANDS LÄN</t>
        </is>
      </c>
      <c r="G588" t="inlineStr">
        <is>
          <t>KATRINEHOLM</t>
        </is>
      </c>
      <c r="H588" t="inlineStr">
        <is>
          <t>Övriga Aktiebolag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33790-2024</t>
        </is>
      </c>
      <c r="B589" t="inlineStr">
        <is>
          <t>avverkningsanmälan</t>
        </is>
      </c>
      <c r="C589" t="inlineStr">
        <is>
          <t>Föryngringsavverkning</t>
        </is>
      </c>
      <c r="D589" s="1" t="n">
        <v>45520</v>
      </c>
      <c r="E589" s="1" t="n">
        <v>46288</v>
      </c>
      <c r="F589" t="inlineStr">
        <is>
          <t>SÖDERMANLANDS LÄN</t>
        </is>
      </c>
      <c r="G589" t="inlineStr">
        <is>
          <t>KATRINEHOLM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53809-2021</t>
        </is>
      </c>
      <c r="B590" t="inlineStr">
        <is>
          <t>avverkningsanmälan</t>
        </is>
      </c>
      <c r="C590" t="inlineStr">
        <is>
          <t>Föryngringsavverkning</t>
        </is>
      </c>
      <c r="D590" s="1" t="n">
        <v>44467</v>
      </c>
      <c r="E590" s="1" t="n">
        <v>46288</v>
      </c>
      <c r="F590" t="inlineStr">
        <is>
          <t>SÖDERMANLANDS LÄN</t>
        </is>
      </c>
      <c r="G590" t="inlineStr">
        <is>
          <t>KATRINEHOLM</t>
        </is>
      </c>
      <c r="I590" t="n">
        <v>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4758-2025</t>
        </is>
      </c>
      <c r="B591" t="inlineStr">
        <is>
          <t>avverkningsanmälan</t>
        </is>
      </c>
      <c r="C591" t="inlineStr">
        <is>
          <t>Föryngringsavverkning</t>
        </is>
      </c>
      <c r="D591" s="1" t="n">
        <v>45688</v>
      </c>
      <c r="E591" s="1" t="n">
        <v>46288</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52348-2021</t>
        </is>
      </c>
      <c r="B592" t="inlineStr">
        <is>
          <t>avverkningsanmälan</t>
        </is>
      </c>
      <c r="C592" t="inlineStr">
        <is>
          <t>Föryngringsavverkning</t>
        </is>
      </c>
      <c r="D592" s="1" t="n">
        <v>44464</v>
      </c>
      <c r="E592" s="1" t="n">
        <v>46288</v>
      </c>
      <c r="F592" t="inlineStr">
        <is>
          <t>SÖDERMANLANDS LÄN</t>
        </is>
      </c>
      <c r="G592" t="inlineStr">
        <is>
          <t>KATRINEHOLM</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5795-2022</t>
        </is>
      </c>
      <c r="B593" t="inlineStr">
        <is>
          <t>avverkningsanmälan</t>
        </is>
      </c>
      <c r="C593" t="inlineStr">
        <is>
          <t>Föryngringsavverkning</t>
        </is>
      </c>
      <c r="D593" s="1" t="n">
        <v>44596</v>
      </c>
      <c r="E593" s="1" t="n">
        <v>46288</v>
      </c>
      <c r="F593" t="inlineStr">
        <is>
          <t>SÖDERMANLANDS LÄN</t>
        </is>
      </c>
      <c r="G593" t="inlineStr">
        <is>
          <t>KATRINEHOLM</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55590-2023</t>
        </is>
      </c>
      <c r="B594" t="inlineStr">
        <is>
          <t>avverkningsanmälan</t>
        </is>
      </c>
      <c r="C594" t="inlineStr">
        <is>
          <t>Föryngringsavverkning</t>
        </is>
      </c>
      <c r="D594" s="1" t="n">
        <v>45238</v>
      </c>
      <c r="E594" s="1" t="n">
        <v>46288</v>
      </c>
      <c r="F594" t="inlineStr">
        <is>
          <t>SÖDERMANLANDS LÄN</t>
        </is>
      </c>
      <c r="G594" t="inlineStr">
        <is>
          <t>KATRINEHOLM</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5320-2025</t>
        </is>
      </c>
      <c r="B595" t="inlineStr">
        <is>
          <t>avverkningsanmälan</t>
        </is>
      </c>
      <c r="C595" t="inlineStr">
        <is>
          <t>Föryngringsavverkning</t>
        </is>
      </c>
      <c r="D595" s="1" t="n">
        <v>45692</v>
      </c>
      <c r="E595" s="1" t="n">
        <v>46288</v>
      </c>
      <c r="F595" t="inlineStr">
        <is>
          <t>SÖDERMANLANDS LÄN</t>
        </is>
      </c>
      <c r="G595" t="inlineStr">
        <is>
          <t>KATRINEHOLM</t>
        </is>
      </c>
      <c r="H595" t="inlineStr">
        <is>
          <t>Kommuner</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49914-2023</t>
        </is>
      </c>
      <c r="B596" t="inlineStr">
        <is>
          <t>avverkningsanmälan</t>
        </is>
      </c>
      <c r="C596" t="inlineStr">
        <is>
          <t>Föryngringsavverkning</t>
        </is>
      </c>
      <c r="D596" s="1" t="n">
        <v>45214</v>
      </c>
      <c r="E596" s="1" t="n">
        <v>46288</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44637-2023</t>
        </is>
      </c>
      <c r="B597" t="inlineStr">
        <is>
          <t>avverkningsanmälan</t>
        </is>
      </c>
      <c r="C597" t="inlineStr">
        <is>
          <t>Föryngringsavverkning</t>
        </is>
      </c>
      <c r="D597" s="1" t="n">
        <v>45189</v>
      </c>
      <c r="E597" s="1" t="n">
        <v>46288</v>
      </c>
      <c r="F597" t="inlineStr">
        <is>
          <t>SÖDERMANLANDS LÄN</t>
        </is>
      </c>
      <c r="G597" t="inlineStr">
        <is>
          <t>KATRINEHOLM</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20921-2023</t>
        </is>
      </c>
      <c r="B598" t="inlineStr">
        <is>
          <t>avverkningsanmälan</t>
        </is>
      </c>
      <c r="C598" t="inlineStr">
        <is>
          <t>Föryngringsavverkning</t>
        </is>
      </c>
      <c r="D598" s="1" t="n">
        <v>45061</v>
      </c>
      <c r="E598" s="1" t="n">
        <v>46288</v>
      </c>
      <c r="F598" t="inlineStr">
        <is>
          <t>SÖDERMANLANDS LÄN</t>
        </is>
      </c>
      <c r="G598" t="inlineStr">
        <is>
          <t>KATRINEHOLM</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12929-2023</t>
        </is>
      </c>
      <c r="B599" t="inlineStr">
        <is>
          <t>avverkningsanmälan</t>
        </is>
      </c>
      <c r="C599" t="inlineStr">
        <is>
          <t>Föryngringsavverkning</t>
        </is>
      </c>
      <c r="D599" s="1" t="n">
        <v>45001</v>
      </c>
      <c r="E599" s="1" t="n">
        <v>46288</v>
      </c>
      <c r="F599" t="inlineStr">
        <is>
          <t>SÖDERMANLANDS LÄN</t>
        </is>
      </c>
      <c r="G599" t="inlineStr">
        <is>
          <t>KATRINEHOLM</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12932-2023</t>
        </is>
      </c>
      <c r="B600" t="inlineStr">
        <is>
          <t>avverkningsanmälan</t>
        </is>
      </c>
      <c r="C600" t="inlineStr">
        <is>
          <t>Föryngringsavverkning</t>
        </is>
      </c>
      <c r="D600" s="1" t="n">
        <v>45001</v>
      </c>
      <c r="E600" s="1" t="n">
        <v>46288</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6446-2022</t>
        </is>
      </c>
      <c r="B601" t="inlineStr">
        <is>
          <t>avverkningsanmälan</t>
        </is>
      </c>
      <c r="C601" t="inlineStr">
        <is>
          <t>Föryngringsavverkning</t>
        </is>
      </c>
      <c r="D601" s="1" t="n">
        <v>44600</v>
      </c>
      <c r="E601" s="1" t="n">
        <v>46288</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4724-2023</t>
        </is>
      </c>
      <c r="B602" t="inlineStr">
        <is>
          <t>avverkningsanmälan</t>
        </is>
      </c>
      <c r="C602" t="inlineStr">
        <is>
          <t>Föryngringsavverkning</t>
        </is>
      </c>
      <c r="D602" s="1" t="n">
        <v>44957</v>
      </c>
      <c r="E602" s="1" t="n">
        <v>46288</v>
      </c>
      <c r="F602" t="inlineStr">
        <is>
          <t>SÖDERMANLANDS LÄN</t>
        </is>
      </c>
      <c r="G602" t="inlineStr">
        <is>
          <t>KATRINEHOLM</t>
        </is>
      </c>
      <c r="H602" t="inlineStr">
        <is>
          <t>Holmen skog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61431-2024</t>
        </is>
      </c>
      <c r="B603" t="inlineStr">
        <is>
          <t>avverkningsanmälan</t>
        </is>
      </c>
      <c r="C603" t="inlineStr">
        <is>
          <t>Föryngringsavverkning</t>
        </is>
      </c>
      <c r="D603" s="1" t="n">
        <v>45646</v>
      </c>
      <c r="E603" s="1" t="n">
        <v>46288</v>
      </c>
      <c r="F603" t="inlineStr">
        <is>
          <t>SÖDERMANLANDS LÄN</t>
        </is>
      </c>
      <c r="G603" t="inlineStr">
        <is>
          <t>KATRINEHOLM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24097-2022</t>
        </is>
      </c>
      <c r="B604" t="inlineStr">
        <is>
          <t>avverkningsanmälan</t>
        </is>
      </c>
      <c r="C604" t="inlineStr">
        <is>
          <t>Föryngringsavverkning</t>
        </is>
      </c>
      <c r="D604" s="1" t="n">
        <v>44725</v>
      </c>
      <c r="E604" s="1" t="n">
        <v>46288</v>
      </c>
      <c r="F604" t="inlineStr">
        <is>
          <t>SÖDERMANLANDS LÄN</t>
        </is>
      </c>
      <c r="G604" t="inlineStr">
        <is>
          <t>KATRINEHOLM</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53393-2023</t>
        </is>
      </c>
      <c r="B605" t="inlineStr">
        <is>
          <t>avverkningsanmälan</t>
        </is>
      </c>
      <c r="C605" t="inlineStr">
        <is>
          <t>Föryngringsavverkning</t>
        </is>
      </c>
      <c r="D605" s="1" t="n">
        <v>45229</v>
      </c>
      <c r="E605" s="1" t="n">
        <v>46288</v>
      </c>
      <c r="F605" t="inlineStr">
        <is>
          <t>SÖDERMANLANDS LÄN</t>
        </is>
      </c>
      <c r="G605" t="inlineStr">
        <is>
          <t>KATRINEHOLM</t>
        </is>
      </c>
      <c r="H605" t="inlineStr">
        <is>
          <t>Kyrkan</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40744-2022</t>
        </is>
      </c>
      <c r="B606" t="inlineStr">
        <is>
          <t>avverkningsanmälan</t>
        </is>
      </c>
      <c r="C606" t="inlineStr">
        <is>
          <t>Föryngringsavverkning</t>
        </is>
      </c>
      <c r="D606" s="1" t="n">
        <v>44824</v>
      </c>
      <c r="E606" s="1" t="n">
        <v>46288</v>
      </c>
      <c r="F606" t="inlineStr">
        <is>
          <t>SÖDERMANLANDS LÄN</t>
        </is>
      </c>
      <c r="G606" t="inlineStr">
        <is>
          <t>KATRINEHOLM</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15392-2023</t>
        </is>
      </c>
      <c r="B607" t="inlineStr">
        <is>
          <t>avverkningsanmälan</t>
        </is>
      </c>
      <c r="C607" t="inlineStr">
        <is>
          <t>Föryngringsavverkning</t>
        </is>
      </c>
      <c r="D607" s="1" t="n">
        <v>45016</v>
      </c>
      <c r="E607" s="1" t="n">
        <v>46288</v>
      </c>
      <c r="F607" t="inlineStr">
        <is>
          <t>SÖDERMANLANDS LÄN</t>
        </is>
      </c>
      <c r="G607" t="inlineStr">
        <is>
          <t>KATRINEHOLM</t>
        </is>
      </c>
      <c r="H607" t="inlineStr">
        <is>
          <t>Övriga Aktiebolag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4645-2024</t>
        </is>
      </c>
      <c r="B608" t="inlineStr">
        <is>
          <t>avverkningsanmälan</t>
        </is>
      </c>
      <c r="C608" t="inlineStr">
        <is>
          <t>Föryngringsavverkning</t>
        </is>
      </c>
      <c r="D608" s="1" t="n">
        <v>45328</v>
      </c>
      <c r="E608" s="1" t="n">
        <v>46288</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28508-2023</t>
        </is>
      </c>
      <c r="B609" t="inlineStr">
        <is>
          <t>avverkningsanmälan</t>
        </is>
      </c>
      <c r="C609" t="inlineStr">
        <is>
          <t>Föryngringsavverkning</t>
        </is>
      </c>
      <c r="D609" s="1" t="n">
        <v>45103</v>
      </c>
      <c r="E609" s="1" t="n">
        <v>46288</v>
      </c>
      <c r="F609" t="inlineStr">
        <is>
          <t>SÖDERMANLANDS LÄN</t>
        </is>
      </c>
      <c r="G609" t="inlineStr">
        <is>
          <t>KATRINEHOLM</t>
        </is>
      </c>
      <c r="H609" t="inlineStr">
        <is>
          <t>Kyrkan</t>
        </is>
      </c>
      <c r="I609" t="n">
        <v>20.5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47889-2023</t>
        </is>
      </c>
      <c r="B610" t="inlineStr">
        <is>
          <t>avverkningsanmälan</t>
        </is>
      </c>
      <c r="C610" t="inlineStr">
        <is>
          <t>Föryngringsavverkning</t>
        </is>
      </c>
      <c r="D610" s="1" t="n">
        <v>45204</v>
      </c>
      <c r="E610" s="1" t="n">
        <v>46288</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12975-2022</t>
        </is>
      </c>
      <c r="B611" t="inlineStr">
        <is>
          <t>avverkningsanmälan</t>
        </is>
      </c>
      <c r="C611" t="inlineStr">
        <is>
          <t>Föryngringsavverkning</t>
        </is>
      </c>
      <c r="D611" s="1" t="n">
        <v>44643</v>
      </c>
      <c r="E611" s="1" t="n">
        <v>46288</v>
      </c>
      <c r="F611" t="inlineStr">
        <is>
          <t>SÖDERMANLANDS LÄN</t>
        </is>
      </c>
      <c r="G611" t="inlineStr">
        <is>
          <t>KATRINEHOLM</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9668-2023</t>
        </is>
      </c>
      <c r="B612" t="inlineStr">
        <is>
          <t>avverkningsanmälan</t>
        </is>
      </c>
      <c r="C612" t="inlineStr">
        <is>
          <t>Föryngringsavverkning</t>
        </is>
      </c>
      <c r="D612" s="1" t="n">
        <v>44984</v>
      </c>
      <c r="E612" s="1" t="n">
        <v>46288</v>
      </c>
      <c r="F612" t="inlineStr">
        <is>
          <t>SÖDERMANLANDS LÄN</t>
        </is>
      </c>
      <c r="G612" t="inlineStr">
        <is>
          <t>KATRINEHOLM</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29977-2023</t>
        </is>
      </c>
      <c r="B613" t="inlineStr">
        <is>
          <t>avverkningsanmälan</t>
        </is>
      </c>
      <c r="C613" t="inlineStr">
        <is>
          <t>Föryngringsavverkning</t>
        </is>
      </c>
      <c r="D613" s="1" t="n">
        <v>45108</v>
      </c>
      <c r="E613" s="1" t="n">
        <v>46288</v>
      </c>
      <c r="F613" t="inlineStr">
        <is>
          <t>SÖDERMANLANDS LÄN</t>
        </is>
      </c>
      <c r="G613" t="inlineStr">
        <is>
          <t>KATRINEHOLM</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4669-2023</t>
        </is>
      </c>
      <c r="B614" t="inlineStr">
        <is>
          <t>avverkningsanmälan</t>
        </is>
      </c>
      <c r="C614" t="inlineStr">
        <is>
          <t>Föryngringsavverkning</t>
        </is>
      </c>
      <c r="D614" s="1" t="n">
        <v>44957</v>
      </c>
      <c r="E614" s="1" t="n">
        <v>46288</v>
      </c>
      <c r="F614" t="inlineStr">
        <is>
          <t>SÖDERMANLANDS LÄN</t>
        </is>
      </c>
      <c r="G614" t="inlineStr">
        <is>
          <t>KATRINEHOLM</t>
        </is>
      </c>
      <c r="H614" t="inlineStr">
        <is>
          <t>Holmen skog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948-2023</t>
        </is>
      </c>
      <c r="B615" t="inlineStr">
        <is>
          <t>avverkningsanmälan</t>
        </is>
      </c>
      <c r="C615" t="inlineStr">
        <is>
          <t>Föryngringsavverkning</t>
        </is>
      </c>
      <c r="D615" s="1" t="n">
        <v>44934</v>
      </c>
      <c r="E615" s="1" t="n">
        <v>46288</v>
      </c>
      <c r="F615" t="inlineStr">
        <is>
          <t>SÖDERMANLANDS LÄN</t>
        </is>
      </c>
      <c r="G615" t="inlineStr">
        <is>
          <t>KATRINEHOLM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6087-2022</t>
        </is>
      </c>
      <c r="B616" t="inlineStr">
        <is>
          <t>avverkningsanmälan</t>
        </is>
      </c>
      <c r="C616" t="inlineStr">
        <is>
          <t>Föryngringsavverkning</t>
        </is>
      </c>
      <c r="D616" s="1" t="n">
        <v>44599</v>
      </c>
      <c r="E616" s="1" t="n">
        <v>46288</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47134-2022</t>
        </is>
      </c>
      <c r="B617" t="inlineStr">
        <is>
          <t>avverkningsanmälan</t>
        </is>
      </c>
      <c r="C617" t="inlineStr">
        <is>
          <t>Föryngringsavverkning</t>
        </is>
      </c>
      <c r="D617" s="1" t="n">
        <v>44851</v>
      </c>
      <c r="E617" s="1" t="n">
        <v>46288</v>
      </c>
      <c r="F617" t="inlineStr">
        <is>
          <t>SÖDERMANLANDS LÄN</t>
        </is>
      </c>
      <c r="G617" t="inlineStr">
        <is>
          <t>KATRINEHOLM</t>
        </is>
      </c>
      <c r="H617" t="inlineStr">
        <is>
          <t>Övriga statliga verk och myndigheter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34123-2026</t>
        </is>
      </c>
      <c r="B618" t="inlineStr">
        <is>
          <t>avverkningsanmälan</t>
        </is>
      </c>
      <c r="C618" t="inlineStr">
        <is>
          <t>Föryngringsavverkning</t>
        </is>
      </c>
      <c r="D618" s="1" t="n">
        <v>46253</v>
      </c>
      <c r="E618" s="1" t="n">
        <v>46288</v>
      </c>
      <c r="F618" t="inlineStr">
        <is>
          <t>SÖDERMANLANDS LÄN</t>
        </is>
      </c>
      <c r="G618" t="inlineStr">
        <is>
          <t>KATRINEHOLM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12835-2024</t>
        </is>
      </c>
      <c r="B619" t="inlineStr">
        <is>
          <t>avverkningsanmälan</t>
        </is>
      </c>
      <c r="C619" t="inlineStr">
        <is>
          <t>Avverkning för annat ändamål</t>
        </is>
      </c>
      <c r="D619" s="1" t="n">
        <v>45384</v>
      </c>
      <c r="E619" s="1" t="n">
        <v>46288</v>
      </c>
      <c r="F619" t="inlineStr">
        <is>
          <t>SÖDERMANLANDS LÄN</t>
        </is>
      </c>
      <c r="G619" t="inlineStr">
        <is>
          <t>KATRINEHOLM</t>
        </is>
      </c>
      <c r="H619" t="inlineStr">
        <is>
          <t>Allmännings- och besparingsskogar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47879-2023</t>
        </is>
      </c>
      <c r="B620" t="inlineStr">
        <is>
          <t>avverkningsanmälan</t>
        </is>
      </c>
      <c r="C620" t="inlineStr">
        <is>
          <t>Föryngringsavverkning</t>
        </is>
      </c>
      <c r="D620" s="1" t="n">
        <v>45204</v>
      </c>
      <c r="E620" s="1" t="n">
        <v>46288</v>
      </c>
      <c r="F620" t="inlineStr">
        <is>
          <t>SÖDERMANLANDS LÄN</t>
        </is>
      </c>
      <c r="G620" t="inlineStr">
        <is>
          <t>KATRINEHOLM</t>
        </is>
      </c>
      <c r="H620" t="inlineStr">
        <is>
          <t>Övriga Aktiebolag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61410-2024</t>
        </is>
      </c>
      <c r="B621" t="inlineStr">
        <is>
          <t>avverkningsanmälan</t>
        </is>
      </c>
      <c r="C621" t="inlineStr">
        <is>
          <t>Föryngringsavverkning</t>
        </is>
      </c>
      <c r="D621" s="1" t="n">
        <v>45646</v>
      </c>
      <c r="E621" s="1" t="n">
        <v>46288</v>
      </c>
      <c r="F621" t="inlineStr">
        <is>
          <t>SÖDERMANLANDS LÄN</t>
        </is>
      </c>
      <c r="G621" t="inlineStr">
        <is>
          <t>KATRINEHOLM</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17746-2024</t>
        </is>
      </c>
      <c r="B622" t="inlineStr">
        <is>
          <t>avverkningsanmälan</t>
        </is>
      </c>
      <c r="C622" t="inlineStr">
        <is>
          <t>Föryngringsavverkning</t>
        </is>
      </c>
      <c r="D622" s="1" t="n">
        <v>45415</v>
      </c>
      <c r="E622" s="1" t="n">
        <v>46288</v>
      </c>
      <c r="F622" t="inlineStr">
        <is>
          <t>SÖDERMANLANDS LÄN</t>
        </is>
      </c>
      <c r="G622" t="inlineStr">
        <is>
          <t>KATRINEHOLM</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57510-2021</t>
        </is>
      </c>
      <c r="B623" t="inlineStr">
        <is>
          <t>avverkningsanmälan</t>
        </is>
      </c>
      <c r="C623" t="inlineStr">
        <is>
          <t>Föryngringsavverkning</t>
        </is>
      </c>
      <c r="D623" s="1" t="n">
        <v>44483</v>
      </c>
      <c r="E623" s="1" t="n">
        <v>46288</v>
      </c>
      <c r="F623" t="inlineStr">
        <is>
          <t>SÖDERMANLANDS LÄN</t>
        </is>
      </c>
      <c r="G623" t="inlineStr">
        <is>
          <t>KATRINEHOLM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34731-2023</t>
        </is>
      </c>
      <c r="B624" t="inlineStr">
        <is>
          <t>avverkningsanmälan</t>
        </is>
      </c>
      <c r="C624" t="inlineStr">
        <is>
          <t>Föryngringsavverkning</t>
        </is>
      </c>
      <c r="D624" s="1" t="n">
        <v>45141</v>
      </c>
      <c r="E624" s="1" t="n">
        <v>46288</v>
      </c>
      <c r="F624" t="inlineStr">
        <is>
          <t>SÖDERMANLANDS LÄN</t>
        </is>
      </c>
      <c r="G624" t="inlineStr">
        <is>
          <t>KATRINEHOLM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33287-2026</t>
        </is>
      </c>
      <c r="B625" t="inlineStr">
        <is>
          <t>avverkningsanmälan</t>
        </is>
      </c>
      <c r="C625" t="inlineStr">
        <is>
          <t>Avverkning för annat ändamål</t>
        </is>
      </c>
      <c r="D625" s="1" t="n">
        <v>46245</v>
      </c>
      <c r="E625" s="1" t="n">
        <v>46288</v>
      </c>
      <c r="F625" t="inlineStr">
        <is>
          <t>SÖDERMANLANDS LÄN</t>
        </is>
      </c>
      <c r="G625" t="inlineStr">
        <is>
          <t>KATRINEHOLM</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23207-2023</t>
        </is>
      </c>
      <c r="B626" t="inlineStr">
        <is>
          <t>avverkningsanmälan</t>
        </is>
      </c>
      <c r="C626" t="inlineStr">
        <is>
          <t>Föryngringsavverkning</t>
        </is>
      </c>
      <c r="D626" s="1" t="n">
        <v>45071</v>
      </c>
      <c r="E626" s="1" t="n">
        <v>46288</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33300-2026</t>
        </is>
      </c>
      <c r="B627" t="inlineStr">
        <is>
          <t>avverkningsanmälan</t>
        </is>
      </c>
      <c r="C627" t="inlineStr">
        <is>
          <t>Avverkning för annat ändamål</t>
        </is>
      </c>
      <c r="D627" s="1" t="n">
        <v>46245</v>
      </c>
      <c r="E627" s="1" t="n">
        <v>46288</v>
      </c>
      <c r="F627" t="inlineStr">
        <is>
          <t>SÖDERMANLANDS LÄN</t>
        </is>
      </c>
      <c r="G627" t="inlineStr">
        <is>
          <t>KATRINEHOLM</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33300-2026</t>
        </is>
      </c>
      <c r="B628" t="inlineStr">
        <is>
          <t>avverkningsanmälan</t>
        </is>
      </c>
      <c r="C628" t="inlineStr">
        <is>
          <t>Avverkning för annat ändamål</t>
        </is>
      </c>
      <c r="D628" s="1" t="n">
        <v>46245</v>
      </c>
      <c r="E628" s="1" t="n">
        <v>46288</v>
      </c>
      <c r="F628" t="inlineStr">
        <is>
          <t>SÖDERMANLANDS LÄN</t>
        </is>
      </c>
      <c r="G628" t="inlineStr">
        <is>
          <t>KATRINEHOLM</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5935-2023</t>
        </is>
      </c>
      <c r="B629" t="inlineStr">
        <is>
          <t>avverkningsanmälan</t>
        </is>
      </c>
      <c r="C629" t="inlineStr">
        <is>
          <t>Föryngringsavverkning</t>
        </is>
      </c>
      <c r="D629" s="1" t="n">
        <v>44963</v>
      </c>
      <c r="E629" s="1" t="n">
        <v>46288</v>
      </c>
      <c r="F629" t="inlineStr">
        <is>
          <t>SÖDERMANLANDS LÄN</t>
        </is>
      </c>
      <c r="G629" t="inlineStr">
        <is>
          <t>KATRINEHOLM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11104-2023</t>
        </is>
      </c>
      <c r="B630" t="inlineStr">
        <is>
          <t>avverkningsanmälan</t>
        </is>
      </c>
      <c r="C630" t="inlineStr">
        <is>
          <t>Föryngringsavverkning</t>
        </is>
      </c>
      <c r="D630" s="1" t="n">
        <v>44992</v>
      </c>
      <c r="E630" s="1" t="n">
        <v>46288</v>
      </c>
      <c r="F630" t="inlineStr">
        <is>
          <t>SÖDERMANLANDS LÄN</t>
        </is>
      </c>
      <c r="G630" t="inlineStr">
        <is>
          <t>KATRINEHOLM</t>
        </is>
      </c>
      <c r="H630" t="inlineStr">
        <is>
          <t>Allmännings- och besparingsskogar</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32906-2026</t>
        </is>
      </c>
      <c r="B631" t="inlineStr">
        <is>
          <t>avverkningsanmälan</t>
        </is>
      </c>
      <c r="C631" t="inlineStr">
        <is>
          <t>Föryngringsavverkning</t>
        </is>
      </c>
      <c r="D631" s="1" t="n">
        <v>46244</v>
      </c>
      <c r="E631" s="1" t="n">
        <v>46288</v>
      </c>
      <c r="F631" t="inlineStr">
        <is>
          <t>SÖDERMANLANDS LÄN</t>
        </is>
      </c>
      <c r="G631" t="inlineStr">
        <is>
          <t>KATRINEHOLM</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40159-2023</t>
        </is>
      </c>
      <c r="B632" t="inlineStr">
        <is>
          <t>avverkningsanmälan</t>
        </is>
      </c>
      <c r="C632" t="inlineStr">
        <is>
          <t>Föryngringsavverkning</t>
        </is>
      </c>
      <c r="D632" s="1" t="n">
        <v>45169</v>
      </c>
      <c r="E632" s="1" t="n">
        <v>46288</v>
      </c>
      <c r="F632" t="inlineStr">
        <is>
          <t>SÖDERMANLANDS LÄN</t>
        </is>
      </c>
      <c r="G632" t="inlineStr">
        <is>
          <t>KATRINEHOLM</t>
        </is>
      </c>
      <c r="H632" t="inlineStr">
        <is>
          <t>Övriga Aktiebolag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36562-2023</t>
        </is>
      </c>
      <c r="B633" t="inlineStr">
        <is>
          <t>avverkningsanmälan</t>
        </is>
      </c>
      <c r="C633" t="inlineStr">
        <is>
          <t>Föryngringsavverkning</t>
        </is>
      </c>
      <c r="D633" s="1" t="n">
        <v>45153</v>
      </c>
      <c r="E633" s="1" t="n">
        <v>46288</v>
      </c>
      <c r="F633" t="inlineStr">
        <is>
          <t>SÖDERMANLANDS LÄN</t>
        </is>
      </c>
      <c r="G633" t="inlineStr">
        <is>
          <t>KATRINEHOLM</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4872-2024</t>
        </is>
      </c>
      <c r="B634" t="inlineStr">
        <is>
          <t>avverkningsanmälan</t>
        </is>
      </c>
      <c r="C634" t="inlineStr">
        <is>
          <t>Föryngringsavverkning</t>
        </is>
      </c>
      <c r="D634" s="1" t="n">
        <v>45329</v>
      </c>
      <c r="E634" s="1" t="n">
        <v>46288</v>
      </c>
      <c r="F634" t="inlineStr">
        <is>
          <t>SÖDERMANLANDS LÄN</t>
        </is>
      </c>
      <c r="G634" t="inlineStr">
        <is>
          <t>KATRINEHOLM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6611-2023</t>
        </is>
      </c>
      <c r="B635" t="inlineStr">
        <is>
          <t>avverkningsanmälan</t>
        </is>
      </c>
      <c r="C635" t="inlineStr">
        <is>
          <t>Föryngringsavverkning</t>
        </is>
      </c>
      <c r="D635" s="1" t="n">
        <v>44963</v>
      </c>
      <c r="E635" s="1" t="n">
        <v>46288</v>
      </c>
      <c r="F635" t="inlineStr">
        <is>
          <t>SÖDERMANLANDS LÄN</t>
        </is>
      </c>
      <c r="G635" t="inlineStr">
        <is>
          <t>KATRINEHOLM</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39112-2026</t>
        </is>
      </c>
      <c r="B636" t="inlineStr">
        <is>
          <t>avverkningsanmälan</t>
        </is>
      </c>
      <c r="C636" t="inlineStr">
        <is>
          <t>Föryngringsavverkning</t>
        </is>
      </c>
      <c r="D636" s="1" t="n">
        <v>46287</v>
      </c>
      <c r="E636" s="1" t="n">
        <v>46288</v>
      </c>
      <c r="F636" t="inlineStr">
        <is>
          <t>SÖDERMANLANDS LÄN</t>
        </is>
      </c>
      <c r="G636" t="inlineStr">
        <is>
          <t>KATRINEHOLM</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25823-2023</t>
        </is>
      </c>
      <c r="B637" t="inlineStr">
        <is>
          <t>avverkningsanmälan</t>
        </is>
      </c>
      <c r="C637" t="inlineStr">
        <is>
          <t>Föryngringsavverkning</t>
        </is>
      </c>
      <c r="D637" s="1" t="n">
        <v>45090</v>
      </c>
      <c r="E637" s="1" t="n">
        <v>46288</v>
      </c>
      <c r="F637" t="inlineStr">
        <is>
          <t>SÖDERMANLANDS LÄN</t>
        </is>
      </c>
      <c r="G637" t="inlineStr">
        <is>
          <t>KATRINEHOLM</t>
        </is>
      </c>
      <c r="H637" t="inlineStr">
        <is>
          <t>Kyrkan</t>
        </is>
      </c>
      <c r="I637" t="n">
        <v>10.2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20480-2022</t>
        </is>
      </c>
      <c r="B638" t="inlineStr">
        <is>
          <t>avverkningsanmälan</t>
        </is>
      </c>
      <c r="C638" t="inlineStr">
        <is>
          <t>Föryngringsavverkning</t>
        </is>
      </c>
      <c r="D638" s="1" t="n">
        <v>44699</v>
      </c>
      <c r="E638" s="1" t="n">
        <v>46288</v>
      </c>
      <c r="F638" t="inlineStr">
        <is>
          <t>SÖDERMANLANDS LÄN</t>
        </is>
      </c>
      <c r="G638" t="inlineStr">
        <is>
          <t>KATRINEHOLM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3060-2022</t>
        </is>
      </c>
      <c r="B639" t="inlineStr">
        <is>
          <t>avverkningsanmälan</t>
        </is>
      </c>
      <c r="C639" t="inlineStr">
        <is>
          <t>Föryngringsavverkning</t>
        </is>
      </c>
      <c r="D639" s="1" t="n">
        <v>44582</v>
      </c>
      <c r="E639" s="1" t="n">
        <v>46288</v>
      </c>
      <c r="F639" t="inlineStr">
        <is>
          <t>SÖDERMANLANDS LÄN</t>
        </is>
      </c>
      <c r="G639" t="inlineStr">
        <is>
          <t>KATRINEHOLM</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31719-2024</t>
        </is>
      </c>
      <c r="B640" t="inlineStr">
        <is>
          <t>avverkningsanmälan</t>
        </is>
      </c>
      <c r="C640" t="inlineStr">
        <is>
          <t>Föryngringsavverkning</t>
        </is>
      </c>
      <c r="D640" s="1" t="n">
        <v>45509</v>
      </c>
      <c r="E640" s="1" t="n">
        <v>46288</v>
      </c>
      <c r="F640" t="inlineStr">
        <is>
          <t>SÖDERMANLANDS LÄN</t>
        </is>
      </c>
      <c r="G640" t="inlineStr">
        <is>
          <t>KATRINEHOLM</t>
        </is>
      </c>
      <c r="H640" t="inlineStr">
        <is>
          <t>Kyrkan</t>
        </is>
      </c>
      <c r="I640" t="n">
        <v>11.9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3075-2022</t>
        </is>
      </c>
      <c r="B641" t="inlineStr">
        <is>
          <t>avverkningsanmälan</t>
        </is>
      </c>
      <c r="C641" t="inlineStr">
        <is>
          <t>Föryngringsavverkning</t>
        </is>
      </c>
      <c r="D641" s="1" t="n">
        <v>44582</v>
      </c>
      <c r="E641" s="1" t="n">
        <v>46288</v>
      </c>
      <c r="F641" t="inlineStr">
        <is>
          <t>SÖDERMANLANDS LÄN</t>
        </is>
      </c>
      <c r="G641" t="inlineStr">
        <is>
          <t>KATRINEHOLM</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13175-2024</t>
        </is>
      </c>
      <c r="B642" t="inlineStr">
        <is>
          <t>avverkningsanmälan</t>
        </is>
      </c>
      <c r="C642" t="inlineStr">
        <is>
          <t>Föryngringsavverkning</t>
        </is>
      </c>
      <c r="D642" s="1" t="n">
        <v>45386</v>
      </c>
      <c r="E642" s="1" t="n">
        <v>46288</v>
      </c>
      <c r="F642" t="inlineStr">
        <is>
          <t>SÖDERMANLANDS LÄN</t>
        </is>
      </c>
      <c r="G642" t="inlineStr">
        <is>
          <t>KATRINEHOLM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26081-2024</t>
        </is>
      </c>
      <c r="B643" t="inlineStr">
        <is>
          <t>avverkningsanmälan</t>
        </is>
      </c>
      <c r="C643" t="inlineStr">
        <is>
          <t>Föryngringsavverkning</t>
        </is>
      </c>
      <c r="D643" s="1" t="n">
        <v>45462</v>
      </c>
      <c r="E643" s="1" t="n">
        <v>46288</v>
      </c>
      <c r="F643" t="inlineStr">
        <is>
          <t>SÖDERMANLANDS LÄN</t>
        </is>
      </c>
      <c r="G643" t="inlineStr">
        <is>
          <t>KATRINEHOLM</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4667-2024</t>
        </is>
      </c>
      <c r="B644" t="inlineStr">
        <is>
          <t>avverkningsanmälan</t>
        </is>
      </c>
      <c r="C644" t="inlineStr">
        <is>
          <t>Föryngringsavverkning</t>
        </is>
      </c>
      <c r="D644" s="1" t="n">
        <v>45328</v>
      </c>
      <c r="E644" s="1" t="n">
        <v>46288</v>
      </c>
      <c r="F644" t="inlineStr">
        <is>
          <t>SÖDERMANLANDS LÄN</t>
        </is>
      </c>
      <c r="G644" t="inlineStr">
        <is>
          <t>KATRINEHOLM</t>
        </is>
      </c>
      <c r="H644" t="inlineStr">
        <is>
          <t>Övriga Aktiebolag</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19107-2022</t>
        </is>
      </c>
      <c r="B645" t="inlineStr">
        <is>
          <t>avverkningsanmälan</t>
        </is>
      </c>
      <c r="C645" t="inlineStr">
        <is>
          <t>Föryngringsavverkning</t>
        </is>
      </c>
      <c r="D645" s="1" t="n">
        <v>44691</v>
      </c>
      <c r="E645" s="1" t="n">
        <v>46288</v>
      </c>
      <c r="F645" t="inlineStr">
        <is>
          <t>SÖDERMANLANDS LÄN</t>
        </is>
      </c>
      <c r="G645" t="inlineStr">
        <is>
          <t>KATRINEHOLM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19442-2023</t>
        </is>
      </c>
      <c r="B646" t="inlineStr">
        <is>
          <t>avverkningsanmälan</t>
        </is>
      </c>
      <c r="C646" t="inlineStr">
        <is>
          <t>Föryngringsavverkning</t>
        </is>
      </c>
      <c r="D646" s="1" t="n">
        <v>45050</v>
      </c>
      <c r="E646" s="1" t="n">
        <v>46288</v>
      </c>
      <c r="F646" t="inlineStr">
        <is>
          <t>SÖDERMANLANDS LÄN</t>
        </is>
      </c>
      <c r="G646" t="inlineStr">
        <is>
          <t>KATRINEHOLM</t>
        </is>
      </c>
      <c r="H646" t="inlineStr">
        <is>
          <t>Holmen skog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59093-2024</t>
        </is>
      </c>
      <c r="B647" t="inlineStr">
        <is>
          <t>avverkningsanmälan</t>
        </is>
      </c>
      <c r="C647" t="inlineStr">
        <is>
          <t>Föryngringsavverkning</t>
        </is>
      </c>
      <c r="D647" s="1" t="n">
        <v>45636</v>
      </c>
      <c r="E647" s="1" t="n">
        <v>46288</v>
      </c>
      <c r="F647" t="inlineStr">
        <is>
          <t>SÖDERMANLANDS LÄN</t>
        </is>
      </c>
      <c r="G647" t="inlineStr">
        <is>
          <t>KATRINEHOLM</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2606-2025</t>
        </is>
      </c>
      <c r="B648" t="inlineStr">
        <is>
          <t>avverkningsanmälan</t>
        </is>
      </c>
      <c r="C648" t="inlineStr">
        <is>
          <t>Avverkning för annat ändamål</t>
        </is>
      </c>
      <c r="D648" s="1" t="n">
        <v>45674</v>
      </c>
      <c r="E648" s="1" t="n">
        <v>46288</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48763-2024</t>
        </is>
      </c>
      <c r="B649" t="inlineStr">
        <is>
          <t>avverkningsanmälan</t>
        </is>
      </c>
      <c r="C649" t="inlineStr">
        <is>
          <t>Föryngringsavverkning</t>
        </is>
      </c>
      <c r="D649" s="1" t="n">
        <v>45593</v>
      </c>
      <c r="E649" s="1" t="n">
        <v>46288</v>
      </c>
      <c r="F649" t="inlineStr">
        <is>
          <t>SÖDERMANLANDS LÄN</t>
        </is>
      </c>
      <c r="G649" t="inlineStr">
        <is>
          <t>KATRINEHOLM</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41229-2022</t>
        </is>
      </c>
      <c r="B650" t="inlineStr">
        <is>
          <t>avverkningsanmälan</t>
        </is>
      </c>
      <c r="C650" t="inlineStr">
        <is>
          <t>Föryngringsavverkning</t>
        </is>
      </c>
      <c r="D650" s="1" t="n">
        <v>44825</v>
      </c>
      <c r="E650" s="1" t="n">
        <v>46288</v>
      </c>
      <c r="F650" t="inlineStr">
        <is>
          <t>SÖDERMANLANDS LÄN</t>
        </is>
      </c>
      <c r="G650" t="inlineStr">
        <is>
          <t>KATRINEHOLM</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6311-2025</t>
        </is>
      </c>
      <c r="B651" t="inlineStr">
        <is>
          <t>avverkningsanmälan</t>
        </is>
      </c>
      <c r="C651" t="inlineStr">
        <is>
          <t>Avverkning för annat ändamål</t>
        </is>
      </c>
      <c r="D651" s="1" t="n">
        <v>45698</v>
      </c>
      <c r="E651" s="1" t="n">
        <v>46288</v>
      </c>
      <c r="F651" t="inlineStr">
        <is>
          <t>SÖDERMANLANDS LÄN</t>
        </is>
      </c>
      <c r="G651" t="inlineStr">
        <is>
          <t>KATRINEHOLM</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24983-2024</t>
        </is>
      </c>
      <c r="B652" t="inlineStr">
        <is>
          <t>avverkningsanmälan</t>
        </is>
      </c>
      <c r="C652" t="inlineStr">
        <is>
          <t>Föryngringsavverkning</t>
        </is>
      </c>
      <c r="D652" s="1" t="n">
        <v>45461</v>
      </c>
      <c r="E652" s="1" t="n">
        <v>46288</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32943-2024</t>
        </is>
      </c>
      <c r="B653" t="inlineStr">
        <is>
          <t>avverkningsanmälan</t>
        </is>
      </c>
      <c r="C653" t="inlineStr">
        <is>
          <t>Föryngringsavverkning</t>
        </is>
      </c>
      <c r="D653" s="1" t="n">
        <v>45517</v>
      </c>
      <c r="E653" s="1" t="n">
        <v>46288</v>
      </c>
      <c r="F653" t="inlineStr">
        <is>
          <t>SÖDERMANLANDS LÄN</t>
        </is>
      </c>
      <c r="G653" t="inlineStr">
        <is>
          <t>KATRINEHOLM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2603-2025</t>
        </is>
      </c>
      <c r="B654" t="inlineStr">
        <is>
          <t>avverkningsanmälan</t>
        </is>
      </c>
      <c r="C654" t="inlineStr">
        <is>
          <t>Avverkning för annat ändamål</t>
        </is>
      </c>
      <c r="D654" s="1" t="n">
        <v>45674</v>
      </c>
      <c r="E654" s="1" t="n">
        <v>46288</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61423-2024</t>
        </is>
      </c>
      <c r="B655" t="inlineStr">
        <is>
          <t>avverkningsanmälan</t>
        </is>
      </c>
      <c r="C655" t="inlineStr">
        <is>
          <t>Föryngringsavverkning</t>
        </is>
      </c>
      <c r="D655" s="1" t="n">
        <v>45646</v>
      </c>
      <c r="E655" s="1" t="n">
        <v>46288</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24605-2025</t>
        </is>
      </c>
      <c r="B656" t="inlineStr">
        <is>
          <t>avverkningsanmälan</t>
        </is>
      </c>
      <c r="C656" t="inlineStr">
        <is>
          <t>Föryngringsavverkning</t>
        </is>
      </c>
      <c r="D656" s="1" t="n">
        <v>45798</v>
      </c>
      <c r="E656" s="1" t="n">
        <v>46288</v>
      </c>
      <c r="F656" t="inlineStr">
        <is>
          <t>SÖDERMANLANDS LÄN</t>
        </is>
      </c>
      <c r="G656" t="inlineStr">
        <is>
          <t>KATRINEHOLM</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53999-2023</t>
        </is>
      </c>
      <c r="B657" t="inlineStr">
        <is>
          <t>avverkningsanmälan</t>
        </is>
      </c>
      <c r="C657" t="inlineStr">
        <is>
          <t>Föryngringsavverkning</t>
        </is>
      </c>
      <c r="D657" s="1" t="n">
        <v>45231</v>
      </c>
      <c r="E657" s="1" t="n">
        <v>46288</v>
      </c>
      <c r="F657" t="inlineStr">
        <is>
          <t>SÖDERMANLANDS LÄN</t>
        </is>
      </c>
      <c r="G657" t="inlineStr">
        <is>
          <t>KATRINEHOLM</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41727-2024</t>
        </is>
      </c>
      <c r="B658" t="inlineStr">
        <is>
          <t>avverkningsanmälan</t>
        </is>
      </c>
      <c r="C658" t="inlineStr">
        <is>
          <t>Föryngringsavverkning</t>
        </is>
      </c>
      <c r="D658" s="1" t="n">
        <v>45560</v>
      </c>
      <c r="E658" s="1" t="n">
        <v>46288</v>
      </c>
      <c r="F658" t="inlineStr">
        <is>
          <t>SÖDERMANLANDS LÄN</t>
        </is>
      </c>
      <c r="G658" t="inlineStr">
        <is>
          <t>KATRINEHOLM</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24566-2025</t>
        </is>
      </c>
      <c r="B659" t="inlineStr">
        <is>
          <t>avverkningsanmälan</t>
        </is>
      </c>
      <c r="C659" t="inlineStr">
        <is>
          <t>Avverkning för att bevara och utveckla /försöksver</t>
        </is>
      </c>
      <c r="D659" s="1" t="n">
        <v>45798</v>
      </c>
      <c r="E659" s="1" t="n">
        <v>46288</v>
      </c>
      <c r="F659" t="inlineStr">
        <is>
          <t>SÖDERMANLANDS LÄN</t>
        </is>
      </c>
      <c r="G659" t="inlineStr">
        <is>
          <t>KATRINEHOLM</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56086-2023</t>
        </is>
      </c>
      <c r="B660" t="inlineStr">
        <is>
          <t>avverkningsanmälan</t>
        </is>
      </c>
      <c r="C660" t="inlineStr">
        <is>
          <t>Föryngringsavverkning</t>
        </is>
      </c>
      <c r="D660" s="1" t="n">
        <v>45240</v>
      </c>
      <c r="E660" s="1" t="n">
        <v>46288</v>
      </c>
      <c r="F660" t="inlineStr">
        <is>
          <t>SÖDERMANLANDS LÄN</t>
        </is>
      </c>
      <c r="G660" t="inlineStr">
        <is>
          <t>KATRINEHOLM</t>
        </is>
      </c>
      <c r="H660" t="inlineStr">
        <is>
          <t>Kyrkan</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24719-2025</t>
        </is>
      </c>
      <c r="B661" t="inlineStr">
        <is>
          <t>avverkningsanmälan</t>
        </is>
      </c>
      <c r="C661" t="inlineStr">
        <is>
          <t>Föryngringsavverkning</t>
        </is>
      </c>
      <c r="D661" s="1" t="n">
        <v>45799</v>
      </c>
      <c r="E661" s="1" t="n">
        <v>46288</v>
      </c>
      <c r="F661" t="inlineStr">
        <is>
          <t>SÖDERMANLANDS LÄN</t>
        </is>
      </c>
      <c r="G661" t="inlineStr">
        <is>
          <t>KATRINEHOLM</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24717-2025</t>
        </is>
      </c>
      <c r="B662" t="inlineStr">
        <is>
          <t>avverkningsanmälan</t>
        </is>
      </c>
      <c r="C662" t="inlineStr">
        <is>
          <t>Föryngringsavverkning</t>
        </is>
      </c>
      <c r="D662" s="1" t="n">
        <v>45799</v>
      </c>
      <c r="E662" s="1" t="n">
        <v>46288</v>
      </c>
      <c r="F662" t="inlineStr">
        <is>
          <t>SÖDERMANLANDS LÄN</t>
        </is>
      </c>
      <c r="G662" t="inlineStr">
        <is>
          <t>KATRINEHOLM</t>
        </is>
      </c>
      <c r="I662" t="n">
        <v>24.5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27636-2025</t>
        </is>
      </c>
      <c r="B663" t="inlineStr">
        <is>
          <t>avverkningsanmälan</t>
        </is>
      </c>
      <c r="C663" t="inlineStr">
        <is>
          <t>Föryngringsavverkning</t>
        </is>
      </c>
      <c r="D663" s="1" t="n">
        <v>45813</v>
      </c>
      <c r="E663" s="1" t="n">
        <v>46288</v>
      </c>
      <c r="F663" t="inlineStr">
        <is>
          <t>SÖDERMANLANDS LÄN</t>
        </is>
      </c>
      <c r="G663" t="inlineStr">
        <is>
          <t>KATRINEHOLM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24600-2025</t>
        </is>
      </c>
      <c r="B664" t="inlineStr">
        <is>
          <t>avverkningsanmälan</t>
        </is>
      </c>
      <c r="C664" t="inlineStr">
        <is>
          <t>Föryngringsavverkning</t>
        </is>
      </c>
      <c r="D664" s="1" t="n">
        <v>45798</v>
      </c>
      <c r="E664" s="1" t="n">
        <v>46288</v>
      </c>
      <c r="F664" t="inlineStr">
        <is>
          <t>SÖDERMANLANDS LÄN</t>
        </is>
      </c>
      <c r="G664" t="inlineStr">
        <is>
          <t>KATRINEHOLM</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35608-2024</t>
        </is>
      </c>
      <c r="B665" t="inlineStr">
        <is>
          <t>avverkningsanmälan</t>
        </is>
      </c>
      <c r="C665" t="inlineStr">
        <is>
          <t>Föryngringsavverkning</t>
        </is>
      </c>
      <c r="D665" s="1" t="n">
        <v>45531</v>
      </c>
      <c r="E665" s="1" t="n">
        <v>46288</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29189-2025</t>
        </is>
      </c>
      <c r="B666" t="inlineStr">
        <is>
          <t>avverkningsanmälan</t>
        </is>
      </c>
      <c r="C666" t="inlineStr">
        <is>
          <t>Föryngringsavverkning</t>
        </is>
      </c>
      <c r="D666" s="1" t="n">
        <v>45822</v>
      </c>
      <c r="E666" s="1" t="n">
        <v>46288</v>
      </c>
      <c r="F666" t="inlineStr">
        <is>
          <t>SÖDERMANLANDS LÄN</t>
        </is>
      </c>
      <c r="G666" t="inlineStr">
        <is>
          <t>KATRINEHOLM</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31990-2025</t>
        </is>
      </c>
      <c r="B667" t="inlineStr">
        <is>
          <t>avverkningsanmälan</t>
        </is>
      </c>
      <c r="C667" t="inlineStr">
        <is>
          <t>Föryngringsavverkning</t>
        </is>
      </c>
      <c r="D667" s="1" t="n">
        <v>45835</v>
      </c>
      <c r="E667" s="1" t="n">
        <v>46288</v>
      </c>
      <c r="F667" t="inlineStr">
        <is>
          <t>SÖDERMANLANDS LÄN</t>
        </is>
      </c>
      <c r="G667" t="inlineStr">
        <is>
          <t>KATRINEHOLM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33577-2025</t>
        </is>
      </c>
      <c r="B668" t="inlineStr">
        <is>
          <t>avverkningsanmälan</t>
        </is>
      </c>
      <c r="C668" t="inlineStr">
        <is>
          <t>Avverkning för annat ändamål</t>
        </is>
      </c>
      <c r="D668" s="1" t="n">
        <v>45841</v>
      </c>
      <c r="E668" s="1" t="n">
        <v>46288</v>
      </c>
      <c r="F668" t="inlineStr">
        <is>
          <t>SÖDERMANLANDS LÄN</t>
        </is>
      </c>
      <c r="G668" t="inlineStr">
        <is>
          <t>KATRINEHOLM</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6762-2025</t>
        </is>
      </c>
      <c r="B669" t="inlineStr">
        <is>
          <t>avverkningsanmälan</t>
        </is>
      </c>
      <c r="C669" t="inlineStr">
        <is>
          <t>Föryngringsavverkning</t>
        </is>
      </c>
      <c r="D669" s="1" t="n">
        <v>45700</v>
      </c>
      <c r="E669" s="1" t="n">
        <v>46288</v>
      </c>
      <c r="F669" t="inlineStr">
        <is>
          <t>SÖDERMANLANDS LÄN</t>
        </is>
      </c>
      <c r="G669" t="inlineStr">
        <is>
          <t>KATRINEHOLM</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20213-2025</t>
        </is>
      </c>
      <c r="B670" t="inlineStr">
        <is>
          <t>avverkningsanmälan</t>
        </is>
      </c>
      <c r="C670" t="inlineStr">
        <is>
          <t>Föryngringsavverkning</t>
        </is>
      </c>
      <c r="D670" s="1" t="n">
        <v>45772</v>
      </c>
      <c r="E670" s="1" t="n">
        <v>46288</v>
      </c>
      <c r="F670" t="inlineStr">
        <is>
          <t>SÖDERMANLANDS LÄN</t>
        </is>
      </c>
      <c r="G670" t="inlineStr">
        <is>
          <t>KATRINEHOLM</t>
        </is>
      </c>
      <c r="I670" t="n">
        <v>8.199999999999999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35157-2025</t>
        </is>
      </c>
      <c r="B671" t="inlineStr">
        <is>
          <t>avverkningsanmälan</t>
        </is>
      </c>
      <c r="C671" t="inlineStr">
        <is>
          <t>Föryngringsavverkning</t>
        </is>
      </c>
      <c r="D671" s="1" t="n">
        <v>45852</v>
      </c>
      <c r="E671" s="1" t="n">
        <v>46288</v>
      </c>
      <c r="F671" t="inlineStr">
        <is>
          <t>SÖDERMANLANDS LÄN</t>
        </is>
      </c>
      <c r="G671" t="inlineStr">
        <is>
          <t>KATRINEHOLM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35158-2025</t>
        </is>
      </c>
      <c r="B672" t="inlineStr">
        <is>
          <t>avverkningsanmälan</t>
        </is>
      </c>
      <c r="C672" t="inlineStr">
        <is>
          <t>Föryngringsavverkning</t>
        </is>
      </c>
      <c r="D672" s="1" t="n">
        <v>45852</v>
      </c>
      <c r="E672" s="1" t="n">
        <v>46288</v>
      </c>
      <c r="F672" t="inlineStr">
        <is>
          <t>SÖDERMANLANDS LÄN</t>
        </is>
      </c>
      <c r="G672" t="inlineStr">
        <is>
          <t>KATRINEHOLM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34176-2025</t>
        </is>
      </c>
      <c r="B673" t="inlineStr">
        <is>
          <t>avverkningsanmälan</t>
        </is>
      </c>
      <c r="C673" t="inlineStr">
        <is>
          <t>Avverkning för annat ändamål</t>
        </is>
      </c>
      <c r="D673" s="1" t="n">
        <v>45845</v>
      </c>
      <c r="E673" s="1" t="n">
        <v>46288</v>
      </c>
      <c r="F673" t="inlineStr">
        <is>
          <t>SÖDERMANLANDS LÄN</t>
        </is>
      </c>
      <c r="G673" t="inlineStr">
        <is>
          <t>KATRINEHOLM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2320-2023</t>
        </is>
      </c>
      <c r="B674" t="inlineStr">
        <is>
          <t>samrådsanmälan</t>
        </is>
      </c>
      <c r="C674" t="inlineStr">
        <is>
          <t>Annan skogsbruksåtgärd</t>
        </is>
      </c>
      <c r="D674" s="1" t="n">
        <v>45105</v>
      </c>
      <c r="E674" s="1" t="n">
        <v>46288</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4281-2023</t>
        </is>
      </c>
      <c r="B675" t="inlineStr">
        <is>
          <t>samrådsanmälan</t>
        </is>
      </c>
      <c r="C675" t="inlineStr">
        <is>
          <t>Annan skogsbruksåtgärd</t>
        </is>
      </c>
      <c r="D675" s="1" t="n">
        <v>45257</v>
      </c>
      <c r="E675" s="1" t="n">
        <v>46288</v>
      </c>
      <c r="F675" t="inlineStr">
        <is>
          <t>SÖDERMANLANDS LÄN</t>
        </is>
      </c>
      <c r="G675" t="inlineStr">
        <is>
          <t>KATRINEHOLM</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2183-2023</t>
        </is>
      </c>
      <c r="B676" t="inlineStr">
        <is>
          <t>samrådsanmälan</t>
        </is>
      </c>
      <c r="C676" t="inlineStr">
        <is>
          <t>Annan skogsbruksåtgärd</t>
        </is>
      </c>
      <c r="D676" s="1" t="n">
        <v>45098</v>
      </c>
      <c r="E676" s="1" t="n">
        <v>46288</v>
      </c>
      <c r="F676" t="inlineStr">
        <is>
          <t>SÖDERMANLANDS LÄN</t>
        </is>
      </c>
      <c r="G676" t="inlineStr">
        <is>
          <t>KATRINEHOLM</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2529-2024</t>
        </is>
      </c>
      <c r="B677" t="inlineStr">
        <is>
          <t>samrådsanmälan</t>
        </is>
      </c>
      <c r="C677" t="inlineStr">
        <is>
          <t>Annan skogsbruksåtgärd</t>
        </is>
      </c>
      <c r="D677" s="1" t="n">
        <v>45474</v>
      </c>
      <c r="E677" s="1" t="n">
        <v>46288</v>
      </c>
      <c r="F677" t="inlineStr">
        <is>
          <t>SÖDERMANLANDS LÄN</t>
        </is>
      </c>
      <c r="G677" t="inlineStr">
        <is>
          <t>KATRINEHOLM</t>
        </is>
      </c>
      <c r="I677" t="n">
        <v>2.6</v>
      </c>
      <c r="J677" t="n">
        <v>0</v>
      </c>
      <c r="K677" t="n">
        <v>0</v>
      </c>
      <c r="L677" t="n">
        <v>0</v>
      </c>
      <c r="M677" t="n">
        <v>0</v>
      </c>
      <c r="N677" t="n">
        <v>0</v>
      </c>
      <c r="O677" t="n">
        <v>0</v>
      </c>
      <c r="P677" t="n">
        <v>0</v>
      </c>
      <c r="Q677" t="n">
        <v>0</v>
      </c>
      <c r="R677" t="n">
        <v>0</v>
      </c>
      <c r="S677" t="n">
        <v>0</v>
      </c>
      <c r="T677" t="n">
        <v>0</v>
      </c>
      <c r="U677" t="n">
        <v>0</v>
      </c>
      <c r="V677" s="2" t="inlineStr"/>
      <c r="Z677">
        <f>HYPERLINK("https://klasma.github.io/Logging_0483/knärot/S 2529-2024 karta knärot.png", "S 2529-2024")</f>
        <v/>
      </c>
      <c r="AA677">
        <f>HYPERLINK("https://klasma.github.io/Logging_0483/klagomål/S 2529-2024 FSC-klagomål.docx", "S 2529-2024")</f>
        <v/>
      </c>
      <c r="AB677">
        <f>HYPERLINK("https://klasma.github.io/Logging_0483/klagomålsmail/S 2529-2024 FSC-klagomål mail.docx", "S 2529-2024")</f>
        <v/>
      </c>
      <c r="AC677">
        <f>HYPERLINK("https://klasma.github.io/Logging_0483/tillsyn/S 2529-2024 tillsynsbegäran.docx", "S 2529-2024")</f>
        <v/>
      </c>
      <c r="AD677">
        <f>HYPERLINK("https://klasma.github.io/Logging_0483/tillsynsmail/S 2529-2024 tillsynsbegäran mail.docx", "S 2529-2024")</f>
        <v/>
      </c>
    </row>
    <row r="678" ht="15" customHeight="1">
      <c r="A678" t="inlineStr">
        <is>
          <t>S 507-2024</t>
        </is>
      </c>
      <c r="B678" t="inlineStr">
        <is>
          <t>samrådsanmälan</t>
        </is>
      </c>
      <c r="C678" t="inlineStr">
        <is>
          <t>Skogsbilväg</t>
        </is>
      </c>
      <c r="D678" s="1" t="n">
        <v>45345</v>
      </c>
      <c r="E678" s="1" t="n">
        <v>46288</v>
      </c>
      <c r="F678" t="inlineStr">
        <is>
          <t>SÖDERMANLANDS LÄN</t>
        </is>
      </c>
      <c r="G678" t="inlineStr">
        <is>
          <t>KATRINEHOLM</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748-2023</t>
        </is>
      </c>
      <c r="B679" t="inlineStr">
        <is>
          <t>samrådsanmälan</t>
        </is>
      </c>
      <c r="C679" t="inlineStr">
        <is>
          <t>Annan skogsbruksåtgärd</t>
        </is>
      </c>
      <c r="D679" s="1" t="n">
        <v>44980</v>
      </c>
      <c r="E679" s="1" t="n">
        <v>46288</v>
      </c>
      <c r="F679" t="inlineStr">
        <is>
          <t>SÖDERMANLANDS LÄN</t>
        </is>
      </c>
      <c r="G679" t="inlineStr">
        <is>
          <t>KATRINEHOLM</t>
        </is>
      </c>
      <c r="H679" t="inlineStr">
        <is>
          <t>Övriga Aktiebolag</t>
        </is>
      </c>
      <c r="I679" t="n">
        <v>4.9</v>
      </c>
      <c r="J679" t="n">
        <v>0</v>
      </c>
      <c r="K679" t="n">
        <v>0</v>
      </c>
      <c r="L679" t="n">
        <v>0</v>
      </c>
      <c r="M679" t="n">
        <v>0</v>
      </c>
      <c r="N679" t="n">
        <v>0</v>
      </c>
      <c r="O679" t="n">
        <v>0</v>
      </c>
      <c r="P679" t="n">
        <v>0</v>
      </c>
      <c r="Q679" t="n">
        <v>0</v>
      </c>
      <c r="R679" t="n">
        <v>0</v>
      </c>
      <c r="S679" t="n">
        <v>0</v>
      </c>
      <c r="T679" t="n">
        <v>0</v>
      </c>
      <c r="U679" t="n">
        <v>0</v>
      </c>
      <c r="V679" s="2" t="inlineStr"/>
      <c r="Z679">
        <f>HYPERLINK("https://klasma.github.io/Logging_0483/knärot/S 748-2023 karta knärot.png", "S 748-2023")</f>
        <v/>
      </c>
      <c r="AA679">
        <f>HYPERLINK("https://klasma.github.io/Logging_0483/klagomål/S 748-2023 FSC-klagomål.docx", "S 748-2023")</f>
        <v/>
      </c>
      <c r="AB679">
        <f>HYPERLINK("https://klasma.github.io/Logging_0483/klagomålsmail/S 748-2023 FSC-klagomål mail.docx", "S 748-2023")</f>
        <v/>
      </c>
      <c r="AC679">
        <f>HYPERLINK("https://klasma.github.io/Logging_0483/tillsyn/S 748-2023 tillsynsbegäran.docx", "S 748-2023")</f>
        <v/>
      </c>
      <c r="AD679">
        <f>HYPERLINK("https://klasma.github.io/Logging_0483/tillsynsmail/S 748-2023 tillsynsbegäran mail.docx", "S 748-2023")</f>
        <v/>
      </c>
    </row>
    <row r="680" ht="15" customHeight="1">
      <c r="A680" t="inlineStr">
        <is>
          <t>S 6891-2022</t>
        </is>
      </c>
      <c r="B680" t="inlineStr">
        <is>
          <t>samrådsanmälan</t>
        </is>
      </c>
      <c r="C680" t="inlineStr">
        <is>
          <t>Annan skogsbruksåtgärd</t>
        </is>
      </c>
      <c r="D680" s="1" t="n">
        <v>44903</v>
      </c>
      <c r="E680" s="1" t="n">
        <v>46288</v>
      </c>
      <c r="F680" t="inlineStr">
        <is>
          <t>SÖDERMANLANDS LÄN</t>
        </is>
      </c>
      <c r="G680" t="inlineStr">
        <is>
          <t>KATRINEHOLM</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1838-2022</t>
        </is>
      </c>
      <c r="B681" t="inlineStr">
        <is>
          <t>samrådsanmälan</t>
        </is>
      </c>
      <c r="C681" t="inlineStr">
        <is>
          <t>Annan skogsbruksåtgärd</t>
        </is>
      </c>
      <c r="D681" s="1" t="n">
        <v>44658</v>
      </c>
      <c r="E681" s="1" t="n">
        <v>46288</v>
      </c>
      <c r="F681" t="inlineStr">
        <is>
          <t>SÖDERMANLANDS LÄN</t>
        </is>
      </c>
      <c r="G681" t="inlineStr">
        <is>
          <t>KATRINEHOLM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634-2025</t>
        </is>
      </c>
      <c r="B682" t="inlineStr">
        <is>
          <t>samrådsanmälan</t>
        </is>
      </c>
      <c r="C682" t="inlineStr">
        <is>
          <t>Skogsgödsling</t>
        </is>
      </c>
      <c r="D682" s="1" t="n">
        <v>45714</v>
      </c>
      <c r="E682" s="1" t="n">
        <v>46288</v>
      </c>
      <c r="F682" t="inlineStr">
        <is>
          <t>SÖDERMANLANDS LÄN</t>
        </is>
      </c>
      <c r="G682" t="inlineStr">
        <is>
          <t>KATRINEHOLM</t>
        </is>
      </c>
      <c r="H682" t="inlineStr">
        <is>
          <t>Holmen skog AB</t>
        </is>
      </c>
      <c r="I682" t="n">
        <v>30.5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3350-2024</t>
        </is>
      </c>
      <c r="B683" t="inlineStr">
        <is>
          <t>samrådsanmälan</t>
        </is>
      </c>
      <c r="C683" t="inlineStr">
        <is>
          <t>Annan skogsbruksåtgärd</t>
        </is>
      </c>
      <c r="D683" s="1" t="n">
        <v>45531</v>
      </c>
      <c r="E683" s="1" t="n">
        <v>46288</v>
      </c>
      <c r="F683" t="inlineStr">
        <is>
          <t>SÖDERMANLANDS LÄN</t>
        </is>
      </c>
      <c r="G683" t="inlineStr">
        <is>
          <t>KATRINEHOLM</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1605-2025</t>
        </is>
      </c>
      <c r="B684" t="inlineStr">
        <is>
          <t>samrådsanmälan</t>
        </is>
      </c>
      <c r="C684" t="inlineStr">
        <is>
          <t>Annan skogsbruksåtgärd</t>
        </is>
      </c>
      <c r="D684" s="1" t="n">
        <v>45798</v>
      </c>
      <c r="E684" s="1" t="n">
        <v>46288</v>
      </c>
      <c r="F684" t="inlineStr">
        <is>
          <t>SÖDERMANLANDS LÄN</t>
        </is>
      </c>
      <c r="G684" t="inlineStr">
        <is>
          <t>KATRINEHOLM</t>
        </is>
      </c>
      <c r="I684" t="n">
        <v>6.3</v>
      </c>
      <c r="J684" t="n">
        <v>0</v>
      </c>
      <c r="K684" t="n">
        <v>0</v>
      </c>
      <c r="L684" t="n">
        <v>0</v>
      </c>
      <c r="M684" t="n">
        <v>0</v>
      </c>
      <c r="N684" t="n">
        <v>0</v>
      </c>
      <c r="O684" t="n">
        <v>0</v>
      </c>
      <c r="P684" t="n">
        <v>0</v>
      </c>
      <c r="Q684" t="n">
        <v>0</v>
      </c>
      <c r="R684" t="n">
        <v>0</v>
      </c>
      <c r="S684" t="n">
        <v>0</v>
      </c>
      <c r="T684" t="n">
        <v>0</v>
      </c>
      <c r="U684" t="n">
        <v>0</v>
      </c>
      <c r="V684" s="2" t="inlineStr"/>
    </row>
    <row r="685">
      <c r="A685" t="inlineStr">
        <is>
          <t>S 2902-2025</t>
        </is>
      </c>
      <c r="B685" t="inlineStr">
        <is>
          <t>samrådsanmälan</t>
        </is>
      </c>
      <c r="C685" t="inlineStr">
        <is>
          <t>Annan skogsbruksåtgärd</t>
        </is>
      </c>
      <c r="D685" s="1" t="n">
        <v>45946</v>
      </c>
      <c r="E685" s="1" t="n">
        <v>46288</v>
      </c>
      <c r="F685" t="inlineStr">
        <is>
          <t>SÖDERMANLANDS LÄN</t>
        </is>
      </c>
      <c r="G685" t="inlineStr">
        <is>
          <t>KATRINEHOLM</t>
        </is>
      </c>
      <c r="I685" t="n">
        <v>0.9</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2026-09-23T01:57:49Z</dcterms:created>
  <dcterms:modified xmlns:dcterms="http://purl.org/dc/terms/" xmlns:xsi="http://www.w3.org/2001/XMLSchema-instance" xsi:type="dcterms:W3CDTF">2026-09-23T01:57:50Z</dcterms:modified>
</cp:coreProperties>
</file>