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46123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46123</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46123</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46123</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46123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46123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46123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46123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46123</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14655-2023</t>
        </is>
      </c>
      <c r="B18" s="1" t="n">
        <v>45013</v>
      </c>
      <c r="C18" s="1" t="n">
        <v>46123</v>
      </c>
      <c r="D18" t="inlineStr">
        <is>
          <t>SÖDERMANLANDS LÄN</t>
        </is>
      </c>
      <c r="E18" t="inlineStr">
        <is>
          <t>KATRINEHOLM</t>
        </is>
      </c>
      <c r="G18" t="n">
        <v>4.4</v>
      </c>
      <c r="H18" t="n">
        <v>2</v>
      </c>
      <c r="I18" t="n">
        <v>0</v>
      </c>
      <c r="J18" t="n">
        <v>1</v>
      </c>
      <c r="K18" t="n">
        <v>0</v>
      </c>
      <c r="L18" t="n">
        <v>0</v>
      </c>
      <c r="M18" t="n">
        <v>0</v>
      </c>
      <c r="N18" t="n">
        <v>0</v>
      </c>
      <c r="O18" t="n">
        <v>1</v>
      </c>
      <c r="P18" t="n">
        <v>0</v>
      </c>
      <c r="Q18" t="n">
        <v>2</v>
      </c>
      <c r="R18" s="2" t="inlineStr">
        <is>
          <t>Spillkråka
Gröngöling</t>
        </is>
      </c>
      <c r="S18">
        <f>HYPERLINK("https://klasma.github.io/Logging_0483/artfynd/A 14655-2023 artfynd.xlsx", "A 14655-2023")</f>
        <v/>
      </c>
      <c r="T18">
        <f>HYPERLINK("https://klasma.github.io/Logging_0483/kartor/A 14655-2023 karta.png", "A 14655-2023")</f>
        <v/>
      </c>
      <c r="V18">
        <f>HYPERLINK("https://klasma.github.io/Logging_0483/klagomål/A 14655-2023 FSC-klagomål.docx", "A 14655-2023")</f>
        <v/>
      </c>
      <c r="W18">
        <f>HYPERLINK("https://klasma.github.io/Logging_0483/klagomålsmail/A 14655-2023 FSC-klagomål mail.docx", "A 14655-2023")</f>
        <v/>
      </c>
      <c r="X18">
        <f>HYPERLINK("https://klasma.github.io/Logging_0483/tillsyn/A 14655-2023 tillsynsbegäran.docx", "A 14655-2023")</f>
        <v/>
      </c>
      <c r="Y18">
        <f>HYPERLINK("https://klasma.github.io/Logging_0483/tillsynsmail/A 14655-2023 tillsynsbegäran mail.docx", "A 14655-2023")</f>
        <v/>
      </c>
      <c r="Z18">
        <f>HYPERLINK("https://klasma.github.io/Logging_0483/fåglar/A 14655-2023 prioriterade fågelarter.docx", "A 14655-2023")</f>
        <v/>
      </c>
    </row>
    <row r="19" ht="15" customHeight="1">
      <c r="A19" t="inlineStr">
        <is>
          <t>A 1150-2025</t>
        </is>
      </c>
      <c r="B19" s="1" t="n">
        <v>45666</v>
      </c>
      <c r="C19" s="1" t="n">
        <v>46123</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56897-2021</t>
        </is>
      </c>
      <c r="B20" s="1" t="n">
        <v>44481</v>
      </c>
      <c r="C20" s="1" t="n">
        <v>46123</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46123</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37537-2022</t>
        </is>
      </c>
      <c r="B22" s="1" t="n">
        <v>44809</v>
      </c>
      <c r="C22" s="1" t="n">
        <v>46123</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46123</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53471-2024</t>
        </is>
      </c>
      <c r="B24" s="1" t="n">
        <v>45614.55686342593</v>
      </c>
      <c r="C24" s="1" t="n">
        <v>46123</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46123</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46123</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13873-2026</t>
        </is>
      </c>
      <c r="B27" s="1" t="n">
        <v>46098.42672453704</v>
      </c>
      <c r="C27" s="1" t="n">
        <v>46123</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16435-2026</t>
        </is>
      </c>
      <c r="B28" s="1" t="n">
        <v>46111.82163194445</v>
      </c>
      <c r="C28" s="1" t="n">
        <v>46123</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46123</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46123</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46123</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46123</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46123</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11890-2023</t>
        </is>
      </c>
      <c r="B34" s="1" t="n">
        <v>44995</v>
      </c>
      <c r="C34" s="1" t="n">
        <v>46123</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23568-2023</t>
        </is>
      </c>
      <c r="B35" s="1" t="n">
        <v>45077</v>
      </c>
      <c r="C35" s="1" t="n">
        <v>46123</v>
      </c>
      <c r="D35" t="inlineStr">
        <is>
          <t>SÖDERMANLANDS LÄN</t>
        </is>
      </c>
      <c r="E35" t="inlineStr">
        <is>
          <t>KATRINEHOLM</t>
        </is>
      </c>
      <c r="F35" t="inlineStr">
        <is>
          <t>Kommuner</t>
        </is>
      </c>
      <c r="G35" t="n">
        <v>1.4</v>
      </c>
      <c r="H35" t="n">
        <v>0</v>
      </c>
      <c r="I35" t="n">
        <v>0</v>
      </c>
      <c r="J35" t="n">
        <v>1</v>
      </c>
      <c r="K35" t="n">
        <v>0</v>
      </c>
      <c r="L35" t="n">
        <v>0</v>
      </c>
      <c r="M35" t="n">
        <v>0</v>
      </c>
      <c r="N35" t="n">
        <v>0</v>
      </c>
      <c r="O35" t="n">
        <v>1</v>
      </c>
      <c r="P35" t="n">
        <v>0</v>
      </c>
      <c r="Q35" t="n">
        <v>1</v>
      </c>
      <c r="R35" s="2" t="inlineStr">
        <is>
          <t>Fyrflikig jordstjärna</t>
        </is>
      </c>
      <c r="S35">
        <f>HYPERLINK("https://klasma.github.io/Logging_0483/artfynd/A 23568-2023 artfynd.xlsx", "A 23568-2023")</f>
        <v/>
      </c>
      <c r="T35">
        <f>HYPERLINK("https://klasma.github.io/Logging_0483/kartor/A 23568-2023 karta.png", "A 23568-2023")</f>
        <v/>
      </c>
      <c r="V35">
        <f>HYPERLINK("https://klasma.github.io/Logging_0483/klagomål/A 23568-2023 FSC-klagomål.docx", "A 23568-2023")</f>
        <v/>
      </c>
      <c r="W35">
        <f>HYPERLINK("https://klasma.github.io/Logging_0483/klagomålsmail/A 23568-2023 FSC-klagomål mail.docx", "A 23568-2023")</f>
        <v/>
      </c>
      <c r="X35">
        <f>HYPERLINK("https://klasma.github.io/Logging_0483/tillsyn/A 23568-2023 tillsynsbegäran.docx", "A 23568-2023")</f>
        <v/>
      </c>
      <c r="Y35">
        <f>HYPERLINK("https://klasma.github.io/Logging_0483/tillsynsmail/A 23568-2023 tillsynsbegäran mail.docx", "A 23568-2023")</f>
        <v/>
      </c>
    </row>
    <row r="36" ht="15" customHeight="1">
      <c r="A36" t="inlineStr">
        <is>
          <t>A 16458-2022</t>
        </is>
      </c>
      <c r="B36" s="1" t="n">
        <v>44671</v>
      </c>
      <c r="C36" s="1" t="n">
        <v>46123</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46123</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7305-2024</t>
        </is>
      </c>
      <c r="B38" s="1" t="n">
        <v>45344</v>
      </c>
      <c r="C38" s="1" t="n">
        <v>46123</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46123</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42055-2025</t>
        </is>
      </c>
      <c r="B40" s="1" t="n">
        <v>45903</v>
      </c>
      <c r="C40" s="1" t="n">
        <v>46123</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12238-2023</t>
        </is>
      </c>
      <c r="B41" s="1" t="n">
        <v>44995</v>
      </c>
      <c r="C41" s="1" t="n">
        <v>46123</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46123</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41980-2025</t>
        </is>
      </c>
      <c r="B43" s="1" t="n">
        <v>45903</v>
      </c>
      <c r="C43" s="1" t="n">
        <v>46123</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28985-2022</t>
        </is>
      </c>
      <c r="B44" s="1" t="n">
        <v>44749</v>
      </c>
      <c r="C44" s="1" t="n">
        <v>46123</v>
      </c>
      <c r="D44" t="inlineStr">
        <is>
          <t>SÖDERMANLANDS LÄN</t>
        </is>
      </c>
      <c r="E44" t="inlineStr">
        <is>
          <t>KATRINEHOLM</t>
        </is>
      </c>
      <c r="G44" t="n">
        <v>6.4</v>
      </c>
      <c r="H44" t="n">
        <v>0</v>
      </c>
      <c r="I44" t="n">
        <v>0</v>
      </c>
      <c r="J44" t="n">
        <v>1</v>
      </c>
      <c r="K44" t="n">
        <v>0</v>
      </c>
      <c r="L44" t="n">
        <v>0</v>
      </c>
      <c r="M44" t="n">
        <v>0</v>
      </c>
      <c r="N44" t="n">
        <v>0</v>
      </c>
      <c r="O44" t="n">
        <v>1</v>
      </c>
      <c r="P44" t="n">
        <v>0</v>
      </c>
      <c r="Q44" t="n">
        <v>1</v>
      </c>
      <c r="R44" s="2" t="inlineStr">
        <is>
          <t>Igelkott</t>
        </is>
      </c>
      <c r="S44">
        <f>HYPERLINK("https://klasma.github.io/Logging_0483/artfynd/A 28985-2022 artfynd.xlsx", "A 28985-2022")</f>
        <v/>
      </c>
      <c r="T44">
        <f>HYPERLINK("https://klasma.github.io/Logging_0483/kartor/A 28985-2022 karta.png", "A 28985-2022")</f>
        <v/>
      </c>
      <c r="V44">
        <f>HYPERLINK("https://klasma.github.io/Logging_0483/klagomål/A 28985-2022 FSC-klagomål.docx", "A 28985-2022")</f>
        <v/>
      </c>
      <c r="W44">
        <f>HYPERLINK("https://klasma.github.io/Logging_0483/klagomålsmail/A 28985-2022 FSC-klagomål mail.docx", "A 28985-2022")</f>
        <v/>
      </c>
      <c r="X44">
        <f>HYPERLINK("https://klasma.github.io/Logging_0483/tillsyn/A 28985-2022 tillsynsbegäran.docx", "A 28985-2022")</f>
        <v/>
      </c>
      <c r="Y44">
        <f>HYPERLINK("https://klasma.github.io/Logging_0483/tillsynsmail/A 28985-2022 tillsynsbegäran mail.docx", "A 28985-2022")</f>
        <v/>
      </c>
    </row>
    <row r="45" ht="15" customHeight="1">
      <c r="A45" t="inlineStr">
        <is>
          <t>A 42745-2022</t>
        </is>
      </c>
      <c r="B45" s="1" t="n">
        <v>44831</v>
      </c>
      <c r="C45" s="1" t="n">
        <v>46123</v>
      </c>
      <c r="D45" t="inlineStr">
        <is>
          <t>SÖDERMANLANDS LÄN</t>
        </is>
      </c>
      <c r="E45" t="inlineStr">
        <is>
          <t>KATRINEHOLM</t>
        </is>
      </c>
      <c r="G45" t="n">
        <v>4.6</v>
      </c>
      <c r="H45" t="n">
        <v>0</v>
      </c>
      <c r="I45" t="n">
        <v>0</v>
      </c>
      <c r="J45" t="n">
        <v>1</v>
      </c>
      <c r="K45" t="n">
        <v>0</v>
      </c>
      <c r="L45" t="n">
        <v>0</v>
      </c>
      <c r="M45" t="n">
        <v>0</v>
      </c>
      <c r="N45" t="n">
        <v>0</v>
      </c>
      <c r="O45" t="n">
        <v>1</v>
      </c>
      <c r="P45" t="n">
        <v>0</v>
      </c>
      <c r="Q45" t="n">
        <v>1</v>
      </c>
      <c r="R45" s="2" t="inlineStr">
        <is>
          <t>Svedjenäva</t>
        </is>
      </c>
      <c r="S45">
        <f>HYPERLINK("https://klasma.github.io/Logging_0483/artfynd/A 42745-2022 artfynd.xlsx", "A 42745-2022")</f>
        <v/>
      </c>
      <c r="T45">
        <f>HYPERLINK("https://klasma.github.io/Logging_0483/kartor/A 42745-2022 karta.png", "A 42745-2022")</f>
        <v/>
      </c>
      <c r="V45">
        <f>HYPERLINK("https://klasma.github.io/Logging_0483/klagomål/A 42745-2022 FSC-klagomål.docx", "A 42745-2022")</f>
        <v/>
      </c>
      <c r="W45">
        <f>HYPERLINK("https://klasma.github.io/Logging_0483/klagomålsmail/A 42745-2022 FSC-klagomål mail.docx", "A 42745-2022")</f>
        <v/>
      </c>
      <c r="X45">
        <f>HYPERLINK("https://klasma.github.io/Logging_0483/tillsyn/A 42745-2022 tillsynsbegäran.docx", "A 42745-2022")</f>
        <v/>
      </c>
      <c r="Y45">
        <f>HYPERLINK("https://klasma.github.io/Logging_0483/tillsynsmail/A 42745-2022 tillsynsbegäran mail.docx", "A 42745-2022")</f>
        <v/>
      </c>
    </row>
    <row r="46" ht="15" customHeight="1">
      <c r="A46" t="inlineStr">
        <is>
          <t>A 22474-2025</t>
        </is>
      </c>
      <c r="B46" s="1" t="n">
        <v>45786.62152777778</v>
      </c>
      <c r="C46" s="1" t="n">
        <v>46123</v>
      </c>
      <c r="D46" t="inlineStr">
        <is>
          <t>SÖDERMANLANDS LÄN</t>
        </is>
      </c>
      <c r="E46" t="inlineStr">
        <is>
          <t>KATRINEHOLM</t>
        </is>
      </c>
      <c r="F46" t="inlineStr">
        <is>
          <t>Övriga Aktiebolag</t>
        </is>
      </c>
      <c r="G46" t="n">
        <v>7.6</v>
      </c>
      <c r="H46" t="n">
        <v>1</v>
      </c>
      <c r="I46" t="n">
        <v>0</v>
      </c>
      <c r="J46" t="n">
        <v>0</v>
      </c>
      <c r="K46" t="n">
        <v>0</v>
      </c>
      <c r="L46" t="n">
        <v>0</v>
      </c>
      <c r="M46" t="n">
        <v>0</v>
      </c>
      <c r="N46" t="n">
        <v>0</v>
      </c>
      <c r="O46" t="n">
        <v>0</v>
      </c>
      <c r="P46" t="n">
        <v>0</v>
      </c>
      <c r="Q46" t="n">
        <v>1</v>
      </c>
      <c r="R46" s="2" t="inlineStr">
        <is>
          <t>Mattlummer</t>
        </is>
      </c>
      <c r="S46">
        <f>HYPERLINK("https://klasma.github.io/Logging_0483/artfynd/A 22474-2025 artfynd.xlsx", "A 22474-2025")</f>
        <v/>
      </c>
      <c r="T46">
        <f>HYPERLINK("https://klasma.github.io/Logging_0483/kartor/A 22474-2025 karta.png", "A 22474-2025")</f>
        <v/>
      </c>
      <c r="V46">
        <f>HYPERLINK("https://klasma.github.io/Logging_0483/klagomål/A 22474-2025 FSC-klagomål.docx", "A 22474-2025")</f>
        <v/>
      </c>
      <c r="W46">
        <f>HYPERLINK("https://klasma.github.io/Logging_0483/klagomålsmail/A 22474-2025 FSC-klagomål mail.docx", "A 22474-2025")</f>
        <v/>
      </c>
      <c r="X46">
        <f>HYPERLINK("https://klasma.github.io/Logging_0483/tillsyn/A 22474-2025 tillsynsbegäran.docx", "A 22474-2025")</f>
        <v/>
      </c>
      <c r="Y46">
        <f>HYPERLINK("https://klasma.github.io/Logging_0483/tillsynsmail/A 22474-2025 tillsynsbegäran mail.docx", "A 22474-2025")</f>
        <v/>
      </c>
    </row>
    <row r="47" ht="15" customHeight="1">
      <c r="A47" t="inlineStr">
        <is>
          <t>A 48199-2025</t>
        </is>
      </c>
      <c r="B47" s="1" t="n">
        <v>45933.47856481482</v>
      </c>
      <c r="C47" s="1" t="n">
        <v>46123</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33801-2023</t>
        </is>
      </c>
      <c r="B48" s="1" t="n">
        <v>45133</v>
      </c>
      <c r="C48" s="1" t="n">
        <v>46123</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55700-2025</t>
        </is>
      </c>
      <c r="B49" s="1" t="n">
        <v>45972.45605324074</v>
      </c>
      <c r="C49" s="1" t="n">
        <v>46123</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27926-2025</t>
        </is>
      </c>
      <c r="B50" s="1" t="n">
        <v>45814</v>
      </c>
      <c r="C50" s="1" t="n">
        <v>46123</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44413-2024</t>
        </is>
      </c>
      <c r="B51" s="1" t="n">
        <v>45573.77701388889</v>
      </c>
      <c r="C51" s="1" t="n">
        <v>46123</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46123</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63946-2025</t>
        </is>
      </c>
      <c r="B53" s="1" t="n">
        <v>46010</v>
      </c>
      <c r="C53" s="1" t="n">
        <v>46123</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46123</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44486-2023</t>
        </is>
      </c>
      <c r="B55" s="1" t="n">
        <v>45183</v>
      </c>
      <c r="C55" s="1" t="n">
        <v>46123</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35163-2025</t>
        </is>
      </c>
      <c r="B56" s="1" t="n">
        <v>45852.71136574074</v>
      </c>
      <c r="C56" s="1" t="n">
        <v>46123</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8917-2024</t>
        </is>
      </c>
      <c r="B57" s="1" t="n">
        <v>45357.37618055556</v>
      </c>
      <c r="C57" s="1" t="n">
        <v>46123</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1260-2026</t>
        </is>
      </c>
      <c r="B58" s="1" t="n">
        <v>46031.45652777778</v>
      </c>
      <c r="C58" s="1" t="n">
        <v>46123</v>
      </c>
      <c r="D58" t="inlineStr">
        <is>
          <t>SÖDERMANLANDS LÄN</t>
        </is>
      </c>
      <c r="E58" t="inlineStr">
        <is>
          <t>KATRINEHOLM</t>
        </is>
      </c>
      <c r="G58" t="n">
        <v>9.1</v>
      </c>
      <c r="H58" t="n">
        <v>1</v>
      </c>
      <c r="I58" t="n">
        <v>0</v>
      </c>
      <c r="J58" t="n">
        <v>1</v>
      </c>
      <c r="K58" t="n">
        <v>0</v>
      </c>
      <c r="L58" t="n">
        <v>0</v>
      </c>
      <c r="M58" t="n">
        <v>0</v>
      </c>
      <c r="N58" t="n">
        <v>0</v>
      </c>
      <c r="O58" t="n">
        <v>1</v>
      </c>
      <c r="P58" t="n">
        <v>0</v>
      </c>
      <c r="Q58" t="n">
        <v>1</v>
      </c>
      <c r="R58" s="2" t="inlineStr">
        <is>
          <t>Spillkråka</t>
        </is>
      </c>
      <c r="S58">
        <f>HYPERLINK("https://klasma.github.io/Logging_0483/artfynd/A 1260-2026 artfynd.xlsx", "A 1260-2026")</f>
        <v/>
      </c>
      <c r="T58">
        <f>HYPERLINK("https://klasma.github.io/Logging_0483/kartor/A 1260-2026 karta.png", "A 1260-2026")</f>
        <v/>
      </c>
      <c r="V58">
        <f>HYPERLINK("https://klasma.github.io/Logging_0483/klagomål/A 1260-2026 FSC-klagomål.docx", "A 1260-2026")</f>
        <v/>
      </c>
      <c r="W58">
        <f>HYPERLINK("https://klasma.github.io/Logging_0483/klagomålsmail/A 1260-2026 FSC-klagomål mail.docx", "A 1260-2026")</f>
        <v/>
      </c>
      <c r="X58">
        <f>HYPERLINK("https://klasma.github.io/Logging_0483/tillsyn/A 1260-2026 tillsynsbegäran.docx", "A 1260-2026")</f>
        <v/>
      </c>
      <c r="Y58">
        <f>HYPERLINK("https://klasma.github.io/Logging_0483/tillsynsmail/A 1260-2026 tillsynsbegäran mail.docx", "A 1260-2026")</f>
        <v/>
      </c>
      <c r="Z58">
        <f>HYPERLINK("https://klasma.github.io/Logging_0483/fåglar/A 1260-2026 prioriterade fågelarter.docx", "A 1260-2026")</f>
        <v/>
      </c>
    </row>
    <row r="59" ht="15" customHeight="1">
      <c r="A59" t="inlineStr">
        <is>
          <t>A 6076-2022</t>
        </is>
      </c>
      <c r="B59" s="1" t="n">
        <v>44599</v>
      </c>
      <c r="C59" s="1" t="n">
        <v>46123</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36220-2022</t>
        </is>
      </c>
      <c r="B60" s="1" t="n">
        <v>44803</v>
      </c>
      <c r="C60" s="1" t="n">
        <v>46123</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11890-2023</t>
        </is>
      </c>
      <c r="B61" s="1" t="n">
        <v>44995</v>
      </c>
      <c r="C61" s="1" t="n">
        <v>46123</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56074-2022</t>
        </is>
      </c>
      <c r="B62" s="1" t="n">
        <v>44889</v>
      </c>
      <c r="C62" s="1" t="n">
        <v>46123</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45530-2023</t>
        </is>
      </c>
      <c r="B63" s="1" t="n">
        <v>45188</v>
      </c>
      <c r="C63" s="1" t="n">
        <v>46123</v>
      </c>
      <c r="D63" t="inlineStr">
        <is>
          <t>SÖDERMANLANDS LÄN</t>
        </is>
      </c>
      <c r="E63" t="inlineStr">
        <is>
          <t>KATRINEHOLM</t>
        </is>
      </c>
      <c r="F63" t="inlineStr">
        <is>
          <t>Allmännings- och besparingsskogar</t>
        </is>
      </c>
      <c r="G63" t="n">
        <v>37</v>
      </c>
      <c r="H63" t="n">
        <v>1</v>
      </c>
      <c r="I63" t="n">
        <v>0</v>
      </c>
      <c r="J63" t="n">
        <v>0</v>
      </c>
      <c r="K63" t="n">
        <v>0</v>
      </c>
      <c r="L63" t="n">
        <v>0</v>
      </c>
      <c r="M63" t="n">
        <v>0</v>
      </c>
      <c r="N63" t="n">
        <v>0</v>
      </c>
      <c r="O63" t="n">
        <v>0</v>
      </c>
      <c r="P63" t="n">
        <v>0</v>
      </c>
      <c r="Q63" t="n">
        <v>1</v>
      </c>
      <c r="R63" s="2" t="inlineStr">
        <is>
          <t>Fläcknycklar</t>
        </is>
      </c>
      <c r="S63">
        <f>HYPERLINK("https://klasma.github.io/Logging_0483/artfynd/A 45530-2023 artfynd.xlsx", "A 45530-2023")</f>
        <v/>
      </c>
      <c r="T63">
        <f>HYPERLINK("https://klasma.github.io/Logging_0483/kartor/A 45530-2023 karta.png", "A 45530-2023")</f>
        <v/>
      </c>
      <c r="V63">
        <f>HYPERLINK("https://klasma.github.io/Logging_0483/klagomål/A 45530-2023 FSC-klagomål.docx", "A 45530-2023")</f>
        <v/>
      </c>
      <c r="W63">
        <f>HYPERLINK("https://klasma.github.io/Logging_0483/klagomålsmail/A 45530-2023 FSC-klagomål mail.docx", "A 45530-2023")</f>
        <v/>
      </c>
      <c r="X63">
        <f>HYPERLINK("https://klasma.github.io/Logging_0483/tillsyn/A 45530-2023 tillsynsbegäran.docx", "A 45530-2023")</f>
        <v/>
      </c>
      <c r="Y63">
        <f>HYPERLINK("https://klasma.github.io/Logging_0483/tillsynsmail/A 45530-2023 tillsynsbegäran mail.docx", "A 45530-2023")</f>
        <v/>
      </c>
    </row>
    <row r="64" ht="15" customHeight="1">
      <c r="A64" t="inlineStr">
        <is>
          <t>A 36856-2021</t>
        </is>
      </c>
      <c r="B64" s="1" t="n">
        <v>44393</v>
      </c>
      <c r="C64" s="1" t="n">
        <v>46123</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46123</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46123</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46123</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46123</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46123</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46123</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46123</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46123</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46123</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46123</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46123</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46123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46123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46123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46123</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46123</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46123</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17430-2021</t>
        </is>
      </c>
      <c r="B82" s="1" t="n">
        <v>44299.40710648148</v>
      </c>
      <c r="C82" s="1" t="n">
        <v>46123</v>
      </c>
      <c r="D82" t="inlineStr">
        <is>
          <t>SÖDERMANLANDS LÄN</t>
        </is>
      </c>
      <c r="E82" t="inlineStr">
        <is>
          <t>KATRINEHOLM</t>
        </is>
      </c>
      <c r="G82" t="n">
        <v>1.2</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46123</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46123</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46123</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46123</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46123</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46123</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46123</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46123</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46123</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46123</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46123</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46123</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46123</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46123</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46123</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46123</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46123</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46123</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46123</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46123</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46123</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46123</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46123</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46123</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46123</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46123</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46123</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46123</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46123</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46123</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46123</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46123</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46123</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46123</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46123</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46123</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46123</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27298-2021</t>
        </is>
      </c>
      <c r="B120" s="1" t="n">
        <v>44351</v>
      </c>
      <c r="C120" s="1" t="n">
        <v>46123</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46123</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46123</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46123</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46123</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46123</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46123</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46123</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46123</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46123</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73142-2021</t>
        </is>
      </c>
      <c r="B130" s="1" t="n">
        <v>44550</v>
      </c>
      <c r="C130" s="1" t="n">
        <v>46123</v>
      </c>
      <c r="D130" t="inlineStr">
        <is>
          <t>SÖDERMANLANDS LÄN</t>
        </is>
      </c>
      <c r="E130" t="inlineStr">
        <is>
          <t>KATRINEHOLM</t>
        </is>
      </c>
      <c r="F130" t="inlineStr">
        <is>
          <t>Kyrkan</t>
        </is>
      </c>
      <c r="G130" t="n">
        <v>0.9</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46123</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46123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46123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46123</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39527-2021</t>
        </is>
      </c>
      <c r="B135" s="1" t="n">
        <v>44415</v>
      </c>
      <c r="C135" s="1" t="n">
        <v>46123</v>
      </c>
      <c r="D135" t="inlineStr">
        <is>
          <t>SÖDERMANLANDS LÄN</t>
        </is>
      </c>
      <c r="E135" t="inlineStr">
        <is>
          <t>KATRINEHOLM</t>
        </is>
      </c>
      <c r="G135" t="n">
        <v>0.9</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46123</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46123</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46123</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46123</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46123</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46123</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46123</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46123</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46123</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46123</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46123</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46123</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46123</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46123</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46123</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46123</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46123</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46123</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46123</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46123</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46123</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46123</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46123</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46123</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46123</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46123</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46123</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60596-2021</t>
        </is>
      </c>
      <c r="B163" s="1" t="n">
        <v>44496.58033564815</v>
      </c>
      <c r="C163" s="1" t="n">
        <v>46123</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53791-2021</t>
        </is>
      </c>
      <c r="B164" s="1" t="n">
        <v>44467</v>
      </c>
      <c r="C164" s="1" t="n">
        <v>46123</v>
      </c>
      <c r="D164" t="inlineStr">
        <is>
          <t>SÖDERMANLANDS LÄN</t>
        </is>
      </c>
      <c r="E164" t="inlineStr">
        <is>
          <t>KATRINEHOLM</t>
        </is>
      </c>
      <c r="G164" t="n">
        <v>2.7</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46123</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46123</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11875-2023</t>
        </is>
      </c>
      <c r="B167" s="1" t="n">
        <v>44995</v>
      </c>
      <c r="C167" s="1" t="n">
        <v>46123</v>
      </c>
      <c r="D167" t="inlineStr">
        <is>
          <t>SÖDERMANLANDS LÄN</t>
        </is>
      </c>
      <c r="E167" t="inlineStr">
        <is>
          <t>KATRINEHOLM</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7189-2022</t>
        </is>
      </c>
      <c r="B168" s="1" t="n">
        <v>44605</v>
      </c>
      <c r="C168" s="1" t="n">
        <v>46123</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54698-2021</t>
        </is>
      </c>
      <c r="B169" s="1" t="n">
        <v>44473</v>
      </c>
      <c r="C169" s="1" t="n">
        <v>46123</v>
      </c>
      <c r="D169" t="inlineStr">
        <is>
          <t>SÖDERMANLANDS LÄN</t>
        </is>
      </c>
      <c r="E169" t="inlineStr">
        <is>
          <t>KATRINEHOLM</t>
        </is>
      </c>
      <c r="F169" t="inlineStr">
        <is>
          <t>Holmen skog AB</t>
        </is>
      </c>
      <c r="G169" t="n">
        <v>1.7</v>
      </c>
      <c r="H169" t="n">
        <v>0</v>
      </c>
      <c r="I169" t="n">
        <v>0</v>
      </c>
      <c r="J169" t="n">
        <v>0</v>
      </c>
      <c r="K169" t="n">
        <v>0</v>
      </c>
      <c r="L169" t="n">
        <v>0</v>
      </c>
      <c r="M169" t="n">
        <v>0</v>
      </c>
      <c r="N169" t="n">
        <v>0</v>
      </c>
      <c r="O169" t="n">
        <v>0</v>
      </c>
      <c r="P169" t="n">
        <v>0</v>
      </c>
      <c r="Q169" t="n">
        <v>0</v>
      </c>
      <c r="R169" s="2" t="inlineStr"/>
    </row>
    <row r="170" ht="15" customHeight="1">
      <c r="A170" t="inlineStr">
        <is>
          <t>A 6808-2023</t>
        </is>
      </c>
      <c r="B170" s="1" t="n">
        <v>44964</v>
      </c>
      <c r="C170" s="1" t="n">
        <v>46123</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51128-2021</t>
        </is>
      </c>
      <c r="B171" s="1" t="n">
        <v>44460</v>
      </c>
      <c r="C171" s="1" t="n">
        <v>46123</v>
      </c>
      <c r="D171" t="inlineStr">
        <is>
          <t>SÖDERMANLANDS LÄN</t>
        </is>
      </c>
      <c r="E171" t="inlineStr">
        <is>
          <t>KATRINEHOLM</t>
        </is>
      </c>
      <c r="G171" t="n">
        <v>7.8</v>
      </c>
      <c r="H171" t="n">
        <v>0</v>
      </c>
      <c r="I171" t="n">
        <v>0</v>
      </c>
      <c r="J171" t="n">
        <v>0</v>
      </c>
      <c r="K171" t="n">
        <v>0</v>
      </c>
      <c r="L171" t="n">
        <v>0</v>
      </c>
      <c r="M171" t="n">
        <v>0</v>
      </c>
      <c r="N171" t="n">
        <v>0</v>
      </c>
      <c r="O171" t="n">
        <v>0</v>
      </c>
      <c r="P171" t="n">
        <v>0</v>
      </c>
      <c r="Q171" t="n">
        <v>0</v>
      </c>
      <c r="R171" s="2" t="inlineStr"/>
    </row>
    <row r="172" ht="15" customHeight="1">
      <c r="A172" t="inlineStr">
        <is>
          <t>A 51264-2021</t>
        </is>
      </c>
      <c r="B172" s="1" t="n">
        <v>44461</v>
      </c>
      <c r="C172" s="1" t="n">
        <v>46123</v>
      </c>
      <c r="D172" t="inlineStr">
        <is>
          <t>SÖDERMANLANDS LÄN</t>
        </is>
      </c>
      <c r="E172" t="inlineStr">
        <is>
          <t>KATRINEHOLM</t>
        </is>
      </c>
      <c r="G172" t="n">
        <v>3.1</v>
      </c>
      <c r="H172" t="n">
        <v>0</v>
      </c>
      <c r="I172" t="n">
        <v>0</v>
      </c>
      <c r="J172" t="n">
        <v>0</v>
      </c>
      <c r="K172" t="n">
        <v>0</v>
      </c>
      <c r="L172" t="n">
        <v>0</v>
      </c>
      <c r="M172" t="n">
        <v>0</v>
      </c>
      <c r="N172" t="n">
        <v>0</v>
      </c>
      <c r="O172" t="n">
        <v>0</v>
      </c>
      <c r="P172" t="n">
        <v>0</v>
      </c>
      <c r="Q172" t="n">
        <v>0</v>
      </c>
      <c r="R172" s="2" t="inlineStr"/>
    </row>
    <row r="173" ht="15" customHeight="1">
      <c r="A173" t="inlineStr">
        <is>
          <t>A 23207-2023</t>
        </is>
      </c>
      <c r="B173" s="1" t="n">
        <v>45071</v>
      </c>
      <c r="C173" s="1" t="n">
        <v>46123</v>
      </c>
      <c r="D173" t="inlineStr">
        <is>
          <t>SÖDERMANLANDS LÄN</t>
        </is>
      </c>
      <c r="E173" t="inlineStr">
        <is>
          <t>KATRINEHOLM</t>
        </is>
      </c>
      <c r="G173" t="n">
        <v>0.6</v>
      </c>
      <c r="H173" t="n">
        <v>0</v>
      </c>
      <c r="I173" t="n">
        <v>0</v>
      </c>
      <c r="J173" t="n">
        <v>0</v>
      </c>
      <c r="K173" t="n">
        <v>0</v>
      </c>
      <c r="L173" t="n">
        <v>0</v>
      </c>
      <c r="M173" t="n">
        <v>0</v>
      </c>
      <c r="N173" t="n">
        <v>0</v>
      </c>
      <c r="O173" t="n">
        <v>0</v>
      </c>
      <c r="P173" t="n">
        <v>0</v>
      </c>
      <c r="Q173" t="n">
        <v>0</v>
      </c>
      <c r="R173" s="2" t="inlineStr"/>
    </row>
    <row r="174" ht="15" customHeight="1">
      <c r="A174" t="inlineStr">
        <is>
          <t>A 5935-2023</t>
        </is>
      </c>
      <c r="B174" s="1" t="n">
        <v>44963</v>
      </c>
      <c r="C174" s="1" t="n">
        <v>46123</v>
      </c>
      <c r="D174" t="inlineStr">
        <is>
          <t>SÖDERMANLANDS LÄN</t>
        </is>
      </c>
      <c r="E174" t="inlineStr">
        <is>
          <t>KATRINEHOLM</t>
        </is>
      </c>
      <c r="G174" t="n">
        <v>1.5</v>
      </c>
      <c r="H174" t="n">
        <v>0</v>
      </c>
      <c r="I174" t="n">
        <v>0</v>
      </c>
      <c r="J174" t="n">
        <v>0</v>
      </c>
      <c r="K174" t="n">
        <v>0</v>
      </c>
      <c r="L174" t="n">
        <v>0</v>
      </c>
      <c r="M174" t="n">
        <v>0</v>
      </c>
      <c r="N174" t="n">
        <v>0</v>
      </c>
      <c r="O174" t="n">
        <v>0</v>
      </c>
      <c r="P174" t="n">
        <v>0</v>
      </c>
      <c r="Q174" t="n">
        <v>0</v>
      </c>
      <c r="R174" s="2" t="inlineStr"/>
    </row>
    <row r="175" ht="15" customHeight="1">
      <c r="A175" t="inlineStr">
        <is>
          <t>A 11104-2023</t>
        </is>
      </c>
      <c r="B175" s="1" t="n">
        <v>44992</v>
      </c>
      <c r="C175" s="1" t="n">
        <v>46123</v>
      </c>
      <c r="D175" t="inlineStr">
        <is>
          <t>SÖDERMANLANDS LÄN</t>
        </is>
      </c>
      <c r="E175" t="inlineStr">
        <is>
          <t>KATRINEHOLM</t>
        </is>
      </c>
      <c r="F175" t="inlineStr">
        <is>
          <t>Allmännings- och besparingsskogar</t>
        </is>
      </c>
      <c r="G175" t="n">
        <v>7.8</v>
      </c>
      <c r="H175" t="n">
        <v>0</v>
      </c>
      <c r="I175" t="n">
        <v>0</v>
      </c>
      <c r="J175" t="n">
        <v>0</v>
      </c>
      <c r="K175" t="n">
        <v>0</v>
      </c>
      <c r="L175" t="n">
        <v>0</v>
      </c>
      <c r="M175" t="n">
        <v>0</v>
      </c>
      <c r="N175" t="n">
        <v>0</v>
      </c>
      <c r="O175" t="n">
        <v>0</v>
      </c>
      <c r="P175" t="n">
        <v>0</v>
      </c>
      <c r="Q175" t="n">
        <v>0</v>
      </c>
      <c r="R175" s="2" t="inlineStr"/>
    </row>
    <row r="176" ht="15" customHeight="1">
      <c r="A176" t="inlineStr">
        <is>
          <t>A 40159-2023</t>
        </is>
      </c>
      <c r="B176" s="1" t="n">
        <v>45169</v>
      </c>
      <c r="C176" s="1" t="n">
        <v>46123</v>
      </c>
      <c r="D176" t="inlineStr">
        <is>
          <t>SÖDERMANLANDS LÄN</t>
        </is>
      </c>
      <c r="E176" t="inlineStr">
        <is>
          <t>KATRINEHOLM</t>
        </is>
      </c>
      <c r="F176" t="inlineStr">
        <is>
          <t>Övriga Aktiebolag</t>
        </is>
      </c>
      <c r="G176" t="n">
        <v>1.1</v>
      </c>
      <c r="H176" t="n">
        <v>0</v>
      </c>
      <c r="I176" t="n">
        <v>0</v>
      </c>
      <c r="J176" t="n">
        <v>0</v>
      </c>
      <c r="K176" t="n">
        <v>0</v>
      </c>
      <c r="L176" t="n">
        <v>0</v>
      </c>
      <c r="M176" t="n">
        <v>0</v>
      </c>
      <c r="N176" t="n">
        <v>0</v>
      </c>
      <c r="O176" t="n">
        <v>0</v>
      </c>
      <c r="P176" t="n">
        <v>0</v>
      </c>
      <c r="Q176" t="n">
        <v>0</v>
      </c>
      <c r="R176" s="2" t="inlineStr"/>
    </row>
    <row r="177" ht="15" customHeight="1">
      <c r="A177" t="inlineStr">
        <is>
          <t>A 36562-2023</t>
        </is>
      </c>
      <c r="B177" s="1" t="n">
        <v>45153</v>
      </c>
      <c r="C177" s="1" t="n">
        <v>46123</v>
      </c>
      <c r="D177" t="inlineStr">
        <is>
          <t>SÖDERMANLANDS LÄN</t>
        </is>
      </c>
      <c r="E177" t="inlineStr">
        <is>
          <t>KATRINEHOLM</t>
        </is>
      </c>
      <c r="G177" t="n">
        <v>5.8</v>
      </c>
      <c r="H177" t="n">
        <v>0</v>
      </c>
      <c r="I177" t="n">
        <v>0</v>
      </c>
      <c r="J177" t="n">
        <v>0</v>
      </c>
      <c r="K177" t="n">
        <v>0</v>
      </c>
      <c r="L177" t="n">
        <v>0</v>
      </c>
      <c r="M177" t="n">
        <v>0</v>
      </c>
      <c r="N177" t="n">
        <v>0</v>
      </c>
      <c r="O177" t="n">
        <v>0</v>
      </c>
      <c r="P177" t="n">
        <v>0</v>
      </c>
      <c r="Q177" t="n">
        <v>0</v>
      </c>
      <c r="R177" s="2" t="inlineStr"/>
    </row>
    <row r="178" ht="15" customHeight="1">
      <c r="A178" t="inlineStr">
        <is>
          <t>A 4872-2024</t>
        </is>
      </c>
      <c r="B178" s="1" t="n">
        <v>45329</v>
      </c>
      <c r="C178" s="1" t="n">
        <v>46123</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6611-2023</t>
        </is>
      </c>
      <c r="B179" s="1" t="n">
        <v>44963</v>
      </c>
      <c r="C179" s="1" t="n">
        <v>46123</v>
      </c>
      <c r="D179" t="inlineStr">
        <is>
          <t>SÖDERMANLANDS LÄN</t>
        </is>
      </c>
      <c r="E179" t="inlineStr">
        <is>
          <t>KATRINEHOLM</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25823-2023</t>
        </is>
      </c>
      <c r="B180" s="1" t="n">
        <v>45090.55078703703</v>
      </c>
      <c r="C180" s="1" t="n">
        <v>46123</v>
      </c>
      <c r="D180" t="inlineStr">
        <is>
          <t>SÖDERMANLANDS LÄN</t>
        </is>
      </c>
      <c r="E180" t="inlineStr">
        <is>
          <t>KATRINEHOLM</t>
        </is>
      </c>
      <c r="F180" t="inlineStr">
        <is>
          <t>Kyrkan</t>
        </is>
      </c>
      <c r="G180" t="n">
        <v>10.2</v>
      </c>
      <c r="H180" t="n">
        <v>0</v>
      </c>
      <c r="I180" t="n">
        <v>0</v>
      </c>
      <c r="J180" t="n">
        <v>0</v>
      </c>
      <c r="K180" t="n">
        <v>0</v>
      </c>
      <c r="L180" t="n">
        <v>0</v>
      </c>
      <c r="M180" t="n">
        <v>0</v>
      </c>
      <c r="N180" t="n">
        <v>0</v>
      </c>
      <c r="O180" t="n">
        <v>0</v>
      </c>
      <c r="P180" t="n">
        <v>0</v>
      </c>
      <c r="Q180" t="n">
        <v>0</v>
      </c>
      <c r="R180" s="2" t="inlineStr"/>
    </row>
    <row r="181" ht="15" customHeight="1">
      <c r="A181" t="inlineStr">
        <is>
          <t>A 61398-2024</t>
        </is>
      </c>
      <c r="B181" s="1" t="n">
        <v>45646.42608796297</v>
      </c>
      <c r="C181" s="1" t="n">
        <v>46123</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20480-2022</t>
        </is>
      </c>
      <c r="B182" s="1" t="n">
        <v>44699</v>
      </c>
      <c r="C182" s="1" t="n">
        <v>46123</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12658-2022</t>
        </is>
      </c>
      <c r="B183" s="1" t="n">
        <v>44641</v>
      </c>
      <c r="C183" s="1" t="n">
        <v>46123</v>
      </c>
      <c r="D183" t="inlineStr">
        <is>
          <t>SÖDERMANLANDS LÄN</t>
        </is>
      </c>
      <c r="E183" t="inlineStr">
        <is>
          <t>KATRINEHOLM</t>
        </is>
      </c>
      <c r="G183" t="n">
        <v>1.4</v>
      </c>
      <c r="H183" t="n">
        <v>0</v>
      </c>
      <c r="I183" t="n">
        <v>0</v>
      </c>
      <c r="J183" t="n">
        <v>0</v>
      </c>
      <c r="K183" t="n">
        <v>0</v>
      </c>
      <c r="L183" t="n">
        <v>0</v>
      </c>
      <c r="M183" t="n">
        <v>0</v>
      </c>
      <c r="N183" t="n">
        <v>0</v>
      </c>
      <c r="O183" t="n">
        <v>0</v>
      </c>
      <c r="P183" t="n">
        <v>0</v>
      </c>
      <c r="Q183" t="n">
        <v>0</v>
      </c>
      <c r="R183" s="2" t="inlineStr"/>
    </row>
    <row r="184" ht="15" customHeight="1">
      <c r="A184" t="inlineStr">
        <is>
          <t>A 3060-2022</t>
        </is>
      </c>
      <c r="B184" s="1" t="n">
        <v>44582.40109953703</v>
      </c>
      <c r="C184" s="1" t="n">
        <v>46123</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46412-2022</t>
        </is>
      </c>
      <c r="B185" s="1" t="n">
        <v>44848.42216435185</v>
      </c>
      <c r="C185" s="1" t="n">
        <v>46123</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28427-2024</t>
        </is>
      </c>
      <c r="B186" s="1" t="n">
        <v>45477.64910879629</v>
      </c>
      <c r="C186" s="1" t="n">
        <v>46123</v>
      </c>
      <c r="D186" t="inlineStr">
        <is>
          <t>SÖDERMANLANDS LÄN</t>
        </is>
      </c>
      <c r="E186" t="inlineStr">
        <is>
          <t>KATRINEHOLM</t>
        </is>
      </c>
      <c r="G186" t="n">
        <v>5.9</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46123</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41205-2021</t>
        </is>
      </c>
      <c r="B188" s="1" t="n">
        <v>44424.38577546296</v>
      </c>
      <c r="C188" s="1" t="n">
        <v>46123</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55296-2022</t>
        </is>
      </c>
      <c r="B189" s="1" t="n">
        <v>44887</v>
      </c>
      <c r="C189" s="1" t="n">
        <v>46123</v>
      </c>
      <c r="D189" t="inlineStr">
        <is>
          <t>SÖDERMANLANDS LÄN</t>
        </is>
      </c>
      <c r="E189" t="inlineStr">
        <is>
          <t>KATRINEHOLM</t>
        </is>
      </c>
      <c r="G189" t="n">
        <v>1.4</v>
      </c>
      <c r="H189" t="n">
        <v>0</v>
      </c>
      <c r="I189" t="n">
        <v>0</v>
      </c>
      <c r="J189" t="n">
        <v>0</v>
      </c>
      <c r="K189" t="n">
        <v>0</v>
      </c>
      <c r="L189" t="n">
        <v>0</v>
      </c>
      <c r="M189" t="n">
        <v>0</v>
      </c>
      <c r="N189" t="n">
        <v>0</v>
      </c>
      <c r="O189" t="n">
        <v>0</v>
      </c>
      <c r="P189" t="n">
        <v>0</v>
      </c>
      <c r="Q189" t="n">
        <v>0</v>
      </c>
      <c r="R189" s="2" t="inlineStr"/>
    </row>
    <row r="190" ht="15" customHeight="1">
      <c r="A190" t="inlineStr">
        <is>
          <t>A 9932-2023</t>
        </is>
      </c>
      <c r="B190" s="1" t="n">
        <v>44985.46709490741</v>
      </c>
      <c r="C190" s="1" t="n">
        <v>46123</v>
      </c>
      <c r="D190" t="inlineStr">
        <is>
          <t>SÖDERMANLANDS LÄN</t>
        </is>
      </c>
      <c r="E190" t="inlineStr">
        <is>
          <t>KATRINEHOLM</t>
        </is>
      </c>
      <c r="G190" t="n">
        <v>0.3</v>
      </c>
      <c r="H190" t="n">
        <v>0</v>
      </c>
      <c r="I190" t="n">
        <v>0</v>
      </c>
      <c r="J190" t="n">
        <v>0</v>
      </c>
      <c r="K190" t="n">
        <v>0</v>
      </c>
      <c r="L190" t="n">
        <v>0</v>
      </c>
      <c r="M190" t="n">
        <v>0</v>
      </c>
      <c r="N190" t="n">
        <v>0</v>
      </c>
      <c r="O190" t="n">
        <v>0</v>
      </c>
      <c r="P190" t="n">
        <v>0</v>
      </c>
      <c r="Q190" t="n">
        <v>0</v>
      </c>
      <c r="R190" s="2" t="inlineStr"/>
    </row>
    <row r="191" ht="15" customHeight="1">
      <c r="A191" t="inlineStr">
        <is>
          <t>A 3075-2022</t>
        </is>
      </c>
      <c r="B191" s="1" t="n">
        <v>44582</v>
      </c>
      <c r="C191" s="1" t="n">
        <v>46123</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42590-2022</t>
        </is>
      </c>
      <c r="B192" s="1" t="n">
        <v>44831</v>
      </c>
      <c r="C192" s="1" t="n">
        <v>46123</v>
      </c>
      <c r="D192" t="inlineStr">
        <is>
          <t>SÖDERMANLANDS LÄN</t>
        </is>
      </c>
      <c r="E192" t="inlineStr">
        <is>
          <t>KATRINEHOLM</t>
        </is>
      </c>
      <c r="G192" t="n">
        <v>1.7</v>
      </c>
      <c r="H192" t="n">
        <v>0</v>
      </c>
      <c r="I192" t="n">
        <v>0</v>
      </c>
      <c r="J192" t="n">
        <v>0</v>
      </c>
      <c r="K192" t="n">
        <v>0</v>
      </c>
      <c r="L192" t="n">
        <v>0</v>
      </c>
      <c r="M192" t="n">
        <v>0</v>
      </c>
      <c r="N192" t="n">
        <v>0</v>
      </c>
      <c r="O192" t="n">
        <v>0</v>
      </c>
      <c r="P192" t="n">
        <v>0</v>
      </c>
      <c r="Q192" t="n">
        <v>0</v>
      </c>
      <c r="R192" s="2" t="inlineStr"/>
    </row>
    <row r="193" ht="15" customHeight="1">
      <c r="A193" t="inlineStr">
        <is>
          <t>A 17360-2022</t>
        </is>
      </c>
      <c r="B193" s="1" t="n">
        <v>44678</v>
      </c>
      <c r="C193" s="1" t="n">
        <v>46123</v>
      </c>
      <c r="D193" t="inlineStr">
        <is>
          <t>SÖDERMANLANDS LÄN</t>
        </is>
      </c>
      <c r="E193" t="inlineStr">
        <is>
          <t>KATRINEHOLM</t>
        </is>
      </c>
      <c r="G193" t="n">
        <v>4.5</v>
      </c>
      <c r="H193" t="n">
        <v>0</v>
      </c>
      <c r="I193" t="n">
        <v>0</v>
      </c>
      <c r="J193" t="n">
        <v>0</v>
      </c>
      <c r="K193" t="n">
        <v>0</v>
      </c>
      <c r="L193" t="n">
        <v>0</v>
      </c>
      <c r="M193" t="n">
        <v>0</v>
      </c>
      <c r="N193" t="n">
        <v>0</v>
      </c>
      <c r="O193" t="n">
        <v>0</v>
      </c>
      <c r="P193" t="n">
        <v>0</v>
      </c>
      <c r="Q193" t="n">
        <v>0</v>
      </c>
      <c r="R193" s="2" t="inlineStr"/>
    </row>
    <row r="194" ht="15" customHeight="1">
      <c r="A194" t="inlineStr">
        <is>
          <t>A 9419-2022</t>
        </is>
      </c>
      <c r="B194" s="1" t="n">
        <v>44616</v>
      </c>
      <c r="C194" s="1" t="n">
        <v>46123</v>
      </c>
      <c r="D194" t="inlineStr">
        <is>
          <t>SÖDERMANLANDS LÄN</t>
        </is>
      </c>
      <c r="E194" t="inlineStr">
        <is>
          <t>KATRINEHOLM</t>
        </is>
      </c>
      <c r="F194" t="inlineStr">
        <is>
          <t>Övriga Aktiebolag</t>
        </is>
      </c>
      <c r="G194" t="n">
        <v>1.7</v>
      </c>
      <c r="H194" t="n">
        <v>0</v>
      </c>
      <c r="I194" t="n">
        <v>0</v>
      </c>
      <c r="J194" t="n">
        <v>0</v>
      </c>
      <c r="K194" t="n">
        <v>0</v>
      </c>
      <c r="L194" t="n">
        <v>0</v>
      </c>
      <c r="M194" t="n">
        <v>0</v>
      </c>
      <c r="N194" t="n">
        <v>0</v>
      </c>
      <c r="O194" t="n">
        <v>0</v>
      </c>
      <c r="P194" t="n">
        <v>0</v>
      </c>
      <c r="Q194" t="n">
        <v>0</v>
      </c>
      <c r="R194" s="2" t="inlineStr"/>
    </row>
    <row r="195" ht="15" customHeight="1">
      <c r="A195" t="inlineStr">
        <is>
          <t>A 48520-2023</t>
        </is>
      </c>
      <c r="B195" s="1" t="n">
        <v>45208</v>
      </c>
      <c r="C195" s="1" t="n">
        <v>46123</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51885-2022</t>
        </is>
      </c>
      <c r="B196" s="1" t="n">
        <v>44872.60384259259</v>
      </c>
      <c r="C196" s="1" t="n">
        <v>46123</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42735-2022</t>
        </is>
      </c>
      <c r="B197" s="1" t="n">
        <v>44832</v>
      </c>
      <c r="C197" s="1" t="n">
        <v>46123</v>
      </c>
      <c r="D197" t="inlineStr">
        <is>
          <t>SÖDERMANLANDS LÄN</t>
        </is>
      </c>
      <c r="E197" t="inlineStr">
        <is>
          <t>KATRINEHOLM</t>
        </is>
      </c>
      <c r="G197" t="n">
        <v>0.5</v>
      </c>
      <c r="H197" t="n">
        <v>0</v>
      </c>
      <c r="I197" t="n">
        <v>0</v>
      </c>
      <c r="J197" t="n">
        <v>0</v>
      </c>
      <c r="K197" t="n">
        <v>0</v>
      </c>
      <c r="L197" t="n">
        <v>0</v>
      </c>
      <c r="M197" t="n">
        <v>0</v>
      </c>
      <c r="N197" t="n">
        <v>0</v>
      </c>
      <c r="O197" t="n">
        <v>0</v>
      </c>
      <c r="P197" t="n">
        <v>0</v>
      </c>
      <c r="Q197" t="n">
        <v>0</v>
      </c>
      <c r="R197" s="2" t="inlineStr"/>
    </row>
    <row r="198" ht="15" customHeight="1">
      <c r="A198" t="inlineStr">
        <is>
          <t>A 9693-2024</t>
        </is>
      </c>
      <c r="B198" s="1" t="n">
        <v>45362</v>
      </c>
      <c r="C198" s="1" t="n">
        <v>46123</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66801-2021</t>
        </is>
      </c>
      <c r="B199" s="1" t="n">
        <v>44522</v>
      </c>
      <c r="C199" s="1" t="n">
        <v>46123</v>
      </c>
      <c r="D199" t="inlineStr">
        <is>
          <t>SÖDERMANLANDS LÄN</t>
        </is>
      </c>
      <c r="E199" t="inlineStr">
        <is>
          <t>KATRINEHOLM</t>
        </is>
      </c>
      <c r="F199" t="inlineStr">
        <is>
          <t>Holmen skog AB</t>
        </is>
      </c>
      <c r="G199" t="n">
        <v>0.2</v>
      </c>
      <c r="H199" t="n">
        <v>0</v>
      </c>
      <c r="I199" t="n">
        <v>0</v>
      </c>
      <c r="J199" t="n">
        <v>0</v>
      </c>
      <c r="K199" t="n">
        <v>0</v>
      </c>
      <c r="L199" t="n">
        <v>0</v>
      </c>
      <c r="M199" t="n">
        <v>0</v>
      </c>
      <c r="N199" t="n">
        <v>0</v>
      </c>
      <c r="O199" t="n">
        <v>0</v>
      </c>
      <c r="P199" t="n">
        <v>0</v>
      </c>
      <c r="Q199" t="n">
        <v>0</v>
      </c>
      <c r="R199" s="2" t="inlineStr"/>
    </row>
    <row r="200" ht="15" customHeight="1">
      <c r="A200" t="inlineStr">
        <is>
          <t>A 32818-2023</t>
        </is>
      </c>
      <c r="B200" s="1" t="n">
        <v>45124.55633101852</v>
      </c>
      <c r="C200" s="1" t="n">
        <v>46123</v>
      </c>
      <c r="D200" t="inlineStr">
        <is>
          <t>SÖDERMANLANDS LÄN</t>
        </is>
      </c>
      <c r="E200" t="inlineStr">
        <is>
          <t>KATRINEHOLM</t>
        </is>
      </c>
      <c r="G200" t="n">
        <v>3.4</v>
      </c>
      <c r="H200" t="n">
        <v>0</v>
      </c>
      <c r="I200" t="n">
        <v>0</v>
      </c>
      <c r="J200" t="n">
        <v>0</v>
      </c>
      <c r="K200" t="n">
        <v>0</v>
      </c>
      <c r="L200" t="n">
        <v>0</v>
      </c>
      <c r="M200" t="n">
        <v>0</v>
      </c>
      <c r="N200" t="n">
        <v>0</v>
      </c>
      <c r="O200" t="n">
        <v>0</v>
      </c>
      <c r="P200" t="n">
        <v>0</v>
      </c>
      <c r="Q200" t="n">
        <v>0</v>
      </c>
      <c r="R200" s="2" t="inlineStr"/>
    </row>
    <row r="201" ht="15" customHeight="1">
      <c r="A201" t="inlineStr">
        <is>
          <t>A 45038-2022</t>
        </is>
      </c>
      <c r="B201" s="1" t="n">
        <v>44840</v>
      </c>
      <c r="C201" s="1" t="n">
        <v>46123</v>
      </c>
      <c r="D201" t="inlineStr">
        <is>
          <t>SÖDERMANLANDS LÄN</t>
        </is>
      </c>
      <c r="E201" t="inlineStr">
        <is>
          <t>KATRINEHOLM</t>
        </is>
      </c>
      <c r="G201" t="n">
        <v>3.6</v>
      </c>
      <c r="H201" t="n">
        <v>0</v>
      </c>
      <c r="I201" t="n">
        <v>0</v>
      </c>
      <c r="J201" t="n">
        <v>0</v>
      </c>
      <c r="K201" t="n">
        <v>0</v>
      </c>
      <c r="L201" t="n">
        <v>0</v>
      </c>
      <c r="M201" t="n">
        <v>0</v>
      </c>
      <c r="N201" t="n">
        <v>0</v>
      </c>
      <c r="O201" t="n">
        <v>0</v>
      </c>
      <c r="P201" t="n">
        <v>0</v>
      </c>
      <c r="Q201" t="n">
        <v>0</v>
      </c>
      <c r="R201" s="2" t="inlineStr"/>
    </row>
    <row r="202" ht="15" customHeight="1">
      <c r="A202" t="inlineStr">
        <is>
          <t>A 35864-2023</t>
        </is>
      </c>
      <c r="B202" s="1" t="n">
        <v>45147</v>
      </c>
      <c r="C202" s="1" t="n">
        <v>46123</v>
      </c>
      <c r="D202" t="inlineStr">
        <is>
          <t>SÖDERMANLANDS LÄN</t>
        </is>
      </c>
      <c r="E202" t="inlineStr">
        <is>
          <t>KATRINEHOLM</t>
        </is>
      </c>
      <c r="F202" t="inlineStr">
        <is>
          <t>Övriga Aktiebolag</t>
        </is>
      </c>
      <c r="G202" t="n">
        <v>4.7</v>
      </c>
      <c r="H202" t="n">
        <v>0</v>
      </c>
      <c r="I202" t="n">
        <v>0</v>
      </c>
      <c r="J202" t="n">
        <v>0</v>
      </c>
      <c r="K202" t="n">
        <v>0</v>
      </c>
      <c r="L202" t="n">
        <v>0</v>
      </c>
      <c r="M202" t="n">
        <v>0</v>
      </c>
      <c r="N202" t="n">
        <v>0</v>
      </c>
      <c r="O202" t="n">
        <v>0</v>
      </c>
      <c r="P202" t="n">
        <v>0</v>
      </c>
      <c r="Q202" t="n">
        <v>0</v>
      </c>
      <c r="R202" s="2" t="inlineStr"/>
    </row>
    <row r="203" ht="15" customHeight="1">
      <c r="A203" t="inlineStr">
        <is>
          <t>A 67351-2021</t>
        </is>
      </c>
      <c r="B203" s="1" t="n">
        <v>44523</v>
      </c>
      <c r="C203" s="1" t="n">
        <v>46123</v>
      </c>
      <c r="D203" t="inlineStr">
        <is>
          <t>SÖDERMANLANDS LÄN</t>
        </is>
      </c>
      <c r="E203" t="inlineStr">
        <is>
          <t>KATRINEHOLM</t>
        </is>
      </c>
      <c r="G203" t="n">
        <v>5.4</v>
      </c>
      <c r="H203" t="n">
        <v>0</v>
      </c>
      <c r="I203" t="n">
        <v>0</v>
      </c>
      <c r="J203" t="n">
        <v>0</v>
      </c>
      <c r="K203" t="n">
        <v>0</v>
      </c>
      <c r="L203" t="n">
        <v>0</v>
      </c>
      <c r="M203" t="n">
        <v>0</v>
      </c>
      <c r="N203" t="n">
        <v>0</v>
      </c>
      <c r="O203" t="n">
        <v>0</v>
      </c>
      <c r="P203" t="n">
        <v>0</v>
      </c>
      <c r="Q203" t="n">
        <v>0</v>
      </c>
      <c r="R203" s="2" t="inlineStr"/>
    </row>
    <row r="204" ht="15" customHeight="1">
      <c r="A204" t="inlineStr">
        <is>
          <t>A 32733-2021</t>
        </is>
      </c>
      <c r="B204" s="1" t="n">
        <v>44375</v>
      </c>
      <c r="C204" s="1" t="n">
        <v>46123</v>
      </c>
      <c r="D204" t="inlineStr">
        <is>
          <t>SÖDERMANLANDS LÄN</t>
        </is>
      </c>
      <c r="E204" t="inlineStr">
        <is>
          <t>KATRINEHOLM</t>
        </is>
      </c>
      <c r="G204" t="n">
        <v>9</v>
      </c>
      <c r="H204" t="n">
        <v>0</v>
      </c>
      <c r="I204" t="n">
        <v>0</v>
      </c>
      <c r="J204" t="n">
        <v>0</v>
      </c>
      <c r="K204" t="n">
        <v>0</v>
      </c>
      <c r="L204" t="n">
        <v>0</v>
      </c>
      <c r="M204" t="n">
        <v>0</v>
      </c>
      <c r="N204" t="n">
        <v>0</v>
      </c>
      <c r="O204" t="n">
        <v>0</v>
      </c>
      <c r="P204" t="n">
        <v>0</v>
      </c>
      <c r="Q204" t="n">
        <v>0</v>
      </c>
      <c r="R204" s="2" t="inlineStr"/>
      <c r="U204">
        <f>HYPERLINK("https://klasma.github.io/Logging_0483/knärot/A 32733-2021 karta knärot.png", "A 32733-2021")</f>
        <v/>
      </c>
      <c r="V204">
        <f>HYPERLINK("https://klasma.github.io/Logging_0483/klagomål/A 32733-2021 FSC-klagomål.docx", "A 32733-2021")</f>
        <v/>
      </c>
      <c r="W204">
        <f>HYPERLINK("https://klasma.github.io/Logging_0483/klagomålsmail/A 32733-2021 FSC-klagomål mail.docx", "A 32733-2021")</f>
        <v/>
      </c>
      <c r="X204">
        <f>HYPERLINK("https://klasma.github.io/Logging_0483/tillsyn/A 32733-2021 tillsynsbegäran.docx", "A 32733-2021")</f>
        <v/>
      </c>
      <c r="Y204">
        <f>HYPERLINK("https://klasma.github.io/Logging_0483/tillsynsmail/A 32733-2021 tillsynsbegäran mail.docx", "A 32733-2021")</f>
        <v/>
      </c>
    </row>
    <row r="205" ht="15" customHeight="1">
      <c r="A205" t="inlineStr">
        <is>
          <t>A 13175-2024</t>
        </is>
      </c>
      <c r="B205" s="1" t="n">
        <v>45386</v>
      </c>
      <c r="C205" s="1" t="n">
        <v>46123</v>
      </c>
      <c r="D205" t="inlineStr">
        <is>
          <t>SÖDERMANLANDS LÄN</t>
        </is>
      </c>
      <c r="E205" t="inlineStr">
        <is>
          <t>KATRINEHOLM</t>
        </is>
      </c>
      <c r="G205" t="n">
        <v>0.7</v>
      </c>
      <c r="H205" t="n">
        <v>0</v>
      </c>
      <c r="I205" t="n">
        <v>0</v>
      </c>
      <c r="J205" t="n">
        <v>0</v>
      </c>
      <c r="K205" t="n">
        <v>0</v>
      </c>
      <c r="L205" t="n">
        <v>0</v>
      </c>
      <c r="M205" t="n">
        <v>0</v>
      </c>
      <c r="N205" t="n">
        <v>0</v>
      </c>
      <c r="O205" t="n">
        <v>0</v>
      </c>
      <c r="P205" t="n">
        <v>0</v>
      </c>
      <c r="Q205" t="n">
        <v>0</v>
      </c>
      <c r="R205" s="2" t="inlineStr"/>
    </row>
    <row r="206" ht="15" customHeight="1">
      <c r="A206" t="inlineStr">
        <is>
          <t>A 24098-2022</t>
        </is>
      </c>
      <c r="B206" s="1" t="n">
        <v>44725</v>
      </c>
      <c r="C206" s="1" t="n">
        <v>46123</v>
      </c>
      <c r="D206" t="inlineStr">
        <is>
          <t>SÖDERMANLANDS LÄN</t>
        </is>
      </c>
      <c r="E206" t="inlineStr">
        <is>
          <t>KATRINEHOLM</t>
        </is>
      </c>
      <c r="G206" t="n">
        <v>1.9</v>
      </c>
      <c r="H206" t="n">
        <v>0</v>
      </c>
      <c r="I206" t="n">
        <v>0</v>
      </c>
      <c r="J206" t="n">
        <v>0</v>
      </c>
      <c r="K206" t="n">
        <v>0</v>
      </c>
      <c r="L206" t="n">
        <v>0</v>
      </c>
      <c r="M206" t="n">
        <v>0</v>
      </c>
      <c r="N206" t="n">
        <v>0</v>
      </c>
      <c r="O206" t="n">
        <v>0</v>
      </c>
      <c r="P206" t="n">
        <v>0</v>
      </c>
      <c r="Q206" t="n">
        <v>0</v>
      </c>
      <c r="R206" s="2" t="inlineStr"/>
    </row>
    <row r="207" ht="15" customHeight="1">
      <c r="A207" t="inlineStr">
        <is>
          <t>A 26081-2024</t>
        </is>
      </c>
      <c r="B207" s="1" t="n">
        <v>45462</v>
      </c>
      <c r="C207" s="1" t="n">
        <v>46123</v>
      </c>
      <c r="D207" t="inlineStr">
        <is>
          <t>SÖDERMANLANDS LÄN</t>
        </is>
      </c>
      <c r="E207" t="inlineStr">
        <is>
          <t>KATRINEHOLM</t>
        </is>
      </c>
      <c r="G207" t="n">
        <v>4.1</v>
      </c>
      <c r="H207" t="n">
        <v>0</v>
      </c>
      <c r="I207" t="n">
        <v>0</v>
      </c>
      <c r="J207" t="n">
        <v>0</v>
      </c>
      <c r="K207" t="n">
        <v>0</v>
      </c>
      <c r="L207" t="n">
        <v>0</v>
      </c>
      <c r="M207" t="n">
        <v>0</v>
      </c>
      <c r="N207" t="n">
        <v>0</v>
      </c>
      <c r="O207" t="n">
        <v>0</v>
      </c>
      <c r="P207" t="n">
        <v>0</v>
      </c>
      <c r="Q207" t="n">
        <v>0</v>
      </c>
      <c r="R207" s="2" t="inlineStr"/>
    </row>
    <row r="208" ht="15" customHeight="1">
      <c r="A208" t="inlineStr">
        <is>
          <t>A 6810-2023</t>
        </is>
      </c>
      <c r="B208" s="1" t="n">
        <v>44964</v>
      </c>
      <c r="C208" s="1" t="n">
        <v>46123</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11635-2023</t>
        </is>
      </c>
      <c r="B209" s="1" t="n">
        <v>44994</v>
      </c>
      <c r="C209" s="1" t="n">
        <v>46123</v>
      </c>
      <c r="D209" t="inlineStr">
        <is>
          <t>SÖDERMANLANDS LÄN</t>
        </is>
      </c>
      <c r="E209" t="inlineStr">
        <is>
          <t>KATRINEHOLM</t>
        </is>
      </c>
      <c r="G209" t="n">
        <v>4.3</v>
      </c>
      <c r="H209" t="n">
        <v>0</v>
      </c>
      <c r="I209" t="n">
        <v>0</v>
      </c>
      <c r="J209" t="n">
        <v>0</v>
      </c>
      <c r="K209" t="n">
        <v>0</v>
      </c>
      <c r="L209" t="n">
        <v>0</v>
      </c>
      <c r="M209" t="n">
        <v>0</v>
      </c>
      <c r="N209" t="n">
        <v>0</v>
      </c>
      <c r="O209" t="n">
        <v>0</v>
      </c>
      <c r="P209" t="n">
        <v>0</v>
      </c>
      <c r="Q209" t="n">
        <v>0</v>
      </c>
      <c r="R209" s="2" t="inlineStr"/>
    </row>
    <row r="210" ht="15" customHeight="1">
      <c r="A210" t="inlineStr">
        <is>
          <t>A 4667-2024</t>
        </is>
      </c>
      <c r="B210" s="1" t="n">
        <v>45328.47</v>
      </c>
      <c r="C210" s="1" t="n">
        <v>46123</v>
      </c>
      <c r="D210" t="inlineStr">
        <is>
          <t>SÖDERMANLANDS LÄN</t>
        </is>
      </c>
      <c r="E210" t="inlineStr">
        <is>
          <t>KATRINEHOLM</t>
        </is>
      </c>
      <c r="F210" t="inlineStr">
        <is>
          <t>Övriga Aktiebolag</t>
        </is>
      </c>
      <c r="G210" t="n">
        <v>10.2</v>
      </c>
      <c r="H210" t="n">
        <v>0</v>
      </c>
      <c r="I210" t="n">
        <v>0</v>
      </c>
      <c r="J210" t="n">
        <v>0</v>
      </c>
      <c r="K210" t="n">
        <v>0</v>
      </c>
      <c r="L210" t="n">
        <v>0</v>
      </c>
      <c r="M210" t="n">
        <v>0</v>
      </c>
      <c r="N210" t="n">
        <v>0</v>
      </c>
      <c r="O210" t="n">
        <v>0</v>
      </c>
      <c r="P210" t="n">
        <v>0</v>
      </c>
      <c r="Q210" t="n">
        <v>0</v>
      </c>
      <c r="R210" s="2" t="inlineStr"/>
    </row>
    <row r="211" ht="15" customHeight="1">
      <c r="A211" t="inlineStr">
        <is>
          <t>A 34732-2022</t>
        </is>
      </c>
      <c r="B211" s="1" t="n">
        <v>44795</v>
      </c>
      <c r="C211" s="1" t="n">
        <v>46123</v>
      </c>
      <c r="D211" t="inlineStr">
        <is>
          <t>SÖDERMANLANDS LÄN</t>
        </is>
      </c>
      <c r="E211" t="inlineStr">
        <is>
          <t>KATRINEHOLM</t>
        </is>
      </c>
      <c r="G211" t="n">
        <v>3</v>
      </c>
      <c r="H211" t="n">
        <v>0</v>
      </c>
      <c r="I211" t="n">
        <v>0</v>
      </c>
      <c r="J211" t="n">
        <v>0</v>
      </c>
      <c r="K211" t="n">
        <v>0</v>
      </c>
      <c r="L211" t="n">
        <v>0</v>
      </c>
      <c r="M211" t="n">
        <v>0</v>
      </c>
      <c r="N211" t="n">
        <v>0</v>
      </c>
      <c r="O211" t="n">
        <v>0</v>
      </c>
      <c r="P211" t="n">
        <v>0</v>
      </c>
      <c r="Q211" t="n">
        <v>0</v>
      </c>
      <c r="R211" s="2" t="inlineStr"/>
    </row>
    <row r="212" ht="15" customHeight="1">
      <c r="A212" t="inlineStr">
        <is>
          <t>A 19107-2022</t>
        </is>
      </c>
      <c r="B212" s="1" t="n">
        <v>44691.54077546296</v>
      </c>
      <c r="C212" s="1" t="n">
        <v>46123</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38708-2025</t>
        </is>
      </c>
      <c r="B213" s="1" t="n">
        <v>45885</v>
      </c>
      <c r="C213" s="1" t="n">
        <v>46123</v>
      </c>
      <c r="D213" t="inlineStr">
        <is>
          <t>SÖDERMANLANDS LÄN</t>
        </is>
      </c>
      <c r="E213" t="inlineStr">
        <is>
          <t>KATRINEHOLM</t>
        </is>
      </c>
      <c r="G213" t="n">
        <v>1.9</v>
      </c>
      <c r="H213" t="n">
        <v>0</v>
      </c>
      <c r="I213" t="n">
        <v>0</v>
      </c>
      <c r="J213" t="n">
        <v>0</v>
      </c>
      <c r="K213" t="n">
        <v>0</v>
      </c>
      <c r="L213" t="n">
        <v>0</v>
      </c>
      <c r="M213" t="n">
        <v>0</v>
      </c>
      <c r="N213" t="n">
        <v>0</v>
      </c>
      <c r="O213" t="n">
        <v>0</v>
      </c>
      <c r="P213" t="n">
        <v>0</v>
      </c>
      <c r="Q213" t="n">
        <v>0</v>
      </c>
      <c r="R213" s="2" t="inlineStr"/>
    </row>
    <row r="214" ht="15" customHeight="1">
      <c r="A214" t="inlineStr">
        <is>
          <t>A 3982-2024</t>
        </is>
      </c>
      <c r="B214" s="1" t="n">
        <v>45322</v>
      </c>
      <c r="C214" s="1" t="n">
        <v>46123</v>
      </c>
      <c r="D214" t="inlineStr">
        <is>
          <t>SÖDERMANLANDS LÄN</t>
        </is>
      </c>
      <c r="E214" t="inlineStr">
        <is>
          <t>KATRINEHOLM</t>
        </is>
      </c>
      <c r="G214" t="n">
        <v>3.7</v>
      </c>
      <c r="H214" t="n">
        <v>0</v>
      </c>
      <c r="I214" t="n">
        <v>0</v>
      </c>
      <c r="J214" t="n">
        <v>0</v>
      </c>
      <c r="K214" t="n">
        <v>0</v>
      </c>
      <c r="L214" t="n">
        <v>0</v>
      </c>
      <c r="M214" t="n">
        <v>0</v>
      </c>
      <c r="N214" t="n">
        <v>0</v>
      </c>
      <c r="O214" t="n">
        <v>0</v>
      </c>
      <c r="P214" t="n">
        <v>0</v>
      </c>
      <c r="Q214" t="n">
        <v>0</v>
      </c>
      <c r="R214" s="2" t="inlineStr"/>
    </row>
    <row r="215" ht="15" customHeight="1">
      <c r="A215" t="inlineStr">
        <is>
          <t>A 65162-2021</t>
        </is>
      </c>
      <c r="B215" s="1" t="n">
        <v>44512</v>
      </c>
      <c r="C215" s="1" t="n">
        <v>46123</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13086-2023</t>
        </is>
      </c>
      <c r="B216" s="1" t="n">
        <v>45002.42188657408</v>
      </c>
      <c r="C216" s="1" t="n">
        <v>46123</v>
      </c>
      <c r="D216" t="inlineStr">
        <is>
          <t>SÖDERMANLANDS LÄN</t>
        </is>
      </c>
      <c r="E216" t="inlineStr">
        <is>
          <t>KATRINEHOLM</t>
        </is>
      </c>
      <c r="G216" t="n">
        <v>2.2</v>
      </c>
      <c r="H216" t="n">
        <v>0</v>
      </c>
      <c r="I216" t="n">
        <v>0</v>
      </c>
      <c r="J216" t="n">
        <v>0</v>
      </c>
      <c r="K216" t="n">
        <v>0</v>
      </c>
      <c r="L216" t="n">
        <v>0</v>
      </c>
      <c r="M216" t="n">
        <v>0</v>
      </c>
      <c r="N216" t="n">
        <v>0</v>
      </c>
      <c r="O216" t="n">
        <v>0</v>
      </c>
      <c r="P216" t="n">
        <v>0</v>
      </c>
      <c r="Q216" t="n">
        <v>0</v>
      </c>
      <c r="R216" s="2" t="inlineStr"/>
    </row>
    <row r="217" ht="15" customHeight="1">
      <c r="A217" t="inlineStr">
        <is>
          <t>A 30567-2022</t>
        </is>
      </c>
      <c r="B217" s="1" t="n">
        <v>44762</v>
      </c>
      <c r="C217" s="1" t="n">
        <v>46123</v>
      </c>
      <c r="D217" t="inlineStr">
        <is>
          <t>SÖDERMANLANDS LÄN</t>
        </is>
      </c>
      <c r="E217" t="inlineStr">
        <is>
          <t>KATRINEHOLM</t>
        </is>
      </c>
      <c r="F217" t="inlineStr">
        <is>
          <t>Övriga Aktiebolag</t>
        </is>
      </c>
      <c r="G217" t="n">
        <v>0.5</v>
      </c>
      <c r="H217" t="n">
        <v>0</v>
      </c>
      <c r="I217" t="n">
        <v>0</v>
      </c>
      <c r="J217" t="n">
        <v>0</v>
      </c>
      <c r="K217" t="n">
        <v>0</v>
      </c>
      <c r="L217" t="n">
        <v>0</v>
      </c>
      <c r="M217" t="n">
        <v>0</v>
      </c>
      <c r="N217" t="n">
        <v>0</v>
      </c>
      <c r="O217" t="n">
        <v>0</v>
      </c>
      <c r="P217" t="n">
        <v>0</v>
      </c>
      <c r="Q217" t="n">
        <v>0</v>
      </c>
      <c r="R217" s="2" t="inlineStr"/>
    </row>
    <row r="218" ht="15" customHeight="1">
      <c r="A218" t="inlineStr">
        <is>
          <t>A 34040-2022</t>
        </is>
      </c>
      <c r="B218" s="1" t="n">
        <v>44790</v>
      </c>
      <c r="C218" s="1" t="n">
        <v>46123</v>
      </c>
      <c r="D218" t="inlineStr">
        <is>
          <t>SÖDERMANLANDS LÄN</t>
        </is>
      </c>
      <c r="E218" t="inlineStr">
        <is>
          <t>KATRINEHOLM</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17820-2025</t>
        </is>
      </c>
      <c r="B219" s="1" t="n">
        <v>45758</v>
      </c>
      <c r="C219" s="1" t="n">
        <v>46123</v>
      </c>
      <c r="D219" t="inlineStr">
        <is>
          <t>SÖDERMANLANDS LÄN</t>
        </is>
      </c>
      <c r="E219" t="inlineStr">
        <is>
          <t>KATRINEHOLM</t>
        </is>
      </c>
      <c r="G219" t="n">
        <v>5.9</v>
      </c>
      <c r="H219" t="n">
        <v>0</v>
      </c>
      <c r="I219" t="n">
        <v>0</v>
      </c>
      <c r="J219" t="n">
        <v>0</v>
      </c>
      <c r="K219" t="n">
        <v>0</v>
      </c>
      <c r="L219" t="n">
        <v>0</v>
      </c>
      <c r="M219" t="n">
        <v>0</v>
      </c>
      <c r="N219" t="n">
        <v>0</v>
      </c>
      <c r="O219" t="n">
        <v>0</v>
      </c>
      <c r="P219" t="n">
        <v>0</v>
      </c>
      <c r="Q219" t="n">
        <v>0</v>
      </c>
      <c r="R219" s="2" t="inlineStr"/>
    </row>
    <row r="220" ht="15" customHeight="1">
      <c r="A220" t="inlineStr">
        <is>
          <t>A 71129-2021</t>
        </is>
      </c>
      <c r="B220" s="1" t="n">
        <v>44539</v>
      </c>
      <c r="C220" s="1" t="n">
        <v>46123</v>
      </c>
      <c r="D220" t="inlineStr">
        <is>
          <t>SÖDERMANLANDS LÄN</t>
        </is>
      </c>
      <c r="E220" t="inlineStr">
        <is>
          <t>KATRINEHOLM</t>
        </is>
      </c>
      <c r="F220" t="inlineStr">
        <is>
          <t>Holmen skog AB</t>
        </is>
      </c>
      <c r="G220" t="n">
        <v>1.3</v>
      </c>
      <c r="H220" t="n">
        <v>0</v>
      </c>
      <c r="I220" t="n">
        <v>0</v>
      </c>
      <c r="J220" t="n">
        <v>0</v>
      </c>
      <c r="K220" t="n">
        <v>0</v>
      </c>
      <c r="L220" t="n">
        <v>0</v>
      </c>
      <c r="M220" t="n">
        <v>0</v>
      </c>
      <c r="N220" t="n">
        <v>0</v>
      </c>
      <c r="O220" t="n">
        <v>0</v>
      </c>
      <c r="P220" t="n">
        <v>0</v>
      </c>
      <c r="Q220" t="n">
        <v>0</v>
      </c>
      <c r="R220" s="2" t="inlineStr"/>
    </row>
    <row r="221" ht="15" customHeight="1">
      <c r="A221" t="inlineStr">
        <is>
          <t>A 57154-2023</t>
        </is>
      </c>
      <c r="B221" s="1" t="n">
        <v>45245</v>
      </c>
      <c r="C221" s="1" t="n">
        <v>46123</v>
      </c>
      <c r="D221" t="inlineStr">
        <is>
          <t>SÖDERMANLANDS LÄN</t>
        </is>
      </c>
      <c r="E221" t="inlineStr">
        <is>
          <t>KATRINEHOLM</t>
        </is>
      </c>
      <c r="F221" t="inlineStr">
        <is>
          <t>Allmännings- och besparingsskogar</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45147-2021</t>
        </is>
      </c>
      <c r="B222" s="1" t="n">
        <v>44439</v>
      </c>
      <c r="C222" s="1" t="n">
        <v>46123</v>
      </c>
      <c r="D222" t="inlineStr">
        <is>
          <t>SÖDERMANLANDS LÄN</t>
        </is>
      </c>
      <c r="E222" t="inlineStr">
        <is>
          <t>KATRINEHOLM</t>
        </is>
      </c>
      <c r="G222" t="n">
        <v>3.2</v>
      </c>
      <c r="H222" t="n">
        <v>0</v>
      </c>
      <c r="I222" t="n">
        <v>0</v>
      </c>
      <c r="J222" t="n">
        <v>0</v>
      </c>
      <c r="K222" t="n">
        <v>0</v>
      </c>
      <c r="L222" t="n">
        <v>0</v>
      </c>
      <c r="M222" t="n">
        <v>0</v>
      </c>
      <c r="N222" t="n">
        <v>0</v>
      </c>
      <c r="O222" t="n">
        <v>0</v>
      </c>
      <c r="P222" t="n">
        <v>0</v>
      </c>
      <c r="Q222" t="n">
        <v>0</v>
      </c>
      <c r="R222" s="2" t="inlineStr"/>
    </row>
    <row r="223" ht="15" customHeight="1">
      <c r="A223" t="inlineStr">
        <is>
          <t>A 19442-2023</t>
        </is>
      </c>
      <c r="B223" s="1" t="n">
        <v>45050</v>
      </c>
      <c r="C223" s="1" t="n">
        <v>46123</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59093-2024</t>
        </is>
      </c>
      <c r="B224" s="1" t="n">
        <v>45636</v>
      </c>
      <c r="C224" s="1" t="n">
        <v>46123</v>
      </c>
      <c r="D224" t="inlineStr">
        <is>
          <t>SÖDERMANLANDS LÄN</t>
        </is>
      </c>
      <c r="E224" t="inlineStr">
        <is>
          <t>KATRINEHOLM</t>
        </is>
      </c>
      <c r="G224" t="n">
        <v>2.8</v>
      </c>
      <c r="H224" t="n">
        <v>0</v>
      </c>
      <c r="I224" t="n">
        <v>0</v>
      </c>
      <c r="J224" t="n">
        <v>0</v>
      </c>
      <c r="K224" t="n">
        <v>0</v>
      </c>
      <c r="L224" t="n">
        <v>0</v>
      </c>
      <c r="M224" t="n">
        <v>0</v>
      </c>
      <c r="N224" t="n">
        <v>0</v>
      </c>
      <c r="O224" t="n">
        <v>0</v>
      </c>
      <c r="P224" t="n">
        <v>0</v>
      </c>
      <c r="Q224" t="n">
        <v>0</v>
      </c>
      <c r="R224" s="2" t="inlineStr"/>
    </row>
    <row r="225" ht="15" customHeight="1">
      <c r="A225" t="inlineStr">
        <is>
          <t>A 40749-2022</t>
        </is>
      </c>
      <c r="B225" s="1" t="n">
        <v>44824</v>
      </c>
      <c r="C225" s="1" t="n">
        <v>46123</v>
      </c>
      <c r="D225" t="inlineStr">
        <is>
          <t>SÖDERMANLANDS LÄN</t>
        </is>
      </c>
      <c r="E225" t="inlineStr">
        <is>
          <t>KATRINEHOLM</t>
        </is>
      </c>
      <c r="G225" t="n">
        <v>0.2</v>
      </c>
      <c r="H225" t="n">
        <v>0</v>
      </c>
      <c r="I225" t="n">
        <v>0</v>
      </c>
      <c r="J225" t="n">
        <v>0</v>
      </c>
      <c r="K225" t="n">
        <v>0</v>
      </c>
      <c r="L225" t="n">
        <v>0</v>
      </c>
      <c r="M225" t="n">
        <v>0</v>
      </c>
      <c r="N225" t="n">
        <v>0</v>
      </c>
      <c r="O225" t="n">
        <v>0</v>
      </c>
      <c r="P225" t="n">
        <v>0</v>
      </c>
      <c r="Q225" t="n">
        <v>0</v>
      </c>
      <c r="R225" s="2" t="inlineStr"/>
    </row>
    <row r="226" ht="15" customHeight="1">
      <c r="A226" t="inlineStr">
        <is>
          <t>A 30242-2023</t>
        </is>
      </c>
      <c r="B226" s="1" t="n">
        <v>45099</v>
      </c>
      <c r="C226" s="1" t="n">
        <v>46123</v>
      </c>
      <c r="D226" t="inlineStr">
        <is>
          <t>SÖDERMANLANDS LÄN</t>
        </is>
      </c>
      <c r="E226" t="inlineStr">
        <is>
          <t>KATRINEHOLM</t>
        </is>
      </c>
      <c r="G226" t="n">
        <v>3</v>
      </c>
      <c r="H226" t="n">
        <v>0</v>
      </c>
      <c r="I226" t="n">
        <v>0</v>
      </c>
      <c r="J226" t="n">
        <v>0</v>
      </c>
      <c r="K226" t="n">
        <v>0</v>
      </c>
      <c r="L226" t="n">
        <v>0</v>
      </c>
      <c r="M226" t="n">
        <v>0</v>
      </c>
      <c r="N226" t="n">
        <v>0</v>
      </c>
      <c r="O226" t="n">
        <v>0</v>
      </c>
      <c r="P226" t="n">
        <v>0</v>
      </c>
      <c r="Q226" t="n">
        <v>0</v>
      </c>
      <c r="R226" s="2" t="inlineStr"/>
    </row>
    <row r="227" ht="15" customHeight="1">
      <c r="A227" t="inlineStr">
        <is>
          <t>A 50061-2022</t>
        </is>
      </c>
      <c r="B227" s="1" t="n">
        <v>44865</v>
      </c>
      <c r="C227" s="1" t="n">
        <v>46123</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2606-2025</t>
        </is>
      </c>
      <c r="B228" s="1" t="n">
        <v>45674</v>
      </c>
      <c r="C228" s="1" t="n">
        <v>46123</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48763-2024</t>
        </is>
      </c>
      <c r="B229" s="1" t="n">
        <v>45593.60288194445</v>
      </c>
      <c r="C229" s="1" t="n">
        <v>46123</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39668-2025</t>
        </is>
      </c>
      <c r="B230" s="1" t="n">
        <v>45890</v>
      </c>
      <c r="C230" s="1" t="n">
        <v>46123</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30333-2023</t>
        </is>
      </c>
      <c r="B231" s="1" t="n">
        <v>45111</v>
      </c>
      <c r="C231" s="1" t="n">
        <v>46123</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6628-2022</t>
        </is>
      </c>
      <c r="B232" s="1" t="n">
        <v>44601.78850694445</v>
      </c>
      <c r="C232" s="1" t="n">
        <v>46123</v>
      </c>
      <c r="D232" t="inlineStr">
        <is>
          <t>SÖDERMANLANDS LÄN</t>
        </is>
      </c>
      <c r="E232" t="inlineStr">
        <is>
          <t>KATRINEHOLM</t>
        </is>
      </c>
      <c r="G232" t="n">
        <v>0.6</v>
      </c>
      <c r="H232" t="n">
        <v>0</v>
      </c>
      <c r="I232" t="n">
        <v>0</v>
      </c>
      <c r="J232" t="n">
        <v>0</v>
      </c>
      <c r="K232" t="n">
        <v>0</v>
      </c>
      <c r="L232" t="n">
        <v>0</v>
      </c>
      <c r="M232" t="n">
        <v>0</v>
      </c>
      <c r="N232" t="n">
        <v>0</v>
      </c>
      <c r="O232" t="n">
        <v>0</v>
      </c>
      <c r="P232" t="n">
        <v>0</v>
      </c>
      <c r="Q232" t="n">
        <v>0</v>
      </c>
      <c r="R232" s="2" t="inlineStr"/>
    </row>
    <row r="233" ht="15" customHeight="1">
      <c r="A233" t="inlineStr">
        <is>
          <t>A 39737-2025</t>
        </is>
      </c>
      <c r="B233" s="1" t="n">
        <v>45891</v>
      </c>
      <c r="C233" s="1" t="n">
        <v>46123</v>
      </c>
      <c r="D233" t="inlineStr">
        <is>
          <t>SÖDERMANLANDS LÄN</t>
        </is>
      </c>
      <c r="E233" t="inlineStr">
        <is>
          <t>KATRINEHOLM</t>
        </is>
      </c>
      <c r="F233" t="inlineStr">
        <is>
          <t>Holmen skog AB</t>
        </is>
      </c>
      <c r="G233" t="n">
        <v>1.6</v>
      </c>
      <c r="H233" t="n">
        <v>0</v>
      </c>
      <c r="I233" t="n">
        <v>0</v>
      </c>
      <c r="J233" t="n">
        <v>0</v>
      </c>
      <c r="K233" t="n">
        <v>0</v>
      </c>
      <c r="L233" t="n">
        <v>0</v>
      </c>
      <c r="M233" t="n">
        <v>0</v>
      </c>
      <c r="N233" t="n">
        <v>0</v>
      </c>
      <c r="O233" t="n">
        <v>0</v>
      </c>
      <c r="P233" t="n">
        <v>0</v>
      </c>
      <c r="Q233" t="n">
        <v>0</v>
      </c>
      <c r="R233" s="2" t="inlineStr"/>
    </row>
    <row r="234" ht="15" customHeight="1">
      <c r="A234" t="inlineStr">
        <is>
          <t>A 38872-2024</t>
        </is>
      </c>
      <c r="B234" s="1" t="n">
        <v>45547</v>
      </c>
      <c r="C234" s="1" t="n">
        <v>46123</v>
      </c>
      <c r="D234" t="inlineStr">
        <is>
          <t>SÖDERMANLANDS LÄN</t>
        </is>
      </c>
      <c r="E234" t="inlineStr">
        <is>
          <t>KATRINEHOLM</t>
        </is>
      </c>
      <c r="G234" t="n">
        <v>5.7</v>
      </c>
      <c r="H234" t="n">
        <v>0</v>
      </c>
      <c r="I234" t="n">
        <v>0</v>
      </c>
      <c r="J234" t="n">
        <v>0</v>
      </c>
      <c r="K234" t="n">
        <v>0</v>
      </c>
      <c r="L234" t="n">
        <v>0</v>
      </c>
      <c r="M234" t="n">
        <v>0</v>
      </c>
      <c r="N234" t="n">
        <v>0</v>
      </c>
      <c r="O234" t="n">
        <v>0</v>
      </c>
      <c r="P234" t="n">
        <v>0</v>
      </c>
      <c r="Q234" t="n">
        <v>0</v>
      </c>
      <c r="R234" s="2" t="inlineStr"/>
    </row>
    <row r="235" ht="15" customHeight="1">
      <c r="A235" t="inlineStr">
        <is>
          <t>A 39120-2023</t>
        </is>
      </c>
      <c r="B235" s="1" t="n">
        <v>45165</v>
      </c>
      <c r="C235" s="1" t="n">
        <v>46123</v>
      </c>
      <c r="D235" t="inlineStr">
        <is>
          <t>SÖDERMANLANDS LÄN</t>
        </is>
      </c>
      <c r="E235" t="inlineStr">
        <is>
          <t>KATRINEHOLM</t>
        </is>
      </c>
      <c r="G235" t="n">
        <v>4.4</v>
      </c>
      <c r="H235" t="n">
        <v>0</v>
      </c>
      <c r="I235" t="n">
        <v>0</v>
      </c>
      <c r="J235" t="n">
        <v>0</v>
      </c>
      <c r="K235" t="n">
        <v>0</v>
      </c>
      <c r="L235" t="n">
        <v>0</v>
      </c>
      <c r="M235" t="n">
        <v>0</v>
      </c>
      <c r="N235" t="n">
        <v>0</v>
      </c>
      <c r="O235" t="n">
        <v>0</v>
      </c>
      <c r="P235" t="n">
        <v>0</v>
      </c>
      <c r="Q235" t="n">
        <v>0</v>
      </c>
      <c r="R235" s="2" t="inlineStr"/>
    </row>
    <row r="236" ht="15" customHeight="1">
      <c r="A236" t="inlineStr">
        <is>
          <t>A 39847-2025</t>
        </is>
      </c>
      <c r="B236" s="1" t="n">
        <v>45891.58381944444</v>
      </c>
      <c r="C236" s="1" t="n">
        <v>46123</v>
      </c>
      <c r="D236" t="inlineStr">
        <is>
          <t>SÖDERMANLANDS LÄN</t>
        </is>
      </c>
      <c r="E236" t="inlineStr">
        <is>
          <t>KATRINEHOLM</t>
        </is>
      </c>
      <c r="F236" t="inlineStr">
        <is>
          <t>Holmen skog AB</t>
        </is>
      </c>
      <c r="G236" t="n">
        <v>2.5</v>
      </c>
      <c r="H236" t="n">
        <v>0</v>
      </c>
      <c r="I236" t="n">
        <v>0</v>
      </c>
      <c r="J236" t="n">
        <v>0</v>
      </c>
      <c r="K236" t="n">
        <v>0</v>
      </c>
      <c r="L236" t="n">
        <v>0</v>
      </c>
      <c r="M236" t="n">
        <v>0</v>
      </c>
      <c r="N236" t="n">
        <v>0</v>
      </c>
      <c r="O236" t="n">
        <v>0</v>
      </c>
      <c r="P236" t="n">
        <v>0</v>
      </c>
      <c r="Q236" t="n">
        <v>0</v>
      </c>
      <c r="R236" s="2" t="inlineStr"/>
    </row>
    <row r="237" ht="15" customHeight="1">
      <c r="A237" t="inlineStr">
        <is>
          <t>A 39663-2025</t>
        </is>
      </c>
      <c r="B237" s="1" t="n">
        <v>45890</v>
      </c>
      <c r="C237" s="1" t="n">
        <v>46123</v>
      </c>
      <c r="D237" t="inlineStr">
        <is>
          <t>SÖDERMANLANDS LÄN</t>
        </is>
      </c>
      <c r="E237" t="inlineStr">
        <is>
          <t>KATRINEHOLM</t>
        </is>
      </c>
      <c r="G237" t="n">
        <v>0.5</v>
      </c>
      <c r="H237" t="n">
        <v>0</v>
      </c>
      <c r="I237" t="n">
        <v>0</v>
      </c>
      <c r="J237" t="n">
        <v>0</v>
      </c>
      <c r="K237" t="n">
        <v>0</v>
      </c>
      <c r="L237" t="n">
        <v>0</v>
      </c>
      <c r="M237" t="n">
        <v>0</v>
      </c>
      <c r="N237" t="n">
        <v>0</v>
      </c>
      <c r="O237" t="n">
        <v>0</v>
      </c>
      <c r="P237" t="n">
        <v>0</v>
      </c>
      <c r="Q237" t="n">
        <v>0</v>
      </c>
      <c r="R237" s="2" t="inlineStr"/>
    </row>
    <row r="238" ht="15" customHeight="1">
      <c r="A238" t="inlineStr">
        <is>
          <t>A 39645-2025</t>
        </is>
      </c>
      <c r="B238" s="1" t="n">
        <v>45890</v>
      </c>
      <c r="C238" s="1" t="n">
        <v>46123</v>
      </c>
      <c r="D238" t="inlineStr">
        <is>
          <t>SÖDERMANLANDS LÄN</t>
        </is>
      </c>
      <c r="E238" t="inlineStr">
        <is>
          <t>KATRINEHOLM</t>
        </is>
      </c>
      <c r="G238" t="n">
        <v>0.2</v>
      </c>
      <c r="H238" t="n">
        <v>0</v>
      </c>
      <c r="I238" t="n">
        <v>0</v>
      </c>
      <c r="J238" t="n">
        <v>0</v>
      </c>
      <c r="K238" t="n">
        <v>0</v>
      </c>
      <c r="L238" t="n">
        <v>0</v>
      </c>
      <c r="M238" t="n">
        <v>0</v>
      </c>
      <c r="N238" t="n">
        <v>0</v>
      </c>
      <c r="O238" t="n">
        <v>0</v>
      </c>
      <c r="P238" t="n">
        <v>0</v>
      </c>
      <c r="Q238" t="n">
        <v>0</v>
      </c>
      <c r="R238" s="2" t="inlineStr"/>
    </row>
    <row r="239" ht="15" customHeight="1">
      <c r="A239" t="inlineStr">
        <is>
          <t>A 24287-2024</t>
        </is>
      </c>
      <c r="B239" s="1" t="n">
        <v>45457</v>
      </c>
      <c r="C239" s="1" t="n">
        <v>46123</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41229-2022</t>
        </is>
      </c>
      <c r="B240" s="1" t="n">
        <v>44825</v>
      </c>
      <c r="C240" s="1" t="n">
        <v>46123</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40393-2022</t>
        </is>
      </c>
      <c r="B241" s="1" t="n">
        <v>44823</v>
      </c>
      <c r="C241" s="1" t="n">
        <v>46123</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57265-2022</t>
        </is>
      </c>
      <c r="B242" s="1" t="n">
        <v>44895</v>
      </c>
      <c r="C242" s="1" t="n">
        <v>46123</v>
      </c>
      <c r="D242" t="inlineStr">
        <is>
          <t>SÖDERMANLANDS LÄN</t>
        </is>
      </c>
      <c r="E242" t="inlineStr">
        <is>
          <t>KATRINEHOLM</t>
        </is>
      </c>
      <c r="G242" t="n">
        <v>2</v>
      </c>
      <c r="H242" t="n">
        <v>0</v>
      </c>
      <c r="I242" t="n">
        <v>0</v>
      </c>
      <c r="J242" t="n">
        <v>0</v>
      </c>
      <c r="K242" t="n">
        <v>0</v>
      </c>
      <c r="L242" t="n">
        <v>0</v>
      </c>
      <c r="M242" t="n">
        <v>0</v>
      </c>
      <c r="N242" t="n">
        <v>0</v>
      </c>
      <c r="O242" t="n">
        <v>0</v>
      </c>
      <c r="P242" t="n">
        <v>0</v>
      </c>
      <c r="Q242" t="n">
        <v>0</v>
      </c>
      <c r="R242" s="2" t="inlineStr"/>
    </row>
    <row r="243" ht="15" customHeight="1">
      <c r="A243" t="inlineStr">
        <is>
          <t>A 33934-2022</t>
        </is>
      </c>
      <c r="B243" s="1" t="n">
        <v>44790</v>
      </c>
      <c r="C243" s="1" t="n">
        <v>46123</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74354-2021</t>
        </is>
      </c>
      <c r="B244" s="1" t="n">
        <v>44559.57041666667</v>
      </c>
      <c r="C244" s="1" t="n">
        <v>46123</v>
      </c>
      <c r="D244" t="inlineStr">
        <is>
          <t>SÖDERMANLANDS LÄN</t>
        </is>
      </c>
      <c r="E244" t="inlineStr">
        <is>
          <t>KATRINEHOLM</t>
        </is>
      </c>
      <c r="G244" t="n">
        <v>0.7</v>
      </c>
      <c r="H244" t="n">
        <v>0</v>
      </c>
      <c r="I244" t="n">
        <v>0</v>
      </c>
      <c r="J244" t="n">
        <v>0</v>
      </c>
      <c r="K244" t="n">
        <v>0</v>
      </c>
      <c r="L244" t="n">
        <v>0</v>
      </c>
      <c r="M244" t="n">
        <v>0</v>
      </c>
      <c r="N244" t="n">
        <v>0</v>
      </c>
      <c r="O244" t="n">
        <v>0</v>
      </c>
      <c r="P244" t="n">
        <v>0</v>
      </c>
      <c r="Q244" t="n">
        <v>0</v>
      </c>
      <c r="R244" s="2" t="inlineStr"/>
    </row>
    <row r="245" ht="15" customHeight="1">
      <c r="A245" t="inlineStr">
        <is>
          <t>A 6298-2024</t>
        </is>
      </c>
      <c r="B245" s="1" t="n">
        <v>45338.34245370371</v>
      </c>
      <c r="C245" s="1" t="n">
        <v>46123</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9699-2024</t>
        </is>
      </c>
      <c r="B246" s="1" t="n">
        <v>45362</v>
      </c>
      <c r="C246" s="1" t="n">
        <v>46123</v>
      </c>
      <c r="D246" t="inlineStr">
        <is>
          <t>SÖDERMANLANDS LÄN</t>
        </is>
      </c>
      <c r="E246" t="inlineStr">
        <is>
          <t>KATRINEHOLM</t>
        </is>
      </c>
      <c r="G246" t="n">
        <v>7.7</v>
      </c>
      <c r="H246" t="n">
        <v>0</v>
      </c>
      <c r="I246" t="n">
        <v>0</v>
      </c>
      <c r="J246" t="n">
        <v>0</v>
      </c>
      <c r="K246" t="n">
        <v>0</v>
      </c>
      <c r="L246" t="n">
        <v>0</v>
      </c>
      <c r="M246" t="n">
        <v>0</v>
      </c>
      <c r="N246" t="n">
        <v>0</v>
      </c>
      <c r="O246" t="n">
        <v>0</v>
      </c>
      <c r="P246" t="n">
        <v>0</v>
      </c>
      <c r="Q246" t="n">
        <v>0</v>
      </c>
      <c r="R246" s="2" t="inlineStr"/>
    </row>
    <row r="247" ht="15" customHeight="1">
      <c r="A247" t="inlineStr">
        <is>
          <t>A 33001-2024</t>
        </is>
      </c>
      <c r="B247" s="1" t="n">
        <v>45517</v>
      </c>
      <c r="C247" s="1" t="n">
        <v>46123</v>
      </c>
      <c r="D247" t="inlineStr">
        <is>
          <t>SÖDERMANLANDS LÄN</t>
        </is>
      </c>
      <c r="E247" t="inlineStr">
        <is>
          <t>KATRINEHOLM</t>
        </is>
      </c>
      <c r="G247" t="n">
        <v>1.5</v>
      </c>
      <c r="H247" t="n">
        <v>0</v>
      </c>
      <c r="I247" t="n">
        <v>0</v>
      </c>
      <c r="J247" t="n">
        <v>0</v>
      </c>
      <c r="K247" t="n">
        <v>0</v>
      </c>
      <c r="L247" t="n">
        <v>0</v>
      </c>
      <c r="M247" t="n">
        <v>0</v>
      </c>
      <c r="N247" t="n">
        <v>0</v>
      </c>
      <c r="O247" t="n">
        <v>0</v>
      </c>
      <c r="P247" t="n">
        <v>0</v>
      </c>
      <c r="Q247" t="n">
        <v>0</v>
      </c>
      <c r="R247" s="2" t="inlineStr"/>
    </row>
    <row r="248" ht="15" customHeight="1">
      <c r="A248" t="inlineStr">
        <is>
          <t>A 10732-2022</t>
        </is>
      </c>
      <c r="B248" s="1" t="n">
        <v>44627.34033564815</v>
      </c>
      <c r="C248" s="1" t="n">
        <v>46123</v>
      </c>
      <c r="D248" t="inlineStr">
        <is>
          <t>SÖDERMANLANDS LÄN</t>
        </is>
      </c>
      <c r="E248" t="inlineStr">
        <is>
          <t>KATRINEHOLM</t>
        </is>
      </c>
      <c r="G248" t="n">
        <v>2.4</v>
      </c>
      <c r="H248" t="n">
        <v>0</v>
      </c>
      <c r="I248" t="n">
        <v>0</v>
      </c>
      <c r="J248" t="n">
        <v>0</v>
      </c>
      <c r="K248" t="n">
        <v>0</v>
      </c>
      <c r="L248" t="n">
        <v>0</v>
      </c>
      <c r="M248" t="n">
        <v>0</v>
      </c>
      <c r="N248" t="n">
        <v>0</v>
      </c>
      <c r="O248" t="n">
        <v>0</v>
      </c>
      <c r="P248" t="n">
        <v>0</v>
      </c>
      <c r="Q248" t="n">
        <v>0</v>
      </c>
      <c r="R248" s="2" t="inlineStr"/>
    </row>
    <row r="249" ht="15" customHeight="1">
      <c r="A249" t="inlineStr">
        <is>
          <t>A 48877-2022</t>
        </is>
      </c>
      <c r="B249" s="1" t="n">
        <v>44859</v>
      </c>
      <c r="C249" s="1" t="n">
        <v>46123</v>
      </c>
      <c r="D249" t="inlineStr">
        <is>
          <t>SÖDERMANLANDS LÄN</t>
        </is>
      </c>
      <c r="E249" t="inlineStr">
        <is>
          <t>KATRINEHOLM</t>
        </is>
      </c>
      <c r="G249" t="n">
        <v>1</v>
      </c>
      <c r="H249" t="n">
        <v>0</v>
      </c>
      <c r="I249" t="n">
        <v>0</v>
      </c>
      <c r="J249" t="n">
        <v>0</v>
      </c>
      <c r="K249" t="n">
        <v>0</v>
      </c>
      <c r="L249" t="n">
        <v>0</v>
      </c>
      <c r="M249" t="n">
        <v>0</v>
      </c>
      <c r="N249" t="n">
        <v>0</v>
      </c>
      <c r="O249" t="n">
        <v>0</v>
      </c>
      <c r="P249" t="n">
        <v>0</v>
      </c>
      <c r="Q249" t="n">
        <v>0</v>
      </c>
      <c r="R249" s="2" t="inlineStr"/>
    </row>
    <row r="250" ht="15" customHeight="1">
      <c r="A250" t="inlineStr">
        <is>
          <t>A 48259-2022</t>
        </is>
      </c>
      <c r="B250" s="1" t="n">
        <v>44858</v>
      </c>
      <c r="C250" s="1" t="n">
        <v>46123</v>
      </c>
      <c r="D250" t="inlineStr">
        <is>
          <t>SÖDERMANLANDS LÄN</t>
        </is>
      </c>
      <c r="E250" t="inlineStr">
        <is>
          <t>KATRINEHOLM</t>
        </is>
      </c>
      <c r="G250" t="n">
        <v>3.5</v>
      </c>
      <c r="H250" t="n">
        <v>0</v>
      </c>
      <c r="I250" t="n">
        <v>0</v>
      </c>
      <c r="J250" t="n">
        <v>0</v>
      </c>
      <c r="K250" t="n">
        <v>0</v>
      </c>
      <c r="L250" t="n">
        <v>0</v>
      </c>
      <c r="M250" t="n">
        <v>0</v>
      </c>
      <c r="N250" t="n">
        <v>0</v>
      </c>
      <c r="O250" t="n">
        <v>0</v>
      </c>
      <c r="P250" t="n">
        <v>0</v>
      </c>
      <c r="Q250" t="n">
        <v>0</v>
      </c>
      <c r="R250" s="2" t="inlineStr"/>
    </row>
    <row r="251" ht="15" customHeight="1">
      <c r="A251" t="inlineStr">
        <is>
          <t>A 34539-2022</t>
        </is>
      </c>
      <c r="B251" s="1" t="n">
        <v>44793.50563657407</v>
      </c>
      <c r="C251" s="1" t="n">
        <v>46123</v>
      </c>
      <c r="D251" t="inlineStr">
        <is>
          <t>SÖDERMANLANDS LÄN</t>
        </is>
      </c>
      <c r="E251" t="inlineStr">
        <is>
          <t>KATRINEHOLM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3115-2024</t>
        </is>
      </c>
      <c r="B252" s="1" t="n">
        <v>45316.49630787037</v>
      </c>
      <c r="C252" s="1" t="n">
        <v>46123</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1091-2025</t>
        </is>
      </c>
      <c r="B253" s="1" t="n">
        <v>45666</v>
      </c>
      <c r="C253" s="1" t="n">
        <v>46123</v>
      </c>
      <c r="D253" t="inlineStr">
        <is>
          <t>SÖDERMANLANDS LÄN</t>
        </is>
      </c>
      <c r="E253" t="inlineStr">
        <is>
          <t>KATRINEHOLM</t>
        </is>
      </c>
      <c r="F253" t="inlineStr">
        <is>
          <t>Övriga Aktiebolag</t>
        </is>
      </c>
      <c r="G253" t="n">
        <v>0.8</v>
      </c>
      <c r="H253" t="n">
        <v>0</v>
      </c>
      <c r="I253" t="n">
        <v>0</v>
      </c>
      <c r="J253" t="n">
        <v>0</v>
      </c>
      <c r="K253" t="n">
        <v>0</v>
      </c>
      <c r="L253" t="n">
        <v>0</v>
      </c>
      <c r="M253" t="n">
        <v>0</v>
      </c>
      <c r="N253" t="n">
        <v>0</v>
      </c>
      <c r="O253" t="n">
        <v>0</v>
      </c>
      <c r="P253" t="n">
        <v>0</v>
      </c>
      <c r="Q253" t="n">
        <v>0</v>
      </c>
      <c r="R253" s="2" t="inlineStr"/>
    </row>
    <row r="254" ht="15" customHeight="1">
      <c r="A254" t="inlineStr">
        <is>
          <t>A 41074-2025</t>
        </is>
      </c>
      <c r="B254" s="1" t="n">
        <v>45898</v>
      </c>
      <c r="C254" s="1" t="n">
        <v>46123</v>
      </c>
      <c r="D254" t="inlineStr">
        <is>
          <t>SÖDERMANLANDS LÄN</t>
        </is>
      </c>
      <c r="E254" t="inlineStr">
        <is>
          <t>KATRINEHOLM</t>
        </is>
      </c>
      <c r="F254" t="inlineStr">
        <is>
          <t>Allmännings- och besparingsskogar</t>
        </is>
      </c>
      <c r="G254" t="n">
        <v>4.8</v>
      </c>
      <c r="H254" t="n">
        <v>0</v>
      </c>
      <c r="I254" t="n">
        <v>0</v>
      </c>
      <c r="J254" t="n">
        <v>0</v>
      </c>
      <c r="K254" t="n">
        <v>0</v>
      </c>
      <c r="L254" t="n">
        <v>0</v>
      </c>
      <c r="M254" t="n">
        <v>0</v>
      </c>
      <c r="N254" t="n">
        <v>0</v>
      </c>
      <c r="O254" t="n">
        <v>0</v>
      </c>
      <c r="P254" t="n">
        <v>0</v>
      </c>
      <c r="Q254" t="n">
        <v>0</v>
      </c>
      <c r="R254" s="2" t="inlineStr"/>
    </row>
    <row r="255" ht="15" customHeight="1">
      <c r="A255" t="inlineStr">
        <is>
          <t>A 23705-2023</t>
        </is>
      </c>
      <c r="B255" s="1" t="n">
        <v>45077</v>
      </c>
      <c r="C255" s="1" t="n">
        <v>46123</v>
      </c>
      <c r="D255" t="inlineStr">
        <is>
          <t>SÖDERMANLANDS LÄN</t>
        </is>
      </c>
      <c r="E255" t="inlineStr">
        <is>
          <t>KATRINEHOLM</t>
        </is>
      </c>
      <c r="F255" t="inlineStr">
        <is>
          <t>Kyrkan</t>
        </is>
      </c>
      <c r="G255" t="n">
        <v>11.9</v>
      </c>
      <c r="H255" t="n">
        <v>0</v>
      </c>
      <c r="I255" t="n">
        <v>0</v>
      </c>
      <c r="J255" t="n">
        <v>0</v>
      </c>
      <c r="K255" t="n">
        <v>0</v>
      </c>
      <c r="L255" t="n">
        <v>0</v>
      </c>
      <c r="M255" t="n">
        <v>0</v>
      </c>
      <c r="N255" t="n">
        <v>0</v>
      </c>
      <c r="O255" t="n">
        <v>0</v>
      </c>
      <c r="P255" t="n">
        <v>0</v>
      </c>
      <c r="Q255" t="n">
        <v>0</v>
      </c>
      <c r="R255" s="2" t="inlineStr"/>
    </row>
    <row r="256" ht="15" customHeight="1">
      <c r="A256" t="inlineStr">
        <is>
          <t>A 55034-2021</t>
        </is>
      </c>
      <c r="B256" s="1" t="n">
        <v>44474</v>
      </c>
      <c r="C256" s="1" t="n">
        <v>46123</v>
      </c>
      <c r="D256" t="inlineStr">
        <is>
          <t>SÖDERMANLANDS LÄN</t>
        </is>
      </c>
      <c r="E256" t="inlineStr">
        <is>
          <t>KATRINEHOLM</t>
        </is>
      </c>
      <c r="G256" t="n">
        <v>5</v>
      </c>
      <c r="H256" t="n">
        <v>0</v>
      </c>
      <c r="I256" t="n">
        <v>0</v>
      </c>
      <c r="J256" t="n">
        <v>0</v>
      </c>
      <c r="K256" t="n">
        <v>0</v>
      </c>
      <c r="L256" t="n">
        <v>0</v>
      </c>
      <c r="M256" t="n">
        <v>0</v>
      </c>
      <c r="N256" t="n">
        <v>0</v>
      </c>
      <c r="O256" t="n">
        <v>0</v>
      </c>
      <c r="P256" t="n">
        <v>0</v>
      </c>
      <c r="Q256" t="n">
        <v>0</v>
      </c>
      <c r="R256" s="2" t="inlineStr"/>
    </row>
    <row r="257" ht="15" customHeight="1">
      <c r="A257" t="inlineStr">
        <is>
          <t>A 52769-2023</t>
        </is>
      </c>
      <c r="B257" s="1" t="n">
        <v>45226</v>
      </c>
      <c r="C257" s="1" t="n">
        <v>46123</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29397-2024</t>
        </is>
      </c>
      <c r="B258" s="1" t="n">
        <v>45483</v>
      </c>
      <c r="C258" s="1" t="n">
        <v>46123</v>
      </c>
      <c r="D258" t="inlineStr">
        <is>
          <t>SÖDERMANLANDS LÄN</t>
        </is>
      </c>
      <c r="E258" t="inlineStr">
        <is>
          <t>KATRINEHOLM</t>
        </is>
      </c>
      <c r="G258" t="n">
        <v>3.4</v>
      </c>
      <c r="H258" t="n">
        <v>0</v>
      </c>
      <c r="I258" t="n">
        <v>0</v>
      </c>
      <c r="J258" t="n">
        <v>0</v>
      </c>
      <c r="K258" t="n">
        <v>0</v>
      </c>
      <c r="L258" t="n">
        <v>0</v>
      </c>
      <c r="M258" t="n">
        <v>0</v>
      </c>
      <c r="N258" t="n">
        <v>0</v>
      </c>
      <c r="O258" t="n">
        <v>0</v>
      </c>
      <c r="P258" t="n">
        <v>0</v>
      </c>
      <c r="Q258" t="n">
        <v>0</v>
      </c>
      <c r="R258" s="2" t="inlineStr"/>
    </row>
    <row r="259" ht="15" customHeight="1">
      <c r="A259" t="inlineStr">
        <is>
          <t>A 41633-2025</t>
        </is>
      </c>
      <c r="B259" s="1" t="n">
        <v>45901</v>
      </c>
      <c r="C259" s="1" t="n">
        <v>46123</v>
      </c>
      <c r="D259" t="inlineStr">
        <is>
          <t>SÖDERMANLANDS LÄN</t>
        </is>
      </c>
      <c r="E259" t="inlineStr">
        <is>
          <t>KATRINEHOLM</t>
        </is>
      </c>
      <c r="G259" t="n">
        <v>2.1</v>
      </c>
      <c r="H259" t="n">
        <v>0</v>
      </c>
      <c r="I259" t="n">
        <v>0</v>
      </c>
      <c r="J259" t="n">
        <v>0</v>
      </c>
      <c r="K259" t="n">
        <v>0</v>
      </c>
      <c r="L259" t="n">
        <v>0</v>
      </c>
      <c r="M259" t="n">
        <v>0</v>
      </c>
      <c r="N259" t="n">
        <v>0</v>
      </c>
      <c r="O259" t="n">
        <v>0</v>
      </c>
      <c r="P259" t="n">
        <v>0</v>
      </c>
      <c r="Q259" t="n">
        <v>0</v>
      </c>
      <c r="R259" s="2" t="inlineStr"/>
    </row>
    <row r="260" ht="15" customHeight="1">
      <c r="A260" t="inlineStr">
        <is>
          <t>A 7223-2022</t>
        </is>
      </c>
      <c r="B260" s="1" t="n">
        <v>44603</v>
      </c>
      <c r="C260" s="1" t="n">
        <v>46123</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41632-2025</t>
        </is>
      </c>
      <c r="B261" s="1" t="n">
        <v>45901</v>
      </c>
      <c r="C261" s="1" t="n">
        <v>46123</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51446-2023</t>
        </is>
      </c>
      <c r="B262" s="1" t="n">
        <v>45220.48068287037</v>
      </c>
      <c r="C262" s="1" t="n">
        <v>46123</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41498-2025</t>
        </is>
      </c>
      <c r="B263" s="1" t="n">
        <v>45901.49755787037</v>
      </c>
      <c r="C263" s="1" t="n">
        <v>46123</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6807-2023</t>
        </is>
      </c>
      <c r="B264" s="1" t="n">
        <v>44964</v>
      </c>
      <c r="C264" s="1" t="n">
        <v>46123</v>
      </c>
      <c r="D264" t="inlineStr">
        <is>
          <t>SÖDERMANLANDS LÄN</t>
        </is>
      </c>
      <c r="E264" t="inlineStr">
        <is>
          <t>KATRINEHOLM</t>
        </is>
      </c>
      <c r="G264" t="n">
        <v>1.2</v>
      </c>
      <c r="H264" t="n">
        <v>0</v>
      </c>
      <c r="I264" t="n">
        <v>0</v>
      </c>
      <c r="J264" t="n">
        <v>0</v>
      </c>
      <c r="K264" t="n">
        <v>0</v>
      </c>
      <c r="L264" t="n">
        <v>0</v>
      </c>
      <c r="M264" t="n">
        <v>0</v>
      </c>
      <c r="N264" t="n">
        <v>0</v>
      </c>
      <c r="O264" t="n">
        <v>0</v>
      </c>
      <c r="P264" t="n">
        <v>0</v>
      </c>
      <c r="Q264" t="n">
        <v>0</v>
      </c>
      <c r="R264" s="2" t="inlineStr"/>
    </row>
    <row r="265" ht="15" customHeight="1">
      <c r="A265" t="inlineStr">
        <is>
          <t>A 6091-2025</t>
        </is>
      </c>
      <c r="B265" s="1" t="n">
        <v>45697</v>
      </c>
      <c r="C265" s="1" t="n">
        <v>46123</v>
      </c>
      <c r="D265" t="inlineStr">
        <is>
          <t>SÖDERMANLANDS LÄN</t>
        </is>
      </c>
      <c r="E265" t="inlineStr">
        <is>
          <t>KATRINEHOLM</t>
        </is>
      </c>
      <c r="G265" t="n">
        <v>2.4</v>
      </c>
      <c r="H265" t="n">
        <v>0</v>
      </c>
      <c r="I265" t="n">
        <v>0</v>
      </c>
      <c r="J265" t="n">
        <v>0</v>
      </c>
      <c r="K265" t="n">
        <v>0</v>
      </c>
      <c r="L265" t="n">
        <v>0</v>
      </c>
      <c r="M265" t="n">
        <v>0</v>
      </c>
      <c r="N265" t="n">
        <v>0</v>
      </c>
      <c r="O265" t="n">
        <v>0</v>
      </c>
      <c r="P265" t="n">
        <v>0</v>
      </c>
      <c r="Q265" t="n">
        <v>0</v>
      </c>
      <c r="R265" s="2" t="inlineStr"/>
    </row>
    <row r="266" ht="15" customHeight="1">
      <c r="A266" t="inlineStr">
        <is>
          <t>A 6093-2025</t>
        </is>
      </c>
      <c r="B266" s="1" t="n">
        <v>45697</v>
      </c>
      <c r="C266" s="1" t="n">
        <v>46123</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24179-2024</t>
        </is>
      </c>
      <c r="B267" s="1" t="n">
        <v>45456.83059027778</v>
      </c>
      <c r="C267" s="1" t="n">
        <v>46123</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41648-2025</t>
        </is>
      </c>
      <c r="B268" s="1" t="n">
        <v>45902.32601851852</v>
      </c>
      <c r="C268" s="1" t="n">
        <v>46123</v>
      </c>
      <c r="D268" t="inlineStr">
        <is>
          <t>SÖDERMANLANDS LÄN</t>
        </is>
      </c>
      <c r="E268" t="inlineStr">
        <is>
          <t>KATRINEHOLM</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39010-2021</t>
        </is>
      </c>
      <c r="B269" s="1" t="n">
        <v>44412</v>
      </c>
      <c r="C269" s="1" t="n">
        <v>46123</v>
      </c>
      <c r="D269" t="inlineStr">
        <is>
          <t>SÖDERMANLANDS LÄN</t>
        </is>
      </c>
      <c r="E269" t="inlineStr">
        <is>
          <t>KATRINEHOLM</t>
        </is>
      </c>
      <c r="G269" t="n">
        <v>0.8</v>
      </c>
      <c r="H269" t="n">
        <v>0</v>
      </c>
      <c r="I269" t="n">
        <v>0</v>
      </c>
      <c r="J269" t="n">
        <v>0</v>
      </c>
      <c r="K269" t="n">
        <v>0</v>
      </c>
      <c r="L269" t="n">
        <v>0</v>
      </c>
      <c r="M269" t="n">
        <v>0</v>
      </c>
      <c r="N269" t="n">
        <v>0</v>
      </c>
      <c r="O269" t="n">
        <v>0</v>
      </c>
      <c r="P269" t="n">
        <v>0</v>
      </c>
      <c r="Q269" t="n">
        <v>0</v>
      </c>
      <c r="R269" s="2" t="inlineStr"/>
    </row>
    <row r="270" ht="15" customHeight="1">
      <c r="A270" t="inlineStr">
        <is>
          <t>A 28931-2024</t>
        </is>
      </c>
      <c r="B270" s="1" t="n">
        <v>45479</v>
      </c>
      <c r="C270" s="1" t="n">
        <v>46123</v>
      </c>
      <c r="D270" t="inlineStr">
        <is>
          <t>SÖDERMANLANDS LÄN</t>
        </is>
      </c>
      <c r="E270" t="inlineStr">
        <is>
          <t>KATRINEHOLM</t>
        </is>
      </c>
      <c r="G270" t="n">
        <v>7.4</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46123</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50626-2024</t>
        </is>
      </c>
      <c r="B272" s="1" t="n">
        <v>45601</v>
      </c>
      <c r="C272" s="1" t="n">
        <v>46123</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35183-2022</t>
        </is>
      </c>
      <c r="B273" s="1" t="n">
        <v>44797</v>
      </c>
      <c r="C273" s="1" t="n">
        <v>46123</v>
      </c>
      <c r="D273" t="inlineStr">
        <is>
          <t>SÖDERMANLANDS LÄN</t>
        </is>
      </c>
      <c r="E273" t="inlineStr">
        <is>
          <t>KATRINEHOLM</t>
        </is>
      </c>
      <c r="G273" t="n">
        <v>4.6</v>
      </c>
      <c r="H273" t="n">
        <v>0</v>
      </c>
      <c r="I273" t="n">
        <v>0</v>
      </c>
      <c r="J273" t="n">
        <v>0</v>
      </c>
      <c r="K273" t="n">
        <v>0</v>
      </c>
      <c r="L273" t="n">
        <v>0</v>
      </c>
      <c r="M273" t="n">
        <v>0</v>
      </c>
      <c r="N273" t="n">
        <v>0</v>
      </c>
      <c r="O273" t="n">
        <v>0</v>
      </c>
      <c r="P273" t="n">
        <v>0</v>
      </c>
      <c r="Q273" t="n">
        <v>0</v>
      </c>
      <c r="R273" s="2" t="inlineStr"/>
    </row>
    <row r="274" ht="15" customHeight="1">
      <c r="A274" t="inlineStr">
        <is>
          <t>A 30276-2023</t>
        </is>
      </c>
      <c r="B274" s="1" t="n">
        <v>45110</v>
      </c>
      <c r="C274" s="1" t="n">
        <v>46123</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49341-2024</t>
        </is>
      </c>
      <c r="B275" s="1" t="n">
        <v>45595</v>
      </c>
      <c r="C275" s="1" t="n">
        <v>46123</v>
      </c>
      <c r="D275" t="inlineStr">
        <is>
          <t>SÖDERMANLANDS LÄN</t>
        </is>
      </c>
      <c r="E275" t="inlineStr">
        <is>
          <t>KATRINEHOLM</t>
        </is>
      </c>
      <c r="G275" t="n">
        <v>10</v>
      </c>
      <c r="H275" t="n">
        <v>0</v>
      </c>
      <c r="I275" t="n">
        <v>0</v>
      </c>
      <c r="J275" t="n">
        <v>0</v>
      </c>
      <c r="K275" t="n">
        <v>0</v>
      </c>
      <c r="L275" t="n">
        <v>0</v>
      </c>
      <c r="M275" t="n">
        <v>0</v>
      </c>
      <c r="N275" t="n">
        <v>0</v>
      </c>
      <c r="O275" t="n">
        <v>0</v>
      </c>
      <c r="P275" t="n">
        <v>0</v>
      </c>
      <c r="Q275" t="n">
        <v>0</v>
      </c>
      <c r="R275" s="2" t="inlineStr"/>
    </row>
    <row r="276" ht="15" customHeight="1">
      <c r="A276" t="inlineStr">
        <is>
          <t>A 41793-2025</t>
        </is>
      </c>
      <c r="B276" s="1" t="n">
        <v>45902</v>
      </c>
      <c r="C276" s="1" t="n">
        <v>46123</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42791-2023</t>
        </is>
      </c>
      <c r="B277" s="1" t="n">
        <v>45181.92876157408</v>
      </c>
      <c r="C277" s="1" t="n">
        <v>46123</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42792-2023</t>
        </is>
      </c>
      <c r="B278" s="1" t="n">
        <v>45181.95491898148</v>
      </c>
      <c r="C278" s="1" t="n">
        <v>46123</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32786-2022</t>
        </is>
      </c>
      <c r="B279" s="1" t="n">
        <v>44784</v>
      </c>
      <c r="C279" s="1" t="n">
        <v>46123</v>
      </c>
      <c r="D279" t="inlineStr">
        <is>
          <t>SÖDERMANLANDS LÄN</t>
        </is>
      </c>
      <c r="E279" t="inlineStr">
        <is>
          <t>KATRINEHOLM</t>
        </is>
      </c>
      <c r="G279" t="n">
        <v>7</v>
      </c>
      <c r="H279" t="n">
        <v>0</v>
      </c>
      <c r="I279" t="n">
        <v>0</v>
      </c>
      <c r="J279" t="n">
        <v>0</v>
      </c>
      <c r="K279" t="n">
        <v>0</v>
      </c>
      <c r="L279" t="n">
        <v>0</v>
      </c>
      <c r="M279" t="n">
        <v>0</v>
      </c>
      <c r="N279" t="n">
        <v>0</v>
      </c>
      <c r="O279" t="n">
        <v>0</v>
      </c>
      <c r="P279" t="n">
        <v>0</v>
      </c>
      <c r="Q279" t="n">
        <v>0</v>
      </c>
      <c r="R279" s="2" t="inlineStr"/>
    </row>
    <row r="280" ht="15" customHeight="1">
      <c r="A280" t="inlineStr">
        <is>
          <t>A 12888-2025</t>
        </is>
      </c>
      <c r="B280" s="1" t="n">
        <v>45733</v>
      </c>
      <c r="C280" s="1" t="n">
        <v>46123</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42025-2022</t>
        </is>
      </c>
      <c r="B281" s="1" t="n">
        <v>44830.47399305556</v>
      </c>
      <c r="C281" s="1" t="n">
        <v>46123</v>
      </c>
      <c r="D281" t="inlineStr">
        <is>
          <t>SÖDERMANLANDS LÄN</t>
        </is>
      </c>
      <c r="E281" t="inlineStr">
        <is>
          <t>KATRINEHOLM</t>
        </is>
      </c>
      <c r="G281" t="n">
        <v>1.5</v>
      </c>
      <c r="H281" t="n">
        <v>0</v>
      </c>
      <c r="I281" t="n">
        <v>0</v>
      </c>
      <c r="J281" t="n">
        <v>0</v>
      </c>
      <c r="K281" t="n">
        <v>0</v>
      </c>
      <c r="L281" t="n">
        <v>0</v>
      </c>
      <c r="M281" t="n">
        <v>0</v>
      </c>
      <c r="N281" t="n">
        <v>0</v>
      </c>
      <c r="O281" t="n">
        <v>0</v>
      </c>
      <c r="P281" t="n">
        <v>0</v>
      </c>
      <c r="Q281" t="n">
        <v>0</v>
      </c>
      <c r="R281" s="2" t="inlineStr"/>
    </row>
    <row r="282" ht="15" customHeight="1">
      <c r="A282" t="inlineStr">
        <is>
          <t>A 7197-2023</t>
        </is>
      </c>
      <c r="B282" s="1" t="n">
        <v>44965</v>
      </c>
      <c r="C282" s="1" t="n">
        <v>46123</v>
      </c>
      <c r="D282" t="inlineStr">
        <is>
          <t>SÖDERMANLANDS LÄN</t>
        </is>
      </c>
      <c r="E282" t="inlineStr">
        <is>
          <t>KATRINEHOLM</t>
        </is>
      </c>
      <c r="G282" t="n">
        <v>5.3</v>
      </c>
      <c r="H282" t="n">
        <v>0</v>
      </c>
      <c r="I282" t="n">
        <v>0</v>
      </c>
      <c r="J282" t="n">
        <v>0</v>
      </c>
      <c r="K282" t="n">
        <v>0</v>
      </c>
      <c r="L282" t="n">
        <v>0</v>
      </c>
      <c r="M282" t="n">
        <v>0</v>
      </c>
      <c r="N282" t="n">
        <v>0</v>
      </c>
      <c r="O282" t="n">
        <v>0</v>
      </c>
      <c r="P282" t="n">
        <v>0</v>
      </c>
      <c r="Q282" t="n">
        <v>0</v>
      </c>
      <c r="R282" s="2" t="inlineStr"/>
    </row>
    <row r="283" ht="15" customHeight="1">
      <c r="A283" t="inlineStr">
        <is>
          <t>A 6311-2025</t>
        </is>
      </c>
      <c r="B283" s="1" t="n">
        <v>45698</v>
      </c>
      <c r="C283" s="1" t="n">
        <v>46123</v>
      </c>
      <c r="D283" t="inlineStr">
        <is>
          <t>SÖDERMANLANDS LÄN</t>
        </is>
      </c>
      <c r="E283" t="inlineStr">
        <is>
          <t>KATRINEHOLM</t>
        </is>
      </c>
      <c r="G283" t="n">
        <v>0.3</v>
      </c>
      <c r="H283" t="n">
        <v>0</v>
      </c>
      <c r="I283" t="n">
        <v>0</v>
      </c>
      <c r="J283" t="n">
        <v>0</v>
      </c>
      <c r="K283" t="n">
        <v>0</v>
      </c>
      <c r="L283" t="n">
        <v>0</v>
      </c>
      <c r="M283" t="n">
        <v>0</v>
      </c>
      <c r="N283" t="n">
        <v>0</v>
      </c>
      <c r="O283" t="n">
        <v>0</v>
      </c>
      <c r="P283" t="n">
        <v>0</v>
      </c>
      <c r="Q283" t="n">
        <v>0</v>
      </c>
      <c r="R283" s="2" t="inlineStr"/>
    </row>
    <row r="284" ht="15" customHeight="1">
      <c r="A284" t="inlineStr">
        <is>
          <t>A 28394-2023</t>
        </is>
      </c>
      <c r="B284" s="1" t="n">
        <v>45100</v>
      </c>
      <c r="C284" s="1" t="n">
        <v>46123</v>
      </c>
      <c r="D284" t="inlineStr">
        <is>
          <t>SÖDERMANLANDS LÄN</t>
        </is>
      </c>
      <c r="E284" t="inlineStr">
        <is>
          <t>KATRINEHOLM</t>
        </is>
      </c>
      <c r="G284" t="n">
        <v>4.2</v>
      </c>
      <c r="H284" t="n">
        <v>0</v>
      </c>
      <c r="I284" t="n">
        <v>0</v>
      </c>
      <c r="J284" t="n">
        <v>0</v>
      </c>
      <c r="K284" t="n">
        <v>0</v>
      </c>
      <c r="L284" t="n">
        <v>0</v>
      </c>
      <c r="M284" t="n">
        <v>0</v>
      </c>
      <c r="N284" t="n">
        <v>0</v>
      </c>
      <c r="O284" t="n">
        <v>0</v>
      </c>
      <c r="P284" t="n">
        <v>0</v>
      </c>
      <c r="Q284" t="n">
        <v>0</v>
      </c>
      <c r="R284" s="2" t="inlineStr"/>
    </row>
    <row r="285" ht="15" customHeight="1">
      <c r="A285" t="inlineStr">
        <is>
          <t>A 13658-2023</t>
        </is>
      </c>
      <c r="B285" s="1" t="n">
        <v>45006</v>
      </c>
      <c r="C285" s="1" t="n">
        <v>46123</v>
      </c>
      <c r="D285" t="inlineStr">
        <is>
          <t>SÖDERMANLANDS LÄN</t>
        </is>
      </c>
      <c r="E285" t="inlineStr">
        <is>
          <t>KATRINEHOLM</t>
        </is>
      </c>
      <c r="F285" t="inlineStr">
        <is>
          <t>Kyrkan</t>
        </is>
      </c>
      <c r="G285" t="n">
        <v>24.3</v>
      </c>
      <c r="H285" t="n">
        <v>0</v>
      </c>
      <c r="I285" t="n">
        <v>0</v>
      </c>
      <c r="J285" t="n">
        <v>0</v>
      </c>
      <c r="K285" t="n">
        <v>0</v>
      </c>
      <c r="L285" t="n">
        <v>0</v>
      </c>
      <c r="M285" t="n">
        <v>0</v>
      </c>
      <c r="N285" t="n">
        <v>0</v>
      </c>
      <c r="O285" t="n">
        <v>0</v>
      </c>
      <c r="P285" t="n">
        <v>0</v>
      </c>
      <c r="Q285" t="n">
        <v>0</v>
      </c>
      <c r="R285" s="2" t="inlineStr"/>
    </row>
    <row r="286" ht="15" customHeight="1">
      <c r="A286" t="inlineStr">
        <is>
          <t>A 42474-2025</t>
        </is>
      </c>
      <c r="B286" s="1" t="n">
        <v>45905.46659722222</v>
      </c>
      <c r="C286" s="1" t="n">
        <v>46123</v>
      </c>
      <c r="D286" t="inlineStr">
        <is>
          <t>SÖDERMANLANDS LÄN</t>
        </is>
      </c>
      <c r="E286" t="inlineStr">
        <is>
          <t>KATRINEHOLM</t>
        </is>
      </c>
      <c r="G286" t="n">
        <v>4</v>
      </c>
      <c r="H286" t="n">
        <v>0</v>
      </c>
      <c r="I286" t="n">
        <v>0</v>
      </c>
      <c r="J286" t="n">
        <v>0</v>
      </c>
      <c r="K286" t="n">
        <v>0</v>
      </c>
      <c r="L286" t="n">
        <v>0</v>
      </c>
      <c r="M286" t="n">
        <v>0</v>
      </c>
      <c r="N286" t="n">
        <v>0</v>
      </c>
      <c r="O286" t="n">
        <v>0</v>
      </c>
      <c r="P286" t="n">
        <v>0</v>
      </c>
      <c r="Q286" t="n">
        <v>0</v>
      </c>
      <c r="R286" s="2" t="inlineStr"/>
    </row>
    <row r="287" ht="15" customHeight="1">
      <c r="A287" t="inlineStr">
        <is>
          <t>A 25362-2023</t>
        </is>
      </c>
      <c r="B287" s="1" t="n">
        <v>45088.83430555555</v>
      </c>
      <c r="C287" s="1" t="n">
        <v>46123</v>
      </c>
      <c r="D287" t="inlineStr">
        <is>
          <t>SÖDERMANLANDS LÄN</t>
        </is>
      </c>
      <c r="E287" t="inlineStr">
        <is>
          <t>KATRINEHOLM</t>
        </is>
      </c>
      <c r="G287" t="n">
        <v>1.5</v>
      </c>
      <c r="H287" t="n">
        <v>0</v>
      </c>
      <c r="I287" t="n">
        <v>0</v>
      </c>
      <c r="J287" t="n">
        <v>0</v>
      </c>
      <c r="K287" t="n">
        <v>0</v>
      </c>
      <c r="L287" t="n">
        <v>0</v>
      </c>
      <c r="M287" t="n">
        <v>0</v>
      </c>
      <c r="N287" t="n">
        <v>0</v>
      </c>
      <c r="O287" t="n">
        <v>0</v>
      </c>
      <c r="P287" t="n">
        <v>0</v>
      </c>
      <c r="Q287" t="n">
        <v>0</v>
      </c>
      <c r="R287" s="2" t="inlineStr"/>
    </row>
    <row r="288" ht="15" customHeight="1">
      <c r="A288" t="inlineStr">
        <is>
          <t>A 7459-2022</t>
        </is>
      </c>
      <c r="B288" s="1" t="n">
        <v>44607.35009259259</v>
      </c>
      <c r="C288" s="1" t="n">
        <v>46123</v>
      </c>
      <c r="D288" t="inlineStr">
        <is>
          <t>SÖDERMANLANDS LÄN</t>
        </is>
      </c>
      <c r="E288" t="inlineStr">
        <is>
          <t>KATRINEHOLM</t>
        </is>
      </c>
      <c r="G288" t="n">
        <v>2</v>
      </c>
      <c r="H288" t="n">
        <v>0</v>
      </c>
      <c r="I288" t="n">
        <v>0</v>
      </c>
      <c r="J288" t="n">
        <v>0</v>
      </c>
      <c r="K288" t="n">
        <v>0</v>
      </c>
      <c r="L288" t="n">
        <v>0</v>
      </c>
      <c r="M288" t="n">
        <v>0</v>
      </c>
      <c r="N288" t="n">
        <v>0</v>
      </c>
      <c r="O288" t="n">
        <v>0</v>
      </c>
      <c r="P288" t="n">
        <v>0</v>
      </c>
      <c r="Q288" t="n">
        <v>0</v>
      </c>
      <c r="R288" s="2" t="inlineStr"/>
    </row>
    <row r="289" ht="15" customHeight="1">
      <c r="A289" t="inlineStr">
        <is>
          <t>A 42799-2025</t>
        </is>
      </c>
      <c r="B289" s="1" t="n">
        <v>45907</v>
      </c>
      <c r="C289" s="1" t="n">
        <v>46123</v>
      </c>
      <c r="D289" t="inlineStr">
        <is>
          <t>SÖDERMANLANDS LÄN</t>
        </is>
      </c>
      <c r="E289" t="inlineStr">
        <is>
          <t>KATRINEHOLM</t>
        </is>
      </c>
      <c r="G289" t="n">
        <v>3.9</v>
      </c>
      <c r="H289" t="n">
        <v>0</v>
      </c>
      <c r="I289" t="n">
        <v>0</v>
      </c>
      <c r="J289" t="n">
        <v>0</v>
      </c>
      <c r="K289" t="n">
        <v>0</v>
      </c>
      <c r="L289" t="n">
        <v>0</v>
      </c>
      <c r="M289" t="n">
        <v>0</v>
      </c>
      <c r="N289" t="n">
        <v>0</v>
      </c>
      <c r="O289" t="n">
        <v>0</v>
      </c>
      <c r="P289" t="n">
        <v>0</v>
      </c>
      <c r="Q289" t="n">
        <v>0</v>
      </c>
      <c r="R289" s="2" t="inlineStr"/>
    </row>
    <row r="290" ht="15" customHeight="1">
      <c r="A290" t="inlineStr">
        <is>
          <t>A 47456-2022</t>
        </is>
      </c>
      <c r="B290" s="1" t="n">
        <v>44852</v>
      </c>
      <c r="C290" s="1" t="n">
        <v>46123</v>
      </c>
      <c r="D290" t="inlineStr">
        <is>
          <t>SÖDERMANLANDS LÄN</t>
        </is>
      </c>
      <c r="E290" t="inlineStr">
        <is>
          <t>KATRINEHOLM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4656-2023</t>
        </is>
      </c>
      <c r="B291" s="1" t="n">
        <v>44957</v>
      </c>
      <c r="C291" s="1" t="n">
        <v>46123</v>
      </c>
      <c r="D291" t="inlineStr">
        <is>
          <t>SÖDERMANLANDS LÄN</t>
        </is>
      </c>
      <c r="E291" t="inlineStr">
        <is>
          <t>KATRINEHOLM</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49078-2024</t>
        </is>
      </c>
      <c r="B292" s="1" t="n">
        <v>45594.62556712963</v>
      </c>
      <c r="C292" s="1" t="n">
        <v>46123</v>
      </c>
      <c r="D292" t="inlineStr">
        <is>
          <t>SÖDERMANLANDS LÄN</t>
        </is>
      </c>
      <c r="E292" t="inlineStr">
        <is>
          <t>KATRINEHOLM</t>
        </is>
      </c>
      <c r="F292" t="inlineStr">
        <is>
          <t>Övriga Aktiebolag</t>
        </is>
      </c>
      <c r="G292" t="n">
        <v>0.4</v>
      </c>
      <c r="H292" t="n">
        <v>0</v>
      </c>
      <c r="I292" t="n">
        <v>0</v>
      </c>
      <c r="J292" t="n">
        <v>0</v>
      </c>
      <c r="K292" t="n">
        <v>0</v>
      </c>
      <c r="L292" t="n">
        <v>0</v>
      </c>
      <c r="M292" t="n">
        <v>0</v>
      </c>
      <c r="N292" t="n">
        <v>0</v>
      </c>
      <c r="O292" t="n">
        <v>0</v>
      </c>
      <c r="P292" t="n">
        <v>0</v>
      </c>
      <c r="Q292" t="n">
        <v>0</v>
      </c>
      <c r="R292" s="2" t="inlineStr"/>
    </row>
    <row r="293" ht="15" customHeight="1">
      <c r="A293" t="inlineStr">
        <is>
          <t>A 35188-2022</t>
        </is>
      </c>
      <c r="B293" s="1" t="n">
        <v>44797</v>
      </c>
      <c r="C293" s="1" t="n">
        <v>46123</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5327-2025</t>
        </is>
      </c>
      <c r="B294" s="1" t="n">
        <v>45692</v>
      </c>
      <c r="C294" s="1" t="n">
        <v>46123</v>
      </c>
      <c r="D294" t="inlineStr">
        <is>
          <t>SÖDERMANLANDS LÄN</t>
        </is>
      </c>
      <c r="E294" t="inlineStr">
        <is>
          <t>KATRINEHOLM</t>
        </is>
      </c>
      <c r="F294" t="inlineStr">
        <is>
          <t>Kommuner</t>
        </is>
      </c>
      <c r="G294" t="n">
        <v>0.5</v>
      </c>
      <c r="H294" t="n">
        <v>0</v>
      </c>
      <c r="I294" t="n">
        <v>0</v>
      </c>
      <c r="J294" t="n">
        <v>0</v>
      </c>
      <c r="K294" t="n">
        <v>0</v>
      </c>
      <c r="L294" t="n">
        <v>0</v>
      </c>
      <c r="M294" t="n">
        <v>0</v>
      </c>
      <c r="N294" t="n">
        <v>0</v>
      </c>
      <c r="O294" t="n">
        <v>0</v>
      </c>
      <c r="P294" t="n">
        <v>0</v>
      </c>
      <c r="Q294" t="n">
        <v>0</v>
      </c>
      <c r="R294" s="2" t="inlineStr"/>
    </row>
    <row r="295" ht="15" customHeight="1">
      <c r="A295" t="inlineStr">
        <is>
          <t>A 42686-2025</t>
        </is>
      </c>
      <c r="B295" s="1" t="n">
        <v>45908.35550925926</v>
      </c>
      <c r="C295" s="1" t="n">
        <v>46123</v>
      </c>
      <c r="D295" t="inlineStr">
        <is>
          <t>SÖDERMANLANDS LÄN</t>
        </is>
      </c>
      <c r="E295" t="inlineStr">
        <is>
          <t>KATRINEHOLM</t>
        </is>
      </c>
      <c r="G295" t="n">
        <v>0.9</v>
      </c>
      <c r="H295" t="n">
        <v>0</v>
      </c>
      <c r="I295" t="n">
        <v>0</v>
      </c>
      <c r="J295" t="n">
        <v>0</v>
      </c>
      <c r="K295" t="n">
        <v>0</v>
      </c>
      <c r="L295" t="n">
        <v>0</v>
      </c>
      <c r="M295" t="n">
        <v>0</v>
      </c>
      <c r="N295" t="n">
        <v>0</v>
      </c>
      <c r="O295" t="n">
        <v>0</v>
      </c>
      <c r="P295" t="n">
        <v>0</v>
      </c>
      <c r="Q295" t="n">
        <v>0</v>
      </c>
      <c r="R295" s="2" t="inlineStr"/>
    </row>
    <row r="296" ht="15" customHeight="1">
      <c r="A296" t="inlineStr">
        <is>
          <t>A 32890-2024</t>
        </is>
      </c>
      <c r="B296" s="1" t="n">
        <v>45516</v>
      </c>
      <c r="C296" s="1" t="n">
        <v>46123</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39704-2023</t>
        </is>
      </c>
      <c r="B297" s="1" t="n">
        <v>45167</v>
      </c>
      <c r="C297" s="1" t="n">
        <v>46123</v>
      </c>
      <c r="D297" t="inlineStr">
        <is>
          <t>SÖDERMANLANDS LÄN</t>
        </is>
      </c>
      <c r="E297" t="inlineStr">
        <is>
          <t>KATRINEHOLM</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6175-2023</t>
        </is>
      </c>
      <c r="B298" s="1" t="n">
        <v>44964</v>
      </c>
      <c r="C298" s="1" t="n">
        <v>46123</v>
      </c>
      <c r="D298" t="inlineStr">
        <is>
          <t>SÖDERMANLANDS LÄN</t>
        </is>
      </c>
      <c r="E298" t="inlineStr">
        <is>
          <t>KATRINEHOLM</t>
        </is>
      </c>
      <c r="G298" t="n">
        <v>11.2</v>
      </c>
      <c r="H298" t="n">
        <v>0</v>
      </c>
      <c r="I298" t="n">
        <v>0</v>
      </c>
      <c r="J298" t="n">
        <v>0</v>
      </c>
      <c r="K298" t="n">
        <v>0</v>
      </c>
      <c r="L298" t="n">
        <v>0</v>
      </c>
      <c r="M298" t="n">
        <v>0</v>
      </c>
      <c r="N298" t="n">
        <v>0</v>
      </c>
      <c r="O298" t="n">
        <v>0</v>
      </c>
      <c r="P298" t="n">
        <v>0</v>
      </c>
      <c r="Q298" t="n">
        <v>0</v>
      </c>
      <c r="R298" s="2" t="inlineStr"/>
    </row>
    <row r="299" ht="15" customHeight="1">
      <c r="A299" t="inlineStr">
        <is>
          <t>A 4655-2024</t>
        </is>
      </c>
      <c r="B299" s="1" t="n">
        <v>45328</v>
      </c>
      <c r="C299" s="1" t="n">
        <v>46123</v>
      </c>
      <c r="D299" t="inlineStr">
        <is>
          <t>SÖDERMANLANDS LÄN</t>
        </is>
      </c>
      <c r="E299" t="inlineStr">
        <is>
          <t>KATRINEHOLM</t>
        </is>
      </c>
      <c r="G299" t="n">
        <v>17.7</v>
      </c>
      <c r="H299" t="n">
        <v>0</v>
      </c>
      <c r="I299" t="n">
        <v>0</v>
      </c>
      <c r="J299" t="n">
        <v>0</v>
      </c>
      <c r="K299" t="n">
        <v>0</v>
      </c>
      <c r="L299" t="n">
        <v>0</v>
      </c>
      <c r="M299" t="n">
        <v>0</v>
      </c>
      <c r="N299" t="n">
        <v>0</v>
      </c>
      <c r="O299" t="n">
        <v>0</v>
      </c>
      <c r="P299" t="n">
        <v>0</v>
      </c>
      <c r="Q299" t="n">
        <v>0</v>
      </c>
      <c r="R299" s="2" t="inlineStr"/>
    </row>
    <row r="300" ht="15" customHeight="1">
      <c r="A300" t="inlineStr">
        <is>
          <t>A 15235-2023</t>
        </is>
      </c>
      <c r="B300" s="1" t="n">
        <v>45019</v>
      </c>
      <c r="C300" s="1" t="n">
        <v>46123</v>
      </c>
      <c r="D300" t="inlineStr">
        <is>
          <t>SÖDERMANLANDS LÄN</t>
        </is>
      </c>
      <c r="E300" t="inlineStr">
        <is>
          <t>KATRINEHOLM</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24748-2024</t>
        </is>
      </c>
      <c r="B301" s="1" t="n">
        <v>45460.66567129629</v>
      </c>
      <c r="C301" s="1" t="n">
        <v>46123</v>
      </c>
      <c r="D301" t="inlineStr">
        <is>
          <t>SÖDERMANLANDS LÄN</t>
        </is>
      </c>
      <c r="E301" t="inlineStr">
        <is>
          <t>KATRINEHOLM</t>
        </is>
      </c>
      <c r="G301" t="n">
        <v>3.3</v>
      </c>
      <c r="H301" t="n">
        <v>0</v>
      </c>
      <c r="I301" t="n">
        <v>0</v>
      </c>
      <c r="J301" t="n">
        <v>0</v>
      </c>
      <c r="K301" t="n">
        <v>0</v>
      </c>
      <c r="L301" t="n">
        <v>0</v>
      </c>
      <c r="M301" t="n">
        <v>0</v>
      </c>
      <c r="N301" t="n">
        <v>0</v>
      </c>
      <c r="O301" t="n">
        <v>0</v>
      </c>
      <c r="P301" t="n">
        <v>0</v>
      </c>
      <c r="Q301" t="n">
        <v>0</v>
      </c>
      <c r="R301" s="2" t="inlineStr"/>
    </row>
    <row r="302" ht="15" customHeight="1">
      <c r="A302" t="inlineStr">
        <is>
          <t>A 50316-2023</t>
        </is>
      </c>
      <c r="B302" s="1" t="n">
        <v>45209</v>
      </c>
      <c r="C302" s="1" t="n">
        <v>46123</v>
      </c>
      <c r="D302" t="inlineStr">
        <is>
          <t>SÖDERMANLANDS LÄN</t>
        </is>
      </c>
      <c r="E302" t="inlineStr">
        <is>
          <t>KATRINEHOLM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43975-2025</t>
        </is>
      </c>
      <c r="B303" s="1" t="n">
        <v>45915.41148148148</v>
      </c>
      <c r="C303" s="1" t="n">
        <v>46123</v>
      </c>
      <c r="D303" t="inlineStr">
        <is>
          <t>SÖDERMANLANDS LÄN</t>
        </is>
      </c>
      <c r="E303" t="inlineStr">
        <is>
          <t>KATRINEHOLM</t>
        </is>
      </c>
      <c r="G303" t="n">
        <v>1.8</v>
      </c>
      <c r="H303" t="n">
        <v>0</v>
      </c>
      <c r="I303" t="n">
        <v>0</v>
      </c>
      <c r="J303" t="n">
        <v>0</v>
      </c>
      <c r="K303" t="n">
        <v>0</v>
      </c>
      <c r="L303" t="n">
        <v>0</v>
      </c>
      <c r="M303" t="n">
        <v>0</v>
      </c>
      <c r="N303" t="n">
        <v>0</v>
      </c>
      <c r="O303" t="n">
        <v>0</v>
      </c>
      <c r="P303" t="n">
        <v>0</v>
      </c>
      <c r="Q303" t="n">
        <v>0</v>
      </c>
      <c r="R303" s="2" t="inlineStr"/>
    </row>
    <row r="304" ht="15" customHeight="1">
      <c r="A304" t="inlineStr">
        <is>
          <t>A 51404-2023</t>
        </is>
      </c>
      <c r="B304" s="1" t="n">
        <v>45214</v>
      </c>
      <c r="C304" s="1" t="n">
        <v>46123</v>
      </c>
      <c r="D304" t="inlineStr">
        <is>
          <t>SÖDERMANLANDS LÄN</t>
        </is>
      </c>
      <c r="E304" t="inlineStr">
        <is>
          <t>KATRINEHOLM</t>
        </is>
      </c>
      <c r="G304" t="n">
        <v>9</v>
      </c>
      <c r="H304" t="n">
        <v>0</v>
      </c>
      <c r="I304" t="n">
        <v>0</v>
      </c>
      <c r="J304" t="n">
        <v>0</v>
      </c>
      <c r="K304" t="n">
        <v>0</v>
      </c>
      <c r="L304" t="n">
        <v>0</v>
      </c>
      <c r="M304" t="n">
        <v>0</v>
      </c>
      <c r="N304" t="n">
        <v>0</v>
      </c>
      <c r="O304" t="n">
        <v>0</v>
      </c>
      <c r="P304" t="n">
        <v>0</v>
      </c>
      <c r="Q304" t="n">
        <v>0</v>
      </c>
      <c r="R304" s="2" t="inlineStr"/>
    </row>
    <row r="305" ht="15" customHeight="1">
      <c r="A305" t="inlineStr">
        <is>
          <t>A 44915-2022</t>
        </is>
      </c>
      <c r="B305" s="1" t="n">
        <v>44840</v>
      </c>
      <c r="C305" s="1" t="n">
        <v>46123</v>
      </c>
      <c r="D305" t="inlineStr">
        <is>
          <t>SÖDERMANLANDS LÄN</t>
        </is>
      </c>
      <c r="E305" t="inlineStr">
        <is>
          <t>KATRINEHOLM</t>
        </is>
      </c>
      <c r="G305" t="n">
        <v>6.3</v>
      </c>
      <c r="H305" t="n">
        <v>0</v>
      </c>
      <c r="I305" t="n">
        <v>0</v>
      </c>
      <c r="J305" t="n">
        <v>0</v>
      </c>
      <c r="K305" t="n">
        <v>0</v>
      </c>
      <c r="L305" t="n">
        <v>0</v>
      </c>
      <c r="M305" t="n">
        <v>0</v>
      </c>
      <c r="N305" t="n">
        <v>0</v>
      </c>
      <c r="O305" t="n">
        <v>0</v>
      </c>
      <c r="P305" t="n">
        <v>0</v>
      </c>
      <c r="Q305" t="n">
        <v>0</v>
      </c>
      <c r="R305" s="2" t="inlineStr"/>
    </row>
    <row r="306" ht="15" customHeight="1">
      <c r="A306" t="inlineStr">
        <is>
          <t>A 45793-2022</t>
        </is>
      </c>
      <c r="B306" s="1" t="n">
        <v>44844</v>
      </c>
      <c r="C306" s="1" t="n">
        <v>46123</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44071-2025</t>
        </is>
      </c>
      <c r="B307" s="1" t="n">
        <v>45915</v>
      </c>
      <c r="C307" s="1" t="n">
        <v>46123</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15898-2022</t>
        </is>
      </c>
      <c r="B308" s="1" t="n">
        <v>44664.55688657407</v>
      </c>
      <c r="C308" s="1" t="n">
        <v>46123</v>
      </c>
      <c r="D308" t="inlineStr">
        <is>
          <t>SÖDERMANLANDS LÄN</t>
        </is>
      </c>
      <c r="E308" t="inlineStr">
        <is>
          <t>KATRINEHOLM</t>
        </is>
      </c>
      <c r="G308" t="n">
        <v>6.5</v>
      </c>
      <c r="H308" t="n">
        <v>0</v>
      </c>
      <c r="I308" t="n">
        <v>0</v>
      </c>
      <c r="J308" t="n">
        <v>0</v>
      </c>
      <c r="K308" t="n">
        <v>0</v>
      </c>
      <c r="L308" t="n">
        <v>0</v>
      </c>
      <c r="M308" t="n">
        <v>0</v>
      </c>
      <c r="N308" t="n">
        <v>0</v>
      </c>
      <c r="O308" t="n">
        <v>0</v>
      </c>
      <c r="P308" t="n">
        <v>0</v>
      </c>
      <c r="Q308" t="n">
        <v>0</v>
      </c>
      <c r="R308" s="2" t="inlineStr"/>
    </row>
    <row r="309" ht="15" customHeight="1">
      <c r="A309" t="inlineStr">
        <is>
          <t>A 15910-2022</t>
        </is>
      </c>
      <c r="B309" s="1" t="n">
        <v>44664</v>
      </c>
      <c r="C309" s="1" t="n">
        <v>46123</v>
      </c>
      <c r="D309" t="inlineStr">
        <is>
          <t>SÖDERMANLANDS LÄN</t>
        </is>
      </c>
      <c r="E309" t="inlineStr">
        <is>
          <t>KATRINEHOLM</t>
        </is>
      </c>
      <c r="G309" t="n">
        <v>5.6</v>
      </c>
      <c r="H309" t="n">
        <v>0</v>
      </c>
      <c r="I309" t="n">
        <v>0</v>
      </c>
      <c r="J309" t="n">
        <v>0</v>
      </c>
      <c r="K309" t="n">
        <v>0</v>
      </c>
      <c r="L309" t="n">
        <v>0</v>
      </c>
      <c r="M309" t="n">
        <v>0</v>
      </c>
      <c r="N309" t="n">
        <v>0</v>
      </c>
      <c r="O309" t="n">
        <v>0</v>
      </c>
      <c r="P309" t="n">
        <v>0</v>
      </c>
      <c r="Q309" t="n">
        <v>0</v>
      </c>
      <c r="R309" s="2" t="inlineStr"/>
    </row>
    <row r="310" ht="15" customHeight="1">
      <c r="A310" t="inlineStr">
        <is>
          <t>A 64605-2023</t>
        </is>
      </c>
      <c r="B310" s="1" t="n">
        <v>45281</v>
      </c>
      <c r="C310" s="1" t="n">
        <v>46123</v>
      </c>
      <c r="D310" t="inlineStr">
        <is>
          <t>SÖDERMANLANDS LÄN</t>
        </is>
      </c>
      <c r="E310" t="inlineStr">
        <is>
          <t>KATRINEHOLM</t>
        </is>
      </c>
      <c r="G310" t="n">
        <v>0.5</v>
      </c>
      <c r="H310" t="n">
        <v>0</v>
      </c>
      <c r="I310" t="n">
        <v>0</v>
      </c>
      <c r="J310" t="n">
        <v>0</v>
      </c>
      <c r="K310" t="n">
        <v>0</v>
      </c>
      <c r="L310" t="n">
        <v>0</v>
      </c>
      <c r="M310" t="n">
        <v>0</v>
      </c>
      <c r="N310" t="n">
        <v>0</v>
      </c>
      <c r="O310" t="n">
        <v>0</v>
      </c>
      <c r="P310" t="n">
        <v>0</v>
      </c>
      <c r="Q310" t="n">
        <v>0</v>
      </c>
      <c r="R310" s="2" t="inlineStr"/>
    </row>
    <row r="311" ht="15" customHeight="1">
      <c r="A311" t="inlineStr">
        <is>
          <t>A 64652-2023</t>
        </is>
      </c>
      <c r="B311" s="1" t="n">
        <v>45281</v>
      </c>
      <c r="C311" s="1" t="n">
        <v>46123</v>
      </c>
      <c r="D311" t="inlineStr">
        <is>
          <t>SÖDERMANLANDS LÄN</t>
        </is>
      </c>
      <c r="E311" t="inlineStr">
        <is>
          <t>KATRINEHOLM</t>
        </is>
      </c>
      <c r="F311" t="inlineStr">
        <is>
          <t>Övriga Aktiebolag</t>
        </is>
      </c>
      <c r="G311" t="n">
        <v>2.2</v>
      </c>
      <c r="H311" t="n">
        <v>0</v>
      </c>
      <c r="I311" t="n">
        <v>0</v>
      </c>
      <c r="J311" t="n">
        <v>0</v>
      </c>
      <c r="K311" t="n">
        <v>0</v>
      </c>
      <c r="L311" t="n">
        <v>0</v>
      </c>
      <c r="M311" t="n">
        <v>0</v>
      </c>
      <c r="N311" t="n">
        <v>0</v>
      </c>
      <c r="O311" t="n">
        <v>0</v>
      </c>
      <c r="P311" t="n">
        <v>0</v>
      </c>
      <c r="Q311" t="n">
        <v>0</v>
      </c>
      <c r="R311" s="2" t="inlineStr"/>
    </row>
    <row r="312" ht="15" customHeight="1">
      <c r="A312" t="inlineStr">
        <is>
          <t>A 45438-2021</t>
        </is>
      </c>
      <c r="B312" s="1" t="n">
        <v>44440</v>
      </c>
      <c r="C312" s="1" t="n">
        <v>46123</v>
      </c>
      <c r="D312" t="inlineStr">
        <is>
          <t>SÖDERMANLANDS LÄN</t>
        </is>
      </c>
      <c r="E312" t="inlineStr">
        <is>
          <t>KATRINEHOLM</t>
        </is>
      </c>
      <c r="F312" t="inlineStr">
        <is>
          <t>Kommuner</t>
        </is>
      </c>
      <c r="G312" t="n">
        <v>1.5</v>
      </c>
      <c r="H312" t="n">
        <v>0</v>
      </c>
      <c r="I312" t="n">
        <v>0</v>
      </c>
      <c r="J312" t="n">
        <v>0</v>
      </c>
      <c r="K312" t="n">
        <v>0</v>
      </c>
      <c r="L312" t="n">
        <v>0</v>
      </c>
      <c r="M312" t="n">
        <v>0</v>
      </c>
      <c r="N312" t="n">
        <v>0</v>
      </c>
      <c r="O312" t="n">
        <v>0</v>
      </c>
      <c r="P312" t="n">
        <v>0</v>
      </c>
      <c r="Q312" t="n">
        <v>0</v>
      </c>
      <c r="R312" s="2" t="inlineStr"/>
    </row>
    <row r="313" ht="15" customHeight="1">
      <c r="A313" t="inlineStr">
        <is>
          <t>A 29830-2023</t>
        </is>
      </c>
      <c r="B313" s="1" t="n">
        <v>45107</v>
      </c>
      <c r="C313" s="1" t="n">
        <v>46123</v>
      </c>
      <c r="D313" t="inlineStr">
        <is>
          <t>SÖDERMANLANDS LÄN</t>
        </is>
      </c>
      <c r="E313" t="inlineStr">
        <is>
          <t>KATRINEHOLM</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15184-2023</t>
        </is>
      </c>
      <c r="B314" s="1" t="n">
        <v>45016</v>
      </c>
      <c r="C314" s="1" t="n">
        <v>46123</v>
      </c>
      <c r="D314" t="inlineStr">
        <is>
          <t>SÖDERMANLANDS LÄN</t>
        </is>
      </c>
      <c r="E314" t="inlineStr">
        <is>
          <t>KATRINEHOLM</t>
        </is>
      </c>
      <c r="G314" t="n">
        <v>1.1</v>
      </c>
      <c r="H314" t="n">
        <v>0</v>
      </c>
      <c r="I314" t="n">
        <v>0</v>
      </c>
      <c r="J314" t="n">
        <v>0</v>
      </c>
      <c r="K314" t="n">
        <v>0</v>
      </c>
      <c r="L314" t="n">
        <v>0</v>
      </c>
      <c r="M314" t="n">
        <v>0</v>
      </c>
      <c r="N314" t="n">
        <v>0</v>
      </c>
      <c r="O314" t="n">
        <v>0</v>
      </c>
      <c r="P314" t="n">
        <v>0</v>
      </c>
      <c r="Q314" t="n">
        <v>0</v>
      </c>
      <c r="R314" s="2" t="inlineStr"/>
    </row>
    <row r="315" ht="15" customHeight="1">
      <c r="A315" t="inlineStr">
        <is>
          <t>A 28582-2024</t>
        </is>
      </c>
      <c r="B315" s="1" t="n">
        <v>45478.40751157407</v>
      </c>
      <c r="C315" s="1" t="n">
        <v>46123</v>
      </c>
      <c r="D315" t="inlineStr">
        <is>
          <t>SÖDERMANLANDS LÄN</t>
        </is>
      </c>
      <c r="E315" t="inlineStr">
        <is>
          <t>KATRINEHOLM</t>
        </is>
      </c>
      <c r="F315" t="inlineStr">
        <is>
          <t>Övriga Aktiebolag</t>
        </is>
      </c>
      <c r="G315" t="n">
        <v>4</v>
      </c>
      <c r="H315" t="n">
        <v>0</v>
      </c>
      <c r="I315" t="n">
        <v>0</v>
      </c>
      <c r="J315" t="n">
        <v>0</v>
      </c>
      <c r="K315" t="n">
        <v>0</v>
      </c>
      <c r="L315" t="n">
        <v>0</v>
      </c>
      <c r="M315" t="n">
        <v>0</v>
      </c>
      <c r="N315" t="n">
        <v>0</v>
      </c>
      <c r="O315" t="n">
        <v>0</v>
      </c>
      <c r="P315" t="n">
        <v>0</v>
      </c>
      <c r="Q315" t="n">
        <v>0</v>
      </c>
      <c r="R315" s="2" t="inlineStr"/>
    </row>
    <row r="316" ht="15" customHeight="1">
      <c r="A316" t="inlineStr">
        <is>
          <t>A 29394-2024</t>
        </is>
      </c>
      <c r="B316" s="1" t="n">
        <v>45483</v>
      </c>
      <c r="C316" s="1" t="n">
        <v>46123</v>
      </c>
      <c r="D316" t="inlineStr">
        <is>
          <t>SÖDERMANLANDS LÄN</t>
        </is>
      </c>
      <c r="E316" t="inlineStr">
        <is>
          <t>KATRINEHOLM</t>
        </is>
      </c>
      <c r="G316" t="n">
        <v>0.9</v>
      </c>
      <c r="H316" t="n">
        <v>0</v>
      </c>
      <c r="I316" t="n">
        <v>0</v>
      </c>
      <c r="J316" t="n">
        <v>0</v>
      </c>
      <c r="K316" t="n">
        <v>0</v>
      </c>
      <c r="L316" t="n">
        <v>0</v>
      </c>
      <c r="M316" t="n">
        <v>0</v>
      </c>
      <c r="N316" t="n">
        <v>0</v>
      </c>
      <c r="O316" t="n">
        <v>0</v>
      </c>
      <c r="P316" t="n">
        <v>0</v>
      </c>
      <c r="Q316" t="n">
        <v>0</v>
      </c>
      <c r="R316" s="2" t="inlineStr"/>
    </row>
    <row r="317" ht="15" customHeight="1">
      <c r="A317" t="inlineStr">
        <is>
          <t>A 46011-2021</t>
        </is>
      </c>
      <c r="B317" s="1" t="n">
        <v>44441.88092592593</v>
      </c>
      <c r="C317" s="1" t="n">
        <v>46123</v>
      </c>
      <c r="D317" t="inlineStr">
        <is>
          <t>SÖDERMANLANDS LÄN</t>
        </is>
      </c>
      <c r="E317" t="inlineStr">
        <is>
          <t>KATRINEHOLM</t>
        </is>
      </c>
      <c r="G317" t="n">
        <v>4.7</v>
      </c>
      <c r="H317" t="n">
        <v>0</v>
      </c>
      <c r="I317" t="n">
        <v>0</v>
      </c>
      <c r="J317" t="n">
        <v>0</v>
      </c>
      <c r="K317" t="n">
        <v>0</v>
      </c>
      <c r="L317" t="n">
        <v>0</v>
      </c>
      <c r="M317" t="n">
        <v>0</v>
      </c>
      <c r="N317" t="n">
        <v>0</v>
      </c>
      <c r="O317" t="n">
        <v>0</v>
      </c>
      <c r="P317" t="n">
        <v>0</v>
      </c>
      <c r="Q317" t="n">
        <v>0</v>
      </c>
      <c r="R317" s="2" t="inlineStr"/>
    </row>
    <row r="318" ht="15" customHeight="1">
      <c r="A318" t="inlineStr">
        <is>
          <t>A 22113-2025</t>
        </is>
      </c>
      <c r="B318" s="1" t="n">
        <v>45785</v>
      </c>
      <c r="C318" s="1" t="n">
        <v>46123</v>
      </c>
      <c r="D318" t="inlineStr">
        <is>
          <t>SÖDERMANLANDS LÄN</t>
        </is>
      </c>
      <c r="E318" t="inlineStr">
        <is>
          <t>KATRINEHOLM</t>
        </is>
      </c>
      <c r="G318" t="n">
        <v>1.2</v>
      </c>
      <c r="H318" t="n">
        <v>0</v>
      </c>
      <c r="I318" t="n">
        <v>0</v>
      </c>
      <c r="J318" t="n">
        <v>0</v>
      </c>
      <c r="K318" t="n">
        <v>0</v>
      </c>
      <c r="L318" t="n">
        <v>0</v>
      </c>
      <c r="M318" t="n">
        <v>0</v>
      </c>
      <c r="N318" t="n">
        <v>0</v>
      </c>
      <c r="O318" t="n">
        <v>0</v>
      </c>
      <c r="P318" t="n">
        <v>0</v>
      </c>
      <c r="Q318" t="n">
        <v>0</v>
      </c>
      <c r="R318" s="2" t="inlineStr"/>
    </row>
    <row r="319" ht="15" customHeight="1">
      <c r="A319" t="inlineStr">
        <is>
          <t>A 30387-2022</t>
        </is>
      </c>
      <c r="B319" s="1" t="n">
        <v>44760</v>
      </c>
      <c r="C319" s="1" t="n">
        <v>46123</v>
      </c>
      <c r="D319" t="inlineStr">
        <is>
          <t>SÖDERMANLANDS LÄN</t>
        </is>
      </c>
      <c r="E319" t="inlineStr">
        <is>
          <t>KATRINEHOLM</t>
        </is>
      </c>
      <c r="G319" t="n">
        <v>1.9</v>
      </c>
      <c r="H319" t="n">
        <v>0</v>
      </c>
      <c r="I319" t="n">
        <v>0</v>
      </c>
      <c r="J319" t="n">
        <v>0</v>
      </c>
      <c r="K319" t="n">
        <v>0</v>
      </c>
      <c r="L319" t="n">
        <v>0</v>
      </c>
      <c r="M319" t="n">
        <v>0</v>
      </c>
      <c r="N319" t="n">
        <v>0</v>
      </c>
      <c r="O319" t="n">
        <v>0</v>
      </c>
      <c r="P319" t="n">
        <v>0</v>
      </c>
      <c r="Q319" t="n">
        <v>0</v>
      </c>
      <c r="R319" s="2" t="inlineStr"/>
    </row>
    <row r="320" ht="15" customHeight="1">
      <c r="A320" t="inlineStr">
        <is>
          <t>A 4387-2024</t>
        </is>
      </c>
      <c r="B320" s="1" t="n">
        <v>45327.35068287037</v>
      </c>
      <c r="C320" s="1" t="n">
        <v>46123</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61394-2024</t>
        </is>
      </c>
      <c r="B321" s="1" t="n">
        <v>45646.42061342593</v>
      </c>
      <c r="C321" s="1" t="n">
        <v>46123</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931-2023</t>
        </is>
      </c>
      <c r="B322" s="1" t="n">
        <v>44932.74261574074</v>
      </c>
      <c r="C322" s="1" t="n">
        <v>46123</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18386-2025</t>
        </is>
      </c>
      <c r="B323" s="1" t="n">
        <v>45762</v>
      </c>
      <c r="C323" s="1" t="n">
        <v>46123</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14313-2024</t>
        </is>
      </c>
      <c r="B324" s="1" t="n">
        <v>45393</v>
      </c>
      <c r="C324" s="1" t="n">
        <v>46123</v>
      </c>
      <c r="D324" t="inlineStr">
        <is>
          <t>SÖDERMANLANDS LÄN</t>
        </is>
      </c>
      <c r="E324" t="inlineStr">
        <is>
          <t>KATRINEHOLM</t>
        </is>
      </c>
      <c r="G324" t="n">
        <v>3.1</v>
      </c>
      <c r="H324" t="n">
        <v>0</v>
      </c>
      <c r="I324" t="n">
        <v>0</v>
      </c>
      <c r="J324" t="n">
        <v>0</v>
      </c>
      <c r="K324" t="n">
        <v>0</v>
      </c>
      <c r="L324" t="n">
        <v>0</v>
      </c>
      <c r="M324" t="n">
        <v>0</v>
      </c>
      <c r="N324" t="n">
        <v>0</v>
      </c>
      <c r="O324" t="n">
        <v>0</v>
      </c>
      <c r="P324" t="n">
        <v>0</v>
      </c>
      <c r="Q324" t="n">
        <v>0</v>
      </c>
      <c r="R324" s="2" t="inlineStr"/>
    </row>
    <row r="325" ht="15" customHeight="1">
      <c r="A325" t="inlineStr">
        <is>
          <t>A 12938-2023</t>
        </is>
      </c>
      <c r="B325" s="1" t="n">
        <v>45001</v>
      </c>
      <c r="C325" s="1" t="n">
        <v>46123</v>
      </c>
      <c r="D325" t="inlineStr">
        <is>
          <t>SÖDERMANLANDS LÄN</t>
        </is>
      </c>
      <c r="E325" t="inlineStr">
        <is>
          <t>KATRINEHOLM</t>
        </is>
      </c>
      <c r="G325" t="n">
        <v>0.4</v>
      </c>
      <c r="H325" t="n">
        <v>0</v>
      </c>
      <c r="I325" t="n">
        <v>0</v>
      </c>
      <c r="J325" t="n">
        <v>0</v>
      </c>
      <c r="K325" t="n">
        <v>0</v>
      </c>
      <c r="L325" t="n">
        <v>0</v>
      </c>
      <c r="M325" t="n">
        <v>0</v>
      </c>
      <c r="N325" t="n">
        <v>0</v>
      </c>
      <c r="O325" t="n">
        <v>0</v>
      </c>
      <c r="P325" t="n">
        <v>0</v>
      </c>
      <c r="Q325" t="n">
        <v>0</v>
      </c>
      <c r="R325" s="2" t="inlineStr"/>
    </row>
    <row r="326" ht="15" customHeight="1">
      <c r="A326" t="inlineStr">
        <is>
          <t>A 38883-2024</t>
        </is>
      </c>
      <c r="B326" s="1" t="n">
        <v>45547</v>
      </c>
      <c r="C326" s="1" t="n">
        <v>46123</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6796-2022</t>
        </is>
      </c>
      <c r="B327" s="1" t="n">
        <v>44602</v>
      </c>
      <c r="C327" s="1" t="n">
        <v>46123</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52857-2021</t>
        </is>
      </c>
      <c r="B328" s="1" t="n">
        <v>44466</v>
      </c>
      <c r="C328" s="1" t="n">
        <v>46123</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7398-2024</t>
        </is>
      </c>
      <c r="B329" s="1" t="n">
        <v>45345</v>
      </c>
      <c r="C329" s="1" t="n">
        <v>46123</v>
      </c>
      <c r="D329" t="inlineStr">
        <is>
          <t>SÖDERMANLANDS LÄN</t>
        </is>
      </c>
      <c r="E329" t="inlineStr">
        <is>
          <t>KATRINEHOLM</t>
        </is>
      </c>
      <c r="G329" t="n">
        <v>4.4</v>
      </c>
      <c r="H329" t="n">
        <v>0</v>
      </c>
      <c r="I329" t="n">
        <v>0</v>
      </c>
      <c r="J329" t="n">
        <v>0</v>
      </c>
      <c r="K329" t="n">
        <v>0</v>
      </c>
      <c r="L329" t="n">
        <v>0</v>
      </c>
      <c r="M329" t="n">
        <v>0</v>
      </c>
      <c r="N329" t="n">
        <v>0</v>
      </c>
      <c r="O329" t="n">
        <v>0</v>
      </c>
      <c r="P329" t="n">
        <v>0</v>
      </c>
      <c r="Q329" t="n">
        <v>0</v>
      </c>
      <c r="R329" s="2" t="inlineStr"/>
    </row>
    <row r="330" ht="15" customHeight="1">
      <c r="A330" t="inlineStr">
        <is>
          <t>A 22119-2025</t>
        </is>
      </c>
      <c r="B330" s="1" t="n">
        <v>45785</v>
      </c>
      <c r="C330" s="1" t="n">
        <v>46123</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42015-2022</t>
        </is>
      </c>
      <c r="B331" s="1" t="n">
        <v>44830.4649074074</v>
      </c>
      <c r="C331" s="1" t="n">
        <v>46123</v>
      </c>
      <c r="D331" t="inlineStr">
        <is>
          <t>SÖDERMANLANDS LÄN</t>
        </is>
      </c>
      <c r="E331" t="inlineStr">
        <is>
          <t>KATRINEHOLM</t>
        </is>
      </c>
      <c r="G331" t="n">
        <v>3.8</v>
      </c>
      <c r="H331" t="n">
        <v>0</v>
      </c>
      <c r="I331" t="n">
        <v>0</v>
      </c>
      <c r="J331" t="n">
        <v>0</v>
      </c>
      <c r="K331" t="n">
        <v>0</v>
      </c>
      <c r="L331" t="n">
        <v>0</v>
      </c>
      <c r="M331" t="n">
        <v>0</v>
      </c>
      <c r="N331" t="n">
        <v>0</v>
      </c>
      <c r="O331" t="n">
        <v>0</v>
      </c>
      <c r="P331" t="n">
        <v>0</v>
      </c>
      <c r="Q331" t="n">
        <v>0</v>
      </c>
      <c r="R331" s="2" t="inlineStr"/>
    </row>
    <row r="332" ht="15" customHeight="1">
      <c r="A332" t="inlineStr">
        <is>
          <t>A 42020-2022</t>
        </is>
      </c>
      <c r="B332" s="1" t="n">
        <v>44830.46849537037</v>
      </c>
      <c r="C332" s="1" t="n">
        <v>46123</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8394-2024</t>
        </is>
      </c>
      <c r="B333" s="1" t="n">
        <v>45352</v>
      </c>
      <c r="C333" s="1" t="n">
        <v>46123</v>
      </c>
      <c r="D333" t="inlineStr">
        <is>
          <t>SÖDERMANLANDS LÄN</t>
        </is>
      </c>
      <c r="E333" t="inlineStr">
        <is>
          <t>KATRINEHOLM</t>
        </is>
      </c>
      <c r="G333" t="n">
        <v>4</v>
      </c>
      <c r="H333" t="n">
        <v>0</v>
      </c>
      <c r="I333" t="n">
        <v>0</v>
      </c>
      <c r="J333" t="n">
        <v>0</v>
      </c>
      <c r="K333" t="n">
        <v>0</v>
      </c>
      <c r="L333" t="n">
        <v>0</v>
      </c>
      <c r="M333" t="n">
        <v>0</v>
      </c>
      <c r="N333" t="n">
        <v>0</v>
      </c>
      <c r="O333" t="n">
        <v>0</v>
      </c>
      <c r="P333" t="n">
        <v>0</v>
      </c>
      <c r="Q333" t="n">
        <v>0</v>
      </c>
      <c r="R333" s="2" t="inlineStr"/>
    </row>
    <row r="334" ht="15" customHeight="1">
      <c r="A334" t="inlineStr">
        <is>
          <t>A 14239-2024</t>
        </is>
      </c>
      <c r="B334" s="1" t="n">
        <v>45393</v>
      </c>
      <c r="C334" s="1" t="n">
        <v>46123</v>
      </c>
      <c r="D334" t="inlineStr">
        <is>
          <t>SÖDERMANLANDS LÄN</t>
        </is>
      </c>
      <c r="E334" t="inlineStr">
        <is>
          <t>KATRINEHOLM</t>
        </is>
      </c>
      <c r="G334" t="n">
        <v>2.7</v>
      </c>
      <c r="H334" t="n">
        <v>0</v>
      </c>
      <c r="I334" t="n">
        <v>0</v>
      </c>
      <c r="J334" t="n">
        <v>0</v>
      </c>
      <c r="K334" t="n">
        <v>0</v>
      </c>
      <c r="L334" t="n">
        <v>0</v>
      </c>
      <c r="M334" t="n">
        <v>0</v>
      </c>
      <c r="N334" t="n">
        <v>0</v>
      </c>
      <c r="O334" t="n">
        <v>0</v>
      </c>
      <c r="P334" t="n">
        <v>0</v>
      </c>
      <c r="Q334" t="n">
        <v>0</v>
      </c>
      <c r="R334" s="2" t="inlineStr"/>
    </row>
    <row r="335" ht="15" customHeight="1">
      <c r="A335" t="inlineStr">
        <is>
          <t>A 14248-2024</t>
        </is>
      </c>
      <c r="B335" s="1" t="n">
        <v>45393</v>
      </c>
      <c r="C335" s="1" t="n">
        <v>46123</v>
      </c>
      <c r="D335" t="inlineStr">
        <is>
          <t>SÖDERMANLANDS LÄN</t>
        </is>
      </c>
      <c r="E335" t="inlineStr">
        <is>
          <t>KATRINEHOLM</t>
        </is>
      </c>
      <c r="G335" t="n">
        <v>1.4</v>
      </c>
      <c r="H335" t="n">
        <v>0</v>
      </c>
      <c r="I335" t="n">
        <v>0</v>
      </c>
      <c r="J335" t="n">
        <v>0</v>
      </c>
      <c r="K335" t="n">
        <v>0</v>
      </c>
      <c r="L335" t="n">
        <v>0</v>
      </c>
      <c r="M335" t="n">
        <v>0</v>
      </c>
      <c r="N335" t="n">
        <v>0</v>
      </c>
      <c r="O335" t="n">
        <v>0</v>
      </c>
      <c r="P335" t="n">
        <v>0</v>
      </c>
      <c r="Q335" t="n">
        <v>0</v>
      </c>
      <c r="R335" s="2" t="inlineStr"/>
    </row>
    <row r="336" ht="15" customHeight="1">
      <c r="A336" t="inlineStr">
        <is>
          <t>A 25716-2022</t>
        </is>
      </c>
      <c r="B336" s="1" t="n">
        <v>44733.39600694444</v>
      </c>
      <c r="C336" s="1" t="n">
        <v>46123</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23842-2023</t>
        </is>
      </c>
      <c r="B337" s="1" t="n">
        <v>45075</v>
      </c>
      <c r="C337" s="1" t="n">
        <v>46123</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8955-2024</t>
        </is>
      </c>
      <c r="B338" s="1" t="n">
        <v>45357.44873842593</v>
      </c>
      <c r="C338" s="1" t="n">
        <v>46123</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46700-2023</t>
        </is>
      </c>
      <c r="B339" s="1" t="n">
        <v>45194</v>
      </c>
      <c r="C339" s="1" t="n">
        <v>46123</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46288-2025</t>
        </is>
      </c>
      <c r="B340" s="1" t="n">
        <v>45925.38545138889</v>
      </c>
      <c r="C340" s="1" t="n">
        <v>46123</v>
      </c>
      <c r="D340" t="inlineStr">
        <is>
          <t>SÖDERMANLANDS LÄN</t>
        </is>
      </c>
      <c r="E340" t="inlineStr">
        <is>
          <t>KATRINEHOLM</t>
        </is>
      </c>
      <c r="G340" t="n">
        <v>0.4</v>
      </c>
      <c r="H340" t="n">
        <v>0</v>
      </c>
      <c r="I340" t="n">
        <v>0</v>
      </c>
      <c r="J340" t="n">
        <v>0</v>
      </c>
      <c r="K340" t="n">
        <v>0</v>
      </c>
      <c r="L340" t="n">
        <v>0</v>
      </c>
      <c r="M340" t="n">
        <v>0</v>
      </c>
      <c r="N340" t="n">
        <v>0</v>
      </c>
      <c r="O340" t="n">
        <v>0</v>
      </c>
      <c r="P340" t="n">
        <v>0</v>
      </c>
      <c r="Q340" t="n">
        <v>0</v>
      </c>
      <c r="R340" s="2" t="inlineStr"/>
    </row>
    <row r="341" ht="15" customHeight="1">
      <c r="A341" t="inlineStr">
        <is>
          <t>A 36001-2024</t>
        </is>
      </c>
      <c r="B341" s="1" t="n">
        <v>45533.54609953704</v>
      </c>
      <c r="C341" s="1" t="n">
        <v>46123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46123</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46569-2022</t>
        </is>
      </c>
      <c r="B343" s="1" t="n">
        <v>44847</v>
      </c>
      <c r="C343" s="1" t="n">
        <v>46123</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19098-2022</t>
        </is>
      </c>
      <c r="B344" s="1" t="n">
        <v>44691.52616898148</v>
      </c>
      <c r="C344" s="1" t="n">
        <v>46123</v>
      </c>
      <c r="D344" t="inlineStr">
        <is>
          <t>SÖDERMANLANDS LÄN</t>
        </is>
      </c>
      <c r="E344" t="inlineStr">
        <is>
          <t>KATRINEHOLM</t>
        </is>
      </c>
      <c r="G344" t="n">
        <v>5.5</v>
      </c>
      <c r="H344" t="n">
        <v>0</v>
      </c>
      <c r="I344" t="n">
        <v>0</v>
      </c>
      <c r="J344" t="n">
        <v>0</v>
      </c>
      <c r="K344" t="n">
        <v>0</v>
      </c>
      <c r="L344" t="n">
        <v>0</v>
      </c>
      <c r="M344" t="n">
        <v>0</v>
      </c>
      <c r="N344" t="n">
        <v>0</v>
      </c>
      <c r="O344" t="n">
        <v>0</v>
      </c>
      <c r="P344" t="n">
        <v>0</v>
      </c>
      <c r="Q344" t="n">
        <v>0</v>
      </c>
      <c r="R344" s="2" t="inlineStr"/>
    </row>
    <row r="345" ht="15" customHeight="1">
      <c r="A345" t="inlineStr">
        <is>
          <t>A 51530-2023</t>
        </is>
      </c>
      <c r="B345" s="1" t="n">
        <v>45222</v>
      </c>
      <c r="C345" s="1" t="n">
        <v>46123</v>
      </c>
      <c r="D345" t="inlineStr">
        <is>
          <t>SÖDERMANLANDS LÄN</t>
        </is>
      </c>
      <c r="E345" t="inlineStr">
        <is>
          <t>KATRINEHOLM</t>
        </is>
      </c>
      <c r="G345" t="n">
        <v>0.9</v>
      </c>
      <c r="H345" t="n">
        <v>0</v>
      </c>
      <c r="I345" t="n">
        <v>0</v>
      </c>
      <c r="J345" t="n">
        <v>0</v>
      </c>
      <c r="K345" t="n">
        <v>0</v>
      </c>
      <c r="L345" t="n">
        <v>0</v>
      </c>
      <c r="M345" t="n">
        <v>0</v>
      </c>
      <c r="N345" t="n">
        <v>0</v>
      </c>
      <c r="O345" t="n">
        <v>0</v>
      </c>
      <c r="P345" t="n">
        <v>0</v>
      </c>
      <c r="Q345" t="n">
        <v>0</v>
      </c>
      <c r="R345" s="2" t="inlineStr"/>
    </row>
    <row r="346" ht="15" customHeight="1">
      <c r="A346" t="inlineStr">
        <is>
          <t>A 3315-2023</t>
        </is>
      </c>
      <c r="B346" s="1" t="n">
        <v>44945</v>
      </c>
      <c r="C346" s="1" t="n">
        <v>46123</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2093-2025</t>
        </is>
      </c>
      <c r="B347" s="1" t="n">
        <v>45672</v>
      </c>
      <c r="C347" s="1" t="n">
        <v>46123</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50032-2022</t>
        </is>
      </c>
      <c r="B348" s="1" t="n">
        <v>44860</v>
      </c>
      <c r="C348" s="1" t="n">
        <v>46123</v>
      </c>
      <c r="D348" t="inlineStr">
        <is>
          <t>SÖDERMANLANDS LÄN</t>
        </is>
      </c>
      <c r="E348" t="inlineStr">
        <is>
          <t>KATRINEHOLM</t>
        </is>
      </c>
      <c r="G348" t="n">
        <v>7.5</v>
      </c>
      <c r="H348" t="n">
        <v>0</v>
      </c>
      <c r="I348" t="n">
        <v>0</v>
      </c>
      <c r="J348" t="n">
        <v>0</v>
      </c>
      <c r="K348" t="n">
        <v>0</v>
      </c>
      <c r="L348" t="n">
        <v>0</v>
      </c>
      <c r="M348" t="n">
        <v>0</v>
      </c>
      <c r="N348" t="n">
        <v>0</v>
      </c>
      <c r="O348" t="n">
        <v>0</v>
      </c>
      <c r="P348" t="n">
        <v>0</v>
      </c>
      <c r="Q348" t="n">
        <v>0</v>
      </c>
      <c r="R348" s="2" t="inlineStr"/>
    </row>
    <row r="349" ht="15" customHeight="1">
      <c r="A349" t="inlineStr">
        <is>
          <t>A 46524-2025</t>
        </is>
      </c>
      <c r="B349" s="1" t="n">
        <v>45926</v>
      </c>
      <c r="C349" s="1" t="n">
        <v>46123</v>
      </c>
      <c r="D349" t="inlineStr">
        <is>
          <t>SÖDERMANLANDS LÄN</t>
        </is>
      </c>
      <c r="E349" t="inlineStr">
        <is>
          <t>KATRINEHOLM</t>
        </is>
      </c>
      <c r="G349" t="n">
        <v>5.7</v>
      </c>
      <c r="H349" t="n">
        <v>0</v>
      </c>
      <c r="I349" t="n">
        <v>0</v>
      </c>
      <c r="J349" t="n">
        <v>0</v>
      </c>
      <c r="K349" t="n">
        <v>0</v>
      </c>
      <c r="L349" t="n">
        <v>0</v>
      </c>
      <c r="M349" t="n">
        <v>0</v>
      </c>
      <c r="N349" t="n">
        <v>0</v>
      </c>
      <c r="O349" t="n">
        <v>0</v>
      </c>
      <c r="P349" t="n">
        <v>0</v>
      </c>
      <c r="Q349" t="n">
        <v>0</v>
      </c>
      <c r="R349" s="2" t="inlineStr"/>
    </row>
    <row r="350" ht="15" customHeight="1">
      <c r="A350" t="inlineStr">
        <is>
          <t>A 50804-2023</t>
        </is>
      </c>
      <c r="B350" s="1" t="n">
        <v>45211</v>
      </c>
      <c r="C350" s="1" t="n">
        <v>46123</v>
      </c>
      <c r="D350" t="inlineStr">
        <is>
          <t>SÖDERMANLANDS LÄN</t>
        </is>
      </c>
      <c r="E350" t="inlineStr">
        <is>
          <t>KATRINEHOLM</t>
        </is>
      </c>
      <c r="G350" t="n">
        <v>4</v>
      </c>
      <c r="H350" t="n">
        <v>0</v>
      </c>
      <c r="I350" t="n">
        <v>0</v>
      </c>
      <c r="J350" t="n">
        <v>0</v>
      </c>
      <c r="K350" t="n">
        <v>0</v>
      </c>
      <c r="L350" t="n">
        <v>0</v>
      </c>
      <c r="M350" t="n">
        <v>0</v>
      </c>
      <c r="N350" t="n">
        <v>0</v>
      </c>
      <c r="O350" t="n">
        <v>0</v>
      </c>
      <c r="P350" t="n">
        <v>0</v>
      </c>
      <c r="Q350" t="n">
        <v>0</v>
      </c>
      <c r="R350" s="2" t="inlineStr"/>
    </row>
    <row r="351" ht="15" customHeight="1">
      <c r="A351" t="inlineStr">
        <is>
          <t>A 29502-2023</t>
        </is>
      </c>
      <c r="B351" s="1" t="n">
        <v>45106</v>
      </c>
      <c r="C351" s="1" t="n">
        <v>46123</v>
      </c>
      <c r="D351" t="inlineStr">
        <is>
          <t>SÖDERMANLANDS LÄN</t>
        </is>
      </c>
      <c r="E351" t="inlineStr">
        <is>
          <t>KATRINEHOLM</t>
        </is>
      </c>
      <c r="G351" t="n">
        <v>2.3</v>
      </c>
      <c r="H351" t="n">
        <v>0</v>
      </c>
      <c r="I351" t="n">
        <v>0</v>
      </c>
      <c r="J351" t="n">
        <v>0</v>
      </c>
      <c r="K351" t="n">
        <v>0</v>
      </c>
      <c r="L351" t="n">
        <v>0</v>
      </c>
      <c r="M351" t="n">
        <v>0</v>
      </c>
      <c r="N351" t="n">
        <v>0</v>
      </c>
      <c r="O351" t="n">
        <v>0</v>
      </c>
      <c r="P351" t="n">
        <v>0</v>
      </c>
      <c r="Q351" t="n">
        <v>0</v>
      </c>
      <c r="R351" s="2" t="inlineStr"/>
    </row>
    <row r="352" ht="15" customHeight="1">
      <c r="A352" t="inlineStr">
        <is>
          <t>A 56074-2022</t>
        </is>
      </c>
      <c r="B352" s="1" t="n">
        <v>44889</v>
      </c>
      <c r="C352" s="1" t="n">
        <v>46123</v>
      </c>
      <c r="D352" t="inlineStr">
        <is>
          <t>SÖDERMANLANDS LÄN</t>
        </is>
      </c>
      <c r="E352" t="inlineStr">
        <is>
          <t>KATRINEHOLM</t>
        </is>
      </c>
      <c r="G352" t="n">
        <v>1</v>
      </c>
      <c r="H352" t="n">
        <v>0</v>
      </c>
      <c r="I352" t="n">
        <v>0</v>
      </c>
      <c r="J352" t="n">
        <v>0</v>
      </c>
      <c r="K352" t="n">
        <v>0</v>
      </c>
      <c r="L352" t="n">
        <v>0</v>
      </c>
      <c r="M352" t="n">
        <v>0</v>
      </c>
      <c r="N352" t="n">
        <v>0</v>
      </c>
      <c r="O352" t="n">
        <v>0</v>
      </c>
      <c r="P352" t="n">
        <v>0</v>
      </c>
      <c r="Q352" t="n">
        <v>0</v>
      </c>
      <c r="R352" s="2" t="inlineStr"/>
      <c r="T352">
        <f>HYPERLINK("https://klasma.github.io/Logging_0483/kartor/A 56074-2022 karta.png", "A 56074-2022")</f>
        <v/>
      </c>
      <c r="V352">
        <f>HYPERLINK("https://klasma.github.io/Logging_0483/klagomål/A 56074-2022 FSC-klagomål.docx", "A 56074-2022")</f>
        <v/>
      </c>
      <c r="W352">
        <f>HYPERLINK("https://klasma.github.io/Logging_0483/klagomålsmail/A 56074-2022 FSC-klagomål mail.docx", "A 56074-2022")</f>
        <v/>
      </c>
      <c r="X352">
        <f>HYPERLINK("https://klasma.github.io/Logging_0483/tillsyn/A 56074-2022 tillsynsbegäran.docx", "A 56074-2022")</f>
        <v/>
      </c>
      <c r="Y352">
        <f>HYPERLINK("https://klasma.github.io/Logging_0483/tillsynsmail/A 56074-2022 tillsynsbegäran mail.docx", "A 56074-2022")</f>
        <v/>
      </c>
    </row>
    <row r="353" ht="15" customHeight="1">
      <c r="A353" t="inlineStr">
        <is>
          <t>A 24983-2024</t>
        </is>
      </c>
      <c r="B353" s="1" t="n">
        <v>45461</v>
      </c>
      <c r="C353" s="1" t="n">
        <v>46123</v>
      </c>
      <c r="D353" t="inlineStr">
        <is>
          <t>SÖDERMANLANDS LÄN</t>
        </is>
      </c>
      <c r="E353" t="inlineStr">
        <is>
          <t>KATRINEHOLM</t>
        </is>
      </c>
      <c r="G353" t="n">
        <v>2.6</v>
      </c>
      <c r="H353" t="n">
        <v>0</v>
      </c>
      <c r="I353" t="n">
        <v>0</v>
      </c>
      <c r="J353" t="n">
        <v>0</v>
      </c>
      <c r="K353" t="n">
        <v>0</v>
      </c>
      <c r="L353" t="n">
        <v>0</v>
      </c>
      <c r="M353" t="n">
        <v>0</v>
      </c>
      <c r="N353" t="n">
        <v>0</v>
      </c>
      <c r="O353" t="n">
        <v>0</v>
      </c>
      <c r="P353" t="n">
        <v>0</v>
      </c>
      <c r="Q353" t="n">
        <v>0</v>
      </c>
      <c r="R353" s="2" t="inlineStr"/>
    </row>
    <row r="354" ht="15" customHeight="1">
      <c r="A354" t="inlineStr">
        <is>
          <t>A 22336-2025</t>
        </is>
      </c>
      <c r="B354" s="1" t="n">
        <v>45786.44217592593</v>
      </c>
      <c r="C354" s="1" t="n">
        <v>46123</v>
      </c>
      <c r="D354" t="inlineStr">
        <is>
          <t>SÖDERMANLANDS LÄN</t>
        </is>
      </c>
      <c r="E354" t="inlineStr">
        <is>
          <t>KATRINEHOLM</t>
        </is>
      </c>
      <c r="G354" t="n">
        <v>1.4</v>
      </c>
      <c r="H354" t="n">
        <v>0</v>
      </c>
      <c r="I354" t="n">
        <v>0</v>
      </c>
      <c r="J354" t="n">
        <v>0</v>
      </c>
      <c r="K354" t="n">
        <v>0</v>
      </c>
      <c r="L354" t="n">
        <v>0</v>
      </c>
      <c r="M354" t="n">
        <v>0</v>
      </c>
      <c r="N354" t="n">
        <v>0</v>
      </c>
      <c r="O354" t="n">
        <v>0</v>
      </c>
      <c r="P354" t="n">
        <v>0</v>
      </c>
      <c r="Q354" t="n">
        <v>0</v>
      </c>
      <c r="R354" s="2" t="inlineStr"/>
    </row>
    <row r="355" ht="15" customHeight="1">
      <c r="A355" t="inlineStr">
        <is>
          <t>A 8922-2024</t>
        </is>
      </c>
      <c r="B355" s="1" t="n">
        <v>45357.38601851852</v>
      </c>
      <c r="C355" s="1" t="n">
        <v>46123</v>
      </c>
      <c r="D355" t="inlineStr">
        <is>
          <t>SÖDERMANLANDS LÄN</t>
        </is>
      </c>
      <c r="E355" t="inlineStr">
        <is>
          <t>KATRINEHOLM</t>
        </is>
      </c>
      <c r="G355" t="n">
        <v>2.2</v>
      </c>
      <c r="H355" t="n">
        <v>0</v>
      </c>
      <c r="I355" t="n">
        <v>0</v>
      </c>
      <c r="J355" t="n">
        <v>0</v>
      </c>
      <c r="K355" t="n">
        <v>0</v>
      </c>
      <c r="L355" t="n">
        <v>0</v>
      </c>
      <c r="M355" t="n">
        <v>0</v>
      </c>
      <c r="N355" t="n">
        <v>0</v>
      </c>
      <c r="O355" t="n">
        <v>0</v>
      </c>
      <c r="P355" t="n">
        <v>0</v>
      </c>
      <c r="Q355" t="n">
        <v>0</v>
      </c>
      <c r="R355" s="2" t="inlineStr"/>
    </row>
    <row r="356" ht="15" customHeight="1">
      <c r="A356" t="inlineStr">
        <is>
          <t>A 20826-2022</t>
        </is>
      </c>
      <c r="B356" s="1" t="n">
        <v>44701.44754629629</v>
      </c>
      <c r="C356" s="1" t="n">
        <v>46123</v>
      </c>
      <c r="D356" t="inlineStr">
        <is>
          <t>SÖDERMANLANDS LÄN</t>
        </is>
      </c>
      <c r="E356" t="inlineStr">
        <is>
          <t>KATRINEHOLM</t>
        </is>
      </c>
      <c r="G356" t="n">
        <v>6.8</v>
      </c>
      <c r="H356" t="n">
        <v>0</v>
      </c>
      <c r="I356" t="n">
        <v>0</v>
      </c>
      <c r="J356" t="n">
        <v>0</v>
      </c>
      <c r="K356" t="n">
        <v>0</v>
      </c>
      <c r="L356" t="n">
        <v>0</v>
      </c>
      <c r="M356" t="n">
        <v>0</v>
      </c>
      <c r="N356" t="n">
        <v>0</v>
      </c>
      <c r="O356" t="n">
        <v>0</v>
      </c>
      <c r="P356" t="n">
        <v>0</v>
      </c>
      <c r="Q356" t="n">
        <v>0</v>
      </c>
      <c r="R356" s="2" t="inlineStr"/>
    </row>
    <row r="357" ht="15" customHeight="1">
      <c r="A357" t="inlineStr">
        <is>
          <t>A 20846-2022</t>
        </is>
      </c>
      <c r="B357" s="1" t="n">
        <v>44701.4744212963</v>
      </c>
      <c r="C357" s="1" t="n">
        <v>46123</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32943-2024</t>
        </is>
      </c>
      <c r="B358" s="1" t="n">
        <v>45517</v>
      </c>
      <c r="C358" s="1" t="n">
        <v>46123</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45376-2022</t>
        </is>
      </c>
      <c r="B359" s="1" t="n">
        <v>44844</v>
      </c>
      <c r="C359" s="1" t="n">
        <v>46123</v>
      </c>
      <c r="D359" t="inlineStr">
        <is>
          <t>SÖDERMANLANDS LÄN</t>
        </is>
      </c>
      <c r="E359" t="inlineStr">
        <is>
          <t>KATRINEHOLM</t>
        </is>
      </c>
      <c r="G359" t="n">
        <v>4.7</v>
      </c>
      <c r="H359" t="n">
        <v>0</v>
      </c>
      <c r="I359" t="n">
        <v>0</v>
      </c>
      <c r="J359" t="n">
        <v>0</v>
      </c>
      <c r="K359" t="n">
        <v>0</v>
      </c>
      <c r="L359" t="n">
        <v>0</v>
      </c>
      <c r="M359" t="n">
        <v>0</v>
      </c>
      <c r="N359" t="n">
        <v>0</v>
      </c>
      <c r="O359" t="n">
        <v>0</v>
      </c>
      <c r="P359" t="n">
        <v>0</v>
      </c>
      <c r="Q359" t="n">
        <v>0</v>
      </c>
      <c r="R359" s="2" t="inlineStr"/>
    </row>
    <row r="360" ht="15" customHeight="1">
      <c r="A360" t="inlineStr">
        <is>
          <t>A 17246-2024</t>
        </is>
      </c>
      <c r="B360" s="1" t="n">
        <v>45414</v>
      </c>
      <c r="C360" s="1" t="n">
        <v>46123</v>
      </c>
      <c r="D360" t="inlineStr">
        <is>
          <t>SÖDERMANLANDS LÄN</t>
        </is>
      </c>
      <c r="E360" t="inlineStr">
        <is>
          <t>KATRINEHOLM</t>
        </is>
      </c>
      <c r="F360" t="inlineStr">
        <is>
          <t>Allmännings- och besparingsskogar</t>
        </is>
      </c>
      <c r="G360" t="n">
        <v>13.7</v>
      </c>
      <c r="H360" t="n">
        <v>0</v>
      </c>
      <c r="I360" t="n">
        <v>0</v>
      </c>
      <c r="J360" t="n">
        <v>0</v>
      </c>
      <c r="K360" t="n">
        <v>0</v>
      </c>
      <c r="L360" t="n">
        <v>0</v>
      </c>
      <c r="M360" t="n">
        <v>0</v>
      </c>
      <c r="N360" t="n">
        <v>0</v>
      </c>
      <c r="O360" t="n">
        <v>0</v>
      </c>
      <c r="P360" t="n">
        <v>0</v>
      </c>
      <c r="Q360" t="n">
        <v>0</v>
      </c>
      <c r="R360" s="2" t="inlineStr"/>
    </row>
    <row r="361" ht="15" customHeight="1">
      <c r="A361" t="inlineStr">
        <is>
          <t>A 39748-2022</t>
        </is>
      </c>
      <c r="B361" s="1" t="n">
        <v>44817</v>
      </c>
      <c r="C361" s="1" t="n">
        <v>46123</v>
      </c>
      <c r="D361" t="inlineStr">
        <is>
          <t>SÖDERMANLANDS LÄN</t>
        </is>
      </c>
      <c r="E361" t="inlineStr">
        <is>
          <t>KATRINEHOLM</t>
        </is>
      </c>
      <c r="G361" t="n">
        <v>10.2</v>
      </c>
      <c r="H361" t="n">
        <v>0</v>
      </c>
      <c r="I361" t="n">
        <v>0</v>
      </c>
      <c r="J361" t="n">
        <v>0</v>
      </c>
      <c r="K361" t="n">
        <v>0</v>
      </c>
      <c r="L361" t="n">
        <v>0</v>
      </c>
      <c r="M361" t="n">
        <v>0</v>
      </c>
      <c r="N361" t="n">
        <v>0</v>
      </c>
      <c r="O361" t="n">
        <v>0</v>
      </c>
      <c r="P361" t="n">
        <v>0</v>
      </c>
      <c r="Q361" t="n">
        <v>0</v>
      </c>
      <c r="R361" s="2" t="inlineStr"/>
    </row>
    <row r="362" ht="15" customHeight="1">
      <c r="A362" t="inlineStr">
        <is>
          <t>A 3090-2025</t>
        </is>
      </c>
      <c r="B362" s="1" t="n">
        <v>45678</v>
      </c>
      <c r="C362" s="1" t="n">
        <v>46123</v>
      </c>
      <c r="D362" t="inlineStr">
        <is>
          <t>SÖDERMANLANDS LÄN</t>
        </is>
      </c>
      <c r="E362" t="inlineStr">
        <is>
          <t>KATRINEHOLM</t>
        </is>
      </c>
      <c r="F362" t="inlineStr">
        <is>
          <t>Kyrkan</t>
        </is>
      </c>
      <c r="G362" t="n">
        <v>6.9</v>
      </c>
      <c r="H362" t="n">
        <v>0</v>
      </c>
      <c r="I362" t="n">
        <v>0</v>
      </c>
      <c r="J362" t="n">
        <v>0</v>
      </c>
      <c r="K362" t="n">
        <v>0</v>
      </c>
      <c r="L362" t="n">
        <v>0</v>
      </c>
      <c r="M362" t="n">
        <v>0</v>
      </c>
      <c r="N362" t="n">
        <v>0</v>
      </c>
      <c r="O362" t="n">
        <v>0</v>
      </c>
      <c r="P362" t="n">
        <v>0</v>
      </c>
      <c r="Q362" t="n">
        <v>0</v>
      </c>
      <c r="R362" s="2" t="inlineStr"/>
    </row>
    <row r="363" ht="15" customHeight="1">
      <c r="A363" t="inlineStr">
        <is>
          <t>A 28431-2024</t>
        </is>
      </c>
      <c r="B363" s="1" t="n">
        <v>45477.65216435185</v>
      </c>
      <c r="C363" s="1" t="n">
        <v>46123</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12930-2023</t>
        </is>
      </c>
      <c r="B364" s="1" t="n">
        <v>45001</v>
      </c>
      <c r="C364" s="1" t="n">
        <v>46123</v>
      </c>
      <c r="D364" t="inlineStr">
        <is>
          <t>SÖDERMANLANDS LÄN</t>
        </is>
      </c>
      <c r="E364" t="inlineStr">
        <is>
          <t>KATRINEHOLM</t>
        </is>
      </c>
      <c r="G364" t="n">
        <v>0.7</v>
      </c>
      <c r="H364" t="n">
        <v>0</v>
      </c>
      <c r="I364" t="n">
        <v>0</v>
      </c>
      <c r="J364" t="n">
        <v>0</v>
      </c>
      <c r="K364" t="n">
        <v>0</v>
      </c>
      <c r="L364" t="n">
        <v>0</v>
      </c>
      <c r="M364" t="n">
        <v>0</v>
      </c>
      <c r="N364" t="n">
        <v>0</v>
      </c>
      <c r="O364" t="n">
        <v>0</v>
      </c>
      <c r="P364" t="n">
        <v>0</v>
      </c>
      <c r="Q364" t="n">
        <v>0</v>
      </c>
      <c r="R364" s="2" t="inlineStr"/>
    </row>
    <row r="365" ht="15" customHeight="1">
      <c r="A365" t="inlineStr">
        <is>
          <t>A 38308-2021</t>
        </is>
      </c>
      <c r="B365" s="1" t="n">
        <v>44406</v>
      </c>
      <c r="C365" s="1" t="n">
        <v>46123</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23031-2024</t>
        </is>
      </c>
      <c r="B366" s="1" t="n">
        <v>45450.38120370371</v>
      </c>
      <c r="C366" s="1" t="n">
        <v>46123</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34981-2023</t>
        </is>
      </c>
      <c r="B367" s="1" t="n">
        <v>45142</v>
      </c>
      <c r="C367" s="1" t="n">
        <v>46123</v>
      </c>
      <c r="D367" t="inlineStr">
        <is>
          <t>SÖDERMANLANDS LÄN</t>
        </is>
      </c>
      <c r="E367" t="inlineStr">
        <is>
          <t>KATRINEHOLM</t>
        </is>
      </c>
      <c r="G367" t="n">
        <v>10</v>
      </c>
      <c r="H367" t="n">
        <v>0</v>
      </c>
      <c r="I367" t="n">
        <v>0</v>
      </c>
      <c r="J367" t="n">
        <v>0</v>
      </c>
      <c r="K367" t="n">
        <v>0</v>
      </c>
      <c r="L367" t="n">
        <v>0</v>
      </c>
      <c r="M367" t="n">
        <v>0</v>
      </c>
      <c r="N367" t="n">
        <v>0</v>
      </c>
      <c r="O367" t="n">
        <v>0</v>
      </c>
      <c r="P367" t="n">
        <v>0</v>
      </c>
      <c r="Q367" t="n">
        <v>0</v>
      </c>
      <c r="R367" s="2" t="inlineStr"/>
    </row>
    <row r="368" ht="15" customHeight="1">
      <c r="A368" t="inlineStr">
        <is>
          <t>A 15284-2023</t>
        </is>
      </c>
      <c r="B368" s="1" t="n">
        <v>45019</v>
      </c>
      <c r="C368" s="1" t="n">
        <v>46123</v>
      </c>
      <c r="D368" t="inlineStr">
        <is>
          <t>SÖDERMANLANDS LÄN</t>
        </is>
      </c>
      <c r="E368" t="inlineStr">
        <is>
          <t>KATRINEHOLM</t>
        </is>
      </c>
      <c r="F368" t="inlineStr">
        <is>
          <t>Allmännings- och besparingsskogar</t>
        </is>
      </c>
      <c r="G368" t="n">
        <v>17.4</v>
      </c>
      <c r="H368" t="n">
        <v>0</v>
      </c>
      <c r="I368" t="n">
        <v>0</v>
      </c>
      <c r="J368" t="n">
        <v>0</v>
      </c>
      <c r="K368" t="n">
        <v>0</v>
      </c>
      <c r="L368" t="n">
        <v>0</v>
      </c>
      <c r="M368" t="n">
        <v>0</v>
      </c>
      <c r="N368" t="n">
        <v>0</v>
      </c>
      <c r="O368" t="n">
        <v>0</v>
      </c>
      <c r="P368" t="n">
        <v>0</v>
      </c>
      <c r="Q368" t="n">
        <v>0</v>
      </c>
      <c r="R368" s="2" t="inlineStr"/>
    </row>
    <row r="369" ht="15" customHeight="1">
      <c r="A369" t="inlineStr">
        <is>
          <t>A 31740-2022</t>
        </is>
      </c>
      <c r="B369" s="1" t="n">
        <v>44776</v>
      </c>
      <c r="C369" s="1" t="n">
        <v>46123</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55856-2022</t>
        </is>
      </c>
      <c r="B370" s="1" t="n">
        <v>44888</v>
      </c>
      <c r="C370" s="1" t="n">
        <v>46123</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53750-2022</t>
        </is>
      </c>
      <c r="B371" s="1" t="n">
        <v>44875</v>
      </c>
      <c r="C371" s="1" t="n">
        <v>46123</v>
      </c>
      <c r="D371" t="inlineStr">
        <is>
          <t>SÖDERMANLANDS LÄN</t>
        </is>
      </c>
      <c r="E371" t="inlineStr">
        <is>
          <t>KATRINEHOLM</t>
        </is>
      </c>
      <c r="F371" t="inlineStr">
        <is>
          <t>Övriga Aktiebolag</t>
        </is>
      </c>
      <c r="G371" t="n">
        <v>12.6</v>
      </c>
      <c r="H371" t="n">
        <v>0</v>
      </c>
      <c r="I371" t="n">
        <v>0</v>
      </c>
      <c r="J371" t="n">
        <v>0</v>
      </c>
      <c r="K371" t="n">
        <v>0</v>
      </c>
      <c r="L371" t="n">
        <v>0</v>
      </c>
      <c r="M371" t="n">
        <v>0</v>
      </c>
      <c r="N371" t="n">
        <v>0</v>
      </c>
      <c r="O371" t="n">
        <v>0</v>
      </c>
      <c r="P371" t="n">
        <v>0</v>
      </c>
      <c r="Q371" t="n">
        <v>0</v>
      </c>
      <c r="R371" s="2" t="inlineStr"/>
    </row>
    <row r="372" ht="15" customHeight="1">
      <c r="A372" t="inlineStr">
        <is>
          <t>A 37542-2022</t>
        </is>
      </c>
      <c r="B372" s="1" t="n">
        <v>44809</v>
      </c>
      <c r="C372" s="1" t="n">
        <v>46123</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22476-2025</t>
        </is>
      </c>
      <c r="B373" s="1" t="n">
        <v>45786</v>
      </c>
      <c r="C373" s="1" t="n">
        <v>46123</v>
      </c>
      <c r="D373" t="inlineStr">
        <is>
          <t>SÖDERMANLANDS LÄN</t>
        </is>
      </c>
      <c r="E373" t="inlineStr">
        <is>
          <t>KATRINEHOLM</t>
        </is>
      </c>
      <c r="G373" t="n">
        <v>16</v>
      </c>
      <c r="H373" t="n">
        <v>0</v>
      </c>
      <c r="I373" t="n">
        <v>0</v>
      </c>
      <c r="J373" t="n">
        <v>0</v>
      </c>
      <c r="K373" t="n">
        <v>0</v>
      </c>
      <c r="L373" t="n">
        <v>0</v>
      </c>
      <c r="M373" t="n">
        <v>0</v>
      </c>
      <c r="N373" t="n">
        <v>0</v>
      </c>
      <c r="O373" t="n">
        <v>0</v>
      </c>
      <c r="P373" t="n">
        <v>0</v>
      </c>
      <c r="Q373" t="n">
        <v>0</v>
      </c>
      <c r="R373" s="2" t="inlineStr"/>
    </row>
    <row r="374" ht="15" customHeight="1">
      <c r="A374" t="inlineStr">
        <is>
          <t>A 23838-2021</t>
        </is>
      </c>
      <c r="B374" s="1" t="n">
        <v>44335</v>
      </c>
      <c r="C374" s="1" t="n">
        <v>46123</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47886-2023</t>
        </is>
      </c>
      <c r="B375" s="1" t="n">
        <v>45204</v>
      </c>
      <c r="C375" s="1" t="n">
        <v>46123</v>
      </c>
      <c r="D375" t="inlineStr">
        <is>
          <t>SÖDERMANLANDS LÄN</t>
        </is>
      </c>
      <c r="E375" t="inlineStr">
        <is>
          <t>KATRINEHOLM</t>
        </is>
      </c>
      <c r="G375" t="n">
        <v>22</v>
      </c>
      <c r="H375" t="n">
        <v>0</v>
      </c>
      <c r="I375" t="n">
        <v>0</v>
      </c>
      <c r="J375" t="n">
        <v>0</v>
      </c>
      <c r="K375" t="n">
        <v>0</v>
      </c>
      <c r="L375" t="n">
        <v>0</v>
      </c>
      <c r="M375" t="n">
        <v>0</v>
      </c>
      <c r="N375" t="n">
        <v>0</v>
      </c>
      <c r="O375" t="n">
        <v>0</v>
      </c>
      <c r="P375" t="n">
        <v>0</v>
      </c>
      <c r="Q375" t="n">
        <v>0</v>
      </c>
      <c r="R375" s="2" t="inlineStr"/>
    </row>
    <row r="376" ht="15" customHeight="1">
      <c r="A376" t="inlineStr">
        <is>
          <t>A 34739-2023</t>
        </is>
      </c>
      <c r="B376" s="1" t="n">
        <v>45141</v>
      </c>
      <c r="C376" s="1" t="n">
        <v>46123</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3125-2024</t>
        </is>
      </c>
      <c r="B377" s="1" t="n">
        <v>45316</v>
      </c>
      <c r="C377" s="1" t="n">
        <v>46123</v>
      </c>
      <c r="D377" t="inlineStr">
        <is>
          <t>SÖDERMANLANDS LÄN</t>
        </is>
      </c>
      <c r="E377" t="inlineStr">
        <is>
          <t>KATRINEHOLM</t>
        </is>
      </c>
      <c r="G377" t="n">
        <v>3.4</v>
      </c>
      <c r="H377" t="n">
        <v>0</v>
      </c>
      <c r="I377" t="n">
        <v>0</v>
      </c>
      <c r="J377" t="n">
        <v>0</v>
      </c>
      <c r="K377" t="n">
        <v>0</v>
      </c>
      <c r="L377" t="n">
        <v>0</v>
      </c>
      <c r="M377" t="n">
        <v>0</v>
      </c>
      <c r="N377" t="n">
        <v>0</v>
      </c>
      <c r="O377" t="n">
        <v>0</v>
      </c>
      <c r="P377" t="n">
        <v>0</v>
      </c>
      <c r="Q377" t="n">
        <v>0</v>
      </c>
      <c r="R377" s="2" t="inlineStr"/>
    </row>
    <row r="378" ht="15" customHeight="1">
      <c r="A378" t="inlineStr">
        <is>
          <t>A 8087-2022</t>
        </is>
      </c>
      <c r="B378" s="1" t="n">
        <v>44609.53502314815</v>
      </c>
      <c r="C378" s="1" t="n">
        <v>46123</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36366-2023</t>
        </is>
      </c>
      <c r="B379" s="1" t="n">
        <v>45152</v>
      </c>
      <c r="C379" s="1" t="n">
        <v>46123</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27852-2023</t>
        </is>
      </c>
      <c r="B380" s="1" t="n">
        <v>45098</v>
      </c>
      <c r="C380" s="1" t="n">
        <v>46123</v>
      </c>
      <c r="D380" t="inlineStr">
        <is>
          <t>SÖDERMANLANDS LÄN</t>
        </is>
      </c>
      <c r="E380" t="inlineStr">
        <is>
          <t>KATRINEHOLM</t>
        </is>
      </c>
      <c r="G380" t="n">
        <v>7.4</v>
      </c>
      <c r="H380" t="n">
        <v>0</v>
      </c>
      <c r="I380" t="n">
        <v>0</v>
      </c>
      <c r="J380" t="n">
        <v>0</v>
      </c>
      <c r="K380" t="n">
        <v>0</v>
      </c>
      <c r="L380" t="n">
        <v>0</v>
      </c>
      <c r="M380" t="n">
        <v>0</v>
      </c>
      <c r="N380" t="n">
        <v>0</v>
      </c>
      <c r="O380" t="n">
        <v>0</v>
      </c>
      <c r="P380" t="n">
        <v>0</v>
      </c>
      <c r="Q380" t="n">
        <v>0</v>
      </c>
      <c r="R380" s="2" t="inlineStr"/>
    </row>
    <row r="381" ht="15" customHeight="1">
      <c r="A381" t="inlineStr">
        <is>
          <t>A 1143-2024</t>
        </is>
      </c>
      <c r="B381" s="1" t="n">
        <v>45302</v>
      </c>
      <c r="C381" s="1" t="n">
        <v>46123</v>
      </c>
      <c r="D381" t="inlineStr">
        <is>
          <t>SÖDERMANLANDS LÄN</t>
        </is>
      </c>
      <c r="E381" t="inlineStr">
        <is>
          <t>KATRINEHOLM</t>
        </is>
      </c>
      <c r="G381" t="n">
        <v>1.7</v>
      </c>
      <c r="H381" t="n">
        <v>0</v>
      </c>
      <c r="I381" t="n">
        <v>0</v>
      </c>
      <c r="J381" t="n">
        <v>0</v>
      </c>
      <c r="K381" t="n">
        <v>0</v>
      </c>
      <c r="L381" t="n">
        <v>0</v>
      </c>
      <c r="M381" t="n">
        <v>0</v>
      </c>
      <c r="N381" t="n">
        <v>0</v>
      </c>
      <c r="O381" t="n">
        <v>0</v>
      </c>
      <c r="P381" t="n">
        <v>0</v>
      </c>
      <c r="Q381" t="n">
        <v>0</v>
      </c>
      <c r="R381" s="2" t="inlineStr"/>
    </row>
    <row r="382" ht="15" customHeight="1">
      <c r="A382" t="inlineStr">
        <is>
          <t>A 23050-2025</t>
        </is>
      </c>
      <c r="B382" s="1" t="n">
        <v>45790.69971064815</v>
      </c>
      <c r="C382" s="1" t="n">
        <v>46123</v>
      </c>
      <c r="D382" t="inlineStr">
        <is>
          <t>SÖDERMANLANDS LÄN</t>
        </is>
      </c>
      <c r="E382" t="inlineStr">
        <is>
          <t>KATRINEHOLM</t>
        </is>
      </c>
      <c r="G382" t="n">
        <v>3.7</v>
      </c>
      <c r="H382" t="n">
        <v>0</v>
      </c>
      <c r="I382" t="n">
        <v>0</v>
      </c>
      <c r="J382" t="n">
        <v>0</v>
      </c>
      <c r="K382" t="n">
        <v>0</v>
      </c>
      <c r="L382" t="n">
        <v>0</v>
      </c>
      <c r="M382" t="n">
        <v>0</v>
      </c>
      <c r="N382" t="n">
        <v>0</v>
      </c>
      <c r="O382" t="n">
        <v>0</v>
      </c>
      <c r="P382" t="n">
        <v>0</v>
      </c>
      <c r="Q382" t="n">
        <v>0</v>
      </c>
      <c r="R382" s="2" t="inlineStr"/>
    </row>
    <row r="383" ht="15" customHeight="1">
      <c r="A383" t="inlineStr">
        <is>
          <t>A 49743-2025</t>
        </is>
      </c>
      <c r="B383" s="1" t="n">
        <v>45940</v>
      </c>
      <c r="C383" s="1" t="n">
        <v>46123</v>
      </c>
      <c r="D383" t="inlineStr">
        <is>
          <t>SÖDERMANLANDS LÄN</t>
        </is>
      </c>
      <c r="E383" t="inlineStr">
        <is>
          <t>KATRINEHOLM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3980-2024</t>
        </is>
      </c>
      <c r="B384" s="1" t="n">
        <v>45322</v>
      </c>
      <c r="C384" s="1" t="n">
        <v>46123</v>
      </c>
      <c r="D384" t="inlineStr">
        <is>
          <t>SÖDERMANLANDS LÄN</t>
        </is>
      </c>
      <c r="E384" t="inlineStr">
        <is>
          <t>KATRINEHOLM</t>
        </is>
      </c>
      <c r="G384" t="n">
        <v>0.4</v>
      </c>
      <c r="H384" t="n">
        <v>0</v>
      </c>
      <c r="I384" t="n">
        <v>0</v>
      </c>
      <c r="J384" t="n">
        <v>0</v>
      </c>
      <c r="K384" t="n">
        <v>0</v>
      </c>
      <c r="L384" t="n">
        <v>0</v>
      </c>
      <c r="M384" t="n">
        <v>0</v>
      </c>
      <c r="N384" t="n">
        <v>0</v>
      </c>
      <c r="O384" t="n">
        <v>0</v>
      </c>
      <c r="P384" t="n">
        <v>0</v>
      </c>
      <c r="Q384" t="n">
        <v>0</v>
      </c>
      <c r="R384" s="2" t="inlineStr"/>
    </row>
    <row r="385" ht="15" customHeight="1">
      <c r="A385" t="inlineStr">
        <is>
          <t>A 17335-2023</t>
        </is>
      </c>
      <c r="B385" s="1" t="n">
        <v>45033</v>
      </c>
      <c r="C385" s="1" t="n">
        <v>46123</v>
      </c>
      <c r="D385" t="inlineStr">
        <is>
          <t>SÖDERMANLANDS LÄN</t>
        </is>
      </c>
      <c r="E385" t="inlineStr">
        <is>
          <t>KATRINEHOLM</t>
        </is>
      </c>
      <c r="G385" t="n">
        <v>3.3</v>
      </c>
      <c r="H385" t="n">
        <v>0</v>
      </c>
      <c r="I385" t="n">
        <v>0</v>
      </c>
      <c r="J385" t="n">
        <v>0</v>
      </c>
      <c r="K385" t="n">
        <v>0</v>
      </c>
      <c r="L385" t="n">
        <v>0</v>
      </c>
      <c r="M385" t="n">
        <v>0</v>
      </c>
      <c r="N385" t="n">
        <v>0</v>
      </c>
      <c r="O385" t="n">
        <v>0</v>
      </c>
      <c r="P385" t="n">
        <v>0</v>
      </c>
      <c r="Q385" t="n">
        <v>0</v>
      </c>
      <c r="R385" s="2" t="inlineStr"/>
    </row>
    <row r="386" ht="15" customHeight="1">
      <c r="A386" t="inlineStr">
        <is>
          <t>A 59898-2022</t>
        </is>
      </c>
      <c r="B386" s="1" t="n">
        <v>44908</v>
      </c>
      <c r="C386" s="1" t="n">
        <v>46123</v>
      </c>
      <c r="D386" t="inlineStr">
        <is>
          <t>SÖDERMANLANDS LÄN</t>
        </is>
      </c>
      <c r="E386" t="inlineStr">
        <is>
          <t>KATRINEHOLM</t>
        </is>
      </c>
      <c r="G386" t="n">
        <v>4.8</v>
      </c>
      <c r="H386" t="n">
        <v>0</v>
      </c>
      <c r="I386" t="n">
        <v>0</v>
      </c>
      <c r="J386" t="n">
        <v>0</v>
      </c>
      <c r="K386" t="n">
        <v>0</v>
      </c>
      <c r="L386" t="n">
        <v>0</v>
      </c>
      <c r="M386" t="n">
        <v>0</v>
      </c>
      <c r="N386" t="n">
        <v>0</v>
      </c>
      <c r="O386" t="n">
        <v>0</v>
      </c>
      <c r="P386" t="n">
        <v>0</v>
      </c>
      <c r="Q386" t="n">
        <v>0</v>
      </c>
      <c r="R386" s="2" t="inlineStr"/>
    </row>
    <row r="387" ht="15" customHeight="1">
      <c r="A387" t="inlineStr">
        <is>
          <t>A 73412-2021</t>
        </is>
      </c>
      <c r="B387" s="1" t="n">
        <v>44551</v>
      </c>
      <c r="C387" s="1" t="n">
        <v>46123</v>
      </c>
      <c r="D387" t="inlineStr">
        <is>
          <t>SÖDERMANLANDS LÄN</t>
        </is>
      </c>
      <c r="E387" t="inlineStr">
        <is>
          <t>KATRINEHOLM</t>
        </is>
      </c>
      <c r="G387" t="n">
        <v>2</v>
      </c>
      <c r="H387" t="n">
        <v>0</v>
      </c>
      <c r="I387" t="n">
        <v>0</v>
      </c>
      <c r="J387" t="n">
        <v>0</v>
      </c>
      <c r="K387" t="n">
        <v>0</v>
      </c>
      <c r="L387" t="n">
        <v>0</v>
      </c>
      <c r="M387" t="n">
        <v>0</v>
      </c>
      <c r="N387" t="n">
        <v>0</v>
      </c>
      <c r="O387" t="n">
        <v>0</v>
      </c>
      <c r="P387" t="n">
        <v>0</v>
      </c>
      <c r="Q387" t="n">
        <v>0</v>
      </c>
      <c r="R387" s="2" t="inlineStr"/>
    </row>
    <row r="388" ht="15" customHeight="1">
      <c r="A388" t="inlineStr">
        <is>
          <t>A 28995-2024</t>
        </is>
      </c>
      <c r="B388" s="1" t="n">
        <v>45481.49899305555</v>
      </c>
      <c r="C388" s="1" t="n">
        <v>46123</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28597-2024</t>
        </is>
      </c>
      <c r="B389" s="1" t="n">
        <v>45478</v>
      </c>
      <c r="C389" s="1" t="n">
        <v>46123</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24902-2024</t>
        </is>
      </c>
      <c r="B390" s="1" t="n">
        <v>45461</v>
      </c>
      <c r="C390" s="1" t="n">
        <v>46123</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row>
    <row r="391" ht="15" customHeight="1">
      <c r="A391" t="inlineStr">
        <is>
          <t>A 2603-2025</t>
        </is>
      </c>
      <c r="B391" s="1" t="n">
        <v>45674</v>
      </c>
      <c r="C391" s="1" t="n">
        <v>46123</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61423-2024</t>
        </is>
      </c>
      <c r="B392" s="1" t="n">
        <v>45646.45209490741</v>
      </c>
      <c r="C392" s="1" t="n">
        <v>46123</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24605-2025</t>
        </is>
      </c>
      <c r="B393" s="1" t="n">
        <v>45798.57403935185</v>
      </c>
      <c r="C393" s="1" t="n">
        <v>46123</v>
      </c>
      <c r="D393" t="inlineStr">
        <is>
          <t>SÖDERMANLANDS LÄN</t>
        </is>
      </c>
      <c r="E393" t="inlineStr">
        <is>
          <t>KATRINEHOLM</t>
        </is>
      </c>
      <c r="G393" t="n">
        <v>7</v>
      </c>
      <c r="H393" t="n">
        <v>0</v>
      </c>
      <c r="I393" t="n">
        <v>0</v>
      </c>
      <c r="J393" t="n">
        <v>0</v>
      </c>
      <c r="K393" t="n">
        <v>0</v>
      </c>
      <c r="L393" t="n">
        <v>0</v>
      </c>
      <c r="M393" t="n">
        <v>0</v>
      </c>
      <c r="N393" t="n">
        <v>0</v>
      </c>
      <c r="O393" t="n">
        <v>0</v>
      </c>
      <c r="P393" t="n">
        <v>0</v>
      </c>
      <c r="Q393" t="n">
        <v>0</v>
      </c>
      <c r="R393" s="2" t="inlineStr"/>
    </row>
    <row r="394" ht="15" customHeight="1">
      <c r="A394" t="inlineStr">
        <is>
          <t>A 53999-2023</t>
        </is>
      </c>
      <c r="B394" s="1" t="n">
        <v>45231</v>
      </c>
      <c r="C394" s="1" t="n">
        <v>46123</v>
      </c>
      <c r="D394" t="inlineStr">
        <is>
          <t>SÖDERMANLANDS LÄN</t>
        </is>
      </c>
      <c r="E394" t="inlineStr">
        <is>
          <t>KATRINEHOLM</t>
        </is>
      </c>
      <c r="G394" t="n">
        <v>5.4</v>
      </c>
      <c r="H394" t="n">
        <v>0</v>
      </c>
      <c r="I394" t="n">
        <v>0</v>
      </c>
      <c r="J394" t="n">
        <v>0</v>
      </c>
      <c r="K394" t="n">
        <v>0</v>
      </c>
      <c r="L394" t="n">
        <v>0</v>
      </c>
      <c r="M394" t="n">
        <v>0</v>
      </c>
      <c r="N394" t="n">
        <v>0</v>
      </c>
      <c r="O394" t="n">
        <v>0</v>
      </c>
      <c r="P394" t="n">
        <v>0</v>
      </c>
      <c r="Q394" t="n">
        <v>0</v>
      </c>
      <c r="R394" s="2" t="inlineStr"/>
    </row>
    <row r="395" ht="15" customHeight="1">
      <c r="A395" t="inlineStr">
        <is>
          <t>A 41727-2024</t>
        </is>
      </c>
      <c r="B395" s="1" t="n">
        <v>45560</v>
      </c>
      <c r="C395" s="1" t="n">
        <v>46123</v>
      </c>
      <c r="D395" t="inlineStr">
        <is>
          <t>SÖDERMANLANDS LÄN</t>
        </is>
      </c>
      <c r="E395" t="inlineStr">
        <is>
          <t>KATRINEHOLM</t>
        </is>
      </c>
      <c r="G395" t="n">
        <v>3.9</v>
      </c>
      <c r="H395" t="n">
        <v>0</v>
      </c>
      <c r="I395" t="n">
        <v>0</v>
      </c>
      <c r="J395" t="n">
        <v>0</v>
      </c>
      <c r="K395" t="n">
        <v>0</v>
      </c>
      <c r="L395" t="n">
        <v>0</v>
      </c>
      <c r="M395" t="n">
        <v>0</v>
      </c>
      <c r="N395" t="n">
        <v>0</v>
      </c>
      <c r="O395" t="n">
        <v>0</v>
      </c>
      <c r="P395" t="n">
        <v>0</v>
      </c>
      <c r="Q395" t="n">
        <v>0</v>
      </c>
      <c r="R395" s="2" t="inlineStr"/>
    </row>
    <row r="396" ht="15" customHeight="1">
      <c r="A396" t="inlineStr">
        <is>
          <t>A 50934-2025</t>
        </is>
      </c>
      <c r="B396" s="1" t="n">
        <v>45946.69195601852</v>
      </c>
      <c r="C396" s="1" t="n">
        <v>46123</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24566-2025</t>
        </is>
      </c>
      <c r="B397" s="1" t="n">
        <v>45798.46452546296</v>
      </c>
      <c r="C397" s="1" t="n">
        <v>46123</v>
      </c>
      <c r="D397" t="inlineStr">
        <is>
          <t>SÖDERMANLANDS LÄN</t>
        </is>
      </c>
      <c r="E397" t="inlineStr">
        <is>
          <t>KATRINEHOLM</t>
        </is>
      </c>
      <c r="G397" t="n">
        <v>6.3</v>
      </c>
      <c r="H397" t="n">
        <v>0</v>
      </c>
      <c r="I397" t="n">
        <v>0</v>
      </c>
      <c r="J397" t="n">
        <v>0</v>
      </c>
      <c r="K397" t="n">
        <v>0</v>
      </c>
      <c r="L397" t="n">
        <v>0</v>
      </c>
      <c r="M397" t="n">
        <v>0</v>
      </c>
      <c r="N397" t="n">
        <v>0</v>
      </c>
      <c r="O397" t="n">
        <v>0</v>
      </c>
      <c r="P397" t="n">
        <v>0</v>
      </c>
      <c r="Q397" t="n">
        <v>0</v>
      </c>
      <c r="R397" s="2" t="inlineStr"/>
    </row>
    <row r="398" ht="15" customHeight="1">
      <c r="A398" t="inlineStr">
        <is>
          <t>A 41966-2023</t>
        </is>
      </c>
      <c r="B398" s="1" t="n">
        <v>45177</v>
      </c>
      <c r="C398" s="1" t="n">
        <v>46123</v>
      </c>
      <c r="D398" t="inlineStr">
        <is>
          <t>SÖDERMANLANDS LÄN</t>
        </is>
      </c>
      <c r="E398" t="inlineStr">
        <is>
          <t>KATRINEHOLM</t>
        </is>
      </c>
      <c r="G398" t="n">
        <v>36.9</v>
      </c>
      <c r="H398" t="n">
        <v>0</v>
      </c>
      <c r="I398" t="n">
        <v>0</v>
      </c>
      <c r="J398" t="n">
        <v>0</v>
      </c>
      <c r="K398" t="n">
        <v>0</v>
      </c>
      <c r="L398" t="n">
        <v>0</v>
      </c>
      <c r="M398" t="n">
        <v>0</v>
      </c>
      <c r="N398" t="n">
        <v>0</v>
      </c>
      <c r="O398" t="n">
        <v>0</v>
      </c>
      <c r="P398" t="n">
        <v>0</v>
      </c>
      <c r="Q398" t="n">
        <v>0</v>
      </c>
      <c r="R398" s="2" t="inlineStr"/>
    </row>
    <row r="399" ht="15" customHeight="1">
      <c r="A399" t="inlineStr">
        <is>
          <t>A 10446-2024</t>
        </is>
      </c>
      <c r="B399" s="1" t="n">
        <v>45366</v>
      </c>
      <c r="C399" s="1" t="n">
        <v>46123</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8761-2023</t>
        </is>
      </c>
      <c r="B400" s="1" t="n">
        <v>44978.49685185185</v>
      </c>
      <c r="C400" s="1" t="n">
        <v>46123</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8778-2023</t>
        </is>
      </c>
      <c r="B401" s="1" t="n">
        <v>44978.5737037037</v>
      </c>
      <c r="C401" s="1" t="n">
        <v>46123</v>
      </c>
      <c r="D401" t="inlineStr">
        <is>
          <t>SÖDERMANLANDS LÄN</t>
        </is>
      </c>
      <c r="E401" t="inlineStr">
        <is>
          <t>KATRINEHOLM</t>
        </is>
      </c>
      <c r="G401" t="n">
        <v>4.5</v>
      </c>
      <c r="H401" t="n">
        <v>0</v>
      </c>
      <c r="I401" t="n">
        <v>0</v>
      </c>
      <c r="J401" t="n">
        <v>0</v>
      </c>
      <c r="K401" t="n">
        <v>0</v>
      </c>
      <c r="L401" t="n">
        <v>0</v>
      </c>
      <c r="M401" t="n">
        <v>0</v>
      </c>
      <c r="N401" t="n">
        <v>0</v>
      </c>
      <c r="O401" t="n">
        <v>0</v>
      </c>
      <c r="P401" t="n">
        <v>0</v>
      </c>
      <c r="Q401" t="n">
        <v>0</v>
      </c>
      <c r="R401" s="2" t="inlineStr"/>
    </row>
    <row r="402" ht="15" customHeight="1">
      <c r="A402" t="inlineStr">
        <is>
          <t>A 56086-2023</t>
        </is>
      </c>
      <c r="B402" s="1" t="n">
        <v>45240</v>
      </c>
      <c r="C402" s="1" t="n">
        <v>46123</v>
      </c>
      <c r="D402" t="inlineStr">
        <is>
          <t>SÖDERMANLANDS LÄN</t>
        </is>
      </c>
      <c r="E402" t="inlineStr">
        <is>
          <t>KATRINEHOLM</t>
        </is>
      </c>
      <c r="F402" t="inlineStr">
        <is>
          <t>Kyrkan</t>
        </is>
      </c>
      <c r="G402" t="n">
        <v>17</v>
      </c>
      <c r="H402" t="n">
        <v>0</v>
      </c>
      <c r="I402" t="n">
        <v>0</v>
      </c>
      <c r="J402" t="n">
        <v>0</v>
      </c>
      <c r="K402" t="n">
        <v>0</v>
      </c>
      <c r="L402" t="n">
        <v>0</v>
      </c>
      <c r="M402" t="n">
        <v>0</v>
      </c>
      <c r="N402" t="n">
        <v>0</v>
      </c>
      <c r="O402" t="n">
        <v>0</v>
      </c>
      <c r="P402" t="n">
        <v>0</v>
      </c>
      <c r="Q402" t="n">
        <v>0</v>
      </c>
      <c r="R402" s="2" t="inlineStr"/>
    </row>
    <row r="403" ht="15" customHeight="1">
      <c r="A403" t="inlineStr">
        <is>
          <t>A 24719-2025</t>
        </is>
      </c>
      <c r="B403" s="1" t="n">
        <v>45799</v>
      </c>
      <c r="C403" s="1" t="n">
        <v>46123</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51774-2025</t>
        </is>
      </c>
      <c r="B404" s="1" t="n">
        <v>45951.65359953704</v>
      </c>
      <c r="C404" s="1" t="n">
        <v>46123</v>
      </c>
      <c r="D404" t="inlineStr">
        <is>
          <t>SÖDERMANLANDS LÄN</t>
        </is>
      </c>
      <c r="E404" t="inlineStr">
        <is>
          <t>KATRINEHOLM</t>
        </is>
      </c>
      <c r="F404" t="inlineStr">
        <is>
          <t>Allmännings- och besparingsskogar</t>
        </is>
      </c>
      <c r="G404" t="n">
        <v>3.7</v>
      </c>
      <c r="H404" t="n">
        <v>0</v>
      </c>
      <c r="I404" t="n">
        <v>0</v>
      </c>
      <c r="J404" t="n">
        <v>0</v>
      </c>
      <c r="K404" t="n">
        <v>0</v>
      </c>
      <c r="L404" t="n">
        <v>0</v>
      </c>
      <c r="M404" t="n">
        <v>0</v>
      </c>
      <c r="N404" t="n">
        <v>0</v>
      </c>
      <c r="O404" t="n">
        <v>0</v>
      </c>
      <c r="P404" t="n">
        <v>0</v>
      </c>
      <c r="Q404" t="n">
        <v>0</v>
      </c>
      <c r="R404" s="2" t="inlineStr"/>
    </row>
    <row r="405" ht="15" customHeight="1">
      <c r="A405" t="inlineStr">
        <is>
          <t>A 51783-2025</t>
        </is>
      </c>
      <c r="B405" s="1" t="n">
        <v>45951.67546296296</v>
      </c>
      <c r="C405" s="1" t="n">
        <v>46123</v>
      </c>
      <c r="D405" t="inlineStr">
        <is>
          <t>SÖDERMANLANDS LÄN</t>
        </is>
      </c>
      <c r="E405" t="inlineStr">
        <is>
          <t>KATRINEHOLM</t>
        </is>
      </c>
      <c r="F405" t="inlineStr">
        <is>
          <t>Allmännings- och besparingsskogar</t>
        </is>
      </c>
      <c r="G405" t="n">
        <v>5.8</v>
      </c>
      <c r="H405" t="n">
        <v>0</v>
      </c>
      <c r="I405" t="n">
        <v>0</v>
      </c>
      <c r="J405" t="n">
        <v>0</v>
      </c>
      <c r="K405" t="n">
        <v>0</v>
      </c>
      <c r="L405" t="n">
        <v>0</v>
      </c>
      <c r="M405" t="n">
        <v>0</v>
      </c>
      <c r="N405" t="n">
        <v>0</v>
      </c>
      <c r="O405" t="n">
        <v>0</v>
      </c>
      <c r="P405" t="n">
        <v>0</v>
      </c>
      <c r="Q405" t="n">
        <v>0</v>
      </c>
      <c r="R405" s="2" t="inlineStr"/>
    </row>
    <row r="406" ht="15" customHeight="1">
      <c r="A406" t="inlineStr">
        <is>
          <t>A 15399-2022</t>
        </is>
      </c>
      <c r="B406" s="1" t="n">
        <v>44659</v>
      </c>
      <c r="C406" s="1" t="n">
        <v>46123</v>
      </c>
      <c r="D406" t="inlineStr">
        <is>
          <t>SÖDERMANLANDS LÄN</t>
        </is>
      </c>
      <c r="E406" t="inlineStr">
        <is>
          <t>KATRINEHOLM</t>
        </is>
      </c>
      <c r="G406" t="n">
        <v>5.6</v>
      </c>
      <c r="H406" t="n">
        <v>0</v>
      </c>
      <c r="I406" t="n">
        <v>0</v>
      </c>
      <c r="J406" t="n">
        <v>0</v>
      </c>
      <c r="K406" t="n">
        <v>0</v>
      </c>
      <c r="L406" t="n">
        <v>0</v>
      </c>
      <c r="M406" t="n">
        <v>0</v>
      </c>
      <c r="N406" t="n">
        <v>0</v>
      </c>
      <c r="O406" t="n">
        <v>0</v>
      </c>
      <c r="P406" t="n">
        <v>0</v>
      </c>
      <c r="Q406" t="n">
        <v>0</v>
      </c>
      <c r="R406" s="2" t="inlineStr"/>
    </row>
    <row r="407" ht="15" customHeight="1">
      <c r="A407" t="inlineStr">
        <is>
          <t>A 24717-2025</t>
        </is>
      </c>
      <c r="B407" s="1" t="n">
        <v>45799.27168981481</v>
      </c>
      <c r="C407" s="1" t="n">
        <v>46123</v>
      </c>
      <c r="D407" t="inlineStr">
        <is>
          <t>SÖDERMANLANDS LÄN</t>
        </is>
      </c>
      <c r="E407" t="inlineStr">
        <is>
          <t>KATRINEHOLM</t>
        </is>
      </c>
      <c r="G407" t="n">
        <v>24.5</v>
      </c>
      <c r="H407" t="n">
        <v>0</v>
      </c>
      <c r="I407" t="n">
        <v>0</v>
      </c>
      <c r="J407" t="n">
        <v>0</v>
      </c>
      <c r="K407" t="n">
        <v>0</v>
      </c>
      <c r="L407" t="n">
        <v>0</v>
      </c>
      <c r="M407" t="n">
        <v>0</v>
      </c>
      <c r="N407" t="n">
        <v>0</v>
      </c>
      <c r="O407" t="n">
        <v>0</v>
      </c>
      <c r="P407" t="n">
        <v>0</v>
      </c>
      <c r="Q407" t="n">
        <v>0</v>
      </c>
      <c r="R407" s="2" t="inlineStr"/>
    </row>
    <row r="408" ht="15" customHeight="1">
      <c r="A408" t="inlineStr">
        <is>
          <t>A 51367-2025</t>
        </is>
      </c>
      <c r="B408" s="1" t="n">
        <v>45950.44700231482</v>
      </c>
      <c r="C408" s="1" t="n">
        <v>46123</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49116-2024</t>
        </is>
      </c>
      <c r="B409" s="1" t="n">
        <v>45594.6605787037</v>
      </c>
      <c r="C409" s="1" t="n">
        <v>46123</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51780-2025</t>
        </is>
      </c>
      <c r="B410" s="1" t="n">
        <v>45951.65725694445</v>
      </c>
      <c r="C410" s="1" t="n">
        <v>46123</v>
      </c>
      <c r="D410" t="inlineStr">
        <is>
          <t>SÖDERMANLANDS LÄN</t>
        </is>
      </c>
      <c r="E410" t="inlineStr">
        <is>
          <t>KATRINEHOLM</t>
        </is>
      </c>
      <c r="F410" t="inlineStr">
        <is>
          <t>Allmännings- och besparingsskogar</t>
        </is>
      </c>
      <c r="G410" t="n">
        <v>1.3</v>
      </c>
      <c r="H410" t="n">
        <v>0</v>
      </c>
      <c r="I410" t="n">
        <v>0</v>
      </c>
      <c r="J410" t="n">
        <v>0</v>
      </c>
      <c r="K410" t="n">
        <v>0</v>
      </c>
      <c r="L410" t="n">
        <v>0</v>
      </c>
      <c r="M410" t="n">
        <v>0</v>
      </c>
      <c r="N410" t="n">
        <v>0</v>
      </c>
      <c r="O410" t="n">
        <v>0</v>
      </c>
      <c r="P410" t="n">
        <v>0</v>
      </c>
      <c r="Q410" t="n">
        <v>0</v>
      </c>
      <c r="R410" s="2" t="inlineStr"/>
    </row>
    <row r="411" ht="15" customHeight="1">
      <c r="A411" t="inlineStr">
        <is>
          <t>A 6753-2022</t>
        </is>
      </c>
      <c r="B411" s="1" t="n">
        <v>44602</v>
      </c>
      <c r="C411" s="1" t="n">
        <v>46123</v>
      </c>
      <c r="D411" t="inlineStr">
        <is>
          <t>SÖDERMANLANDS LÄN</t>
        </is>
      </c>
      <c r="E411" t="inlineStr">
        <is>
          <t>KATRINEHOLM</t>
        </is>
      </c>
      <c r="G411" t="n">
        <v>4.3</v>
      </c>
      <c r="H411" t="n">
        <v>0</v>
      </c>
      <c r="I411" t="n">
        <v>0</v>
      </c>
      <c r="J411" t="n">
        <v>0</v>
      </c>
      <c r="K411" t="n">
        <v>0</v>
      </c>
      <c r="L411" t="n">
        <v>0</v>
      </c>
      <c r="M411" t="n">
        <v>0</v>
      </c>
      <c r="N411" t="n">
        <v>0</v>
      </c>
      <c r="O411" t="n">
        <v>0</v>
      </c>
      <c r="P411" t="n">
        <v>0</v>
      </c>
      <c r="Q411" t="n">
        <v>0</v>
      </c>
      <c r="R411" s="2" t="inlineStr"/>
    </row>
    <row r="412" ht="15" customHeight="1">
      <c r="A412" t="inlineStr">
        <is>
          <t>A 6763-2022</t>
        </is>
      </c>
      <c r="B412" s="1" t="n">
        <v>44602</v>
      </c>
      <c r="C412" s="1" t="n">
        <v>46123</v>
      </c>
      <c r="D412" t="inlineStr">
        <is>
          <t>SÖDERMANLANDS LÄN</t>
        </is>
      </c>
      <c r="E412" t="inlineStr">
        <is>
          <t>KATRINEHOLM</t>
        </is>
      </c>
      <c r="G412" t="n">
        <v>6.7</v>
      </c>
      <c r="H412" t="n">
        <v>0</v>
      </c>
      <c r="I412" t="n">
        <v>0</v>
      </c>
      <c r="J412" t="n">
        <v>0</v>
      </c>
      <c r="K412" t="n">
        <v>0</v>
      </c>
      <c r="L412" t="n">
        <v>0</v>
      </c>
      <c r="M412" t="n">
        <v>0</v>
      </c>
      <c r="N412" t="n">
        <v>0</v>
      </c>
      <c r="O412" t="n">
        <v>0</v>
      </c>
      <c r="P412" t="n">
        <v>0</v>
      </c>
      <c r="Q412" t="n">
        <v>0</v>
      </c>
      <c r="R412" s="2" t="inlineStr"/>
    </row>
    <row r="413" ht="15" customHeight="1">
      <c r="A413" t="inlineStr">
        <is>
          <t>A 39068-2022</t>
        </is>
      </c>
      <c r="B413" s="1" t="n">
        <v>44816</v>
      </c>
      <c r="C413" s="1" t="n">
        <v>46123</v>
      </c>
      <c r="D413" t="inlineStr">
        <is>
          <t>SÖDERMANLANDS LÄN</t>
        </is>
      </c>
      <c r="E413" t="inlineStr">
        <is>
          <t>KATRINEHOLM</t>
        </is>
      </c>
      <c r="G413" t="n">
        <v>3.6</v>
      </c>
      <c r="H413" t="n">
        <v>0</v>
      </c>
      <c r="I413" t="n">
        <v>0</v>
      </c>
      <c r="J413" t="n">
        <v>0</v>
      </c>
      <c r="K413" t="n">
        <v>0</v>
      </c>
      <c r="L413" t="n">
        <v>0</v>
      </c>
      <c r="M413" t="n">
        <v>0</v>
      </c>
      <c r="N413" t="n">
        <v>0</v>
      </c>
      <c r="O413" t="n">
        <v>0</v>
      </c>
      <c r="P413" t="n">
        <v>0</v>
      </c>
      <c r="Q413" t="n">
        <v>0</v>
      </c>
      <c r="R413" s="2" t="inlineStr"/>
    </row>
    <row r="414" ht="15" customHeight="1">
      <c r="A414" t="inlineStr">
        <is>
          <t>A 66540-2021</t>
        </is>
      </c>
      <c r="B414" s="1" t="n">
        <v>44519</v>
      </c>
      <c r="C414" s="1" t="n">
        <v>46123</v>
      </c>
      <c r="D414" t="inlineStr">
        <is>
          <t>SÖDERMANLANDS LÄN</t>
        </is>
      </c>
      <c r="E414" t="inlineStr">
        <is>
          <t>KATRINEHOLM</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52239-2025</t>
        </is>
      </c>
      <c r="B415" s="1" t="n">
        <v>45953.46193287037</v>
      </c>
      <c r="C415" s="1" t="n">
        <v>46123</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52242-2025</t>
        </is>
      </c>
      <c r="B416" s="1" t="n">
        <v>45953.46886574074</v>
      </c>
      <c r="C416" s="1" t="n">
        <v>46123</v>
      </c>
      <c r="D416" t="inlineStr">
        <is>
          <t>SÖDERMANLANDS LÄN</t>
        </is>
      </c>
      <c r="E416" t="inlineStr">
        <is>
          <t>KATRINEHOLM</t>
        </is>
      </c>
      <c r="G416" t="n">
        <v>5.3</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46123</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8288-2023</t>
        </is>
      </c>
      <c r="B418" s="1" t="n">
        <v>44974</v>
      </c>
      <c r="C418" s="1" t="n">
        <v>46123</v>
      </c>
      <c r="D418" t="inlineStr">
        <is>
          <t>SÖDERMANLANDS LÄN</t>
        </is>
      </c>
      <c r="E418" t="inlineStr">
        <is>
          <t>KATRINEHOLM</t>
        </is>
      </c>
      <c r="F418" t="inlineStr">
        <is>
          <t>Allmännings- och besparingsskogar</t>
        </is>
      </c>
      <c r="G418" t="n">
        <v>5.6</v>
      </c>
      <c r="H418" t="n">
        <v>0</v>
      </c>
      <c r="I418" t="n">
        <v>0</v>
      </c>
      <c r="J418" t="n">
        <v>0</v>
      </c>
      <c r="K418" t="n">
        <v>0</v>
      </c>
      <c r="L418" t="n">
        <v>0</v>
      </c>
      <c r="M418" t="n">
        <v>0</v>
      </c>
      <c r="N418" t="n">
        <v>0</v>
      </c>
      <c r="O418" t="n">
        <v>0</v>
      </c>
      <c r="P418" t="n">
        <v>0</v>
      </c>
      <c r="Q418" t="n">
        <v>0</v>
      </c>
      <c r="R418" s="2" t="inlineStr"/>
    </row>
    <row r="419" ht="15" customHeight="1">
      <c r="A419" t="inlineStr">
        <is>
          <t>A 45142-2021</t>
        </is>
      </c>
      <c r="B419" s="1" t="n">
        <v>44439</v>
      </c>
      <c r="C419" s="1" t="n">
        <v>46123</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5788-2022</t>
        </is>
      </c>
      <c r="B420" s="1" t="n">
        <v>44596.54990740741</v>
      </c>
      <c r="C420" s="1" t="n">
        <v>46123</v>
      </c>
      <c r="D420" t="inlineStr">
        <is>
          <t>SÖDERMANLANDS LÄN</t>
        </is>
      </c>
      <c r="E420" t="inlineStr">
        <is>
          <t>KATRINEHOLM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5790-2022</t>
        </is>
      </c>
      <c r="B421" s="1" t="n">
        <v>44596.55368055555</v>
      </c>
      <c r="C421" s="1" t="n">
        <v>46123</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53387-2023</t>
        </is>
      </c>
      <c r="B422" s="1" t="n">
        <v>45229</v>
      </c>
      <c r="C422" s="1" t="n">
        <v>46123</v>
      </c>
      <c r="D422" t="inlineStr">
        <is>
          <t>SÖDERMANLANDS LÄN</t>
        </is>
      </c>
      <c r="E422" t="inlineStr">
        <is>
          <t>KATRINEHOLM</t>
        </is>
      </c>
      <c r="F422" t="inlineStr">
        <is>
          <t>Kyrkan</t>
        </is>
      </c>
      <c r="G422" t="n">
        <v>7.4</v>
      </c>
      <c r="H422" t="n">
        <v>0</v>
      </c>
      <c r="I422" t="n">
        <v>0</v>
      </c>
      <c r="J422" t="n">
        <v>0</v>
      </c>
      <c r="K422" t="n">
        <v>0</v>
      </c>
      <c r="L422" t="n">
        <v>0</v>
      </c>
      <c r="M422" t="n">
        <v>0</v>
      </c>
      <c r="N422" t="n">
        <v>0</v>
      </c>
      <c r="O422" t="n">
        <v>0</v>
      </c>
      <c r="P422" t="n">
        <v>0</v>
      </c>
      <c r="Q422" t="n">
        <v>0</v>
      </c>
      <c r="R422" s="2" t="inlineStr"/>
    </row>
    <row r="423" ht="15" customHeight="1">
      <c r="A423" t="inlineStr">
        <is>
          <t>A 55169-2022</t>
        </is>
      </c>
      <c r="B423" s="1" t="n">
        <v>44886</v>
      </c>
      <c r="C423" s="1" t="n">
        <v>46123</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52744-2025</t>
        </is>
      </c>
      <c r="B424" s="1" t="n">
        <v>45957.38387731482</v>
      </c>
      <c r="C424" s="1" t="n">
        <v>46123</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13612-2023</t>
        </is>
      </c>
      <c r="B425" s="1" t="n">
        <v>45006</v>
      </c>
      <c r="C425" s="1" t="n">
        <v>46123</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25786-2025</t>
        </is>
      </c>
      <c r="B426" s="1" t="n">
        <v>45804.37456018518</v>
      </c>
      <c r="C426" s="1" t="n">
        <v>46123</v>
      </c>
      <c r="D426" t="inlineStr">
        <is>
          <t>SÖDERMANLANDS LÄN</t>
        </is>
      </c>
      <c r="E426" t="inlineStr">
        <is>
          <t>KATRINEHOLM</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20949-2021</t>
        </is>
      </c>
      <c r="B427" s="1" t="n">
        <v>44319</v>
      </c>
      <c r="C427" s="1" t="n">
        <v>46123</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7747-2024</t>
        </is>
      </c>
      <c r="B428" s="1" t="n">
        <v>45348</v>
      </c>
      <c r="C428" s="1" t="n">
        <v>46123</v>
      </c>
      <c r="D428" t="inlineStr">
        <is>
          <t>SÖDERMANLANDS LÄN</t>
        </is>
      </c>
      <c r="E428" t="inlineStr">
        <is>
          <t>KATRINEHOLM</t>
        </is>
      </c>
      <c r="G428" t="n">
        <v>1.1</v>
      </c>
      <c r="H428" t="n">
        <v>0</v>
      </c>
      <c r="I428" t="n">
        <v>0</v>
      </c>
      <c r="J428" t="n">
        <v>0</v>
      </c>
      <c r="K428" t="n">
        <v>0</v>
      </c>
      <c r="L428" t="n">
        <v>0</v>
      </c>
      <c r="M428" t="n">
        <v>0</v>
      </c>
      <c r="N428" t="n">
        <v>0</v>
      </c>
      <c r="O428" t="n">
        <v>0</v>
      </c>
      <c r="P428" t="n">
        <v>0</v>
      </c>
      <c r="Q428" t="n">
        <v>0</v>
      </c>
      <c r="R428" s="2" t="inlineStr"/>
    </row>
    <row r="429" ht="15" customHeight="1">
      <c r="A429" t="inlineStr">
        <is>
          <t>A 4650-2024</t>
        </is>
      </c>
      <c r="B429" s="1" t="n">
        <v>45328</v>
      </c>
      <c r="C429" s="1" t="n">
        <v>46123</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4652-2024</t>
        </is>
      </c>
      <c r="B430" s="1" t="n">
        <v>45328</v>
      </c>
      <c r="C430" s="1" t="n">
        <v>46123</v>
      </c>
      <c r="D430" t="inlineStr">
        <is>
          <t>SÖDERMANLANDS LÄN</t>
        </is>
      </c>
      <c r="E430" t="inlineStr">
        <is>
          <t>KATRINEHOLM</t>
        </is>
      </c>
      <c r="F430" t="inlineStr">
        <is>
          <t>Övriga Aktiebolag</t>
        </is>
      </c>
      <c r="G430" t="n">
        <v>6.1</v>
      </c>
      <c r="H430" t="n">
        <v>0</v>
      </c>
      <c r="I430" t="n">
        <v>0</v>
      </c>
      <c r="J430" t="n">
        <v>0</v>
      </c>
      <c r="K430" t="n">
        <v>0</v>
      </c>
      <c r="L430" t="n">
        <v>0</v>
      </c>
      <c r="M430" t="n">
        <v>0</v>
      </c>
      <c r="N430" t="n">
        <v>0</v>
      </c>
      <c r="O430" t="n">
        <v>0</v>
      </c>
      <c r="P430" t="n">
        <v>0</v>
      </c>
      <c r="Q430" t="n">
        <v>0</v>
      </c>
      <c r="R430" s="2" t="inlineStr"/>
    </row>
    <row r="431" ht="15" customHeight="1">
      <c r="A431" t="inlineStr">
        <is>
          <t>A 48253-2022</t>
        </is>
      </c>
      <c r="B431" s="1" t="n">
        <v>44858</v>
      </c>
      <c r="C431" s="1" t="n">
        <v>46123</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26154-2025</t>
        </is>
      </c>
      <c r="B432" s="1" t="n">
        <v>45805.43341435185</v>
      </c>
      <c r="C432" s="1" t="n">
        <v>46123</v>
      </c>
      <c r="D432" t="inlineStr">
        <is>
          <t>SÖDERMANLANDS LÄN</t>
        </is>
      </c>
      <c r="E432" t="inlineStr">
        <is>
          <t>KATRINEHOLM</t>
        </is>
      </c>
      <c r="G432" t="n">
        <v>4.5</v>
      </c>
      <c r="H432" t="n">
        <v>0</v>
      </c>
      <c r="I432" t="n">
        <v>0</v>
      </c>
      <c r="J432" t="n">
        <v>0</v>
      </c>
      <c r="K432" t="n">
        <v>0</v>
      </c>
      <c r="L432" t="n">
        <v>0</v>
      </c>
      <c r="M432" t="n">
        <v>0</v>
      </c>
      <c r="N432" t="n">
        <v>0</v>
      </c>
      <c r="O432" t="n">
        <v>0</v>
      </c>
      <c r="P432" t="n">
        <v>0</v>
      </c>
      <c r="Q432" t="n">
        <v>0</v>
      </c>
      <c r="R432" s="2" t="inlineStr"/>
    </row>
    <row r="433" ht="15" customHeight="1">
      <c r="A433" t="inlineStr">
        <is>
          <t>A 53338-2025</t>
        </is>
      </c>
      <c r="B433" s="1" t="n">
        <v>45959.40447916667</v>
      </c>
      <c r="C433" s="1" t="n">
        <v>46123</v>
      </c>
      <c r="D433" t="inlineStr">
        <is>
          <t>SÖDERMANLANDS LÄN</t>
        </is>
      </c>
      <c r="E433" t="inlineStr">
        <is>
          <t>KATRINEHOLM</t>
        </is>
      </c>
      <c r="G433" t="n">
        <v>2.9</v>
      </c>
      <c r="H433" t="n">
        <v>0</v>
      </c>
      <c r="I433" t="n">
        <v>0</v>
      </c>
      <c r="J433" t="n">
        <v>0</v>
      </c>
      <c r="K433" t="n">
        <v>0</v>
      </c>
      <c r="L433" t="n">
        <v>0</v>
      </c>
      <c r="M433" t="n">
        <v>0</v>
      </c>
      <c r="N433" t="n">
        <v>0</v>
      </c>
      <c r="O433" t="n">
        <v>0</v>
      </c>
      <c r="P433" t="n">
        <v>0</v>
      </c>
      <c r="Q433" t="n">
        <v>0</v>
      </c>
      <c r="R433" s="2" t="inlineStr"/>
    </row>
    <row r="434" ht="15" customHeight="1">
      <c r="A434" t="inlineStr">
        <is>
          <t>A 32166-2022</t>
        </is>
      </c>
      <c r="B434" s="1" t="n">
        <v>44781</v>
      </c>
      <c r="C434" s="1" t="n">
        <v>46123</v>
      </c>
      <c r="D434" t="inlineStr">
        <is>
          <t>SÖDERMANLANDS LÄN</t>
        </is>
      </c>
      <c r="E434" t="inlineStr">
        <is>
          <t>KATRINEHOLM</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26156-2025</t>
        </is>
      </c>
      <c r="B435" s="1" t="n">
        <v>45805.43864583333</v>
      </c>
      <c r="C435" s="1" t="n">
        <v>46123</v>
      </c>
      <c r="D435" t="inlineStr">
        <is>
          <t>SÖDERMANLANDS LÄN</t>
        </is>
      </c>
      <c r="E435" t="inlineStr">
        <is>
          <t>KATRINEHOLM</t>
        </is>
      </c>
      <c r="G435" t="n">
        <v>4.1</v>
      </c>
      <c r="H435" t="n">
        <v>0</v>
      </c>
      <c r="I435" t="n">
        <v>0</v>
      </c>
      <c r="J435" t="n">
        <v>0</v>
      </c>
      <c r="K435" t="n">
        <v>0</v>
      </c>
      <c r="L435" t="n">
        <v>0</v>
      </c>
      <c r="M435" t="n">
        <v>0</v>
      </c>
      <c r="N435" t="n">
        <v>0</v>
      </c>
      <c r="O435" t="n">
        <v>0</v>
      </c>
      <c r="P435" t="n">
        <v>0</v>
      </c>
      <c r="Q435" t="n">
        <v>0</v>
      </c>
      <c r="R435" s="2" t="inlineStr"/>
    </row>
    <row r="436" ht="15" customHeight="1">
      <c r="A436" t="inlineStr">
        <is>
          <t>A 59384-2022</t>
        </is>
      </c>
      <c r="B436" s="1" t="n">
        <v>44905</v>
      </c>
      <c r="C436" s="1" t="n">
        <v>46123</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10996-2022</t>
        </is>
      </c>
      <c r="B437" s="1" t="n">
        <v>44628</v>
      </c>
      <c r="C437" s="1" t="n">
        <v>46123</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33469-2025</t>
        </is>
      </c>
      <c r="B438" s="1" t="n">
        <v>45841.48686342593</v>
      </c>
      <c r="C438" s="1" t="n">
        <v>46123</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54395-2025</t>
        </is>
      </c>
      <c r="B439" s="1" t="n">
        <v>45964</v>
      </c>
      <c r="C439" s="1" t="n">
        <v>46123</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25363-2023</t>
        </is>
      </c>
      <c r="B440" s="1" t="n">
        <v>45088.83840277778</v>
      </c>
      <c r="C440" s="1" t="n">
        <v>46123</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41548-2025</t>
        </is>
      </c>
      <c r="B441" s="1" t="n">
        <v>45901</v>
      </c>
      <c r="C441" s="1" t="n">
        <v>46123</v>
      </c>
      <c r="D441" t="inlineStr">
        <is>
          <t>SÖDERMANLANDS LÄN</t>
        </is>
      </c>
      <c r="E441" t="inlineStr">
        <is>
          <t>KATRINEHOLM</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33101-2025</t>
        </is>
      </c>
      <c r="B442" s="1" t="n">
        <v>45840.47953703703</v>
      </c>
      <c r="C442" s="1" t="n">
        <v>46123</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54359-2025</t>
        </is>
      </c>
      <c r="B443" s="1" t="n">
        <v>45964</v>
      </c>
      <c r="C443" s="1" t="n">
        <v>46123</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33096-2025</t>
        </is>
      </c>
      <c r="B444" s="1" t="n">
        <v>45840.47563657408</v>
      </c>
      <c r="C444" s="1" t="n">
        <v>46123</v>
      </c>
      <c r="D444" t="inlineStr">
        <is>
          <t>SÖDERMANLANDS LÄN</t>
        </is>
      </c>
      <c r="E444" t="inlineStr">
        <is>
          <t>KATRINEHOLM</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33077-2025</t>
        </is>
      </c>
      <c r="B445" s="1" t="n">
        <v>45840.45864583334</v>
      </c>
      <c r="C445" s="1" t="n">
        <v>46123</v>
      </c>
      <c r="D445" t="inlineStr">
        <is>
          <t>SÖDERMANLANDS LÄN</t>
        </is>
      </c>
      <c r="E445" t="inlineStr">
        <is>
          <t>KATRINEHOLM</t>
        </is>
      </c>
      <c r="G445" t="n">
        <v>7</v>
      </c>
      <c r="H445" t="n">
        <v>0</v>
      </c>
      <c r="I445" t="n">
        <v>0</v>
      </c>
      <c r="J445" t="n">
        <v>0</v>
      </c>
      <c r="K445" t="n">
        <v>0</v>
      </c>
      <c r="L445" t="n">
        <v>0</v>
      </c>
      <c r="M445" t="n">
        <v>0</v>
      </c>
      <c r="N445" t="n">
        <v>0</v>
      </c>
      <c r="O445" t="n">
        <v>0</v>
      </c>
      <c r="P445" t="n">
        <v>0</v>
      </c>
      <c r="Q445" t="n">
        <v>0</v>
      </c>
      <c r="R445" s="2" t="inlineStr"/>
    </row>
    <row r="446" ht="15" customHeight="1">
      <c r="A446" t="inlineStr">
        <is>
          <t>A 33129-2025</t>
        </is>
      </c>
      <c r="B446" s="1" t="n">
        <v>45840.50141203704</v>
      </c>
      <c r="C446" s="1" t="n">
        <v>46123</v>
      </c>
      <c r="D446" t="inlineStr">
        <is>
          <t>SÖDERMANLANDS LÄN</t>
        </is>
      </c>
      <c r="E446" t="inlineStr">
        <is>
          <t>KATRINEHOLM</t>
        </is>
      </c>
      <c r="G446" t="n">
        <v>2.6</v>
      </c>
      <c r="H446" t="n">
        <v>0</v>
      </c>
      <c r="I446" t="n">
        <v>0</v>
      </c>
      <c r="J446" t="n">
        <v>0</v>
      </c>
      <c r="K446" t="n">
        <v>0</v>
      </c>
      <c r="L446" t="n">
        <v>0</v>
      </c>
      <c r="M446" t="n">
        <v>0</v>
      </c>
      <c r="N446" t="n">
        <v>0</v>
      </c>
      <c r="O446" t="n">
        <v>0</v>
      </c>
      <c r="P446" t="n">
        <v>0</v>
      </c>
      <c r="Q446" t="n">
        <v>0</v>
      </c>
      <c r="R446" s="2" t="inlineStr"/>
    </row>
    <row r="447" ht="15" customHeight="1">
      <c r="A447" t="inlineStr">
        <is>
          <t>A 54999-2025</t>
        </is>
      </c>
      <c r="B447" s="1" t="n">
        <v>45967.59880787037</v>
      </c>
      <c r="C447" s="1" t="n">
        <v>46123</v>
      </c>
      <c r="D447" t="inlineStr">
        <is>
          <t>SÖDERMANLANDS LÄN</t>
        </is>
      </c>
      <c r="E447" t="inlineStr">
        <is>
          <t>KATRINEHOLM</t>
        </is>
      </c>
      <c r="G447" t="n">
        <v>8.5</v>
      </c>
      <c r="H447" t="n">
        <v>0</v>
      </c>
      <c r="I447" t="n">
        <v>0</v>
      </c>
      <c r="J447" t="n">
        <v>0</v>
      </c>
      <c r="K447" t="n">
        <v>0</v>
      </c>
      <c r="L447" t="n">
        <v>0</v>
      </c>
      <c r="M447" t="n">
        <v>0</v>
      </c>
      <c r="N447" t="n">
        <v>0</v>
      </c>
      <c r="O447" t="n">
        <v>0</v>
      </c>
      <c r="P447" t="n">
        <v>0</v>
      </c>
      <c r="Q447" t="n">
        <v>0</v>
      </c>
      <c r="R447" s="2" t="inlineStr"/>
    </row>
    <row r="448" ht="15" customHeight="1">
      <c r="A448" t="inlineStr">
        <is>
          <t>A 48398-2022</t>
        </is>
      </c>
      <c r="B448" s="1" t="n">
        <v>44858.60809027778</v>
      </c>
      <c r="C448" s="1" t="n">
        <v>46123</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15945-2024</t>
        </is>
      </c>
      <c r="B449" s="1" t="n">
        <v>45405.48912037037</v>
      </c>
      <c r="C449" s="1" t="n">
        <v>46123</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1329-2025</t>
        </is>
      </c>
      <c r="B450" s="1" t="n">
        <v>45667</v>
      </c>
      <c r="C450" s="1" t="n">
        <v>46123</v>
      </c>
      <c r="D450" t="inlineStr">
        <is>
          <t>SÖDERMANLANDS LÄN</t>
        </is>
      </c>
      <c r="E450" t="inlineStr">
        <is>
          <t>KATRINEHOLM</t>
        </is>
      </c>
      <c r="G450" t="n">
        <v>2.7</v>
      </c>
      <c r="H450" t="n">
        <v>0</v>
      </c>
      <c r="I450" t="n">
        <v>0</v>
      </c>
      <c r="J450" t="n">
        <v>0</v>
      </c>
      <c r="K450" t="n">
        <v>0</v>
      </c>
      <c r="L450" t="n">
        <v>0</v>
      </c>
      <c r="M450" t="n">
        <v>0</v>
      </c>
      <c r="N450" t="n">
        <v>0</v>
      </c>
      <c r="O450" t="n">
        <v>0</v>
      </c>
      <c r="P450" t="n">
        <v>0</v>
      </c>
      <c r="Q450" t="n">
        <v>0</v>
      </c>
      <c r="R450" s="2" t="inlineStr"/>
    </row>
    <row r="451" ht="15" customHeight="1">
      <c r="A451" t="inlineStr">
        <is>
          <t>A 55029-2025</t>
        </is>
      </c>
      <c r="B451" s="1" t="n">
        <v>45967.63784722222</v>
      </c>
      <c r="C451" s="1" t="n">
        <v>46123</v>
      </c>
      <c r="D451" t="inlineStr">
        <is>
          <t>SÖDERMANLANDS LÄN</t>
        </is>
      </c>
      <c r="E451" t="inlineStr">
        <is>
          <t>KATRINEHOLM</t>
        </is>
      </c>
      <c r="G451" t="n">
        <v>10.1</v>
      </c>
      <c r="H451" t="n">
        <v>0</v>
      </c>
      <c r="I451" t="n">
        <v>0</v>
      </c>
      <c r="J451" t="n">
        <v>0</v>
      </c>
      <c r="K451" t="n">
        <v>0</v>
      </c>
      <c r="L451" t="n">
        <v>0</v>
      </c>
      <c r="M451" t="n">
        <v>0</v>
      </c>
      <c r="N451" t="n">
        <v>0</v>
      </c>
      <c r="O451" t="n">
        <v>0</v>
      </c>
      <c r="P451" t="n">
        <v>0</v>
      </c>
      <c r="Q451" t="n">
        <v>0</v>
      </c>
      <c r="R451" s="2" t="inlineStr"/>
    </row>
    <row r="452" ht="15" customHeight="1">
      <c r="A452" t="inlineStr">
        <is>
          <t>A 27552-2025</t>
        </is>
      </c>
      <c r="B452" s="1" t="n">
        <v>45813</v>
      </c>
      <c r="C452" s="1" t="n">
        <v>46123</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27534-2025</t>
        </is>
      </c>
      <c r="B453" s="1" t="n">
        <v>45813</v>
      </c>
      <c r="C453" s="1" t="n">
        <v>46123</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8475-2023</t>
        </is>
      </c>
      <c r="B454" s="1" t="n">
        <v>44977</v>
      </c>
      <c r="C454" s="1" t="n">
        <v>46123</v>
      </c>
      <c r="D454" t="inlineStr">
        <is>
          <t>SÖDERMANLANDS LÄN</t>
        </is>
      </c>
      <c r="E454" t="inlineStr">
        <is>
          <t>KATRINEHOLM</t>
        </is>
      </c>
      <c r="F454" t="inlineStr">
        <is>
          <t>Allmännings- och besparingsskogar</t>
        </is>
      </c>
      <c r="G454" t="n">
        <v>8.1</v>
      </c>
      <c r="H454" t="n">
        <v>0</v>
      </c>
      <c r="I454" t="n">
        <v>0</v>
      </c>
      <c r="J454" t="n">
        <v>0</v>
      </c>
      <c r="K454" t="n">
        <v>0</v>
      </c>
      <c r="L454" t="n">
        <v>0</v>
      </c>
      <c r="M454" t="n">
        <v>0</v>
      </c>
      <c r="N454" t="n">
        <v>0</v>
      </c>
      <c r="O454" t="n">
        <v>0</v>
      </c>
      <c r="P454" t="n">
        <v>0</v>
      </c>
      <c r="Q454" t="n">
        <v>0</v>
      </c>
      <c r="R454" s="2" t="inlineStr"/>
    </row>
    <row r="455" ht="15" customHeight="1">
      <c r="A455" t="inlineStr">
        <is>
          <t>A 8518-2023</t>
        </is>
      </c>
      <c r="B455" s="1" t="n">
        <v>44977</v>
      </c>
      <c r="C455" s="1" t="n">
        <v>46123</v>
      </c>
      <c r="D455" t="inlineStr">
        <is>
          <t>SÖDERMANLANDS LÄN</t>
        </is>
      </c>
      <c r="E455" t="inlineStr">
        <is>
          <t>KATRINEHOLM</t>
        </is>
      </c>
      <c r="F455" t="inlineStr">
        <is>
          <t>Allmännings- och besparingsskogar</t>
        </is>
      </c>
      <c r="G455" t="n">
        <v>35.3</v>
      </c>
      <c r="H455" t="n">
        <v>0</v>
      </c>
      <c r="I455" t="n">
        <v>0</v>
      </c>
      <c r="J455" t="n">
        <v>0</v>
      </c>
      <c r="K455" t="n">
        <v>0</v>
      </c>
      <c r="L455" t="n">
        <v>0</v>
      </c>
      <c r="M455" t="n">
        <v>0</v>
      </c>
      <c r="N455" t="n">
        <v>0</v>
      </c>
      <c r="O455" t="n">
        <v>0</v>
      </c>
      <c r="P455" t="n">
        <v>0</v>
      </c>
      <c r="Q455" t="n">
        <v>0</v>
      </c>
      <c r="R455" s="2" t="inlineStr"/>
    </row>
    <row r="456" ht="15" customHeight="1">
      <c r="A456" t="inlineStr">
        <is>
          <t>A 46670-2021</t>
        </is>
      </c>
      <c r="B456" s="1" t="n">
        <v>44445</v>
      </c>
      <c r="C456" s="1" t="n">
        <v>46123</v>
      </c>
      <c r="D456" t="inlineStr">
        <is>
          <t>SÖDERMANLANDS LÄN</t>
        </is>
      </c>
      <c r="E456" t="inlineStr">
        <is>
          <t>KATRINEHOLM</t>
        </is>
      </c>
      <c r="G456" t="n">
        <v>4.4</v>
      </c>
      <c r="H456" t="n">
        <v>0</v>
      </c>
      <c r="I456" t="n">
        <v>0</v>
      </c>
      <c r="J456" t="n">
        <v>0</v>
      </c>
      <c r="K456" t="n">
        <v>0</v>
      </c>
      <c r="L456" t="n">
        <v>0</v>
      </c>
      <c r="M456" t="n">
        <v>0</v>
      </c>
      <c r="N456" t="n">
        <v>0</v>
      </c>
      <c r="O456" t="n">
        <v>0</v>
      </c>
      <c r="P456" t="n">
        <v>0</v>
      </c>
      <c r="Q456" t="n">
        <v>0</v>
      </c>
      <c r="R456" s="2" t="inlineStr"/>
    </row>
    <row r="457" ht="15" customHeight="1">
      <c r="A457" t="inlineStr">
        <is>
          <t>A 27636-2025</t>
        </is>
      </c>
      <c r="B457" s="1" t="n">
        <v>45813.57603009259</v>
      </c>
      <c r="C457" s="1" t="n">
        <v>46123</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55829-2025</t>
        </is>
      </c>
      <c r="B458" s="1" t="n">
        <v>45972.79274305556</v>
      </c>
      <c r="C458" s="1" t="n">
        <v>46123</v>
      </c>
      <c r="D458" t="inlineStr">
        <is>
          <t>SÖDERMANLANDS LÄN</t>
        </is>
      </c>
      <c r="E458" t="inlineStr">
        <is>
          <t>KATRINEHOLM</t>
        </is>
      </c>
      <c r="G458" t="n">
        <v>3.2</v>
      </c>
      <c r="H458" t="n">
        <v>0</v>
      </c>
      <c r="I458" t="n">
        <v>0</v>
      </c>
      <c r="J458" t="n">
        <v>0</v>
      </c>
      <c r="K458" t="n">
        <v>0</v>
      </c>
      <c r="L458" t="n">
        <v>0</v>
      </c>
      <c r="M458" t="n">
        <v>0</v>
      </c>
      <c r="N458" t="n">
        <v>0</v>
      </c>
      <c r="O458" t="n">
        <v>0</v>
      </c>
      <c r="P458" t="n">
        <v>0</v>
      </c>
      <c r="Q458" t="n">
        <v>0</v>
      </c>
      <c r="R458" s="2" t="inlineStr"/>
    </row>
    <row r="459" ht="15" customHeight="1">
      <c r="A459" t="inlineStr">
        <is>
          <t>A 55832-2025</t>
        </is>
      </c>
      <c r="B459" s="1" t="n">
        <v>45972.81768518518</v>
      </c>
      <c r="C459" s="1" t="n">
        <v>46123</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55831-2025</t>
        </is>
      </c>
      <c r="B460" s="1" t="n">
        <v>45972.81034722222</v>
      </c>
      <c r="C460" s="1" t="n">
        <v>46123</v>
      </c>
      <c r="D460" t="inlineStr">
        <is>
          <t>SÖDERMANLANDS LÄN</t>
        </is>
      </c>
      <c r="E460" t="inlineStr">
        <is>
          <t>KATRINEHOLM</t>
        </is>
      </c>
      <c r="G460" t="n">
        <v>6.2</v>
      </c>
      <c r="H460" t="n">
        <v>0</v>
      </c>
      <c r="I460" t="n">
        <v>0</v>
      </c>
      <c r="J460" t="n">
        <v>0</v>
      </c>
      <c r="K460" t="n">
        <v>0</v>
      </c>
      <c r="L460" t="n">
        <v>0</v>
      </c>
      <c r="M460" t="n">
        <v>0</v>
      </c>
      <c r="N460" t="n">
        <v>0</v>
      </c>
      <c r="O460" t="n">
        <v>0</v>
      </c>
      <c r="P460" t="n">
        <v>0</v>
      </c>
      <c r="Q460" t="n">
        <v>0</v>
      </c>
      <c r="R460" s="2" t="inlineStr"/>
    </row>
    <row r="461" ht="15" customHeight="1">
      <c r="A461" t="inlineStr">
        <is>
          <t>A 56330-2025</t>
        </is>
      </c>
      <c r="B461" s="1" t="n">
        <v>45974.64094907408</v>
      </c>
      <c r="C461" s="1" t="n">
        <v>46123</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56597-2025</t>
        </is>
      </c>
      <c r="B462" s="1" t="n">
        <v>45975.57271990741</v>
      </c>
      <c r="C462" s="1" t="n">
        <v>46123</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24600-2025</t>
        </is>
      </c>
      <c r="B463" s="1" t="n">
        <v>45798.56348379629</v>
      </c>
      <c r="C463" s="1" t="n">
        <v>46123</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61911-2021</t>
        </is>
      </c>
      <c r="B464" s="1" t="n">
        <v>44502.35746527778</v>
      </c>
      <c r="C464" s="1" t="n">
        <v>46123</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43513-2023</t>
        </is>
      </c>
      <c r="B465" s="1" t="n">
        <v>45184</v>
      </c>
      <c r="C465" s="1" t="n">
        <v>46123</v>
      </c>
      <c r="D465" t="inlineStr">
        <is>
          <t>SÖDERMANLANDS LÄN</t>
        </is>
      </c>
      <c r="E465" t="inlineStr">
        <is>
          <t>KATRINEHOLM</t>
        </is>
      </c>
      <c r="G465" t="n">
        <v>3.8</v>
      </c>
      <c r="H465" t="n">
        <v>0</v>
      </c>
      <c r="I465" t="n">
        <v>0</v>
      </c>
      <c r="J465" t="n">
        <v>0</v>
      </c>
      <c r="K465" t="n">
        <v>0</v>
      </c>
      <c r="L465" t="n">
        <v>0</v>
      </c>
      <c r="M465" t="n">
        <v>0</v>
      </c>
      <c r="N465" t="n">
        <v>0</v>
      </c>
      <c r="O465" t="n">
        <v>0</v>
      </c>
      <c r="P465" t="n">
        <v>0</v>
      </c>
      <c r="Q465" t="n">
        <v>0</v>
      </c>
      <c r="R465" s="2" t="inlineStr"/>
    </row>
    <row r="466" ht="15" customHeight="1">
      <c r="A466" t="inlineStr">
        <is>
          <t>A 35608-2024</t>
        </is>
      </c>
      <c r="B466" s="1" t="n">
        <v>45531</v>
      </c>
      <c r="C466" s="1" t="n">
        <v>46123</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12633-2022</t>
        </is>
      </c>
      <c r="B467" s="1" t="n">
        <v>44638</v>
      </c>
      <c r="C467" s="1" t="n">
        <v>46123</v>
      </c>
      <c r="D467" t="inlineStr">
        <is>
          <t>SÖDERMANLANDS LÄN</t>
        </is>
      </c>
      <c r="E467" t="inlineStr">
        <is>
          <t>KATRINEHOLM</t>
        </is>
      </c>
      <c r="G467" t="n">
        <v>6.4</v>
      </c>
      <c r="H467" t="n">
        <v>0</v>
      </c>
      <c r="I467" t="n">
        <v>0</v>
      </c>
      <c r="J467" t="n">
        <v>0</v>
      </c>
      <c r="K467" t="n">
        <v>0</v>
      </c>
      <c r="L467" t="n">
        <v>0</v>
      </c>
      <c r="M467" t="n">
        <v>0</v>
      </c>
      <c r="N467" t="n">
        <v>0</v>
      </c>
      <c r="O467" t="n">
        <v>0</v>
      </c>
      <c r="P467" t="n">
        <v>0</v>
      </c>
      <c r="Q467" t="n">
        <v>0</v>
      </c>
      <c r="R467" s="2" t="inlineStr"/>
    </row>
    <row r="468" ht="15" customHeight="1">
      <c r="A468" t="inlineStr">
        <is>
          <t>A 49122-2024</t>
        </is>
      </c>
      <c r="B468" s="1" t="n">
        <v>45594</v>
      </c>
      <c r="C468" s="1" t="n">
        <v>46123</v>
      </c>
      <c r="D468" t="inlineStr">
        <is>
          <t>SÖDERMANLANDS LÄN</t>
        </is>
      </c>
      <c r="E468" t="inlineStr">
        <is>
          <t>KATRINEHOLM</t>
        </is>
      </c>
      <c r="G468" t="n">
        <v>19.4</v>
      </c>
      <c r="H468" t="n">
        <v>0</v>
      </c>
      <c r="I468" t="n">
        <v>0</v>
      </c>
      <c r="J468" t="n">
        <v>0</v>
      </c>
      <c r="K468" t="n">
        <v>0</v>
      </c>
      <c r="L468" t="n">
        <v>0</v>
      </c>
      <c r="M468" t="n">
        <v>0</v>
      </c>
      <c r="N468" t="n">
        <v>0</v>
      </c>
      <c r="O468" t="n">
        <v>0</v>
      </c>
      <c r="P468" t="n">
        <v>0</v>
      </c>
      <c r="Q468" t="n">
        <v>0</v>
      </c>
      <c r="R468" s="2" t="inlineStr"/>
    </row>
    <row r="469" ht="15" customHeight="1">
      <c r="A469" t="inlineStr">
        <is>
          <t>A 8791-2023</t>
        </is>
      </c>
      <c r="B469" s="1" t="n">
        <v>44978</v>
      </c>
      <c r="C469" s="1" t="n">
        <v>46123</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55825-2022</t>
        </is>
      </c>
      <c r="B470" s="1" t="n">
        <v>44886</v>
      </c>
      <c r="C470" s="1" t="n">
        <v>46123</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62954-2023</t>
        </is>
      </c>
      <c r="B471" s="1" t="n">
        <v>45272.55362268518</v>
      </c>
      <c r="C471" s="1" t="n">
        <v>46123</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7191-2023</t>
        </is>
      </c>
      <c r="B472" s="1" t="n">
        <v>44965</v>
      </c>
      <c r="C472" s="1" t="n">
        <v>46123</v>
      </c>
      <c r="D472" t="inlineStr">
        <is>
          <t>SÖDERMANLANDS LÄN</t>
        </is>
      </c>
      <c r="E472" t="inlineStr">
        <is>
          <t>KATRINEHOLM</t>
        </is>
      </c>
      <c r="G472" t="n">
        <v>14.1</v>
      </c>
      <c r="H472" t="n">
        <v>0</v>
      </c>
      <c r="I472" t="n">
        <v>0</v>
      </c>
      <c r="J472" t="n">
        <v>0</v>
      </c>
      <c r="K472" t="n">
        <v>0</v>
      </c>
      <c r="L472" t="n">
        <v>0</v>
      </c>
      <c r="M472" t="n">
        <v>0</v>
      </c>
      <c r="N472" t="n">
        <v>0</v>
      </c>
      <c r="O472" t="n">
        <v>0</v>
      </c>
      <c r="P472" t="n">
        <v>0</v>
      </c>
      <c r="Q472" t="n">
        <v>0</v>
      </c>
      <c r="R472" s="2" t="inlineStr"/>
    </row>
    <row r="473" ht="15" customHeight="1">
      <c r="A473" t="inlineStr">
        <is>
          <t>A 37834-2023</t>
        </is>
      </c>
      <c r="B473" s="1" t="n">
        <v>45160</v>
      </c>
      <c r="C473" s="1" t="n">
        <v>46123</v>
      </c>
      <c r="D473" t="inlineStr">
        <is>
          <t>SÖDERMANLANDS LÄN</t>
        </is>
      </c>
      <c r="E473" t="inlineStr">
        <is>
          <t>KATRINEHOLM</t>
        </is>
      </c>
      <c r="F473" t="inlineStr">
        <is>
          <t>Kyrkan</t>
        </is>
      </c>
      <c r="G473" t="n">
        <v>2.8</v>
      </c>
      <c r="H473" t="n">
        <v>0</v>
      </c>
      <c r="I473" t="n">
        <v>0</v>
      </c>
      <c r="J473" t="n">
        <v>0</v>
      </c>
      <c r="K473" t="n">
        <v>0</v>
      </c>
      <c r="L473" t="n">
        <v>0</v>
      </c>
      <c r="M473" t="n">
        <v>0</v>
      </c>
      <c r="N473" t="n">
        <v>0</v>
      </c>
      <c r="O473" t="n">
        <v>0</v>
      </c>
      <c r="P473" t="n">
        <v>0</v>
      </c>
      <c r="Q473" t="n">
        <v>0</v>
      </c>
      <c r="R473" s="2" t="inlineStr"/>
    </row>
    <row r="474" ht="15" customHeight="1">
      <c r="A474" t="inlineStr">
        <is>
          <t>A 36210-2022</t>
        </is>
      </c>
      <c r="B474" s="1" t="n">
        <v>44803.47950231482</v>
      </c>
      <c r="C474" s="1" t="n">
        <v>46123</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19685-2022</t>
        </is>
      </c>
      <c r="B475" s="1" t="n">
        <v>44694</v>
      </c>
      <c r="C475" s="1" t="n">
        <v>46123</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29189-2025</t>
        </is>
      </c>
      <c r="B476" s="1" t="n">
        <v>45822</v>
      </c>
      <c r="C476" s="1" t="n">
        <v>46123</v>
      </c>
      <c r="D476" t="inlineStr">
        <is>
          <t>SÖDERMANLANDS LÄN</t>
        </is>
      </c>
      <c r="E476" t="inlineStr">
        <is>
          <t>KATRINEHOLM</t>
        </is>
      </c>
      <c r="G476" t="n">
        <v>3.5</v>
      </c>
      <c r="H476" t="n">
        <v>0</v>
      </c>
      <c r="I476" t="n">
        <v>0</v>
      </c>
      <c r="J476" t="n">
        <v>0</v>
      </c>
      <c r="K476" t="n">
        <v>0</v>
      </c>
      <c r="L476" t="n">
        <v>0</v>
      </c>
      <c r="M476" t="n">
        <v>0</v>
      </c>
      <c r="N476" t="n">
        <v>0</v>
      </c>
      <c r="O476" t="n">
        <v>0</v>
      </c>
      <c r="P476" t="n">
        <v>0</v>
      </c>
      <c r="Q476" t="n">
        <v>0</v>
      </c>
      <c r="R476" s="2" t="inlineStr"/>
    </row>
    <row r="477" ht="15" customHeight="1">
      <c r="A477" t="inlineStr">
        <is>
          <t>A 57323-2025</t>
        </is>
      </c>
      <c r="B477" s="1" t="n">
        <v>45980.32501157407</v>
      </c>
      <c r="C477" s="1" t="n">
        <v>46123</v>
      </c>
      <c r="D477" t="inlineStr">
        <is>
          <t>SÖDERMANLANDS LÄN</t>
        </is>
      </c>
      <c r="E477" t="inlineStr">
        <is>
          <t>KATRINEHOLM</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8951-2024</t>
        </is>
      </c>
      <c r="B478" s="1" t="n">
        <v>45357.44695601852</v>
      </c>
      <c r="C478" s="1" t="n">
        <v>46123</v>
      </c>
      <c r="D478" t="inlineStr">
        <is>
          <t>SÖDERMANLANDS LÄN</t>
        </is>
      </c>
      <c r="E478" t="inlineStr">
        <is>
          <t>KATRINEHOLM</t>
        </is>
      </c>
      <c r="G478" t="n">
        <v>3.3</v>
      </c>
      <c r="H478" t="n">
        <v>0</v>
      </c>
      <c r="I478" t="n">
        <v>0</v>
      </c>
      <c r="J478" t="n">
        <v>0</v>
      </c>
      <c r="K478" t="n">
        <v>0</v>
      </c>
      <c r="L478" t="n">
        <v>0</v>
      </c>
      <c r="M478" t="n">
        <v>0</v>
      </c>
      <c r="N478" t="n">
        <v>0</v>
      </c>
      <c r="O478" t="n">
        <v>0</v>
      </c>
      <c r="P478" t="n">
        <v>0</v>
      </c>
      <c r="Q478" t="n">
        <v>0</v>
      </c>
      <c r="R478" s="2" t="inlineStr"/>
    </row>
    <row r="479" ht="15" customHeight="1">
      <c r="A479" t="inlineStr">
        <is>
          <t>A 57975-2025</t>
        </is>
      </c>
      <c r="B479" s="1" t="n">
        <v>45981</v>
      </c>
      <c r="C479" s="1" t="n">
        <v>46123</v>
      </c>
      <c r="D479" t="inlineStr">
        <is>
          <t>SÖDERMANLANDS LÄN</t>
        </is>
      </c>
      <c r="E479" t="inlineStr">
        <is>
          <t>KATRINEHOLM</t>
        </is>
      </c>
      <c r="G479" t="n">
        <v>3.1</v>
      </c>
      <c r="H479" t="n">
        <v>0</v>
      </c>
      <c r="I479" t="n">
        <v>0</v>
      </c>
      <c r="J479" t="n">
        <v>0</v>
      </c>
      <c r="K479" t="n">
        <v>0</v>
      </c>
      <c r="L479" t="n">
        <v>0</v>
      </c>
      <c r="M479" t="n">
        <v>0</v>
      </c>
      <c r="N479" t="n">
        <v>0</v>
      </c>
      <c r="O479" t="n">
        <v>0</v>
      </c>
      <c r="P479" t="n">
        <v>0</v>
      </c>
      <c r="Q479" t="n">
        <v>0</v>
      </c>
      <c r="R479" s="2" t="inlineStr"/>
    </row>
    <row r="480" ht="15" customHeight="1">
      <c r="A480" t="inlineStr">
        <is>
          <t>A 30287-2025</t>
        </is>
      </c>
      <c r="B480" s="1" t="n">
        <v>45827</v>
      </c>
      <c r="C480" s="1" t="n">
        <v>46123</v>
      </c>
      <c r="D480" t="inlineStr">
        <is>
          <t>SÖDERMANLANDS LÄN</t>
        </is>
      </c>
      <c r="E480" t="inlineStr">
        <is>
          <t>KATRINEHOLM</t>
        </is>
      </c>
      <c r="G480" t="n">
        <v>10.2</v>
      </c>
      <c r="H480" t="n">
        <v>0</v>
      </c>
      <c r="I480" t="n">
        <v>0</v>
      </c>
      <c r="J480" t="n">
        <v>0</v>
      </c>
      <c r="K480" t="n">
        <v>0</v>
      </c>
      <c r="L480" t="n">
        <v>0</v>
      </c>
      <c r="M480" t="n">
        <v>0</v>
      </c>
      <c r="N480" t="n">
        <v>0</v>
      </c>
      <c r="O480" t="n">
        <v>0</v>
      </c>
      <c r="P480" t="n">
        <v>0</v>
      </c>
      <c r="Q480" t="n">
        <v>0</v>
      </c>
      <c r="R480" s="2" t="inlineStr"/>
    </row>
    <row r="481" ht="15" customHeight="1">
      <c r="A481" t="inlineStr">
        <is>
          <t>A 30352-2025</t>
        </is>
      </c>
      <c r="B481" s="1" t="n">
        <v>45827</v>
      </c>
      <c r="C481" s="1" t="n">
        <v>46123</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30050-2025</t>
        </is>
      </c>
      <c r="B482" s="1" t="n">
        <v>45826.59151620371</v>
      </c>
      <c r="C482" s="1" t="n">
        <v>46123</v>
      </c>
      <c r="D482" t="inlineStr">
        <is>
          <t>SÖDERMANLANDS LÄN</t>
        </is>
      </c>
      <c r="E482" t="inlineStr">
        <is>
          <t>KATRINEHOLM</t>
        </is>
      </c>
      <c r="G482" t="n">
        <v>7.9</v>
      </c>
      <c r="H482" t="n">
        <v>0</v>
      </c>
      <c r="I482" t="n">
        <v>0</v>
      </c>
      <c r="J482" t="n">
        <v>0</v>
      </c>
      <c r="K482" t="n">
        <v>0</v>
      </c>
      <c r="L482" t="n">
        <v>0</v>
      </c>
      <c r="M482" t="n">
        <v>0</v>
      </c>
      <c r="N482" t="n">
        <v>0</v>
      </c>
      <c r="O482" t="n">
        <v>0</v>
      </c>
      <c r="P482" t="n">
        <v>0</v>
      </c>
      <c r="Q482" t="n">
        <v>0</v>
      </c>
      <c r="R482" s="2" t="inlineStr"/>
    </row>
    <row r="483" ht="15" customHeight="1">
      <c r="A483" t="inlineStr">
        <is>
          <t>A 14224-2024</t>
        </is>
      </c>
      <c r="B483" s="1" t="n">
        <v>45393</v>
      </c>
      <c r="C483" s="1" t="n">
        <v>46123</v>
      </c>
      <c r="D483" t="inlineStr">
        <is>
          <t>SÖDERMANLANDS LÄN</t>
        </is>
      </c>
      <c r="E483" t="inlineStr">
        <is>
          <t>KATRINEHOLM</t>
        </is>
      </c>
      <c r="F483" t="inlineStr">
        <is>
          <t>Sveaskog</t>
        </is>
      </c>
      <c r="G483" t="n">
        <v>7.6</v>
      </c>
      <c r="H483" t="n">
        <v>0</v>
      </c>
      <c r="I483" t="n">
        <v>0</v>
      </c>
      <c r="J483" t="n">
        <v>0</v>
      </c>
      <c r="K483" t="n">
        <v>0</v>
      </c>
      <c r="L483" t="n">
        <v>0</v>
      </c>
      <c r="M483" t="n">
        <v>0</v>
      </c>
      <c r="N483" t="n">
        <v>0</v>
      </c>
      <c r="O483" t="n">
        <v>0</v>
      </c>
      <c r="P483" t="n">
        <v>0</v>
      </c>
      <c r="Q483" t="n">
        <v>0</v>
      </c>
      <c r="R483" s="2" t="inlineStr"/>
    </row>
    <row r="484" ht="15" customHeight="1">
      <c r="A484" t="inlineStr">
        <is>
          <t>A 44989-2022</t>
        </is>
      </c>
      <c r="B484" s="1" t="n">
        <v>44840</v>
      </c>
      <c r="C484" s="1" t="n">
        <v>46123</v>
      </c>
      <c r="D484" t="inlineStr">
        <is>
          <t>SÖDERMANLANDS LÄN</t>
        </is>
      </c>
      <c r="E484" t="inlineStr">
        <is>
          <t>KATRINEHOLM</t>
        </is>
      </c>
      <c r="G484" t="n">
        <v>6</v>
      </c>
      <c r="H484" t="n">
        <v>0</v>
      </c>
      <c r="I484" t="n">
        <v>0</v>
      </c>
      <c r="J484" t="n">
        <v>0</v>
      </c>
      <c r="K484" t="n">
        <v>0</v>
      </c>
      <c r="L484" t="n">
        <v>0</v>
      </c>
      <c r="M484" t="n">
        <v>0</v>
      </c>
      <c r="N484" t="n">
        <v>0</v>
      </c>
      <c r="O484" t="n">
        <v>0</v>
      </c>
      <c r="P484" t="n">
        <v>0</v>
      </c>
      <c r="Q484" t="n">
        <v>0</v>
      </c>
      <c r="R484" s="2" t="inlineStr"/>
    </row>
    <row r="485" ht="15" customHeight="1">
      <c r="A485" t="inlineStr">
        <is>
          <t>A 30350-2025</t>
        </is>
      </c>
      <c r="B485" s="1" t="n">
        <v>45827.53319444445</v>
      </c>
      <c r="C485" s="1" t="n">
        <v>46123</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row>
    <row r="486" ht="15" customHeight="1">
      <c r="A486" t="inlineStr">
        <is>
          <t>A 30386-2025</t>
        </is>
      </c>
      <c r="B486" s="1" t="n">
        <v>45827</v>
      </c>
      <c r="C486" s="1" t="n">
        <v>46123</v>
      </c>
      <c r="D486" t="inlineStr">
        <is>
          <t>SÖDERMANLANDS LÄN</t>
        </is>
      </c>
      <c r="E486" t="inlineStr">
        <is>
          <t>KATRINEHOLM</t>
        </is>
      </c>
      <c r="G486" t="n">
        <v>5.6</v>
      </c>
      <c r="H486" t="n">
        <v>0</v>
      </c>
      <c r="I486" t="n">
        <v>0</v>
      </c>
      <c r="J486" t="n">
        <v>0</v>
      </c>
      <c r="K486" t="n">
        <v>0</v>
      </c>
      <c r="L486" t="n">
        <v>0</v>
      </c>
      <c r="M486" t="n">
        <v>0</v>
      </c>
      <c r="N486" t="n">
        <v>0</v>
      </c>
      <c r="O486" t="n">
        <v>0</v>
      </c>
      <c r="P486" t="n">
        <v>0</v>
      </c>
      <c r="Q486" t="n">
        <v>0</v>
      </c>
      <c r="R486" s="2" t="inlineStr"/>
    </row>
    <row r="487" ht="15" customHeight="1">
      <c r="A487" t="inlineStr">
        <is>
          <t>A 30070-2025</t>
        </is>
      </c>
      <c r="B487" s="1" t="n">
        <v>45826.63324074074</v>
      </c>
      <c r="C487" s="1" t="n">
        <v>46123</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57263-2022</t>
        </is>
      </c>
      <c r="B488" s="1" t="n">
        <v>44895</v>
      </c>
      <c r="C488" s="1" t="n">
        <v>46123</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30402-2025</t>
        </is>
      </c>
      <c r="B489" s="1" t="n">
        <v>45827</v>
      </c>
      <c r="C489" s="1" t="n">
        <v>46123</v>
      </c>
      <c r="D489" t="inlineStr">
        <is>
          <t>SÖDERMANLANDS LÄN</t>
        </is>
      </c>
      <c r="E489" t="inlineStr">
        <is>
          <t>KATRINEHOLM</t>
        </is>
      </c>
      <c r="G489" t="n">
        <v>7.1</v>
      </c>
      <c r="H489" t="n">
        <v>0</v>
      </c>
      <c r="I489" t="n">
        <v>0</v>
      </c>
      <c r="J489" t="n">
        <v>0</v>
      </c>
      <c r="K489" t="n">
        <v>0</v>
      </c>
      <c r="L489" t="n">
        <v>0</v>
      </c>
      <c r="M489" t="n">
        <v>0</v>
      </c>
      <c r="N489" t="n">
        <v>0</v>
      </c>
      <c r="O489" t="n">
        <v>0</v>
      </c>
      <c r="P489" t="n">
        <v>0</v>
      </c>
      <c r="Q489" t="n">
        <v>0</v>
      </c>
      <c r="R489" s="2" t="inlineStr"/>
    </row>
    <row r="490" ht="15" customHeight="1">
      <c r="A490" t="inlineStr">
        <is>
          <t>A 49218-2023</t>
        </is>
      </c>
      <c r="B490" s="1" t="n">
        <v>45205</v>
      </c>
      <c r="C490" s="1" t="n">
        <v>46123</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4679-2023</t>
        </is>
      </c>
      <c r="B491" s="1" t="n">
        <v>44957.44885416667</v>
      </c>
      <c r="C491" s="1" t="n">
        <v>46123</v>
      </c>
      <c r="D491" t="inlineStr">
        <is>
          <t>SÖDERMANLANDS LÄN</t>
        </is>
      </c>
      <c r="E491" t="inlineStr">
        <is>
          <t>KATRINEHOLM</t>
        </is>
      </c>
      <c r="G491" t="n">
        <v>5.3</v>
      </c>
      <c r="H491" t="n">
        <v>0</v>
      </c>
      <c r="I491" t="n">
        <v>0</v>
      </c>
      <c r="J491" t="n">
        <v>0</v>
      </c>
      <c r="K491" t="n">
        <v>0</v>
      </c>
      <c r="L491" t="n">
        <v>0</v>
      </c>
      <c r="M491" t="n">
        <v>0</v>
      </c>
      <c r="N491" t="n">
        <v>0</v>
      </c>
      <c r="O491" t="n">
        <v>0</v>
      </c>
      <c r="P491" t="n">
        <v>0</v>
      </c>
      <c r="Q491" t="n">
        <v>0</v>
      </c>
      <c r="R491" s="2" t="inlineStr"/>
    </row>
    <row r="492" ht="15" customHeight="1">
      <c r="A492" t="inlineStr">
        <is>
          <t>A 2320-2023</t>
        </is>
      </c>
      <c r="B492" s="1" t="n">
        <v>44942.58850694444</v>
      </c>
      <c r="C492" s="1" t="n">
        <v>46123</v>
      </c>
      <c r="D492" t="inlineStr">
        <is>
          <t>SÖDERMANLANDS LÄN</t>
        </is>
      </c>
      <c r="E492" t="inlineStr">
        <is>
          <t>KATRINEHOLM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2325-2023</t>
        </is>
      </c>
      <c r="B493" s="1" t="n">
        <v>44942</v>
      </c>
      <c r="C493" s="1" t="n">
        <v>46123</v>
      </c>
      <c r="D493" t="inlineStr">
        <is>
          <t>SÖDERMANLANDS LÄN</t>
        </is>
      </c>
      <c r="E493" t="inlineStr">
        <is>
          <t>KATRINEHOLM</t>
        </is>
      </c>
      <c r="G493" t="n">
        <v>5.6</v>
      </c>
      <c r="H493" t="n">
        <v>0</v>
      </c>
      <c r="I493" t="n">
        <v>0</v>
      </c>
      <c r="J493" t="n">
        <v>0</v>
      </c>
      <c r="K493" t="n">
        <v>0</v>
      </c>
      <c r="L493" t="n">
        <v>0</v>
      </c>
      <c r="M493" t="n">
        <v>0</v>
      </c>
      <c r="N493" t="n">
        <v>0</v>
      </c>
      <c r="O493" t="n">
        <v>0</v>
      </c>
      <c r="P493" t="n">
        <v>0</v>
      </c>
      <c r="Q493" t="n">
        <v>0</v>
      </c>
      <c r="R493" s="2" t="inlineStr"/>
    </row>
    <row r="494" ht="15" customHeight="1">
      <c r="A494" t="inlineStr">
        <is>
          <t>A 55732-2023</t>
        </is>
      </c>
      <c r="B494" s="1" t="n">
        <v>45239</v>
      </c>
      <c r="C494" s="1" t="n">
        <v>46123</v>
      </c>
      <c r="D494" t="inlineStr">
        <is>
          <t>SÖDERMANLANDS LÄN</t>
        </is>
      </c>
      <c r="E494" t="inlineStr">
        <is>
          <t>KATRINEHOLM</t>
        </is>
      </c>
      <c r="G494" t="n">
        <v>0.9</v>
      </c>
      <c r="H494" t="n">
        <v>0</v>
      </c>
      <c r="I494" t="n">
        <v>0</v>
      </c>
      <c r="J494" t="n">
        <v>0</v>
      </c>
      <c r="K494" t="n">
        <v>0</v>
      </c>
      <c r="L494" t="n">
        <v>0</v>
      </c>
      <c r="M494" t="n">
        <v>0</v>
      </c>
      <c r="N494" t="n">
        <v>0</v>
      </c>
      <c r="O494" t="n">
        <v>0</v>
      </c>
      <c r="P494" t="n">
        <v>0</v>
      </c>
      <c r="Q494" t="n">
        <v>0</v>
      </c>
      <c r="R494" s="2" t="inlineStr"/>
    </row>
    <row r="495" ht="15" customHeight="1">
      <c r="A495" t="inlineStr">
        <is>
          <t>A 17792-2025</t>
        </is>
      </c>
      <c r="B495" s="1" t="n">
        <v>45758</v>
      </c>
      <c r="C495" s="1" t="n">
        <v>46123</v>
      </c>
      <c r="D495" t="inlineStr">
        <is>
          <t>SÖDERMANLANDS LÄN</t>
        </is>
      </c>
      <c r="E495" t="inlineStr">
        <is>
          <t>KATRINEHOLM</t>
        </is>
      </c>
      <c r="G495" t="n">
        <v>4.2</v>
      </c>
      <c r="H495" t="n">
        <v>0</v>
      </c>
      <c r="I495" t="n">
        <v>0</v>
      </c>
      <c r="J495" t="n">
        <v>0</v>
      </c>
      <c r="K495" t="n">
        <v>0</v>
      </c>
      <c r="L495" t="n">
        <v>0</v>
      </c>
      <c r="M495" t="n">
        <v>0</v>
      </c>
      <c r="N495" t="n">
        <v>0</v>
      </c>
      <c r="O495" t="n">
        <v>0</v>
      </c>
      <c r="P495" t="n">
        <v>0</v>
      </c>
      <c r="Q495" t="n">
        <v>0</v>
      </c>
      <c r="R495" s="2" t="inlineStr"/>
    </row>
    <row r="496" ht="15" customHeight="1">
      <c r="A496" t="inlineStr">
        <is>
          <t>A 31392-2025</t>
        </is>
      </c>
      <c r="B496" s="1" t="n">
        <v>45833</v>
      </c>
      <c r="C496" s="1" t="n">
        <v>46123</v>
      </c>
      <c r="D496" t="inlineStr">
        <is>
          <t>SÖDERMANLANDS LÄN</t>
        </is>
      </c>
      <c r="E496" t="inlineStr">
        <is>
          <t>KATRINEHOLM</t>
        </is>
      </c>
      <c r="G496" t="n">
        <v>5</v>
      </c>
      <c r="H496" t="n">
        <v>0</v>
      </c>
      <c r="I496" t="n">
        <v>0</v>
      </c>
      <c r="J496" t="n">
        <v>0</v>
      </c>
      <c r="K496" t="n">
        <v>0</v>
      </c>
      <c r="L496" t="n">
        <v>0</v>
      </c>
      <c r="M496" t="n">
        <v>0</v>
      </c>
      <c r="N496" t="n">
        <v>0</v>
      </c>
      <c r="O496" t="n">
        <v>0</v>
      </c>
      <c r="P496" t="n">
        <v>0</v>
      </c>
      <c r="Q496" t="n">
        <v>0</v>
      </c>
      <c r="R496" s="2" t="inlineStr"/>
    </row>
    <row r="497" ht="15" customHeight="1">
      <c r="A497" t="inlineStr">
        <is>
          <t>A 31376-2025</t>
        </is>
      </c>
      <c r="B497" s="1" t="n">
        <v>45833</v>
      </c>
      <c r="C497" s="1" t="n">
        <v>46123</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58473-2021</t>
        </is>
      </c>
      <c r="B498" s="1" t="n">
        <v>44488</v>
      </c>
      <c r="C498" s="1" t="n">
        <v>46123</v>
      </c>
      <c r="D498" t="inlineStr">
        <is>
          <t>SÖDERMANLANDS LÄN</t>
        </is>
      </c>
      <c r="E498" t="inlineStr">
        <is>
          <t>KATRINEHOLM</t>
        </is>
      </c>
      <c r="G498" t="n">
        <v>0.5</v>
      </c>
      <c r="H498" t="n">
        <v>0</v>
      </c>
      <c r="I498" t="n">
        <v>0</v>
      </c>
      <c r="J498" t="n">
        <v>0</v>
      </c>
      <c r="K498" t="n">
        <v>0</v>
      </c>
      <c r="L498" t="n">
        <v>0</v>
      </c>
      <c r="M498" t="n">
        <v>0</v>
      </c>
      <c r="N498" t="n">
        <v>0</v>
      </c>
      <c r="O498" t="n">
        <v>0</v>
      </c>
      <c r="P498" t="n">
        <v>0</v>
      </c>
      <c r="Q498" t="n">
        <v>0</v>
      </c>
      <c r="R498" s="2" t="inlineStr"/>
    </row>
    <row r="499" ht="15" customHeight="1">
      <c r="A499" t="inlineStr">
        <is>
          <t>A 31386-2025</t>
        </is>
      </c>
      <c r="B499" s="1" t="n">
        <v>45833.45259259259</v>
      </c>
      <c r="C499" s="1" t="n">
        <v>46123</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53860-2021</t>
        </is>
      </c>
      <c r="B500" s="1" t="n">
        <v>44467</v>
      </c>
      <c r="C500" s="1" t="n">
        <v>46123</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59967-2025</t>
        </is>
      </c>
      <c r="B501" s="1" t="n">
        <v>45993.48525462963</v>
      </c>
      <c r="C501" s="1" t="n">
        <v>46123</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20533-2023</t>
        </is>
      </c>
      <c r="B502" s="1" t="n">
        <v>45057</v>
      </c>
      <c r="C502" s="1" t="n">
        <v>46123</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c r="T502">
        <f>HYPERLINK("https://klasma.github.io/Logging_0483/kartor/A 20533-2023 karta.png", "A 20533-2023")</f>
        <v/>
      </c>
      <c r="V502">
        <f>HYPERLINK("https://klasma.github.io/Logging_0483/klagomål/A 20533-2023 FSC-klagomål.docx", "A 20533-2023")</f>
        <v/>
      </c>
      <c r="W502">
        <f>HYPERLINK("https://klasma.github.io/Logging_0483/klagomålsmail/A 20533-2023 FSC-klagomål mail.docx", "A 20533-2023")</f>
        <v/>
      </c>
      <c r="X502">
        <f>HYPERLINK("https://klasma.github.io/Logging_0483/tillsyn/A 20533-2023 tillsynsbegäran.docx", "A 20533-2023")</f>
        <v/>
      </c>
      <c r="Y502">
        <f>HYPERLINK("https://klasma.github.io/Logging_0483/tillsynsmail/A 20533-2023 tillsynsbegäran mail.docx", "A 20533-2023")</f>
        <v/>
      </c>
      <c r="Z502">
        <f>HYPERLINK("https://klasma.github.io/Logging_0483/fåglar/A 20533-2023 prioriterade fågelarter.docx", "A 20533-2023")</f>
        <v/>
      </c>
    </row>
    <row r="503" ht="15" customHeight="1">
      <c r="A503" t="inlineStr">
        <is>
          <t>A 31990-2025</t>
        </is>
      </c>
      <c r="B503" s="1" t="n">
        <v>45835.36697916667</v>
      </c>
      <c r="C503" s="1" t="n">
        <v>46123</v>
      </c>
      <c r="D503" t="inlineStr">
        <is>
          <t>SÖDERMANLANDS LÄN</t>
        </is>
      </c>
      <c r="E503" t="inlineStr">
        <is>
          <t>KATRINEHOLM</t>
        </is>
      </c>
      <c r="G503" t="n">
        <v>0.5</v>
      </c>
      <c r="H503" t="n">
        <v>0</v>
      </c>
      <c r="I503" t="n">
        <v>0</v>
      </c>
      <c r="J503" t="n">
        <v>0</v>
      </c>
      <c r="K503" t="n">
        <v>0</v>
      </c>
      <c r="L503" t="n">
        <v>0</v>
      </c>
      <c r="M503" t="n">
        <v>0</v>
      </c>
      <c r="N503" t="n">
        <v>0</v>
      </c>
      <c r="O503" t="n">
        <v>0</v>
      </c>
      <c r="P503" t="n">
        <v>0</v>
      </c>
      <c r="Q503" t="n">
        <v>0</v>
      </c>
      <c r="R503" s="2" t="inlineStr"/>
    </row>
    <row r="504" ht="15" customHeight="1">
      <c r="A504" t="inlineStr">
        <is>
          <t>A 29702-2021</t>
        </is>
      </c>
      <c r="B504" s="1" t="n">
        <v>44362</v>
      </c>
      <c r="C504" s="1" t="n">
        <v>46123</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4662-2023</t>
        </is>
      </c>
      <c r="B505" s="1" t="n">
        <v>44957</v>
      </c>
      <c r="C505" s="1" t="n">
        <v>46123</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22304-2024</t>
        </is>
      </c>
      <c r="B506" s="1" t="n">
        <v>45446.56626157407</v>
      </c>
      <c r="C506" s="1" t="n">
        <v>46123</v>
      </c>
      <c r="D506" t="inlineStr">
        <is>
          <t>SÖDERMANLANDS LÄN</t>
        </is>
      </c>
      <c r="E506" t="inlineStr">
        <is>
          <t>KATRINEHOLM</t>
        </is>
      </c>
      <c r="F506" t="inlineStr">
        <is>
          <t>Kommuner</t>
        </is>
      </c>
      <c r="G506" t="n">
        <v>0.7</v>
      </c>
      <c r="H506" t="n">
        <v>0</v>
      </c>
      <c r="I506" t="n">
        <v>0</v>
      </c>
      <c r="J506" t="n">
        <v>0</v>
      </c>
      <c r="K506" t="n">
        <v>0</v>
      </c>
      <c r="L506" t="n">
        <v>0</v>
      </c>
      <c r="M506" t="n">
        <v>0</v>
      </c>
      <c r="N506" t="n">
        <v>0</v>
      </c>
      <c r="O506" t="n">
        <v>0</v>
      </c>
      <c r="P506" t="n">
        <v>0</v>
      </c>
      <c r="Q506" t="n">
        <v>0</v>
      </c>
      <c r="R506" s="2" t="inlineStr"/>
    </row>
    <row r="507" ht="15" customHeight="1">
      <c r="A507" t="inlineStr">
        <is>
          <t>A 13171-2024</t>
        </is>
      </c>
      <c r="B507" s="1" t="n">
        <v>45386</v>
      </c>
      <c r="C507" s="1" t="n">
        <v>46123</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33752-2023</t>
        </is>
      </c>
      <c r="B508" s="1" t="n">
        <v>45120</v>
      </c>
      <c r="C508" s="1" t="n">
        <v>46123</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28652-2024</t>
        </is>
      </c>
      <c r="B509" s="1" t="n">
        <v>45478</v>
      </c>
      <c r="C509" s="1" t="n">
        <v>46123</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60678-2025</t>
        </is>
      </c>
      <c r="B510" s="1" t="n">
        <v>45996.56251157408</v>
      </c>
      <c r="C510" s="1" t="n">
        <v>46123</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9936-2023</t>
        </is>
      </c>
      <c r="B511" s="1" t="n">
        <v>44985.47086805556</v>
      </c>
      <c r="C511" s="1" t="n">
        <v>46123</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61066-2025</t>
        </is>
      </c>
      <c r="B512" s="1" t="n">
        <v>46000.37695601852</v>
      </c>
      <c r="C512" s="1" t="n">
        <v>46123</v>
      </c>
      <c r="D512" t="inlineStr">
        <is>
          <t>SÖDERMANLANDS LÄN</t>
        </is>
      </c>
      <c r="E512" t="inlineStr">
        <is>
          <t>KATRINEHOLM</t>
        </is>
      </c>
      <c r="F512" t="inlineStr">
        <is>
          <t>Kyrkan</t>
        </is>
      </c>
      <c r="G512" t="n">
        <v>5</v>
      </c>
      <c r="H512" t="n">
        <v>0</v>
      </c>
      <c r="I512" t="n">
        <v>0</v>
      </c>
      <c r="J512" t="n">
        <v>0</v>
      </c>
      <c r="K512" t="n">
        <v>0</v>
      </c>
      <c r="L512" t="n">
        <v>0</v>
      </c>
      <c r="M512" t="n">
        <v>0</v>
      </c>
      <c r="N512" t="n">
        <v>0</v>
      </c>
      <c r="O512" t="n">
        <v>0</v>
      </c>
      <c r="P512" t="n">
        <v>0</v>
      </c>
      <c r="Q512" t="n">
        <v>0</v>
      </c>
      <c r="R512" s="2" t="inlineStr"/>
    </row>
    <row r="513" ht="15" customHeight="1">
      <c r="A513" t="inlineStr">
        <is>
          <t>A 9192-2023</t>
        </is>
      </c>
      <c r="B513" s="1" t="n">
        <v>44980</v>
      </c>
      <c r="C513" s="1" t="n">
        <v>46123</v>
      </c>
      <c r="D513" t="inlineStr">
        <is>
          <t>SÖDERMANLANDS LÄN</t>
        </is>
      </c>
      <c r="E513" t="inlineStr">
        <is>
          <t>KATRINEHOLM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44549.74741898148</v>
      </c>
      <c r="C514" s="1" t="n">
        <v>46123</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33712-2022</t>
        </is>
      </c>
      <c r="B515" s="1" t="n">
        <v>44789</v>
      </c>
      <c r="C515" s="1" t="n">
        <v>46123</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33717-2022</t>
        </is>
      </c>
      <c r="B516" s="1" t="n">
        <v>44789</v>
      </c>
      <c r="C516" s="1" t="n">
        <v>46123</v>
      </c>
      <c r="D516" t="inlineStr">
        <is>
          <t>SÖDERMANLANDS LÄN</t>
        </is>
      </c>
      <c r="E516" t="inlineStr">
        <is>
          <t>KATRINEHOLM</t>
        </is>
      </c>
      <c r="G516" t="n">
        <v>4.4</v>
      </c>
      <c r="H516" t="n">
        <v>0</v>
      </c>
      <c r="I516" t="n">
        <v>0</v>
      </c>
      <c r="J516" t="n">
        <v>0</v>
      </c>
      <c r="K516" t="n">
        <v>0</v>
      </c>
      <c r="L516" t="n">
        <v>0</v>
      </c>
      <c r="M516" t="n">
        <v>0</v>
      </c>
      <c r="N516" t="n">
        <v>0</v>
      </c>
      <c r="O516" t="n">
        <v>0</v>
      </c>
      <c r="P516" t="n">
        <v>0</v>
      </c>
      <c r="Q516" t="n">
        <v>0</v>
      </c>
      <c r="R516" s="2" t="inlineStr"/>
    </row>
    <row r="517" ht="15" customHeight="1">
      <c r="A517" t="inlineStr">
        <is>
          <t>A 51440-2024</t>
        </is>
      </c>
      <c r="B517" s="1" t="n">
        <v>45604</v>
      </c>
      <c r="C517" s="1" t="n">
        <v>46123</v>
      </c>
      <c r="D517" t="inlineStr">
        <is>
          <t>SÖDERMANLANDS LÄN</t>
        </is>
      </c>
      <c r="E517" t="inlineStr">
        <is>
          <t>KATRINEHOLM</t>
        </is>
      </c>
      <c r="G517" t="n">
        <v>4.7</v>
      </c>
      <c r="H517" t="n">
        <v>0</v>
      </c>
      <c r="I517" t="n">
        <v>0</v>
      </c>
      <c r="J517" t="n">
        <v>0</v>
      </c>
      <c r="K517" t="n">
        <v>0</v>
      </c>
      <c r="L517" t="n">
        <v>0</v>
      </c>
      <c r="M517" t="n">
        <v>0</v>
      </c>
      <c r="N517" t="n">
        <v>0</v>
      </c>
      <c r="O517" t="n">
        <v>0</v>
      </c>
      <c r="P517" t="n">
        <v>0</v>
      </c>
      <c r="Q517" t="n">
        <v>0</v>
      </c>
      <c r="R517" s="2" t="inlineStr"/>
    </row>
    <row r="518" ht="15" customHeight="1">
      <c r="A518" t="inlineStr">
        <is>
          <t>A 61121-2025</t>
        </is>
      </c>
      <c r="B518" s="1" t="n">
        <v>46000.46746527778</v>
      </c>
      <c r="C518" s="1" t="n">
        <v>46123</v>
      </c>
      <c r="D518" t="inlineStr">
        <is>
          <t>SÖDERMANLANDS LÄN</t>
        </is>
      </c>
      <c r="E518" t="inlineStr">
        <is>
          <t>KATRINEHOLM</t>
        </is>
      </c>
      <c r="G518" t="n">
        <v>0.2</v>
      </c>
      <c r="H518" t="n">
        <v>0</v>
      </c>
      <c r="I518" t="n">
        <v>0</v>
      </c>
      <c r="J518" t="n">
        <v>0</v>
      </c>
      <c r="K518" t="n">
        <v>0</v>
      </c>
      <c r="L518" t="n">
        <v>0</v>
      </c>
      <c r="M518" t="n">
        <v>0</v>
      </c>
      <c r="N518" t="n">
        <v>0</v>
      </c>
      <c r="O518" t="n">
        <v>0</v>
      </c>
      <c r="P518" t="n">
        <v>0</v>
      </c>
      <c r="Q518" t="n">
        <v>0</v>
      </c>
      <c r="R518" s="2" t="inlineStr"/>
    </row>
    <row r="519" ht="15" customHeight="1">
      <c r="A519" t="inlineStr">
        <is>
          <t>A 33084-2025</t>
        </is>
      </c>
      <c r="B519" s="1" t="n">
        <v>45840.46559027778</v>
      </c>
      <c r="C519" s="1" t="n">
        <v>46123</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33577-2025</t>
        </is>
      </c>
      <c r="B520" s="1" t="n">
        <v>45841.59056712963</v>
      </c>
      <c r="C520" s="1" t="n">
        <v>46123</v>
      </c>
      <c r="D520" t="inlineStr">
        <is>
          <t>SÖDERMANLANDS LÄN</t>
        </is>
      </c>
      <c r="E520" t="inlineStr">
        <is>
          <t>KATRINEHOLM</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33090-2025</t>
        </is>
      </c>
      <c r="B521" s="1" t="n">
        <v>45840.46840277778</v>
      </c>
      <c r="C521" s="1" t="n">
        <v>46123</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51260-2021</t>
        </is>
      </c>
      <c r="B522" s="1" t="n">
        <v>44461</v>
      </c>
      <c r="C522" s="1" t="n">
        <v>46123</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38879-2024</t>
        </is>
      </c>
      <c r="B523" s="1" t="n">
        <v>45547</v>
      </c>
      <c r="C523" s="1" t="n">
        <v>46123</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61721-2025</t>
        </is>
      </c>
      <c r="B524" s="1" t="n">
        <v>46002.57778935185</v>
      </c>
      <c r="C524" s="1" t="n">
        <v>46123</v>
      </c>
      <c r="D524" t="inlineStr">
        <is>
          <t>SÖDERMANLANDS LÄN</t>
        </is>
      </c>
      <c r="E524" t="inlineStr">
        <is>
          <t>KATRINEHOLM</t>
        </is>
      </c>
      <c r="G524" t="n">
        <v>4.5</v>
      </c>
      <c r="H524" t="n">
        <v>0</v>
      </c>
      <c r="I524" t="n">
        <v>0</v>
      </c>
      <c r="J524" t="n">
        <v>0</v>
      </c>
      <c r="K524" t="n">
        <v>0</v>
      </c>
      <c r="L524" t="n">
        <v>0</v>
      </c>
      <c r="M524" t="n">
        <v>0</v>
      </c>
      <c r="N524" t="n">
        <v>0</v>
      </c>
      <c r="O524" t="n">
        <v>0</v>
      </c>
      <c r="P524" t="n">
        <v>0</v>
      </c>
      <c r="Q524" t="n">
        <v>0</v>
      </c>
      <c r="R524" s="2" t="inlineStr"/>
    </row>
    <row r="525" ht="15" customHeight="1">
      <c r="A525" t="inlineStr">
        <is>
          <t>A 42945-2023</t>
        </is>
      </c>
      <c r="B525" s="1" t="n">
        <v>45182.5793287037</v>
      </c>
      <c r="C525" s="1" t="n">
        <v>46123</v>
      </c>
      <c r="D525" t="inlineStr">
        <is>
          <t>SÖDERMANLANDS LÄN</t>
        </is>
      </c>
      <c r="E525" t="inlineStr">
        <is>
          <t>KATRINEHOLM</t>
        </is>
      </c>
      <c r="F525" t="inlineStr">
        <is>
          <t>Övriga Aktiebolag</t>
        </is>
      </c>
      <c r="G525" t="n">
        <v>2.2</v>
      </c>
      <c r="H525" t="n">
        <v>0</v>
      </c>
      <c r="I525" t="n">
        <v>0</v>
      </c>
      <c r="J525" t="n">
        <v>0</v>
      </c>
      <c r="K525" t="n">
        <v>0</v>
      </c>
      <c r="L525" t="n">
        <v>0</v>
      </c>
      <c r="M525" t="n">
        <v>0</v>
      </c>
      <c r="N525" t="n">
        <v>0</v>
      </c>
      <c r="O525" t="n">
        <v>0</v>
      </c>
      <c r="P525" t="n">
        <v>0</v>
      </c>
      <c r="Q525" t="n">
        <v>0</v>
      </c>
      <c r="R525" s="2" t="inlineStr"/>
    </row>
    <row r="526" ht="15" customHeight="1">
      <c r="A526" t="inlineStr">
        <is>
          <t>A 42962-2023</t>
        </is>
      </c>
      <c r="B526" s="1" t="n">
        <v>45182</v>
      </c>
      <c r="C526" s="1" t="n">
        <v>46123</v>
      </c>
      <c r="D526" t="inlineStr">
        <is>
          <t>SÖDERMANLANDS LÄN</t>
        </is>
      </c>
      <c r="E526" t="inlineStr">
        <is>
          <t>KATRINEHOLM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33538-2022</t>
        </is>
      </c>
      <c r="B527" s="1" t="n">
        <v>44789</v>
      </c>
      <c r="C527" s="1" t="n">
        <v>46123</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16605-2025</t>
        </is>
      </c>
      <c r="B528" s="1" t="n">
        <v>45753.61614583333</v>
      </c>
      <c r="C528" s="1" t="n">
        <v>46123</v>
      </c>
      <c r="D528" t="inlineStr">
        <is>
          <t>SÖDERMANLANDS LÄN</t>
        </is>
      </c>
      <c r="E528" t="inlineStr">
        <is>
          <t>KATRINEHOLM</t>
        </is>
      </c>
      <c r="G528" t="n">
        <v>5.2</v>
      </c>
      <c r="H528" t="n">
        <v>0</v>
      </c>
      <c r="I528" t="n">
        <v>0</v>
      </c>
      <c r="J528" t="n">
        <v>0</v>
      </c>
      <c r="K528" t="n">
        <v>0</v>
      </c>
      <c r="L528" t="n">
        <v>0</v>
      </c>
      <c r="M528" t="n">
        <v>0</v>
      </c>
      <c r="N528" t="n">
        <v>0</v>
      </c>
      <c r="O528" t="n">
        <v>0</v>
      </c>
      <c r="P528" t="n">
        <v>0</v>
      </c>
      <c r="Q528" t="n">
        <v>0</v>
      </c>
      <c r="R528" s="2" t="inlineStr"/>
    </row>
    <row r="529" ht="15" customHeight="1">
      <c r="A529" t="inlineStr">
        <is>
          <t>A 33812-2025</t>
        </is>
      </c>
      <c r="B529" s="1" t="n">
        <v>45842</v>
      </c>
      <c r="C529" s="1" t="n">
        <v>46123</v>
      </c>
      <c r="D529" t="inlineStr">
        <is>
          <t>SÖDERMANLANDS LÄN</t>
        </is>
      </c>
      <c r="E529" t="inlineStr">
        <is>
          <t>KATRINEHOLM</t>
        </is>
      </c>
      <c r="G529" t="n">
        <v>1.5</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46123</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73415-2021</t>
        </is>
      </c>
      <c r="B531" s="1" t="n">
        <v>44551</v>
      </c>
      <c r="C531" s="1" t="n">
        <v>46123</v>
      </c>
      <c r="D531" t="inlineStr">
        <is>
          <t>SÖDERMANLANDS LÄN</t>
        </is>
      </c>
      <c r="E531" t="inlineStr">
        <is>
          <t>KATRINEHOLM</t>
        </is>
      </c>
      <c r="G531" t="n">
        <v>3.2</v>
      </c>
      <c r="H531" t="n">
        <v>0</v>
      </c>
      <c r="I531" t="n">
        <v>0</v>
      </c>
      <c r="J531" t="n">
        <v>0</v>
      </c>
      <c r="K531" t="n">
        <v>0</v>
      </c>
      <c r="L531" t="n">
        <v>0</v>
      </c>
      <c r="M531" t="n">
        <v>0</v>
      </c>
      <c r="N531" t="n">
        <v>0</v>
      </c>
      <c r="O531" t="n">
        <v>0</v>
      </c>
      <c r="P531" t="n">
        <v>0</v>
      </c>
      <c r="Q531" t="n">
        <v>0</v>
      </c>
      <c r="R531" s="2" t="inlineStr"/>
    </row>
    <row r="532" ht="15" customHeight="1">
      <c r="A532" t="inlineStr">
        <is>
          <t>A 63188-2021</t>
        </is>
      </c>
      <c r="B532" s="1" t="n">
        <v>44507.56865740741</v>
      </c>
      <c r="C532" s="1" t="n">
        <v>46123</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64713-2023</t>
        </is>
      </c>
      <c r="B533" s="1" t="n">
        <v>45281</v>
      </c>
      <c r="C533" s="1" t="n">
        <v>46123</v>
      </c>
      <c r="D533" t="inlineStr">
        <is>
          <t>SÖDERMANLANDS LÄN</t>
        </is>
      </c>
      <c r="E533" t="inlineStr">
        <is>
          <t>KATRINEHOLM</t>
        </is>
      </c>
      <c r="G533" t="n">
        <v>4.9</v>
      </c>
      <c r="H533" t="n">
        <v>0</v>
      </c>
      <c r="I533" t="n">
        <v>0</v>
      </c>
      <c r="J533" t="n">
        <v>0</v>
      </c>
      <c r="K533" t="n">
        <v>0</v>
      </c>
      <c r="L533" t="n">
        <v>0</v>
      </c>
      <c r="M533" t="n">
        <v>0</v>
      </c>
      <c r="N533" t="n">
        <v>0</v>
      </c>
      <c r="O533" t="n">
        <v>0</v>
      </c>
      <c r="P533" t="n">
        <v>0</v>
      </c>
      <c r="Q533" t="n">
        <v>0</v>
      </c>
      <c r="R533" s="2" t="inlineStr"/>
    </row>
    <row r="534" ht="15" customHeight="1">
      <c r="A534" t="inlineStr">
        <is>
          <t>A 28304-2024</t>
        </is>
      </c>
      <c r="B534" s="1" t="n">
        <v>45477</v>
      </c>
      <c r="C534" s="1" t="n">
        <v>46123</v>
      </c>
      <c r="D534" t="inlineStr">
        <is>
          <t>SÖDERMANLANDS LÄN</t>
        </is>
      </c>
      <c r="E534" t="inlineStr">
        <is>
          <t>KATRINEHOLM</t>
        </is>
      </c>
      <c r="G534" t="n">
        <v>3.8</v>
      </c>
      <c r="H534" t="n">
        <v>0</v>
      </c>
      <c r="I534" t="n">
        <v>0</v>
      </c>
      <c r="J534" t="n">
        <v>0</v>
      </c>
      <c r="K534" t="n">
        <v>0</v>
      </c>
      <c r="L534" t="n">
        <v>0</v>
      </c>
      <c r="M534" t="n">
        <v>0</v>
      </c>
      <c r="N534" t="n">
        <v>0</v>
      </c>
      <c r="O534" t="n">
        <v>0</v>
      </c>
      <c r="P534" t="n">
        <v>0</v>
      </c>
      <c r="Q534" t="n">
        <v>0</v>
      </c>
      <c r="R534" s="2" t="inlineStr"/>
    </row>
    <row r="535" ht="15" customHeight="1">
      <c r="A535" t="inlineStr">
        <is>
          <t>A 8457-2023</t>
        </is>
      </c>
      <c r="B535" s="1" t="n">
        <v>44977</v>
      </c>
      <c r="C535" s="1" t="n">
        <v>46123</v>
      </c>
      <c r="D535" t="inlineStr">
        <is>
          <t>SÖDERMANLANDS LÄN</t>
        </is>
      </c>
      <c r="E535" t="inlineStr">
        <is>
          <t>KATRINEHOLM</t>
        </is>
      </c>
      <c r="F535" t="inlineStr">
        <is>
          <t>Allmännings- och besparingsskogar</t>
        </is>
      </c>
      <c r="G535" t="n">
        <v>16.1</v>
      </c>
      <c r="H535" t="n">
        <v>0</v>
      </c>
      <c r="I535" t="n">
        <v>0</v>
      </c>
      <c r="J535" t="n">
        <v>0</v>
      </c>
      <c r="K535" t="n">
        <v>0</v>
      </c>
      <c r="L535" t="n">
        <v>0</v>
      </c>
      <c r="M535" t="n">
        <v>0</v>
      </c>
      <c r="N535" t="n">
        <v>0</v>
      </c>
      <c r="O535" t="n">
        <v>0</v>
      </c>
      <c r="P535" t="n">
        <v>0</v>
      </c>
      <c r="Q535" t="n">
        <v>0</v>
      </c>
      <c r="R535" s="2" t="inlineStr"/>
    </row>
    <row r="536" ht="15" customHeight="1">
      <c r="A536" t="inlineStr">
        <is>
          <t>A 6762-2025</t>
        </is>
      </c>
      <c r="B536" s="1" t="n">
        <v>45700</v>
      </c>
      <c r="C536" s="1" t="n">
        <v>46123</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33815-2025</t>
        </is>
      </c>
      <c r="B537" s="1" t="n">
        <v>45842</v>
      </c>
      <c r="C537" s="1" t="n">
        <v>46123</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63945-2025</t>
        </is>
      </c>
      <c r="B538" s="1" t="n">
        <v>46010</v>
      </c>
      <c r="C538" s="1" t="n">
        <v>46123</v>
      </c>
      <c r="D538" t="inlineStr">
        <is>
          <t>SÖDERMANLANDS LÄN</t>
        </is>
      </c>
      <c r="E538" t="inlineStr">
        <is>
          <t>KATRINEHOLM</t>
        </is>
      </c>
      <c r="F538" t="inlineStr">
        <is>
          <t>Allmännings- och besparingsskogar</t>
        </is>
      </c>
      <c r="G538" t="n">
        <v>1.2</v>
      </c>
      <c r="H538" t="n">
        <v>0</v>
      </c>
      <c r="I538" t="n">
        <v>0</v>
      </c>
      <c r="J538" t="n">
        <v>0</v>
      </c>
      <c r="K538" t="n">
        <v>0</v>
      </c>
      <c r="L538" t="n">
        <v>0</v>
      </c>
      <c r="M538" t="n">
        <v>0</v>
      </c>
      <c r="N538" t="n">
        <v>0</v>
      </c>
      <c r="O538" t="n">
        <v>0</v>
      </c>
      <c r="P538" t="n">
        <v>0</v>
      </c>
      <c r="Q538" t="n">
        <v>0</v>
      </c>
      <c r="R538" s="2" t="inlineStr"/>
    </row>
    <row r="539" ht="15" customHeight="1">
      <c r="A539" t="inlineStr">
        <is>
          <t>A 63947-2025</t>
        </is>
      </c>
      <c r="B539" s="1" t="n">
        <v>46010</v>
      </c>
      <c r="C539" s="1" t="n">
        <v>46123</v>
      </c>
      <c r="D539" t="inlineStr">
        <is>
          <t>SÖDERMANLANDS LÄN</t>
        </is>
      </c>
      <c r="E539" t="inlineStr">
        <is>
          <t>KATRINEHOLM</t>
        </is>
      </c>
      <c r="F539" t="inlineStr">
        <is>
          <t>Allmännings- och besparingsskogar</t>
        </is>
      </c>
      <c r="G539" t="n">
        <v>4.8</v>
      </c>
      <c r="H539" t="n">
        <v>0</v>
      </c>
      <c r="I539" t="n">
        <v>0</v>
      </c>
      <c r="J539" t="n">
        <v>0</v>
      </c>
      <c r="K539" t="n">
        <v>0</v>
      </c>
      <c r="L539" t="n">
        <v>0</v>
      </c>
      <c r="M539" t="n">
        <v>0</v>
      </c>
      <c r="N539" t="n">
        <v>0</v>
      </c>
      <c r="O539" t="n">
        <v>0</v>
      </c>
      <c r="P539" t="n">
        <v>0</v>
      </c>
      <c r="Q539" t="n">
        <v>0</v>
      </c>
      <c r="R539" s="2" t="inlineStr"/>
    </row>
    <row r="540" ht="15" customHeight="1">
      <c r="A540" t="inlineStr">
        <is>
          <t>A 63949-2025</t>
        </is>
      </c>
      <c r="B540" s="1" t="n">
        <v>46010</v>
      </c>
      <c r="C540" s="1" t="n">
        <v>46123</v>
      </c>
      <c r="D540" t="inlineStr">
        <is>
          <t>SÖDERMANLANDS LÄN</t>
        </is>
      </c>
      <c r="E540" t="inlineStr">
        <is>
          <t>KATRINEHOLM</t>
        </is>
      </c>
      <c r="F540" t="inlineStr">
        <is>
          <t>Allmännings- och besparingsskogar</t>
        </is>
      </c>
      <c r="G540" t="n">
        <v>5.1</v>
      </c>
      <c r="H540" t="n">
        <v>0</v>
      </c>
      <c r="I540" t="n">
        <v>0</v>
      </c>
      <c r="J540" t="n">
        <v>0</v>
      </c>
      <c r="K540" t="n">
        <v>0</v>
      </c>
      <c r="L540" t="n">
        <v>0</v>
      </c>
      <c r="M540" t="n">
        <v>0</v>
      </c>
      <c r="N540" t="n">
        <v>0</v>
      </c>
      <c r="O540" t="n">
        <v>0</v>
      </c>
      <c r="P540" t="n">
        <v>0</v>
      </c>
      <c r="Q540" t="n">
        <v>0</v>
      </c>
      <c r="R540" s="2" t="inlineStr"/>
    </row>
    <row r="541" ht="15" customHeight="1">
      <c r="A541" t="inlineStr">
        <is>
          <t>A 7322-2023</t>
        </is>
      </c>
      <c r="B541" s="1" t="n">
        <v>44970</v>
      </c>
      <c r="C541" s="1" t="n">
        <v>46123</v>
      </c>
      <c r="D541" t="inlineStr">
        <is>
          <t>SÖDERMANLANDS LÄN</t>
        </is>
      </c>
      <c r="E541" t="inlineStr">
        <is>
          <t>KATRINEHOLM</t>
        </is>
      </c>
      <c r="G541" t="n">
        <v>2.1</v>
      </c>
      <c r="H541" t="n">
        <v>0</v>
      </c>
      <c r="I541" t="n">
        <v>0</v>
      </c>
      <c r="J541" t="n">
        <v>0</v>
      </c>
      <c r="K541" t="n">
        <v>0</v>
      </c>
      <c r="L541" t="n">
        <v>0</v>
      </c>
      <c r="M541" t="n">
        <v>0</v>
      </c>
      <c r="N541" t="n">
        <v>0</v>
      </c>
      <c r="O541" t="n">
        <v>0</v>
      </c>
      <c r="P541" t="n">
        <v>0</v>
      </c>
      <c r="Q541" t="n">
        <v>0</v>
      </c>
      <c r="R541" s="2" t="inlineStr"/>
    </row>
    <row r="542" ht="15" customHeight="1">
      <c r="A542" t="inlineStr">
        <is>
          <t>A 60160-2022</t>
        </is>
      </c>
      <c r="B542" s="1" t="n">
        <v>44909</v>
      </c>
      <c r="C542" s="1" t="n">
        <v>46123</v>
      </c>
      <c r="D542" t="inlineStr">
        <is>
          <t>SÖDERMANLANDS LÄN</t>
        </is>
      </c>
      <c r="E542" t="inlineStr">
        <is>
          <t>KATRINEHOLM</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63948-2025</t>
        </is>
      </c>
      <c r="B543" s="1" t="n">
        <v>46010</v>
      </c>
      <c r="C543" s="1" t="n">
        <v>46123</v>
      </c>
      <c r="D543" t="inlineStr">
        <is>
          <t>SÖDERMANLANDS LÄN</t>
        </is>
      </c>
      <c r="E543" t="inlineStr">
        <is>
          <t>KATRINEHOLM</t>
        </is>
      </c>
      <c r="F543" t="inlineStr">
        <is>
          <t>Allmännings- och besparingsskogar</t>
        </is>
      </c>
      <c r="G543" t="n">
        <v>4.9</v>
      </c>
      <c r="H543" t="n">
        <v>0</v>
      </c>
      <c r="I543" t="n">
        <v>0</v>
      </c>
      <c r="J543" t="n">
        <v>0</v>
      </c>
      <c r="K543" t="n">
        <v>0</v>
      </c>
      <c r="L543" t="n">
        <v>0</v>
      </c>
      <c r="M543" t="n">
        <v>0</v>
      </c>
      <c r="N543" t="n">
        <v>0</v>
      </c>
      <c r="O543" t="n">
        <v>0</v>
      </c>
      <c r="P543" t="n">
        <v>0</v>
      </c>
      <c r="Q543" t="n">
        <v>0</v>
      </c>
      <c r="R543" s="2" t="inlineStr"/>
    </row>
    <row r="544" ht="15" customHeight="1">
      <c r="A544" t="inlineStr">
        <is>
          <t>A 20213-2025</t>
        </is>
      </c>
      <c r="B544" s="1" t="n">
        <v>45772.63453703704</v>
      </c>
      <c r="C544" s="1" t="n">
        <v>46123</v>
      </c>
      <c r="D544" t="inlineStr">
        <is>
          <t>SÖDERMANLANDS LÄN</t>
        </is>
      </c>
      <c r="E544" t="inlineStr">
        <is>
          <t>KATRINEHOLM</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48685-2022</t>
        </is>
      </c>
      <c r="B545" s="1" t="n">
        <v>44859</v>
      </c>
      <c r="C545" s="1" t="n">
        <v>46123</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42519-2024</t>
        </is>
      </c>
      <c r="B546" s="1" t="n">
        <v>45565</v>
      </c>
      <c r="C546" s="1" t="n">
        <v>46123</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43499-2021</t>
        </is>
      </c>
      <c r="B547" s="1" t="n">
        <v>44433</v>
      </c>
      <c r="C547" s="1" t="n">
        <v>46123</v>
      </c>
      <c r="D547" t="inlineStr">
        <is>
          <t>SÖDERMANLANDS LÄN</t>
        </is>
      </c>
      <c r="E547" t="inlineStr">
        <is>
          <t>KATRINEHOLM</t>
        </is>
      </c>
      <c r="F547" t="inlineStr">
        <is>
          <t>Övriga Aktiebolag</t>
        </is>
      </c>
      <c r="G547" t="n">
        <v>1.4</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46123</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55122-2022</t>
        </is>
      </c>
      <c r="B549" s="1" t="n">
        <v>44886.65092592593</v>
      </c>
      <c r="C549" s="1" t="n">
        <v>46123</v>
      </c>
      <c r="D549" t="inlineStr">
        <is>
          <t>SÖDERMANLANDS LÄN</t>
        </is>
      </c>
      <c r="E549" t="inlineStr">
        <is>
          <t>KATRINEHOLM</t>
        </is>
      </c>
      <c r="G549" t="n">
        <v>6.5</v>
      </c>
      <c r="H549" t="n">
        <v>0</v>
      </c>
      <c r="I549" t="n">
        <v>0</v>
      </c>
      <c r="J549" t="n">
        <v>0</v>
      </c>
      <c r="K549" t="n">
        <v>0</v>
      </c>
      <c r="L549" t="n">
        <v>0</v>
      </c>
      <c r="M549" t="n">
        <v>0</v>
      </c>
      <c r="N549" t="n">
        <v>0</v>
      </c>
      <c r="O549" t="n">
        <v>0</v>
      </c>
      <c r="P549" t="n">
        <v>0</v>
      </c>
      <c r="Q549" t="n">
        <v>0</v>
      </c>
      <c r="R549" s="2" t="inlineStr"/>
    </row>
    <row r="550" ht="15" customHeight="1">
      <c r="A550" t="inlineStr">
        <is>
          <t>A 43964-2022</t>
        </is>
      </c>
      <c r="B550" s="1" t="n">
        <v>44837</v>
      </c>
      <c r="C550" s="1" t="n">
        <v>46123</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46075-2023</t>
        </is>
      </c>
      <c r="B551" s="1" t="n">
        <v>45196</v>
      </c>
      <c r="C551" s="1" t="n">
        <v>46123</v>
      </c>
      <c r="D551" t="inlineStr">
        <is>
          <t>SÖDERMANLANDS LÄN</t>
        </is>
      </c>
      <c r="E551" t="inlineStr">
        <is>
          <t>KATRINEHOLM</t>
        </is>
      </c>
      <c r="F551" t="inlineStr">
        <is>
          <t>Övriga Aktiebolag</t>
        </is>
      </c>
      <c r="G551" t="n">
        <v>9.5</v>
      </c>
      <c r="H551" t="n">
        <v>0</v>
      </c>
      <c r="I551" t="n">
        <v>0</v>
      </c>
      <c r="J551" t="n">
        <v>0</v>
      </c>
      <c r="K551" t="n">
        <v>0</v>
      </c>
      <c r="L551" t="n">
        <v>0</v>
      </c>
      <c r="M551" t="n">
        <v>0</v>
      </c>
      <c r="N551" t="n">
        <v>0</v>
      </c>
      <c r="O551" t="n">
        <v>0</v>
      </c>
      <c r="P551" t="n">
        <v>0</v>
      </c>
      <c r="Q551" t="n">
        <v>0</v>
      </c>
      <c r="R551" s="2" t="inlineStr"/>
    </row>
    <row r="552" ht="15" customHeight="1">
      <c r="A552" t="inlineStr">
        <is>
          <t>A 9992-2022</t>
        </is>
      </c>
      <c r="B552" s="1" t="n">
        <v>44621</v>
      </c>
      <c r="C552" s="1" t="n">
        <v>46123</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44659-2023</t>
        </is>
      </c>
      <c r="B553" s="1" t="n">
        <v>45189</v>
      </c>
      <c r="C553" s="1" t="n">
        <v>46123</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46123</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63895-2025</t>
        </is>
      </c>
      <c r="B555" s="1" t="n">
        <v>46020</v>
      </c>
      <c r="C555" s="1" t="n">
        <v>46123</v>
      </c>
      <c r="D555" t="inlineStr">
        <is>
          <t>SÖDERMANLANDS LÄN</t>
        </is>
      </c>
      <c r="E555" t="inlineStr">
        <is>
          <t>KATRINEHOLM</t>
        </is>
      </c>
      <c r="G555" t="n">
        <v>1.5</v>
      </c>
      <c r="H555" t="n">
        <v>0</v>
      </c>
      <c r="I555" t="n">
        <v>0</v>
      </c>
      <c r="J555" t="n">
        <v>0</v>
      </c>
      <c r="K555" t="n">
        <v>0</v>
      </c>
      <c r="L555" t="n">
        <v>0</v>
      </c>
      <c r="M555" t="n">
        <v>0</v>
      </c>
      <c r="N555" t="n">
        <v>0</v>
      </c>
      <c r="O555" t="n">
        <v>0</v>
      </c>
      <c r="P555" t="n">
        <v>0</v>
      </c>
      <c r="Q555" t="n">
        <v>0</v>
      </c>
      <c r="R555" s="2" t="inlineStr"/>
    </row>
    <row r="556" ht="15" customHeight="1">
      <c r="A556" t="inlineStr">
        <is>
          <t>A 54873-2025</t>
        </is>
      </c>
      <c r="B556" s="1" t="n">
        <v>45967</v>
      </c>
      <c r="C556" s="1" t="n">
        <v>46123</v>
      </c>
      <c r="D556" t="inlineStr">
        <is>
          <t>SÖDERMANLANDS LÄN</t>
        </is>
      </c>
      <c r="E556" t="inlineStr">
        <is>
          <t>KATRINEHOLM</t>
        </is>
      </c>
      <c r="G556" t="n">
        <v>2.7</v>
      </c>
      <c r="H556" t="n">
        <v>0</v>
      </c>
      <c r="I556" t="n">
        <v>0</v>
      </c>
      <c r="J556" t="n">
        <v>0</v>
      </c>
      <c r="K556" t="n">
        <v>0</v>
      </c>
      <c r="L556" t="n">
        <v>0</v>
      </c>
      <c r="M556" t="n">
        <v>0</v>
      </c>
      <c r="N556" t="n">
        <v>0</v>
      </c>
      <c r="O556" t="n">
        <v>0</v>
      </c>
      <c r="P556" t="n">
        <v>0</v>
      </c>
      <c r="Q556" t="n">
        <v>0</v>
      </c>
      <c r="R556" s="2" t="inlineStr"/>
    </row>
    <row r="557" ht="15" customHeight="1">
      <c r="A557" t="inlineStr">
        <is>
          <t>A 35156-2025</t>
        </is>
      </c>
      <c r="B557" s="1" t="n">
        <v>45852</v>
      </c>
      <c r="C557" s="1" t="n">
        <v>46123</v>
      </c>
      <c r="D557" t="inlineStr">
        <is>
          <t>SÖDERMANLANDS LÄN</t>
        </is>
      </c>
      <c r="E557" t="inlineStr">
        <is>
          <t>KATRINEHOLM</t>
        </is>
      </c>
      <c r="G557" t="n">
        <v>5.7</v>
      </c>
      <c r="H557" t="n">
        <v>0</v>
      </c>
      <c r="I557" t="n">
        <v>0</v>
      </c>
      <c r="J557" t="n">
        <v>0</v>
      </c>
      <c r="K557" t="n">
        <v>0</v>
      </c>
      <c r="L557" t="n">
        <v>0</v>
      </c>
      <c r="M557" t="n">
        <v>0</v>
      </c>
      <c r="N557" t="n">
        <v>0</v>
      </c>
      <c r="O557" t="n">
        <v>0</v>
      </c>
      <c r="P557" t="n">
        <v>0</v>
      </c>
      <c r="Q557" t="n">
        <v>0</v>
      </c>
      <c r="R557" s="2" t="inlineStr"/>
    </row>
    <row r="558" ht="15" customHeight="1">
      <c r="A558" t="inlineStr">
        <is>
          <t>A 35145-2025</t>
        </is>
      </c>
      <c r="B558" s="1" t="n">
        <v>45852</v>
      </c>
      <c r="C558" s="1" t="n">
        <v>46123</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14629-2023</t>
        </is>
      </c>
      <c r="B559" s="1" t="n">
        <v>45013</v>
      </c>
      <c r="C559" s="1" t="n">
        <v>46123</v>
      </c>
      <c r="D559" t="inlineStr">
        <is>
          <t>SÖDERMANLANDS LÄN</t>
        </is>
      </c>
      <c r="E559" t="inlineStr">
        <is>
          <t>KATRINEHOLM</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35157-2025</t>
        </is>
      </c>
      <c r="B560" s="1" t="n">
        <v>45852</v>
      </c>
      <c r="C560" s="1" t="n">
        <v>46123</v>
      </c>
      <c r="D560" t="inlineStr">
        <is>
          <t>SÖDERMANLANDS LÄN</t>
        </is>
      </c>
      <c r="E560" t="inlineStr">
        <is>
          <t>KATRINEHOLM</t>
        </is>
      </c>
      <c r="G560" t="n">
        <v>3.7</v>
      </c>
      <c r="H560" t="n">
        <v>0</v>
      </c>
      <c r="I560" t="n">
        <v>0</v>
      </c>
      <c r="J560" t="n">
        <v>0</v>
      </c>
      <c r="K560" t="n">
        <v>0</v>
      </c>
      <c r="L560" t="n">
        <v>0</v>
      </c>
      <c r="M560" t="n">
        <v>0</v>
      </c>
      <c r="N560" t="n">
        <v>0</v>
      </c>
      <c r="O560" t="n">
        <v>0</v>
      </c>
      <c r="P560" t="n">
        <v>0</v>
      </c>
      <c r="Q560" t="n">
        <v>0</v>
      </c>
      <c r="R560" s="2" t="inlineStr"/>
    </row>
    <row r="561" ht="15" customHeight="1">
      <c r="A561" t="inlineStr">
        <is>
          <t>A 35084-2025</t>
        </is>
      </c>
      <c r="B561" s="1" t="n">
        <v>45852</v>
      </c>
      <c r="C561" s="1" t="n">
        <v>46123</v>
      </c>
      <c r="D561" t="inlineStr">
        <is>
          <t>SÖDERMANLANDS LÄN</t>
        </is>
      </c>
      <c r="E561" t="inlineStr">
        <is>
          <t>KATRINEHOLM</t>
        </is>
      </c>
      <c r="G561" t="n">
        <v>3.2</v>
      </c>
      <c r="H561" t="n">
        <v>0</v>
      </c>
      <c r="I561" t="n">
        <v>0</v>
      </c>
      <c r="J561" t="n">
        <v>0</v>
      </c>
      <c r="K561" t="n">
        <v>0</v>
      </c>
      <c r="L561" t="n">
        <v>0</v>
      </c>
      <c r="M561" t="n">
        <v>0</v>
      </c>
      <c r="N561" t="n">
        <v>0</v>
      </c>
      <c r="O561" t="n">
        <v>0</v>
      </c>
      <c r="P561" t="n">
        <v>0</v>
      </c>
      <c r="Q561" t="n">
        <v>0</v>
      </c>
      <c r="R561" s="2" t="inlineStr"/>
    </row>
    <row r="562" ht="15" customHeight="1">
      <c r="A562" t="inlineStr">
        <is>
          <t>A 35149-2025</t>
        </is>
      </c>
      <c r="B562" s="1" t="n">
        <v>45852</v>
      </c>
      <c r="C562" s="1" t="n">
        <v>46123</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35161-2025</t>
        </is>
      </c>
      <c r="B563" s="1" t="n">
        <v>45852.70716435185</v>
      </c>
      <c r="C563" s="1" t="n">
        <v>46123</v>
      </c>
      <c r="D563" t="inlineStr">
        <is>
          <t>SÖDERMANLANDS LÄN</t>
        </is>
      </c>
      <c r="E563" t="inlineStr">
        <is>
          <t>KATRINEHOLM</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35152-2025</t>
        </is>
      </c>
      <c r="B564" s="1" t="n">
        <v>45852</v>
      </c>
      <c r="C564" s="1" t="n">
        <v>46123</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35165-2025</t>
        </is>
      </c>
      <c r="B565" s="1" t="n">
        <v>45852.72320601852</v>
      </c>
      <c r="C565" s="1" t="n">
        <v>46123</v>
      </c>
      <c r="D565" t="inlineStr">
        <is>
          <t>SÖDERMANLANDS LÄN</t>
        </is>
      </c>
      <c r="E565" t="inlineStr">
        <is>
          <t>KATRINEHOLM</t>
        </is>
      </c>
      <c r="F565" t="inlineStr">
        <is>
          <t>Övriga Aktiebolag</t>
        </is>
      </c>
      <c r="G565" t="n">
        <v>20.7</v>
      </c>
      <c r="H565" t="n">
        <v>0</v>
      </c>
      <c r="I565" t="n">
        <v>0</v>
      </c>
      <c r="J565" t="n">
        <v>0</v>
      </c>
      <c r="K565" t="n">
        <v>0</v>
      </c>
      <c r="L565" t="n">
        <v>0</v>
      </c>
      <c r="M565" t="n">
        <v>0</v>
      </c>
      <c r="N565" t="n">
        <v>0</v>
      </c>
      <c r="O565" t="n">
        <v>0</v>
      </c>
      <c r="P565" t="n">
        <v>0</v>
      </c>
      <c r="Q565" t="n">
        <v>0</v>
      </c>
      <c r="R565" s="2" t="inlineStr"/>
    </row>
    <row r="566" ht="15" customHeight="1">
      <c r="A566" t="inlineStr">
        <is>
          <t>A 35158-2025</t>
        </is>
      </c>
      <c r="B566" s="1" t="n">
        <v>45852</v>
      </c>
      <c r="C566" s="1" t="n">
        <v>46123</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57524-2021</t>
        </is>
      </c>
      <c r="B567" s="1" t="n">
        <v>44483</v>
      </c>
      <c r="C567" s="1" t="n">
        <v>46123</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34439-2025</t>
        </is>
      </c>
      <c r="B568" s="1" t="n">
        <v>45845</v>
      </c>
      <c r="C568" s="1" t="n">
        <v>46123</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1114-2026</t>
        </is>
      </c>
      <c r="B569" s="1" t="n">
        <v>46030.684375</v>
      </c>
      <c r="C569" s="1" t="n">
        <v>46123</v>
      </c>
      <c r="D569" t="inlineStr">
        <is>
          <t>SÖDERMANLANDS LÄN</t>
        </is>
      </c>
      <c r="E569" t="inlineStr">
        <is>
          <t>KATRINEHOLM</t>
        </is>
      </c>
      <c r="G569" t="n">
        <v>0.9</v>
      </c>
      <c r="H569" t="n">
        <v>0</v>
      </c>
      <c r="I569" t="n">
        <v>0</v>
      </c>
      <c r="J569" t="n">
        <v>0</v>
      </c>
      <c r="K569" t="n">
        <v>0</v>
      </c>
      <c r="L569" t="n">
        <v>0</v>
      </c>
      <c r="M569" t="n">
        <v>0</v>
      </c>
      <c r="N569" t="n">
        <v>0</v>
      </c>
      <c r="O569" t="n">
        <v>0</v>
      </c>
      <c r="P569" t="n">
        <v>0</v>
      </c>
      <c r="Q569" t="n">
        <v>0</v>
      </c>
      <c r="R569" s="2" t="inlineStr"/>
    </row>
    <row r="570" ht="15" customHeight="1">
      <c r="A570" t="inlineStr">
        <is>
          <t>A 1112-2026</t>
        </is>
      </c>
      <c r="B570" s="1" t="n">
        <v>46030.68107638889</v>
      </c>
      <c r="C570" s="1" t="n">
        <v>46123</v>
      </c>
      <c r="D570" t="inlineStr">
        <is>
          <t>SÖDERMANLANDS LÄN</t>
        </is>
      </c>
      <c r="E570" t="inlineStr">
        <is>
          <t>KATRINEHOLM</t>
        </is>
      </c>
      <c r="G570" t="n">
        <v>3.2</v>
      </c>
      <c r="H570" t="n">
        <v>0</v>
      </c>
      <c r="I570" t="n">
        <v>0</v>
      </c>
      <c r="J570" t="n">
        <v>0</v>
      </c>
      <c r="K570" t="n">
        <v>0</v>
      </c>
      <c r="L570" t="n">
        <v>0</v>
      </c>
      <c r="M570" t="n">
        <v>0</v>
      </c>
      <c r="N570" t="n">
        <v>0</v>
      </c>
      <c r="O570" t="n">
        <v>0</v>
      </c>
      <c r="P570" t="n">
        <v>0</v>
      </c>
      <c r="Q570" t="n">
        <v>0</v>
      </c>
      <c r="R570" s="2" t="inlineStr"/>
    </row>
    <row r="571" ht="15" customHeight="1">
      <c r="A571" t="inlineStr">
        <is>
          <t>A 27345-2023</t>
        </is>
      </c>
      <c r="B571" s="1" t="n">
        <v>45096</v>
      </c>
      <c r="C571" s="1" t="n">
        <v>46123</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53996-2023</t>
        </is>
      </c>
      <c r="B572" s="1" t="n">
        <v>45231</v>
      </c>
      <c r="C572" s="1" t="n">
        <v>46123</v>
      </c>
      <c r="D572" t="inlineStr">
        <is>
          <t>SÖDERMANLANDS LÄN</t>
        </is>
      </c>
      <c r="E572" t="inlineStr">
        <is>
          <t>KATRINEHOLM</t>
        </is>
      </c>
      <c r="G572" t="n">
        <v>4.9</v>
      </c>
      <c r="H572" t="n">
        <v>0</v>
      </c>
      <c r="I572" t="n">
        <v>0</v>
      </c>
      <c r="J572" t="n">
        <v>0</v>
      </c>
      <c r="K572" t="n">
        <v>0</v>
      </c>
      <c r="L572" t="n">
        <v>0</v>
      </c>
      <c r="M572" t="n">
        <v>0</v>
      </c>
      <c r="N572" t="n">
        <v>0</v>
      </c>
      <c r="O572" t="n">
        <v>0</v>
      </c>
      <c r="P572" t="n">
        <v>0</v>
      </c>
      <c r="Q572" t="n">
        <v>0</v>
      </c>
      <c r="R572" s="2" t="inlineStr"/>
    </row>
    <row r="573" ht="15" customHeight="1">
      <c r="A573" t="inlineStr">
        <is>
          <t>A 1098-2026</t>
        </is>
      </c>
      <c r="B573" s="1" t="n">
        <v>46030.66519675926</v>
      </c>
      <c r="C573" s="1" t="n">
        <v>46123</v>
      </c>
      <c r="D573" t="inlineStr">
        <is>
          <t>SÖDERMANLANDS LÄN</t>
        </is>
      </c>
      <c r="E573" t="inlineStr">
        <is>
          <t>KATRINEHOLM</t>
        </is>
      </c>
      <c r="G573" t="n">
        <v>3.4</v>
      </c>
      <c r="H573" t="n">
        <v>0</v>
      </c>
      <c r="I573" t="n">
        <v>0</v>
      </c>
      <c r="J573" t="n">
        <v>0</v>
      </c>
      <c r="K573" t="n">
        <v>0</v>
      </c>
      <c r="L573" t="n">
        <v>0</v>
      </c>
      <c r="M573" t="n">
        <v>0</v>
      </c>
      <c r="N573" t="n">
        <v>0</v>
      </c>
      <c r="O573" t="n">
        <v>0</v>
      </c>
      <c r="P573" t="n">
        <v>0</v>
      </c>
      <c r="Q573" t="n">
        <v>0</v>
      </c>
      <c r="R573" s="2" t="inlineStr"/>
    </row>
    <row r="574" ht="15" customHeight="1">
      <c r="A574" t="inlineStr">
        <is>
          <t>A 1106-2026</t>
        </is>
      </c>
      <c r="B574" s="1" t="n">
        <v>46030.67123842592</v>
      </c>
      <c r="C574" s="1" t="n">
        <v>46123</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11127-2023</t>
        </is>
      </c>
      <c r="B575" s="1" t="n">
        <v>44987</v>
      </c>
      <c r="C575" s="1" t="n">
        <v>46123</v>
      </c>
      <c r="D575" t="inlineStr">
        <is>
          <t>SÖDERMANLANDS LÄN</t>
        </is>
      </c>
      <c r="E575" t="inlineStr">
        <is>
          <t>KATRINEHOLM</t>
        </is>
      </c>
      <c r="G575" t="n">
        <v>4.3</v>
      </c>
      <c r="H575" t="n">
        <v>0</v>
      </c>
      <c r="I575" t="n">
        <v>0</v>
      </c>
      <c r="J575" t="n">
        <v>0</v>
      </c>
      <c r="K575" t="n">
        <v>0</v>
      </c>
      <c r="L575" t="n">
        <v>0</v>
      </c>
      <c r="M575" t="n">
        <v>0</v>
      </c>
      <c r="N575" t="n">
        <v>0</v>
      </c>
      <c r="O575" t="n">
        <v>0</v>
      </c>
      <c r="P575" t="n">
        <v>0</v>
      </c>
      <c r="Q575" t="n">
        <v>0</v>
      </c>
      <c r="R575" s="2" t="inlineStr"/>
    </row>
    <row r="576" ht="15" customHeight="1">
      <c r="A576" t="inlineStr">
        <is>
          <t>A 37185-2023</t>
        </is>
      </c>
      <c r="B576" s="1" t="n">
        <v>45154</v>
      </c>
      <c r="C576" s="1" t="n">
        <v>46123</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34176-2025</t>
        </is>
      </c>
      <c r="B577" s="1" t="n">
        <v>45845</v>
      </c>
      <c r="C577" s="1" t="n">
        <v>46123</v>
      </c>
      <c r="D577" t="inlineStr">
        <is>
          <t>SÖDERMANLANDS LÄN</t>
        </is>
      </c>
      <c r="E577" t="inlineStr">
        <is>
          <t>KATRINEHOLM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24284-2024</t>
        </is>
      </c>
      <c r="B578" s="1" t="n">
        <v>45457</v>
      </c>
      <c r="C578" s="1" t="n">
        <v>46123</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66393-2021</t>
        </is>
      </c>
      <c r="B579" s="1" t="n">
        <v>44518</v>
      </c>
      <c r="C579" s="1" t="n">
        <v>46123</v>
      </c>
      <c r="D579" t="inlineStr">
        <is>
          <t>SÖDERMANLANDS LÄN</t>
        </is>
      </c>
      <c r="E579" t="inlineStr">
        <is>
          <t>KATRINEHOLM</t>
        </is>
      </c>
      <c r="F579" t="inlineStr">
        <is>
          <t>Holmen skog AB</t>
        </is>
      </c>
      <c r="G579" t="n">
        <v>0.4</v>
      </c>
      <c r="H579" t="n">
        <v>0</v>
      </c>
      <c r="I579" t="n">
        <v>0</v>
      </c>
      <c r="J579" t="n">
        <v>0</v>
      </c>
      <c r="K579" t="n">
        <v>0</v>
      </c>
      <c r="L579" t="n">
        <v>0</v>
      </c>
      <c r="M579" t="n">
        <v>0</v>
      </c>
      <c r="N579" t="n">
        <v>0</v>
      </c>
      <c r="O579" t="n">
        <v>0</v>
      </c>
      <c r="P579" t="n">
        <v>0</v>
      </c>
      <c r="Q579" t="n">
        <v>0</v>
      </c>
      <c r="R579" s="2" t="inlineStr"/>
    </row>
    <row r="580" ht="15" customHeight="1">
      <c r="A580" t="inlineStr">
        <is>
          <t>A 50840-2022</t>
        </is>
      </c>
      <c r="B580" s="1" t="n">
        <v>44862</v>
      </c>
      <c r="C580" s="1" t="n">
        <v>46123</v>
      </c>
      <c r="D580" t="inlineStr">
        <is>
          <t>SÖDERMANLANDS LÄN</t>
        </is>
      </c>
      <c r="E580" t="inlineStr">
        <is>
          <t>KATRINEHOLM</t>
        </is>
      </c>
      <c r="G580" t="n">
        <v>4.2</v>
      </c>
      <c r="H580" t="n">
        <v>0</v>
      </c>
      <c r="I580" t="n">
        <v>0</v>
      </c>
      <c r="J580" t="n">
        <v>0</v>
      </c>
      <c r="K580" t="n">
        <v>0</v>
      </c>
      <c r="L580" t="n">
        <v>0</v>
      </c>
      <c r="M580" t="n">
        <v>0</v>
      </c>
      <c r="N580" t="n">
        <v>0</v>
      </c>
      <c r="O580" t="n">
        <v>0</v>
      </c>
      <c r="P580" t="n">
        <v>0</v>
      </c>
      <c r="Q580" t="n">
        <v>0</v>
      </c>
      <c r="R580" s="2" t="inlineStr"/>
    </row>
    <row r="581" ht="15" customHeight="1">
      <c r="A581" t="inlineStr">
        <is>
          <t>A 13113-2023</t>
        </is>
      </c>
      <c r="B581" s="1" t="n">
        <v>45002</v>
      </c>
      <c r="C581" s="1" t="n">
        <v>46123</v>
      </c>
      <c r="D581" t="inlineStr">
        <is>
          <t>SÖDERMANLANDS LÄN</t>
        </is>
      </c>
      <c r="E581" t="inlineStr">
        <is>
          <t>KATRINEHOLM</t>
        </is>
      </c>
      <c r="F581" t="inlineStr">
        <is>
          <t>Allmännings- och besparingsskogar</t>
        </is>
      </c>
      <c r="G581" t="n">
        <v>3.6</v>
      </c>
      <c r="H581" t="n">
        <v>0</v>
      </c>
      <c r="I581" t="n">
        <v>0</v>
      </c>
      <c r="J581" t="n">
        <v>0</v>
      </c>
      <c r="K581" t="n">
        <v>0</v>
      </c>
      <c r="L581" t="n">
        <v>0</v>
      </c>
      <c r="M581" t="n">
        <v>0</v>
      </c>
      <c r="N581" t="n">
        <v>0</v>
      </c>
      <c r="O581" t="n">
        <v>0</v>
      </c>
      <c r="P581" t="n">
        <v>0</v>
      </c>
      <c r="Q581" t="n">
        <v>0</v>
      </c>
      <c r="R581" s="2" t="inlineStr"/>
    </row>
    <row r="582" ht="15" customHeight="1">
      <c r="A582" t="inlineStr">
        <is>
          <t>A 1668-2026</t>
        </is>
      </c>
      <c r="B582" s="1" t="n">
        <v>46034.55986111111</v>
      </c>
      <c r="C582" s="1" t="n">
        <v>46123</v>
      </c>
      <c r="D582" t="inlineStr">
        <is>
          <t>SÖDERMANLANDS LÄN</t>
        </is>
      </c>
      <c r="E582" t="inlineStr">
        <is>
          <t>KATRINEHOLM</t>
        </is>
      </c>
      <c r="G582" t="n">
        <v>4.1</v>
      </c>
      <c r="H582" t="n">
        <v>0</v>
      </c>
      <c r="I582" t="n">
        <v>0</v>
      </c>
      <c r="J582" t="n">
        <v>0</v>
      </c>
      <c r="K582" t="n">
        <v>0</v>
      </c>
      <c r="L582" t="n">
        <v>0</v>
      </c>
      <c r="M582" t="n">
        <v>0</v>
      </c>
      <c r="N582" t="n">
        <v>0</v>
      </c>
      <c r="O582" t="n">
        <v>0</v>
      </c>
      <c r="P582" t="n">
        <v>0</v>
      </c>
      <c r="Q582" t="n">
        <v>0</v>
      </c>
      <c r="R582" s="2" t="inlineStr"/>
    </row>
    <row r="583" ht="15" customHeight="1">
      <c r="A583" t="inlineStr">
        <is>
          <t>A 14245-2024</t>
        </is>
      </c>
      <c r="B583" s="1" t="n">
        <v>45393</v>
      </c>
      <c r="C583" s="1" t="n">
        <v>46123</v>
      </c>
      <c r="D583" t="inlineStr">
        <is>
          <t>SÖDERMANLANDS LÄN</t>
        </is>
      </c>
      <c r="E583" t="inlineStr">
        <is>
          <t>KATRINEHOLM</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36832-2023</t>
        </is>
      </c>
      <c r="B584" s="1" t="n">
        <v>45153</v>
      </c>
      <c r="C584" s="1" t="n">
        <v>46123</v>
      </c>
      <c r="D584" t="inlineStr">
        <is>
          <t>SÖDERMANLANDS LÄN</t>
        </is>
      </c>
      <c r="E584" t="inlineStr">
        <is>
          <t>KATRINEHOLM</t>
        </is>
      </c>
      <c r="F584" t="inlineStr">
        <is>
          <t>Övriga Aktiebolag</t>
        </is>
      </c>
      <c r="G584" t="n">
        <v>9</v>
      </c>
      <c r="H584" t="n">
        <v>0</v>
      </c>
      <c r="I584" t="n">
        <v>0</v>
      </c>
      <c r="J584" t="n">
        <v>0</v>
      </c>
      <c r="K584" t="n">
        <v>0</v>
      </c>
      <c r="L584" t="n">
        <v>0</v>
      </c>
      <c r="M584" t="n">
        <v>0</v>
      </c>
      <c r="N584" t="n">
        <v>0</v>
      </c>
      <c r="O584" t="n">
        <v>0</v>
      </c>
      <c r="P584" t="n">
        <v>0</v>
      </c>
      <c r="Q584" t="n">
        <v>0</v>
      </c>
      <c r="R584" s="2" t="inlineStr"/>
    </row>
    <row r="585" ht="15" customHeight="1">
      <c r="A585" t="inlineStr">
        <is>
          <t>A 44024-2021</t>
        </is>
      </c>
      <c r="B585" s="1" t="n">
        <v>44434</v>
      </c>
      <c r="C585" s="1" t="n">
        <v>46123</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39052-2023</t>
        </is>
      </c>
      <c r="B586" s="1" t="n">
        <v>45163</v>
      </c>
      <c r="C586" s="1" t="n">
        <v>46123</v>
      </c>
      <c r="D586" t="inlineStr">
        <is>
          <t>SÖDERMANLANDS LÄN</t>
        </is>
      </c>
      <c r="E586" t="inlineStr">
        <is>
          <t>KATRINEHOLM</t>
        </is>
      </c>
      <c r="G586" t="n">
        <v>3</v>
      </c>
      <c r="H586" t="n">
        <v>0</v>
      </c>
      <c r="I586" t="n">
        <v>0</v>
      </c>
      <c r="J586" t="n">
        <v>0</v>
      </c>
      <c r="K586" t="n">
        <v>0</v>
      </c>
      <c r="L586" t="n">
        <v>0</v>
      </c>
      <c r="M586" t="n">
        <v>0</v>
      </c>
      <c r="N586" t="n">
        <v>0</v>
      </c>
      <c r="O586" t="n">
        <v>0</v>
      </c>
      <c r="P586" t="n">
        <v>0</v>
      </c>
      <c r="Q586" t="n">
        <v>0</v>
      </c>
      <c r="R586" s="2" t="inlineStr"/>
    </row>
    <row r="587" ht="15" customHeight="1">
      <c r="A587" t="inlineStr">
        <is>
          <t>A 2473-2026</t>
        </is>
      </c>
      <c r="B587" s="1" t="n">
        <v>46037.37704861111</v>
      </c>
      <c r="C587" s="1" t="n">
        <v>46123</v>
      </c>
      <c r="D587" t="inlineStr">
        <is>
          <t>SÖDERMANLANDS LÄN</t>
        </is>
      </c>
      <c r="E587" t="inlineStr">
        <is>
          <t>KATRINEHOLM</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41946-2022</t>
        </is>
      </c>
      <c r="B588" s="1" t="n">
        <v>44830.38502314815</v>
      </c>
      <c r="C588" s="1" t="n">
        <v>46123</v>
      </c>
      <c r="D588" t="inlineStr">
        <is>
          <t>SÖDERMANLANDS LÄN</t>
        </is>
      </c>
      <c r="E588" t="inlineStr">
        <is>
          <t>KATRINEHOLM</t>
        </is>
      </c>
      <c r="G588" t="n">
        <v>1</v>
      </c>
      <c r="H588" t="n">
        <v>0</v>
      </c>
      <c r="I588" t="n">
        <v>0</v>
      </c>
      <c r="J588" t="n">
        <v>0</v>
      </c>
      <c r="K588" t="n">
        <v>0</v>
      </c>
      <c r="L588" t="n">
        <v>0</v>
      </c>
      <c r="M588" t="n">
        <v>0</v>
      </c>
      <c r="N588" t="n">
        <v>0</v>
      </c>
      <c r="O588" t="n">
        <v>0</v>
      </c>
      <c r="P588" t="n">
        <v>0</v>
      </c>
      <c r="Q588" t="n">
        <v>0</v>
      </c>
      <c r="R588" s="2" t="inlineStr"/>
    </row>
    <row r="589" ht="15" customHeight="1">
      <c r="A589" t="inlineStr">
        <is>
          <t>A 2645-2026</t>
        </is>
      </c>
      <c r="B589" s="1" t="n">
        <v>46037.62321759259</v>
      </c>
      <c r="C589" s="1" t="n">
        <v>46123</v>
      </c>
      <c r="D589" t="inlineStr">
        <is>
          <t>SÖDERMANLANDS LÄN</t>
        </is>
      </c>
      <c r="E589" t="inlineStr">
        <is>
          <t>KATRINEHOLM</t>
        </is>
      </c>
      <c r="G589" t="n">
        <v>2.1</v>
      </c>
      <c r="H589" t="n">
        <v>0</v>
      </c>
      <c r="I589" t="n">
        <v>0</v>
      </c>
      <c r="J589" t="n">
        <v>0</v>
      </c>
      <c r="K589" t="n">
        <v>0</v>
      </c>
      <c r="L589" t="n">
        <v>0</v>
      </c>
      <c r="M589" t="n">
        <v>0</v>
      </c>
      <c r="N589" t="n">
        <v>0</v>
      </c>
      <c r="O589" t="n">
        <v>0</v>
      </c>
      <c r="P589" t="n">
        <v>0</v>
      </c>
      <c r="Q589" t="n">
        <v>0</v>
      </c>
      <c r="R589" s="2" t="inlineStr"/>
    </row>
    <row r="590" ht="15" customHeight="1">
      <c r="A590" t="inlineStr">
        <is>
          <t>A 2672-2026</t>
        </is>
      </c>
      <c r="B590" s="1" t="n">
        <v>46037</v>
      </c>
      <c r="C590" s="1" t="n">
        <v>46123</v>
      </c>
      <c r="D590" t="inlineStr">
        <is>
          <t>SÖDERMANLANDS LÄN</t>
        </is>
      </c>
      <c r="E590" t="inlineStr">
        <is>
          <t>KATRINEHOLM</t>
        </is>
      </c>
      <c r="G590" t="n">
        <v>2.1</v>
      </c>
      <c r="H590" t="n">
        <v>0</v>
      </c>
      <c r="I590" t="n">
        <v>0</v>
      </c>
      <c r="J590" t="n">
        <v>0</v>
      </c>
      <c r="K590" t="n">
        <v>0</v>
      </c>
      <c r="L590" t="n">
        <v>0</v>
      </c>
      <c r="M590" t="n">
        <v>0</v>
      </c>
      <c r="N590" t="n">
        <v>0</v>
      </c>
      <c r="O590" t="n">
        <v>0</v>
      </c>
      <c r="P590" t="n">
        <v>0</v>
      </c>
      <c r="Q590" t="n">
        <v>0</v>
      </c>
      <c r="R590" s="2" t="inlineStr"/>
    </row>
    <row r="591" ht="15" customHeight="1">
      <c r="A591" t="inlineStr">
        <is>
          <t>A 51613-2022</t>
        </is>
      </c>
      <c r="B591" s="1" t="n">
        <v>44871</v>
      </c>
      <c r="C591" s="1" t="n">
        <v>46123</v>
      </c>
      <c r="D591" t="inlineStr">
        <is>
          <t>SÖDERMANLANDS LÄN</t>
        </is>
      </c>
      <c r="E591" t="inlineStr">
        <is>
          <t>KATRINEHOLM</t>
        </is>
      </c>
      <c r="G591" t="n">
        <v>3</v>
      </c>
      <c r="H591" t="n">
        <v>0</v>
      </c>
      <c r="I591" t="n">
        <v>0</v>
      </c>
      <c r="J591" t="n">
        <v>0</v>
      </c>
      <c r="K591" t="n">
        <v>0</v>
      </c>
      <c r="L591" t="n">
        <v>0</v>
      </c>
      <c r="M591" t="n">
        <v>0</v>
      </c>
      <c r="N591" t="n">
        <v>0</v>
      </c>
      <c r="O591" t="n">
        <v>0</v>
      </c>
      <c r="P591" t="n">
        <v>0</v>
      </c>
      <c r="Q591" t="n">
        <v>0</v>
      </c>
      <c r="R591" s="2" t="inlineStr"/>
    </row>
    <row r="592" ht="15" customHeight="1">
      <c r="A592" t="inlineStr">
        <is>
          <t>A 27886-2024</t>
        </is>
      </c>
      <c r="B592" s="1" t="n">
        <v>45475</v>
      </c>
      <c r="C592" s="1" t="n">
        <v>46123</v>
      </c>
      <c r="D592" t="inlineStr">
        <is>
          <t>SÖDERMANLANDS LÄN</t>
        </is>
      </c>
      <c r="E592" t="inlineStr">
        <is>
          <t>KATRINEHOLM</t>
        </is>
      </c>
      <c r="G592" t="n">
        <v>10.3</v>
      </c>
      <c r="H592" t="n">
        <v>0</v>
      </c>
      <c r="I592" t="n">
        <v>0</v>
      </c>
      <c r="J592" t="n">
        <v>0</v>
      </c>
      <c r="K592" t="n">
        <v>0</v>
      </c>
      <c r="L592" t="n">
        <v>0</v>
      </c>
      <c r="M592" t="n">
        <v>0</v>
      </c>
      <c r="N592" t="n">
        <v>0</v>
      </c>
      <c r="O592" t="n">
        <v>0</v>
      </c>
      <c r="P592" t="n">
        <v>0</v>
      </c>
      <c r="Q592" t="n">
        <v>0</v>
      </c>
      <c r="R592" s="2" t="inlineStr"/>
    </row>
    <row r="593" ht="15" customHeight="1">
      <c r="A593" t="inlineStr">
        <is>
          <t>A 2913-2026</t>
        </is>
      </c>
      <c r="B593" s="1" t="n">
        <v>46038.56913194444</v>
      </c>
      <c r="C593" s="1" t="n">
        <v>46123</v>
      </c>
      <c r="D593" t="inlineStr">
        <is>
          <t>SÖDERMANLANDS LÄN</t>
        </is>
      </c>
      <c r="E593" t="inlineStr">
        <is>
          <t>KATRINEHOLM</t>
        </is>
      </c>
      <c r="F593" t="inlineStr">
        <is>
          <t>Övriga Aktiebolag</t>
        </is>
      </c>
      <c r="G593" t="n">
        <v>6.2</v>
      </c>
      <c r="H593" t="n">
        <v>0</v>
      </c>
      <c r="I593" t="n">
        <v>0</v>
      </c>
      <c r="J593" t="n">
        <v>0</v>
      </c>
      <c r="K593" t="n">
        <v>0</v>
      </c>
      <c r="L593" t="n">
        <v>0</v>
      </c>
      <c r="M593" t="n">
        <v>0</v>
      </c>
      <c r="N593" t="n">
        <v>0</v>
      </c>
      <c r="O593" t="n">
        <v>0</v>
      </c>
      <c r="P593" t="n">
        <v>0</v>
      </c>
      <c r="Q593" t="n">
        <v>0</v>
      </c>
      <c r="R593" s="2" t="inlineStr"/>
    </row>
    <row r="594" ht="15" customHeight="1">
      <c r="A594" t="inlineStr">
        <is>
          <t>A 19868-2022</t>
        </is>
      </c>
      <c r="B594" s="1" t="n">
        <v>44696</v>
      </c>
      <c r="C594" s="1" t="n">
        <v>46123</v>
      </c>
      <c r="D594" t="inlineStr">
        <is>
          <t>SÖDERMANLANDS LÄN</t>
        </is>
      </c>
      <c r="E594" t="inlineStr">
        <is>
          <t>KATRINEHOLM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58651-2023</t>
        </is>
      </c>
      <c r="B595" s="1" t="n">
        <v>45247</v>
      </c>
      <c r="C595" s="1" t="n">
        <v>46123</v>
      </c>
      <c r="D595" t="inlineStr">
        <is>
          <t>SÖDERMANLANDS LÄN</t>
        </is>
      </c>
      <c r="E595" t="inlineStr">
        <is>
          <t>KATRINEHOLM</t>
        </is>
      </c>
      <c r="G595" t="n">
        <v>2.7</v>
      </c>
      <c r="H595" t="n">
        <v>0</v>
      </c>
      <c r="I595" t="n">
        <v>0</v>
      </c>
      <c r="J595" t="n">
        <v>0</v>
      </c>
      <c r="K595" t="n">
        <v>0</v>
      </c>
      <c r="L595" t="n">
        <v>0</v>
      </c>
      <c r="M595" t="n">
        <v>0</v>
      </c>
      <c r="N595" t="n">
        <v>0</v>
      </c>
      <c r="O595" t="n">
        <v>0</v>
      </c>
      <c r="P595" t="n">
        <v>0</v>
      </c>
      <c r="Q595" t="n">
        <v>0</v>
      </c>
      <c r="R595" s="2" t="inlineStr"/>
    </row>
    <row r="596" ht="15" customHeight="1">
      <c r="A596" t="inlineStr">
        <is>
          <t>A 8765-2023</t>
        </is>
      </c>
      <c r="B596" s="1" t="n">
        <v>44978.52131944444</v>
      </c>
      <c r="C596" s="1" t="n">
        <v>46123</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28992-2024</t>
        </is>
      </c>
      <c r="B597" s="1" t="n">
        <v>45481.49289351852</v>
      </c>
      <c r="C597" s="1" t="n">
        <v>46123</v>
      </c>
      <c r="D597" t="inlineStr">
        <is>
          <t>SÖDERMANLANDS LÄN</t>
        </is>
      </c>
      <c r="E597" t="inlineStr">
        <is>
          <t>KATRINEHOLM</t>
        </is>
      </c>
      <c r="G597" t="n">
        <v>2.3</v>
      </c>
      <c r="H597" t="n">
        <v>0</v>
      </c>
      <c r="I597" t="n">
        <v>0</v>
      </c>
      <c r="J597" t="n">
        <v>0</v>
      </c>
      <c r="K597" t="n">
        <v>0</v>
      </c>
      <c r="L597" t="n">
        <v>0</v>
      </c>
      <c r="M597" t="n">
        <v>0</v>
      </c>
      <c r="N597" t="n">
        <v>0</v>
      </c>
      <c r="O597" t="n">
        <v>0</v>
      </c>
      <c r="P597" t="n">
        <v>0</v>
      </c>
      <c r="Q597" t="n">
        <v>0</v>
      </c>
      <c r="R597" s="2" t="inlineStr"/>
    </row>
    <row r="598" ht="15" customHeight="1">
      <c r="A598" t="inlineStr">
        <is>
          <t>A 12227-2025</t>
        </is>
      </c>
      <c r="B598" s="1" t="n">
        <v>45729.56836805555</v>
      </c>
      <c r="C598" s="1" t="n">
        <v>46123</v>
      </c>
      <c r="D598" t="inlineStr">
        <is>
          <t>SÖDERMANLANDS LÄN</t>
        </is>
      </c>
      <c r="E598" t="inlineStr">
        <is>
          <t>KATRINEHOLM</t>
        </is>
      </c>
      <c r="G598" t="n">
        <v>7</v>
      </c>
      <c r="H598" t="n">
        <v>0</v>
      </c>
      <c r="I598" t="n">
        <v>0</v>
      </c>
      <c r="J598" t="n">
        <v>0</v>
      </c>
      <c r="K598" t="n">
        <v>0</v>
      </c>
      <c r="L598" t="n">
        <v>0</v>
      </c>
      <c r="M598" t="n">
        <v>0</v>
      </c>
      <c r="N598" t="n">
        <v>0</v>
      </c>
      <c r="O598" t="n">
        <v>0</v>
      </c>
      <c r="P598" t="n">
        <v>0</v>
      </c>
      <c r="Q598" t="n">
        <v>0</v>
      </c>
      <c r="R598" s="2" t="inlineStr"/>
    </row>
    <row r="599" ht="15" customHeight="1">
      <c r="A599" t="inlineStr">
        <is>
          <t>A 25433-2024</t>
        </is>
      </c>
      <c r="B599" s="1" t="n">
        <v>45463</v>
      </c>
      <c r="C599" s="1" t="n">
        <v>46123</v>
      </c>
      <c r="D599" t="inlineStr">
        <is>
          <t>SÖDERMANLANDS LÄN</t>
        </is>
      </c>
      <c r="E599" t="inlineStr">
        <is>
          <t>KATRINEHOLM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36590-2025</t>
        </is>
      </c>
      <c r="B600" s="1" t="n">
        <v>45870</v>
      </c>
      <c r="C600" s="1" t="n">
        <v>46123</v>
      </c>
      <c r="D600" t="inlineStr">
        <is>
          <t>SÖDERMANLANDS LÄN</t>
        </is>
      </c>
      <c r="E600" t="inlineStr">
        <is>
          <t>KATRINEHOLM</t>
        </is>
      </c>
      <c r="G600" t="n">
        <v>2</v>
      </c>
      <c r="H600" t="n">
        <v>0</v>
      </c>
      <c r="I600" t="n">
        <v>0</v>
      </c>
      <c r="J600" t="n">
        <v>0</v>
      </c>
      <c r="K600" t="n">
        <v>0</v>
      </c>
      <c r="L600" t="n">
        <v>0</v>
      </c>
      <c r="M600" t="n">
        <v>0</v>
      </c>
      <c r="N600" t="n">
        <v>0</v>
      </c>
      <c r="O600" t="n">
        <v>0</v>
      </c>
      <c r="P600" t="n">
        <v>0</v>
      </c>
      <c r="Q600" t="n">
        <v>0</v>
      </c>
      <c r="R600" s="2" t="inlineStr"/>
    </row>
    <row r="601" ht="15" customHeight="1">
      <c r="A601" t="inlineStr">
        <is>
          <t>A 11621-2026</t>
        </is>
      </c>
      <c r="B601" s="1" t="n">
        <v>46084.46734953704</v>
      </c>
      <c r="C601" s="1" t="n">
        <v>46123</v>
      </c>
      <c r="D601" t="inlineStr">
        <is>
          <t>SÖDERMANLANDS LÄN</t>
        </is>
      </c>
      <c r="E601" t="inlineStr">
        <is>
          <t>KATRINEHOLM</t>
        </is>
      </c>
      <c r="F601" t="inlineStr">
        <is>
          <t>Holmen skog AB</t>
        </is>
      </c>
      <c r="G601" t="n">
        <v>0.5</v>
      </c>
      <c r="H601" t="n">
        <v>0</v>
      </c>
      <c r="I601" t="n">
        <v>0</v>
      </c>
      <c r="J601" t="n">
        <v>0</v>
      </c>
      <c r="K601" t="n">
        <v>0</v>
      </c>
      <c r="L601" t="n">
        <v>0</v>
      </c>
      <c r="M601" t="n">
        <v>0</v>
      </c>
      <c r="N601" t="n">
        <v>0</v>
      </c>
      <c r="O601" t="n">
        <v>0</v>
      </c>
      <c r="P601" t="n">
        <v>0</v>
      </c>
      <c r="Q601" t="n">
        <v>0</v>
      </c>
      <c r="R601" s="2" t="inlineStr"/>
    </row>
    <row r="602" ht="15" customHeight="1">
      <c r="A602" t="inlineStr">
        <is>
          <t>A 50021-2023</t>
        </is>
      </c>
      <c r="B602" s="1" t="n">
        <v>45215</v>
      </c>
      <c r="C602" s="1" t="n">
        <v>46123</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11666-2026</t>
        </is>
      </c>
      <c r="B603" s="1" t="n">
        <v>46084.55381944445</v>
      </c>
      <c r="C603" s="1" t="n">
        <v>46123</v>
      </c>
      <c r="D603" t="inlineStr">
        <is>
          <t>SÖDERMANLANDS LÄN</t>
        </is>
      </c>
      <c r="E603" t="inlineStr">
        <is>
          <t>KATRINEHOLM</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11677-2026</t>
        </is>
      </c>
      <c r="B604" s="1" t="n">
        <v>46084.56711805556</v>
      </c>
      <c r="C604" s="1" t="n">
        <v>46123</v>
      </c>
      <c r="D604" t="inlineStr">
        <is>
          <t>SÖDERMANLANDS LÄN</t>
        </is>
      </c>
      <c r="E604" t="inlineStr">
        <is>
          <t>KATRINEHOLM</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42111-2022</t>
        </is>
      </c>
      <c r="B605" s="1" t="n">
        <v>44830</v>
      </c>
      <c r="C605" s="1" t="n">
        <v>46123</v>
      </c>
      <c r="D605" t="inlineStr">
        <is>
          <t>SÖDERMANLANDS LÄN</t>
        </is>
      </c>
      <c r="E605" t="inlineStr">
        <is>
          <t>KATRINEHOLM</t>
        </is>
      </c>
      <c r="G605" t="n">
        <v>2.5</v>
      </c>
      <c r="H605" t="n">
        <v>0</v>
      </c>
      <c r="I605" t="n">
        <v>0</v>
      </c>
      <c r="J605" t="n">
        <v>0</v>
      </c>
      <c r="K605" t="n">
        <v>0</v>
      </c>
      <c r="L605" t="n">
        <v>0</v>
      </c>
      <c r="M605" t="n">
        <v>0</v>
      </c>
      <c r="N605" t="n">
        <v>0</v>
      </c>
      <c r="O605" t="n">
        <v>0</v>
      </c>
      <c r="P605" t="n">
        <v>0</v>
      </c>
      <c r="Q605" t="n">
        <v>0</v>
      </c>
      <c r="R605" s="2" t="inlineStr"/>
    </row>
    <row r="606" ht="15" customHeight="1">
      <c r="A606" t="inlineStr">
        <is>
          <t>A 26684-2025</t>
        </is>
      </c>
      <c r="B606" s="1" t="n">
        <v>45810</v>
      </c>
      <c r="C606" s="1" t="n">
        <v>46123</v>
      </c>
      <c r="D606" t="inlineStr">
        <is>
          <t>SÖDERMANLANDS LÄN</t>
        </is>
      </c>
      <c r="E606" t="inlineStr">
        <is>
          <t>KATRINEHOLM</t>
        </is>
      </c>
      <c r="G606" t="n">
        <v>1</v>
      </c>
      <c r="H606" t="n">
        <v>0</v>
      </c>
      <c r="I606" t="n">
        <v>0</v>
      </c>
      <c r="J606" t="n">
        <v>0</v>
      </c>
      <c r="K606" t="n">
        <v>0</v>
      </c>
      <c r="L606" t="n">
        <v>0</v>
      </c>
      <c r="M606" t="n">
        <v>0</v>
      </c>
      <c r="N606" t="n">
        <v>0</v>
      </c>
      <c r="O606" t="n">
        <v>0</v>
      </c>
      <c r="P606" t="n">
        <v>0</v>
      </c>
      <c r="Q606" t="n">
        <v>0</v>
      </c>
      <c r="R606" s="2" t="inlineStr"/>
    </row>
    <row r="607" ht="15" customHeight="1">
      <c r="A607" t="inlineStr">
        <is>
          <t>A 37043-2025</t>
        </is>
      </c>
      <c r="B607" s="1" t="n">
        <v>45875.3396412037</v>
      </c>
      <c r="C607" s="1" t="n">
        <v>46123</v>
      </c>
      <c r="D607" t="inlineStr">
        <is>
          <t>SÖDERMANLANDS LÄN</t>
        </is>
      </c>
      <c r="E607" t="inlineStr">
        <is>
          <t>KATRINEHOLM</t>
        </is>
      </c>
      <c r="G607" t="n">
        <v>2.2</v>
      </c>
      <c r="H607" t="n">
        <v>0</v>
      </c>
      <c r="I607" t="n">
        <v>0</v>
      </c>
      <c r="J607" t="n">
        <v>0</v>
      </c>
      <c r="K607" t="n">
        <v>0</v>
      </c>
      <c r="L607" t="n">
        <v>0</v>
      </c>
      <c r="M607" t="n">
        <v>0</v>
      </c>
      <c r="N607" t="n">
        <v>0</v>
      </c>
      <c r="O607" t="n">
        <v>0</v>
      </c>
      <c r="P607" t="n">
        <v>0</v>
      </c>
      <c r="Q607" t="n">
        <v>0</v>
      </c>
      <c r="R607" s="2" t="inlineStr"/>
    </row>
    <row r="608" ht="15" customHeight="1">
      <c r="A608" t="inlineStr">
        <is>
          <t>A 36021-2023</t>
        </is>
      </c>
      <c r="B608" s="1" t="n">
        <v>45148</v>
      </c>
      <c r="C608" s="1" t="n">
        <v>46123</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40402-2022</t>
        </is>
      </c>
      <c r="B609" s="1" t="n">
        <v>44823.44353009259</v>
      </c>
      <c r="C609" s="1" t="n">
        <v>46123</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27334-2023</t>
        </is>
      </c>
      <c r="B610" s="1" t="n">
        <v>45096</v>
      </c>
      <c r="C610" s="1" t="n">
        <v>46123</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37827-2025</t>
        </is>
      </c>
      <c r="B611" s="1" t="n">
        <v>45881.40907407407</v>
      </c>
      <c r="C611" s="1" t="n">
        <v>46123</v>
      </c>
      <c r="D611" t="inlineStr">
        <is>
          <t>SÖDERMANLANDS LÄN</t>
        </is>
      </c>
      <c r="E611" t="inlineStr">
        <is>
          <t>KATRINEHOLM</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7704-2023</t>
        </is>
      </c>
      <c r="B612" s="1" t="n">
        <v>44968</v>
      </c>
      <c r="C612" s="1" t="n">
        <v>46123</v>
      </c>
      <c r="D612" t="inlineStr">
        <is>
          <t>SÖDERMANLANDS LÄN</t>
        </is>
      </c>
      <c r="E612" t="inlineStr">
        <is>
          <t>KATRINEHOLM</t>
        </is>
      </c>
      <c r="G612" t="n">
        <v>7.3</v>
      </c>
      <c r="H612" t="n">
        <v>0</v>
      </c>
      <c r="I612" t="n">
        <v>0</v>
      </c>
      <c r="J612" t="n">
        <v>0</v>
      </c>
      <c r="K612" t="n">
        <v>0</v>
      </c>
      <c r="L612" t="n">
        <v>0</v>
      </c>
      <c r="M612" t="n">
        <v>0</v>
      </c>
      <c r="N612" t="n">
        <v>0</v>
      </c>
      <c r="O612" t="n">
        <v>0</v>
      </c>
      <c r="P612" t="n">
        <v>0</v>
      </c>
      <c r="Q612" t="n">
        <v>0</v>
      </c>
      <c r="R612" s="2" t="inlineStr"/>
    </row>
    <row r="613" ht="15" customHeight="1">
      <c r="A613" t="inlineStr">
        <is>
          <t>A 58528-2024</t>
        </is>
      </c>
      <c r="B613" s="1" t="n">
        <v>45635.44527777778</v>
      </c>
      <c r="C613" s="1" t="n">
        <v>46123</v>
      </c>
      <c r="D613" t="inlineStr">
        <is>
          <t>SÖDERMANLANDS LÄN</t>
        </is>
      </c>
      <c r="E613" t="inlineStr">
        <is>
          <t>KATRINEHOLM</t>
        </is>
      </c>
      <c r="G613" t="n">
        <v>2.4</v>
      </c>
      <c r="H613" t="n">
        <v>0</v>
      </c>
      <c r="I613" t="n">
        <v>0</v>
      </c>
      <c r="J613" t="n">
        <v>0</v>
      </c>
      <c r="K613" t="n">
        <v>0</v>
      </c>
      <c r="L613" t="n">
        <v>0</v>
      </c>
      <c r="M613" t="n">
        <v>0</v>
      </c>
      <c r="N613" t="n">
        <v>0</v>
      </c>
      <c r="O613" t="n">
        <v>0</v>
      </c>
      <c r="P613" t="n">
        <v>0</v>
      </c>
      <c r="Q613" t="n">
        <v>0</v>
      </c>
      <c r="R613" s="2" t="inlineStr"/>
    </row>
    <row r="614" ht="15" customHeight="1">
      <c r="A614" t="inlineStr">
        <is>
          <t>A 4889-2026</t>
        </is>
      </c>
      <c r="B614" s="1" t="n">
        <v>46048.66766203703</v>
      </c>
      <c r="C614" s="1" t="n">
        <v>46123</v>
      </c>
      <c r="D614" t="inlineStr">
        <is>
          <t>SÖDERMANLANDS LÄN</t>
        </is>
      </c>
      <c r="E614" t="inlineStr">
        <is>
          <t>KATRINEHOLM</t>
        </is>
      </c>
      <c r="F614" t="inlineStr">
        <is>
          <t>Övriga Aktiebolag</t>
        </is>
      </c>
      <c r="G614" t="n">
        <v>2.4</v>
      </c>
      <c r="H614" t="n">
        <v>0</v>
      </c>
      <c r="I614" t="n">
        <v>0</v>
      </c>
      <c r="J614" t="n">
        <v>0</v>
      </c>
      <c r="K614" t="n">
        <v>0</v>
      </c>
      <c r="L614" t="n">
        <v>0</v>
      </c>
      <c r="M614" t="n">
        <v>0</v>
      </c>
      <c r="N614" t="n">
        <v>0</v>
      </c>
      <c r="O614" t="n">
        <v>0</v>
      </c>
      <c r="P614" t="n">
        <v>0</v>
      </c>
      <c r="Q614" t="n">
        <v>0</v>
      </c>
      <c r="R614" s="2" t="inlineStr"/>
    </row>
    <row r="615" ht="15" customHeight="1">
      <c r="A615" t="inlineStr">
        <is>
          <t>A 14478-2023</t>
        </is>
      </c>
      <c r="B615" s="1" t="n">
        <v>45012.66421296296</v>
      </c>
      <c r="C615" s="1" t="n">
        <v>46123</v>
      </c>
      <c r="D615" t="inlineStr">
        <is>
          <t>SÖDERMANLANDS LÄN</t>
        </is>
      </c>
      <c r="E615" t="inlineStr">
        <is>
          <t>KATRINEHOLM</t>
        </is>
      </c>
      <c r="G615" t="n">
        <v>3.9</v>
      </c>
      <c r="H615" t="n">
        <v>0</v>
      </c>
      <c r="I615" t="n">
        <v>0</v>
      </c>
      <c r="J615" t="n">
        <v>0</v>
      </c>
      <c r="K615" t="n">
        <v>0</v>
      </c>
      <c r="L615" t="n">
        <v>0</v>
      </c>
      <c r="M615" t="n">
        <v>0</v>
      </c>
      <c r="N615" t="n">
        <v>0</v>
      </c>
      <c r="O615" t="n">
        <v>0</v>
      </c>
      <c r="P615" t="n">
        <v>0</v>
      </c>
      <c r="Q615" t="n">
        <v>0</v>
      </c>
      <c r="R615" s="2" t="inlineStr"/>
    </row>
    <row r="616" ht="15" customHeight="1">
      <c r="A616" t="inlineStr">
        <is>
          <t>A 39055-2022</t>
        </is>
      </c>
      <c r="B616" s="1" t="n">
        <v>44817</v>
      </c>
      <c r="C616" s="1" t="n">
        <v>46123</v>
      </c>
      <c r="D616" t="inlineStr">
        <is>
          <t>SÖDERMANLANDS LÄN</t>
        </is>
      </c>
      <c r="E616" t="inlineStr">
        <is>
          <t>KATRINEHOLM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7056-2022</t>
        </is>
      </c>
      <c r="B617" s="1" t="n">
        <v>44603</v>
      </c>
      <c r="C617" s="1" t="n">
        <v>46123</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5703-2026</t>
        </is>
      </c>
      <c r="B618" s="1" t="n">
        <v>46051.50774305555</v>
      </c>
      <c r="C618" s="1" t="n">
        <v>46123</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12937-2023</t>
        </is>
      </c>
      <c r="B619" s="1" t="n">
        <v>45001</v>
      </c>
      <c r="C619" s="1" t="n">
        <v>46123</v>
      </c>
      <c r="D619" t="inlineStr">
        <is>
          <t>SÖDERMANLANDS LÄN</t>
        </is>
      </c>
      <c r="E619" t="inlineStr">
        <is>
          <t>KATRINEHOLM</t>
        </is>
      </c>
      <c r="G619" t="n">
        <v>0.9</v>
      </c>
      <c r="H619" t="n">
        <v>0</v>
      </c>
      <c r="I619" t="n">
        <v>0</v>
      </c>
      <c r="J619" t="n">
        <v>0</v>
      </c>
      <c r="K619" t="n">
        <v>0</v>
      </c>
      <c r="L619" t="n">
        <v>0</v>
      </c>
      <c r="M619" t="n">
        <v>0</v>
      </c>
      <c r="N619" t="n">
        <v>0</v>
      </c>
      <c r="O619" t="n">
        <v>0</v>
      </c>
      <c r="P619" t="n">
        <v>0</v>
      </c>
      <c r="Q619" t="n">
        <v>0</v>
      </c>
      <c r="R619" s="2" t="inlineStr"/>
    </row>
    <row r="620" ht="15" customHeight="1">
      <c r="A620" t="inlineStr">
        <is>
          <t>A 42896-2024</t>
        </is>
      </c>
      <c r="B620" s="1" t="n">
        <v>45566.82973379629</v>
      </c>
      <c r="C620" s="1" t="n">
        <v>46123</v>
      </c>
      <c r="D620" t="inlineStr">
        <is>
          <t>SÖDERMANLANDS LÄN</t>
        </is>
      </c>
      <c r="E620" t="inlineStr">
        <is>
          <t>KATRINEHOLM</t>
        </is>
      </c>
      <c r="G620" t="n">
        <v>4.3</v>
      </c>
      <c r="H620" t="n">
        <v>0</v>
      </c>
      <c r="I620" t="n">
        <v>0</v>
      </c>
      <c r="J620" t="n">
        <v>0</v>
      </c>
      <c r="K620" t="n">
        <v>0</v>
      </c>
      <c r="L620" t="n">
        <v>0</v>
      </c>
      <c r="M620" t="n">
        <v>0</v>
      </c>
      <c r="N620" t="n">
        <v>0</v>
      </c>
      <c r="O620" t="n">
        <v>0</v>
      </c>
      <c r="P620" t="n">
        <v>0</v>
      </c>
      <c r="Q620" t="n">
        <v>0</v>
      </c>
      <c r="R620" s="2" t="inlineStr"/>
    </row>
    <row r="621" ht="15" customHeight="1">
      <c r="A621" t="inlineStr">
        <is>
          <t>A 11543-2025</t>
        </is>
      </c>
      <c r="B621" s="1" t="n">
        <v>45727.34248842593</v>
      </c>
      <c r="C621" s="1" t="n">
        <v>46123</v>
      </c>
      <c r="D621" t="inlineStr">
        <is>
          <t>SÖDERMANLANDS LÄN</t>
        </is>
      </c>
      <c r="E621" t="inlineStr">
        <is>
          <t>KATRINEHOLM</t>
        </is>
      </c>
      <c r="G621" t="n">
        <v>3.6</v>
      </c>
      <c r="H621" t="n">
        <v>0</v>
      </c>
      <c r="I621" t="n">
        <v>0</v>
      </c>
      <c r="J621" t="n">
        <v>0</v>
      </c>
      <c r="K621" t="n">
        <v>0</v>
      </c>
      <c r="L621" t="n">
        <v>0</v>
      </c>
      <c r="M621" t="n">
        <v>0</v>
      </c>
      <c r="N621" t="n">
        <v>0</v>
      </c>
      <c r="O621" t="n">
        <v>0</v>
      </c>
      <c r="P621" t="n">
        <v>0</v>
      </c>
      <c r="Q621" t="n">
        <v>0</v>
      </c>
      <c r="R621" s="2" t="inlineStr"/>
    </row>
    <row r="622" ht="15" customHeight="1">
      <c r="A622" t="inlineStr">
        <is>
          <t>A 35228-2025</t>
        </is>
      </c>
      <c r="B622" s="1" t="n">
        <v>45853</v>
      </c>
      <c r="C622" s="1" t="n">
        <v>46123</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29008-2024</t>
        </is>
      </c>
      <c r="B623" s="1" t="n">
        <v>45481</v>
      </c>
      <c r="C623" s="1" t="n">
        <v>46123</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62419-2023</t>
        </is>
      </c>
      <c r="B624" s="1" t="n">
        <v>45268</v>
      </c>
      <c r="C624" s="1" t="n">
        <v>46123</v>
      </c>
      <c r="D624" t="inlineStr">
        <is>
          <t>SÖDERMANLANDS LÄN</t>
        </is>
      </c>
      <c r="E624" t="inlineStr">
        <is>
          <t>KATRINEHOLM</t>
        </is>
      </c>
      <c r="G624" t="n">
        <v>9</v>
      </c>
      <c r="H624" t="n">
        <v>0</v>
      </c>
      <c r="I624" t="n">
        <v>0</v>
      </c>
      <c r="J624" t="n">
        <v>0</v>
      </c>
      <c r="K624" t="n">
        <v>0</v>
      </c>
      <c r="L624" t="n">
        <v>0</v>
      </c>
      <c r="M624" t="n">
        <v>0</v>
      </c>
      <c r="N624" t="n">
        <v>0</v>
      </c>
      <c r="O624" t="n">
        <v>0</v>
      </c>
      <c r="P624" t="n">
        <v>0</v>
      </c>
      <c r="Q624" t="n">
        <v>0</v>
      </c>
      <c r="R624" s="2" t="inlineStr"/>
    </row>
    <row r="625" ht="15" customHeight="1">
      <c r="A625" t="inlineStr">
        <is>
          <t>A 53722-2023</t>
        </is>
      </c>
      <c r="B625" s="1" t="n">
        <v>45230</v>
      </c>
      <c r="C625" s="1" t="n">
        <v>46123</v>
      </c>
      <c r="D625" t="inlineStr">
        <is>
          <t>SÖDERMANLANDS LÄN</t>
        </is>
      </c>
      <c r="E625" t="inlineStr">
        <is>
          <t>KATRINEHOLM</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12831-2026</t>
        </is>
      </c>
      <c r="B626" s="1" t="n">
        <v>46092.42416666666</v>
      </c>
      <c r="C626" s="1" t="n">
        <v>46123</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38869-2024</t>
        </is>
      </c>
      <c r="B627" s="1" t="n">
        <v>45547</v>
      </c>
      <c r="C627" s="1" t="n">
        <v>46123</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20214-2025</t>
        </is>
      </c>
      <c r="B628" s="1" t="n">
        <v>45772.63540509259</v>
      </c>
      <c r="C628" s="1" t="n">
        <v>46123</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62140-2022</t>
        </is>
      </c>
      <c r="B629" s="1" t="n">
        <v>44922</v>
      </c>
      <c r="C629" s="1" t="n">
        <v>46123</v>
      </c>
      <c r="D629" t="inlineStr">
        <is>
          <t>SÖDERMANLANDS LÄN</t>
        </is>
      </c>
      <c r="E629" t="inlineStr">
        <is>
          <t>KATRINEHOLM</t>
        </is>
      </c>
      <c r="F629" t="inlineStr">
        <is>
          <t>Övriga Aktiebolag</t>
        </is>
      </c>
      <c r="G629" t="n">
        <v>2.4</v>
      </c>
      <c r="H629" t="n">
        <v>0</v>
      </c>
      <c r="I629" t="n">
        <v>0</v>
      </c>
      <c r="J629" t="n">
        <v>0</v>
      </c>
      <c r="K629" t="n">
        <v>0</v>
      </c>
      <c r="L629" t="n">
        <v>0</v>
      </c>
      <c r="M629" t="n">
        <v>0</v>
      </c>
      <c r="N629" t="n">
        <v>0</v>
      </c>
      <c r="O629" t="n">
        <v>0</v>
      </c>
      <c r="P629" t="n">
        <v>0</v>
      </c>
      <c r="Q629" t="n">
        <v>0</v>
      </c>
      <c r="R629" s="2" t="inlineStr"/>
    </row>
    <row r="630" ht="15" customHeight="1">
      <c r="A630" t="inlineStr">
        <is>
          <t>A 27375-2024</t>
        </is>
      </c>
      <c r="B630" s="1" t="n">
        <v>45473.87645833333</v>
      </c>
      <c r="C630" s="1" t="n">
        <v>46123</v>
      </c>
      <c r="D630" t="inlineStr">
        <is>
          <t>SÖDERMANLANDS LÄN</t>
        </is>
      </c>
      <c r="E630" t="inlineStr">
        <is>
          <t>KATRINEHOLM</t>
        </is>
      </c>
      <c r="F630" t="inlineStr">
        <is>
          <t>Kommuner</t>
        </is>
      </c>
      <c r="G630" t="n">
        <v>1.9</v>
      </c>
      <c r="H630" t="n">
        <v>0</v>
      </c>
      <c r="I630" t="n">
        <v>0</v>
      </c>
      <c r="J630" t="n">
        <v>0</v>
      </c>
      <c r="K630" t="n">
        <v>0</v>
      </c>
      <c r="L630" t="n">
        <v>0</v>
      </c>
      <c r="M630" t="n">
        <v>0</v>
      </c>
      <c r="N630" t="n">
        <v>0</v>
      </c>
      <c r="O630" t="n">
        <v>0</v>
      </c>
      <c r="P630" t="n">
        <v>0</v>
      </c>
      <c r="Q630" t="n">
        <v>0</v>
      </c>
      <c r="R630" s="2" t="inlineStr"/>
    </row>
    <row r="631" ht="15" customHeight="1">
      <c r="A631" t="inlineStr">
        <is>
          <t>A 7867-2024</t>
        </is>
      </c>
      <c r="B631" s="1" t="n">
        <v>45350.32991898148</v>
      </c>
      <c r="C631" s="1" t="n">
        <v>46123</v>
      </c>
      <c r="D631" t="inlineStr">
        <is>
          <t>SÖDERMANLANDS LÄN</t>
        </is>
      </c>
      <c r="E631" t="inlineStr">
        <is>
          <t>KATRINEHOLM</t>
        </is>
      </c>
      <c r="F631" t="inlineStr">
        <is>
          <t>Kyrkan</t>
        </is>
      </c>
      <c r="G631" t="n">
        <v>3.3</v>
      </c>
      <c r="H631" t="n">
        <v>0</v>
      </c>
      <c r="I631" t="n">
        <v>0</v>
      </c>
      <c r="J631" t="n">
        <v>0</v>
      </c>
      <c r="K631" t="n">
        <v>0</v>
      </c>
      <c r="L631" t="n">
        <v>0</v>
      </c>
      <c r="M631" t="n">
        <v>0</v>
      </c>
      <c r="N631" t="n">
        <v>0</v>
      </c>
      <c r="O631" t="n">
        <v>0</v>
      </c>
      <c r="P631" t="n">
        <v>0</v>
      </c>
      <c r="Q631" t="n">
        <v>0</v>
      </c>
      <c r="R631" s="2" t="inlineStr"/>
    </row>
    <row r="632" ht="15" customHeight="1">
      <c r="A632" t="inlineStr">
        <is>
          <t>A 8957-2024</t>
        </is>
      </c>
      <c r="B632" s="1" t="n">
        <v>45357.45089120371</v>
      </c>
      <c r="C632" s="1" t="n">
        <v>46123</v>
      </c>
      <c r="D632" t="inlineStr">
        <is>
          <t>SÖDERMANLANDS LÄN</t>
        </is>
      </c>
      <c r="E632" t="inlineStr">
        <is>
          <t>KATRINEHOLM</t>
        </is>
      </c>
      <c r="G632" t="n">
        <v>3.6</v>
      </c>
      <c r="H632" t="n">
        <v>0</v>
      </c>
      <c r="I632" t="n">
        <v>0</v>
      </c>
      <c r="J632" t="n">
        <v>0</v>
      </c>
      <c r="K632" t="n">
        <v>0</v>
      </c>
      <c r="L632" t="n">
        <v>0</v>
      </c>
      <c r="M632" t="n">
        <v>0</v>
      </c>
      <c r="N632" t="n">
        <v>0</v>
      </c>
      <c r="O632" t="n">
        <v>0</v>
      </c>
      <c r="P632" t="n">
        <v>0</v>
      </c>
      <c r="Q632" t="n">
        <v>0</v>
      </c>
      <c r="R632" s="2" t="inlineStr"/>
    </row>
    <row r="633" ht="15" customHeight="1">
      <c r="A633" t="inlineStr">
        <is>
          <t>A 23341-2023</t>
        </is>
      </c>
      <c r="B633" s="1" t="n">
        <v>45076</v>
      </c>
      <c r="C633" s="1" t="n">
        <v>46123</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13655-2026</t>
        </is>
      </c>
      <c r="B634" s="1" t="n">
        <v>46097.45415509259</v>
      </c>
      <c r="C634" s="1" t="n">
        <v>46123</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13630-2026</t>
        </is>
      </c>
      <c r="B635" s="1" t="n">
        <v>46097.37490740741</v>
      </c>
      <c r="C635" s="1" t="n">
        <v>46123</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13631-2026</t>
        </is>
      </c>
      <c r="B636" s="1" t="n">
        <v>46095</v>
      </c>
      <c r="C636" s="1" t="n">
        <v>46123</v>
      </c>
      <c r="D636" t="inlineStr">
        <is>
          <t>SÖDERMANLANDS LÄN</t>
        </is>
      </c>
      <c r="E636" t="inlineStr">
        <is>
          <t>KATRINEHOLM</t>
        </is>
      </c>
      <c r="G636" t="n">
        <v>2.1</v>
      </c>
      <c r="H636" t="n">
        <v>0</v>
      </c>
      <c r="I636" t="n">
        <v>0</v>
      </c>
      <c r="J636" t="n">
        <v>0</v>
      </c>
      <c r="K636" t="n">
        <v>0</v>
      </c>
      <c r="L636" t="n">
        <v>0</v>
      </c>
      <c r="M636" t="n">
        <v>0</v>
      </c>
      <c r="N636" t="n">
        <v>0</v>
      </c>
      <c r="O636" t="n">
        <v>0</v>
      </c>
      <c r="P636" t="n">
        <v>0</v>
      </c>
      <c r="Q636" t="n">
        <v>0</v>
      </c>
      <c r="R636" s="2" t="inlineStr"/>
    </row>
    <row r="637" ht="15" customHeight="1">
      <c r="A637" t="inlineStr">
        <is>
          <t>A 13632-2026</t>
        </is>
      </c>
      <c r="B637" s="1" t="n">
        <v>46097.37996527777</v>
      </c>
      <c r="C637" s="1" t="n">
        <v>46123</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13633-2026</t>
        </is>
      </c>
      <c r="B638" s="1" t="n">
        <v>46097.38148148148</v>
      </c>
      <c r="C638" s="1" t="n">
        <v>46123</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60677-2021</t>
        </is>
      </c>
      <c r="B639" s="1" t="n">
        <v>44495</v>
      </c>
      <c r="C639" s="1" t="n">
        <v>46123</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3986-2024</t>
        </is>
      </c>
      <c r="B640" s="1" t="n">
        <v>45322</v>
      </c>
      <c r="C640" s="1" t="n">
        <v>46123</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13841-2026</t>
        </is>
      </c>
      <c r="B641" s="1" t="n">
        <v>46098.37181712963</v>
      </c>
      <c r="C641" s="1" t="n">
        <v>46123</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3939-2022</t>
        </is>
      </c>
      <c r="B642" s="1" t="n">
        <v>44587</v>
      </c>
      <c r="C642" s="1" t="n">
        <v>46123</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2683-2025</t>
        </is>
      </c>
      <c r="B643" s="1" t="n">
        <v>45677</v>
      </c>
      <c r="C643" s="1" t="n">
        <v>46123</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3317-2023</t>
        </is>
      </c>
      <c r="B644" s="1" t="n">
        <v>44945</v>
      </c>
      <c r="C644" s="1" t="n">
        <v>46123</v>
      </c>
      <c r="D644" t="inlineStr">
        <is>
          <t>SÖDERMANLANDS LÄN</t>
        </is>
      </c>
      <c r="E644" t="inlineStr">
        <is>
          <t>KATRINEHOLM</t>
        </is>
      </c>
      <c r="G644" t="n">
        <v>3.2</v>
      </c>
      <c r="H644" t="n">
        <v>0</v>
      </c>
      <c r="I644" t="n">
        <v>0</v>
      </c>
      <c r="J644" t="n">
        <v>0</v>
      </c>
      <c r="K644" t="n">
        <v>0</v>
      </c>
      <c r="L644" t="n">
        <v>0</v>
      </c>
      <c r="M644" t="n">
        <v>0</v>
      </c>
      <c r="N644" t="n">
        <v>0</v>
      </c>
      <c r="O644" t="n">
        <v>0</v>
      </c>
      <c r="P644" t="n">
        <v>0</v>
      </c>
      <c r="Q644" t="n">
        <v>0</v>
      </c>
      <c r="R644" s="2" t="inlineStr"/>
    </row>
    <row r="645" ht="15" customHeight="1">
      <c r="A645" t="inlineStr">
        <is>
          <t>A 32944-2023</t>
        </is>
      </c>
      <c r="B645" s="1" t="n">
        <v>45125</v>
      </c>
      <c r="C645" s="1" t="n">
        <v>46123</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14754-2026</t>
        </is>
      </c>
      <c r="B646" s="1" t="n">
        <v>46101.62297453704</v>
      </c>
      <c r="C646" s="1" t="n">
        <v>46123</v>
      </c>
      <c r="D646" t="inlineStr">
        <is>
          <t>SÖDERMANLANDS LÄN</t>
        </is>
      </c>
      <c r="E646" t="inlineStr">
        <is>
          <t>KATRINEHOLM</t>
        </is>
      </c>
      <c r="G646" t="n">
        <v>4.5</v>
      </c>
      <c r="H646" t="n">
        <v>0</v>
      </c>
      <c r="I646" t="n">
        <v>0</v>
      </c>
      <c r="J646" t="n">
        <v>0</v>
      </c>
      <c r="K646" t="n">
        <v>0</v>
      </c>
      <c r="L646" t="n">
        <v>0</v>
      </c>
      <c r="M646" t="n">
        <v>0</v>
      </c>
      <c r="N646" t="n">
        <v>0</v>
      </c>
      <c r="O646" t="n">
        <v>0</v>
      </c>
      <c r="P646" t="n">
        <v>0</v>
      </c>
      <c r="Q646" t="n">
        <v>0</v>
      </c>
      <c r="R646" s="2" t="inlineStr"/>
    </row>
    <row r="647" ht="15" customHeight="1">
      <c r="A647" t="inlineStr">
        <is>
          <t>A 29198-2023</t>
        </is>
      </c>
      <c r="B647" s="1" t="n">
        <v>45105</v>
      </c>
      <c r="C647" s="1" t="n">
        <v>46123</v>
      </c>
      <c r="D647" t="inlineStr">
        <is>
          <t>SÖDERMANLANDS LÄN</t>
        </is>
      </c>
      <c r="E647" t="inlineStr">
        <is>
          <t>KATRINEHOLM</t>
        </is>
      </c>
      <c r="F647" t="inlineStr">
        <is>
          <t>Övriga Aktiebolag</t>
        </is>
      </c>
      <c r="G647" t="n">
        <v>1</v>
      </c>
      <c r="H647" t="n">
        <v>0</v>
      </c>
      <c r="I647" t="n">
        <v>0</v>
      </c>
      <c r="J647" t="n">
        <v>0</v>
      </c>
      <c r="K647" t="n">
        <v>0</v>
      </c>
      <c r="L647" t="n">
        <v>0</v>
      </c>
      <c r="M647" t="n">
        <v>0</v>
      </c>
      <c r="N647" t="n">
        <v>0</v>
      </c>
      <c r="O647" t="n">
        <v>0</v>
      </c>
      <c r="P647" t="n">
        <v>0</v>
      </c>
      <c r="Q647" t="n">
        <v>0</v>
      </c>
      <c r="R647" s="2" t="inlineStr"/>
    </row>
    <row r="648" ht="15" customHeight="1">
      <c r="A648" t="inlineStr">
        <is>
          <t>A 56661-2021</t>
        </is>
      </c>
      <c r="B648" s="1" t="n">
        <v>44481.24327546296</v>
      </c>
      <c r="C648" s="1" t="n">
        <v>46123</v>
      </c>
      <c r="D648" t="inlineStr">
        <is>
          <t>SÖDERMANLANDS LÄN</t>
        </is>
      </c>
      <c r="E648" t="inlineStr">
        <is>
          <t>KATRINEHOLM</t>
        </is>
      </c>
      <c r="G648" t="n">
        <v>5.8</v>
      </c>
      <c r="H648" t="n">
        <v>0</v>
      </c>
      <c r="I648" t="n">
        <v>0</v>
      </c>
      <c r="J648" t="n">
        <v>0</v>
      </c>
      <c r="K648" t="n">
        <v>0</v>
      </c>
      <c r="L648" t="n">
        <v>0</v>
      </c>
      <c r="M648" t="n">
        <v>0</v>
      </c>
      <c r="N648" t="n">
        <v>0</v>
      </c>
      <c r="O648" t="n">
        <v>0</v>
      </c>
      <c r="P648" t="n">
        <v>0</v>
      </c>
      <c r="Q648" t="n">
        <v>0</v>
      </c>
      <c r="R648" s="2" t="inlineStr"/>
    </row>
    <row r="649" ht="15" customHeight="1">
      <c r="A649" t="inlineStr">
        <is>
          <t>A 7513-2026</t>
        </is>
      </c>
      <c r="B649" s="1" t="n">
        <v>46059.59083333334</v>
      </c>
      <c r="C649" s="1" t="n">
        <v>46123</v>
      </c>
      <c r="D649" t="inlineStr">
        <is>
          <t>SÖDERMANLANDS LÄN</t>
        </is>
      </c>
      <c r="E649" t="inlineStr">
        <is>
          <t>KATRINEHOLM</t>
        </is>
      </c>
      <c r="F649" t="inlineStr">
        <is>
          <t>Övriga Aktiebolag</t>
        </is>
      </c>
      <c r="G649" t="n">
        <v>5</v>
      </c>
      <c r="H649" t="n">
        <v>0</v>
      </c>
      <c r="I649" t="n">
        <v>0</v>
      </c>
      <c r="J649" t="n">
        <v>0</v>
      </c>
      <c r="K649" t="n">
        <v>0</v>
      </c>
      <c r="L649" t="n">
        <v>0</v>
      </c>
      <c r="M649" t="n">
        <v>0</v>
      </c>
      <c r="N649" t="n">
        <v>0</v>
      </c>
      <c r="O649" t="n">
        <v>0</v>
      </c>
      <c r="P649" t="n">
        <v>0</v>
      </c>
      <c r="Q649" t="n">
        <v>0</v>
      </c>
      <c r="R649" s="2" t="inlineStr"/>
    </row>
    <row r="650" ht="15" customHeight="1">
      <c r="A650" t="inlineStr">
        <is>
          <t>A 45246-2023</t>
        </is>
      </c>
      <c r="B650" s="1" t="n">
        <v>45191</v>
      </c>
      <c r="C650" s="1" t="n">
        <v>46123</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14750-2026</t>
        </is>
      </c>
      <c r="B651" s="1" t="n">
        <v>46101.6208912037</v>
      </c>
      <c r="C651" s="1" t="n">
        <v>46123</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55171-2023</t>
        </is>
      </c>
      <c r="B652" s="1" t="n">
        <v>45231</v>
      </c>
      <c r="C652" s="1" t="n">
        <v>46123</v>
      </c>
      <c r="D652" t="inlineStr">
        <is>
          <t>SÖDERMANLANDS LÄN</t>
        </is>
      </c>
      <c r="E652" t="inlineStr">
        <is>
          <t>KATRINEHOLM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27376-2024</t>
        </is>
      </c>
      <c r="B653" s="1" t="n">
        <v>45473.88313657408</v>
      </c>
      <c r="C653" s="1" t="n">
        <v>46123</v>
      </c>
      <c r="D653" t="inlineStr">
        <is>
          <t>SÖDERMANLANDS LÄN</t>
        </is>
      </c>
      <c r="E653" t="inlineStr">
        <is>
          <t>KATRINEHOLM</t>
        </is>
      </c>
      <c r="F653" t="inlineStr">
        <is>
          <t>Kommuner</t>
        </is>
      </c>
      <c r="G653" t="n">
        <v>2.8</v>
      </c>
      <c r="H653" t="n">
        <v>0</v>
      </c>
      <c r="I653" t="n">
        <v>0</v>
      </c>
      <c r="J653" t="n">
        <v>0</v>
      </c>
      <c r="K653" t="n">
        <v>0</v>
      </c>
      <c r="L653" t="n">
        <v>0</v>
      </c>
      <c r="M653" t="n">
        <v>0</v>
      </c>
      <c r="N653" t="n">
        <v>0</v>
      </c>
      <c r="O653" t="n">
        <v>0</v>
      </c>
      <c r="P653" t="n">
        <v>0</v>
      </c>
      <c r="Q653" t="n">
        <v>0</v>
      </c>
      <c r="R653" s="2" t="inlineStr"/>
    </row>
    <row r="654" ht="15" customHeight="1">
      <c r="A654" t="inlineStr">
        <is>
          <t>A 48097-2023</t>
        </is>
      </c>
      <c r="B654" s="1" t="n">
        <v>45205.31987268518</v>
      </c>
      <c r="C654" s="1" t="n">
        <v>46123</v>
      </c>
      <c r="D654" t="inlineStr">
        <is>
          <t>SÖDERMANLANDS LÄN</t>
        </is>
      </c>
      <c r="E654" t="inlineStr">
        <is>
          <t>KATRINEHOLM</t>
        </is>
      </c>
      <c r="G654" t="n">
        <v>2.3</v>
      </c>
      <c r="H654" t="n">
        <v>0</v>
      </c>
      <c r="I654" t="n">
        <v>0</v>
      </c>
      <c r="J654" t="n">
        <v>0</v>
      </c>
      <c r="K654" t="n">
        <v>0</v>
      </c>
      <c r="L654" t="n">
        <v>0</v>
      </c>
      <c r="M654" t="n">
        <v>0</v>
      </c>
      <c r="N654" t="n">
        <v>0</v>
      </c>
      <c r="O654" t="n">
        <v>0</v>
      </c>
      <c r="P654" t="n">
        <v>0</v>
      </c>
      <c r="Q654" t="n">
        <v>0</v>
      </c>
      <c r="R654" s="2" t="inlineStr"/>
    </row>
    <row r="655" ht="15" customHeight="1">
      <c r="A655" t="inlineStr">
        <is>
          <t>A 7753-2024</t>
        </is>
      </c>
      <c r="B655" s="1" t="n">
        <v>45348</v>
      </c>
      <c r="C655" s="1" t="n">
        <v>46123</v>
      </c>
      <c r="D655" t="inlineStr">
        <is>
          <t>SÖDERMANLANDS LÄN</t>
        </is>
      </c>
      <c r="E655" t="inlineStr">
        <is>
          <t>KATRINEHOLM</t>
        </is>
      </c>
      <c r="G655" t="n">
        <v>13.4</v>
      </c>
      <c r="H655" t="n">
        <v>0</v>
      </c>
      <c r="I655" t="n">
        <v>0</v>
      </c>
      <c r="J655" t="n">
        <v>0</v>
      </c>
      <c r="K655" t="n">
        <v>0</v>
      </c>
      <c r="L655" t="n">
        <v>0</v>
      </c>
      <c r="M655" t="n">
        <v>0</v>
      </c>
      <c r="N655" t="n">
        <v>0</v>
      </c>
      <c r="O655" t="n">
        <v>0</v>
      </c>
      <c r="P655" t="n">
        <v>0</v>
      </c>
      <c r="Q655" t="n">
        <v>0</v>
      </c>
      <c r="R655" s="2" t="inlineStr"/>
    </row>
    <row r="656" ht="15" customHeight="1">
      <c r="A656" t="inlineStr">
        <is>
          <t>A 14751-2026</t>
        </is>
      </c>
      <c r="B656" s="1" t="n">
        <v>46101.6220949074</v>
      </c>
      <c r="C656" s="1" t="n">
        <v>46123</v>
      </c>
      <c r="D656" t="inlineStr">
        <is>
          <t>SÖDERMANLANDS LÄN</t>
        </is>
      </c>
      <c r="E656" t="inlineStr">
        <is>
          <t>KATRINEHOLM</t>
        </is>
      </c>
      <c r="G656" t="n">
        <v>2.1</v>
      </c>
      <c r="H656" t="n">
        <v>0</v>
      </c>
      <c r="I656" t="n">
        <v>0</v>
      </c>
      <c r="J656" t="n">
        <v>0</v>
      </c>
      <c r="K656" t="n">
        <v>0</v>
      </c>
      <c r="L656" t="n">
        <v>0</v>
      </c>
      <c r="M656" t="n">
        <v>0</v>
      </c>
      <c r="N656" t="n">
        <v>0</v>
      </c>
      <c r="O656" t="n">
        <v>0</v>
      </c>
      <c r="P656" t="n">
        <v>0</v>
      </c>
      <c r="Q656" t="n">
        <v>0</v>
      </c>
      <c r="R656" s="2" t="inlineStr"/>
    </row>
    <row r="657" ht="15" customHeight="1">
      <c r="A657" t="inlineStr">
        <is>
          <t>A 14770-2026</t>
        </is>
      </c>
      <c r="B657" s="1" t="n">
        <v>46101.63951388889</v>
      </c>
      <c r="C657" s="1" t="n">
        <v>46123</v>
      </c>
      <c r="D657" t="inlineStr">
        <is>
          <t>SÖDERMANLANDS LÄN</t>
        </is>
      </c>
      <c r="E657" t="inlineStr">
        <is>
          <t>KATRINEHOLM</t>
        </is>
      </c>
      <c r="G657" t="n">
        <v>7.5</v>
      </c>
      <c r="H657" t="n">
        <v>0</v>
      </c>
      <c r="I657" t="n">
        <v>0</v>
      </c>
      <c r="J657" t="n">
        <v>0</v>
      </c>
      <c r="K657" t="n">
        <v>0</v>
      </c>
      <c r="L657" t="n">
        <v>0</v>
      </c>
      <c r="M657" t="n">
        <v>0</v>
      </c>
      <c r="N657" t="n">
        <v>0</v>
      </c>
      <c r="O657" t="n">
        <v>0</v>
      </c>
      <c r="P657" t="n">
        <v>0</v>
      </c>
      <c r="Q657" t="n">
        <v>0</v>
      </c>
      <c r="R657" s="2" t="inlineStr"/>
    </row>
    <row r="658" ht="15" customHeight="1">
      <c r="A658" t="inlineStr">
        <is>
          <t>A 15191-2026</t>
        </is>
      </c>
      <c r="B658" s="1" t="n">
        <v>46105.46846064815</v>
      </c>
      <c r="C658" s="1" t="n">
        <v>46123</v>
      </c>
      <c r="D658" t="inlineStr">
        <is>
          <t>SÖDERMANLANDS LÄN</t>
        </is>
      </c>
      <c r="E658" t="inlineStr">
        <is>
          <t>KATRINEHOLM</t>
        </is>
      </c>
      <c r="G658" t="n">
        <v>3.6</v>
      </c>
      <c r="H658" t="n">
        <v>0</v>
      </c>
      <c r="I658" t="n">
        <v>0</v>
      </c>
      <c r="J658" t="n">
        <v>0</v>
      </c>
      <c r="K658" t="n">
        <v>0</v>
      </c>
      <c r="L658" t="n">
        <v>0</v>
      </c>
      <c r="M658" t="n">
        <v>0</v>
      </c>
      <c r="N658" t="n">
        <v>0</v>
      </c>
      <c r="O658" t="n">
        <v>0</v>
      </c>
      <c r="P658" t="n">
        <v>0</v>
      </c>
      <c r="Q658" t="n">
        <v>0</v>
      </c>
      <c r="R658" s="2" t="inlineStr"/>
    </row>
    <row r="659" ht="15" customHeight="1">
      <c r="A659" t="inlineStr">
        <is>
          <t>A 61915-2021</t>
        </is>
      </c>
      <c r="B659" s="1" t="n">
        <v>44502.36780092592</v>
      </c>
      <c r="C659" s="1" t="n">
        <v>46123</v>
      </c>
      <c r="D659" t="inlineStr">
        <is>
          <t>SÖDERMANLANDS LÄN</t>
        </is>
      </c>
      <c r="E659" t="inlineStr">
        <is>
          <t>KATRINEHOLM</t>
        </is>
      </c>
      <c r="G659" t="n">
        <v>2.6</v>
      </c>
      <c r="H659" t="n">
        <v>0</v>
      </c>
      <c r="I659" t="n">
        <v>0</v>
      </c>
      <c r="J659" t="n">
        <v>0</v>
      </c>
      <c r="K659" t="n">
        <v>0</v>
      </c>
      <c r="L659" t="n">
        <v>0</v>
      </c>
      <c r="M659" t="n">
        <v>0</v>
      </c>
      <c r="N659" t="n">
        <v>0</v>
      </c>
      <c r="O659" t="n">
        <v>0</v>
      </c>
      <c r="P659" t="n">
        <v>0</v>
      </c>
      <c r="Q659" t="n">
        <v>0</v>
      </c>
      <c r="R659" s="2" t="inlineStr"/>
    </row>
    <row r="660" ht="15" customHeight="1">
      <c r="A660" t="inlineStr">
        <is>
          <t>A 55795-2023</t>
        </is>
      </c>
      <c r="B660" s="1" t="n">
        <v>45239.54861111111</v>
      </c>
      <c r="C660" s="1" t="n">
        <v>46123</v>
      </c>
      <c r="D660" t="inlineStr">
        <is>
          <t>SÖDERMANLANDS LÄN</t>
        </is>
      </c>
      <c r="E660" t="inlineStr">
        <is>
          <t>KATRINEHOLM</t>
        </is>
      </c>
      <c r="G660" t="n">
        <v>7</v>
      </c>
      <c r="H660" t="n">
        <v>0</v>
      </c>
      <c r="I660" t="n">
        <v>0</v>
      </c>
      <c r="J660" t="n">
        <v>0</v>
      </c>
      <c r="K660" t="n">
        <v>0</v>
      </c>
      <c r="L660" t="n">
        <v>0</v>
      </c>
      <c r="M660" t="n">
        <v>0</v>
      </c>
      <c r="N660" t="n">
        <v>0</v>
      </c>
      <c r="O660" t="n">
        <v>0</v>
      </c>
      <c r="P660" t="n">
        <v>0</v>
      </c>
      <c r="Q660" t="n">
        <v>0</v>
      </c>
      <c r="R660" s="2" t="inlineStr"/>
    </row>
    <row r="661" ht="15" customHeight="1">
      <c r="A661" t="inlineStr">
        <is>
          <t>A 20768-2022</t>
        </is>
      </c>
      <c r="B661" s="1" t="n">
        <v>44701.36431712963</v>
      </c>
      <c r="C661" s="1" t="n">
        <v>46123</v>
      </c>
      <c r="D661" t="inlineStr">
        <is>
          <t>SÖDERMANLANDS LÄN</t>
        </is>
      </c>
      <c r="E661" t="inlineStr">
        <is>
          <t>KATRINEHOLM</t>
        </is>
      </c>
      <c r="G661" t="n">
        <v>3.5</v>
      </c>
      <c r="H661" t="n">
        <v>0</v>
      </c>
      <c r="I661" t="n">
        <v>0</v>
      </c>
      <c r="J661" t="n">
        <v>0</v>
      </c>
      <c r="K661" t="n">
        <v>0</v>
      </c>
      <c r="L661" t="n">
        <v>0</v>
      </c>
      <c r="M661" t="n">
        <v>0</v>
      </c>
      <c r="N661" t="n">
        <v>0</v>
      </c>
      <c r="O661" t="n">
        <v>0</v>
      </c>
      <c r="P661" t="n">
        <v>0</v>
      </c>
      <c r="Q661" t="n">
        <v>0</v>
      </c>
      <c r="R661" s="2" t="inlineStr"/>
    </row>
    <row r="662" ht="15" customHeight="1">
      <c r="A662" t="inlineStr">
        <is>
          <t>A 55846-2022</t>
        </is>
      </c>
      <c r="B662" s="1" t="n">
        <v>44888</v>
      </c>
      <c r="C662" s="1" t="n">
        <v>46123</v>
      </c>
      <c r="D662" t="inlineStr">
        <is>
          <t>SÖDERMANLANDS LÄN</t>
        </is>
      </c>
      <c r="E662" t="inlineStr">
        <is>
          <t>KATRINEHOLM</t>
        </is>
      </c>
      <c r="G662" t="n">
        <v>6.5</v>
      </c>
      <c r="H662" t="n">
        <v>0</v>
      </c>
      <c r="I662" t="n">
        <v>0</v>
      </c>
      <c r="J662" t="n">
        <v>0</v>
      </c>
      <c r="K662" t="n">
        <v>0</v>
      </c>
      <c r="L662" t="n">
        <v>0</v>
      </c>
      <c r="M662" t="n">
        <v>0</v>
      </c>
      <c r="N662" t="n">
        <v>0</v>
      </c>
      <c r="O662" t="n">
        <v>0</v>
      </c>
      <c r="P662" t="n">
        <v>0</v>
      </c>
      <c r="Q662" t="n">
        <v>0</v>
      </c>
      <c r="R662" s="2" t="inlineStr"/>
    </row>
    <row r="663" ht="15" customHeight="1">
      <c r="A663" t="inlineStr">
        <is>
          <t>A 19452-2023</t>
        </is>
      </c>
      <c r="B663" s="1" t="n">
        <v>45050</v>
      </c>
      <c r="C663" s="1" t="n">
        <v>46123</v>
      </c>
      <c r="D663" t="inlineStr">
        <is>
          <t>SÖDERMANLANDS LÄN</t>
        </is>
      </c>
      <c r="E663" t="inlineStr">
        <is>
          <t>KATRINEHOLM</t>
        </is>
      </c>
      <c r="F663" t="inlineStr">
        <is>
          <t>Holmen skog AB</t>
        </is>
      </c>
      <c r="G663" t="n">
        <v>4.7</v>
      </c>
      <c r="H663" t="n">
        <v>0</v>
      </c>
      <c r="I663" t="n">
        <v>0</v>
      </c>
      <c r="J663" t="n">
        <v>0</v>
      </c>
      <c r="K663" t="n">
        <v>0</v>
      </c>
      <c r="L663" t="n">
        <v>0</v>
      </c>
      <c r="M663" t="n">
        <v>0</v>
      </c>
      <c r="N663" t="n">
        <v>0</v>
      </c>
      <c r="O663" t="n">
        <v>0</v>
      </c>
      <c r="P663" t="n">
        <v>0</v>
      </c>
      <c r="Q663" t="n">
        <v>0</v>
      </c>
      <c r="R663" s="2" t="inlineStr"/>
    </row>
    <row r="664" ht="15" customHeight="1">
      <c r="A664" t="inlineStr">
        <is>
          <t>A 31719-2024</t>
        </is>
      </c>
      <c r="B664" s="1" t="n">
        <v>45509</v>
      </c>
      <c r="C664" s="1" t="n">
        <v>46123</v>
      </c>
      <c r="D664" t="inlineStr">
        <is>
          <t>SÖDERMANLANDS LÄN</t>
        </is>
      </c>
      <c r="E664" t="inlineStr">
        <is>
          <t>KATRINEHOLM</t>
        </is>
      </c>
      <c r="F664" t="inlineStr">
        <is>
          <t>Kyrkan</t>
        </is>
      </c>
      <c r="G664" t="n">
        <v>11.9</v>
      </c>
      <c r="H664" t="n">
        <v>0</v>
      </c>
      <c r="I664" t="n">
        <v>0</v>
      </c>
      <c r="J664" t="n">
        <v>0</v>
      </c>
      <c r="K664" t="n">
        <v>0</v>
      </c>
      <c r="L664" t="n">
        <v>0</v>
      </c>
      <c r="M664" t="n">
        <v>0</v>
      </c>
      <c r="N664" t="n">
        <v>0</v>
      </c>
      <c r="O664" t="n">
        <v>0</v>
      </c>
      <c r="P664" t="n">
        <v>0</v>
      </c>
      <c r="Q664" t="n">
        <v>0</v>
      </c>
      <c r="R664" s="2" t="inlineStr"/>
    </row>
    <row r="665" ht="15" customHeight="1">
      <c r="A665" t="inlineStr">
        <is>
          <t>A 43837-2022</t>
        </is>
      </c>
      <c r="B665" s="1" t="n">
        <v>44838</v>
      </c>
      <c r="C665" s="1" t="n">
        <v>46123</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51397-2023</t>
        </is>
      </c>
      <c r="B666" s="1" t="n">
        <v>45214</v>
      </c>
      <c r="C666" s="1" t="n">
        <v>46123</v>
      </c>
      <c r="D666" t="inlineStr">
        <is>
          <t>SÖDERMANLANDS LÄN</t>
        </is>
      </c>
      <c r="E666" t="inlineStr">
        <is>
          <t>KATRINEHOLM</t>
        </is>
      </c>
      <c r="G666" t="n">
        <v>4.9</v>
      </c>
      <c r="H666" t="n">
        <v>0</v>
      </c>
      <c r="I666" t="n">
        <v>0</v>
      </c>
      <c r="J666" t="n">
        <v>0</v>
      </c>
      <c r="K666" t="n">
        <v>0</v>
      </c>
      <c r="L666" t="n">
        <v>0</v>
      </c>
      <c r="M666" t="n">
        <v>0</v>
      </c>
      <c r="N666" t="n">
        <v>0</v>
      </c>
      <c r="O666" t="n">
        <v>0</v>
      </c>
      <c r="P666" t="n">
        <v>0</v>
      </c>
      <c r="Q666" t="n">
        <v>0</v>
      </c>
      <c r="R666" s="2" t="inlineStr"/>
    </row>
    <row r="667" ht="15" customHeight="1">
      <c r="A667" t="inlineStr">
        <is>
          <t>A 19670-2022</t>
        </is>
      </c>
      <c r="B667" s="1" t="n">
        <v>44694</v>
      </c>
      <c r="C667" s="1" t="n">
        <v>46123</v>
      </c>
      <c r="D667" t="inlineStr">
        <is>
          <t>SÖDERMANLANDS LÄN</t>
        </is>
      </c>
      <c r="E667" t="inlineStr">
        <is>
          <t>KATRINEHOLM</t>
        </is>
      </c>
      <c r="G667" t="n">
        <v>13.6</v>
      </c>
      <c r="H667" t="n">
        <v>0</v>
      </c>
      <c r="I667" t="n">
        <v>0</v>
      </c>
      <c r="J667" t="n">
        <v>0</v>
      </c>
      <c r="K667" t="n">
        <v>0</v>
      </c>
      <c r="L667" t="n">
        <v>0</v>
      </c>
      <c r="M667" t="n">
        <v>0</v>
      </c>
      <c r="N667" t="n">
        <v>0</v>
      </c>
      <c r="O667" t="n">
        <v>0</v>
      </c>
      <c r="P667" t="n">
        <v>0</v>
      </c>
      <c r="Q667" t="n">
        <v>0</v>
      </c>
      <c r="R667" s="2" t="inlineStr"/>
    </row>
    <row r="668" ht="15" customHeight="1">
      <c r="A668" t="inlineStr">
        <is>
          <t>A 6606-2022</t>
        </is>
      </c>
      <c r="B668" s="1" t="n">
        <v>44601</v>
      </c>
      <c r="C668" s="1" t="n">
        <v>46123</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4122-2023</t>
        </is>
      </c>
      <c r="B669" s="1" t="n">
        <v>44952</v>
      </c>
      <c r="C669" s="1" t="n">
        <v>46123</v>
      </c>
      <c r="D669" t="inlineStr">
        <is>
          <t>SÖDERMANLANDS LÄN</t>
        </is>
      </c>
      <c r="E669" t="inlineStr">
        <is>
          <t>KATRINEHOLM</t>
        </is>
      </c>
      <c r="G669" t="n">
        <v>9</v>
      </c>
      <c r="H669" t="n">
        <v>0</v>
      </c>
      <c r="I669" t="n">
        <v>0</v>
      </c>
      <c r="J669" t="n">
        <v>0</v>
      </c>
      <c r="K669" t="n">
        <v>0</v>
      </c>
      <c r="L669" t="n">
        <v>0</v>
      </c>
      <c r="M669" t="n">
        <v>0</v>
      </c>
      <c r="N669" t="n">
        <v>0</v>
      </c>
      <c r="O669" t="n">
        <v>0</v>
      </c>
      <c r="P669" t="n">
        <v>0</v>
      </c>
      <c r="Q669" t="n">
        <v>0</v>
      </c>
      <c r="R669" s="2" t="inlineStr"/>
    </row>
    <row r="670" ht="15" customHeight="1">
      <c r="A670" t="inlineStr">
        <is>
          <t>A 23347-2023</t>
        </is>
      </c>
      <c r="B670" s="1" t="n">
        <v>45076</v>
      </c>
      <c r="C670" s="1" t="n">
        <v>46123</v>
      </c>
      <c r="D670" t="inlineStr">
        <is>
          <t>SÖDERMANLANDS LÄN</t>
        </is>
      </c>
      <c r="E670" t="inlineStr">
        <is>
          <t>KATRINEHOLM</t>
        </is>
      </c>
      <c r="G670" t="n">
        <v>4.3</v>
      </c>
      <c r="H670" t="n">
        <v>0</v>
      </c>
      <c r="I670" t="n">
        <v>0</v>
      </c>
      <c r="J670" t="n">
        <v>0</v>
      </c>
      <c r="K670" t="n">
        <v>0</v>
      </c>
      <c r="L670" t="n">
        <v>0</v>
      </c>
      <c r="M670" t="n">
        <v>0</v>
      </c>
      <c r="N670" t="n">
        <v>0</v>
      </c>
      <c r="O670" t="n">
        <v>0</v>
      </c>
      <c r="P670" t="n">
        <v>0</v>
      </c>
      <c r="Q670" t="n">
        <v>0</v>
      </c>
      <c r="R670" s="2" t="inlineStr"/>
    </row>
    <row r="671" ht="15" customHeight="1">
      <c r="A671" t="inlineStr">
        <is>
          <t>A 23916-2023</t>
        </is>
      </c>
      <c r="B671" s="1" t="n">
        <v>45075</v>
      </c>
      <c r="C671" s="1" t="n">
        <v>46123</v>
      </c>
      <c r="D671" t="inlineStr">
        <is>
          <t>SÖDERMANLANDS LÄN</t>
        </is>
      </c>
      <c r="E671" t="inlineStr">
        <is>
          <t>KATRINEHOLM</t>
        </is>
      </c>
      <c r="G671" t="n">
        <v>8</v>
      </c>
      <c r="H671" t="n">
        <v>0</v>
      </c>
      <c r="I671" t="n">
        <v>0</v>
      </c>
      <c r="J671" t="n">
        <v>0</v>
      </c>
      <c r="K671" t="n">
        <v>0</v>
      </c>
      <c r="L671" t="n">
        <v>0</v>
      </c>
      <c r="M671" t="n">
        <v>0</v>
      </c>
      <c r="N671" t="n">
        <v>0</v>
      </c>
      <c r="O671" t="n">
        <v>0</v>
      </c>
      <c r="P671" t="n">
        <v>0</v>
      </c>
      <c r="Q671" t="n">
        <v>0</v>
      </c>
      <c r="R671" s="2" t="inlineStr"/>
    </row>
    <row r="672" ht="15" customHeight="1">
      <c r="A672" t="inlineStr">
        <is>
          <t>A 33278-2024</t>
        </is>
      </c>
      <c r="B672" s="1" t="n">
        <v>45518</v>
      </c>
      <c r="C672" s="1" t="n">
        <v>46123</v>
      </c>
      <c r="D672" t="inlineStr">
        <is>
          <t>SÖDERMANLANDS LÄN</t>
        </is>
      </c>
      <c r="E672" t="inlineStr">
        <is>
          <t>KATRINEHOLM</t>
        </is>
      </c>
      <c r="G672" t="n">
        <v>2.1</v>
      </c>
      <c r="H672" t="n">
        <v>0</v>
      </c>
      <c r="I672" t="n">
        <v>0</v>
      </c>
      <c r="J672" t="n">
        <v>0</v>
      </c>
      <c r="K672" t="n">
        <v>0</v>
      </c>
      <c r="L672" t="n">
        <v>0</v>
      </c>
      <c r="M672" t="n">
        <v>0</v>
      </c>
      <c r="N672" t="n">
        <v>0</v>
      </c>
      <c r="O672" t="n">
        <v>0</v>
      </c>
      <c r="P672" t="n">
        <v>0</v>
      </c>
      <c r="Q672" t="n">
        <v>0</v>
      </c>
      <c r="R672" s="2" t="inlineStr"/>
    </row>
    <row r="673" ht="15" customHeight="1">
      <c r="A673" t="inlineStr">
        <is>
          <t>A 40186-2023</t>
        </is>
      </c>
      <c r="B673" s="1" t="n">
        <v>45169</v>
      </c>
      <c r="C673" s="1" t="n">
        <v>46123</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49700-2022</t>
        </is>
      </c>
      <c r="B674" s="1" t="n">
        <v>44862</v>
      </c>
      <c r="C674" s="1" t="n">
        <v>46123</v>
      </c>
      <c r="D674" t="inlineStr">
        <is>
          <t>SÖDERMANLANDS LÄN</t>
        </is>
      </c>
      <c r="E674" t="inlineStr">
        <is>
          <t>KATRINEHOLM</t>
        </is>
      </c>
      <c r="G674" t="n">
        <v>19.5</v>
      </c>
      <c r="H674" t="n">
        <v>0</v>
      </c>
      <c r="I674" t="n">
        <v>0</v>
      </c>
      <c r="J674" t="n">
        <v>0</v>
      </c>
      <c r="K674" t="n">
        <v>0</v>
      </c>
      <c r="L674" t="n">
        <v>0</v>
      </c>
      <c r="M674" t="n">
        <v>0</v>
      </c>
      <c r="N674" t="n">
        <v>0</v>
      </c>
      <c r="O674" t="n">
        <v>0</v>
      </c>
      <c r="P674" t="n">
        <v>0</v>
      </c>
      <c r="Q674" t="n">
        <v>0</v>
      </c>
      <c r="R674" s="2" t="inlineStr"/>
    </row>
    <row r="675" ht="15" customHeight="1">
      <c r="A675" t="inlineStr">
        <is>
          <t>A 27955-2023</t>
        </is>
      </c>
      <c r="B675" s="1" t="n">
        <v>45098</v>
      </c>
      <c r="C675" s="1" t="n">
        <v>46123</v>
      </c>
      <c r="D675" t="inlineStr">
        <is>
          <t>SÖDERMANLANDS LÄN</t>
        </is>
      </c>
      <c r="E675" t="inlineStr">
        <is>
          <t>KATRINEHOLM</t>
        </is>
      </c>
      <c r="G675" t="n">
        <v>5.9</v>
      </c>
      <c r="H675" t="n">
        <v>0</v>
      </c>
      <c r="I675" t="n">
        <v>0</v>
      </c>
      <c r="J675" t="n">
        <v>0</v>
      </c>
      <c r="K675" t="n">
        <v>0</v>
      </c>
      <c r="L675" t="n">
        <v>0</v>
      </c>
      <c r="M675" t="n">
        <v>0</v>
      </c>
      <c r="N675" t="n">
        <v>0</v>
      </c>
      <c r="O675" t="n">
        <v>0</v>
      </c>
      <c r="P675" t="n">
        <v>0</v>
      </c>
      <c r="Q675" t="n">
        <v>0</v>
      </c>
      <c r="R675" s="2" t="inlineStr"/>
    </row>
    <row r="676" ht="15" customHeight="1">
      <c r="A676" t="inlineStr">
        <is>
          <t>A 33141-2023</t>
        </is>
      </c>
      <c r="B676" s="1" t="n">
        <v>45126.65491898148</v>
      </c>
      <c r="C676" s="1" t="n">
        <v>46123</v>
      </c>
      <c r="D676" t="inlineStr">
        <is>
          <t>SÖDERMANLANDS LÄN</t>
        </is>
      </c>
      <c r="E676" t="inlineStr">
        <is>
          <t>KATRINEHOLM</t>
        </is>
      </c>
      <c r="G676" t="n">
        <v>1.4</v>
      </c>
      <c r="H676" t="n">
        <v>0</v>
      </c>
      <c r="I676" t="n">
        <v>0</v>
      </c>
      <c r="J676" t="n">
        <v>0</v>
      </c>
      <c r="K676" t="n">
        <v>0</v>
      </c>
      <c r="L676" t="n">
        <v>0</v>
      </c>
      <c r="M676" t="n">
        <v>0</v>
      </c>
      <c r="N676" t="n">
        <v>0</v>
      </c>
      <c r="O676" t="n">
        <v>0</v>
      </c>
      <c r="P676" t="n">
        <v>0</v>
      </c>
      <c r="Q676" t="n">
        <v>0</v>
      </c>
      <c r="R676" s="2" t="inlineStr"/>
    </row>
    <row r="677" ht="15" customHeight="1">
      <c r="A677" t="inlineStr">
        <is>
          <t>A 46899-2022</t>
        </is>
      </c>
      <c r="B677" s="1" t="n">
        <v>44848</v>
      </c>
      <c r="C677" s="1" t="n">
        <v>46123</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15819-2026</t>
        </is>
      </c>
      <c r="B678" s="1" t="n">
        <v>46107.53678240741</v>
      </c>
      <c r="C678" s="1" t="n">
        <v>46123</v>
      </c>
      <c r="D678" t="inlineStr">
        <is>
          <t>SÖDERMANLANDS LÄN</t>
        </is>
      </c>
      <c r="E678" t="inlineStr">
        <is>
          <t>KATRINEHOLM</t>
        </is>
      </c>
      <c r="G678" t="n">
        <v>2</v>
      </c>
      <c r="H678" t="n">
        <v>0</v>
      </c>
      <c r="I678" t="n">
        <v>0</v>
      </c>
      <c r="J678" t="n">
        <v>0</v>
      </c>
      <c r="K678" t="n">
        <v>0</v>
      </c>
      <c r="L678" t="n">
        <v>0</v>
      </c>
      <c r="M678" t="n">
        <v>0</v>
      </c>
      <c r="N678" t="n">
        <v>0</v>
      </c>
      <c r="O678" t="n">
        <v>0</v>
      </c>
      <c r="P678" t="n">
        <v>0</v>
      </c>
      <c r="Q678" t="n">
        <v>0</v>
      </c>
      <c r="R678" s="2" t="inlineStr"/>
    </row>
    <row r="679" ht="15" customHeight="1">
      <c r="A679" t="inlineStr">
        <is>
          <t>A 9714-2024</t>
        </is>
      </c>
      <c r="B679" s="1" t="n">
        <v>45362</v>
      </c>
      <c r="C679" s="1" t="n">
        <v>46123</v>
      </c>
      <c r="D679" t="inlineStr">
        <is>
          <t>SÖDERMANLANDS LÄN</t>
        </is>
      </c>
      <c r="E679" t="inlineStr">
        <is>
          <t>KATRINEHOLM</t>
        </is>
      </c>
      <c r="G679" t="n">
        <v>4</v>
      </c>
      <c r="H679" t="n">
        <v>0</v>
      </c>
      <c r="I679" t="n">
        <v>0</v>
      </c>
      <c r="J679" t="n">
        <v>0</v>
      </c>
      <c r="K679" t="n">
        <v>0</v>
      </c>
      <c r="L679" t="n">
        <v>0</v>
      </c>
      <c r="M679" t="n">
        <v>0</v>
      </c>
      <c r="N679" t="n">
        <v>0</v>
      </c>
      <c r="O679" t="n">
        <v>0</v>
      </c>
      <c r="P679" t="n">
        <v>0</v>
      </c>
      <c r="Q679" t="n">
        <v>0</v>
      </c>
      <c r="R679" s="2" t="inlineStr"/>
    </row>
    <row r="680" ht="15" customHeight="1">
      <c r="A680" t="inlineStr">
        <is>
          <t>A 39897-2023</t>
        </is>
      </c>
      <c r="B680" s="1" t="n">
        <v>45168</v>
      </c>
      <c r="C680" s="1" t="n">
        <v>46123</v>
      </c>
      <c r="D680" t="inlineStr">
        <is>
          <t>SÖDERMANLANDS LÄN</t>
        </is>
      </c>
      <c r="E680" t="inlineStr">
        <is>
          <t>KATRINEHOLM</t>
        </is>
      </c>
      <c r="G680" t="n">
        <v>15.6</v>
      </c>
      <c r="H680" t="n">
        <v>0</v>
      </c>
      <c r="I680" t="n">
        <v>0</v>
      </c>
      <c r="J680" t="n">
        <v>0</v>
      </c>
      <c r="K680" t="n">
        <v>0</v>
      </c>
      <c r="L680" t="n">
        <v>0</v>
      </c>
      <c r="M680" t="n">
        <v>0</v>
      </c>
      <c r="N680" t="n">
        <v>0</v>
      </c>
      <c r="O680" t="n">
        <v>0</v>
      </c>
      <c r="P680" t="n">
        <v>0</v>
      </c>
      <c r="Q680" t="n">
        <v>0</v>
      </c>
      <c r="R680" s="2" t="inlineStr"/>
    </row>
    <row r="681" ht="15" customHeight="1">
      <c r="A681" t="inlineStr">
        <is>
          <t>A 2735-2025</t>
        </is>
      </c>
      <c r="B681" s="1" t="n">
        <v>45677</v>
      </c>
      <c r="C681" s="1" t="n">
        <v>46123</v>
      </c>
      <c r="D681" t="inlineStr">
        <is>
          <t>SÖDERMANLANDS LÄN</t>
        </is>
      </c>
      <c r="E681" t="inlineStr">
        <is>
          <t>KATRINEHOLM</t>
        </is>
      </c>
      <c r="G681" t="n">
        <v>0.8</v>
      </c>
      <c r="H681" t="n">
        <v>0</v>
      </c>
      <c r="I681" t="n">
        <v>0</v>
      </c>
      <c r="J681" t="n">
        <v>0</v>
      </c>
      <c r="K681" t="n">
        <v>0</v>
      </c>
      <c r="L681" t="n">
        <v>0</v>
      </c>
      <c r="M681" t="n">
        <v>0</v>
      </c>
      <c r="N681" t="n">
        <v>0</v>
      </c>
      <c r="O681" t="n">
        <v>0</v>
      </c>
      <c r="P681" t="n">
        <v>0</v>
      </c>
      <c r="Q681" t="n">
        <v>0</v>
      </c>
      <c r="R681" s="2" t="inlineStr"/>
    </row>
    <row r="682" ht="15" customHeight="1">
      <c r="A682" t="inlineStr">
        <is>
          <t>A 20326-2023</t>
        </is>
      </c>
      <c r="B682" s="1" t="n">
        <v>45056.46821759259</v>
      </c>
      <c r="C682" s="1" t="n">
        <v>46123</v>
      </c>
      <c r="D682" t="inlineStr">
        <is>
          <t>SÖDERMANLANDS LÄN</t>
        </is>
      </c>
      <c r="E682" t="inlineStr">
        <is>
          <t>KATRINEHOLM</t>
        </is>
      </c>
      <c r="G682" t="n">
        <v>0.9</v>
      </c>
      <c r="H682" t="n">
        <v>0</v>
      </c>
      <c r="I682" t="n">
        <v>0</v>
      </c>
      <c r="J682" t="n">
        <v>0</v>
      </c>
      <c r="K682" t="n">
        <v>0</v>
      </c>
      <c r="L682" t="n">
        <v>0</v>
      </c>
      <c r="M682" t="n">
        <v>0</v>
      </c>
      <c r="N682" t="n">
        <v>0</v>
      </c>
      <c r="O682" t="n">
        <v>0</v>
      </c>
      <c r="P682" t="n">
        <v>0</v>
      </c>
      <c r="Q682" t="n">
        <v>0</v>
      </c>
      <c r="R682" s="2" t="inlineStr"/>
    </row>
    <row r="683" ht="15" customHeight="1">
      <c r="A683" t="inlineStr">
        <is>
          <t>A 67337-2021</t>
        </is>
      </c>
      <c r="B683" s="1" t="n">
        <v>44523</v>
      </c>
      <c r="C683" s="1" t="n">
        <v>46123</v>
      </c>
      <c r="D683" t="inlineStr">
        <is>
          <t>SÖDERMANLANDS LÄN</t>
        </is>
      </c>
      <c r="E683" t="inlineStr">
        <is>
          <t>KATRINEHOLM</t>
        </is>
      </c>
      <c r="G683" t="n">
        <v>5.2</v>
      </c>
      <c r="H683" t="n">
        <v>0</v>
      </c>
      <c r="I683" t="n">
        <v>0</v>
      </c>
      <c r="J683" t="n">
        <v>0</v>
      </c>
      <c r="K683" t="n">
        <v>0</v>
      </c>
      <c r="L683" t="n">
        <v>0</v>
      </c>
      <c r="M683" t="n">
        <v>0</v>
      </c>
      <c r="N683" t="n">
        <v>0</v>
      </c>
      <c r="O683" t="n">
        <v>0</v>
      </c>
      <c r="P683" t="n">
        <v>0</v>
      </c>
      <c r="Q683" t="n">
        <v>0</v>
      </c>
      <c r="R683" s="2" t="inlineStr"/>
    </row>
    <row r="684" ht="15" customHeight="1">
      <c r="A684" t="inlineStr">
        <is>
          <t>A 15701-2026</t>
        </is>
      </c>
      <c r="B684" s="1" t="n">
        <v>46106</v>
      </c>
      <c r="C684" s="1" t="n">
        <v>46123</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9044-2022</t>
        </is>
      </c>
      <c r="B685" s="1" t="n">
        <v>44602</v>
      </c>
      <c r="C685" s="1" t="n">
        <v>46123</v>
      </c>
      <c r="D685" t="inlineStr">
        <is>
          <t>SÖDERMANLANDS LÄN</t>
        </is>
      </c>
      <c r="E685" t="inlineStr">
        <is>
          <t>KATRINEHOLM</t>
        </is>
      </c>
      <c r="G685" t="n">
        <v>5.8</v>
      </c>
      <c r="H685" t="n">
        <v>0</v>
      </c>
      <c r="I685" t="n">
        <v>0</v>
      </c>
      <c r="J685" t="n">
        <v>0</v>
      </c>
      <c r="K685" t="n">
        <v>0</v>
      </c>
      <c r="L685" t="n">
        <v>0</v>
      </c>
      <c r="M685" t="n">
        <v>0</v>
      </c>
      <c r="N685" t="n">
        <v>0</v>
      </c>
      <c r="O685" t="n">
        <v>0</v>
      </c>
      <c r="P685" t="n">
        <v>0</v>
      </c>
      <c r="Q685" t="n">
        <v>0</v>
      </c>
      <c r="R685" s="2" t="inlineStr"/>
    </row>
    <row r="686" ht="15" customHeight="1">
      <c r="A686" t="inlineStr">
        <is>
          <t>A 69117-2021</t>
        </is>
      </c>
      <c r="B686" s="1" t="n">
        <v>44530.82445601852</v>
      </c>
      <c r="C686" s="1" t="n">
        <v>46123</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12559-2023</t>
        </is>
      </c>
      <c r="B687" s="1" t="n">
        <v>45000.36373842593</v>
      </c>
      <c r="C687" s="1" t="n">
        <v>46123</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6722-2022</t>
        </is>
      </c>
      <c r="B688" s="1" t="n">
        <v>44602</v>
      </c>
      <c r="C688" s="1" t="n">
        <v>46123</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11872-2023</t>
        </is>
      </c>
      <c r="B689" s="1" t="n">
        <v>44995</v>
      </c>
      <c r="C689" s="1" t="n">
        <v>46123</v>
      </c>
      <c r="D689" t="inlineStr">
        <is>
          <t>SÖDERMANLANDS LÄN</t>
        </is>
      </c>
      <c r="E689" t="inlineStr">
        <is>
          <t>KATRINEHOLM</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51848-2022</t>
        </is>
      </c>
      <c r="B690" s="1" t="n">
        <v>44872.57752314815</v>
      </c>
      <c r="C690" s="1" t="n">
        <v>46123</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16432-2026</t>
        </is>
      </c>
      <c r="B691" s="1" t="n">
        <v>46111.81027777777</v>
      </c>
      <c r="C691" s="1" t="n">
        <v>46123</v>
      </c>
      <c r="D691" t="inlineStr">
        <is>
          <t>SÖDERMANLANDS LÄN</t>
        </is>
      </c>
      <c r="E691" t="inlineStr">
        <is>
          <t>KATRINEHOLM</t>
        </is>
      </c>
      <c r="G691" t="n">
        <v>2.2</v>
      </c>
      <c r="H691" t="n">
        <v>0</v>
      </c>
      <c r="I691" t="n">
        <v>0</v>
      </c>
      <c r="J691" t="n">
        <v>0</v>
      </c>
      <c r="K691" t="n">
        <v>0</v>
      </c>
      <c r="L691" t="n">
        <v>0</v>
      </c>
      <c r="M691" t="n">
        <v>0</v>
      </c>
      <c r="N691" t="n">
        <v>0</v>
      </c>
      <c r="O691" t="n">
        <v>0</v>
      </c>
      <c r="P691" t="n">
        <v>0</v>
      </c>
      <c r="Q691" t="n">
        <v>0</v>
      </c>
      <c r="R691" s="2" t="inlineStr"/>
    </row>
    <row r="692" ht="15" customHeight="1">
      <c r="A692" t="inlineStr">
        <is>
          <t>A 16113-2026</t>
        </is>
      </c>
      <c r="B692" s="1" t="n">
        <v>46108</v>
      </c>
      <c r="C692" s="1" t="n">
        <v>46123</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16087-2023</t>
        </is>
      </c>
      <c r="B693" s="1" t="n">
        <v>45026</v>
      </c>
      <c r="C693" s="1" t="n">
        <v>46123</v>
      </c>
      <c r="D693" t="inlineStr">
        <is>
          <t>SÖDERMANLANDS LÄN</t>
        </is>
      </c>
      <c r="E693" t="inlineStr">
        <is>
          <t>KATRINEHOLM</t>
        </is>
      </c>
      <c r="G693" t="n">
        <v>2</v>
      </c>
      <c r="H693" t="n">
        <v>0</v>
      </c>
      <c r="I693" t="n">
        <v>0</v>
      </c>
      <c r="J693" t="n">
        <v>0</v>
      </c>
      <c r="K693" t="n">
        <v>0</v>
      </c>
      <c r="L693" t="n">
        <v>0</v>
      </c>
      <c r="M693" t="n">
        <v>0</v>
      </c>
      <c r="N693" t="n">
        <v>0</v>
      </c>
      <c r="O693" t="n">
        <v>0</v>
      </c>
      <c r="P693" t="n">
        <v>0</v>
      </c>
      <c r="Q693" t="n">
        <v>0</v>
      </c>
      <c r="R693" s="2" t="inlineStr"/>
    </row>
    <row r="694" ht="15" customHeight="1">
      <c r="A694" t="inlineStr">
        <is>
          <t>A 21959-2022</t>
        </is>
      </c>
      <c r="B694" s="1" t="n">
        <v>44708</v>
      </c>
      <c r="C694" s="1" t="n">
        <v>46123</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42451-2023</t>
        </is>
      </c>
      <c r="B695" s="1" t="n">
        <v>45180</v>
      </c>
      <c r="C695" s="1" t="n">
        <v>46123</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22506-2023</t>
        </is>
      </c>
      <c r="B696" s="1" t="n">
        <v>45071.37393518518</v>
      </c>
      <c r="C696" s="1" t="n">
        <v>46123</v>
      </c>
      <c r="D696" t="inlineStr">
        <is>
          <t>SÖDERMANLANDS LÄN</t>
        </is>
      </c>
      <c r="E696" t="inlineStr">
        <is>
          <t>KATRINEHOLM</t>
        </is>
      </c>
      <c r="F696" t="inlineStr">
        <is>
          <t>Kyrkan</t>
        </is>
      </c>
      <c r="G696" t="n">
        <v>5.9</v>
      </c>
      <c r="H696" t="n">
        <v>0</v>
      </c>
      <c r="I696" t="n">
        <v>0</v>
      </c>
      <c r="J696" t="n">
        <v>0</v>
      </c>
      <c r="K696" t="n">
        <v>0</v>
      </c>
      <c r="L696" t="n">
        <v>0</v>
      </c>
      <c r="M696" t="n">
        <v>0</v>
      </c>
      <c r="N696" t="n">
        <v>0</v>
      </c>
      <c r="O696" t="n">
        <v>0</v>
      </c>
      <c r="P696" t="n">
        <v>0</v>
      </c>
      <c r="Q696" t="n">
        <v>0</v>
      </c>
      <c r="R696" s="2" t="inlineStr"/>
    </row>
    <row r="697" ht="15" customHeight="1">
      <c r="A697" t="inlineStr">
        <is>
          <t>A 26713-2024</t>
        </is>
      </c>
      <c r="B697" s="1" t="n">
        <v>45470</v>
      </c>
      <c r="C697" s="1" t="n">
        <v>46123</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1151-2025</t>
        </is>
      </c>
      <c r="B698" s="1" t="n">
        <v>45666</v>
      </c>
      <c r="C698" s="1" t="n">
        <v>46123</v>
      </c>
      <c r="D698" t="inlineStr">
        <is>
          <t>SÖDERMANLANDS LÄN</t>
        </is>
      </c>
      <c r="E698" t="inlineStr">
        <is>
          <t>KATRINEHOLM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36133-2021</t>
        </is>
      </c>
      <c r="B699" s="1" t="n">
        <v>44386</v>
      </c>
      <c r="C699" s="1" t="n">
        <v>46123</v>
      </c>
      <c r="D699" t="inlineStr">
        <is>
          <t>SÖDERMANLANDS LÄN</t>
        </is>
      </c>
      <c r="E699" t="inlineStr">
        <is>
          <t>KATRINEHOLM</t>
        </is>
      </c>
      <c r="F699" t="inlineStr">
        <is>
          <t>Övriga Aktiebolag</t>
        </is>
      </c>
      <c r="G699" t="n">
        <v>8.9</v>
      </c>
      <c r="H699" t="n">
        <v>0</v>
      </c>
      <c r="I699" t="n">
        <v>0</v>
      </c>
      <c r="J699" t="n">
        <v>0</v>
      </c>
      <c r="K699" t="n">
        <v>0</v>
      </c>
      <c r="L699" t="n">
        <v>0</v>
      </c>
      <c r="M699" t="n">
        <v>0</v>
      </c>
      <c r="N699" t="n">
        <v>0</v>
      </c>
      <c r="O699" t="n">
        <v>0</v>
      </c>
      <c r="P699" t="n">
        <v>0</v>
      </c>
      <c r="Q699" t="n">
        <v>0</v>
      </c>
      <c r="R699" s="2" t="inlineStr"/>
    </row>
    <row r="700" ht="15" customHeight="1">
      <c r="A700" t="inlineStr">
        <is>
          <t>A 50017-2023</t>
        </is>
      </c>
      <c r="B700" s="1" t="n">
        <v>45215</v>
      </c>
      <c r="C700" s="1" t="n">
        <v>46123</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50018-2023</t>
        </is>
      </c>
      <c r="B701" s="1" t="n">
        <v>45215</v>
      </c>
      <c r="C701" s="1" t="n">
        <v>46123</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29843-2023</t>
        </is>
      </c>
      <c r="B702" s="1" t="n">
        <v>45107</v>
      </c>
      <c r="C702" s="1" t="n">
        <v>46123</v>
      </c>
      <c r="D702" t="inlineStr">
        <is>
          <t>SÖDERMANLANDS LÄN</t>
        </is>
      </c>
      <c r="E702" t="inlineStr">
        <is>
          <t>KATRINEHOLM</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56628-2021</t>
        </is>
      </c>
      <c r="B703" s="1" t="n">
        <v>44480</v>
      </c>
      <c r="C703" s="1" t="n">
        <v>46123</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62418-2023</t>
        </is>
      </c>
      <c r="B704" s="1" t="n">
        <v>45268</v>
      </c>
      <c r="C704" s="1" t="n">
        <v>46123</v>
      </c>
      <c r="D704" t="inlineStr">
        <is>
          <t>SÖDERMANLANDS LÄN</t>
        </is>
      </c>
      <c r="E704" t="inlineStr">
        <is>
          <t>KATRINEHOLM</t>
        </is>
      </c>
      <c r="G704" t="n">
        <v>3</v>
      </c>
      <c r="H704" t="n">
        <v>0</v>
      </c>
      <c r="I704" t="n">
        <v>0</v>
      </c>
      <c r="J704" t="n">
        <v>0</v>
      </c>
      <c r="K704" t="n">
        <v>0</v>
      </c>
      <c r="L704" t="n">
        <v>0</v>
      </c>
      <c r="M704" t="n">
        <v>0</v>
      </c>
      <c r="N704" t="n">
        <v>0</v>
      </c>
      <c r="O704" t="n">
        <v>0</v>
      </c>
      <c r="P704" t="n">
        <v>0</v>
      </c>
      <c r="Q704" t="n">
        <v>0</v>
      </c>
      <c r="R704" s="2" t="inlineStr"/>
    </row>
    <row r="705" ht="15" customHeight="1">
      <c r="A705" t="inlineStr">
        <is>
          <t>A 48091-2024</t>
        </is>
      </c>
      <c r="B705" s="1" t="n">
        <v>45590</v>
      </c>
      <c r="C705" s="1" t="n">
        <v>46123</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48160-2022</t>
        </is>
      </c>
      <c r="B706" s="1" t="n">
        <v>44853</v>
      </c>
      <c r="C706" s="1" t="n">
        <v>46123</v>
      </c>
      <c r="D706" t="inlineStr">
        <is>
          <t>SÖDERMANLANDS LÄN</t>
        </is>
      </c>
      <c r="E706" t="inlineStr">
        <is>
          <t>KATRINEHOLM</t>
        </is>
      </c>
      <c r="F706" t="inlineStr">
        <is>
          <t>Övriga statliga verk och myndigheter</t>
        </is>
      </c>
      <c r="G706" t="n">
        <v>2.2</v>
      </c>
      <c r="H706" t="n">
        <v>0</v>
      </c>
      <c r="I706" t="n">
        <v>0</v>
      </c>
      <c r="J706" t="n">
        <v>0</v>
      </c>
      <c r="K706" t="n">
        <v>0</v>
      </c>
      <c r="L706" t="n">
        <v>0</v>
      </c>
      <c r="M706" t="n">
        <v>0</v>
      </c>
      <c r="N706" t="n">
        <v>0</v>
      </c>
      <c r="O706" t="n">
        <v>0</v>
      </c>
      <c r="P706" t="n">
        <v>0</v>
      </c>
      <c r="Q706" t="n">
        <v>0</v>
      </c>
      <c r="R706" s="2" t="inlineStr"/>
    </row>
    <row r="707" ht="15" customHeight="1">
      <c r="A707" t="inlineStr">
        <is>
          <t>A 18339-2023</t>
        </is>
      </c>
      <c r="B707" s="1" t="n">
        <v>45041</v>
      </c>
      <c r="C707" s="1" t="n">
        <v>46123</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20460-2025</t>
        </is>
      </c>
      <c r="B708" s="1" t="n">
        <v>45775.52854166667</v>
      </c>
      <c r="C708" s="1" t="n">
        <v>46123</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49092-2024</t>
        </is>
      </c>
      <c r="B709" s="1" t="n">
        <v>45594.63619212963</v>
      </c>
      <c r="C709" s="1" t="n">
        <v>46123</v>
      </c>
      <c r="D709" t="inlineStr">
        <is>
          <t>SÖDERMANLANDS LÄN</t>
        </is>
      </c>
      <c r="E709" t="inlineStr">
        <is>
          <t>KATRINEHOLM</t>
        </is>
      </c>
      <c r="F709" t="inlineStr">
        <is>
          <t>Övriga Aktiebolag</t>
        </is>
      </c>
      <c r="G709" t="n">
        <v>0.4</v>
      </c>
      <c r="H709" t="n">
        <v>0</v>
      </c>
      <c r="I709" t="n">
        <v>0</v>
      </c>
      <c r="J709" t="n">
        <v>0</v>
      </c>
      <c r="K709" t="n">
        <v>0</v>
      </c>
      <c r="L709" t="n">
        <v>0</v>
      </c>
      <c r="M709" t="n">
        <v>0</v>
      </c>
      <c r="N709" t="n">
        <v>0</v>
      </c>
      <c r="O709" t="n">
        <v>0</v>
      </c>
      <c r="P709" t="n">
        <v>0</v>
      </c>
      <c r="Q709" t="n">
        <v>0</v>
      </c>
      <c r="R709" s="2" t="inlineStr"/>
    </row>
    <row r="710" ht="15" customHeight="1">
      <c r="A710" t="inlineStr">
        <is>
          <t>A 49095-2024</t>
        </is>
      </c>
      <c r="B710" s="1" t="n">
        <v>45594.63828703704</v>
      </c>
      <c r="C710" s="1" t="n">
        <v>46123</v>
      </c>
      <c r="D710" t="inlineStr">
        <is>
          <t>SÖDERMANLANDS LÄN</t>
        </is>
      </c>
      <c r="E710" t="inlineStr">
        <is>
          <t>KATRINEHOLM</t>
        </is>
      </c>
      <c r="F710" t="inlineStr">
        <is>
          <t>Övriga Aktiebolag</t>
        </is>
      </c>
      <c r="G710" t="n">
        <v>0.4</v>
      </c>
      <c r="H710" t="n">
        <v>0</v>
      </c>
      <c r="I710" t="n">
        <v>0</v>
      </c>
      <c r="J710" t="n">
        <v>0</v>
      </c>
      <c r="K710" t="n">
        <v>0</v>
      </c>
      <c r="L710" t="n">
        <v>0</v>
      </c>
      <c r="M710" t="n">
        <v>0</v>
      </c>
      <c r="N710" t="n">
        <v>0</v>
      </c>
      <c r="O710" t="n">
        <v>0</v>
      </c>
      <c r="P710" t="n">
        <v>0</v>
      </c>
      <c r="Q710" t="n">
        <v>0</v>
      </c>
      <c r="R710" s="2" t="inlineStr"/>
    </row>
    <row r="711" ht="15" customHeight="1">
      <c r="A711" t="inlineStr">
        <is>
          <t>A 55172-2022</t>
        </is>
      </c>
      <c r="B711" s="1" t="n">
        <v>44886</v>
      </c>
      <c r="C711" s="1" t="n">
        <v>46123</v>
      </c>
      <c r="D711" t="inlineStr">
        <is>
          <t>SÖDERMANLANDS LÄN</t>
        </is>
      </c>
      <c r="E711" t="inlineStr">
        <is>
          <t>KATRINEHOLM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50935-2023</t>
        </is>
      </c>
      <c r="B712" s="1" t="n">
        <v>45211</v>
      </c>
      <c r="C712" s="1" t="n">
        <v>46123</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10086-2026</t>
        </is>
      </c>
      <c r="B713" s="1" t="n">
        <v>46073.68959490741</v>
      </c>
      <c r="C713" s="1" t="n">
        <v>46123</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24619-2024</t>
        </is>
      </c>
      <c r="B714" s="1" t="n">
        <v>45460</v>
      </c>
      <c r="C714" s="1" t="n">
        <v>46123</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53843-2023</t>
        </is>
      </c>
      <c r="B715" s="1" t="n">
        <v>45230</v>
      </c>
      <c r="C715" s="1" t="n">
        <v>46123</v>
      </c>
      <c r="D715" t="inlineStr">
        <is>
          <t>SÖDERMANLANDS LÄN</t>
        </is>
      </c>
      <c r="E715" t="inlineStr">
        <is>
          <t>KATRINEHOLM</t>
        </is>
      </c>
      <c r="G715" t="n">
        <v>14.2</v>
      </c>
      <c r="H715" t="n">
        <v>0</v>
      </c>
      <c r="I715" t="n">
        <v>0</v>
      </c>
      <c r="J715" t="n">
        <v>0</v>
      </c>
      <c r="K715" t="n">
        <v>0</v>
      </c>
      <c r="L715" t="n">
        <v>0</v>
      </c>
      <c r="M715" t="n">
        <v>0</v>
      </c>
      <c r="N715" t="n">
        <v>0</v>
      </c>
      <c r="O715" t="n">
        <v>0</v>
      </c>
      <c r="P715" t="n">
        <v>0</v>
      </c>
      <c r="Q715" t="n">
        <v>0</v>
      </c>
      <c r="R715" s="2" t="inlineStr"/>
    </row>
    <row r="716" ht="15" customHeight="1">
      <c r="A716" t="inlineStr">
        <is>
          <t>A 22295-2024</t>
        </is>
      </c>
      <c r="B716" s="1" t="n">
        <v>45446.56141203704</v>
      </c>
      <c r="C716" s="1" t="n">
        <v>46123</v>
      </c>
      <c r="D716" t="inlineStr">
        <is>
          <t>SÖDERMANLANDS LÄN</t>
        </is>
      </c>
      <c r="E716" t="inlineStr">
        <is>
          <t>KATRINEHOLM</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22272-2022</t>
        </is>
      </c>
      <c r="B717" s="1" t="n">
        <v>44712</v>
      </c>
      <c r="C717" s="1" t="n">
        <v>46123</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53715-2023</t>
        </is>
      </c>
      <c r="B718" s="1" t="n">
        <v>45230</v>
      </c>
      <c r="C718" s="1" t="n">
        <v>46123</v>
      </c>
      <c r="D718" t="inlineStr">
        <is>
          <t>SÖDERMANLANDS LÄN</t>
        </is>
      </c>
      <c r="E718" t="inlineStr">
        <is>
          <t>KATRINEHOLM</t>
        </is>
      </c>
      <c r="F718" t="inlineStr">
        <is>
          <t>Allmännings- och besparingsskogar</t>
        </is>
      </c>
      <c r="G718" t="n">
        <v>5.6</v>
      </c>
      <c r="H718" t="n">
        <v>0</v>
      </c>
      <c r="I718" t="n">
        <v>0</v>
      </c>
      <c r="J718" t="n">
        <v>0</v>
      </c>
      <c r="K718" t="n">
        <v>0</v>
      </c>
      <c r="L718" t="n">
        <v>0</v>
      </c>
      <c r="M718" t="n">
        <v>0</v>
      </c>
      <c r="N718" t="n">
        <v>0</v>
      </c>
      <c r="O718" t="n">
        <v>0</v>
      </c>
      <c r="P718" t="n">
        <v>0</v>
      </c>
      <c r="Q718" t="n">
        <v>0</v>
      </c>
      <c r="R718" s="2" t="inlineStr"/>
    </row>
    <row r="719" ht="15" customHeight="1">
      <c r="A719" t="inlineStr">
        <is>
          <t>A 58175-2024</t>
        </is>
      </c>
      <c r="B719" s="1" t="n">
        <v>45632.46648148148</v>
      </c>
      <c r="C719" s="1" t="n">
        <v>46123</v>
      </c>
      <c r="D719" t="inlineStr">
        <is>
          <t>SÖDERMANLANDS LÄN</t>
        </is>
      </c>
      <c r="E719" t="inlineStr">
        <is>
          <t>KATRINEHOLM</t>
        </is>
      </c>
      <c r="G719" t="n">
        <v>1.3</v>
      </c>
      <c r="H719" t="n">
        <v>0</v>
      </c>
      <c r="I719" t="n">
        <v>0</v>
      </c>
      <c r="J719" t="n">
        <v>0</v>
      </c>
      <c r="K719" t="n">
        <v>0</v>
      </c>
      <c r="L719" t="n">
        <v>0</v>
      </c>
      <c r="M719" t="n">
        <v>0</v>
      </c>
      <c r="N719" t="n">
        <v>0</v>
      </c>
      <c r="O719" t="n">
        <v>0</v>
      </c>
      <c r="P719" t="n">
        <v>0</v>
      </c>
      <c r="Q719" t="n">
        <v>0</v>
      </c>
      <c r="R719" s="2" t="inlineStr"/>
    </row>
    <row r="720" ht="15" customHeight="1">
      <c r="A720" t="inlineStr">
        <is>
          <t>A 59474-2021</t>
        </is>
      </c>
      <c r="B720" s="1" t="n">
        <v>44491</v>
      </c>
      <c r="C720" s="1" t="n">
        <v>46123</v>
      </c>
      <c r="D720" t="inlineStr">
        <is>
          <t>SÖDERMANLANDS LÄN</t>
        </is>
      </c>
      <c r="E720" t="inlineStr">
        <is>
          <t>KATRINEHOLM</t>
        </is>
      </c>
      <c r="G720" t="n">
        <v>2.7</v>
      </c>
      <c r="H720" t="n">
        <v>0</v>
      </c>
      <c r="I720" t="n">
        <v>0</v>
      </c>
      <c r="J720" t="n">
        <v>0</v>
      </c>
      <c r="K720" t="n">
        <v>0</v>
      </c>
      <c r="L720" t="n">
        <v>0</v>
      </c>
      <c r="M720" t="n">
        <v>0</v>
      </c>
      <c r="N720" t="n">
        <v>0</v>
      </c>
      <c r="O720" t="n">
        <v>0</v>
      </c>
      <c r="P720" t="n">
        <v>0</v>
      </c>
      <c r="Q720" t="n">
        <v>0</v>
      </c>
      <c r="R720" s="2" t="inlineStr"/>
    </row>
    <row r="721" ht="15" customHeight="1">
      <c r="A721" t="inlineStr">
        <is>
          <t>A 51923-2023</t>
        </is>
      </c>
      <c r="B721" s="1" t="n">
        <v>45223</v>
      </c>
      <c r="C721" s="1" t="n">
        <v>46123</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27875-2024</t>
        </is>
      </c>
      <c r="B722" s="1" t="n">
        <v>45475</v>
      </c>
      <c r="C722" s="1" t="n">
        <v>46123</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43088-2022</t>
        </is>
      </c>
      <c r="B723" s="1" t="n">
        <v>44833</v>
      </c>
      <c r="C723" s="1" t="n">
        <v>46123</v>
      </c>
      <c r="D723" t="inlineStr">
        <is>
          <t>SÖDERMANLANDS LÄN</t>
        </is>
      </c>
      <c r="E723" t="inlineStr">
        <is>
          <t>KATRINEHOLM</t>
        </is>
      </c>
      <c r="G723" t="n">
        <v>6.6</v>
      </c>
      <c r="H723" t="n">
        <v>0</v>
      </c>
      <c r="I723" t="n">
        <v>0</v>
      </c>
      <c r="J723" t="n">
        <v>0</v>
      </c>
      <c r="K723" t="n">
        <v>0</v>
      </c>
      <c r="L723" t="n">
        <v>0</v>
      </c>
      <c r="M723" t="n">
        <v>0</v>
      </c>
      <c r="N723" t="n">
        <v>0</v>
      </c>
      <c r="O723" t="n">
        <v>0</v>
      </c>
      <c r="P723" t="n">
        <v>0</v>
      </c>
      <c r="Q723" t="n">
        <v>0</v>
      </c>
      <c r="R723" s="2" t="inlineStr"/>
    </row>
    <row r="724" ht="15" customHeight="1">
      <c r="A724" t="inlineStr">
        <is>
          <t>A 52658-2023</t>
        </is>
      </c>
      <c r="B724" s="1" t="n">
        <v>45225</v>
      </c>
      <c r="C724" s="1" t="n">
        <v>46123</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10892-2026</t>
        </is>
      </c>
      <c r="B725" s="1" t="n">
        <v>46078.8040625</v>
      </c>
      <c r="C725" s="1" t="n">
        <v>46123</v>
      </c>
      <c r="D725" t="inlineStr">
        <is>
          <t>SÖDERMANLANDS LÄN</t>
        </is>
      </c>
      <c r="E725" t="inlineStr">
        <is>
          <t>KATRINEHOLM</t>
        </is>
      </c>
      <c r="F725" t="inlineStr">
        <is>
          <t>Allmännings- och besparingsskogar</t>
        </is>
      </c>
      <c r="G725" t="n">
        <v>3</v>
      </c>
      <c r="H725" t="n">
        <v>0</v>
      </c>
      <c r="I725" t="n">
        <v>0</v>
      </c>
      <c r="J725" t="n">
        <v>0</v>
      </c>
      <c r="K725" t="n">
        <v>0</v>
      </c>
      <c r="L725" t="n">
        <v>0</v>
      </c>
      <c r="M725" t="n">
        <v>0</v>
      </c>
      <c r="N725" t="n">
        <v>0</v>
      </c>
      <c r="O725" t="n">
        <v>0</v>
      </c>
      <c r="P725" t="n">
        <v>0</v>
      </c>
      <c r="Q725" t="n">
        <v>0</v>
      </c>
      <c r="R725" s="2" t="inlineStr"/>
    </row>
    <row r="726" ht="15" customHeight="1">
      <c r="A726" t="inlineStr">
        <is>
          <t>A 13848-2026</t>
        </is>
      </c>
      <c r="B726" s="1" t="n">
        <v>46098.38704861111</v>
      </c>
      <c r="C726" s="1" t="n">
        <v>46123</v>
      </c>
      <c r="D726" t="inlineStr">
        <is>
          <t>SÖDERMANLANDS LÄN</t>
        </is>
      </c>
      <c r="E726" t="inlineStr">
        <is>
          <t>KATRINEHOLM</t>
        </is>
      </c>
      <c r="G726" t="n">
        <v>3.1</v>
      </c>
      <c r="H726" t="n">
        <v>0</v>
      </c>
      <c r="I726" t="n">
        <v>0</v>
      </c>
      <c r="J726" t="n">
        <v>0</v>
      </c>
      <c r="K726" t="n">
        <v>0</v>
      </c>
      <c r="L726" t="n">
        <v>0</v>
      </c>
      <c r="M726" t="n">
        <v>0</v>
      </c>
      <c r="N726" t="n">
        <v>0</v>
      </c>
      <c r="O726" t="n">
        <v>0</v>
      </c>
      <c r="P726" t="n">
        <v>0</v>
      </c>
      <c r="Q726" t="n">
        <v>0</v>
      </c>
      <c r="R726" s="2" t="inlineStr"/>
    </row>
    <row r="727" ht="15" customHeight="1">
      <c r="A727" t="inlineStr">
        <is>
          <t>A 61385-2023</t>
        </is>
      </c>
      <c r="B727" s="1" t="n">
        <v>45264.64241898148</v>
      </c>
      <c r="C727" s="1" t="n">
        <v>46123</v>
      </c>
      <c r="D727" t="inlineStr">
        <is>
          <t>SÖDERMANLANDS LÄN</t>
        </is>
      </c>
      <c r="E727" t="inlineStr">
        <is>
          <t>KATRINEHOLM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46123</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10932-2023</t>
        </is>
      </c>
      <c r="B729" s="1" t="n">
        <v>44985</v>
      </c>
      <c r="C729" s="1" t="n">
        <v>46123</v>
      </c>
      <c r="D729" t="inlineStr">
        <is>
          <t>SÖDERMANLANDS LÄN</t>
        </is>
      </c>
      <c r="E729" t="inlineStr">
        <is>
          <t>KATRINEHOLM</t>
        </is>
      </c>
      <c r="G729" t="n">
        <v>1.8</v>
      </c>
      <c r="H729" t="n">
        <v>0</v>
      </c>
      <c r="I729" t="n">
        <v>0</v>
      </c>
      <c r="J729" t="n">
        <v>0</v>
      </c>
      <c r="K729" t="n">
        <v>0</v>
      </c>
      <c r="L729" t="n">
        <v>0</v>
      </c>
      <c r="M729" t="n">
        <v>0</v>
      </c>
      <c r="N729" t="n">
        <v>0</v>
      </c>
      <c r="O729" t="n">
        <v>0</v>
      </c>
      <c r="P729" t="n">
        <v>0</v>
      </c>
      <c r="Q729" t="n">
        <v>0</v>
      </c>
      <c r="R729" s="2" t="inlineStr"/>
    </row>
    <row r="730" ht="15" customHeight="1">
      <c r="A730" t="inlineStr">
        <is>
          <t>A 11130-2026</t>
        </is>
      </c>
      <c r="B730" s="1" t="n">
        <v>46079.70384259259</v>
      </c>
      <c r="C730" s="1" t="n">
        <v>46123</v>
      </c>
      <c r="D730" t="inlineStr">
        <is>
          <t>SÖDERMANLANDS LÄN</t>
        </is>
      </c>
      <c r="E730" t="inlineStr">
        <is>
          <t>KATRINEHOLM</t>
        </is>
      </c>
      <c r="F730" t="inlineStr">
        <is>
          <t>Kommuner</t>
        </is>
      </c>
      <c r="G730" t="n">
        <v>1.5</v>
      </c>
      <c r="H730" t="n">
        <v>0</v>
      </c>
      <c r="I730" t="n">
        <v>0</v>
      </c>
      <c r="J730" t="n">
        <v>0</v>
      </c>
      <c r="K730" t="n">
        <v>0</v>
      </c>
      <c r="L730" t="n">
        <v>0</v>
      </c>
      <c r="M730" t="n">
        <v>0</v>
      </c>
      <c r="N730" t="n">
        <v>0</v>
      </c>
      <c r="O730" t="n">
        <v>0</v>
      </c>
      <c r="P730" t="n">
        <v>0</v>
      </c>
      <c r="Q730" t="n">
        <v>0</v>
      </c>
      <c r="R730" s="2" t="inlineStr"/>
    </row>
    <row r="731" ht="15" customHeight="1">
      <c r="A731" t="inlineStr">
        <is>
          <t>A 36767-2022</t>
        </is>
      </c>
      <c r="B731" s="1" t="n">
        <v>44805</v>
      </c>
      <c r="C731" s="1" t="n">
        <v>46123</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5834-2025</t>
        </is>
      </c>
      <c r="B732" s="1" t="n">
        <v>45694</v>
      </c>
      <c r="C732" s="1" t="n">
        <v>46123</v>
      </c>
      <c r="D732" t="inlineStr">
        <is>
          <t>SÖDERMANLANDS LÄN</t>
        </is>
      </c>
      <c r="E732" t="inlineStr">
        <is>
          <t>KATRINEHOLM</t>
        </is>
      </c>
      <c r="G732" t="n">
        <v>3.3</v>
      </c>
      <c r="H732" t="n">
        <v>0</v>
      </c>
      <c r="I732" t="n">
        <v>0</v>
      </c>
      <c r="J732" t="n">
        <v>0</v>
      </c>
      <c r="K732" t="n">
        <v>0</v>
      </c>
      <c r="L732" t="n">
        <v>0</v>
      </c>
      <c r="M732" t="n">
        <v>0</v>
      </c>
      <c r="N732" t="n">
        <v>0</v>
      </c>
      <c r="O732" t="n">
        <v>0</v>
      </c>
      <c r="P732" t="n">
        <v>0</v>
      </c>
      <c r="Q732" t="n">
        <v>0</v>
      </c>
      <c r="R732" s="2" t="inlineStr"/>
    </row>
    <row r="733" ht="15" customHeight="1">
      <c r="A733" t="inlineStr">
        <is>
          <t>A 10891-2026</t>
        </is>
      </c>
      <c r="B733" s="1" t="n">
        <v>46078.78545138889</v>
      </c>
      <c r="C733" s="1" t="n">
        <v>46123</v>
      </c>
      <c r="D733" t="inlineStr">
        <is>
          <t>SÖDERMANLANDS LÄN</t>
        </is>
      </c>
      <c r="E733" t="inlineStr">
        <is>
          <t>KATRINEHOLM</t>
        </is>
      </c>
      <c r="F733" t="inlineStr">
        <is>
          <t>Allmännings- och besparingsskogar</t>
        </is>
      </c>
      <c r="G733" t="n">
        <v>1.6</v>
      </c>
      <c r="H733" t="n">
        <v>0</v>
      </c>
      <c r="I733" t="n">
        <v>0</v>
      </c>
      <c r="J733" t="n">
        <v>0</v>
      </c>
      <c r="K733" t="n">
        <v>0</v>
      </c>
      <c r="L733" t="n">
        <v>0</v>
      </c>
      <c r="M733" t="n">
        <v>0</v>
      </c>
      <c r="N733" t="n">
        <v>0</v>
      </c>
      <c r="O733" t="n">
        <v>0</v>
      </c>
      <c r="P733" t="n">
        <v>0</v>
      </c>
      <c r="Q733" t="n">
        <v>0</v>
      </c>
      <c r="R733" s="2" t="inlineStr"/>
    </row>
    <row r="734" ht="15" customHeight="1">
      <c r="A734" t="inlineStr">
        <is>
          <t>A 10893-2026</t>
        </is>
      </c>
      <c r="B734" s="1" t="n">
        <v>46078.81072916667</v>
      </c>
      <c r="C734" s="1" t="n">
        <v>46123</v>
      </c>
      <c r="D734" t="inlineStr">
        <is>
          <t>SÖDERMANLANDS LÄN</t>
        </is>
      </c>
      <c r="E734" t="inlineStr">
        <is>
          <t>KATRINEHOLM</t>
        </is>
      </c>
      <c r="F734" t="inlineStr">
        <is>
          <t>Allmännings- och besparingsskogar</t>
        </is>
      </c>
      <c r="G734" t="n">
        <v>2</v>
      </c>
      <c r="H734" t="n">
        <v>0</v>
      </c>
      <c r="I734" t="n">
        <v>0</v>
      </c>
      <c r="J734" t="n">
        <v>0</v>
      </c>
      <c r="K734" t="n">
        <v>0</v>
      </c>
      <c r="L734" t="n">
        <v>0</v>
      </c>
      <c r="M734" t="n">
        <v>0</v>
      </c>
      <c r="N734" t="n">
        <v>0</v>
      </c>
      <c r="O734" t="n">
        <v>0</v>
      </c>
      <c r="P734" t="n">
        <v>0</v>
      </c>
      <c r="Q734" t="n">
        <v>0</v>
      </c>
      <c r="R734" s="2" t="inlineStr"/>
    </row>
    <row r="735" ht="15" customHeight="1">
      <c r="A735" t="inlineStr">
        <is>
          <t>A 9899-2023</t>
        </is>
      </c>
      <c r="B735" s="1" t="n">
        <v>44985</v>
      </c>
      <c r="C735" s="1" t="n">
        <v>46123</v>
      </c>
      <c r="D735" t="inlineStr">
        <is>
          <t>SÖDERMANLANDS LÄN</t>
        </is>
      </c>
      <c r="E735" t="inlineStr">
        <is>
          <t>KATRINEHOLM</t>
        </is>
      </c>
      <c r="F735" t="inlineStr">
        <is>
          <t>Allmännings- och besparingsskogar</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34263-2023</t>
        </is>
      </c>
      <c r="B736" s="1" t="n">
        <v>45138.60248842592</v>
      </c>
      <c r="C736" s="1" t="n">
        <v>46123</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10721-2026</t>
        </is>
      </c>
      <c r="B737" s="1" t="n">
        <v>46078.46894675926</v>
      </c>
      <c r="C737" s="1" t="n">
        <v>46123</v>
      </c>
      <c r="D737" t="inlineStr">
        <is>
          <t>SÖDERMANLANDS LÄN</t>
        </is>
      </c>
      <c r="E737" t="inlineStr">
        <is>
          <t>KATRINEHOLM</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14622-2026</t>
        </is>
      </c>
      <c r="B738" s="1" t="n">
        <v>46101.38826388889</v>
      </c>
      <c r="C738" s="1" t="n">
        <v>46123</v>
      </c>
      <c r="D738" t="inlineStr">
        <is>
          <t>SÖDERMANLANDS LÄN</t>
        </is>
      </c>
      <c r="E738" t="inlineStr">
        <is>
          <t>KATRINEHOLM</t>
        </is>
      </c>
      <c r="G738" t="n">
        <v>2.5</v>
      </c>
      <c r="H738" t="n">
        <v>0</v>
      </c>
      <c r="I738" t="n">
        <v>0</v>
      </c>
      <c r="J738" t="n">
        <v>0</v>
      </c>
      <c r="K738" t="n">
        <v>0</v>
      </c>
      <c r="L738" t="n">
        <v>0</v>
      </c>
      <c r="M738" t="n">
        <v>0</v>
      </c>
      <c r="N738" t="n">
        <v>0</v>
      </c>
      <c r="O738" t="n">
        <v>0</v>
      </c>
      <c r="P738" t="n">
        <v>0</v>
      </c>
      <c r="Q738" t="n">
        <v>0</v>
      </c>
      <c r="R738" s="2" t="inlineStr"/>
    </row>
    <row r="739" ht="15" customHeight="1">
      <c r="A739" t="inlineStr">
        <is>
          <t>A 6092-2025</t>
        </is>
      </c>
      <c r="B739" s="1" t="n">
        <v>45697</v>
      </c>
      <c r="C739" s="1" t="n">
        <v>46123</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55863-2022</t>
        </is>
      </c>
      <c r="B740" s="1" t="n">
        <v>44888</v>
      </c>
      <c r="C740" s="1" t="n">
        <v>46123</v>
      </c>
      <c r="D740" t="inlineStr">
        <is>
          <t>SÖDERMANLANDS LÄN</t>
        </is>
      </c>
      <c r="E740" t="inlineStr">
        <is>
          <t>KATRINEHOLM</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55865-2022</t>
        </is>
      </c>
      <c r="B741" s="1" t="n">
        <v>44888</v>
      </c>
      <c r="C741" s="1" t="n">
        <v>46123</v>
      </c>
      <c r="D741" t="inlineStr">
        <is>
          <t>SÖDERMANLANDS LÄN</t>
        </is>
      </c>
      <c r="E741" t="inlineStr">
        <is>
          <t>KATRINEHOLM</t>
        </is>
      </c>
      <c r="G741" t="n">
        <v>9.1</v>
      </c>
      <c r="H741" t="n">
        <v>0</v>
      </c>
      <c r="I741" t="n">
        <v>0</v>
      </c>
      <c r="J741" t="n">
        <v>0</v>
      </c>
      <c r="K741" t="n">
        <v>0</v>
      </c>
      <c r="L741" t="n">
        <v>0</v>
      </c>
      <c r="M741" t="n">
        <v>0</v>
      </c>
      <c r="N741" t="n">
        <v>0</v>
      </c>
      <c r="O741" t="n">
        <v>0</v>
      </c>
      <c r="P741" t="n">
        <v>0</v>
      </c>
      <c r="Q741" t="n">
        <v>0</v>
      </c>
      <c r="R741" s="2" t="inlineStr"/>
    </row>
    <row r="742" ht="15" customHeight="1">
      <c r="A742" t="inlineStr">
        <is>
          <t>A 10341-2022</t>
        </is>
      </c>
      <c r="B742" s="1" t="n">
        <v>44623</v>
      </c>
      <c r="C742" s="1" t="n">
        <v>46123</v>
      </c>
      <c r="D742" t="inlineStr">
        <is>
          <t>SÖDERMANLANDS LÄN</t>
        </is>
      </c>
      <c r="E742" t="inlineStr">
        <is>
          <t>KATRINEHOLM</t>
        </is>
      </c>
      <c r="G742" t="n">
        <v>2.3</v>
      </c>
      <c r="H742" t="n">
        <v>0</v>
      </c>
      <c r="I742" t="n">
        <v>0</v>
      </c>
      <c r="J742" t="n">
        <v>0</v>
      </c>
      <c r="K742" t="n">
        <v>0</v>
      </c>
      <c r="L742" t="n">
        <v>0</v>
      </c>
      <c r="M742" t="n">
        <v>0</v>
      </c>
      <c r="N742" t="n">
        <v>0</v>
      </c>
      <c r="O742" t="n">
        <v>0</v>
      </c>
      <c r="P742" t="n">
        <v>0</v>
      </c>
      <c r="Q742" t="n">
        <v>0</v>
      </c>
      <c r="R742" s="2" t="inlineStr"/>
    </row>
    <row r="743" ht="15" customHeight="1">
      <c r="A743" t="inlineStr">
        <is>
          <t>A 9437-2022</t>
        </is>
      </c>
      <c r="B743" s="1" t="n">
        <v>44616.69246527777</v>
      </c>
      <c r="C743" s="1" t="n">
        <v>46123</v>
      </c>
      <c r="D743" t="inlineStr">
        <is>
          <t>SÖDERMANLANDS LÄN</t>
        </is>
      </c>
      <c r="E743" t="inlineStr">
        <is>
          <t>KATRINEHOLM</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22345-2023</t>
        </is>
      </c>
      <c r="B744" s="1" t="n">
        <v>45070</v>
      </c>
      <c r="C744" s="1" t="n">
        <v>46123</v>
      </c>
      <c r="D744" t="inlineStr">
        <is>
          <t>SÖDERMANLANDS LÄN</t>
        </is>
      </c>
      <c r="E744" t="inlineStr">
        <is>
          <t>KATRINEHOLM</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48528-2021</t>
        </is>
      </c>
      <c r="B745" s="1" t="n">
        <v>44449</v>
      </c>
      <c r="C745" s="1" t="n">
        <v>46123</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28675-2024</t>
        </is>
      </c>
      <c r="B746" s="1" t="n">
        <v>45478</v>
      </c>
      <c r="C746" s="1" t="n">
        <v>46123</v>
      </c>
      <c r="D746" t="inlineStr">
        <is>
          <t>SÖDERMANLANDS LÄN</t>
        </is>
      </c>
      <c r="E746" t="inlineStr">
        <is>
          <t>KATRINEHOLM</t>
        </is>
      </c>
      <c r="F746" t="inlineStr">
        <is>
          <t>Övriga Aktiebolag</t>
        </is>
      </c>
      <c r="G746" t="n">
        <v>3.5</v>
      </c>
      <c r="H746" t="n">
        <v>0</v>
      </c>
      <c r="I746" t="n">
        <v>0</v>
      </c>
      <c r="J746" t="n">
        <v>0</v>
      </c>
      <c r="K746" t="n">
        <v>0</v>
      </c>
      <c r="L746" t="n">
        <v>0</v>
      </c>
      <c r="M746" t="n">
        <v>0</v>
      </c>
      <c r="N746" t="n">
        <v>0</v>
      </c>
      <c r="O746" t="n">
        <v>0</v>
      </c>
      <c r="P746" t="n">
        <v>0</v>
      </c>
      <c r="Q746" t="n">
        <v>0</v>
      </c>
      <c r="R746" s="2" t="inlineStr"/>
    </row>
    <row r="747" ht="15" customHeight="1">
      <c r="A747" t="inlineStr">
        <is>
          <t>A 33790-2024</t>
        </is>
      </c>
      <c r="B747" s="1" t="n">
        <v>45520.59179398148</v>
      </c>
      <c r="C747" s="1" t="n">
        <v>46123</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41267-2023</t>
        </is>
      </c>
      <c r="B748" s="1" t="n">
        <v>45174</v>
      </c>
      <c r="C748" s="1" t="n">
        <v>46123</v>
      </c>
      <c r="D748" t="inlineStr">
        <is>
          <t>SÖDERMANLANDS LÄN</t>
        </is>
      </c>
      <c r="E748" t="inlineStr">
        <is>
          <t>KATRINEHOLM</t>
        </is>
      </c>
      <c r="F748" t="inlineStr">
        <is>
          <t>Holmen skog AB</t>
        </is>
      </c>
      <c r="G748" t="n">
        <v>4.5</v>
      </c>
      <c r="H748" t="n">
        <v>0</v>
      </c>
      <c r="I748" t="n">
        <v>0</v>
      </c>
      <c r="J748" t="n">
        <v>0</v>
      </c>
      <c r="K748" t="n">
        <v>0</v>
      </c>
      <c r="L748" t="n">
        <v>0</v>
      </c>
      <c r="M748" t="n">
        <v>0</v>
      </c>
      <c r="N748" t="n">
        <v>0</v>
      </c>
      <c r="O748" t="n">
        <v>0</v>
      </c>
      <c r="P748" t="n">
        <v>0</v>
      </c>
      <c r="Q748" t="n">
        <v>0</v>
      </c>
      <c r="R748" s="2" t="inlineStr"/>
    </row>
    <row r="749" ht="15" customHeight="1">
      <c r="A749" t="inlineStr">
        <is>
          <t>A 53809-2021</t>
        </is>
      </c>
      <c r="B749" s="1" t="n">
        <v>44467</v>
      </c>
      <c r="C749" s="1" t="n">
        <v>46123</v>
      </c>
      <c r="D749" t="inlineStr">
        <is>
          <t>SÖDERMANLANDS LÄN</t>
        </is>
      </c>
      <c r="E749" t="inlineStr">
        <is>
          <t>KATRINEHOLM</t>
        </is>
      </c>
      <c r="G749" t="n">
        <v>7</v>
      </c>
      <c r="H749" t="n">
        <v>0</v>
      </c>
      <c r="I749" t="n">
        <v>0</v>
      </c>
      <c r="J749" t="n">
        <v>0</v>
      </c>
      <c r="K749" t="n">
        <v>0</v>
      </c>
      <c r="L749" t="n">
        <v>0</v>
      </c>
      <c r="M749" t="n">
        <v>0</v>
      </c>
      <c r="N749" t="n">
        <v>0</v>
      </c>
      <c r="O749" t="n">
        <v>0</v>
      </c>
      <c r="P749" t="n">
        <v>0</v>
      </c>
      <c r="Q749" t="n">
        <v>0</v>
      </c>
      <c r="R749" s="2" t="inlineStr"/>
    </row>
    <row r="750" ht="15" customHeight="1">
      <c r="A750" t="inlineStr">
        <is>
          <t>A 4758-2025</t>
        </is>
      </c>
      <c r="B750" s="1" t="n">
        <v>45688</v>
      </c>
      <c r="C750" s="1" t="n">
        <v>46123</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28317-2024</t>
        </is>
      </c>
      <c r="B751" s="1" t="n">
        <v>45477</v>
      </c>
      <c r="C751" s="1" t="n">
        <v>46123</v>
      </c>
      <c r="D751" t="inlineStr">
        <is>
          <t>SÖDERMANLANDS LÄN</t>
        </is>
      </c>
      <c r="E751" t="inlineStr">
        <is>
          <t>KATRINEHOLM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52348-2021</t>
        </is>
      </c>
      <c r="B752" s="1" t="n">
        <v>44464.49756944444</v>
      </c>
      <c r="C752" s="1" t="n">
        <v>46123</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5795-2022</t>
        </is>
      </c>
      <c r="B753" s="1" t="n">
        <v>44596</v>
      </c>
      <c r="C753" s="1" t="n">
        <v>46123</v>
      </c>
      <c r="D753" t="inlineStr">
        <is>
          <t>SÖDERMANLANDS LÄN</t>
        </is>
      </c>
      <c r="E753" t="inlineStr">
        <is>
          <t>KATRINEHOLM</t>
        </is>
      </c>
      <c r="G753" t="n">
        <v>8.1</v>
      </c>
      <c r="H753" t="n">
        <v>0</v>
      </c>
      <c r="I753" t="n">
        <v>0</v>
      </c>
      <c r="J753" t="n">
        <v>0</v>
      </c>
      <c r="K753" t="n">
        <v>0</v>
      </c>
      <c r="L753" t="n">
        <v>0</v>
      </c>
      <c r="M753" t="n">
        <v>0</v>
      </c>
      <c r="N753" t="n">
        <v>0</v>
      </c>
      <c r="O753" t="n">
        <v>0</v>
      </c>
      <c r="P753" t="n">
        <v>0</v>
      </c>
      <c r="Q753" t="n">
        <v>0</v>
      </c>
      <c r="R753" s="2" t="inlineStr"/>
    </row>
    <row r="754" ht="15" customHeight="1">
      <c r="A754" t="inlineStr">
        <is>
          <t>A 55590-2023</t>
        </is>
      </c>
      <c r="B754" s="1" t="n">
        <v>45238</v>
      </c>
      <c r="C754" s="1" t="n">
        <v>46123</v>
      </c>
      <c r="D754" t="inlineStr">
        <is>
          <t>SÖDERMANLANDS LÄN</t>
        </is>
      </c>
      <c r="E754" t="inlineStr">
        <is>
          <t>KATRINEHOLM</t>
        </is>
      </c>
      <c r="G754" t="n">
        <v>4.5</v>
      </c>
      <c r="H754" t="n">
        <v>0</v>
      </c>
      <c r="I754" t="n">
        <v>0</v>
      </c>
      <c r="J754" t="n">
        <v>0</v>
      </c>
      <c r="K754" t="n">
        <v>0</v>
      </c>
      <c r="L754" t="n">
        <v>0</v>
      </c>
      <c r="M754" t="n">
        <v>0</v>
      </c>
      <c r="N754" t="n">
        <v>0</v>
      </c>
      <c r="O754" t="n">
        <v>0</v>
      </c>
      <c r="P754" t="n">
        <v>0</v>
      </c>
      <c r="Q754" t="n">
        <v>0</v>
      </c>
      <c r="R754" s="2" t="inlineStr"/>
    </row>
    <row r="755" ht="15" customHeight="1">
      <c r="A755" t="inlineStr">
        <is>
          <t>A 46257-2021</t>
        </is>
      </c>
      <c r="B755" s="1" t="n">
        <v>44442</v>
      </c>
      <c r="C755" s="1" t="n">
        <v>46123</v>
      </c>
      <c r="D755" t="inlineStr">
        <is>
          <t>SÖDERMANLANDS LÄN</t>
        </is>
      </c>
      <c r="E755" t="inlineStr">
        <is>
          <t>KATRINEHOLM</t>
        </is>
      </c>
      <c r="G755" t="n">
        <v>2.3</v>
      </c>
      <c r="H755" t="n">
        <v>0</v>
      </c>
      <c r="I755" t="n">
        <v>0</v>
      </c>
      <c r="J755" t="n">
        <v>0</v>
      </c>
      <c r="K755" t="n">
        <v>0</v>
      </c>
      <c r="L755" t="n">
        <v>0</v>
      </c>
      <c r="M755" t="n">
        <v>0</v>
      </c>
      <c r="N755" t="n">
        <v>0</v>
      </c>
      <c r="O755" t="n">
        <v>0</v>
      </c>
      <c r="P755" t="n">
        <v>0</v>
      </c>
      <c r="Q755" t="n">
        <v>0</v>
      </c>
      <c r="R755" s="2" t="inlineStr"/>
    </row>
    <row r="756" ht="15" customHeight="1">
      <c r="A756" t="inlineStr">
        <is>
          <t>A 5320-2025</t>
        </is>
      </c>
      <c r="B756" s="1" t="n">
        <v>45692</v>
      </c>
      <c r="C756" s="1" t="n">
        <v>46123</v>
      </c>
      <c r="D756" t="inlineStr">
        <is>
          <t>SÖDERMANLANDS LÄN</t>
        </is>
      </c>
      <c r="E756" t="inlineStr">
        <is>
          <t>KATRINEHOLM</t>
        </is>
      </c>
      <c r="F756" t="inlineStr">
        <is>
          <t>Kommuner</t>
        </is>
      </c>
      <c r="G756" t="n">
        <v>0.9</v>
      </c>
      <c r="H756" t="n">
        <v>0</v>
      </c>
      <c r="I756" t="n">
        <v>0</v>
      </c>
      <c r="J756" t="n">
        <v>0</v>
      </c>
      <c r="K756" t="n">
        <v>0</v>
      </c>
      <c r="L756" t="n">
        <v>0</v>
      </c>
      <c r="M756" t="n">
        <v>0</v>
      </c>
      <c r="N756" t="n">
        <v>0</v>
      </c>
      <c r="O756" t="n">
        <v>0</v>
      </c>
      <c r="P756" t="n">
        <v>0</v>
      </c>
      <c r="Q756" t="n">
        <v>0</v>
      </c>
      <c r="R756" s="2" t="inlineStr"/>
    </row>
    <row r="757" ht="15" customHeight="1">
      <c r="A757" t="inlineStr">
        <is>
          <t>A 49914-2023</t>
        </is>
      </c>
      <c r="B757" s="1" t="n">
        <v>45214</v>
      </c>
      <c r="C757" s="1" t="n">
        <v>46123</v>
      </c>
      <c r="D757" t="inlineStr">
        <is>
          <t>SÖDERMANLANDS LÄN</t>
        </is>
      </c>
      <c r="E757" t="inlineStr">
        <is>
          <t>KATRINEHOLM</t>
        </is>
      </c>
      <c r="G757" t="n">
        <v>1.4</v>
      </c>
      <c r="H757" t="n">
        <v>0</v>
      </c>
      <c r="I757" t="n">
        <v>0</v>
      </c>
      <c r="J757" t="n">
        <v>0</v>
      </c>
      <c r="K757" t="n">
        <v>0</v>
      </c>
      <c r="L757" t="n">
        <v>0</v>
      </c>
      <c r="M757" t="n">
        <v>0</v>
      </c>
      <c r="N757" t="n">
        <v>0</v>
      </c>
      <c r="O757" t="n">
        <v>0</v>
      </c>
      <c r="P757" t="n">
        <v>0</v>
      </c>
      <c r="Q757" t="n">
        <v>0</v>
      </c>
      <c r="R757" s="2" t="inlineStr"/>
    </row>
    <row r="758" ht="15" customHeight="1">
      <c r="A758" t="inlineStr">
        <is>
          <t>A 44637-2023</t>
        </is>
      </c>
      <c r="B758" s="1" t="n">
        <v>45189</v>
      </c>
      <c r="C758" s="1" t="n">
        <v>46123</v>
      </c>
      <c r="D758" t="inlineStr">
        <is>
          <t>SÖDERMANLANDS LÄN</t>
        </is>
      </c>
      <c r="E758" t="inlineStr">
        <is>
          <t>KATRINEHOLM</t>
        </is>
      </c>
      <c r="G758" t="n">
        <v>5.1</v>
      </c>
      <c r="H758" t="n">
        <v>0</v>
      </c>
      <c r="I758" t="n">
        <v>0</v>
      </c>
      <c r="J758" t="n">
        <v>0</v>
      </c>
      <c r="K758" t="n">
        <v>0</v>
      </c>
      <c r="L758" t="n">
        <v>0</v>
      </c>
      <c r="M758" t="n">
        <v>0</v>
      </c>
      <c r="N758" t="n">
        <v>0</v>
      </c>
      <c r="O758" t="n">
        <v>0</v>
      </c>
      <c r="P758" t="n">
        <v>0</v>
      </c>
      <c r="Q758" t="n">
        <v>0</v>
      </c>
      <c r="R758" s="2" t="inlineStr"/>
    </row>
    <row r="759" ht="15" customHeight="1">
      <c r="A759" t="inlineStr">
        <is>
          <t>A 58522-2024</t>
        </is>
      </c>
      <c r="B759" s="1" t="n">
        <v>45635.43770833333</v>
      </c>
      <c r="C759" s="1" t="n">
        <v>46123</v>
      </c>
      <c r="D759" t="inlineStr">
        <is>
          <t>SÖDERMANLANDS LÄN</t>
        </is>
      </c>
      <c r="E759" t="inlineStr">
        <is>
          <t>KATRINEHOLM</t>
        </is>
      </c>
      <c r="G759" t="n">
        <v>2</v>
      </c>
      <c r="H759" t="n">
        <v>0</v>
      </c>
      <c r="I759" t="n">
        <v>0</v>
      </c>
      <c r="J759" t="n">
        <v>0</v>
      </c>
      <c r="K759" t="n">
        <v>0</v>
      </c>
      <c r="L759" t="n">
        <v>0</v>
      </c>
      <c r="M759" t="n">
        <v>0</v>
      </c>
      <c r="N759" t="n">
        <v>0</v>
      </c>
      <c r="O759" t="n">
        <v>0</v>
      </c>
      <c r="P759" t="n">
        <v>0</v>
      </c>
      <c r="Q759" t="n">
        <v>0</v>
      </c>
      <c r="R759" s="2" t="inlineStr"/>
    </row>
    <row r="760" ht="15" customHeight="1">
      <c r="A760" t="inlineStr">
        <is>
          <t>A 20921-2023</t>
        </is>
      </c>
      <c r="B760" s="1" t="n">
        <v>45061</v>
      </c>
      <c r="C760" s="1" t="n">
        <v>46123</v>
      </c>
      <c r="D760" t="inlineStr">
        <is>
          <t>SÖDERMANLANDS LÄN</t>
        </is>
      </c>
      <c r="E760" t="inlineStr">
        <is>
          <t>KATRINEHOLM</t>
        </is>
      </c>
      <c r="G760" t="n">
        <v>8.9</v>
      </c>
      <c r="H760" t="n">
        <v>0</v>
      </c>
      <c r="I760" t="n">
        <v>0</v>
      </c>
      <c r="J760" t="n">
        <v>0</v>
      </c>
      <c r="K760" t="n">
        <v>0</v>
      </c>
      <c r="L760" t="n">
        <v>0</v>
      </c>
      <c r="M760" t="n">
        <v>0</v>
      </c>
      <c r="N760" t="n">
        <v>0</v>
      </c>
      <c r="O760" t="n">
        <v>0</v>
      </c>
      <c r="P760" t="n">
        <v>0</v>
      </c>
      <c r="Q760" t="n">
        <v>0</v>
      </c>
      <c r="R760" s="2" t="inlineStr"/>
    </row>
    <row r="761" ht="15" customHeight="1">
      <c r="A761" t="inlineStr">
        <is>
          <t>A 12929-2023</t>
        </is>
      </c>
      <c r="B761" s="1" t="n">
        <v>45001</v>
      </c>
      <c r="C761" s="1" t="n">
        <v>46123</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12932-2023</t>
        </is>
      </c>
      <c r="B762" s="1" t="n">
        <v>45001</v>
      </c>
      <c r="C762" s="1" t="n">
        <v>46123</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6446-2022</t>
        </is>
      </c>
      <c r="B763" s="1" t="n">
        <v>44600</v>
      </c>
      <c r="C763" s="1" t="n">
        <v>46123</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4724-2023</t>
        </is>
      </c>
      <c r="B764" s="1" t="n">
        <v>44957</v>
      </c>
      <c r="C764" s="1" t="n">
        <v>46123</v>
      </c>
      <c r="D764" t="inlineStr">
        <is>
          <t>SÖDERMANLANDS LÄN</t>
        </is>
      </c>
      <c r="E764" t="inlineStr">
        <is>
          <t>KATRINEHOLM</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61431-2024</t>
        </is>
      </c>
      <c r="B765" s="1" t="n">
        <v>45646.45950231481</v>
      </c>
      <c r="C765" s="1" t="n">
        <v>46123</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24097-2022</t>
        </is>
      </c>
      <c r="B766" s="1" t="n">
        <v>44725.39371527778</v>
      </c>
      <c r="C766" s="1" t="n">
        <v>46123</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53393-2023</t>
        </is>
      </c>
      <c r="B767" s="1" t="n">
        <v>45229</v>
      </c>
      <c r="C767" s="1" t="n">
        <v>46123</v>
      </c>
      <c r="D767" t="inlineStr">
        <is>
          <t>SÖDERMANLANDS LÄN</t>
        </is>
      </c>
      <c r="E767" t="inlineStr">
        <is>
          <t>KATRINEHOLM</t>
        </is>
      </c>
      <c r="F767" t="inlineStr">
        <is>
          <t>Kyrkan</t>
        </is>
      </c>
      <c r="G767" t="n">
        <v>5.6</v>
      </c>
      <c r="H767" t="n">
        <v>0</v>
      </c>
      <c r="I767" t="n">
        <v>0</v>
      </c>
      <c r="J767" t="n">
        <v>0</v>
      </c>
      <c r="K767" t="n">
        <v>0</v>
      </c>
      <c r="L767" t="n">
        <v>0</v>
      </c>
      <c r="M767" t="n">
        <v>0</v>
      </c>
      <c r="N767" t="n">
        <v>0</v>
      </c>
      <c r="O767" t="n">
        <v>0</v>
      </c>
      <c r="P767" t="n">
        <v>0</v>
      </c>
      <c r="Q767" t="n">
        <v>0</v>
      </c>
      <c r="R767" s="2" t="inlineStr"/>
    </row>
    <row r="768" ht="15" customHeight="1">
      <c r="A768" t="inlineStr">
        <is>
          <t>A 40744-2022</t>
        </is>
      </c>
      <c r="B768" s="1" t="n">
        <v>44824.55655092592</v>
      </c>
      <c r="C768" s="1" t="n">
        <v>46123</v>
      </c>
      <c r="D768" t="inlineStr">
        <is>
          <t>SÖDERMANLANDS LÄN</t>
        </is>
      </c>
      <c r="E768" t="inlineStr">
        <is>
          <t>KATRINEHOLM</t>
        </is>
      </c>
      <c r="G768" t="n">
        <v>3.7</v>
      </c>
      <c r="H768" t="n">
        <v>0</v>
      </c>
      <c r="I768" t="n">
        <v>0</v>
      </c>
      <c r="J768" t="n">
        <v>0</v>
      </c>
      <c r="K768" t="n">
        <v>0</v>
      </c>
      <c r="L768" t="n">
        <v>0</v>
      </c>
      <c r="M768" t="n">
        <v>0</v>
      </c>
      <c r="N768" t="n">
        <v>0</v>
      </c>
      <c r="O768" t="n">
        <v>0</v>
      </c>
      <c r="P768" t="n">
        <v>0</v>
      </c>
      <c r="Q768" t="n">
        <v>0</v>
      </c>
      <c r="R768" s="2" t="inlineStr"/>
    </row>
    <row r="769" ht="15" customHeight="1">
      <c r="A769" t="inlineStr">
        <is>
          <t>A 20803-2024</t>
        </is>
      </c>
      <c r="B769" s="1" t="n">
        <v>45438</v>
      </c>
      <c r="C769" s="1" t="n">
        <v>46123</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15392-2023</t>
        </is>
      </c>
      <c r="B770" s="1" t="n">
        <v>45016</v>
      </c>
      <c r="C770" s="1" t="n">
        <v>46123</v>
      </c>
      <c r="D770" t="inlineStr">
        <is>
          <t>SÖDERMANLANDS LÄN</t>
        </is>
      </c>
      <c r="E770" t="inlineStr">
        <is>
          <t>KATRINEHOLM</t>
        </is>
      </c>
      <c r="F770" t="inlineStr">
        <is>
          <t>Övriga Aktiebolag</t>
        </is>
      </c>
      <c r="G770" t="n">
        <v>2.7</v>
      </c>
      <c r="H770" t="n">
        <v>0</v>
      </c>
      <c r="I770" t="n">
        <v>0</v>
      </c>
      <c r="J770" t="n">
        <v>0</v>
      </c>
      <c r="K770" t="n">
        <v>0</v>
      </c>
      <c r="L770" t="n">
        <v>0</v>
      </c>
      <c r="M770" t="n">
        <v>0</v>
      </c>
      <c r="N770" t="n">
        <v>0</v>
      </c>
      <c r="O770" t="n">
        <v>0</v>
      </c>
      <c r="P770" t="n">
        <v>0</v>
      </c>
      <c r="Q770" t="n">
        <v>0</v>
      </c>
      <c r="R770" s="2" t="inlineStr"/>
    </row>
    <row r="771" ht="15" customHeight="1">
      <c r="A771" t="inlineStr">
        <is>
          <t>A 4645-2024</t>
        </is>
      </c>
      <c r="B771" s="1" t="n">
        <v>45328</v>
      </c>
      <c r="C771" s="1" t="n">
        <v>46123</v>
      </c>
      <c r="D771" t="inlineStr">
        <is>
          <t>SÖDERMANLANDS LÄN</t>
        </is>
      </c>
      <c r="E771" t="inlineStr">
        <is>
          <t>KATRINEHOLM</t>
        </is>
      </c>
      <c r="G771" t="n">
        <v>2.3</v>
      </c>
      <c r="H771" t="n">
        <v>0</v>
      </c>
      <c r="I771" t="n">
        <v>0</v>
      </c>
      <c r="J771" t="n">
        <v>0</v>
      </c>
      <c r="K771" t="n">
        <v>0</v>
      </c>
      <c r="L771" t="n">
        <v>0</v>
      </c>
      <c r="M771" t="n">
        <v>0</v>
      </c>
      <c r="N771" t="n">
        <v>0</v>
      </c>
      <c r="O771" t="n">
        <v>0</v>
      </c>
      <c r="P771" t="n">
        <v>0</v>
      </c>
      <c r="Q771" t="n">
        <v>0</v>
      </c>
      <c r="R771" s="2" t="inlineStr"/>
    </row>
    <row r="772" ht="15" customHeight="1">
      <c r="A772" t="inlineStr">
        <is>
          <t>A 28508-2023</t>
        </is>
      </c>
      <c r="B772" s="1" t="n">
        <v>45103.46788194445</v>
      </c>
      <c r="C772" s="1" t="n">
        <v>46123</v>
      </c>
      <c r="D772" t="inlineStr">
        <is>
          <t>SÖDERMANLANDS LÄN</t>
        </is>
      </c>
      <c r="E772" t="inlineStr">
        <is>
          <t>KATRINEHOLM</t>
        </is>
      </c>
      <c r="F772" t="inlineStr">
        <is>
          <t>Kyrkan</t>
        </is>
      </c>
      <c r="G772" t="n">
        <v>20.5</v>
      </c>
      <c r="H772" t="n">
        <v>0</v>
      </c>
      <c r="I772" t="n">
        <v>0</v>
      </c>
      <c r="J772" t="n">
        <v>0</v>
      </c>
      <c r="K772" t="n">
        <v>0</v>
      </c>
      <c r="L772" t="n">
        <v>0</v>
      </c>
      <c r="M772" t="n">
        <v>0</v>
      </c>
      <c r="N772" t="n">
        <v>0</v>
      </c>
      <c r="O772" t="n">
        <v>0</v>
      </c>
      <c r="P772" t="n">
        <v>0</v>
      </c>
      <c r="Q772" t="n">
        <v>0</v>
      </c>
      <c r="R772" s="2" t="inlineStr"/>
    </row>
    <row r="773" ht="15" customHeight="1">
      <c r="A773" t="inlineStr">
        <is>
          <t>A 47889-2023</t>
        </is>
      </c>
      <c r="B773" s="1" t="n">
        <v>45204</v>
      </c>
      <c r="C773" s="1" t="n">
        <v>46123</v>
      </c>
      <c r="D773" t="inlineStr">
        <is>
          <t>SÖDERMANLANDS LÄN</t>
        </is>
      </c>
      <c r="E773" t="inlineStr">
        <is>
          <t>KATRINEHOLM</t>
        </is>
      </c>
      <c r="G773" t="n">
        <v>2.1</v>
      </c>
      <c r="H773" t="n">
        <v>0</v>
      </c>
      <c r="I773" t="n">
        <v>0</v>
      </c>
      <c r="J773" t="n">
        <v>0</v>
      </c>
      <c r="K773" t="n">
        <v>0</v>
      </c>
      <c r="L773" t="n">
        <v>0</v>
      </c>
      <c r="M773" t="n">
        <v>0</v>
      </c>
      <c r="N773" t="n">
        <v>0</v>
      </c>
      <c r="O773" t="n">
        <v>0</v>
      </c>
      <c r="P773" t="n">
        <v>0</v>
      </c>
      <c r="Q773" t="n">
        <v>0</v>
      </c>
      <c r="R773" s="2" t="inlineStr"/>
    </row>
    <row r="774" ht="15" customHeight="1">
      <c r="A774" t="inlineStr">
        <is>
          <t>A 12975-2022</t>
        </is>
      </c>
      <c r="B774" s="1" t="n">
        <v>44643</v>
      </c>
      <c r="C774" s="1" t="n">
        <v>46123</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9668-2023</t>
        </is>
      </c>
      <c r="B775" s="1" t="n">
        <v>44984.41238425926</v>
      </c>
      <c r="C775" s="1" t="n">
        <v>46123</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29977-2023</t>
        </is>
      </c>
      <c r="B776" s="1" t="n">
        <v>45108</v>
      </c>
      <c r="C776" s="1" t="n">
        <v>46123</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46123</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948-2023</t>
        </is>
      </c>
      <c r="B778" s="1" t="n">
        <v>44934</v>
      </c>
      <c r="C778" s="1" t="n">
        <v>46123</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6087-2022</t>
        </is>
      </c>
      <c r="B779" s="1" t="n">
        <v>44599.61034722222</v>
      </c>
      <c r="C779" s="1" t="n">
        <v>46123</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47134-2022</t>
        </is>
      </c>
      <c r="B780" s="1" t="n">
        <v>44851</v>
      </c>
      <c r="C780" s="1" t="n">
        <v>46123</v>
      </c>
      <c r="D780" t="inlineStr">
        <is>
          <t>SÖDERMANLANDS LÄN</t>
        </is>
      </c>
      <c r="E780" t="inlineStr">
        <is>
          <t>KATRINEHOLM</t>
        </is>
      </c>
      <c r="F780" t="inlineStr">
        <is>
          <t>Övriga statliga verk och myndigheter</t>
        </is>
      </c>
      <c r="G780" t="n">
        <v>1.5</v>
      </c>
      <c r="H780" t="n">
        <v>0</v>
      </c>
      <c r="I780" t="n">
        <v>0</v>
      </c>
      <c r="J780" t="n">
        <v>0</v>
      </c>
      <c r="K780" t="n">
        <v>0</v>
      </c>
      <c r="L780" t="n">
        <v>0</v>
      </c>
      <c r="M780" t="n">
        <v>0</v>
      </c>
      <c r="N780" t="n">
        <v>0</v>
      </c>
      <c r="O780" t="n">
        <v>0</v>
      </c>
      <c r="P780" t="n">
        <v>0</v>
      </c>
      <c r="Q780" t="n">
        <v>0</v>
      </c>
      <c r="R780" s="2" t="inlineStr"/>
    </row>
    <row r="781" ht="15" customHeight="1">
      <c r="A781" t="inlineStr">
        <is>
          <t>A 12835-2024</t>
        </is>
      </c>
      <c r="B781" s="1" t="n">
        <v>45384</v>
      </c>
      <c r="C781" s="1" t="n">
        <v>46123</v>
      </c>
      <c r="D781" t="inlineStr">
        <is>
          <t>SÖDERMANLANDS LÄN</t>
        </is>
      </c>
      <c r="E781" t="inlineStr">
        <is>
          <t>KATRINEHOLM</t>
        </is>
      </c>
      <c r="F781" t="inlineStr">
        <is>
          <t>Allmännings- och besparingsskogar</t>
        </is>
      </c>
      <c r="G781" t="n">
        <v>0.5</v>
      </c>
      <c r="H781" t="n">
        <v>0</v>
      </c>
      <c r="I781" t="n">
        <v>0</v>
      </c>
      <c r="J781" t="n">
        <v>0</v>
      </c>
      <c r="K781" t="n">
        <v>0</v>
      </c>
      <c r="L781" t="n">
        <v>0</v>
      </c>
      <c r="M781" t="n">
        <v>0</v>
      </c>
      <c r="N781" t="n">
        <v>0</v>
      </c>
      <c r="O781" t="n">
        <v>0</v>
      </c>
      <c r="P781" t="n">
        <v>0</v>
      </c>
      <c r="Q781" t="n">
        <v>0</v>
      </c>
      <c r="R781" s="2" t="inlineStr"/>
    </row>
    <row r="782" ht="15" customHeight="1">
      <c r="A782" t="inlineStr">
        <is>
          <t>A 47879-2023</t>
        </is>
      </c>
      <c r="B782" s="1" t="n">
        <v>45204</v>
      </c>
      <c r="C782" s="1" t="n">
        <v>46123</v>
      </c>
      <c r="D782" t="inlineStr">
        <is>
          <t>SÖDERMANLANDS LÄN</t>
        </is>
      </c>
      <c r="E782" t="inlineStr">
        <is>
          <t>KATRINEHOLM</t>
        </is>
      </c>
      <c r="F782" t="inlineStr">
        <is>
          <t>Övriga Aktiebolag</t>
        </is>
      </c>
      <c r="G782" t="n">
        <v>2.3</v>
      </c>
      <c r="H782" t="n">
        <v>0</v>
      </c>
      <c r="I782" t="n">
        <v>0</v>
      </c>
      <c r="J782" t="n">
        <v>0</v>
      </c>
      <c r="K782" t="n">
        <v>0</v>
      </c>
      <c r="L782" t="n">
        <v>0</v>
      </c>
      <c r="M782" t="n">
        <v>0</v>
      </c>
      <c r="N782" t="n">
        <v>0</v>
      </c>
      <c r="O782" t="n">
        <v>0</v>
      </c>
      <c r="P782" t="n">
        <v>0</v>
      </c>
      <c r="Q782" t="n">
        <v>0</v>
      </c>
      <c r="R782" s="2" t="inlineStr"/>
    </row>
    <row r="783" ht="15" customHeight="1">
      <c r="A783" t="inlineStr">
        <is>
          <t>A 61410-2024</t>
        </is>
      </c>
      <c r="B783" s="1" t="n">
        <v>45646.43950231482</v>
      </c>
      <c r="C783" s="1" t="n">
        <v>46123</v>
      </c>
      <c r="D783" t="inlineStr">
        <is>
          <t>SÖDERMANLANDS LÄN</t>
        </is>
      </c>
      <c r="E783" t="inlineStr">
        <is>
          <t>KATRINEHOLM</t>
        </is>
      </c>
      <c r="G783" t="n">
        <v>1.4</v>
      </c>
      <c r="H783" t="n">
        <v>0</v>
      </c>
      <c r="I783" t="n">
        <v>0</v>
      </c>
      <c r="J783" t="n">
        <v>0</v>
      </c>
      <c r="K783" t="n">
        <v>0</v>
      </c>
      <c r="L783" t="n">
        <v>0</v>
      </c>
      <c r="M783" t="n">
        <v>0</v>
      </c>
      <c r="N783" t="n">
        <v>0</v>
      </c>
      <c r="O783" t="n">
        <v>0</v>
      </c>
      <c r="P783" t="n">
        <v>0</v>
      </c>
      <c r="Q783" t="n">
        <v>0</v>
      </c>
      <c r="R783" s="2" t="inlineStr"/>
    </row>
    <row r="784" ht="15" customHeight="1">
      <c r="A784" t="inlineStr">
        <is>
          <t>A 17746-2024</t>
        </is>
      </c>
      <c r="B784" s="1" t="n">
        <v>45415</v>
      </c>
      <c r="C784" s="1" t="n">
        <v>46123</v>
      </c>
      <c r="D784" t="inlineStr">
        <is>
          <t>SÖDERMANLANDS LÄN</t>
        </is>
      </c>
      <c r="E784" t="inlineStr">
        <is>
          <t>KATRINEHOLM</t>
        </is>
      </c>
      <c r="G784" t="n">
        <v>7.8</v>
      </c>
      <c r="H784" t="n">
        <v>0</v>
      </c>
      <c r="I784" t="n">
        <v>0</v>
      </c>
      <c r="J784" t="n">
        <v>0</v>
      </c>
      <c r="K784" t="n">
        <v>0</v>
      </c>
      <c r="L784" t="n">
        <v>0</v>
      </c>
      <c r="M784" t="n">
        <v>0</v>
      </c>
      <c r="N784" t="n">
        <v>0</v>
      </c>
      <c r="O784" t="n">
        <v>0</v>
      </c>
      <c r="P784" t="n">
        <v>0</v>
      </c>
      <c r="Q784" t="n">
        <v>0</v>
      </c>
      <c r="R784" s="2" t="inlineStr"/>
    </row>
    <row r="785" ht="15" customHeight="1">
      <c r="A785" t="inlineStr">
        <is>
          <t>A 57510-2021</t>
        </is>
      </c>
      <c r="B785" s="1" t="n">
        <v>44483</v>
      </c>
      <c r="C785" s="1" t="n">
        <v>46123</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34731-2023</t>
        </is>
      </c>
      <c r="B786" s="1" t="n">
        <v>45141</v>
      </c>
      <c r="C786" s="1" t="n">
        <v>46123</v>
      </c>
      <c r="D786" t="inlineStr">
        <is>
          <t>SÖDERMANLANDS LÄN</t>
        </is>
      </c>
      <c r="E786" t="inlineStr">
        <is>
          <t>KATRINEHOLM</t>
        </is>
      </c>
      <c r="G786" t="n">
        <v>1.5</v>
      </c>
      <c r="H786" t="n">
        <v>0</v>
      </c>
      <c r="I786" t="n">
        <v>0</v>
      </c>
      <c r="J786" t="n">
        <v>0</v>
      </c>
      <c r="K786" t="n">
        <v>0</v>
      </c>
      <c r="L786" t="n">
        <v>0</v>
      </c>
      <c r="M786" t="n">
        <v>0</v>
      </c>
      <c r="N786" t="n">
        <v>0</v>
      </c>
      <c r="O786" t="n">
        <v>0</v>
      </c>
      <c r="P786" t="n">
        <v>0</v>
      </c>
      <c r="Q786" t="n">
        <v>0</v>
      </c>
      <c r="R786" s="2" t="inlineStr"/>
    </row>
    <row r="787">
      <c r="A787" t="inlineStr">
        <is>
          <t>A 38826-2021</t>
        </is>
      </c>
      <c r="B787" s="1" t="n">
        <v>44411</v>
      </c>
      <c r="C787" s="1" t="n">
        <v>46123</v>
      </c>
      <c r="D787" t="inlineStr">
        <is>
          <t>SÖDERMANLANDS LÄN</t>
        </is>
      </c>
      <c r="E787" t="inlineStr">
        <is>
          <t>KATRINEHOLM</t>
        </is>
      </c>
      <c r="G787" t="n">
        <v>3.1</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2026-04-11T10:35:59Z</dcterms:created>
  <dcterms:modified xmlns:dcterms="http://purl.org/dc/terms/" xmlns:xsi="http://www.w3.org/2001/XMLSchema-instance" xsi:type="dcterms:W3CDTF">2026-04-11T10:36:00Z</dcterms:modified>
</cp:coreProperties>
</file>